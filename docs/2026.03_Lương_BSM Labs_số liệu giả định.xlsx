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Lương 0624_ để check" sheetId="1" r:id="rId5"/>
    <sheet name="Lương 032026_Chốt" sheetId="2" r:id="rId6"/>
    <sheet name="Biến động NS+ Lương" sheetId="3" r:id="rId7"/>
    <sheet name="Tổng hợp OT" sheetId="4" r:id="rId8"/>
    <sheet name="Thưởng hiệu suất" sheetId="5" r:id="rId9"/>
    <sheet name="BCC " sheetId="6" r:id="rId10"/>
    <sheet name="Bản sao của Lương 092024" sheetId="7" r:id="rId11"/>
    <sheet name="Bảng công_092024" sheetId="8" r:id="rId12"/>
    <sheet name="Bản sao của BHXH" sheetId="9" r:id="rId13"/>
    <sheet name="BHXH" sheetId="10" r:id="rId14"/>
    <sheet name="TÀI KHOẢN NV" sheetId="11" r:id="rId15"/>
    <sheet name="van de" sheetId="12" r:id="rId16"/>
  </sheets>
</workbook>
</file>

<file path=xl/comments1.xml><?xml version="1.0" encoding="utf-8"?>
<comments xmlns="http://schemas.openxmlformats.org/spreadsheetml/2006/main">
  <authors>
    <author>ASUS</author>
  </authors>
  <commentList>
    <comment ref="AU40" authorId="0">
      <text>
        <r>
          <rPr>
            <sz val="11"/>
            <color indexed="8"/>
            <rFont val="Helvetica Neue"/>
          </rPr>
          <t>ASUS:
cam kết 08</t>
        </r>
      </text>
    </comment>
    <comment ref="AG41" authorId="0">
      <text>
        <r>
          <rPr>
            <sz val="11"/>
            <color indexed="8"/>
            <rFont val="Helvetica Neue"/>
          </rPr>
          <t>ASUS:
13 ngày của T3/2026 chưa có vé xe, cty hỗ trợ 5K/ngày</t>
        </r>
      </text>
    </comment>
    <comment ref="AU41" authorId="0">
      <text>
        <r>
          <rPr>
            <sz val="11"/>
            <color indexed="8"/>
            <rFont val="Helvetica Neue"/>
          </rPr>
          <t>ASUS:
cam kết 08</t>
        </r>
      </text>
    </comment>
  </commentList>
</comments>
</file>

<file path=xl/comments2.xml><?xml version="1.0" encoding="utf-8"?>
<comments xmlns="http://schemas.openxmlformats.org/spreadsheetml/2006/main">
  <authors>
    <author>ASUS</author>
  </authors>
  <commentList>
    <comment ref="P32" authorId="0">
      <text>
        <r>
          <rPr>
            <sz val="11"/>
            <color indexed="8"/>
            <rFont val="Helvetica Neue"/>
          </rPr>
          <t>ASUS:
Huyền tự tính</t>
        </r>
      </text>
    </comment>
    <comment ref="Q32" authorId="0">
      <text>
        <r>
          <rPr>
            <sz val="11"/>
            <color indexed="8"/>
            <rFont val="Helvetica Neue"/>
          </rPr>
          <t>ASUS:
Huyền tự tính</t>
        </r>
      </text>
    </comment>
  </commentList>
</comments>
</file>

<file path=xl/comments3.xml><?xml version="1.0" encoding="utf-8"?>
<comments xmlns="http://schemas.openxmlformats.org/spreadsheetml/2006/main">
  <authors>
    <author>Imported Author</author>
  </authors>
  <commentList>
    <comment ref="AG20" authorId="0">
      <text>
        <r>
          <rPr>
            <sz val="11"/>
            <color indexed="8"/>
            <rFont val="Helvetica Neue"/>
          </rPr>
          <t>Imported Author:
======
ID#AAABXZmMAU4
ASUS    (2024-11-05 09:40:56)
ĐC lương T8</t>
        </r>
      </text>
    </comment>
  </commentList>
</comments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<sst xmlns="http://schemas.openxmlformats.org/spreadsheetml/2006/main" uniqueCount="6078">
  <si>
    <t>Chốt</t>
  </si>
  <si>
    <t>BẢNG LƯƠNG THÁNG 06/2024</t>
  </si>
  <si>
    <t xml:space="preserve">Tổng lương thực nhận </t>
  </si>
  <si>
    <t>THÔNG TIN NHÂN VIÊN</t>
  </si>
  <si>
    <t>TỔNG LƯƠNG GROSS</t>
  </si>
  <si>
    <t>NGÀY CÔNG TÍNH LƯƠNG</t>
  </si>
  <si>
    <t>LƯƠNG THEO NGÀY CÔNG</t>
  </si>
  <si>
    <t>CÁC KHOẢN THU NHẬP/GIẢM TRỪ KHÁC</t>
  </si>
  <si>
    <t xml:space="preserve">TỔNG THU NHẬP (32=17+22+25)
</t>
  </si>
  <si>
    <t>BHXH</t>
  </si>
  <si>
    <t>THUẾ TNCN</t>
  </si>
  <si>
    <t>THỰC LĨNH</t>
  </si>
  <si>
    <t>TỔNG CHI PHÍ LƯƠNG, THƯỞNG</t>
  </si>
  <si>
    <t>Note</t>
  </si>
  <si>
    <t>Tổng chi phí lương, thưởng</t>
  </si>
  <si>
    <t>STT</t>
  </si>
  <si>
    <t>Mã nhân viên</t>
  </si>
  <si>
    <t>Họ và tên</t>
  </si>
  <si>
    <t>Email</t>
  </si>
  <si>
    <t>Vị trí</t>
  </si>
  <si>
    <t>Thuế</t>
  </si>
  <si>
    <t>Code</t>
  </si>
  <si>
    <t>CTV/thực tập</t>
  </si>
  <si>
    <t>Nhân viên thử việc</t>
  </si>
  <si>
    <t xml:space="preserve">Tổng lương
 gross </t>
  </si>
  <si>
    <t>Nhân viên chính thức</t>
  </si>
  <si>
    <t>Tổng ngày công</t>
  </si>
  <si>
    <t>Ngày công chuẩn</t>
  </si>
  <si>
    <t>Ngày công CTV / thực tập</t>
  </si>
  <si>
    <t>Ngày công thử việc</t>
  </si>
  <si>
    <t>Ngày công chính thức</t>
  </si>
  <si>
    <t>Ngày công trước khi điều chỉnh lương</t>
  </si>
  <si>
    <t xml:space="preserve">Tổng lương theo ngày công 
(16= 17+18+19
</t>
  </si>
  <si>
    <t>Lương ngày công CTV / thực tập</t>
  </si>
  <si>
    <t>Lương ngày công thử việc</t>
  </si>
  <si>
    <t>Lương ngày công chính thức</t>
  </si>
  <si>
    <t>Lương ngày công CTV / thực tập trước ĐC</t>
  </si>
  <si>
    <t xml:space="preserve">Các khoản tăng/giảm khác (23=24+25+26+27+28+29+30)
</t>
  </si>
  <si>
    <t>Các khoản bổ sung khác</t>
  </si>
  <si>
    <t>Thanh toán phép tồn</t>
  </si>
  <si>
    <t xml:space="preserve">Hỗ trợ 
nhà ở </t>
  </si>
  <si>
    <t>Thưởng (Doanh số, Hiệu quả, Thành tích đặc biệt,…)</t>
  </si>
  <si>
    <t>Thưởng các dịp lễ</t>
  </si>
  <si>
    <t>Bonus/Lương tháng 13</t>
  </si>
  <si>
    <t>Mức lương đóng BHXH</t>
  </si>
  <si>
    <t>BHXH NV đóng
 (10.5%* lương cơ bản)</t>
  </si>
  <si>
    <t>BHXH Công ty đóng (21.5%* lương cơ bản)</t>
  </si>
  <si>
    <t>Tổng số người phụ thuộc</t>
  </si>
  <si>
    <t>Giảm trừ bản thân và giảm trừ NPT</t>
  </si>
  <si>
    <t>Thu nhập chịu thuế</t>
  </si>
  <si>
    <t>Thu nhập tính thuế</t>
  </si>
  <si>
    <t>Thuế TNCN</t>
  </si>
  <si>
    <t>Tổng thu nhập sau thuế</t>
  </si>
  <si>
    <t>Các khoản trừ ngoài lương
(-)
( tạm ứng lương, truy thu thuế TNCN…)</t>
  </si>
  <si>
    <t>Các khoản cộng ngoài lương (+)
( truy lĩnh thuế TNCN, bù trừ lương tháng ....)</t>
  </si>
  <si>
    <t xml:space="preserve">LƯƠNG THỰC NHẬN
(44=41-42+43
</t>
  </si>
  <si>
    <t xml:space="preserve">Cần chú ý </t>
  </si>
  <si>
    <t>Tổng lương CTV / thực tập</t>
  </si>
  <si>
    <t>Tổng lương CTV / thực tập trước ĐC</t>
  </si>
  <si>
    <t>Tổng lương thử việc 
(2=3+4)</t>
  </si>
  <si>
    <t>Lương thử việc</t>
  </si>
  <si>
    <t>Hỗ trợ ăn trưa</t>
  </si>
  <si>
    <t>Tổng lương</t>
  </si>
  <si>
    <t>Lương cơ bản</t>
  </si>
  <si>
    <t>Thưởng hiệu suất</t>
  </si>
  <si>
    <t>Xăng xe</t>
  </si>
  <si>
    <t>Hỗ trợ Đồng phục</t>
  </si>
  <si>
    <t>Hỗ trợ điện thoại</t>
  </si>
  <si>
    <t>Thuế 10%</t>
  </si>
  <si>
    <t>Thuế lũy tiến</t>
  </si>
  <si>
    <t>Check thuế</t>
  </si>
  <si>
    <t>Check BHXH</t>
  </si>
  <si>
    <t>Check loại hình NV</t>
  </si>
  <si>
    <t>Check công</t>
  </si>
  <si>
    <t>Check tình trạng HĐ</t>
  </si>
  <si>
    <t>Chênh tổng chi phí</t>
  </si>
  <si>
    <t>Chênh thực nhận</t>
  </si>
  <si>
    <t>VND</t>
  </si>
  <si>
    <t>Ngày</t>
  </si>
  <si>
    <t>Người</t>
  </si>
  <si>
    <t>VNĐ</t>
  </si>
  <si>
    <t>BSM00001</t>
  </si>
  <si>
    <t>Nguyễn Châu Hy</t>
  </si>
  <si>
    <t>hync.zenme@gmail.com</t>
  </si>
  <si>
    <t>Trợ lý Giám đốc</t>
  </si>
  <si>
    <t>ON</t>
  </si>
  <si>
    <t xml:space="preserve">Ngày công T6= 1/2 ngày công T5, T6 thuế TNCN tăng vì gộp ttoans trong hết </t>
  </si>
  <si>
    <t>#N/A</t>
  </si>
  <si>
    <t>Thực Lĩnh tháng 6/2024</t>
  </si>
  <si>
    <t>BSM00002</t>
  </si>
  <si>
    <t>Bùi Văn Điệp</t>
  </si>
  <si>
    <t>chuaco@congty.cty</t>
  </si>
  <si>
    <t>Lập trình viên</t>
  </si>
  <si>
    <t xml:space="preserve">bảng lương T6 gộp 1 dòng, Bảng lương T5 tách 2 dòng, T6 thuế TNCN tăng vì gộp ttoans trong hết </t>
  </si>
  <si>
    <t>Thêm 2 tr đảm bảo thu nhập net 48</t>
  </si>
  <si>
    <t>Tổng chi phí lương thưởng tháng 6/2024</t>
  </si>
  <si>
    <t>BSM00003</t>
  </si>
  <si>
    <t>Nguyễn Ngọc Anh</t>
  </si>
  <si>
    <t>ssinz7.zenme@gmail.com</t>
  </si>
  <si>
    <t>Total</t>
  </si>
  <si>
    <t>BSM00005</t>
  </si>
  <si>
    <t>Phan Thanh Tùng</t>
  </si>
  <si>
    <t>tungpt.zenme@gmail.com</t>
  </si>
  <si>
    <t>BSM00006</t>
  </si>
  <si>
    <t>Nguyễn Thị Hà</t>
  </si>
  <si>
    <t>hant.zenme@gmail.com</t>
  </si>
  <si>
    <t>Marketing</t>
  </si>
  <si>
    <t>BSM00007</t>
  </si>
  <si>
    <t>Nguyễn Ngọc Lê</t>
  </si>
  <si>
    <t>le.n.nguyen0192@gmail.com</t>
  </si>
  <si>
    <t>BSM00008</t>
  </si>
  <si>
    <t>Nguyễn Hồng Nhung</t>
  </si>
  <si>
    <t>nhungnh.zenme@gmail.com</t>
  </si>
  <si>
    <t>Trợ lý kinh doanh</t>
  </si>
  <si>
    <t>BSM00016</t>
  </si>
  <si>
    <t>Lê Hải Linh</t>
  </si>
  <si>
    <t>linhlh.zenme@gmail.com</t>
  </si>
  <si>
    <t>NV Marketing</t>
  </si>
  <si>
    <t>BSM00013</t>
  </si>
  <si>
    <t>Cao Nguyễn Nguyệt Linh</t>
  </si>
  <si>
    <t>cnguyetlinh@gmail.com</t>
  </si>
  <si>
    <t>BSM00020</t>
  </si>
  <si>
    <t>Nguyễn Minh Hiếu</t>
  </si>
  <si>
    <t>hieunp131@gmail.com</t>
  </si>
  <si>
    <t>Thang 7 cho ra ngoài ko trên prayroll BSM</t>
  </si>
  <si>
    <t xml:space="preserve">Thái Thanh Nhật Quang </t>
  </si>
  <si>
    <t>Henry@bsmlabs.io</t>
  </si>
  <si>
    <t>giám đốc</t>
  </si>
  <si>
    <t xml:space="preserve">Trần Minh Tuyết </t>
  </si>
  <si>
    <t xml:space="preserve">tuyet.tranminh1973@gmail.com
</t>
  </si>
  <si>
    <t xml:space="preserve">Kế toán </t>
  </si>
  <si>
    <t>BSM00023</t>
  </si>
  <si>
    <t>Trần Thành Trung</t>
  </si>
  <si>
    <t>trungtt.bsmlabs@gmail.com</t>
  </si>
  <si>
    <t>Developer</t>
  </si>
  <si>
    <t>NEW</t>
  </si>
  <si>
    <t>#REF!</t>
  </si>
  <si>
    <t>Thử việc</t>
  </si>
  <si>
    <t>BSM00024</t>
  </si>
  <si>
    <t>Đỗ Khánh Huyền</t>
  </si>
  <si>
    <t>huyendk.bsmlabs@gmail.com</t>
  </si>
  <si>
    <t>Trợ lý Giám đốc</t>
  </si>
  <si>
    <t>Nguyễn Tử Trường Lâm</t>
  </si>
  <si>
    <t>Lamntt.bsmlabs@gmail.com</t>
  </si>
  <si>
    <t>Video Editor</t>
  </si>
  <si>
    <t xml:space="preserve">Lê Anh Việt </t>
  </si>
  <si>
    <t>vietle.bsmlabs@gmail.com</t>
  </si>
  <si>
    <t>BD</t>
  </si>
  <si>
    <t xml:space="preserve">Trần Thị Bảo Tâm </t>
  </si>
  <si>
    <t>tamtran.bsmlabs@gmail.com</t>
  </si>
  <si>
    <t>HR</t>
  </si>
  <si>
    <t>BSM00017</t>
  </si>
  <si>
    <t>Nguyễn Thị Thu Thảo</t>
  </si>
  <si>
    <t>thuthaonguyenzz620@gmail.com</t>
  </si>
  <si>
    <t>Thực tập sinh</t>
  </si>
  <si>
    <t>Intern</t>
  </si>
  <si>
    <t>BSM00021</t>
  </si>
  <si>
    <t>Nguyễn Xuân Phong</t>
  </si>
  <si>
    <t>phongnx.bsmlabs@gmail.com</t>
  </si>
  <si>
    <t>Cty trả taxes</t>
  </si>
  <si>
    <t>BSM00022</t>
  </si>
  <si>
    <t>Vương Tuấn Cường</t>
  </si>
  <si>
    <t>cuongvt.bsmlabs@gmail.com</t>
  </si>
  <si>
    <t>BSM00025</t>
  </si>
  <si>
    <t>Nguyễn Nam Anh</t>
  </si>
  <si>
    <t>anhnn.bsmlabs@gmail.com</t>
  </si>
  <si>
    <t>BSM00026</t>
  </si>
  <si>
    <t>Ngô Phương Anh</t>
  </si>
  <si>
    <t xml:space="preserve">Nguyễn Văn Tuấn </t>
  </si>
  <si>
    <t xml:space="preserve">tuannv140301@gmail.com
</t>
  </si>
  <si>
    <t>AI Intern</t>
  </si>
  <si>
    <t xml:space="preserve">Đặng Phương Anh </t>
  </si>
  <si>
    <t>phuonganhd.bsmlabs@gmail.com</t>
  </si>
  <si>
    <t>Nguyễn Hải Anh</t>
  </si>
  <si>
    <t xml:space="preserve">anhnth@sotanext.com
</t>
  </si>
  <si>
    <t>CTV Admin</t>
  </si>
  <si>
    <t>CTV</t>
  </si>
  <si>
    <t>Lương tăng ngoài</t>
  </si>
  <si>
    <t>Lương tăng ngoài dành cho nv chính thức</t>
  </si>
  <si>
    <t>Lương tăng ngoài dành do chênh lệch 2 NPT</t>
  </si>
  <si>
    <t>TỔNG</t>
  </si>
  <si>
    <t>Công ty CP BSM LABS</t>
  </si>
  <si>
    <t>BẢNG LƯƠNG THÁNG 03/2026</t>
  </si>
  <si>
    <t>OT không chịu thuế</t>
  </si>
  <si>
    <t>KPI Chuyên cần</t>
  </si>
  <si>
    <t>Incentive</t>
  </si>
  <si>
    <t>Mức giảm trừ bản thân và giảm trừ NPT</t>
  </si>
  <si>
    <t>Các khoản cộng ngoài lương (+)</t>
  </si>
  <si>
    <t>PC ko chịu thuế TNCN</t>
  </si>
  <si>
    <t>Công thực tế T01 thiếu</t>
  </si>
  <si>
    <t>tăng/giảm khác T01</t>
  </si>
  <si>
    <t>tăng/giảm khác T12</t>
  </si>
  <si>
    <t>PC ko chịu thuế TNCN theo ngày công tte</t>
  </si>
  <si>
    <t>Lương tháng 12</t>
  </si>
  <si>
    <t>Công tháng 12 thiếu</t>
  </si>
  <si>
    <t>CL lương ( tháng này - tháng trước)</t>
  </si>
  <si>
    <t>Lý do CL lương</t>
  </si>
  <si>
    <t>Tài khoản NH</t>
  </si>
  <si>
    <t>Số TK</t>
  </si>
  <si>
    <t>Chuẩn 22 ngày</t>
  </si>
  <si>
    <t>Chuẩn 23 ngày</t>
  </si>
  <si>
    <t>Số TK Ngân hàng T12</t>
  </si>
  <si>
    <t>Ngân hàng T12</t>
  </si>
  <si>
    <t>Số TK Ngân hàng cũ</t>
  </si>
  <si>
    <t>Ngân hàng cũ</t>
  </si>
  <si>
    <t>Nhóm lương</t>
  </si>
  <si>
    <t>Thực lĩnh gốc</t>
  </si>
  <si>
    <t>NET</t>
  </si>
  <si>
    <t>CTO</t>
  </si>
  <si>
    <t>BUI VAN DIEP</t>
  </si>
  <si>
    <t>0945661904</t>
  </si>
  <si>
    <t>VIET NAM THINH VUONG (VPBANK)-309</t>
  </si>
  <si>
    <t>11520619487015</t>
  </si>
  <si>
    <t>TCB</t>
  </si>
  <si>
    <t>NGUYEN NGOC ANH</t>
  </si>
  <si>
    <t>19034415575011</t>
  </si>
  <si>
    <t>T3 chỉ có 8 ngày công</t>
  </si>
  <si>
    <t>LE HAI LINH</t>
  </si>
  <si>
    <t>222638429</t>
  </si>
  <si>
    <t>GROSS</t>
  </si>
  <si>
    <t>Thái Thanh Nhật Quang</t>
  </si>
  <si>
    <t>CEO</t>
  </si>
  <si>
    <t>THAI THANH NHAT QUANG</t>
  </si>
  <si>
    <t>19037989444011</t>
  </si>
  <si>
    <t>Trần Minh Tuyết</t>
  </si>
  <si>
    <t>KTT</t>
  </si>
  <si>
    <t>CL đi muộn</t>
  </si>
  <si>
    <t>TRAN MINH TUYET</t>
  </si>
  <si>
    <t>0983280899</t>
  </si>
  <si>
    <t>QUAN DOI (MB)-311</t>
  </si>
  <si>
    <t xml:space="preserve">Nguyễn Hữu Tuấn Minh </t>
  </si>
  <si>
    <t>tuanminh811.work@gmail.com</t>
  </si>
  <si>
    <t>Nguyễn Hữu Tuấn Minh</t>
  </si>
  <si>
    <t>NGUYEN HUU TUAN MINH</t>
  </si>
  <si>
    <t>081120026868</t>
  </si>
  <si>
    <t>0081120026868</t>
  </si>
  <si>
    <t xml:space="preserve">Executive Assistant </t>
  </si>
  <si>
    <t>DO KHANH HUYEN</t>
  </si>
  <si>
    <t>477398871</t>
  </si>
  <si>
    <t>019121870</t>
  </si>
  <si>
    <t>QUOC TE (VIB)-314</t>
  </si>
  <si>
    <t>T2 thiếu 1 ngày công, đã BX</t>
  </si>
  <si>
    <t>NGUYEN TU TRUONG LAM</t>
  </si>
  <si>
    <t>104229093</t>
  </si>
  <si>
    <t xml:space="preserve">Nguyễn Song Hà </t>
  </si>
  <si>
    <t xml:space="preserve">
songha@bsmlabs.io</t>
  </si>
  <si>
    <t>Visual Art Director</t>
  </si>
  <si>
    <t>Nguyễn Song Hà</t>
  </si>
  <si>
    <t>NGUYEN SONG HA</t>
  </si>
  <si>
    <t>477370012</t>
  </si>
  <si>
    <t>19020074352016</t>
  </si>
  <si>
    <t xml:space="preserve">Phạm Đăng Bình </t>
  </si>
  <si>
    <t>binhpham.bsmlabs@gmail.com</t>
  </si>
  <si>
    <t>Phạm Đăng Bình</t>
  </si>
  <si>
    <t>PHAM DANG BINH</t>
  </si>
  <si>
    <t>19027455280016</t>
  </si>
  <si>
    <t>Nguyễn Thị Kim Phượng</t>
  </si>
  <si>
    <t>phuong.nguyen@bsmlabs.io</t>
  </si>
  <si>
    <t>L&amp;D Business Partner</t>
  </si>
  <si>
    <t>Tăng lương</t>
  </si>
  <si>
    <t>NGUYEN THI KIM PHUONG</t>
  </si>
  <si>
    <t>19033966641017</t>
  </si>
  <si>
    <t xml:space="preserve">Dev Intern </t>
  </si>
  <si>
    <t>CL đi muộn ,  ngày công thực tế</t>
  </si>
  <si>
    <t>NGUYEN XUAN PHONG</t>
  </si>
  <si>
    <t>1013262796</t>
  </si>
  <si>
    <t>NGOAI THUONG VN (VCB)-203</t>
  </si>
  <si>
    <t>Phạm Thu Thủy</t>
  </si>
  <si>
    <t>PHAM THU THUY</t>
  </si>
  <si>
    <t>6688021288</t>
  </si>
  <si>
    <t>Ngô Xuân Bách</t>
  </si>
  <si>
    <t xml:space="preserve">AI Junior </t>
  </si>
  <si>
    <t xml:space="preserve">CL đi muộn </t>
  </si>
  <si>
    <t>NGO XUAN BACH</t>
  </si>
  <si>
    <t>477429696</t>
  </si>
  <si>
    <t>03659155701</t>
  </si>
  <si>
    <t>TIEN PHONG (TPBANK)-358</t>
  </si>
  <si>
    <t xml:space="preserve">Lý Ngọc Chi </t>
  </si>
  <si>
    <t>Nguồn KAM</t>
  </si>
  <si>
    <t>LY NGOC CHI</t>
  </si>
  <si>
    <t>148009128</t>
  </si>
  <si>
    <t>VP BANK</t>
  </si>
  <si>
    <t>Lý Ngọc Chi</t>
  </si>
  <si>
    <t xml:space="preserve">Dương Việt Dũng </t>
  </si>
  <si>
    <t>Fullstack Engineer</t>
  </si>
  <si>
    <t>DUONG VIET DUNG</t>
  </si>
  <si>
    <t>99896333169</t>
  </si>
  <si>
    <t>TP Bank</t>
  </si>
  <si>
    <t>Dương Việt Dũng</t>
  </si>
  <si>
    <t xml:space="preserve">Nguyễn Thị Đào </t>
  </si>
  <si>
    <t xml:space="preserve">Legal </t>
  </si>
  <si>
    <t>NGUYEN THI DAO</t>
  </si>
  <si>
    <t>01826204801</t>
  </si>
  <si>
    <t xml:space="preserve">Nguyễn Thị Hồng </t>
  </si>
  <si>
    <t xml:space="preserve">Tester </t>
  </si>
  <si>
    <t>NGUYEN THI HONG</t>
  </si>
  <si>
    <t>105872465740</t>
  </si>
  <si>
    <t>CONG THUONG VN (VIETINBANK)-201</t>
  </si>
  <si>
    <t xml:space="preserve">Hoàng Văn Lâm </t>
  </si>
  <si>
    <t>Dev</t>
  </si>
  <si>
    <t>CL t2 thiếu công, đã bổ xung vào T3</t>
  </si>
  <si>
    <t>HOANG VAN LAM</t>
  </si>
  <si>
    <t>1042293799</t>
  </si>
  <si>
    <t xml:space="preserve">Nguyễn Duy Quyết </t>
  </si>
  <si>
    <t>NGUYEN DUY QUYET</t>
  </si>
  <si>
    <t>0242916199999</t>
  </si>
  <si>
    <t>Bùi Xuân Lực</t>
  </si>
  <si>
    <t>Merge BSM từ T1/2026</t>
  </si>
  <si>
    <t>BUI XUAN LUC</t>
  </si>
  <si>
    <t>0943843055</t>
  </si>
  <si>
    <t>MB bank</t>
  </si>
  <si>
    <t xml:space="preserve">Nguyễn Văn Hậu </t>
  </si>
  <si>
    <t>CL T3 thiếu ngày công</t>
  </si>
  <si>
    <t>Nguyễn Văn Hậu</t>
  </si>
  <si>
    <t>NGUYEN VAN HAU</t>
  </si>
  <si>
    <t>0491000026600</t>
  </si>
  <si>
    <t>Vietcombank</t>
  </si>
  <si>
    <t xml:space="preserve">Mẫn Thị Lan </t>
  </si>
  <si>
    <t>Mẫn Thị Lan</t>
  </si>
  <si>
    <t>MAN THI LAN</t>
  </si>
  <si>
    <t>0326130819</t>
  </si>
  <si>
    <t>VPBANK YEN PHONG</t>
  </si>
  <si>
    <t xml:space="preserve">Lê Thị Hạnh </t>
  </si>
  <si>
    <t>T2 cũ thiếu công, đã BX T3</t>
  </si>
  <si>
    <t>Lê Thị Hạnh</t>
  </si>
  <si>
    <t>LE THI HẠNH</t>
  </si>
  <si>
    <t>109868242837</t>
  </si>
  <si>
    <t>Vietinbank</t>
  </si>
  <si>
    <t xml:space="preserve">Nguyễn Thị Trang </t>
  </si>
  <si>
    <t xml:space="preserve">BA </t>
  </si>
  <si>
    <t>NGUYEN THI TRANG</t>
  </si>
  <si>
    <t>0977192559</t>
  </si>
  <si>
    <t>Lê Hà Đức</t>
  </si>
  <si>
    <t>Onboard 01.01.2026</t>
  </si>
  <si>
    <t>COO</t>
  </si>
  <si>
    <t>LE HA DUC</t>
  </si>
  <si>
    <t>29121978888</t>
  </si>
  <si>
    <t>TPBANK</t>
  </si>
  <si>
    <t xml:space="preserve">Lê Thị Bích Liên </t>
  </si>
  <si>
    <t xml:space="preserve">QC LEAD </t>
  </si>
  <si>
    <t>Ký HĐLĐ chính thức</t>
  </si>
  <si>
    <t>LE THI BICH LIEN</t>
  </si>
  <si>
    <t>8816306354</t>
  </si>
  <si>
    <t>DAU TU VA PHAT TRIEN VN ( BIDV)-202</t>
  </si>
  <si>
    <t>0919781689</t>
  </si>
  <si>
    <t>VPBank</t>
  </si>
  <si>
    <t>Phan Thị Nguyệt Ánh</t>
  </si>
  <si>
    <t>T8/2024</t>
  </si>
  <si>
    <t>Social Content Intern</t>
  </si>
  <si>
    <t>PHAN THI NGUYET ANH</t>
  </si>
  <si>
    <t>477397905</t>
  </si>
  <si>
    <t>19035470912013</t>
  </si>
  <si>
    <t>Nguyễn Mạnh Tuấn</t>
  </si>
  <si>
    <t>15/05/2024</t>
  </si>
  <si>
    <t xml:space="preserve">AI Intern </t>
  </si>
  <si>
    <t>NGUYEN MANH TUAN</t>
  </si>
  <si>
    <t>477372708</t>
  </si>
  <si>
    <t>0988704323</t>
  </si>
  <si>
    <t>MB</t>
  </si>
  <si>
    <t>Nguyễn Hải Minh</t>
  </si>
  <si>
    <t>Nhân sự mới</t>
  </si>
  <si>
    <t>Trương Ngọc Phương Trang</t>
  </si>
  <si>
    <t>02/03/2026</t>
  </si>
  <si>
    <t>Digital Experience Designer</t>
  </si>
  <si>
    <t>Đỗ Văn Quân</t>
  </si>
  <si>
    <t>DO VAN QUAN</t>
  </si>
  <si>
    <t>89928042003</t>
  </si>
  <si>
    <t xml:space="preserve">Nguyễn Ngọc Diễm Quỳnh </t>
  </si>
  <si>
    <t xml:space="preserve">MKT Intern </t>
  </si>
  <si>
    <t>CL đi  muộn</t>
  </si>
  <si>
    <t>NGUYEN NGOC DIEM QUYNH</t>
  </si>
  <si>
    <t>5510110082003</t>
  </si>
  <si>
    <t>Nguyễn Thanh Danh</t>
  </si>
  <si>
    <t>CL tiền gửi xe</t>
  </si>
  <si>
    <t>Bù lương T2/2026 sau khi BX Request</t>
  </si>
  <si>
    <t>Thêm lương Thái, Danh</t>
  </si>
  <si>
    <t>Ngoài TCB</t>
  </si>
  <si>
    <t>Thái</t>
  </si>
  <si>
    <t>Trong TCB</t>
  </si>
  <si>
    <t>Nguyễn Thị Ngọc Ánh</t>
  </si>
  <si>
    <t>CÔNG TY CỔ PHẦN BSM LABS</t>
  </si>
  <si>
    <t>Tháng</t>
  </si>
  <si>
    <t>Nội dung biến động</t>
  </si>
  <si>
    <t>No.</t>
  </si>
  <si>
    <t>Name</t>
  </si>
  <si>
    <t>Position</t>
  </si>
  <si>
    <t>Onboarding</t>
  </si>
  <si>
    <t xml:space="preserve">Note </t>
  </si>
  <si>
    <t>2026-03</t>
  </si>
  <si>
    <t>Điều chỉnh lương từ tháng 3/2026</t>
  </si>
  <si>
    <t>Excutive</t>
  </si>
  <si>
    <t>20/08/2024</t>
  </si>
  <si>
    <t>Hết Internship + chuyển sang chính thức</t>
  </si>
  <si>
    <t>Offer letter</t>
  </si>
  <si>
    <t>Nhân sự mới onboard tháng 03/2026:</t>
  </si>
  <si>
    <t>1/3/2026</t>
  </si>
  <si>
    <t>Hợp đồng CTV</t>
  </si>
  <si>
    <t>HĐ LĐ</t>
  </si>
  <si>
    <t>Tháng tăng</t>
  </si>
  <si>
    <t>Tăng BH</t>
  </si>
  <si>
    <t>T3/2026</t>
  </si>
  <si>
    <t>Tháng giảm BHXH</t>
  </si>
  <si>
    <t>Giảm BH</t>
  </si>
  <si>
    <t xml:space="preserve">Phụ trách Marketing </t>
  </si>
  <si>
    <t>Tháng 4/2026</t>
  </si>
  <si>
    <t>BA</t>
  </si>
  <si>
    <t>Lastday</t>
  </si>
  <si>
    <t>Nhân sự nghỉ việc</t>
  </si>
  <si>
    <t>13/03/2026</t>
  </si>
  <si>
    <t>26/03/2026</t>
  </si>
  <si>
    <t>31/3/2026</t>
  </si>
  <si>
    <t xml:space="preserve">No. </t>
  </si>
  <si>
    <t xml:space="preserve">Name </t>
  </si>
  <si>
    <t xml:space="preserve">Nội dung OT </t>
  </si>
  <si>
    <t xml:space="preserve">Lương OT THÁNG 11/2025 </t>
  </si>
  <si>
    <t>Thời gian OT</t>
  </si>
  <si>
    <t>Đinh Công Vũ</t>
  </si>
  <si>
    <t>13 ngày của T3/2026 chưa có vé xe, cty hỗ trợ 5K/ngày</t>
  </si>
  <si>
    <t>Total chi phí OT tháng 11/2025</t>
  </si>
  <si>
    <t>TH chấm công Hào gửi</t>
  </si>
  <si>
    <t xml:space="preserve">Theo dõi phép </t>
  </si>
  <si>
    <t>No</t>
  </si>
  <si>
    <t>Ngày công tính thực tế</t>
  </si>
  <si>
    <t>Ghi chú</t>
  </si>
  <si>
    <t>Check tên</t>
  </si>
  <si>
    <t>Tên trên bảng lương</t>
  </si>
  <si>
    <t>Thưởng hiệu suất 12/2025</t>
  </si>
  <si>
    <t>Thưởng hiệu suất t3</t>
  </si>
  <si>
    <t>Nghỉ phép T3</t>
  </si>
  <si>
    <t>Phép 2025 đến hết T2/2026</t>
  </si>
  <si>
    <t>Phép 2026 hết Tháng 2/2026</t>
  </si>
  <si>
    <t>Phép 2025 đến hết T3/2026</t>
  </si>
  <si>
    <t>Phép 2026 hết Tháng 3/2026</t>
  </si>
  <si>
    <t>Ngày công thực tế</t>
  </si>
  <si>
    <t>Không khớp tên</t>
  </si>
  <si>
    <t>Nguyễn Thị Đào</t>
  </si>
  <si>
    <t>Lê Thị Bích Liên</t>
  </si>
  <si>
    <t>Nguyễn Thị Trang</t>
  </si>
  <si>
    <t>Bù công tháng 2/2026</t>
  </si>
  <si>
    <t>Cập nhật 3h15 ngày 8/4/2026</t>
  </si>
  <si>
    <t>Nguyễn Ngọc Diễm Quỳnh</t>
  </si>
  <si>
    <t>Trương Thị Phương Trang</t>
  </si>
  <si>
    <t>Hoàng Văn Lâm</t>
  </si>
  <si>
    <r>
      <rPr>
        <sz val="9"/>
        <color indexed="8"/>
        <rFont val="Montserrat"/>
      </rPr>
      <t>Bùi Xuân Lực</t>
    </r>
  </si>
  <si>
    <t>Tháng 3 reote</t>
  </si>
  <si>
    <r>
      <rPr>
        <sz val="9"/>
        <color indexed="8"/>
        <rFont val="Montserrat"/>
      </rPr>
      <t>Bùi Văn Điệp</t>
    </r>
  </si>
  <si>
    <r>
      <rPr>
        <sz val="9"/>
        <color indexed="8"/>
        <rFont val="Montserrat"/>
      </rPr>
      <t>Nguyễn Ngọc Anh</t>
    </r>
  </si>
  <si>
    <r>
      <rPr>
        <sz val="9"/>
        <color indexed="8"/>
        <rFont val="Montserrat"/>
      </rPr>
      <t>Lê Hải Linh</t>
    </r>
  </si>
  <si>
    <t>Cập nhật 2h45 ngày 8/4/2026</t>
  </si>
  <si>
    <r>
      <rPr>
        <sz val="9"/>
        <color indexed="8"/>
        <rFont val="Montserrat"/>
      </rPr>
      <t>Thái Thanh Nhật Quang</t>
    </r>
  </si>
  <si>
    <r>
      <rPr>
        <sz val="9"/>
        <color indexed="8"/>
        <rFont val="Montserrat"/>
      </rPr>
      <t>Trần Minh Tuyết</t>
    </r>
  </si>
  <si>
    <r>
      <rPr>
        <sz val="9"/>
        <color indexed="8"/>
        <rFont val="Montserrat"/>
      </rPr>
      <t>Nguyễn Tử Trường Lâm</t>
    </r>
  </si>
  <si>
    <t>3,5</t>
  </si>
  <si>
    <r>
      <rPr>
        <sz val="9"/>
        <color indexed="8"/>
        <rFont val="Montserrat"/>
      </rPr>
      <t>Nguyễn Thị Kim Phượng</t>
    </r>
  </si>
  <si>
    <r>
      <rPr>
        <sz val="9"/>
        <color indexed="8"/>
        <rFont val="Montserrat"/>
      </rPr>
      <t>Phạm Thu Thủy</t>
    </r>
  </si>
  <si>
    <r>
      <rPr>
        <sz val="9"/>
        <color indexed="8"/>
        <rFont val="Montserrat"/>
      </rPr>
      <t>Ngô Xuân Bách</t>
    </r>
  </si>
  <si>
    <t>0,5</t>
  </si>
  <si>
    <r>
      <rPr>
        <sz val="9"/>
        <color indexed="8"/>
        <rFont val="Montserrat"/>
      </rPr>
      <t>Phan Thị Nguyệt Ánh</t>
    </r>
  </si>
  <si>
    <r>
      <rPr>
        <sz val="9"/>
        <color indexed="8"/>
        <rFont val="Montserrat"/>
      </rPr>
      <t>Nguyễn Mạnh Tuấn</t>
    </r>
  </si>
  <si>
    <t>Nguyễn Thị Hồng</t>
  </si>
  <si>
    <t>Nguyễn Duy Quyết</t>
  </si>
  <si>
    <t>Tháng 3 chưa đăng ký đc tên chấm công</t>
  </si>
  <si>
    <t>Đỗ Khánh Huyền</t>
  </si>
  <si>
    <t>Chị Tuyết tự check</t>
  </si>
  <si>
    <t>Cộng</t>
  </si>
  <si>
    <t>Tâm cộng thiếu 1 dòng</t>
  </si>
  <si>
    <t>Chi Tiết Chấm Công</t>
  </si>
  <si>
    <t>ID Người</t>
  </si>
  <si>
    <t>Tên</t>
  </si>
  <si>
    <t>Bộ phận</t>
  </si>
  <si>
    <t>Thời gian</t>
  </si>
  <si>
    <t>Check in</t>
  </si>
  <si>
    <t xml:space="preserve">Check out </t>
  </si>
  <si>
    <t>kiểm tra checkin</t>
  </si>
  <si>
    <t>lý do</t>
  </si>
  <si>
    <t>kiểm tra check out</t>
  </si>
  <si>
    <t>Trần Thị Thủy</t>
  </si>
  <si>
    <t>Lead</t>
  </si>
  <si>
    <t>-</t>
  </si>
  <si>
    <t>Lưu Trường An</t>
  </si>
  <si>
    <t>BSM</t>
  </si>
  <si>
    <t>Thời gian vào: 2026-01-05 08:30:20</t>
  </si>
  <si>
    <t>Thời gian ra: 2026-01-05 19:16:21</t>
  </si>
  <si>
    <t>Thời lượng theo dõi:646 phút</t>
  </si>
  <si>
    <t>Thời gian vào: 2026-01-06 08:36:02</t>
  </si>
  <si>
    <t>Thời gian ra:</t>
  </si>
  <si>
    <t>Thời lượng theo dõi:0 phút</t>
  </si>
  <si>
    <t>Thời gian vào: 2026-01-07 08:31:29</t>
  </si>
  <si>
    <t>Thời gian vào: 2026-01-08 08:41:16</t>
  </si>
  <si>
    <t>Thời gian ra: 2026-01-08 21:15:17</t>
  </si>
  <si>
    <t>Thời lượng theo dõi:754 phút</t>
  </si>
  <si>
    <t>Thời gian vào: 2026-01-09 08:46:17</t>
  </si>
  <si>
    <t>Thời gian ra: 2026-01-09 18:27:49</t>
  </si>
  <si>
    <t>Thời lượng theo dõi:582 phút</t>
  </si>
  <si>
    <t>Thời gian vào: 2026-01-12 08:37:30</t>
  </si>
  <si>
    <t>Thời gian vào: 2026-01-13 08:30:45</t>
  </si>
  <si>
    <t>Thời gian ra: 2026-01-13 19:10:11</t>
  </si>
  <si>
    <t>Thời lượng theo dõi:639 phút</t>
  </si>
  <si>
    <t>Thời gian vào: 2026-01-14 08:45:17</t>
  </si>
  <si>
    <t>Thời gian ra: 2026-01-14 19:14:25</t>
  </si>
  <si>
    <t>Thời lượng theo dõi:629 phút</t>
  </si>
  <si>
    <t>Thời gian vào: 2026-01-15 08:44:01</t>
  </si>
  <si>
    <t>Thời gian ra: 2026-01-15 22:06:08</t>
  </si>
  <si>
    <t>Thời lượng theo dõi:802 phút</t>
  </si>
  <si>
    <t>Thời gian vào: 2026-01-16 08:41:20</t>
  </si>
  <si>
    <t>Thời gian ra: 2026-01-16 19:34:19</t>
  </si>
  <si>
    <t>Thời lượng theo dõi:653 phút</t>
  </si>
  <si>
    <t>Thời gian vào: 2026-01-19 08:45:00</t>
  </si>
  <si>
    <t>Thời gian ra: 2026-01-19 19:03:38</t>
  </si>
  <si>
    <t>Thời lượng theo dõi:619 phút</t>
  </si>
  <si>
    <t>Thời gian vào: 2026-01-20 08:43:27</t>
  </si>
  <si>
    <t>Thời gian ra: 2026-01-20 18:11:45</t>
  </si>
  <si>
    <t>Thời lượng theo dõi:568 phút</t>
  </si>
  <si>
    <t>Thời gian vào: 2026-01-22 08:46:22</t>
  </si>
  <si>
    <t>Thời gian ra: 2026-01-22 18:20:56</t>
  </si>
  <si>
    <t>Thời lượng theo dõi:575 phút</t>
  </si>
  <si>
    <t>Thời gian vào: 2026-01-23 08:48:49</t>
  </si>
  <si>
    <t>Thời gian ra: 2026-01-23 18:16:09</t>
  </si>
  <si>
    <t>Thời lượng theo dõi:567 phút</t>
  </si>
  <si>
    <t>Thời gian vào: 2026-01-26 08:49:50</t>
  </si>
  <si>
    <t>Thời gian ra: 2026-01-26 20:43:40</t>
  </si>
  <si>
    <t>Thời lượng theo dõi:714 phút</t>
  </si>
  <si>
    <t>Thời gian vào: 2026-01-27 08:49:12</t>
  </si>
  <si>
    <t>Thời gian ra: 2026-01-27 20:04:25</t>
  </si>
  <si>
    <t>Thời lượng theo dõi:675 phút</t>
  </si>
  <si>
    <t>Thời gian vào: 2026-01-28 08:49:44</t>
  </si>
  <si>
    <t>Thời gian ra: 2026-01-28 19:32:44</t>
  </si>
  <si>
    <t>Thời lượng theo dõi:643 phút</t>
  </si>
  <si>
    <t>Thời gian vào: 2026-01-30 08:26:52</t>
  </si>
  <si>
    <t>Thời gian ra: 2026-01-30 18:26:46</t>
  </si>
  <si>
    <t>Thời lượng theo dõi:600 phút</t>
  </si>
  <si>
    <t>Test</t>
  </si>
  <si>
    <t>Thời gian vào: 2026-01-13 08:29:20</t>
  </si>
  <si>
    <t>Thời gian ra: 2026-01-13 17:31:07</t>
  </si>
  <si>
    <t>Thời lượng theo dõi:542 phút</t>
  </si>
  <si>
    <t>Thời gian vào: 2026-01-15 08:23:43</t>
  </si>
  <si>
    <t>Thời gian ra: 2026-01-15 17:31:15</t>
  </si>
  <si>
    <t>Thời lượng theo dõi:548 phút</t>
  </si>
  <si>
    <t>Thời gian vào: 2026-01-16 08:23:08</t>
  </si>
  <si>
    <t>Thời gian ra: 2026-01-16 17:34:20</t>
  </si>
  <si>
    <t>Thời lượng theo dõi:551 phút</t>
  </si>
  <si>
    <t>Thời gian vào: 2026-01-19 08:29:49</t>
  </si>
  <si>
    <t>Thời gian ra: 2026-01-19 17:33:31</t>
  </si>
  <si>
    <t>Thời lượng theo dõi:544 phút</t>
  </si>
  <si>
    <t>Thời gian vào: 2026-01-20 08:39:24</t>
  </si>
  <si>
    <t>Thời gian ra: 2026-01-20 12:02:28</t>
  </si>
  <si>
    <t>Thời lượng theo dõi:203 phút</t>
  </si>
  <si>
    <t>Thời gian vào: 2026-01-21 08:25:28</t>
  </si>
  <si>
    <t>Thời gian ra: 2026-01-21 17:31:19</t>
  </si>
  <si>
    <t>Thời lượng theo dõi:546 phút</t>
  </si>
  <si>
    <t>Thời gian vào: 2026-01-22 08:36:04</t>
  </si>
  <si>
    <t>Thời gian ra: 2026-01-22 17:34:21</t>
  </si>
  <si>
    <t>Thời lượng theo dõi:538 phút</t>
  </si>
  <si>
    <t>Thời gian vào: 2026-01-26 08:31:47</t>
  </si>
  <si>
    <t>Thời gian vào: 2026-01-27 08:31:17</t>
  </si>
  <si>
    <t>Thời gian ra: 2026-01-27 17:31:52</t>
  </si>
  <si>
    <t>Thời lượng theo dõi:541 phút</t>
  </si>
  <si>
    <t>Thời gian vào: 2026-01-28 08:32:26</t>
  </si>
  <si>
    <t>Thời gian ra: 2026-01-28 17:31:38</t>
  </si>
  <si>
    <t>Thời lượng theo dõi:539 phút</t>
  </si>
  <si>
    <t>Thời gian vào: 2026-01-29 08:29:23</t>
  </si>
  <si>
    <t>Thời gian ra: 2026-01-29 17:34:31</t>
  </si>
  <si>
    <t>Thời lượng theo dõi:545 phút</t>
  </si>
  <si>
    <t>Thời gian vào: 2026-01-20 08:39:29</t>
  </si>
  <si>
    <t>Thời gian vào: 2026-01-21 08:39:15</t>
  </si>
  <si>
    <t>Thời gian vào: 2026-01-22 08:36:48</t>
  </si>
  <si>
    <t>Vũ Kim Hùng</t>
  </si>
  <si>
    <t>Cần kiểm tra</t>
  </si>
  <si>
    <t>Tet</t>
  </si>
  <si>
    <t>NP</t>
  </si>
  <si>
    <t>Weekend</t>
  </si>
  <si>
    <t>MCC Ko nhận mặt</t>
  </si>
  <si>
    <t>Reset face</t>
  </si>
  <si>
    <t>Thời gian vào: 2026-01-12 17:45:25</t>
  </si>
  <si>
    <t>Thời gian ra: 2026-01-12 18:14:25</t>
  </si>
  <si>
    <t>Thời lượng theo dõi:29 phút</t>
  </si>
  <si>
    <t>Thời gian vào: 2026-01-13 08:20:29</t>
  </si>
  <si>
    <t>Thời gian ra: 2026-01-13 16:30:59</t>
  </si>
  <si>
    <t>Thời lượng theo dõi:491 phút</t>
  </si>
  <si>
    <t>đợi lấy vé xe</t>
  </si>
  <si>
    <t>Thời gian vào: 2026-01-14 08:32:27</t>
  </si>
  <si>
    <t>Thời gian ra: 2026-01-14 18:15:09</t>
  </si>
  <si>
    <t>Thời lượng theo dõi:583 phút</t>
  </si>
  <si>
    <t>Đi quay văn miếu</t>
  </si>
  <si>
    <t>Thời gian vào: 2026-01-16 08:28:30</t>
  </si>
  <si>
    <t>Thời gian ra: 2026-01-16 18:23:59</t>
  </si>
  <si>
    <t>Thời lượng theo dõi:595 phút</t>
  </si>
  <si>
    <t>Late request</t>
  </si>
  <si>
    <t>Thời gian vào: 2026-01-19 08:43:50</t>
  </si>
  <si>
    <t>Thời gian ra: 2026-01-19 18:24:30</t>
  </si>
  <si>
    <t>Thời lượng theo dõi:581 phút</t>
  </si>
  <si>
    <t>Remote</t>
  </si>
  <si>
    <t>Thời gian vào: 2026-01-20 08:43:50</t>
  </si>
  <si>
    <t>Thời gian ra: 2026-01-20 12:09:33</t>
  </si>
  <si>
    <t>Thời lượng theo dõi:206 phút</t>
  </si>
  <si>
    <t>Thời gian vào: 2026-01-22 08:23:35</t>
  </si>
  <si>
    <t>Thời gian ra: 2026-01-22 18:16:22</t>
  </si>
  <si>
    <t>Thời lượng theo dõi:593 phút</t>
  </si>
  <si>
    <t>Thời gian vào: 2026-01-23 08:26:27</t>
  </si>
  <si>
    <t>Thời gian ra: 2026-01-23 18:15:17</t>
  </si>
  <si>
    <t>Thời lượng theo dõi:589 phút</t>
  </si>
  <si>
    <t>Thời gian vào: 2026-01-26 08:27:01</t>
  </si>
  <si>
    <t>Thời gian ra: 2026-01-26 18:11:38</t>
  </si>
  <si>
    <t>Thời lượng theo dõi:585 phút</t>
  </si>
  <si>
    <t>Thời gian vào: 2026-01-27 08:37:27</t>
  </si>
  <si>
    <t>Thời gian ra: 2026-01-27 18:14:42</t>
  </si>
  <si>
    <t>Thời lượng theo dõi:577 phút</t>
  </si>
  <si>
    <t>Thời gian vào: 2026-01-28 08:38:42</t>
  </si>
  <si>
    <t>Thang đông</t>
  </si>
  <si>
    <t>Thời gian vào: 2026-01-29 08:35:07</t>
  </si>
  <si>
    <t>Thời gian ra: 2026-01-29 18:08:37</t>
  </si>
  <si>
    <t>Thời lượng theo dõi:574 phút</t>
  </si>
  <si>
    <t>Về sớm</t>
  </si>
  <si>
    <t>Thời gian vào: 2026-01-30 08:47:14</t>
  </si>
  <si>
    <t>Thời gian ra: 2026-01-30 17:01:53</t>
  </si>
  <si>
    <t>Thời lượng theo dõi:495 phút</t>
  </si>
  <si>
    <t>Nguyễn Huy Hiển</t>
  </si>
  <si>
    <t>Art</t>
  </si>
  <si>
    <t>Thời gian vào: 2026-01-06 08:36:07</t>
  </si>
  <si>
    <t>Thời gian ra: 2026-01-06 18:43:09</t>
  </si>
  <si>
    <t>Thời lượng theo dõi:607 phút</t>
  </si>
  <si>
    <t>Thời gian vào: 2026-01-07 08:36:09</t>
  </si>
  <si>
    <t>Thời gian ra: 2026-01-07 18:47:22</t>
  </si>
  <si>
    <t>Thời lượng theo dõi:611 phút</t>
  </si>
  <si>
    <t>Thời gian vào: 2026-01-08 08:36:21</t>
  </si>
  <si>
    <t>Thời gian ra: 2026-01-08 18:54:06</t>
  </si>
  <si>
    <t>Thời lượng theo dõi:618 phút</t>
  </si>
  <si>
    <t>Thời gian vào: 2026-01-12 08:34:23</t>
  </si>
  <si>
    <t>Thời gian ra: 2026-01-12 18:46:15</t>
  </si>
  <si>
    <t>Thời lượng theo dõi:612 phút</t>
  </si>
  <si>
    <t>Thời gian vào: 2026-01-13 08:36:04</t>
  </si>
  <si>
    <t>Thời gian ra: 2026-01-13 18:47:19</t>
  </si>
  <si>
    <t>Thời gian vào: 2026-01-14 08:38:14</t>
  </si>
  <si>
    <t>Thời gian ra: 2026-01-14 18:07:51</t>
  </si>
  <si>
    <t>Thời lượng theo dõi:570 phút</t>
  </si>
  <si>
    <t>Thời gian vào: 2026-01-15 08:27:12</t>
  </si>
  <si>
    <t>Thời gian ra: 2026-01-15 18:22:56</t>
  </si>
  <si>
    <t>Thời lượng theo dõi:596 phút</t>
  </si>
  <si>
    <t>Thời gian vào: 2026-01-19 09:07:31</t>
  </si>
  <si>
    <t>Thời gian ra: 2026-01-19 18:25:52</t>
  </si>
  <si>
    <t>Thời lượng theo dõi:558 phút</t>
  </si>
  <si>
    <t>Thời gian vào: 2026-01-20 08:37:20</t>
  </si>
  <si>
    <t>Thời gian ra: 2026-01-20 18:06:47</t>
  </si>
  <si>
    <t>Thời lượng theo dõi:569 phút</t>
  </si>
  <si>
    <t>Thời gian vào: 2026-01-21 08:07:50</t>
  </si>
  <si>
    <t>Thời gian ra: 2026-01-21 18:54:58</t>
  </si>
  <si>
    <t>Thời lượng theo dõi:647 phút</t>
  </si>
  <si>
    <t>Thời gian vào: 2026-01-22 08:44:47</t>
  </si>
  <si>
    <t>Thời gian ra: 2026-01-22 18:54:32</t>
  </si>
  <si>
    <t>Thời lượng theo dõi:610 phút</t>
  </si>
  <si>
    <t>Thời gian vào: 2026-01-26 08:33:49</t>
  </si>
  <si>
    <t>Thời gian ra: 2026-01-26 18:32:34</t>
  </si>
  <si>
    <t>Thời lượng theo dõi:599 phút</t>
  </si>
  <si>
    <t>Thời gian vào: 2026-01-27 08:40:09</t>
  </si>
  <si>
    <t>Thời gian ra: 2026-01-27 18:55:24</t>
  </si>
  <si>
    <t>Thời lượng theo dõi:615 phút</t>
  </si>
  <si>
    <t>Thời gian vào: 2026-01-28 08:42:26</t>
  </si>
  <si>
    <t>Thời gian ra: 2026-01-28 18:25:31</t>
  </si>
  <si>
    <t>Thời gian vào: 2026-01-29 08:36:55</t>
  </si>
  <si>
    <t>Thời gian ra: 2026-01-29 18:53:12</t>
  </si>
  <si>
    <t>Thời lượng theo dõi:616 phút</t>
  </si>
  <si>
    <t>Trần Thị Huế</t>
  </si>
  <si>
    <t>Thời gian vào: 2026-01-05 08:33:01</t>
  </si>
  <si>
    <t>Thời gian ra: 2026-01-05 18:02:23</t>
  </si>
  <si>
    <t>Thời gian vào: 2026-01-07 08:36:11</t>
  </si>
  <si>
    <t>Thời gian ra: 2026-01-07 18:04:06</t>
  </si>
  <si>
    <t>Thời gian vào: 2026-01-08 08:41:32</t>
  </si>
  <si>
    <t>Thời gian ra: 2026-01-08 18:04:15</t>
  </si>
  <si>
    <t>Thời lượng theo dõi:563 phút</t>
  </si>
  <si>
    <t>Thời gian vào: 2026-01-12 08:34:21</t>
  </si>
  <si>
    <t>Thời gian ra: 2026-01-12 18:04:33</t>
  </si>
  <si>
    <t>Thời gian vào: 2026-01-13 08:33:27</t>
  </si>
  <si>
    <t>Thời gian ra: 2026-01-13 17:33:04</t>
  </si>
  <si>
    <t>Thời lượng theo dõi:540 phút</t>
  </si>
  <si>
    <t>Thời gian vào: 2026-01-14 08:36:17</t>
  </si>
  <si>
    <t>Thời gian ra: 2026-01-14 14:07:48</t>
  </si>
  <si>
    <t>Thời lượng theo dõi:332 phút</t>
  </si>
  <si>
    <t>Thời gian vào: 2026-01-15 08:37:15</t>
  </si>
  <si>
    <t>Thời gian ra: 2026-01-15 18:14:21</t>
  </si>
  <si>
    <t>Thời gian vào: 2026-01-19 08:30:18</t>
  </si>
  <si>
    <t>Thời gian ra: 2026-01-19 18:03:49</t>
  </si>
  <si>
    <t>Thời gian vào: 2026-01-20 08:32:03</t>
  </si>
  <si>
    <t>Thời gian ra: 2026-01-20 18:02:36</t>
  </si>
  <si>
    <t>Thời lượng theo dõi:571 phút</t>
  </si>
  <si>
    <t>Thời gian vào: 2026-01-21 08:35:36</t>
  </si>
  <si>
    <t>Thời gian ra: 2026-01-21 18:02:57</t>
  </si>
  <si>
    <t>Thời gian vào: 2026-01-22 08:30:19</t>
  </si>
  <si>
    <t>Thời gian ra: 2026-01-22 18:03:36</t>
  </si>
  <si>
    <t>Thời lượng theo dõi:573 phút</t>
  </si>
  <si>
    <t>Thời gian vào: 2026-01-26 08:39:06</t>
  </si>
  <si>
    <t>Thời gian ra: 2026-01-26 18:09:39</t>
  </si>
  <si>
    <t>Thời gian vào: 2026-01-27 08:35:02</t>
  </si>
  <si>
    <t>Thời gian ra: 2026-01-27 18:05:49</t>
  </si>
  <si>
    <t>Thời gian vào: 2026-01-28 08:35:36</t>
  </si>
  <si>
    <t>Thời gian ra: 2026-01-28 18:05:08</t>
  </si>
  <si>
    <t>Thời gian vào: 2026-01-29 08:32:11</t>
  </si>
  <si>
    <t>Thời gian ra: 2026-01-29 18:09:44</t>
  </si>
  <si>
    <t>Thời lượng theo dõi:578 phút</t>
  </si>
  <si>
    <t>Phạm Thị Huế</t>
  </si>
  <si>
    <t>Hoàng Thị Trà My</t>
  </si>
  <si>
    <t>Lumina</t>
  </si>
  <si>
    <t>Thời gian vào: 2026-01-05 14:13:48</t>
  </si>
  <si>
    <t>Thời gian ra: 2026-01-05 22:05:23</t>
  </si>
  <si>
    <t>Thời lượng theo dõi:472 phút</t>
  </si>
  <si>
    <t>Thời gian vào: 2026-01-06 14:20:53</t>
  </si>
  <si>
    <t>Thời gian ra: 2026-01-06 22:22:15</t>
  </si>
  <si>
    <t>Thời lượng theo dõi:481 phút</t>
  </si>
  <si>
    <t>Thời gian vào: 2026-01-08 14:14:57</t>
  </si>
  <si>
    <t>Thời gian ra: 2026-01-08 22:08:48</t>
  </si>
  <si>
    <t>Thời lượng theo dõi:474 phút</t>
  </si>
  <si>
    <t>Thời gian vào: 2026-01-10 15:33:15</t>
  </si>
  <si>
    <t>Thời gian vào: 2026-01-12 14:31:30</t>
  </si>
  <si>
    <t>Thời gian ra: 2026-01-12 22:43:13</t>
  </si>
  <si>
    <t>Thời lượng theo dõi:492 phút</t>
  </si>
  <si>
    <t>Thời gian vào: 2026-01-13 13:19:55</t>
  </si>
  <si>
    <t>Thời gian ra: 2026-01-13 22:39:15</t>
  </si>
  <si>
    <t>Thời lượng theo dõi:559 phút</t>
  </si>
  <si>
    <t>Thời gian vào: 2026-01-14 13:24:46</t>
  </si>
  <si>
    <t>Thời gian ra: 2026-01-14 19:53:44</t>
  </si>
  <si>
    <t>Thời lượng theo dõi:389 phút</t>
  </si>
  <si>
    <t>Thời gian vào: 2026-01-15 08:24:46</t>
  </si>
  <si>
    <t>Thời gian ra: 2026-01-15 19:05:29</t>
  </si>
  <si>
    <t>Thời lượng theo dõi:641 phút</t>
  </si>
  <si>
    <t>Thời gian vào: 2026-01-16 08:32:08</t>
  </si>
  <si>
    <t>Thời gian ra: 2026-01-16 12:27:27</t>
  </si>
  <si>
    <t>Thời lượng theo dõi:235 phút</t>
  </si>
  <si>
    <t>Thời gian vào: 2026-01-19 14:38:04</t>
  </si>
  <si>
    <t>Thời gian ra: 2026-01-19 14:38:05</t>
  </si>
  <si>
    <t>Thời gian vào: 2026-01-20 08:33:18</t>
  </si>
  <si>
    <t>Thời gian ra: 2026-01-20 20:45:40</t>
  </si>
  <si>
    <t>Thời lượng theo dõi:732 phút</t>
  </si>
  <si>
    <t>Thời gian vào: 2026-01-21 14:19:49</t>
  </si>
  <si>
    <t>Thời gian ra: 2026-01-21 16:07:30</t>
  </si>
  <si>
    <t>Thời lượng theo dõi:108 phút</t>
  </si>
  <si>
    <t>Thời gian vào: 2026-01-22 14:13:28</t>
  </si>
  <si>
    <t>Thời gian ra: 2026-01-22 22:21:54</t>
  </si>
  <si>
    <t>Thời lượng theo dõi:488 phút</t>
  </si>
  <si>
    <t>Thời gian vào: 2026-01-23 14:14:32</t>
  </si>
  <si>
    <t>Thời gian vào: 2026-01-26 11:06:26</t>
  </si>
  <si>
    <t>Thời gian ra: 2026-01-26 14:57:35</t>
  </si>
  <si>
    <t>Thời lượng theo dõi:231 phút</t>
  </si>
  <si>
    <t>Thời gian vào: 2026-01-27 14:30:43</t>
  </si>
  <si>
    <t>Thời gian vào: 2026-01-29 14:26:00</t>
  </si>
  <si>
    <t>Thời gian ra: 2026-01-29 22:18:26</t>
  </si>
  <si>
    <t>Đỗ Hoàng Hiệp</t>
  </si>
  <si>
    <t>Thời gian vào: 2026-01-05 08:29:17</t>
  </si>
  <si>
    <t>Thời gian ra: 2026-01-05 18:01:04</t>
  </si>
  <si>
    <t>Thời lượng theo dõi:572 phút</t>
  </si>
  <si>
    <t>Thời gian vào: 2026-01-06 08:34:16</t>
  </si>
  <si>
    <t>Thời gian ra: 2026-01-06 12:21:39</t>
  </si>
  <si>
    <t>Thời lượng theo dõi:227 phút</t>
  </si>
  <si>
    <t>Thời gian vào: 2026-01-07 08:29:21</t>
  </si>
  <si>
    <t>Thời gian ra: 2026-01-07 18:02:08</t>
  </si>
  <si>
    <t>Thời gian vào: 2026-01-08 08:28:57</t>
  </si>
  <si>
    <t>Thời gian ra: 2026-01-08 18:01:46</t>
  </si>
  <si>
    <t>Thời gian vào: 2026-01-13 08:30:02</t>
  </si>
  <si>
    <t>Thời gian ra: 2026-01-13 18:03:39</t>
  </si>
  <si>
    <t>Thời gian vào: 2026-01-14 08:26:13</t>
  </si>
  <si>
    <t>Thời gian ra: 2026-01-14 18:02:36</t>
  </si>
  <si>
    <t>Thời lượng theo dõi:576 phút</t>
  </si>
  <si>
    <t>Thời gian vào: 2026-01-15 08:29:26</t>
  </si>
  <si>
    <t>Thời gian ra: 2026-01-15 18:02:16</t>
  </si>
  <si>
    <t>Thời gian vào: 2026-01-19 08:34:46</t>
  </si>
  <si>
    <t>Thời gian ra: 2026-01-19 17:00:18</t>
  </si>
  <si>
    <t>Thời lượng theo dõi:506 phút</t>
  </si>
  <si>
    <t>Thời gian vào: 2026-01-20 08:31:53</t>
  </si>
  <si>
    <t>Thời gian ra: 2026-01-20 18:02:30</t>
  </si>
  <si>
    <t>Trịnh Thu Hằng</t>
  </si>
  <si>
    <t>Thời gian vào: 2026-01-06 08:24:41</t>
  </si>
  <si>
    <t>Thời gian ra: 2026-01-06 18:01:05</t>
  </si>
  <si>
    <t>Thời gian vào: 2026-01-07 08:22:08</t>
  </si>
  <si>
    <t>Thời gian ra: 2026-01-07 18:00:38</t>
  </si>
  <si>
    <t>Thời lượng theo dõi:579 phút</t>
  </si>
  <si>
    <t>Thời gian vào: 2026-01-08 08:25:57</t>
  </si>
  <si>
    <t>Thời gian ra: 2026-01-08 18:00:44</t>
  </si>
  <si>
    <t>Thời gian vào: 2026-01-12 08:26:11</t>
  </si>
  <si>
    <t>Thời gian ra: 2026-01-12 18:01:14</t>
  </si>
  <si>
    <t>Thời gian vào: 2026-01-13 08:25:16</t>
  </si>
  <si>
    <t>Thời gian ra: 2026-01-13 18:00:36</t>
  </si>
  <si>
    <t>Thời gian vào: 2026-01-14 08:24:44</t>
  </si>
  <si>
    <t>Thời gian ra: 2026-01-14 18:01:06</t>
  </si>
  <si>
    <t>Thời gian vào: 2026-01-15 08:26:16</t>
  </si>
  <si>
    <t>Thời gian ra: 2026-01-15 18:01:16</t>
  </si>
  <si>
    <t>Thời gian vào: 2026-01-19 08:25:34</t>
  </si>
  <si>
    <t>Thời gian ra: 2026-01-19 18:00:57</t>
  </si>
  <si>
    <t>Thời gian vào: 2026-01-20 08:28:39</t>
  </si>
  <si>
    <t>Thời gian ra: 2026-01-20 18:01:32</t>
  </si>
  <si>
    <t>Thời gian vào: 2026-01-21 08:24:16</t>
  </si>
  <si>
    <t>Thời gian ra: 2026-01-21 18:01:03</t>
  </si>
  <si>
    <t>Thời gian vào: 2026-01-22 08:27:27</t>
  </si>
  <si>
    <t>Thời gian ra: 2026-01-22 18:00:56</t>
  </si>
  <si>
    <t>Thời gian vào: 2026-01-26 08:23:50</t>
  </si>
  <si>
    <t>Thời gian ra: 2026-01-26 18:00:56</t>
  </si>
  <si>
    <t>Thời gian vào: 2026-01-27 08:23:28</t>
  </si>
  <si>
    <t>Thời gian ra: 2026-01-27 18:01:07</t>
  </si>
  <si>
    <t>Thời gian vào: 2026-01-28 08:23:47</t>
  </si>
  <si>
    <t>Thời gian ra: 2026-01-28 18:00:53</t>
  </si>
  <si>
    <t>Thời gian vào: 2026-01-29 08:25:44</t>
  </si>
  <si>
    <t>Thời gian ra: 2026-01-29 18:00:56</t>
  </si>
  <si>
    <t>Lê Thị Thùy Anh</t>
  </si>
  <si>
    <t>NS - KT</t>
  </si>
  <si>
    <t>Thời gian vào: 2026-01-07 08:39:57</t>
  </si>
  <si>
    <t>Thời gian ra: 2026-01-07 08:40:08</t>
  </si>
  <si>
    <t>Thời gian vào: 2026-01-14 08:48:30</t>
  </si>
  <si>
    <t>Thời gian ra: 2026-01-14 08:49:19</t>
  </si>
  <si>
    <t>Thời lượng theo dõi:1 phút</t>
  </si>
  <si>
    <t>Thời gian vào: 2026-01-15 08:42:08</t>
  </si>
  <si>
    <t>Thời gian ra: 2026-01-15 08:42:12</t>
  </si>
  <si>
    <t>Thời gian vào: 2026-01-20 08:33:20</t>
  </si>
  <si>
    <t>Nguyễn Khắc Thắng</t>
  </si>
  <si>
    <t>Thời gian vào: 2026-01-05 08:55:55</t>
  </si>
  <si>
    <t>Thời gian ra: 2026-01-05 18:07:40</t>
  </si>
  <si>
    <t>Thời lượng theo dõi:552 phút</t>
  </si>
  <si>
    <t>Thời gian vào: 2026-01-06 18:04:18</t>
  </si>
  <si>
    <t>Thời gian vào: 2026-01-07 08:58:20</t>
  </si>
  <si>
    <t>Thời gian ra: 2026-01-07 18:08:18</t>
  </si>
  <si>
    <t>Thời lượng theo dõi:550 phút</t>
  </si>
  <si>
    <t>Thời gian vào: 2026-01-12 08:50:17</t>
  </si>
  <si>
    <t>Thời gian ra: 2026-01-12 18:08:42</t>
  </si>
  <si>
    <t>Thời gian vào: 2026-01-13 09:02:01</t>
  </si>
  <si>
    <t>Thời gian ra: 2026-01-13 18:09:24</t>
  </si>
  <si>
    <t>Thời lượng theo dõi:547 phút</t>
  </si>
  <si>
    <t>Thời gian vào: 2026-01-14 09:06:17</t>
  </si>
  <si>
    <t>Thời gian ra: 2026-01-14 18:07:54</t>
  </si>
  <si>
    <t>Thời gian vào: 2026-01-15 09:17:15</t>
  </si>
  <si>
    <t>Thời gian ra: 2026-01-15 18:11:17</t>
  </si>
  <si>
    <t>Thời lượng theo dõi:534 phút</t>
  </si>
  <si>
    <t>Thời gian vào: 2026-01-19 08:59:57</t>
  </si>
  <si>
    <t>Thời gian ra: 2026-01-19 18:06:44</t>
  </si>
  <si>
    <t>Thời gian vào: 2026-01-20 08:50:09</t>
  </si>
  <si>
    <t>Thời gian ra: 2026-01-20 18:05:18</t>
  </si>
  <si>
    <t>Thời lượng theo dõi:555 phút</t>
  </si>
  <si>
    <t>Thời gian vào: 2026-01-21 08:49:21</t>
  </si>
  <si>
    <t>Thời gian ra: 2026-01-21 18:05:20</t>
  </si>
  <si>
    <t>Thời lượng theo dõi:556 phút</t>
  </si>
  <si>
    <t>Thời gian vào: 2026-01-22 08:52:18</t>
  </si>
  <si>
    <t>Thời gian ra: 2026-01-22 18:21:55</t>
  </si>
  <si>
    <t>Thời gian vào: 2026-01-26 09:07:40</t>
  </si>
  <si>
    <t>Thời gian ra: 2026-01-26 18:05:41</t>
  </si>
  <si>
    <t>Thời gian vào: 2026-01-27 08:52:58</t>
  </si>
  <si>
    <t>Thời gian ra: 2026-01-27 18:36:05</t>
  </si>
  <si>
    <t>Thời gian vào: 2026-01-28 09:03:17</t>
  </si>
  <si>
    <t>Thời gian ra: 2026-01-28 18:12:14</t>
  </si>
  <si>
    <t>Thời lượng theo dõi:549 phút</t>
  </si>
  <si>
    <t>Thời gian vào: 2026-01-29 09:12:57</t>
  </si>
  <si>
    <t>Thời gian ra: 2026-01-29 18:15:46</t>
  </si>
  <si>
    <t>Thời lượng theo dõi:543 phút</t>
  </si>
  <si>
    <t>Vũ Hải Long</t>
  </si>
  <si>
    <t>Thời gian vào: 2026-01-05 08:30:56</t>
  </si>
  <si>
    <t>Thời gian ra: 2026-01-05 18:23:19</t>
  </si>
  <si>
    <t>Thời lượng theo dõi:592 phút</t>
  </si>
  <si>
    <t>Thời gian vào: 2026-01-06 08:30:49</t>
  </si>
  <si>
    <t>Thời gian ra: 2026-01-06 18:11:39</t>
  </si>
  <si>
    <t>Thời gian vào: 2026-01-07 08:28:54</t>
  </si>
  <si>
    <t>Thời gian ra: 2026-01-07 18:04:42</t>
  </si>
  <si>
    <t>Thời gian vào: 2026-01-08 08:31:06</t>
  </si>
  <si>
    <t>Thời gian ra: 2026-01-08 18:04:05</t>
  </si>
  <si>
    <t>Thời gian vào: 2026-01-12 08:29:28</t>
  </si>
  <si>
    <t>Thời gian ra: 2026-01-12 18:02:07</t>
  </si>
  <si>
    <t>Thời gian vào: 2026-01-13 08:27:30</t>
  </si>
  <si>
    <t>Thời gian ra: 2026-01-13 18:07:02</t>
  </si>
  <si>
    <t>Thời lượng theo dõi:580 phút</t>
  </si>
  <si>
    <t>Thời gian vào: 2026-01-14 08:30:22</t>
  </si>
  <si>
    <t>Thời gian ra: 2026-01-14 18:02:52</t>
  </si>
  <si>
    <t>Thời gian vào: 2026-01-15 08:28:59</t>
  </si>
  <si>
    <t>Thời gian ra: 2026-01-15 18:04:37</t>
  </si>
  <si>
    <t>Thời gian vào: 2026-01-19 08:29:56</t>
  </si>
  <si>
    <t>Thời gian ra: 2026-01-19 18:06:32</t>
  </si>
  <si>
    <t>Thời gian vào: 2026-01-20 08:34:31</t>
  </si>
  <si>
    <t>Thời gian ra: 2026-01-20 18:08:11</t>
  </si>
  <si>
    <t>Thời gian vào: 2026-01-21 08:24:36</t>
  </si>
  <si>
    <t>Thời gian ra: 2026-01-21 18:03:45</t>
  </si>
  <si>
    <t>Thời gian vào: 2026-01-22 08:30:36</t>
  </si>
  <si>
    <t>Thời gian ra: 2026-01-22 18:05:15</t>
  </si>
  <si>
    <t>Thời gian vào: 2026-01-26 08:26:03</t>
  </si>
  <si>
    <t>Thời gian ra: 2026-01-26 18:01:07</t>
  </si>
  <si>
    <t>Thời gian vào: 2026-01-27 08:28:53</t>
  </si>
  <si>
    <t>Thời gian ra: 2026-01-27 18:08:30</t>
  </si>
  <si>
    <t>Thời gian vào: 2026-01-28 08:29:30</t>
  </si>
  <si>
    <t>Thời gian ra: 2026-01-28 18:10:20</t>
  </si>
  <si>
    <t>Thời gian vào: 2026-01-29 08:29:19</t>
  </si>
  <si>
    <t>Thời gian ra: 2026-01-29 18:15:56</t>
  </si>
  <si>
    <t>Thời lượng theo dõi:587 phút</t>
  </si>
  <si>
    <t>Vũ Thị Dịu Hiền</t>
  </si>
  <si>
    <t>Hồ Thị Kim Thoa</t>
  </si>
  <si>
    <t>Thời gian vào: 2026-01-13 11:21:56</t>
  </si>
  <si>
    <t>Thời gian ra: 2026-01-13 16:21:39</t>
  </si>
  <si>
    <t>Thời lượng theo dõi:300 phút</t>
  </si>
  <si>
    <t>Thời gian vào: 2026-01-15 19:05:35</t>
  </si>
  <si>
    <t>Thời gian ra: 2026-01-15 19:05:40</t>
  </si>
  <si>
    <t>Trần Thúy Quỳnh</t>
  </si>
  <si>
    <t>Đặng Tuấn Hiệp</t>
  </si>
  <si>
    <t>Artcity</t>
  </si>
  <si>
    <t>Thời gian vào: 2026-01-05 08:47:46</t>
  </si>
  <si>
    <t>Thời gian ra: 2026-01-05 19:12:44</t>
  </si>
  <si>
    <t>Thời lượng theo dõi:625 phút</t>
  </si>
  <si>
    <t>Thời gian vào: 2026-01-06 13:25:50</t>
  </si>
  <si>
    <t>Thời gian ra: 2026-01-06 18:17:07</t>
  </si>
  <si>
    <t>Thời lượng theo dõi:291 phút</t>
  </si>
  <si>
    <t>Thời gian vào: 2026-01-07 09:21:49</t>
  </si>
  <si>
    <t>Thời gian ra: 2026-01-07 18:43:38</t>
  </si>
  <si>
    <t>Thời lượng theo dõi:562 phút</t>
  </si>
  <si>
    <t>Thời gian vào: 2026-01-08 09:20:37</t>
  </si>
  <si>
    <t>Thời gian ra: 2026-01-08 18:53:54</t>
  </si>
  <si>
    <t>Thời gian vào: 2026-01-09 08:58:52</t>
  </si>
  <si>
    <t>Thời gian ra: 2026-01-09 18:09:51</t>
  </si>
  <si>
    <t>Thời gian vào: 2026-01-10 10:18:46</t>
  </si>
  <si>
    <t>Thời gian ra: 2026-01-10 18:23:46</t>
  </si>
  <si>
    <t>Thời lượng theo dõi:485 phút</t>
  </si>
  <si>
    <t>Thời gian vào: 2026-01-12 08:54:59</t>
  </si>
  <si>
    <t>Thời gian ra: 2026-01-12 18:37:06</t>
  </si>
  <si>
    <t>Thời gian vào: 2026-01-13 13:40:50</t>
  </si>
  <si>
    <t>Thời gian ra: 2026-01-13 18:57:11</t>
  </si>
  <si>
    <t>Thời lượng theo dõi:316 phút</t>
  </si>
  <si>
    <t>Thời gian vào: 2026-01-14 08:53:20</t>
  </si>
  <si>
    <t>Thời gian ra: 2026-01-14 21:06:28</t>
  </si>
  <si>
    <t>Thời lượng theo dõi:733 phút</t>
  </si>
  <si>
    <t>Thời gian vào: 2026-01-15 08:47:40</t>
  </si>
  <si>
    <t>Thời gian ra: 2026-01-15 18:20:24</t>
  </si>
  <si>
    <t>Thời gian vào: 2026-01-16 09:50:56</t>
  </si>
  <si>
    <t>Thời gian ra: 2026-01-16 22:00:44</t>
  </si>
  <si>
    <t>Thời lượng theo dõi:730 phút</t>
  </si>
  <si>
    <t>Thời gian vào: 2026-01-19 08:51:40</t>
  </si>
  <si>
    <t>Thời gian ra: 2026-01-19 18:43:31</t>
  </si>
  <si>
    <t>Thời gian vào: 2026-01-20 09:04:05</t>
  </si>
  <si>
    <t>Thời gian ra: 2026-01-20 19:11:44</t>
  </si>
  <si>
    <t>Thời lượng theo dõi:608 phút</t>
  </si>
  <si>
    <t>Thời gian vào: 2026-01-21 09:04:41</t>
  </si>
  <si>
    <t>Thời gian ra: 2026-01-21 19:23:37</t>
  </si>
  <si>
    <t>Thời gian vào: 2026-01-22 09:01:05</t>
  </si>
  <si>
    <t>Thời gian ra: 2026-01-22 18:34:45</t>
  </si>
  <si>
    <t>Thời gian vào: 2026-01-23 09:28:08</t>
  </si>
  <si>
    <t>Thời gian ra: 2026-01-23 18:46:21</t>
  </si>
  <si>
    <t>Thời gian vào: 2026-01-26 09:46:24</t>
  </si>
  <si>
    <t>Thời gian ra: 2026-01-26 20:53:47</t>
  </si>
  <si>
    <t>Thời lượng theo dõi:667 phút</t>
  </si>
  <si>
    <t>Thời gian vào: 2026-01-27 13:28:10</t>
  </si>
  <si>
    <t>Thời gian ra: 2026-01-27 18:24:09</t>
  </si>
  <si>
    <t>Thời lượng theo dõi:296 phút</t>
  </si>
  <si>
    <t>Thời gian vào: 2026-01-28 09:28:35</t>
  </si>
  <si>
    <t>Thời gian ra: 2026-01-28 18:31:56</t>
  </si>
  <si>
    <t>Thời gian vào: 2026-01-29 09:08:04</t>
  </si>
  <si>
    <t>Thời gian ra: 2026-01-29 18:41:47</t>
  </si>
  <si>
    <t>Thời gian vào: 2026-01-30 10:04:19</t>
  </si>
  <si>
    <t>Thời gian ra: 2026-01-30 18:50:08</t>
  </si>
  <si>
    <t>Thời lượng theo dõi:526 phút</t>
  </si>
  <si>
    <t>Trừ Mạnh Dũng</t>
  </si>
  <si>
    <t>Thời gian vào: 2026-01-06 09:58:04</t>
  </si>
  <si>
    <t>Thời gian vào: 2026-01-07 12:01:02</t>
  </si>
  <si>
    <t>Thời gian vào: 2026-01-13 10:52:32</t>
  </si>
  <si>
    <t>Thời gian ra: 2026-01-13 18:16:43</t>
  </si>
  <si>
    <t>Thời lượng theo dõi:444 phút</t>
  </si>
  <si>
    <t>Thời gian vào: 2026-01-19 18:04:08</t>
  </si>
  <si>
    <t>Thời gian vào: 2026-01-21 18:24:01</t>
  </si>
  <si>
    <t>Thời gian vào: 2026-01-25 08:21:41</t>
  </si>
  <si>
    <t>Thời gian vào: 2026-01-28 16:35:27</t>
  </si>
  <si>
    <t>Thời gian vào: 2026-01-29 12:40:47</t>
  </si>
  <si>
    <t>Thời gian vào: 2026-01-30 13:32:59</t>
  </si>
  <si>
    <t>Nguyễn Thị Thùy Linh</t>
  </si>
  <si>
    <t>Phim</t>
  </si>
  <si>
    <t>Thời gian vào: 2026-01-05 08:42:04</t>
  </si>
  <si>
    <t>Thời gian ra: 2026-01-05 18:20:53</t>
  </si>
  <si>
    <t>Thời gian vào: 2026-01-06 08:48:49</t>
  </si>
  <si>
    <t>Thời gian ra: 2026-01-06 18:27:00</t>
  </si>
  <si>
    <t>Thời gian vào: 2026-01-07 08:43:10</t>
  </si>
  <si>
    <t>Thời gian ra: 2026-01-07 18:08:37</t>
  </si>
  <si>
    <t>Thời lượng theo dõi:565 phút</t>
  </si>
  <si>
    <t>Thời gian vào: 2026-01-08 08:47:55</t>
  </si>
  <si>
    <t>Thời gian ra: 2026-01-08 18:17:55</t>
  </si>
  <si>
    <t>Thời gian vào: 2026-01-09 08:44:34</t>
  </si>
  <si>
    <t>Thời gian ra: 2026-01-09 18:53:53</t>
  </si>
  <si>
    <t>Thời lượng theo dõi:609 phút</t>
  </si>
  <si>
    <t>Thời gian vào: 2026-01-10 10:56:48</t>
  </si>
  <si>
    <t>Thời gian ra: 2026-01-10 19:10:42</t>
  </si>
  <si>
    <t>Thời lượng theo dõi:494 phút</t>
  </si>
  <si>
    <t>Thời gian vào: 2026-01-12 08:46:57</t>
  </si>
  <si>
    <t>Thời gian ra: 2026-01-12 18:28:22</t>
  </si>
  <si>
    <t>Thời gian vào: 2026-01-13 08:48:17</t>
  </si>
  <si>
    <t>Thời gian ra: 2026-01-13 18:09:20</t>
  </si>
  <si>
    <t>Thời lượng theo dõi:561 phút</t>
  </si>
  <si>
    <t>Thời gian vào: 2026-01-14 08:51:08</t>
  </si>
  <si>
    <t>Thời gian ra: 2026-01-14 18:10:21</t>
  </si>
  <si>
    <t>Thời gian vào: 2026-01-15 08:53:28</t>
  </si>
  <si>
    <t>Thời gian ra: 2026-01-15 18:06:57</t>
  </si>
  <si>
    <t>Thời lượng theo dõi:553 phút</t>
  </si>
  <si>
    <t>Thời gian vào: 2026-01-16 08:53:45</t>
  </si>
  <si>
    <t>Thời gian ra: 2026-01-16 18:23:55</t>
  </si>
  <si>
    <t>Thời gian vào: 2026-01-19 08:49:03</t>
  </si>
  <si>
    <t>Thời gian ra: 2026-01-19 18:11:07</t>
  </si>
  <si>
    <t>Thời gian vào: 2026-01-20 08:50:08</t>
  </si>
  <si>
    <t>Thời gian ra: 2026-01-20 18:05:05</t>
  </si>
  <si>
    <t>Thời gian vào: 2026-01-21 08:52:04</t>
  </si>
  <si>
    <t>Thời gian ra: 2026-01-21 18:24:56</t>
  </si>
  <si>
    <t>Thời gian vào: 2026-01-22 08:53:48</t>
  </si>
  <si>
    <t>Thời gian ra: 2026-01-22 18:11:00</t>
  </si>
  <si>
    <t>Thời lượng theo dõi:557 phút</t>
  </si>
  <si>
    <t>Thời gian vào: 2026-01-23 18:12:56</t>
  </si>
  <si>
    <t>Thời gian ra: 2026-01-23 18:13:45</t>
  </si>
  <si>
    <t>Thời gian vào: 2026-01-26 08:46:48</t>
  </si>
  <si>
    <t>Thời gian ra: 2026-01-26 18:18:33</t>
  </si>
  <si>
    <t>Thời gian vào: 2026-01-27 08:50:24</t>
  </si>
  <si>
    <t>Thời gian ra: 2026-01-27 18:11:13</t>
  </si>
  <si>
    <t>Thời gian vào: 2026-01-28 08:52:29</t>
  </si>
  <si>
    <t>Thời gian ra: 2026-01-28 18:17:39</t>
  </si>
  <si>
    <t>Thời gian vào: 2026-01-29 08:52:32</t>
  </si>
  <si>
    <t>Thời gian ra: 2026-01-29 18:20:23</t>
  </si>
  <si>
    <t>Thời gian vào: 2026-01-30 08:52:26</t>
  </si>
  <si>
    <t>Thời gian ra: 2026-01-30 19:25:32</t>
  </si>
  <si>
    <t>Thời lượng theo dõi:633 phút</t>
  </si>
  <si>
    <t>Lê Hoàng Long</t>
  </si>
  <si>
    <t>Ore</t>
  </si>
  <si>
    <t>Thời gian vào: 2026-01-05 08:55:27</t>
  </si>
  <si>
    <t>Thời gian ra: 2026-01-05 19:27:38</t>
  </si>
  <si>
    <t>Thời lượng theo dõi:632 phút</t>
  </si>
  <si>
    <t>Thời gian vào: 2026-01-06 09:34:32</t>
  </si>
  <si>
    <t>Thời gian ra: 2026-01-06 19:38:34</t>
  </si>
  <si>
    <t>Thời lượng theo dõi:604 phút</t>
  </si>
  <si>
    <t>Thời gian vào: 2026-01-07 09:52:44</t>
  </si>
  <si>
    <t>Thời gian ra: 2026-01-07 19:19:03</t>
  </si>
  <si>
    <t>Thời lượng theo dõi:566 phút</t>
  </si>
  <si>
    <t>Thời gian vào: 2026-01-08 10:06:28</t>
  </si>
  <si>
    <t>Thời gian ra: 2026-01-08 18:53:30</t>
  </si>
  <si>
    <t>Thời lượng theo dõi:527 phút</t>
  </si>
  <si>
    <t>Thời gian vào: 2026-01-09 12:56:04</t>
  </si>
  <si>
    <t>Thời gian ra: 2026-01-09 19:17:59</t>
  </si>
  <si>
    <t>Thời lượng theo dõi:382 phút</t>
  </si>
  <si>
    <t>Thời gian vào: 2026-01-10 09:09:21</t>
  </si>
  <si>
    <t>Thời gian ra: 2026-01-10 19:20:21</t>
  </si>
  <si>
    <t>Thời gian vào: 2026-01-12 08:59:11</t>
  </si>
  <si>
    <t>Thời gian ra: 2026-01-12 19:30:28</t>
  </si>
  <si>
    <t>Thời lượng theo dõi:631 phút</t>
  </si>
  <si>
    <t>Thời gian vào: 2026-01-13 09:30:18</t>
  </si>
  <si>
    <t>Thời gian ra: 2026-01-13 19:32:09</t>
  </si>
  <si>
    <t>Thời lượng theo dõi:602 phút</t>
  </si>
  <si>
    <t>Thời gian vào: 2026-01-14 08:36:38</t>
  </si>
  <si>
    <t>Thời gian ra: 2026-01-14 17:37:31</t>
  </si>
  <si>
    <t>Thời gian vào: 2026-01-15 09:17:10</t>
  </si>
  <si>
    <t>Thời gian ra: 2026-01-15 20:39:24</t>
  </si>
  <si>
    <t>Thời lượng theo dõi:682 phút</t>
  </si>
  <si>
    <t>Thời gian vào: 2026-01-16 09:19:53</t>
  </si>
  <si>
    <t>Thời gian ra: 2026-01-16 19:59:15</t>
  </si>
  <si>
    <t>Thời gian vào: 2026-01-19 09:19:54</t>
  </si>
  <si>
    <t>Thời gian ra: 2026-01-19 18:48:50</t>
  </si>
  <si>
    <t>Thời gian vào: 2026-01-20 09:26:34</t>
  </si>
  <si>
    <t>Thời gian ra: 2026-01-20 18:49:05</t>
  </si>
  <si>
    <t>Thời gian vào: 2026-01-21 09:34:40</t>
  </si>
  <si>
    <t>Thời gian ra: 2026-01-21 19:03:51</t>
  </si>
  <si>
    <t>Thời gian vào: 2026-01-22 09:53:50</t>
  </si>
  <si>
    <t>Thời gian ra: 2026-01-22 19:23:17</t>
  </si>
  <si>
    <t>Thời gian vào: 2026-01-23 09:53:46</t>
  </si>
  <si>
    <t>Thời gian ra: 2026-01-23 20:02:44</t>
  </si>
  <si>
    <t>Thời gian vào: 2026-01-26 13:49:40</t>
  </si>
  <si>
    <t>Thời gian ra: 2026-01-26 18:30:13</t>
  </si>
  <si>
    <t>Thời lượng theo dõi:281 phút</t>
  </si>
  <si>
    <t>Thời gian vào: 2026-01-27 09:38:57</t>
  </si>
  <si>
    <t>Thời gian ra: 2026-01-27 19:03:18</t>
  </si>
  <si>
    <t>Thời lượng theo dõi:564 phút</t>
  </si>
  <si>
    <t>Thời gian vào: 2026-01-28 09:19:03</t>
  </si>
  <si>
    <t>Thời gian ra: 2026-01-28 19:12:58</t>
  </si>
  <si>
    <t>Thời lượng theo dõi:594 phút</t>
  </si>
  <si>
    <t>Thời gian vào: 2026-01-29 09:14:56</t>
  </si>
  <si>
    <t>Thời gian ra: 2026-01-29 20:11:20</t>
  </si>
  <si>
    <t>Thời lượng theo dõi:656 phút</t>
  </si>
  <si>
    <t>Thời gian vào: 2026-01-30 13:24:43</t>
  </si>
  <si>
    <t>Thời gian ra: 2026-01-30 19:48:10</t>
  </si>
  <si>
    <t>Thời lượng theo dõi:383 phút</t>
  </si>
  <si>
    <t>Tạ Diệp Anh</t>
  </si>
  <si>
    <t>Ảnh</t>
  </si>
  <si>
    <t>Thời gian vào: 2026-01-19 08:43:26</t>
  </si>
  <si>
    <t>Thời gian ra: 2026-01-19 08:57:57</t>
  </si>
  <si>
    <t>Thời lượng theo dõi:15 phút</t>
  </si>
  <si>
    <t>Thời gian vào: 2026-01-22 18:24:42</t>
  </si>
  <si>
    <t>Thời gian ra: 2026-01-22 18:24:45</t>
  </si>
  <si>
    <t>Thời gian vào: 2026-01-29 14:56:42</t>
  </si>
  <si>
    <t>Thời gian ra: 2026-01-29 14:57:14</t>
  </si>
  <si>
    <t>Phan Thị Thúy</t>
  </si>
  <si>
    <t>Thời gian vào: 2026-01-05 13:28:00</t>
  </si>
  <si>
    <t>Thời gian ra: 2026-01-05 18:03:11</t>
  </si>
  <si>
    <t>Thời lượng theo dõi:275 phút</t>
  </si>
  <si>
    <t>Thời gian vào: 2026-01-06 08:42:34</t>
  </si>
  <si>
    <t>Thời gian ra: 2026-01-06 18:17:05</t>
  </si>
  <si>
    <t>Thời gian vào: 2026-01-07 08:33:19</t>
  </si>
  <si>
    <t>Thời gian ra: 2026-01-07 18:43:37</t>
  </si>
  <si>
    <t>Thời gian vào: 2026-01-08 13:33:29</t>
  </si>
  <si>
    <t>Thời gian ra: 2026-01-08 18:47:44</t>
  </si>
  <si>
    <t>Thời lượng theo dõi:314 phút</t>
  </si>
  <si>
    <t>Thời gian vào: 2026-01-09 08:28:35</t>
  </si>
  <si>
    <t>Thời gian ra: 2026-01-09 18:09:48</t>
  </si>
  <si>
    <t>Thời gian vào: 2026-01-10 09:01:49</t>
  </si>
  <si>
    <t>Thời gian ra: 2026-01-10 18:23:44</t>
  </si>
  <si>
    <t>Thời gian vào: 2026-01-12 08:30:14</t>
  </si>
  <si>
    <t>Thời gian ra: 2026-01-12 18:19:29</t>
  </si>
  <si>
    <t>Thời gian vào: 2026-01-13 08:34:29</t>
  </si>
  <si>
    <t>Thời gian ra: 2026-01-13 18:57:22</t>
  </si>
  <si>
    <t>Thời lượng theo dõi:623 phút</t>
  </si>
  <si>
    <t>Thời gian vào: 2026-01-14 08:33:13</t>
  </si>
  <si>
    <t>Thời gian ra: 2026-01-14 21:06:32</t>
  </si>
  <si>
    <t>Thời lượng theo dõi:753 phút</t>
  </si>
  <si>
    <t>Thời gian vào: 2026-01-15 08:57:38</t>
  </si>
  <si>
    <t>Thời gian ra: 2026-01-15 18:20:12</t>
  </si>
  <si>
    <t>Thời gian vào: 2026-01-16 08:42:05</t>
  </si>
  <si>
    <t>Thời gian ra: 2026-01-16 22:00:40</t>
  </si>
  <si>
    <t>Thời lượng theo dõi:799 phút</t>
  </si>
  <si>
    <t>Thời gian vào: 2026-01-19 13:25:08</t>
  </si>
  <si>
    <t>Thời gian ra: 2026-01-19 18:43:24</t>
  </si>
  <si>
    <t>Thời lượng theo dõi:318 phút</t>
  </si>
  <si>
    <t>Thời gian vào: 2026-01-20 13:24:12</t>
  </si>
  <si>
    <t>Thời gian ra: 2026-01-20 18:51:46</t>
  </si>
  <si>
    <t>Thời lượng theo dõi:328 phút</t>
  </si>
  <si>
    <t>Thời gian vào: 2026-01-21 08:40:54</t>
  </si>
  <si>
    <t>Thời gian ra: 2026-01-21 18:27:42</t>
  </si>
  <si>
    <t>Thời gian vào: 2026-01-22 08:39:44</t>
  </si>
  <si>
    <t>Thời gian ra: 2026-01-22 18:25:59</t>
  </si>
  <si>
    <t>Thời lượng theo dõi:586 phút</t>
  </si>
  <si>
    <t>Thời gian vào: 2026-01-23 08:52:09</t>
  </si>
  <si>
    <t>Thời gian ra: 2026-01-23 18:58:13</t>
  </si>
  <si>
    <t>Thời lượng theo dõi:606 phút</t>
  </si>
  <si>
    <t>Thời gian vào: 2026-01-27 08:34:31</t>
  </si>
  <si>
    <t>Thời gian ra: 2026-01-27 18:24:14</t>
  </si>
  <si>
    <t>Thời lượng theo dõi:590 phút</t>
  </si>
  <si>
    <t>Thời gian vào: 2026-01-28 08:41:41</t>
  </si>
  <si>
    <t>Thời gian ra: 2026-01-28 18:17:40</t>
  </si>
  <si>
    <t>Thời gian vào: 2026-01-29 08:43:39</t>
  </si>
  <si>
    <t>Thời gian ra: 2026-01-29 18:41:40</t>
  </si>
  <si>
    <t>Thời lượng theo dõi:598 phút</t>
  </si>
  <si>
    <t>Thời gian vào: 2026-01-30 09:04:16</t>
  </si>
  <si>
    <t>Thời gian ra: 2026-01-30 18:23:30</t>
  </si>
  <si>
    <t>Lê Thị Ái</t>
  </si>
  <si>
    <t>Thời gian vào: 2026-01-05 10:58:09</t>
  </si>
  <si>
    <t>Thời gian vào: 2026-01-06 07:28:02</t>
  </si>
  <si>
    <t>Thời gian vào: 2026-01-12 07:29:08</t>
  </si>
  <si>
    <t>Thời gian vào: 2026-01-13 07:30:48</t>
  </si>
  <si>
    <t>Thời gian ra: 2026-01-13 18:22:48</t>
  </si>
  <si>
    <t>Thời lượng theo dõi:652 phút</t>
  </si>
  <si>
    <t>Thời gian vào: 2026-01-15 07:43:11</t>
  </si>
  <si>
    <t>Thời gian ra: 2026-01-15 07:43:35</t>
  </si>
  <si>
    <t>Thời gian vào: 2026-01-16 07:38:27</t>
  </si>
  <si>
    <t>Thời gian ra: 2026-01-16 09:17:46</t>
  </si>
  <si>
    <t>Thời lượng theo dõi:99 phút</t>
  </si>
  <si>
    <t>Thời gian vào: 2026-01-20 07:44:08</t>
  </si>
  <si>
    <t>Thời gian ra: 2026-01-20 18:10:37</t>
  </si>
  <si>
    <t>Thời lượng theo dõi:626 phút</t>
  </si>
  <si>
    <t>Thời gian vào: 2026-01-21 07:45:39</t>
  </si>
  <si>
    <t>Thời gian ra: 2026-01-21 07:45:47</t>
  </si>
  <si>
    <t>Thời gian vào: 2026-01-22 07:36:08</t>
  </si>
  <si>
    <t>Thời gian vào: 2026-01-23 07:51:13</t>
  </si>
  <si>
    <t>Thời gian ra: 2026-01-23 07:51:19</t>
  </si>
  <si>
    <t>Thời gian vào: 2026-01-26 07:54:14</t>
  </si>
  <si>
    <t>Thời gian ra: 2026-01-26 18:18:38</t>
  </si>
  <si>
    <t>Thời lượng theo dõi:624 phút</t>
  </si>
  <si>
    <t>Thời gian vào: 2026-01-27 07:42:32</t>
  </si>
  <si>
    <t>Thời gian ra: 2026-01-27 07:42:50</t>
  </si>
  <si>
    <t>Thời gian vào: 2026-01-30 07:48:17</t>
  </si>
  <si>
    <t>Thời gian ra: 2026-01-30 07:48:27</t>
  </si>
  <si>
    <t>Nguyễn Phúc Thành</t>
  </si>
  <si>
    <t>Thời gian vào: 2026-01-05 21:57:18</t>
  </si>
  <si>
    <t>Thời gian vào: 2026-01-07 19:05:24</t>
  </si>
  <si>
    <t>Thời gian ra: 2026-01-07 19:05:48</t>
  </si>
  <si>
    <t>Thời gian vào: 2026-01-08 20:13:53</t>
  </si>
  <si>
    <t>Thời gian vào: 2026-01-13 19:23:50</t>
  </si>
  <si>
    <t>Thời gian vào: 2026-01-14 22:18:06</t>
  </si>
  <si>
    <t>Thời gian vào: 2026-01-16 11:56:12</t>
  </si>
  <si>
    <t>Thời gian ra: 2026-01-16 11:56:38</t>
  </si>
  <si>
    <t>Thời gian vào: 2026-01-19 22:29:27</t>
  </si>
  <si>
    <t>Thời gian ra: 2026-01-19 22:29:55</t>
  </si>
  <si>
    <t>Thời gian vào: 2026-01-23 22:07:23</t>
  </si>
  <si>
    <t>Thời gian vào: 2026-01-26 20:48:50</t>
  </si>
  <si>
    <t>Thời gian vào: 2026-01-27 19:55:46</t>
  </si>
  <si>
    <t>Thời gian vào: 2026-01-28 22:12:06</t>
  </si>
  <si>
    <t>Thời gian ra: 2026-01-28 22:12:40</t>
  </si>
  <si>
    <t>Thời gian vào: 2026-01-29 14:49:42</t>
  </si>
  <si>
    <t>Tô Cẩm Ly Ly</t>
  </si>
  <si>
    <t>Thời gian vào: 2026-01-05 09:16:44</t>
  </si>
  <si>
    <t>Thời gian ra: 2026-01-05 18:06:25</t>
  </si>
  <si>
    <t>Thời lượng theo dõi:530 phút</t>
  </si>
  <si>
    <t>Thời gian vào: 2026-01-06 13:54:08</t>
  </si>
  <si>
    <t>Thời gian ra: 2026-01-06 18:54:48</t>
  </si>
  <si>
    <t>Thời lượng theo dõi:301 phút</t>
  </si>
  <si>
    <t>Thời gian vào: 2026-01-07 09:06:29</t>
  </si>
  <si>
    <t>Thời gian ra: 2026-01-07 18:06:40</t>
  </si>
  <si>
    <t>Thời gian vào: 2026-01-08 18:47:00</t>
  </si>
  <si>
    <t>Thời gian vào: 2026-01-09 09:07:07</t>
  </si>
  <si>
    <t>Thời gian ra: 2026-01-09 18:24:16</t>
  </si>
  <si>
    <t>Thời gian vào: 2026-01-10 09:26:09</t>
  </si>
  <si>
    <t>Thời gian ra: 2026-01-10 18:21:53</t>
  </si>
  <si>
    <t>Thời lượng theo dõi:536 phút</t>
  </si>
  <si>
    <t>Thời gian vào: 2026-01-12 08:55:56</t>
  </si>
  <si>
    <t>Thời gian ra: 2026-01-12 18:06:13</t>
  </si>
  <si>
    <t>Thời gian vào: 2026-01-13 08:53:16</t>
  </si>
  <si>
    <t>Thời gian ra: 2026-01-13 18:09:07</t>
  </si>
  <si>
    <t>Thời gian vào: 2026-01-14 08:54:38</t>
  </si>
  <si>
    <t>Thời gian ra: 2026-01-14 18:07:10</t>
  </si>
  <si>
    <t>Thời gian vào: 2026-01-15 08:43:57</t>
  </si>
  <si>
    <t>Thời gian ra: 2026-01-15 19:49:34</t>
  </si>
  <si>
    <t>Thời lượng theo dõi:666 phút</t>
  </si>
  <si>
    <t>Thời gian vào: 2026-01-16 08:53:49</t>
  </si>
  <si>
    <t>Thời gian ra: 2026-01-16 18:17:55</t>
  </si>
  <si>
    <t>Thời gian vào: 2026-01-19 08:29:23</t>
  </si>
  <si>
    <t>Thời gian ra: 2026-01-19 18:11:01</t>
  </si>
  <si>
    <t>Thời gian vào: 2026-01-20 08:37:26</t>
  </si>
  <si>
    <t>Thời gian ra: 2026-01-20 18:39:00</t>
  </si>
  <si>
    <t>Thời gian vào: 2026-01-21 09:12:49</t>
  </si>
  <si>
    <t>Thời gian ra: 2026-01-21 19:53:12</t>
  </si>
  <si>
    <t>Thời lượng theo dõi:640 phút</t>
  </si>
  <si>
    <t>Thời gian vào: 2026-01-22 09:32:49</t>
  </si>
  <si>
    <t>Thời gian ra: 2026-01-22 18:24:49</t>
  </si>
  <si>
    <t>Thời lượng theo dõi:532 phút</t>
  </si>
  <si>
    <t>Thời gian vào: 2026-01-23 09:41:31</t>
  </si>
  <si>
    <t>Thời gian ra: 2026-01-23 18:48:16</t>
  </si>
  <si>
    <t>Thời gian vào: 2026-01-26 20:28:25</t>
  </si>
  <si>
    <t>Thời gian vào: 2026-01-28 08:36:39</t>
  </si>
  <si>
    <t>Thời gian ra: 2026-01-28 19:03:12</t>
  </si>
  <si>
    <t>Thời lượng theo dõi:627 phút</t>
  </si>
  <si>
    <t>Thời gian vào: 2026-01-29 09:16:52</t>
  </si>
  <si>
    <t>Thời gian ra: 2026-01-29 18:14:40</t>
  </si>
  <si>
    <t>Thời gian vào: 2026-01-30 13:30:23</t>
  </si>
  <si>
    <t>Thời gian ra: 2026-01-30 18:07:13</t>
  </si>
  <si>
    <t>Thời lượng theo dõi:277 phút</t>
  </si>
  <si>
    <t>Vương Xuân Cường</t>
  </si>
  <si>
    <t>Thời gian vào: 2026-01-05 09:16:36</t>
  </si>
  <si>
    <t>Thời gian ra: 2026-01-05 18:17:50</t>
  </si>
  <si>
    <t>Thời gian vào: 2026-01-06 09:27:05</t>
  </si>
  <si>
    <t>Thời gian ra: 2026-01-06 19:06:19</t>
  </si>
  <si>
    <t>Thời gian vào: 2026-01-07 18:24:54</t>
  </si>
  <si>
    <t>Thời gian vào: 2026-01-08 09:24:22</t>
  </si>
  <si>
    <t>Thời gian ra: 2026-01-08 20:04:12</t>
  </si>
  <si>
    <t>Thời gian vào: 2026-01-12 09:04:38</t>
  </si>
  <si>
    <t>Thời gian ra: 2026-01-12 18:15:54</t>
  </si>
  <si>
    <t>Thời gian vào: 2026-01-13 10:09:26</t>
  </si>
  <si>
    <t>Thời gian ra: 2026-01-13 18:44:26</t>
  </si>
  <si>
    <t>Thời lượng theo dõi:515 phút</t>
  </si>
  <si>
    <t>Thời gian vào: 2026-01-14 10:02:18</t>
  </si>
  <si>
    <t>Thời gian ra: 2026-01-14 18:16:05</t>
  </si>
  <si>
    <t>Thời gian vào: 2026-01-19 09:43:33</t>
  </si>
  <si>
    <t>Thời gian ra: 2026-01-19 18:39:46</t>
  </si>
  <si>
    <t>Thời gian vào: 2026-01-20 09:59:10</t>
  </si>
  <si>
    <t>Thời gian ra: 2026-01-20 18:19:39</t>
  </si>
  <si>
    <t>Thời lượng theo dõi:500 phút</t>
  </si>
  <si>
    <t>Thời gian vào: 2026-01-21 09:10:35</t>
  </si>
  <si>
    <t>Thời gian ra: 2026-01-21 18:36:56</t>
  </si>
  <si>
    <t>Thời gian vào: 2026-01-22 10:00:36</t>
  </si>
  <si>
    <t>Thời gian ra: 2026-01-22 18:12:33</t>
  </si>
  <si>
    <t>Thời gian vào: 2026-01-26 09:57:50</t>
  </si>
  <si>
    <t>Thời gian ra: 2026-01-26 18:22:02</t>
  </si>
  <si>
    <t>Thời lượng theo dõi:504 phút</t>
  </si>
  <si>
    <t>Thời gian vào: 2026-01-27 09:19:21</t>
  </si>
  <si>
    <t>Thời gian ra: 2026-01-27 18:30:57</t>
  </si>
  <si>
    <t>Thời gian vào: 2026-01-28 09:46:36</t>
  </si>
  <si>
    <t>Thời gian ra: 2026-01-28 18:41:47</t>
  </si>
  <si>
    <t>Thời lượng theo dõi:535 phút</t>
  </si>
  <si>
    <t>Thời gian vào: 2026-01-29 10:09:39</t>
  </si>
  <si>
    <t>Thời gian ra: 2026-01-29 20:00:30</t>
  </si>
  <si>
    <t>Thời lượng theo dõi:591 phút</t>
  </si>
  <si>
    <t>Nguyễn Thị Lan</t>
  </si>
  <si>
    <t>Nguyễn Hải Long</t>
  </si>
  <si>
    <t>Thời gian vào: 2026-01-05 08:57:34</t>
  </si>
  <si>
    <t>Thời gian ra: 2026-01-05 18:33:59</t>
  </si>
  <si>
    <t>Thời gian vào: 2026-01-06 09:49:26</t>
  </si>
  <si>
    <t>Thời gian ra: 2026-01-06 19:46:30</t>
  </si>
  <si>
    <t>Thời lượng theo dõi:597 phút</t>
  </si>
  <si>
    <t>Thời gian vào: 2026-01-07 09:49:30</t>
  </si>
  <si>
    <t>Thời gian ra: 2026-01-07 19:10:35</t>
  </si>
  <si>
    <t>Thời gian vào: 2026-01-08 09:46:09</t>
  </si>
  <si>
    <t>Thời gian ra: 2026-01-08 18:35:12</t>
  </si>
  <si>
    <t>Thời lượng theo dõi:529 phút</t>
  </si>
  <si>
    <t>Thời gian vào: 2026-01-09 10:26:30</t>
  </si>
  <si>
    <t>Thời gian ra: 2026-01-09 19:12:45</t>
  </si>
  <si>
    <t>Thời gian vào: 2026-01-10 09:35:00</t>
  </si>
  <si>
    <t>Thời gian ra: 2026-01-10 18:46:48</t>
  </si>
  <si>
    <t>Thời gian vào: 2026-01-12 09:10:43</t>
  </si>
  <si>
    <t>Thời gian ra: 2026-01-12 20:04:11</t>
  </si>
  <si>
    <t>Thời gian vào: 2026-01-13 09:13:26</t>
  </si>
  <si>
    <t>Thời gian ra: 2026-01-13 12:11:20</t>
  </si>
  <si>
    <t>Thời lượng theo dõi:178 phút</t>
  </si>
  <si>
    <t>Thời gian vào: 2026-01-14 09:27:56</t>
  </si>
  <si>
    <t>Thời gian ra: 2026-01-14 18:59:13</t>
  </si>
  <si>
    <t>Thời gian vào: 2026-01-15 09:52:36</t>
  </si>
  <si>
    <t>Thời gian ra: 2026-01-15 20:45:53</t>
  </si>
  <si>
    <t>Thời gian vào: 2026-01-16 09:31:42</t>
  </si>
  <si>
    <t>Thời gian ra: 2026-01-16 19:34:57</t>
  </si>
  <si>
    <t>Thời lượng theo dõi:603 phút</t>
  </si>
  <si>
    <t>Thời gian vào: 2026-01-19 09:23:35</t>
  </si>
  <si>
    <t>Thời gian ra: 2026-01-19 18:48:17</t>
  </si>
  <si>
    <t>Thời gian vào: 2026-01-20 09:52:10</t>
  </si>
  <si>
    <t>Thời gian ra: 2026-01-20 19:53:38</t>
  </si>
  <si>
    <t>Thời lượng theo dõi:601 phút</t>
  </si>
  <si>
    <t>Thời gian vào: 2026-01-21 09:23:15</t>
  </si>
  <si>
    <t>Thời gian ra: 2026-01-21 18:59:44</t>
  </si>
  <si>
    <t>Thời gian vào: 2026-01-22 09:54:53</t>
  </si>
  <si>
    <t>Thời gian ra: 2026-01-22 19:07:56</t>
  </si>
  <si>
    <t>Thời gian vào: 2026-01-23 09:39:34</t>
  </si>
  <si>
    <t>Thời gian ra: 2026-01-23 20:02:07</t>
  </si>
  <si>
    <t>Thời gian vào: 2026-01-26 09:26:19</t>
  </si>
  <si>
    <t>Thời gian ra: 2026-01-26 18:29:37</t>
  </si>
  <si>
    <t>Thời gian vào: 2026-01-27 09:39:49</t>
  </si>
  <si>
    <t>Thời gian ra: 2026-01-27 19:03:15</t>
  </si>
  <si>
    <t>Thời gian vào: 2026-01-29 09:38:03</t>
  </si>
  <si>
    <t>Thời gian ra: 2026-01-29 19:27:44</t>
  </si>
  <si>
    <t>Thời gian vào: 2026-01-30 09:46:45</t>
  </si>
  <si>
    <t>Thời gian ra: 2026-01-30 19:48:09</t>
  </si>
  <si>
    <t>Nguyễn Hoàng Giang</t>
  </si>
  <si>
    <t>Nguyễn Bá Cương</t>
  </si>
  <si>
    <t>Nguyễn Vũ Thùy Linh</t>
  </si>
  <si>
    <t>Nguyễn Quốc Cường</t>
  </si>
  <si>
    <t>Thời gian vào: 2026-01-15 10:31:57</t>
  </si>
  <si>
    <t>Thời gian ra: 2026-01-15 10:32:58</t>
  </si>
  <si>
    <t>Phạm Minh Long</t>
  </si>
  <si>
    <t>Thời gian vào: 2026-01-05 08:38:29</t>
  </si>
  <si>
    <t>Thời gian ra: 2026-01-05 18:32:55</t>
  </si>
  <si>
    <t>Thời gian vào: 2026-01-06 08:58:29</t>
  </si>
  <si>
    <t>Thời gian ra: 2026-01-06 18:35:25</t>
  </si>
  <si>
    <t>Thời gian vào: 2026-01-07 08:40:57</t>
  </si>
  <si>
    <t>Thời gian ra: 2026-01-07 18:20:43</t>
  </si>
  <si>
    <t>Thời gian vào: 2026-01-08 08:40:21</t>
  </si>
  <si>
    <t>Thời gian ra: 2026-01-08 18:15:30</t>
  </si>
  <si>
    <t>Thời gian vào: 2026-01-09 08:57:24</t>
  </si>
  <si>
    <t>Thời gian ra: 2026-01-09 19:51:10</t>
  </si>
  <si>
    <t>Thời lượng theo dõi:654 phút</t>
  </si>
  <si>
    <t>Thời gian vào: 2026-01-12 08:47:59</t>
  </si>
  <si>
    <t>Thời gian vào: 2026-01-13 08:42:04</t>
  </si>
  <si>
    <t>Thời gian ra: 2026-01-13 18:16:56</t>
  </si>
  <si>
    <t>Thời gian vào: 2026-01-14 08:47:22</t>
  </si>
  <si>
    <t>Thời gian ra: 2026-01-14 18:25:54</t>
  </si>
  <si>
    <t>Thời gian vào: 2026-01-15 12:18:48</t>
  </si>
  <si>
    <t>Thời gian ra: 2026-01-15 18:04:13</t>
  </si>
  <si>
    <t>Thời lượng theo dõi:345 phút</t>
  </si>
  <si>
    <t>Thời gian vào: 2026-01-16 08:22:19</t>
  </si>
  <si>
    <t>Thời gian ra: 2026-01-16 18:02:55</t>
  </si>
  <si>
    <t>Thời gian vào: 2026-01-19 08:36:19</t>
  </si>
  <si>
    <t>Thời gian ra: 2026-01-19 18:24:11</t>
  </si>
  <si>
    <t>Thời lượng theo dõi:588 phút</t>
  </si>
  <si>
    <t>Thời gian vào: 2026-01-20 13:21:53</t>
  </si>
  <si>
    <t>Thời gian ra: 2026-01-20 18:04:20</t>
  </si>
  <si>
    <t>Thời lượng theo dõi:282 phút</t>
  </si>
  <si>
    <t>Thời gian vào: 2026-01-21 08:45:36</t>
  </si>
  <si>
    <t>Thời gian ra: 2026-01-21 18:40:51</t>
  </si>
  <si>
    <t>Thời gian vào: 2026-01-22 08:52:01</t>
  </si>
  <si>
    <t>Thời gian ra: 2026-01-22 18:22:25</t>
  </si>
  <si>
    <t>Thời gian vào: 2026-01-23 08:58:24</t>
  </si>
  <si>
    <t>Thời gian ra: 2026-01-23 18:25:30</t>
  </si>
  <si>
    <t>Thời gian vào: 2026-01-26 13:33:58</t>
  </si>
  <si>
    <t>Thời gian ra: 2026-01-26 18:17:17</t>
  </si>
  <si>
    <t>Thời lượng theo dõi:283 phút</t>
  </si>
  <si>
    <t>Thời gian vào: 2026-01-27 08:38:51</t>
  </si>
  <si>
    <t>Thời gian ra: 2026-01-27 18:22:09</t>
  </si>
  <si>
    <t>Thời gian vào: 2026-01-29 08:19:20</t>
  </si>
  <si>
    <t>Thời gian ra: 2026-01-29 18:18:10</t>
  </si>
  <si>
    <t>Trần Đức Dũng</t>
  </si>
  <si>
    <t>Đỗ Như Phước</t>
  </si>
  <si>
    <t>Nguyễn Xuân Trung</t>
  </si>
  <si>
    <t xml:space="preserve">Tết </t>
  </si>
  <si>
    <t xml:space="preserve"> </t>
  </si>
  <si>
    <t>Thời gian vào: 2026-01-05 08:43:13</t>
  </si>
  <si>
    <t>Thời gian ra: 2026-01-05 18:15:35</t>
  </si>
  <si>
    <t>Thời gian vào: 2026-01-06 08:40:42</t>
  </si>
  <si>
    <t>Thời gian ra: 2026-01-06 18:15:56</t>
  </si>
  <si>
    <t>Thời gian vào: 2026-01-07 08:40:31</t>
  </si>
  <si>
    <t>Thời gian ra: 2026-01-07 18:12:49</t>
  </si>
  <si>
    <t>Thời gian vào: 2026-01-08 08:43:36</t>
  </si>
  <si>
    <t>Thời gian ra: 2026-01-08 18:15:51</t>
  </si>
  <si>
    <t>Thời gian vào: 2026-01-09 08:53:07</t>
  </si>
  <si>
    <t>Thời gian ra: 2026-01-09 18:08:55</t>
  </si>
  <si>
    <t>Thời gian vào: 2026-01-12 08:55:40</t>
  </si>
  <si>
    <t>Thời gian ra: 2026-01-12 18:13:53</t>
  </si>
  <si>
    <t>Thời gian vào: 2026-01-13 08:35:50</t>
  </si>
  <si>
    <t>Thời gian ra: 2026-01-13 18:12:21</t>
  </si>
  <si>
    <t>Thời gian vào: 2026-01-14 08:42:41</t>
  </si>
  <si>
    <t>Thời gian ra: 2026-01-14 18:12:20</t>
  </si>
  <si>
    <t>Thời gian vào: 2026-01-15 08:35:44</t>
  </si>
  <si>
    <t>Thời gian ra: 2026-01-15 18:14:15</t>
  </si>
  <si>
    <t>Thời gian vào: 2026-01-16 08:33:05</t>
  </si>
  <si>
    <t>Thời gian ra: 2026-01-16 18:11:25</t>
  </si>
  <si>
    <t>Thời gian vào: 2026-01-19 08:46:26</t>
  </si>
  <si>
    <t>Thời gian ra: 2026-01-19 18:15:32</t>
  </si>
  <si>
    <t>Thời gian vào: 2026-01-20 08:43:54</t>
  </si>
  <si>
    <t>Thời gian ra: 2026-01-20 18:11:26</t>
  </si>
  <si>
    <t>Thời gian vào: 2026-01-21 08:34:13</t>
  </si>
  <si>
    <t>Thời gian ra: 2026-01-21 18:09:32</t>
  </si>
  <si>
    <t>Thời gian vào: 2026-01-22 08:48:55</t>
  </si>
  <si>
    <t>Thời gian ra: 2026-01-22 18:15:23</t>
  </si>
  <si>
    <t>Thời gian vào: 2026-01-23 08:44:32</t>
  </si>
  <si>
    <t>Thời gian ra: 2026-01-23 17:09:10</t>
  </si>
  <si>
    <t>Thời lượng theo dõi:505 phút</t>
  </si>
  <si>
    <t>Thời gian vào: 2026-01-26 09:11:30</t>
  </si>
  <si>
    <t>Thời gian ra: 2026-01-26 18:46:12</t>
  </si>
  <si>
    <t>Thời gian vào: 2026-01-27 08:44:11</t>
  </si>
  <si>
    <t>Thời gian ra: 2026-01-27 18:26:07</t>
  </si>
  <si>
    <t>Thời gian vào: 2026-01-28 08:46:51</t>
  </si>
  <si>
    <t>Thời gian ra: 2026-01-28 18:13:59</t>
  </si>
  <si>
    <t>Thời gian vào: 2026-01-30 08:48:03</t>
  </si>
  <si>
    <t>Thời gian ra: 2026-01-30 18:17:14</t>
  </si>
  <si>
    <t>Đinh Thị Thu Hà</t>
  </si>
  <si>
    <t>Thời gian vào: 2026-01-05 08:22:35</t>
  </si>
  <si>
    <t>Thời gian ra: 2026-01-05 18:02:12</t>
  </si>
  <si>
    <t>Thời gian vào: 2026-01-06 08:44:43</t>
  </si>
  <si>
    <t>Thời gian ra: 2026-01-06 18:08:09</t>
  </si>
  <si>
    <t>Thời gian vào: 2026-01-07 08:16:29</t>
  </si>
  <si>
    <t>Thời gian ra: 2026-01-07 18:02:12</t>
  </si>
  <si>
    <t>Thời gian vào: 2026-01-08 08:38:12</t>
  </si>
  <si>
    <t>Thời gian ra: 2026-01-08 18:03:03</t>
  </si>
  <si>
    <t>Thời gian vào: 2026-01-09 08:15:20</t>
  </si>
  <si>
    <t>Thời gian ra: 2026-01-09 18:04:05</t>
  </si>
  <si>
    <t>Thời gian vào: 2026-01-12 08:04:03</t>
  </si>
  <si>
    <t>Thời gian ra: 2026-01-12 18:03:05</t>
  </si>
  <si>
    <t>Thời gian vào: 2026-01-13 08:16:39</t>
  </si>
  <si>
    <t>Thời gian ra: 2026-01-13 18:02:47</t>
  </si>
  <si>
    <t>Thời gian vào: 2026-01-14 08:21:14</t>
  </si>
  <si>
    <t>Thời gian ra: 2026-01-14 12:52:37</t>
  </si>
  <si>
    <t>Thời lượng theo dõi:271 phút</t>
  </si>
  <si>
    <t>Thời gian vào: 2026-01-15 08:21:08</t>
  </si>
  <si>
    <t>Thời gian ra: 2026-01-15 18:02:41</t>
  </si>
  <si>
    <t>Thời gian vào: 2026-01-16 08:12:24</t>
  </si>
  <si>
    <t>Thời gian ra: 2026-01-16 18:02:45</t>
  </si>
  <si>
    <t>Thời gian vào: 2026-01-19 08:28:37</t>
  </si>
  <si>
    <t>Thời gian ra: 2026-01-19 18:03:11</t>
  </si>
  <si>
    <t>Thời gian vào: 2026-01-20 08:22:12</t>
  </si>
  <si>
    <t>Thời gian ra: 2026-01-20 18:08:25</t>
  </si>
  <si>
    <t>Thời gian vào: 2026-01-23 08:25:25</t>
  </si>
  <si>
    <t>Thời gian ra: 2026-01-23 18:03:14</t>
  </si>
  <si>
    <t>Thời gian vào: 2026-01-26 08:28:57</t>
  </si>
  <si>
    <t>Thời gian ra: 2026-01-26 18:04:47</t>
  </si>
  <si>
    <t>Hoàng Thị Hiền Minh</t>
  </si>
  <si>
    <t>Thời gian vào: 2026-01-05 08:36:30</t>
  </si>
  <si>
    <t>Thời gian ra: 2026-01-05 18:15:44</t>
  </si>
  <si>
    <t>Thời gian vào: 2026-01-06 08:43:55</t>
  </si>
  <si>
    <t>Thời gian ra: 2026-01-06 18:16:03</t>
  </si>
  <si>
    <t>Thời gian vào: 2026-01-07 08:35:27</t>
  </si>
  <si>
    <t>Thời gian ra: 2026-01-07 18:23:45</t>
  </si>
  <si>
    <t>Thời gian vào: 2026-01-08 08:42:18</t>
  </si>
  <si>
    <t>Thời gian ra: 2026-01-08 18:13:41</t>
  </si>
  <si>
    <t>Thời gian vào: 2026-01-09 08:44:45</t>
  </si>
  <si>
    <t>Thời gian ra: 2026-01-09 18:16:49</t>
  </si>
  <si>
    <t>Thời gian vào: 2026-01-12 08:31:28</t>
  </si>
  <si>
    <t>Thời gian ra: 2026-01-12 18:23:03</t>
  </si>
  <si>
    <t>Thời gian vào: 2026-01-13 08:24:07</t>
  </si>
  <si>
    <t>Thời gian ra: 2026-01-13 18:11:17</t>
  </si>
  <si>
    <t>Thời gian vào: 2026-01-14 08:22:14</t>
  </si>
  <si>
    <t>Thời gian ra: 2026-01-14 18:12:27</t>
  </si>
  <si>
    <t>Thời gian vào: 2026-01-15 08:24:36</t>
  </si>
  <si>
    <t>Thời gian ra: 2026-01-15 18:11:15</t>
  </si>
  <si>
    <t>Thời gian vào: 2026-01-16 08:27:14</t>
  </si>
  <si>
    <t>Thời gian ra: 2026-01-16 18:16:42</t>
  </si>
  <si>
    <t>Thời gian vào: 2026-01-19 08:23:42</t>
  </si>
  <si>
    <t>Thời gian ra: 2026-01-19 18:16:25</t>
  </si>
  <si>
    <t>Thời gian vào: 2026-01-20 08:23:45</t>
  </si>
  <si>
    <t>Thời gian ra: 2026-01-20 18:12:38</t>
  </si>
  <si>
    <t>Thời gian vào: 2026-01-21 08:24:34</t>
  </si>
  <si>
    <t>Thời gian ra: 2026-01-21 18:06:41</t>
  </si>
  <si>
    <t>Thời gian vào: 2026-01-22 08:27:38</t>
  </si>
  <si>
    <t>Thời gian ra: 2026-01-22 18:14:08</t>
  </si>
  <si>
    <t>Thời gian vào: 2026-01-23 08:24:03</t>
  </si>
  <si>
    <t>Thời gian ra: 2026-01-23 12:00:13</t>
  </si>
  <si>
    <t>Thời lượng theo dõi:216 phút</t>
  </si>
  <si>
    <t>Thời gian vào: 2026-01-28 08:22:06</t>
  </si>
  <si>
    <t>Thời gian ra: 2026-01-28 18:12:33</t>
  </si>
  <si>
    <t>Thời gian vào: 2026-01-29 08:25:31</t>
  </si>
  <si>
    <t>Thời gian ra: 2026-01-29 18:12:11</t>
  </si>
  <si>
    <t>Thời gian vào: 2026-01-30 08:24:37</t>
  </si>
  <si>
    <t>Thời gian ra: 2026-01-30 18:10:09</t>
  </si>
  <si>
    <t>Vũ Trọng Hoàng Linh</t>
  </si>
  <si>
    <t>Nguyễn Anh Vũ</t>
  </si>
  <si>
    <t>Thời gian vào: 2026-01-16 08:44:38</t>
  </si>
  <si>
    <t>Thời gian vào: 2026-01-19 08:57:28</t>
  </si>
  <si>
    <t>Thời gian ra: 2026-01-19 18:01:43</t>
  </si>
  <si>
    <t>Thời gian vào: 2026-01-20 08:39:26</t>
  </si>
  <si>
    <t>Thời gian ra: 2026-01-20 16:47:00</t>
  </si>
  <si>
    <t>Thời gian vào: 2026-01-21 18:07:19</t>
  </si>
  <si>
    <t>Thời gian vào: 2026-01-22 18:00:10</t>
  </si>
  <si>
    <t>Thời gian vào: 2026-01-23 08:49:08</t>
  </si>
  <si>
    <t>Thời gian ra: 2026-01-23 18:00:14</t>
  </si>
  <si>
    <t>Thời gian vào: 2026-01-26 08:39:30</t>
  </si>
  <si>
    <t>Thời gian ra: 2026-01-26 18:02:02</t>
  </si>
  <si>
    <t>Thời gian vào: 2026-01-27 08:40:59</t>
  </si>
  <si>
    <t>Thời gian ra: 2026-01-27 17:01:11</t>
  </si>
  <si>
    <t>Thời gian vào: 2026-01-28 08:31:09</t>
  </si>
  <si>
    <t>Thời gian ra: 2026-01-28 17:33:48</t>
  </si>
  <si>
    <t>Thời gian vào: 2026-01-29 08:29:05</t>
  </si>
  <si>
    <t>Thời gian ra: 2026-01-29 18:02:52</t>
  </si>
  <si>
    <t>Thời gian vào: 2026-01-30 08:33:31</t>
  </si>
  <si>
    <t>Thời gian ra: 2026-01-30 17:26:21</t>
  </si>
  <si>
    <t>Thời lượng theo dõi:533 phút</t>
  </si>
  <si>
    <t>Phùng Thị Phương Thảo</t>
  </si>
  <si>
    <t>Thời gian vào: 2026-01-05 08:32:11</t>
  </si>
  <si>
    <t>Thời gian ra: 2026-01-05 18:13:53</t>
  </si>
  <si>
    <t>Thời gian vào: 2026-01-06 08:46:44</t>
  </si>
  <si>
    <t>Thời gian ra: 2026-01-06 18:34:10</t>
  </si>
  <si>
    <t>Thời gian vào: 2026-01-07 08:39:01</t>
  </si>
  <si>
    <t>Thời gian ra: 2026-01-07 18:35:42</t>
  </si>
  <si>
    <t>Thời gian vào: 2026-01-08 08:52:40</t>
  </si>
  <si>
    <t>Thời gian ra: 2026-01-08 18:12:22</t>
  </si>
  <si>
    <t>Thời lượng theo dõi:560 phút</t>
  </si>
  <si>
    <t>Thời gian vào: 2026-01-09 08:34:46</t>
  </si>
  <si>
    <t>Thời gian ra: 2026-01-09 18:38:25</t>
  </si>
  <si>
    <t>Thời gian vào: 2026-01-10 08:38:13</t>
  </si>
  <si>
    <t>Thời gian ra: 2026-01-10 18:32:56</t>
  </si>
  <si>
    <t>Thời gian vào: 2026-01-12 08:37:44</t>
  </si>
  <si>
    <t>Thời gian ra: 2026-01-12 18:15:11</t>
  </si>
  <si>
    <t>Thời gian vào: 2026-01-13 08:54:41</t>
  </si>
  <si>
    <t>Thời gian ra: 2026-01-13 18:22:27</t>
  </si>
  <si>
    <t>Thời gian vào: 2026-01-14 08:35:12</t>
  </si>
  <si>
    <t>Thời gian ra: 2026-01-14 18:09:17</t>
  </si>
  <si>
    <t>Thời gian vào: 2026-01-15 08:44:18</t>
  </si>
  <si>
    <t>Thời gian ra: 2026-01-15 18:18:48</t>
  </si>
  <si>
    <t>Thời gian vào: 2026-01-16 08:40:32</t>
  </si>
  <si>
    <t>Thời gian ra: 2026-01-16 18:44:51</t>
  </si>
  <si>
    <t>Thời gian vào: 2026-01-19 08:40:55</t>
  </si>
  <si>
    <t>Thời gian ra: 2026-01-19 18:17:04</t>
  </si>
  <si>
    <t>Thời gian vào: 2026-01-20 08:32:06</t>
  </si>
  <si>
    <t>Thời gian ra: 2026-01-20 18:09:37</t>
  </si>
  <si>
    <t>Thời gian vào: 2026-01-21 08:42:39</t>
  </si>
  <si>
    <t>Thời gian ra: 2026-01-21 18:19:06</t>
  </si>
  <si>
    <t>Thời gian vào: 2026-01-22 08:31:10</t>
  </si>
  <si>
    <t>Thời gian ra: 2026-01-22 18:10:18</t>
  </si>
  <si>
    <t>Thời gian vào: 2026-01-23 08:36:51</t>
  </si>
  <si>
    <t>Thời gian ra: 2026-01-23 18:48:06</t>
  </si>
  <si>
    <t>Thời gian vào: 2026-01-26 08:33:56</t>
  </si>
  <si>
    <t>Thời gian ra: 2026-01-26 18:21:21</t>
  </si>
  <si>
    <t>Thời gian vào: 2026-01-27 08:41:14</t>
  </si>
  <si>
    <t>Thời gian ra: 2026-01-27 19:26:22</t>
  </si>
  <si>
    <t>Thời lượng theo dõi:645 phút</t>
  </si>
  <si>
    <t>Thời gian vào: 2026-01-28 08:34:40</t>
  </si>
  <si>
    <t>Thời gian ra: 2026-01-28 18:10:58</t>
  </si>
  <si>
    <t>Thời gian vào: 2026-01-29 08:43:18</t>
  </si>
  <si>
    <t>Thời gian ra: 2026-01-29 18:36:49</t>
  </si>
  <si>
    <t>Thời gian vào: 2026-01-30 08:37:23</t>
  </si>
  <si>
    <t>Thời gian ra: 2026-01-30 19:05:13</t>
  </si>
  <si>
    <t>Thời lượng theo dõi:628 phút</t>
  </si>
  <si>
    <t>Nguyễn Thị Thu Huyền</t>
  </si>
  <si>
    <t>Wichita</t>
  </si>
  <si>
    <t>Nguyễn Phương Thảo</t>
  </si>
  <si>
    <t>Bùi Hoàng Anh</t>
  </si>
  <si>
    <t>Khổng Thị Vân Anh</t>
  </si>
  <si>
    <t>Thời gian vào: 2026-01-08 17:42:40</t>
  </si>
  <si>
    <t>Thời gian ra: 2026-01-08 19:24:38</t>
  </si>
  <si>
    <t>Thời lượng theo dõi:102 phút</t>
  </si>
  <si>
    <t>Thời gian vào: 2026-01-09 07:23:13</t>
  </si>
  <si>
    <t>Thời gian ra: 2026-01-09 19:13:10</t>
  </si>
  <si>
    <t>Thời lượng theo dõi:710 phút</t>
  </si>
  <si>
    <t>Thời gian vào: 2026-01-10 08:54:15</t>
  </si>
  <si>
    <t>Thời gian ra: 2026-01-10 18:57:42</t>
  </si>
  <si>
    <t>Thời gian vào: 2026-01-12 08:58:29</t>
  </si>
  <si>
    <t>Thời gian ra: 2026-01-12 19:40:31</t>
  </si>
  <si>
    <t>Thời lượng theo dõi:642 phút</t>
  </si>
  <si>
    <t>Thời gian vào: 2026-01-13 08:42:53</t>
  </si>
  <si>
    <t>Thời gian ra: 2026-01-13 18:54:20</t>
  </si>
  <si>
    <t>Thời gian vào: 2026-01-14 08:47:38</t>
  </si>
  <si>
    <t>Thời gian ra: 2026-01-14 18:43:15</t>
  </si>
  <si>
    <t>Thời gian vào: 2026-01-15 08:50:23</t>
  </si>
  <si>
    <t>Thời gian ra: 2026-01-15 19:04:06</t>
  </si>
  <si>
    <t>Thời lượng theo dõi:614 phút</t>
  </si>
  <si>
    <t>Thời gian vào: 2026-01-16 13:40:15</t>
  </si>
  <si>
    <t>Thời gian ra: 2026-01-16 18:14:48</t>
  </si>
  <si>
    <t>Thời gian vào: 2026-01-19 08:45:30</t>
  </si>
  <si>
    <t>Thời gian ra: 2026-01-19 12:41:15</t>
  </si>
  <si>
    <t>Thời lượng theo dõi:236 phút</t>
  </si>
  <si>
    <t>Thời gian vào: 2026-01-20 08:46:38</t>
  </si>
  <si>
    <t>Thời gian ra: 2026-01-20 19:53:57</t>
  </si>
  <si>
    <t>Thời gian vào: 2026-01-21 08:45:14</t>
  </si>
  <si>
    <t>Thời gian ra: 2026-01-21 19:16:31</t>
  </si>
  <si>
    <t>Thời gian vào: 2026-01-26 08:47:34</t>
  </si>
  <si>
    <t>Thời gian ra: 2026-01-26 18:33:05</t>
  </si>
  <si>
    <t>Thời gian vào: 2026-01-27 08:53:35</t>
  </si>
  <si>
    <t>Thời gian ra: 2026-01-27 20:40:22</t>
  </si>
  <si>
    <t>Thời lượng theo dõi:707 phút</t>
  </si>
  <si>
    <t>Thời gian vào: 2026-01-28 08:56:03</t>
  </si>
  <si>
    <t>Thời gian ra: 2026-01-28 18:21:55</t>
  </si>
  <si>
    <t>Thời gian vào: 2026-01-29 08:56:30</t>
  </si>
  <si>
    <t>Thời gian ra: 2026-01-29 18:52:13</t>
  </si>
  <si>
    <t>Thời gian vào: 2026-01-30 08:56:36</t>
  </si>
  <si>
    <t>Thời gian ra: 2026-01-30 19:07:48</t>
  </si>
  <si>
    <t>Nguyễn Hà Tú</t>
  </si>
  <si>
    <t>Trendi</t>
  </si>
  <si>
    <t>Thời gian vào: 2026-01-08 16:20:43</t>
  </si>
  <si>
    <t>Thời gian vào: 2026-01-09 08:28:31</t>
  </si>
  <si>
    <t>Thời gian ra: 2026-01-09 20:53:25</t>
  </si>
  <si>
    <t>Thời lượng theo dõi:745 phút</t>
  </si>
  <si>
    <t>Thời gian vào: 2026-01-12 08:27:33</t>
  </si>
  <si>
    <t>Thời gian ra: 2026-01-12 18:56:42</t>
  </si>
  <si>
    <t>Thời gian vào: 2026-01-13 08:30:49</t>
  </si>
  <si>
    <t>Thời gian ra: 2026-01-13 18:47:51</t>
  </si>
  <si>
    <t>Thời lượng theo dõi:617 phút</t>
  </si>
  <si>
    <t>Thời gian vào: 2026-01-14 08:28:35</t>
  </si>
  <si>
    <t>Thời gian ra: 2026-01-14 19:35:13</t>
  </si>
  <si>
    <t>Thời gian vào: 2026-01-15 08:35:57</t>
  </si>
  <si>
    <t>Thời gian ra: 2026-01-15 21:52:42</t>
  </si>
  <si>
    <t>Thời lượng theo dõi:797 phút</t>
  </si>
  <si>
    <t>Thời gian vào: 2026-01-16 08:27:06</t>
  </si>
  <si>
    <t>Thời gian ra: 2026-01-16 12:35:36</t>
  </si>
  <si>
    <t>Thời lượng theo dõi:249 phút</t>
  </si>
  <si>
    <t>Thời gian vào: 2026-01-19 08:43:21</t>
  </si>
  <si>
    <t>Thời gian ra: 2026-01-19 18:15:13</t>
  </si>
  <si>
    <t>Thời gian vào: 2026-01-20 08:28:43</t>
  </si>
  <si>
    <t>Thời gian ra: 2026-01-20 18:08:07</t>
  </si>
  <si>
    <t>Thời gian vào: 2026-01-21 08:28:41</t>
  </si>
  <si>
    <t>Thời gian ra: 2026-01-21 18:06:13</t>
  </si>
  <si>
    <t>Thời gian vào: 2026-01-22 08:31:18</t>
  </si>
  <si>
    <t>Thời gian ra: 2026-01-22 18:09:12</t>
  </si>
  <si>
    <t>Thời gian vào: 2026-01-23 08:26:06</t>
  </si>
  <si>
    <t>Thời gian ra: 2026-01-23 18:05:20</t>
  </si>
  <si>
    <t>Thời gian vào: 2026-01-26 08:34:25</t>
  </si>
  <si>
    <t>Thời gian ra: 2026-01-26 18:18:50</t>
  </si>
  <si>
    <t>Thời lượng theo dõi:584 phút</t>
  </si>
  <si>
    <t>Thời gian vào: 2026-01-27 08:30:17</t>
  </si>
  <si>
    <t>Thời gian ra: 2026-01-27 17:36:40</t>
  </si>
  <si>
    <t>Thời gian vào: 2026-01-28 08:28:36</t>
  </si>
  <si>
    <t>Thời gian ra: 2026-01-28 17:44:43</t>
  </si>
  <si>
    <t>Thời gian vào: 2026-01-29 08:25:34</t>
  </si>
  <si>
    <t>Thời gian ra: 2026-01-29 17:46:51</t>
  </si>
  <si>
    <t>Thời gian vào: 2026-01-30 08:30:38</t>
  </si>
  <si>
    <t>Thời gian ra: 2026-01-30 18:29:18</t>
  </si>
  <si>
    <t>Đào Thị Thơm</t>
  </si>
  <si>
    <t>Thời gian vào: 2026-01-08 16:16:07</t>
  </si>
  <si>
    <t>Thời gian ra: 2026-01-08 19:24:45</t>
  </si>
  <si>
    <t>Thời lượng theo dõi:189 phút</t>
  </si>
  <si>
    <t>Thời gian vào: 2026-01-09 09:17:52</t>
  </si>
  <si>
    <t>Thời gian ra: 2026-01-09 19:17:50</t>
  </si>
  <si>
    <t>Thời gian vào: 2026-01-10 08:48:40</t>
  </si>
  <si>
    <t>Thời gian ra: 2026-01-10 19:50:57</t>
  </si>
  <si>
    <t>Thời lượng theo dõi:662 phút</t>
  </si>
  <si>
    <t>Thời gian vào: 2026-01-12 08:56:06</t>
  </si>
  <si>
    <t>Thời gian ra: 2026-01-12 19:35:53</t>
  </si>
  <si>
    <t>Thời gian vào: 2026-01-13 09:08:30</t>
  </si>
  <si>
    <t>Thời gian ra: 2026-01-13 18:52:11</t>
  </si>
  <si>
    <t>Thời gian vào: 2026-01-15 08:52:02</t>
  </si>
  <si>
    <t>Thời gian ra: 2026-01-15 18:55:26</t>
  </si>
  <si>
    <t>Thời gian vào: 2026-01-16 14:35:30</t>
  </si>
  <si>
    <t>Thời gian ra: 2026-01-16 18:19:44</t>
  </si>
  <si>
    <t>Thời lượng theo dõi:224 phút</t>
  </si>
  <si>
    <t>Thời gian vào: 2026-01-19 08:59:55</t>
  </si>
  <si>
    <t>Thời gian ra: 2026-01-19 18:31:54</t>
  </si>
  <si>
    <t>Thời gian vào: 2026-01-20 08:47:31</t>
  </si>
  <si>
    <t>Thời gian ra: 2026-01-20 18:28:42</t>
  </si>
  <si>
    <t>Thời gian vào: 2026-01-21 08:53:33</t>
  </si>
  <si>
    <t>Thời gian ra: 2026-01-21 18:03:56</t>
  </si>
  <si>
    <t>Thời gian vào: 2026-01-22 08:54:54</t>
  </si>
  <si>
    <t>Thời gian ra: 2026-01-22 18:06:41</t>
  </si>
  <si>
    <t>Thời gian vào: 2026-01-23 08:56:42</t>
  </si>
  <si>
    <t>Thời gian ra: 2026-01-23 18:52:01</t>
  </si>
  <si>
    <t>Thời gian vào: 2026-01-26 08:59:56</t>
  </si>
  <si>
    <t>Thời gian ra: 2026-01-26 18:10:12</t>
  </si>
  <si>
    <t>Thời gian vào: 2026-01-27 08:58:33</t>
  </si>
  <si>
    <t>Thời gian ra: 2026-01-27 18:10:46</t>
  </si>
  <si>
    <t>Thời gian vào: 2026-01-28 09:00:59</t>
  </si>
  <si>
    <t>Thời gian ra: 2026-01-28 18:20:52</t>
  </si>
  <si>
    <t>Thời gian vào: 2026-01-30 09:00:46</t>
  </si>
  <si>
    <t>Thời gian ra: 2026-01-30 18:02:26</t>
  </si>
  <si>
    <t>Mai Công Huân</t>
  </si>
  <si>
    <t>Thời gian vào: 2026-01-08 16:27:38</t>
  </si>
  <si>
    <t>Thời gian ra: 2026-01-08 18:20:57</t>
  </si>
  <si>
    <t>Thời lượng theo dõi:113 phút</t>
  </si>
  <si>
    <t>Thời gian vào: 2026-01-09 08:29:20</t>
  </si>
  <si>
    <t>Thời gian ra: 2026-01-09 18:10:11</t>
  </si>
  <si>
    <t>Thời gian vào: 2026-01-12 08:26:55</t>
  </si>
  <si>
    <t>Thời gian ra: 2026-01-12 18:04:58</t>
  </si>
  <si>
    <t>Thời gian vào: 2026-01-13 08:26:37</t>
  </si>
  <si>
    <t>Thời gian ra: 2026-01-13 18:05:21</t>
  </si>
  <si>
    <t>Thời gian vào: 2026-01-14 12:57:37</t>
  </si>
  <si>
    <t>Thời gian ra: 2026-01-14 22:10:06</t>
  </si>
  <si>
    <t>Thời gian vào: 2026-01-15 08:32:29</t>
  </si>
  <si>
    <t>Thời gian ra: 2026-01-15 12:28:51</t>
  </si>
  <si>
    <t>Thời gian vào: 2026-01-16 00:16:16</t>
  </si>
  <si>
    <t>Thời gian ra: 2026-01-16 16:35:57</t>
  </si>
  <si>
    <t>Thời lượng theo dõi:980 phút</t>
  </si>
  <si>
    <t>Thời gian vào: 2026-01-19 08:29:26</t>
  </si>
  <si>
    <t>Thời gian ra: 2026-01-19 18:03:03</t>
  </si>
  <si>
    <t>Thời gian vào: 2026-01-20 08:26:16</t>
  </si>
  <si>
    <t>Thời gian ra: 2026-01-20 18:04:16</t>
  </si>
  <si>
    <t>Thời gian vào: 2026-01-21 08:22:35</t>
  </si>
  <si>
    <t>Thời gian vào: 2026-01-22 08:29:05</t>
  </si>
  <si>
    <t>Thời gian ra: 2026-01-22 18:03:44</t>
  </si>
  <si>
    <t>Thời gian vào: 2026-01-23 08:29:24</t>
  </si>
  <si>
    <t>Thời gian ra: 2026-01-23 20:59:15</t>
  </si>
  <si>
    <t>Thời lượng theo dõi:750 phút</t>
  </si>
  <si>
    <t>Thời gian vào: 2026-01-26 13:19:58</t>
  </si>
  <si>
    <t>Thời gian ra: 2026-01-26 18:58:54</t>
  </si>
  <si>
    <t>Thời lượng theo dõi:339 phút</t>
  </si>
  <si>
    <t>Thời gian vào: 2026-01-27 08:38:14</t>
  </si>
  <si>
    <t>Thời gian vào: 2026-01-28 10:34:15</t>
  </si>
  <si>
    <t>Thời gian ra: 2026-01-28 18:49:58</t>
  </si>
  <si>
    <t>Thời lượng theo dõi:496 phút</t>
  </si>
  <si>
    <t>Thời gian vào: 2026-01-29 08:27:56</t>
  </si>
  <si>
    <t>Thời gian ra: 2026-01-29 18:13:58</t>
  </si>
  <si>
    <t>Thời gian vào: 2026-01-30 08:25:29</t>
  </si>
  <si>
    <t>Thời gian ra: 2026-01-30 18:51:56</t>
  </si>
  <si>
    <t>Thời gian vào: 2026-02-01 14:07:30</t>
  </si>
  <si>
    <t>Lương Tú Đức</t>
  </si>
  <si>
    <t>Thời gian vào: 2026-01-26 17:43:10</t>
  </si>
  <si>
    <t>Thời gian ra: 2026-01-26 18:35:07</t>
  </si>
  <si>
    <t>Thời lượng theo dõi:52 phút</t>
  </si>
  <si>
    <t>Thời gian vào: 2026-01-27 08:34:25</t>
  </si>
  <si>
    <t>Thời gian ra: 2026-01-27 18:31:03</t>
  </si>
  <si>
    <t>Thời gian vào: 2026-01-28 08:31:18</t>
  </si>
  <si>
    <t>Thời gian ra: 2026-01-28 22:30:39</t>
  </si>
  <si>
    <t>Thời lượng theo dõi:839 phút</t>
  </si>
  <si>
    <t>Thời gian vào: 2026-01-29 09:05:54</t>
  </si>
  <si>
    <t>Thời gian ra: 2026-01-29 22:24:07</t>
  </si>
  <si>
    <t>Thời lượng theo dõi:798 phút</t>
  </si>
  <si>
    <t>Thời gian vào: 2026-01-30 09:48:51</t>
  </si>
  <si>
    <t>Thời gian ra: 2026-01-30 19:54:35</t>
  </si>
  <si>
    <t>Thời gian vào: 2026-02-01 10:48:24</t>
  </si>
  <si>
    <t>Thời gian ra: 2026-02-01 10:48:28</t>
  </si>
  <si>
    <t>Bùi Minh Huy</t>
  </si>
  <si>
    <t>Canopi</t>
  </si>
  <si>
    <t>Thời gian vào: 2026-01-29 15:47:39</t>
  </si>
  <si>
    <t>Thời gian ra: 2026-01-29 18:21:43</t>
  </si>
  <si>
    <t>Thời lượng theo dõi:154 phút</t>
  </si>
  <si>
    <t>Thời gian vào: 2026-01-30 08:19:58</t>
  </si>
  <si>
    <t>Thời gian ra: 2026-01-30 18:22:42</t>
  </si>
  <si>
    <t>Vũ Thị Thuý Nga</t>
  </si>
  <si>
    <t>Nguyễn Minh Hạnh</t>
  </si>
  <si>
    <t xml:space="preserve">Cần kiểm tra </t>
  </si>
  <si>
    <t xml:space="preserve">TET </t>
  </si>
  <si>
    <t xml:space="preserve">NP </t>
  </si>
  <si>
    <t xml:space="preserve">Weekend </t>
  </si>
  <si>
    <t>Thời gian vào: 2026-01-05 08:27:20</t>
  </si>
  <si>
    <t>Thời gian ra: 2026-01-05 18:27:25</t>
  </si>
  <si>
    <t>Họp sửa đề cương HMUH tại BV</t>
  </si>
  <si>
    <t>Thời gian vào: 2026-01-06 18:22:30</t>
  </si>
  <si>
    <t>Thời gian vào: 2026-01-07 08:08:56</t>
  </si>
  <si>
    <t>Thời gian ra: 2026-01-07 18:02:00</t>
  </si>
  <si>
    <t>Thời gian vào: 2026-01-08 08:22:38</t>
  </si>
  <si>
    <t>Thời gian ra: 2026-01-08 18:29:43</t>
  </si>
  <si>
    <t xml:space="preserve">REMOTE </t>
  </si>
  <si>
    <t>Thời gian vào: 2026-01-09 08:24:40</t>
  </si>
  <si>
    <t>Thời gian ra: 2026-01-09 12:19:50</t>
  </si>
  <si>
    <t>No data</t>
  </si>
  <si>
    <t>ko check out?</t>
  </si>
  <si>
    <t>Thời gian vào: 2026-01-13 08:18:45</t>
  </si>
  <si>
    <t>Thời gian vào: 2026-01-14 08:18:56</t>
  </si>
  <si>
    <t>Thời gian ra: 2026-01-14 18:15:16</t>
  </si>
  <si>
    <t>Thời gian vào: 2026-01-15 18:20:22</t>
  </si>
  <si>
    <t>Họp sửa hồ sơ với BV</t>
  </si>
  <si>
    <t>Thời gian vào: 2026-01-16 08:17:50</t>
  </si>
  <si>
    <t>Thời gian ra: 2026-01-16 12:43:20</t>
  </si>
  <si>
    <t>Thời lượng theo dõi:266 phút</t>
  </si>
  <si>
    <t>Thời gian vào: 2026-01-19 08:27:44</t>
  </si>
  <si>
    <t>Thời gian ra: 2026-01-19 16:54:06</t>
  </si>
  <si>
    <t>ko chekc in?</t>
  </si>
  <si>
    <t>Thời gian vào: 2026-01-20 18:21:07</t>
  </si>
  <si>
    <t>Thời gian vào: 2026-01-21 08:24:53</t>
  </si>
  <si>
    <t>Thời gian ra: 2026-01-21 18:19:33</t>
  </si>
  <si>
    <t xml:space="preserve">Cần kiêm tra </t>
  </si>
  <si>
    <t xml:space="preserve">Remote </t>
  </si>
  <si>
    <t>Thời gian vào: 2026-01-23 08:26:17</t>
  </si>
  <si>
    <t>Thời gian ra: 2026-01-23 13:33:21</t>
  </si>
  <si>
    <t>Thời lượng theo dõi:307 phút</t>
  </si>
  <si>
    <t>Thời gian vào: 2026-01-26 08:27:53</t>
  </si>
  <si>
    <t>Thời gian vào: 2026-01-28 08:26:10</t>
  </si>
  <si>
    <t>Thời gian vào: 2026-01-29 08:22:46</t>
  </si>
  <si>
    <t>Thời gian vào: 2026-01-30 08:31:05</t>
  </si>
  <si>
    <t>Thời gian ra: 2026-01-30 17:39:21</t>
  </si>
  <si>
    <t>Trần Mai Anh</t>
  </si>
  <si>
    <t>PH</t>
  </si>
  <si>
    <t>Thời gian vào: 2026-01-05 08:35:55</t>
  </si>
  <si>
    <t>Thời gian ra: 2026-01-05 18:16:13</t>
  </si>
  <si>
    <t>Thời gian vào: 2026-01-06 08:45:12</t>
  </si>
  <si>
    <t>Thời gian ra: 2026-01-06 18:20:34</t>
  </si>
  <si>
    <t>Thời gian vào: 2026-01-07 08:51:07</t>
  </si>
  <si>
    <t>Thời gian ra: 2026-01-07 18:29:31</t>
  </si>
  <si>
    <t>Thời gian vào: 2026-01-08 10:44:06</t>
  </si>
  <si>
    <t>Thời gian ra: 2026-01-08 18:47:05</t>
  </si>
  <si>
    <t>Thời lượng theo dõi:483 phút</t>
  </si>
  <si>
    <t>Thời gian vào: 2026-01-09 08:56:31</t>
  </si>
  <si>
    <t>Thời gian ra: 2026-01-09 17:10:22</t>
  </si>
  <si>
    <t>Thời gian vào: 2026-01-10 08:42:48</t>
  </si>
  <si>
    <t>Thời gian ra: 2026-01-10 18:05:58</t>
  </si>
  <si>
    <t>Thời gian vào: 2026-01-13 08:47:26</t>
  </si>
  <si>
    <t>Thời gian ra: 2026-01-13 18:12:30</t>
  </si>
  <si>
    <t>Thời gian vào: 2026-01-14 13:39:23</t>
  </si>
  <si>
    <t>Thời gian ra: 2026-01-14 13:39:32</t>
  </si>
  <si>
    <t>Thời gian vào: 2026-01-16 09:54:56</t>
  </si>
  <si>
    <t>Thời gian ra: 2026-01-16 18:42:42</t>
  </si>
  <si>
    <t>Thời lượng theo dõi:528 phút</t>
  </si>
  <si>
    <t>Thời gian vào: 2026-01-19 08:38:13</t>
  </si>
  <si>
    <t>Thời gian ra: 2026-01-19 18:14:43</t>
  </si>
  <si>
    <t>Thời gian vào: 2026-01-20 08:10:09</t>
  </si>
  <si>
    <t>Thời gian ra: 2026-01-20 18:07:38</t>
  </si>
  <si>
    <t>Thời gian vào: 2026-01-21 08:39:47</t>
  </si>
  <si>
    <t>Thời gian ra: 2026-01-21 18:11:26</t>
  </si>
  <si>
    <t>Thời gian vào: 2026-01-22 08:29:00</t>
  </si>
  <si>
    <t>Thời gian ra: 2026-01-22 18:40:18</t>
  </si>
  <si>
    <t>Thời gian vào: 2026-01-26 09:06:29</t>
  </si>
  <si>
    <t>Thời gian ra: 2026-01-26 14:15:56</t>
  </si>
  <si>
    <t>Thời lượng theo dõi:309 phút</t>
  </si>
  <si>
    <t>Thời gian vào: 2026-01-27 08:40:05</t>
  </si>
  <si>
    <t>Thời gian ra: 2026-01-27 18:10:29</t>
  </si>
  <si>
    <t>Nguyễn Đức Hùng</t>
  </si>
  <si>
    <t>Đỗ Thị Trang</t>
  </si>
  <si>
    <t>Thời gian vào: 2026-01-05 08:24:33</t>
  </si>
  <si>
    <t>Thời gian ra: 2026-01-05 18:12:34</t>
  </si>
  <si>
    <t>Thời gian vào: 2026-01-06 08:36:24</t>
  </si>
  <si>
    <t>Thời gian ra: 2026-01-06 18:35:55</t>
  </si>
  <si>
    <t>Thời gian vào: 2026-01-07 08:38:04</t>
  </si>
  <si>
    <t>Thời gian ra: 2026-01-07 18:43:40</t>
  </si>
  <si>
    <t>Thời gian vào: 2026-01-08 09:24:31</t>
  </si>
  <si>
    <t>Thời gian ra: 2026-01-08 18:58:10</t>
  </si>
  <si>
    <t>Thời gian vào: 2026-01-09 12:33:08</t>
  </si>
  <si>
    <t>Thời gian vào: 2026-01-12 08:35:37</t>
  </si>
  <si>
    <t>Thời gian ra: 2026-01-12 18:39:44</t>
  </si>
  <si>
    <t>Thời gian vào: 2026-01-13 08:42:39</t>
  </si>
  <si>
    <t>Thời gian ra: 2026-01-13 18:32:01</t>
  </si>
  <si>
    <t>Thời gian vào: 2026-01-14 08:45:21</t>
  </si>
  <si>
    <t>Thời gian ra: 2026-01-14 19:39:45</t>
  </si>
  <si>
    <t>Thời gian vào: 2026-01-15 08:40:08</t>
  </si>
  <si>
    <t>Thời gian ra: 2026-01-15 18:55:30</t>
  </si>
  <si>
    <t>Thời gian vào: 2026-01-16 18:29:20</t>
  </si>
  <si>
    <t>Thời gian vào: 2026-01-19 08:59:26</t>
  </si>
  <si>
    <t>Thời gian ra: 2026-01-19 19:28:02</t>
  </si>
  <si>
    <t>Thời gian vào: 2026-01-20 08:34:28</t>
  </si>
  <si>
    <t>Thời gian ra: 2026-01-20 18:15:03</t>
  </si>
  <si>
    <t>Thời gian vào: 2026-01-21 08:43:19</t>
  </si>
  <si>
    <t>Thời gian ra: 2026-01-21 18:51:55</t>
  </si>
  <si>
    <t>Thời gian vào: 2026-01-22 08:40:04</t>
  </si>
  <si>
    <t>Thời gian ra: 2026-01-22 18:58:56</t>
  </si>
  <si>
    <t>Thời gian vào: 2026-01-26 08:39:34</t>
  </si>
  <si>
    <t>Thời gian ra: 2026-01-26 18:38:42</t>
  </si>
  <si>
    <t>Thời gian vào: 2026-01-27 08:39:28</t>
  </si>
  <si>
    <t>Thời gian ra: 2026-01-27 20:07:35</t>
  </si>
  <si>
    <t>Thời lượng theo dõi:688 phút</t>
  </si>
  <si>
    <t>Thời gian vào: 2026-01-28 08:43:16</t>
  </si>
  <si>
    <t>Thời gian ra: 2026-01-28 19:23:30</t>
  </si>
  <si>
    <t>Thời gian vào: 2026-01-29 08:32:15</t>
  </si>
  <si>
    <t>Thời gian ra: 2026-01-29 19:20:42</t>
  </si>
  <si>
    <t>Thời lượng theo dõi:648 phút</t>
  </si>
  <si>
    <t>Thời gian vào: 2026-01-30 18:23:39</t>
  </si>
  <si>
    <t>Phạm Giang Huy</t>
  </si>
  <si>
    <t>Thời gian vào: 2026-01-05 09:04:46</t>
  </si>
  <si>
    <t>Thời gian ra: 2026-01-05 19:26:38</t>
  </si>
  <si>
    <t>Thời lượng theo dõi:622 phút</t>
  </si>
  <si>
    <t>Thời gian vào: 2026-01-06 12:59:17</t>
  </si>
  <si>
    <t>Thời gian ra: 2026-01-06 20:46:48</t>
  </si>
  <si>
    <t>Thời lượng theo dõi:468 phút</t>
  </si>
  <si>
    <t>Thời gian vào: 2026-01-07 09:22:21</t>
  </si>
  <si>
    <t>Thời gian ra: 2026-01-07 19:57:24</t>
  </si>
  <si>
    <t>Thời lượng theo dõi:635 phút</t>
  </si>
  <si>
    <t>Thời gian vào: 2026-01-08 09:33:34</t>
  </si>
  <si>
    <t>Thời gian ra: 2026-01-08 18:32:13</t>
  </si>
  <si>
    <t>Thời gian vào: 2026-01-09 19:17:42</t>
  </si>
  <si>
    <t>Thời gian vào: 2026-01-10 09:20:54</t>
  </si>
  <si>
    <t>Thời gian ra: 2026-01-10 19:20:46</t>
  </si>
  <si>
    <t>Thời gian vào: 2026-01-12 08:57:17</t>
  </si>
  <si>
    <t>Thời gian ra: 2026-01-12 19:24:30</t>
  </si>
  <si>
    <t>Thời gian vào: 2026-01-13 09:00:53</t>
  </si>
  <si>
    <t>Thời gian ra: 2026-01-13 19:27:42</t>
  </si>
  <si>
    <t>Thời gian vào: 2026-01-14 09:19:26</t>
  </si>
  <si>
    <t>Thời gian ra: 2026-01-14 19:33:24</t>
  </si>
  <si>
    <t>Thời gian vào: 2026-01-15 09:30:41</t>
  </si>
  <si>
    <t>Thời gian ra: 2026-01-15 19:05:13</t>
  </si>
  <si>
    <t>Thời gian vào: 2026-01-16 09:00:11</t>
  </si>
  <si>
    <t>Thời gian ra: 2026-01-16 19:55:53</t>
  </si>
  <si>
    <t>Thời gian vào: 2026-01-19 09:06:51</t>
  </si>
  <si>
    <t>Thời gian ra: 2026-01-19 19:34:31</t>
  </si>
  <si>
    <t>Thời gian vào: 2026-01-20 21:15:17</t>
  </si>
  <si>
    <t>Thời gian ra: 2026-01-20 21:15:18</t>
  </si>
  <si>
    <t>Thời gian vào: 2026-01-21 10:00:51</t>
  </si>
  <si>
    <t>Thời gian ra: 2026-01-21 19:31:26</t>
  </si>
  <si>
    <t>Thời gian vào: 2026-01-22 09:34:06</t>
  </si>
  <si>
    <t>Thời gian ra: 2026-01-22 20:36:50</t>
  </si>
  <si>
    <t>Thời lượng theo dõi:663 phút</t>
  </si>
  <si>
    <t>Thời gian vào: 2026-01-23 13:57:17</t>
  </si>
  <si>
    <t>Thời gian ra: 2026-01-23 21:49:55</t>
  </si>
  <si>
    <t>Thời lượng theo dõi:473 phút</t>
  </si>
  <si>
    <t>Thời gian vào: 2026-01-26 09:19:02</t>
  </si>
  <si>
    <t>Thời gian ra: 2026-01-26 18:29:46</t>
  </si>
  <si>
    <t>Thời gian vào: 2026-01-27 09:13:54</t>
  </si>
  <si>
    <t>Thời gian ra: 2026-01-27 20:40:21</t>
  </si>
  <si>
    <t>Thời lượng theo dõi:686 phút</t>
  </si>
  <si>
    <t>Thời gian vào: 2026-01-28 14:06:23</t>
  </si>
  <si>
    <t>Thời gian ra: 2026-01-28 19:41:29</t>
  </si>
  <si>
    <t>Thời lượng theo dõi:335 phút</t>
  </si>
  <si>
    <t>Thời gian vào: 2026-01-29 09:19:02</t>
  </si>
  <si>
    <t>Thời gian ra: 2026-01-29 20:11:01</t>
  </si>
  <si>
    <t>Thời gian vào: 2026-01-30 10:11:14</t>
  </si>
  <si>
    <t>Thời gian ra: 2026-01-30 10:11:17</t>
  </si>
  <si>
    <t>Vũ Nguyệt Linh</t>
  </si>
  <si>
    <t>Thời gian vào: 2026-01-05 22:02:18</t>
  </si>
  <si>
    <t>Thời gian vào: 2026-01-07 14:14:19</t>
  </si>
  <si>
    <t>Thời gian vào: 2026-01-12 15:25:42</t>
  </si>
  <si>
    <t>Thời gian ra: 2026-01-12 15:26:07</t>
  </si>
  <si>
    <t>Thời gian vào: 2026-01-14 12:02:50</t>
  </si>
  <si>
    <t>Thời gian vào: 2026-01-15 19:04:42</t>
  </si>
  <si>
    <t>Thời gian vào: 2026-01-16 12:31:35</t>
  </si>
  <si>
    <t>Thời gian ra: 2026-01-16 12:32:35</t>
  </si>
  <si>
    <t>Thời gian vào: 2026-01-26 21:03:09</t>
  </si>
  <si>
    <t>Thời gian vào: 2026-01-27 11:06:20</t>
  </si>
  <si>
    <t>Thời gian vào: 2026-01-29 13:00:40</t>
  </si>
  <si>
    <t>Thời gian ra: 2026-01-29 20:12:50</t>
  </si>
  <si>
    <t>Thời lượng theo dõi:432 phút</t>
  </si>
  <si>
    <t>Trương Minh Tú</t>
  </si>
  <si>
    <t>Thời gian vào: 2026-01-05 08:26:35</t>
  </si>
  <si>
    <t>Thời gian ra: 2026-01-05 19:26:33</t>
  </si>
  <si>
    <t>Thời lượng theo dõi:660 phút</t>
  </si>
  <si>
    <t>Thời gian vào: 2026-01-06 09:37:19</t>
  </si>
  <si>
    <t>Thời gian ra: 2026-01-06 14:57:30</t>
  </si>
  <si>
    <t>Thời lượng theo dõi:320 phút</t>
  </si>
  <si>
    <t>Thời gian vào: 2026-01-07 09:04:06</t>
  </si>
  <si>
    <t>Thời gian ra: 2026-01-07 18:56:37</t>
  </si>
  <si>
    <t>Thời gian vào: 2026-01-08 09:26:15</t>
  </si>
  <si>
    <t>Thời gian ra: 2026-01-08 19:14:46</t>
  </si>
  <si>
    <t>Thời gian vào: 2026-01-09 08:47:59</t>
  </si>
  <si>
    <t>Thời gian ra: 2026-01-09 19:17:48</t>
  </si>
  <si>
    <t>Thời lượng theo dõi:630 phút</t>
  </si>
  <si>
    <t>Thời gian vào: 2026-01-10 09:25:32</t>
  </si>
  <si>
    <t>Thời gian ra: 2026-01-10 18:45:50</t>
  </si>
  <si>
    <t>Thời gian vào: 2026-01-12 09:19:08</t>
  </si>
  <si>
    <t>Thời gian ra: 2026-01-12 19:24:18</t>
  </si>
  <si>
    <t>Thời lượng theo dõi:605 phút</t>
  </si>
  <si>
    <t>Thời gian vào: 2026-01-13 08:28:17</t>
  </si>
  <si>
    <t>Thời gian ra: 2026-01-13 18:33:15</t>
  </si>
  <si>
    <t>Thời gian vào: 2026-01-14 09:12:29</t>
  </si>
  <si>
    <t>Thời gian ra: 2026-01-14 18:07:32</t>
  </si>
  <si>
    <t>Thời gian vào: 2026-01-15 13:45:35</t>
  </si>
  <si>
    <t>Thời gian ra: 2026-01-15 19:05:24</t>
  </si>
  <si>
    <t>Thời gian vào: 2026-01-16 08:56:59</t>
  </si>
  <si>
    <t>Thời gian ra: 2026-01-16 18:15:53</t>
  </si>
  <si>
    <t>Thời gian vào: 2026-01-19 09:02:09</t>
  </si>
  <si>
    <t>Thời gian ra: 2026-01-19 18:20:03</t>
  </si>
  <si>
    <t>Thời gian vào: 2026-01-20 09:10:45</t>
  </si>
  <si>
    <t>Thời gian ra: 2026-01-20 18:08:43</t>
  </si>
  <si>
    <t>Thời gian vào: 2026-01-21 09:12:18</t>
  </si>
  <si>
    <t>Thời gian ra: 2026-01-21 17:00:47</t>
  </si>
  <si>
    <t>Thời gian vào: 2026-01-22 09:45:23</t>
  </si>
  <si>
    <t>Thời gian ra: 2026-01-22 18:53:04</t>
  </si>
  <si>
    <t>Thời gian vào: 2026-01-23 09:23:23</t>
  </si>
  <si>
    <t>Thời gian ra: 2026-01-23 17:14:23</t>
  </si>
  <si>
    <t>Thời lượng theo dõi:471 phút</t>
  </si>
  <si>
    <t>Thời gian vào: 2026-01-26 09:23:40</t>
  </si>
  <si>
    <t>Thời gian ra: 2026-01-26 18:21:11</t>
  </si>
  <si>
    <t>Thời gian vào: 2026-01-27 09:19:19</t>
  </si>
  <si>
    <t>Thời gian ra: 2026-01-27 18:13:55</t>
  </si>
  <si>
    <t>Thời gian vào: 2026-01-28 09:32:57</t>
  </si>
  <si>
    <t>Thời gian ra: 2026-01-28 18:51:30</t>
  </si>
  <si>
    <t>Thời gian vào: 2026-01-29 09:01:08</t>
  </si>
  <si>
    <t>Thời gian ra: 2026-01-29 18:21:13</t>
  </si>
  <si>
    <t>Thời gian vào: 2026-01-30 09:26:50</t>
  </si>
  <si>
    <t>Thời gian ra: 2026-01-30 18:17:07</t>
  </si>
  <si>
    <t>Thái Mỹ Linh</t>
  </si>
  <si>
    <t>Thời gian vào: 2026-01-05 18:11:27</t>
  </si>
  <si>
    <t>Thời gian vào: 2026-01-06 14:12:17</t>
  </si>
  <si>
    <t>Thời gian ra: 2026-01-06 18:15:50</t>
  </si>
  <si>
    <t>Thời lượng theo dõi:244 phút</t>
  </si>
  <si>
    <t>Thời gian vào: 2026-01-07 09:00:02</t>
  </si>
  <si>
    <t>Thời gian ra: 2026-01-07 18:39:59</t>
  </si>
  <si>
    <t>Thời gian vào: 2026-01-09 08:24:52</t>
  </si>
  <si>
    <t>Thời gian ra: 2026-01-09 18:14:28</t>
  </si>
  <si>
    <t>Thời gian vào: 2026-01-12 08:24:16</t>
  </si>
  <si>
    <t>Thời gian ra: 2026-01-12 18:12:19</t>
  </si>
  <si>
    <t>Thời gian vào: 2026-01-14 08:39:59</t>
  </si>
  <si>
    <t>Thời gian ra: 2026-01-14 18:02:17</t>
  </si>
  <si>
    <t>Thời gian vào: 2026-01-15 08:22:50</t>
  </si>
  <si>
    <t>Thời gian ra: 2026-01-15 18:58:54</t>
  </si>
  <si>
    <t>Thời lượng theo dõi:636 phút</t>
  </si>
  <si>
    <t>Thời gian vào: 2026-01-16 18:56:08</t>
  </si>
  <si>
    <t>Thời gian vào: 2026-01-19 08:32:46</t>
  </si>
  <si>
    <t>Thời gian ra: 2026-01-19 18:12:20</t>
  </si>
  <si>
    <t>Thời gian vào: 2026-01-20 13:48:45</t>
  </si>
  <si>
    <t>Thời gian ra: 2026-01-20 18:17:18</t>
  </si>
  <si>
    <t>Thời lượng theo dõi:269 phút</t>
  </si>
  <si>
    <t>Thời gian vào: 2026-01-22 08:30:16</t>
  </si>
  <si>
    <t>Thời gian ra: 2026-01-22 18:16:51</t>
  </si>
  <si>
    <t>Thời gian vào: 2026-01-26 08:29:28</t>
  </si>
  <si>
    <t>Thời gian ra: 2026-01-26 09:49:56</t>
  </si>
  <si>
    <t>Thời lượng theo dõi:80 phút</t>
  </si>
  <si>
    <t>Thời gian vào: 2026-01-27 18:13:42</t>
  </si>
  <si>
    <t>Thời gian ra: 2026-01-27 18:13:45</t>
  </si>
  <si>
    <t>Thời gian vào: 2026-01-28 08:28:01</t>
  </si>
  <si>
    <t>Thời gian ra: 2026-01-28 19:37:21</t>
  </si>
  <si>
    <t>Thời lượng theo dõi:669 phút</t>
  </si>
  <si>
    <t>Thời gian vào: 2026-01-29 08:26:58</t>
  </si>
  <si>
    <t>Thời gian ra: 2026-01-29 18:12:21</t>
  </si>
  <si>
    <t>Thời gian vào: 2026-01-30 08:19:06</t>
  </si>
  <si>
    <t>Thời gian ra: 2026-01-30 08:20:26</t>
  </si>
  <si>
    <t>Nguyễn Hà Trang</t>
  </si>
  <si>
    <t>Thời gian vào: 2026-01-05 09:22:20</t>
  </si>
  <si>
    <t>Thời gian ra: 2026-01-05 18:17:02</t>
  </si>
  <si>
    <t>Thời gian vào: 2026-01-06 18:25:47</t>
  </si>
  <si>
    <t>Thời gian ra: 2026-01-06 18:25:51</t>
  </si>
  <si>
    <t>Thời gian vào: 2026-01-07 09:31:27</t>
  </si>
  <si>
    <t>Thời gian ra: 2026-01-07 18:32:21</t>
  </si>
  <si>
    <t>Thời gian vào: 2026-01-08 11:05:39</t>
  </si>
  <si>
    <t>Thời gian ra: 2026-01-08 18:50:01</t>
  </si>
  <si>
    <t>Thời lượng theo dõi:464 phút</t>
  </si>
  <si>
    <t>Thời gian vào: 2026-01-12 08:53:06</t>
  </si>
  <si>
    <t>Thời gian ra: 2026-01-12 18:15:38</t>
  </si>
  <si>
    <t>Thời gian vào: 2026-01-13 18:19:13</t>
  </si>
  <si>
    <t>Thời gian ra: 2026-01-13 18:19:16</t>
  </si>
  <si>
    <t>Thời gian vào: 2026-01-14 16:37:56</t>
  </si>
  <si>
    <t>Thời gian ra: 2026-01-14 18:38:27</t>
  </si>
  <si>
    <t>Thời lượng theo dõi:121 phút</t>
  </si>
  <si>
    <t>Thời gian vào: 2026-01-15 18:30:56</t>
  </si>
  <si>
    <t>Thời gian ra: 2026-01-15 18:31:29</t>
  </si>
  <si>
    <t>Thời gian vào: 2026-01-16 15:19:56</t>
  </si>
  <si>
    <t>Thời gian ra: 2026-01-16 18:47:59</t>
  </si>
  <si>
    <t>Thời lượng theo dõi:208 phút</t>
  </si>
  <si>
    <t>Thời gian vào: 2026-01-19 09:23:33</t>
  </si>
  <si>
    <t>Thời gian ra: 2026-01-19 18:49:28</t>
  </si>
  <si>
    <t>Thời gian vào: 2026-01-20 18:16:44</t>
  </si>
  <si>
    <t>Thời gian ra: 2026-01-20 18:16:45</t>
  </si>
  <si>
    <t>Thời gian vào: 2026-01-21 09:46:20</t>
  </si>
  <si>
    <t>Thời gian ra: 2026-01-21 18:30:02</t>
  </si>
  <si>
    <t>Thời lượng theo dõi:524 phút</t>
  </si>
  <si>
    <t>Thời gian vào: 2026-01-22 08:52:15</t>
  </si>
  <si>
    <t>Thời gian ra: 2026-01-22 18:34:28</t>
  </si>
  <si>
    <t>Thời gian vào: 2026-01-23 10:30:51</t>
  </si>
  <si>
    <t>Thời gian ra: 2026-01-23 18:44:08</t>
  </si>
  <si>
    <t>Thời lượng theo dõi:493 phút</t>
  </si>
  <si>
    <t>Thời gian vào: 2026-01-26 09:21:31</t>
  </si>
  <si>
    <t>Thời gian ra: 2026-01-26 18:29:24</t>
  </si>
  <si>
    <t>Thời gian vào: 2026-01-27 11:06:06</t>
  </si>
  <si>
    <t>Thời gian ra: 2026-01-27 18:24:11</t>
  </si>
  <si>
    <t>Thời lượng theo dõi:438 phút</t>
  </si>
  <si>
    <t>Thời gian vào: 2026-01-28 10:14:46</t>
  </si>
  <si>
    <t>Thời gian vào: 2026-01-29 09:02:45</t>
  </si>
  <si>
    <t>Thời gian ra: 2026-01-29 18:46:49</t>
  </si>
  <si>
    <t>Thời gian vào: 2026-01-30 16:10:20</t>
  </si>
  <si>
    <t>Thời gian ra: 2026-01-30 18:20:03</t>
  </si>
  <si>
    <t>Thời lượng theo dõi:130 phút</t>
  </si>
  <si>
    <t>Ma Thị Thu Hương</t>
  </si>
  <si>
    <t>Thời gian vào: 2026-01-05 09:28:34</t>
  </si>
  <si>
    <t>Thời gian ra: 2026-01-05 18:35:15</t>
  </si>
  <si>
    <t>Thời gian vào: 2026-01-06 09:30:06</t>
  </si>
  <si>
    <t>Thời gian ra: 2026-01-06 18:25:53</t>
  </si>
  <si>
    <t>Thời gian vào: 2026-01-07 09:38:31</t>
  </si>
  <si>
    <t>Thời gian ra: 2026-01-07 18:43:32</t>
  </si>
  <si>
    <t>Thời gian vào: 2026-01-08 09:35:53</t>
  </si>
  <si>
    <t>Thời gian ra: 2026-01-08 18:52:13</t>
  </si>
  <si>
    <t>Thời gian vào: 2026-01-09 09:13:16</t>
  </si>
  <si>
    <t>Thời gian ra: 2026-01-09 19:26:29</t>
  </si>
  <si>
    <t>Thời lượng theo dõi:613 phút</t>
  </si>
  <si>
    <t>Thời gian vào: 2026-01-10 09:45:37</t>
  </si>
  <si>
    <t>Thời gian ra: 2026-01-10 17:47:42</t>
  </si>
  <si>
    <t>Thời lượng theo dõi:482 phút</t>
  </si>
  <si>
    <t>Thời gian vào: 2026-01-12 18:15:30</t>
  </si>
  <si>
    <t>Thời gian vào: 2026-01-13 09:05:02</t>
  </si>
  <si>
    <t>Thời gian ra: 2026-01-13 18:25:44</t>
  </si>
  <si>
    <t>Thời gian vào: 2026-01-14 09:08:04</t>
  </si>
  <si>
    <t>Thời gian ra: 2026-01-14 18:38:19</t>
  </si>
  <si>
    <t>Thời gian vào: 2026-01-15 09:24:09</t>
  </si>
  <si>
    <t>Thời gian ra: 2026-01-15 18:44:10</t>
  </si>
  <si>
    <t>Thời gian vào: 2026-01-16 09:22:45</t>
  </si>
  <si>
    <t>Thời gian ra: 2026-01-16 18:48:15</t>
  </si>
  <si>
    <t>Thời gian vào: 2026-01-19 09:04:54</t>
  </si>
  <si>
    <t>Thời gian ra: 2026-01-19 18:49:26</t>
  </si>
  <si>
    <t>Thời gian vào: 2026-01-20 09:22:42</t>
  </si>
  <si>
    <t>Thời gian ra: 2026-01-20 18:57:18</t>
  </si>
  <si>
    <t>Thời gian vào: 2026-01-21 09:29:54</t>
  </si>
  <si>
    <t>Thời gian ra: 2026-01-21 18:54:44</t>
  </si>
  <si>
    <t>Thời gian vào: 2026-01-22 09:44:33</t>
  </si>
  <si>
    <t>Thời gian ra: 2026-01-22 18:47:35</t>
  </si>
  <si>
    <t>Thời gian vào: 2026-01-23 09:34:56</t>
  </si>
  <si>
    <t>Thời gian ra: 2026-01-23 18:44:10</t>
  </si>
  <si>
    <t>Thời gian vào: 2026-01-27 09:21:38</t>
  </si>
  <si>
    <t>Thời gian ra: 2026-01-27 18:24:06</t>
  </si>
  <si>
    <t>Thời gian vào: 2026-01-28 09:41:36</t>
  </si>
  <si>
    <t>Thời gian ra: 2026-01-28 18:33:08</t>
  </si>
  <si>
    <t>Thời gian vào: 2026-01-29 09:47:44</t>
  </si>
  <si>
    <t>Thời gian ra: 2026-01-29 18:43:58</t>
  </si>
  <si>
    <t>Thời gian vào: 2026-01-30 09:43:55</t>
  </si>
  <si>
    <t>Thời gian ra: 2026-01-30 18:50:40</t>
  </si>
  <si>
    <t>Kím Sơn Tiến</t>
  </si>
  <si>
    <t>Nguyễn Xuân Toàn</t>
  </si>
  <si>
    <t>Thời gian vào: 2026-01-05 08:03:11</t>
  </si>
  <si>
    <t>Thời gian ra: 2026-01-05 18:42:55</t>
  </si>
  <si>
    <t>Thời gian vào: 2026-01-06 08:09:08</t>
  </si>
  <si>
    <t>Thời gian ra: 2026-01-06 18:25:30</t>
  </si>
  <si>
    <t>Thời gian vào: 2026-01-07 08:05:39</t>
  </si>
  <si>
    <t>Thời gian ra: 2026-01-07 18:43:44</t>
  </si>
  <si>
    <t>Thời lượng theo dõi:638 phút</t>
  </si>
  <si>
    <t>Thời gian vào: 2026-01-12 08:07:22</t>
  </si>
  <si>
    <t>Thời gian ra: 2026-01-12 18:40:36</t>
  </si>
  <si>
    <t>Thời gian vào: 2026-01-13 08:05:13</t>
  </si>
  <si>
    <t>Thời gian ra: 2026-01-13 18:19:02</t>
  </si>
  <si>
    <t>Thời gian vào: 2026-01-14 08:09:19</t>
  </si>
  <si>
    <t>Thời gian ra: 2026-01-14 18:48:25</t>
  </si>
  <si>
    <t>Thời gian vào: 2026-01-15 08:09:54</t>
  </si>
  <si>
    <t>Thời gian ra: 2026-01-15 18:33:48</t>
  </si>
  <si>
    <t>Thời gian vào: 2026-01-19 08:09:24</t>
  </si>
  <si>
    <t>Thời gian ra: 2026-01-19 18:41:55</t>
  </si>
  <si>
    <t>Thời gian vào: 2026-01-20 08:04:36</t>
  </si>
  <si>
    <t>Thời gian ra: 2026-01-20 18:03:19</t>
  </si>
  <si>
    <t>Thời gian vào: 2026-01-21 08:02:32</t>
  </si>
  <si>
    <t>Thời gian ra: 2026-01-21 18:10:51</t>
  </si>
  <si>
    <t>Thời gian vào: 2026-01-22 08:03:45</t>
  </si>
  <si>
    <t>Thời gian ra: 2026-01-22 18:03:33</t>
  </si>
  <si>
    <t>Thời gian vào: 2026-01-26 08:08:17</t>
  </si>
  <si>
    <t>Thời gian ra: 2026-01-26 18:43:43</t>
  </si>
  <si>
    <t>Thời gian vào: 2026-01-27 08:06:21</t>
  </si>
  <si>
    <t>Thời gian ra: 2026-01-27 18:17:48</t>
  </si>
  <si>
    <t>Thời gian vào: 2026-01-28 08:06:34</t>
  </si>
  <si>
    <t>Thời gian ra: 2026-01-28 18:05:06</t>
  </si>
  <si>
    <t>Thời gian vào: 2026-01-29 07:57:51</t>
  </si>
  <si>
    <t>Thời gian ra: 2026-01-29 18:33:28</t>
  </si>
  <si>
    <t>Nguyễn Thị Trà My</t>
  </si>
  <si>
    <t>Thời gian vào: 2026-01-08 12:05:35</t>
  </si>
  <si>
    <t>Thời gian ra: 2026-01-08 20:15:42</t>
  </si>
  <si>
    <t>Thời lượng theo dõi:490 phút</t>
  </si>
  <si>
    <t>Thời gian vào: 2026-01-09 18:20:19</t>
  </si>
  <si>
    <t>Thời gian ra: 2026-01-09 18:20:46</t>
  </si>
  <si>
    <t>Thời gian vào: 2026-01-10 12:05:19</t>
  </si>
  <si>
    <t>Thời gian ra: 2026-01-10 18:36:38</t>
  </si>
  <si>
    <t>Thời lượng theo dõi:391 phút</t>
  </si>
  <si>
    <t>Thời gian vào: 2026-01-12 09:58:58</t>
  </si>
  <si>
    <t>Thời gian vào: 2026-01-13 18:33:06</t>
  </si>
  <si>
    <t>Thời gian ra: 2026-01-13 18:33:18</t>
  </si>
  <si>
    <t>Thời gian vào: 2026-01-15 09:19:55</t>
  </si>
  <si>
    <t>Thời gian ra: 2026-01-15 12:11:02</t>
  </si>
  <si>
    <t>Thời lượng theo dõi:171 phút</t>
  </si>
  <si>
    <t>Thời gian vào: 2026-01-17 10:28:12</t>
  </si>
  <si>
    <t>Thời gian vào: 2026-01-19 19:19:34</t>
  </si>
  <si>
    <t>Thời gian ra: 2026-01-19 19:19:37</t>
  </si>
  <si>
    <t>Thời gian vào: 2026-01-20 18:18:27</t>
  </si>
  <si>
    <t>Thời gian ra: 2026-01-20 18:20:06</t>
  </si>
  <si>
    <t>Thời lượng theo dõi:2 phút</t>
  </si>
  <si>
    <t>Thời gian vào: 2026-01-22 10:28:53</t>
  </si>
  <si>
    <t>Thời gian ra: 2026-01-22 10:28:56</t>
  </si>
  <si>
    <t>Thời gian vào: 2026-01-30 12:18:04</t>
  </si>
  <si>
    <t>Thời gian ra: 2026-01-30 12:18:22</t>
  </si>
  <si>
    <t>Thời gian vào: 2026-01-06 13:30:50</t>
  </si>
  <si>
    <t>Thời gian vào: 2026-01-09 12:19:42</t>
  </si>
  <si>
    <t>Thời gian vào: 2026-01-12 08:18:05</t>
  </si>
  <si>
    <t>Thời gian ra: 2026-01-12 18:31:15</t>
  </si>
  <si>
    <t>Thời gian vào: 2026-01-13 16:30:42</t>
  </si>
  <si>
    <t>Thời gian vào: 2026-01-15 08:29:07</t>
  </si>
  <si>
    <t>Thời gian ra: 2026-01-15 18:20:18</t>
  </si>
  <si>
    <t>Thời gian vào: 2026-01-20 08:28:09</t>
  </si>
  <si>
    <t>Thời gian ra: 2026-01-20 18:21:12</t>
  </si>
  <si>
    <t>Thời gian vào: 2026-01-22 08:27:51</t>
  </si>
  <si>
    <t>Thời gian ra: 2026-01-22 18:26:02</t>
  </si>
  <si>
    <t>Thời gian vào: 2026-01-23 13:33:47</t>
  </si>
  <si>
    <t>Thời gian vào: 2026-01-26 18:09:31</t>
  </si>
  <si>
    <t>Thời gian vào: 2026-01-27 08:26:48</t>
  </si>
  <si>
    <t>Thời gian ra: 2026-01-27 18:14:05</t>
  </si>
  <si>
    <t>Nguyễn Văn Hưởng</t>
  </si>
  <si>
    <t>Thời gian vào: 2026-01-05 08:25:30</t>
  </si>
  <si>
    <t>Thời gian ra: 2026-01-05 18:20:14</t>
  </si>
  <si>
    <t>Thời gian vào: 2026-01-06 08:32:42</t>
  </si>
  <si>
    <t>Thời gian ra: 2026-01-06 18:24:18</t>
  </si>
  <si>
    <t>Thời gian vào: 2026-01-07 08:26:48</t>
  </si>
  <si>
    <t>Thời gian ra: 2026-01-07 18:35:24</t>
  </si>
  <si>
    <t>Thời gian vào: 2026-01-08 08:21:58</t>
  </si>
  <si>
    <t>Thời gian ra: 2026-01-08 18:29:34</t>
  </si>
  <si>
    <t>Thời gian vào: 2026-01-12 08:27:53</t>
  </si>
  <si>
    <t>Thời gian ra: 2026-01-12 18:24:16</t>
  </si>
  <si>
    <t>Thời gian vào: 2026-01-13 08:26:06</t>
  </si>
  <si>
    <t>Thời gian ra: 2026-01-13 18:26:16</t>
  </si>
  <si>
    <t>Thời gian vào: 2026-01-14 08:24:33</t>
  </si>
  <si>
    <t>Thời gian ra: 2026-01-14 18:24:09</t>
  </si>
  <si>
    <t>Thời gian vào: 2026-01-15 08:22:35</t>
  </si>
  <si>
    <t>Thời gian ra: 2026-01-15 16:36:08</t>
  </si>
  <si>
    <t>Thời gian vào: 2026-01-19 08:21:28</t>
  </si>
  <si>
    <t>Thời gian vào: 2026-01-20 08:25:56</t>
  </si>
  <si>
    <t>Thời gian ra: 2026-01-20 18:37:17</t>
  </si>
  <si>
    <t>Thời gian vào: 2026-01-21 08:21:35</t>
  </si>
  <si>
    <t>Thời gian ra: 2026-01-21 18:29:14</t>
  </si>
  <si>
    <t>Thời gian vào: 2026-01-22 08:28:17</t>
  </si>
  <si>
    <t>Thời gian ra: 2026-01-22 18:22:29</t>
  </si>
  <si>
    <t>Thời gian vào: 2026-01-26 08:24:19</t>
  </si>
  <si>
    <t>Thời gian ra: 2026-01-26 18:19:13</t>
  </si>
  <si>
    <t>Thời gian vào: 2026-01-27 08:27:17</t>
  </si>
  <si>
    <t>Thời gian ra: 2026-01-27 18:29:44</t>
  </si>
  <si>
    <t>Nguyễn Hồng Giang</t>
  </si>
  <si>
    <t>Thời gian vào: 2026-01-02 12:54:01</t>
  </si>
  <si>
    <t>Thời gian ra: 2026-01-02 19:55:50</t>
  </si>
  <si>
    <t>Thời lượng theo dõi:422 phút</t>
  </si>
  <si>
    <t>Thời gian vào: 2026-01-05 09:00:25</t>
  </si>
  <si>
    <t>Thời gian ra: 2026-01-05 19:25:08</t>
  </si>
  <si>
    <t>Thời gian vào: 2026-01-06 09:08:03</t>
  </si>
  <si>
    <t>Thời gian ra: 2026-01-06 21:11:32</t>
  </si>
  <si>
    <t>Thời lượng theo dõi:723 phút</t>
  </si>
  <si>
    <t>Thời gian vào: 2026-01-07 09:00:06</t>
  </si>
  <si>
    <t>Thời gian ra: 2026-01-07 19:57:15</t>
  </si>
  <si>
    <t>Thời lượng theo dõi:657 phút</t>
  </si>
  <si>
    <t>Thời gian vào: 2026-01-08 09:13:45</t>
  </si>
  <si>
    <t>Thời gian ra: 2026-01-08 20:35:51</t>
  </si>
  <si>
    <t>Thời gian vào: 2026-01-09 09:16:56</t>
  </si>
  <si>
    <t>Thời gian ra: 2026-01-09 18:28:19</t>
  </si>
  <si>
    <t>Thời gian vào: 2026-01-10 18:50:52</t>
  </si>
  <si>
    <t>Thời gian ra: 2026-01-10 23:24:18</t>
  </si>
  <si>
    <t>Thời lượng theo dõi:273 phút</t>
  </si>
  <si>
    <t>Thời gian vào: 2026-01-12 08:59:12</t>
  </si>
  <si>
    <t>Thời gian ra: 2026-01-12 21:39:56</t>
  </si>
  <si>
    <t>Thời lượng theo dõi:761 phút</t>
  </si>
  <si>
    <t>Thời gian vào: 2026-01-13 09:02:23</t>
  </si>
  <si>
    <t>Thời gian ra: 2026-01-13 22:05:45</t>
  </si>
  <si>
    <t>Thời lượng theo dõi:783 phút</t>
  </si>
  <si>
    <t>Thời gian vào: 2026-01-14 09:00:14</t>
  </si>
  <si>
    <t>Thời gian vào: 2026-01-15 09:17:19</t>
  </si>
  <si>
    <t>Thời gian ra: 2026-01-15 22:13:26</t>
  </si>
  <si>
    <t>Thời lượng theo dõi:776 phút</t>
  </si>
  <si>
    <t>Thời gian vào: 2026-01-16 17:54:50</t>
  </si>
  <si>
    <t>Thời gian ra: 2026-01-16 17:54:52</t>
  </si>
  <si>
    <t>Thời gian vào: 2026-01-17 11:57:20</t>
  </si>
  <si>
    <t>Thời gian ra: 2026-01-17 21:10:30</t>
  </si>
  <si>
    <t>Thời gian vào: 2026-01-19 09:14:14</t>
  </si>
  <si>
    <t>Thời gian ra: 2026-01-19 20:27:42</t>
  </si>
  <si>
    <t>Thời lượng theo dõi:673 phút</t>
  </si>
  <si>
    <t>Thời gian vào: 2026-01-20 09:06:55</t>
  </si>
  <si>
    <t>Thời gian ra: 2026-01-20 20:48:03</t>
  </si>
  <si>
    <t>Thời lượng theo dõi:701 phút</t>
  </si>
  <si>
    <t>Thời gian vào: 2026-01-21 09:17:23</t>
  </si>
  <si>
    <t>Thời gian ra: 2026-01-21 19:15:06</t>
  </si>
  <si>
    <t>Thời gian vào: 2026-01-22 08:59:44</t>
  </si>
  <si>
    <t>Thời gian vào: 2026-01-23 12:51:57</t>
  </si>
  <si>
    <t>Thời gian ra: 2026-01-23 19:18:46</t>
  </si>
  <si>
    <t>Thời lượng theo dõi:387 phút</t>
  </si>
  <si>
    <t>Thời gian vào: 2026-01-24 14:21:43</t>
  </si>
  <si>
    <t>Thời gian ra: 2026-01-24 14:21:47</t>
  </si>
  <si>
    <t>Thời gian vào: 2026-01-26 08:59:43</t>
  </si>
  <si>
    <t>Thời gian ra: 2026-01-26 19:29:41</t>
  </si>
  <si>
    <t>Thời gian vào: 2026-01-27 09:12:43</t>
  </si>
  <si>
    <t>Thời gian ra: 2026-01-27 20:24:18</t>
  </si>
  <si>
    <t>Thời lượng theo dõi:672 phút</t>
  </si>
  <si>
    <t>Thời gian vào: 2026-01-28 08:53:35</t>
  </si>
  <si>
    <t>Thời gian ra: 2026-01-28 20:54:59</t>
  </si>
  <si>
    <t>Thời lượng theo dõi:721 phút</t>
  </si>
  <si>
    <t>Thời gian vào: 2026-01-29 09:16:05</t>
  </si>
  <si>
    <t>Thời gian ra: 2026-01-29 21:32:25</t>
  </si>
  <si>
    <t>Thời lượng theo dõi:736 phút</t>
  </si>
  <si>
    <t>Thời gian vào: 2026-01-30 22:04:55</t>
  </si>
  <si>
    <t>Thời gian ra: 2026-01-30 22:05:07</t>
  </si>
  <si>
    <t>Trần Thị Thu Hiền</t>
  </si>
  <si>
    <t>Thời gian vào: 2026-01-05 08:17:54</t>
  </si>
  <si>
    <t>Thời gian ra: 2026-01-05 18:26:23</t>
  </si>
  <si>
    <t>Thời gian vào: 2026-01-06 08:30:56</t>
  </si>
  <si>
    <t>Thời gian ra: 2026-01-06 18:20:29</t>
  </si>
  <si>
    <t>Thời gian vào: 2026-01-07 08:15:59</t>
  </si>
  <si>
    <t>Thời gian ra: 2026-01-07 18:18:49</t>
  </si>
  <si>
    <t>Thời gian vào: 2026-01-08 08:21:15</t>
  </si>
  <si>
    <t>Thời gian ra: 2026-01-08 18:17:23</t>
  </si>
  <si>
    <t>Thời gian vào: 2026-01-12 08:20:32</t>
  </si>
  <si>
    <t>Thời gian ra: 2026-01-12 18:23:26</t>
  </si>
  <si>
    <t>Thời gian vào: 2026-01-13 08:12:01</t>
  </si>
  <si>
    <t>Thời gian ra: 2026-01-13 18:11:03</t>
  </si>
  <si>
    <t>Thời gian vào: 2026-01-14 08:15:25</t>
  </si>
  <si>
    <t>Thời gian ra: 2026-01-14 18:17:10</t>
  </si>
  <si>
    <t>Thời gian vào: 2026-01-15 08:23:19</t>
  </si>
  <si>
    <t>Thời gian ra: 2026-01-15 16:35:22</t>
  </si>
  <si>
    <t>Thời gian vào: 2026-01-19 08:23:04</t>
  </si>
  <si>
    <t>Thời gian ra: 2026-01-19 12:15:06</t>
  </si>
  <si>
    <t>Thời lượng theo dõi:232 phút</t>
  </si>
  <si>
    <t>Thời gian vào: 2026-01-20 08:21:52</t>
  </si>
  <si>
    <t>Thời gian ra: 2026-01-20 18:09:45</t>
  </si>
  <si>
    <t>Thời gian vào: 2026-01-21 08:21:29</t>
  </si>
  <si>
    <t>Thời gian ra: 2026-01-21 18:22:53</t>
  </si>
  <si>
    <t>Thời gian vào: 2026-01-22 08:20:01</t>
  </si>
  <si>
    <t>Thời gian ra: 2026-01-22 17:32:02</t>
  </si>
  <si>
    <t>Thời gian ra: 2026-01-26 18:24:52</t>
  </si>
  <si>
    <t>Thời gian vào: 2026-01-27 08:20:10</t>
  </si>
  <si>
    <t>Thời gian ra: 2026-01-27 18:19:47</t>
  </si>
  <si>
    <t>Thời gian vào: 2026-01-28 08:22:49</t>
  </si>
  <si>
    <t>Thời gian ra: 2026-01-28 17:37:36</t>
  </si>
  <si>
    <t>Thời gian vào: 2026-01-29 08:21:00</t>
  </si>
  <si>
    <t>Thời gian ra: 2026-01-29 17:53:11</t>
  </si>
  <si>
    <t>Hoàng Đức Thắng</t>
  </si>
  <si>
    <t>Thời gian vào: 2026-01-02 19:00:40</t>
  </si>
  <si>
    <t>Thời gian ra: 2026-01-02 19:00:50</t>
  </si>
  <si>
    <t>Thời gian vào: 2026-01-05 08:43:56</t>
  </si>
  <si>
    <t>Thời gian ra: 2026-01-05 19:02:10</t>
  </si>
  <si>
    <t>Thời gian vào: 2026-01-06 09:01:34</t>
  </si>
  <si>
    <t>Thời gian ra: 2026-01-06 21:11:18</t>
  </si>
  <si>
    <t>Thời gian vào: 2026-01-07 08:48:35</t>
  </si>
  <si>
    <t>Thời gian ra: 2026-01-07 19:56:16</t>
  </si>
  <si>
    <t>Thời lượng theo dõi:668 phút</t>
  </si>
  <si>
    <t>Thời gian vào: 2026-01-08 08:39:59</t>
  </si>
  <si>
    <t>Thời gian ra: 2026-01-08 18:48:21</t>
  </si>
  <si>
    <t>Thời gian vào: 2026-01-09 19:21:39</t>
  </si>
  <si>
    <t>Thời gian ra: 2026-01-09 19:22:10</t>
  </si>
  <si>
    <t>Thời gian vào: 2026-01-10 16:31:39</t>
  </si>
  <si>
    <t>Thời gian ra: 2026-01-10 17:18:06</t>
  </si>
  <si>
    <t>Thời lượng theo dõi:46 phút</t>
  </si>
  <si>
    <t>Thời gian vào: 2026-01-12 08:39:11</t>
  </si>
  <si>
    <t>Thời gian ra: 2026-01-12 18:42:49</t>
  </si>
  <si>
    <t>Thời gian vào: 2026-01-13 08:44:05</t>
  </si>
  <si>
    <t>Thời gian ra: 2026-01-13 21:22:41</t>
  </si>
  <si>
    <t>Thời lượng theo dõi:759 phút</t>
  </si>
  <si>
    <t>Thời gian vào: 2026-01-14 08:47:40</t>
  </si>
  <si>
    <t>Thời gian ra: 2026-01-14 18:57:14</t>
  </si>
  <si>
    <t>Thời gian vào: 2026-01-15 08:43:07</t>
  </si>
  <si>
    <t>Thời gian ra: 2026-01-15 17:36:08</t>
  </si>
  <si>
    <t>Thời gian vào: 2026-01-16 09:36:24</t>
  </si>
  <si>
    <t>Thời gian ra: 2026-01-16 22:09:29</t>
  </si>
  <si>
    <t>Thời gian vào: 2026-01-19 08:32:56</t>
  </si>
  <si>
    <t>Thời gian ra: 2026-01-19 18:53:00</t>
  </si>
  <si>
    <t>Thời lượng theo dõi:620 phút</t>
  </si>
  <si>
    <t>Thời gian vào: 2026-01-20 08:42:01</t>
  </si>
  <si>
    <t>Thời gian ra: 2026-01-20 18:56:01</t>
  </si>
  <si>
    <t>Thời gian vào: 2026-01-21 08:54:48</t>
  </si>
  <si>
    <t>Thời gian ra: 2026-01-21 18:51:28</t>
  </si>
  <si>
    <t>Thời gian vào: 2026-01-22 08:49:19</t>
  </si>
  <si>
    <t>Thời gian vào: 2026-01-30 21:33:01</t>
  </si>
  <si>
    <t>Ngũ Thị Trà Mi</t>
  </si>
  <si>
    <t>Thời gian vào: 2026-01-05 08:43:54</t>
  </si>
  <si>
    <t>Thời gian ra: 2026-01-05 18:51:43</t>
  </si>
  <si>
    <t>Thời gian vào: 2026-01-06 08:42:39</t>
  </si>
  <si>
    <t>Thời gian ra: 2026-01-06 18:49:15</t>
  </si>
  <si>
    <t>Thời gian vào: 2026-01-07 08:31:35</t>
  </si>
  <si>
    <t>Thời gian ra: 2026-01-07 18:46:20</t>
  </si>
  <si>
    <t>Thời gian vào: 2026-01-08 08:37:24</t>
  </si>
  <si>
    <t>Thời gian ra: 2026-01-08 18:54:52</t>
  </si>
  <si>
    <t>Thời gian vào: 2026-01-11 18:28:01</t>
  </si>
  <si>
    <t>Thời gian ra: 2026-01-11 18:28:29</t>
  </si>
  <si>
    <t>Thời gian vào: 2026-01-12 08:24:08</t>
  </si>
  <si>
    <t>Thời gian ra: 2026-01-12 18:42:32</t>
  </si>
  <si>
    <t>Thời gian vào: 2026-01-13 08:36:14</t>
  </si>
  <si>
    <t>Thời gian ra: 2026-01-13 19:54:09</t>
  </si>
  <si>
    <t>Thời lượng theo dõi:678 phút</t>
  </si>
  <si>
    <t>Thời gian vào: 2026-01-14 10:29:12</t>
  </si>
  <si>
    <t>Thời gian ra: 2026-01-14 18:54:00</t>
  </si>
  <si>
    <t>Thời gian vào: 2026-01-15 08:48:49</t>
  </si>
  <si>
    <t>Thời gian ra: 2026-01-15 18:55:21</t>
  </si>
  <si>
    <t>Thời gian vào: 2026-01-16 16:39:56</t>
  </si>
  <si>
    <t>Thời gian ra: 2026-01-16 16:41:00</t>
  </si>
  <si>
    <t>Thời gian vào: 2026-01-19 21:43:24</t>
  </si>
  <si>
    <t>Thời gian ra: 2026-01-19 21:43:28</t>
  </si>
  <si>
    <t>Thời gian vào: 2026-01-21 08:35:41</t>
  </si>
  <si>
    <t>Thời gian ra: 2026-01-21 18:54:08</t>
  </si>
  <si>
    <t>Thời gian vào: 2026-01-22 08:37:39</t>
  </si>
  <si>
    <t>Thời gian ra: 2026-01-22 18:59:02</t>
  </si>
  <si>
    <t>Thời lượng theo dõi:621 phút</t>
  </si>
  <si>
    <t>Thời gian vào: 2026-01-23 09:06:52</t>
  </si>
  <si>
    <t>Thời gian vào: 2026-01-26 08:45:56</t>
  </si>
  <si>
    <t>Thời gian ra: 2026-01-26 22:18:20</t>
  </si>
  <si>
    <t>Thời lượng theo dõi:812 phút</t>
  </si>
  <si>
    <t>Thời gian vào: 2026-01-27 08:42:44</t>
  </si>
  <si>
    <t>Thời gian ra: 2026-01-27 20:07:39</t>
  </si>
  <si>
    <t>Thời lượng theo dõi:685 phút</t>
  </si>
  <si>
    <t>Thời gian vào: 2026-01-28 08:35:40</t>
  </si>
  <si>
    <t>Thời gian ra: 2026-01-28 19:23:52</t>
  </si>
  <si>
    <t>Thời gian vào: 2026-01-29 08:39:55</t>
  </si>
  <si>
    <t>Thời gian ra: 2026-01-29 21:01:47</t>
  </si>
  <si>
    <t>Thời lượng theo dõi:742 phút</t>
  </si>
  <si>
    <t>Võ Quang Huy</t>
  </si>
  <si>
    <t>Thời gian vào: 2026-01-05 09:00:23</t>
  </si>
  <si>
    <t>Thời gian ra: 2026-01-05 18:21:07</t>
  </si>
  <si>
    <t>Thời gian vào: 2026-01-06 08:58:27</t>
  </si>
  <si>
    <t>Thời gian ra: 2026-01-06 20:06:07</t>
  </si>
  <si>
    <t>Thời gian vào: 2026-01-07 09:00:04</t>
  </si>
  <si>
    <t>Thời gian ra: 2026-01-07 18:25:48</t>
  </si>
  <si>
    <t>Thời gian vào: 2026-01-08 09:02:45</t>
  </si>
  <si>
    <t>Thời gian ra: 2026-01-08 18:53:56</t>
  </si>
  <si>
    <t>Thời gian vào: 2026-01-12 08:53:47</t>
  </si>
  <si>
    <t>Thời gian ra: 2026-01-12 18:26:47</t>
  </si>
  <si>
    <t>Thời gian vào: 2026-01-13 08:47:23</t>
  </si>
  <si>
    <t>Thời gian ra: 2026-01-13 18:22:08</t>
  </si>
  <si>
    <t>Thời gian vào: 2026-01-14 08:53:17</t>
  </si>
  <si>
    <t>Thời gian ra: 2026-01-14 19:36:24</t>
  </si>
  <si>
    <t>Thời gian vào: 2026-01-15 09:01:38</t>
  </si>
  <si>
    <t>Thời gian ra: 2026-01-15 18:26:04</t>
  </si>
  <si>
    <t>Thời gian vào: 2026-01-19 09:41:55</t>
  </si>
  <si>
    <t>Thời gian ra: 2026-01-19 18:23:21</t>
  </si>
  <si>
    <t>Thời lượng theo dõi:521 phút</t>
  </si>
  <si>
    <t>Thời gian vào: 2026-01-20 08:54:06</t>
  </si>
  <si>
    <t>Thời gian ra: 2026-01-20 18:32:54</t>
  </si>
  <si>
    <t>Thời gian vào: 2026-01-21 10:03:13</t>
  </si>
  <si>
    <t>Thời gian ra: 2026-01-21 18:57:42</t>
  </si>
  <si>
    <t>Thời gian vào: 2026-01-22 08:59:37</t>
  </si>
  <si>
    <t>Thời gian ra: 2026-01-22 18:36:15</t>
  </si>
  <si>
    <t>Thời gian vào: 2026-01-26 08:18:24</t>
  </si>
  <si>
    <t>Thời gian ra: 2026-01-26 18:39:01</t>
  </si>
  <si>
    <t>Thời gian vào: 2026-01-27 08:40:00</t>
  </si>
  <si>
    <t>Thời gian vào: 2026-01-28 08:49:24</t>
  </si>
  <si>
    <t>Thời gian ra: 2026-01-28 18:15:55</t>
  </si>
  <si>
    <t>Thời gian vào: 2026-01-29 08:52:29</t>
  </si>
  <si>
    <t>Thời gian ra: 2026-01-29 18:44:44</t>
  </si>
  <si>
    <t>Phan Trọng Giáp</t>
  </si>
  <si>
    <t>Thời gian vào: 2026-01-05 08:26:05</t>
  </si>
  <si>
    <t>Thời gian ra: 2026-01-05 18:06:20</t>
  </si>
  <si>
    <t>Thời gian vào: 2026-01-06 08:29:01</t>
  </si>
  <si>
    <t>Thời gian ra: 2026-01-06 18:04:23</t>
  </si>
  <si>
    <t>Thời gian vào: 2026-01-07 08:28:40</t>
  </si>
  <si>
    <t>Thời gian ra: 2026-01-07 18:01:57</t>
  </si>
  <si>
    <t>Thời gian vào: 2026-01-08 08:28:33</t>
  </si>
  <si>
    <t>Thời gian ra: 2026-01-08 18:03:58</t>
  </si>
  <si>
    <t>Thời gian vào: 2026-01-12 08:28:43</t>
  </si>
  <si>
    <t>Thời gian ra: 2026-01-12 18:01:45</t>
  </si>
  <si>
    <t>Thời gian vào: 2026-01-13 08:28:41</t>
  </si>
  <si>
    <t>Thời gian ra: 2026-01-13 18:01:59</t>
  </si>
  <si>
    <t>Thời gian vào: 2026-01-14 08:24:32</t>
  </si>
  <si>
    <t>Thời gian ra: 2026-01-14 18:01:36</t>
  </si>
  <si>
    <t>Thời gian vào: 2026-01-15 08:28:43</t>
  </si>
  <si>
    <t>Thời gian ra: 2026-01-15 18:01:36</t>
  </si>
  <si>
    <t>Thời gian vào: 2026-01-19 08:23:48</t>
  </si>
  <si>
    <t>Thời gian ra: 2026-01-19 18:02:13</t>
  </si>
  <si>
    <t>Thời gian vào: 2026-01-20 08:26:30</t>
  </si>
  <si>
    <t>Thời gian ra: 2026-01-20 18:02:11</t>
  </si>
  <si>
    <t>Thời gian vào: 2026-01-21 08:29:16</t>
  </si>
  <si>
    <t>Thời gian ra: 2026-01-21 18:01:08</t>
  </si>
  <si>
    <t>Thời gian vào: 2026-01-22 08:31:57</t>
  </si>
  <si>
    <t>Thời gian ra: 2026-01-22 18:02:33</t>
  </si>
  <si>
    <t>Thời gian vào: 2026-01-26 08:32:13</t>
  </si>
  <si>
    <t>Thời gian ra: 2026-01-26 18:00:52</t>
  </si>
  <si>
    <t>Thời gian vào: 2026-01-27 08:29:51</t>
  </si>
  <si>
    <t>Thời gian ra: 2026-01-27 18:02:50</t>
  </si>
  <si>
    <t>Thời gian vào: 2026-01-28 08:32:29</t>
  </si>
  <si>
    <t>Thời gian ra: 2026-01-28 18:02:03</t>
  </si>
  <si>
    <t>Thời gian vào: 2026-01-29 08:28:43</t>
  </si>
  <si>
    <t>Thời gian ra: 2026-01-29 18:01:10</t>
  </si>
  <si>
    <t>Lê Hà Châu</t>
  </si>
  <si>
    <t>Thời gian vào: 2026-01-07 22:15:42</t>
  </si>
  <si>
    <t>Thời gian ra: 2026-01-07 22:15:45</t>
  </si>
  <si>
    <t>Hoàng Văn Hiệp</t>
  </si>
  <si>
    <t>Thời gian vào: 2026-01-05 16:19:35</t>
  </si>
  <si>
    <t>Thời gian vào: 2026-01-06 14:01:53</t>
  </si>
  <si>
    <t>Thời gian ra: 2026-01-06 18:16:37</t>
  </si>
  <si>
    <t>Thời lượng theo dõi:255 phút</t>
  </si>
  <si>
    <t>Thời gian vào: 2026-01-07 09:00:25</t>
  </si>
  <si>
    <t>Thời gian ra: 2026-01-07 18:35:47</t>
  </si>
  <si>
    <t>Thời gian vào: 2026-01-08 18:59:19</t>
  </si>
  <si>
    <t>Thời gian vào: 2026-01-09 08:18:57</t>
  </si>
  <si>
    <t>Thời gian ra: 2026-01-09 18:14:00</t>
  </si>
  <si>
    <t>Thời gian vào: 2026-01-12 08:26:08</t>
  </si>
  <si>
    <t>Thời gian ra: 2026-01-12 18:12:22</t>
  </si>
  <si>
    <t>Thời gian vào: 2026-01-14 08:42:52</t>
  </si>
  <si>
    <t>Thời gian vào: 2026-01-15 08:26:47</t>
  </si>
  <si>
    <t>Thời gian ra: 2026-01-15 19:02:29</t>
  </si>
  <si>
    <t>Thời gian vào: 2026-01-16 18:56:10</t>
  </si>
  <si>
    <t>Thời gian vào: 2026-01-19 08:32:48</t>
  </si>
  <si>
    <t>Thời gian ra: 2026-01-19 18:05:33</t>
  </si>
  <si>
    <t>Thời gian vào: 2026-01-22 08:32:07</t>
  </si>
  <si>
    <t>Thời gian ra: 2026-01-22 18:18:50</t>
  </si>
  <si>
    <t>Thời gian vào: 2026-01-26 08:29:05</t>
  </si>
  <si>
    <t>Thời gian ra: 2026-01-26 18:16:46</t>
  </si>
  <si>
    <t>Thời gian vào: 2026-01-27 13:55:49</t>
  </si>
  <si>
    <t>Thời gian ra: 2026-01-27 18:02:34</t>
  </si>
  <si>
    <t>Thời lượng theo dõi:247 phút</t>
  </si>
  <si>
    <t>Thời gian vào: 2026-01-28 08:25:49</t>
  </si>
  <si>
    <t>Thời gian ra: 2026-01-28 19:31:51</t>
  </si>
  <si>
    <t>Thời gian vào: 2026-01-29 08:26:57</t>
  </si>
  <si>
    <t>Thời gian ra: 2026-01-29 18:05:56</t>
  </si>
  <si>
    <t>Thời gian vào: 2026-01-30 08:22:39</t>
  </si>
  <si>
    <t>Vũ Thị Vân Anh</t>
  </si>
  <si>
    <t>Phan Ngọc Mai</t>
  </si>
  <si>
    <t>Thời gian vào: 2026-01-05 09:05:20</t>
  </si>
  <si>
    <t>Thời gian vào: 2026-01-06 09:42:14</t>
  </si>
  <si>
    <t>Thời gian ra: 2026-01-06 19:07:44</t>
  </si>
  <si>
    <t>Thời gian vào: 2026-01-07 09:04:08</t>
  </si>
  <si>
    <t>Thời gian ra: 2026-01-07 18:08:44</t>
  </si>
  <si>
    <t>Thời gian vào: 2026-01-08 09:24:27</t>
  </si>
  <si>
    <t>Thời gian ra: 2026-01-08 18:34:00</t>
  </si>
  <si>
    <t>Thời gian vào: 2026-01-09 09:32:40</t>
  </si>
  <si>
    <t>Thời gian ra: 2026-01-09 19:21:06</t>
  </si>
  <si>
    <t>Thời gian vào: 2026-01-12 09:22:35</t>
  </si>
  <si>
    <t>Thời gian ra: 2026-01-12 18:39:15</t>
  </si>
  <si>
    <t>Thời gian vào: 2026-01-13 09:14:05</t>
  </si>
  <si>
    <t>Thời gian ra: 2026-01-13 18:35:58</t>
  </si>
  <si>
    <t>Thời gian vào: 2026-01-14 10:15:10</t>
  </si>
  <si>
    <t>Thời gian ra: 2026-01-14 18:14:51</t>
  </si>
  <si>
    <t>Thời lượng theo dõi:480 phút</t>
  </si>
  <si>
    <t>Thời gian vào: 2026-01-15 11:05:58</t>
  </si>
  <si>
    <t>Thời gian ra: 2026-01-15 19:26:10</t>
  </si>
  <si>
    <t>Thời gian vào: 2026-01-16 09:21:09</t>
  </si>
  <si>
    <t>Thời gian ra: 2026-01-16 18:34:49</t>
  </si>
  <si>
    <t>Thời lượng theo dõi:554 phút</t>
  </si>
  <si>
    <t>Thời gian vào: 2026-01-19 09:03:02</t>
  </si>
  <si>
    <t>Thời gian ra: 2026-01-19 18:07:29</t>
  </si>
  <si>
    <t>Thời gian vào: 2026-01-20 09:07:13</t>
  </si>
  <si>
    <t>Thời gian ra: 2026-01-20 18:00:27</t>
  </si>
  <si>
    <t>Thời gian vào: 2026-01-21 10:17:41</t>
  </si>
  <si>
    <t>Thời gian ra: 2026-01-21 19:23:33</t>
  </si>
  <si>
    <t>Thời gian vào: 2026-01-22 13:37:05</t>
  </si>
  <si>
    <t>Thời gian ra: 2026-01-22 18:13:28</t>
  </si>
  <si>
    <t>Thời lượng theo dõi:276 phút</t>
  </si>
  <si>
    <t>Thời gian vào: 2026-01-23 09:40:14</t>
  </si>
  <si>
    <t>Thời gian ra: 2026-01-23 17:19:37</t>
  </si>
  <si>
    <t>Thời lượng theo dõi:459 phút</t>
  </si>
  <si>
    <t>Thời gian vào: 2026-01-26 09:09:46</t>
  </si>
  <si>
    <t>Thời gian ra: 2026-01-26 18:35:45</t>
  </si>
  <si>
    <t>Thời gian vào: 2026-01-27 10:17:58</t>
  </si>
  <si>
    <t>Thời gian ra: 2026-01-27 18:15:06</t>
  </si>
  <si>
    <t>Thời lượng theo dõi:477 phút</t>
  </si>
  <si>
    <t>Thời gian vào: 2026-01-28 09:23:33</t>
  </si>
  <si>
    <t>Thời gian ra: 2026-01-28 18:27:24</t>
  </si>
  <si>
    <t>Thời gian vào: 2026-01-29 14:09:42</t>
  </si>
  <si>
    <t>Thời gian ra: 2026-01-29 18:24:39</t>
  </si>
  <si>
    <t>Thời gian vào: 2026-01-30 09:40:04</t>
  </si>
  <si>
    <t>Thời gian ra: 2026-01-30 19:05:04</t>
  </si>
  <si>
    <t>Nguyễn Thị Khánh Uyên</t>
  </si>
  <si>
    <t>Thời gian vào: 2026-01-05 13:34:26</t>
  </si>
  <si>
    <t>Thời gian ra: 2026-01-05 18:47:34</t>
  </si>
  <si>
    <t>Thời lượng theo dõi:313 phút</t>
  </si>
  <si>
    <t>Thời gian vào: 2026-01-06 08:51:07</t>
  </si>
  <si>
    <t>Thời gian ra: 2026-01-06 19:08:59</t>
  </si>
  <si>
    <t>Thời gian vào: 2026-01-07 09:00:21</t>
  </si>
  <si>
    <t>Thời gian ra: 2026-01-07 18:29:21</t>
  </si>
  <si>
    <t>Thời gian vào: 2026-01-08 08:53:58</t>
  </si>
  <si>
    <t>Thời gian ra: 2026-01-08 18:46:30</t>
  </si>
  <si>
    <t>Thời gian vào: 2026-01-12 08:41:18</t>
  </si>
  <si>
    <t>Thời gian ra: 2026-01-12 20:10:57</t>
  </si>
  <si>
    <t>Thời lượng theo dõi:690 phút</t>
  </si>
  <si>
    <t>Thời gian vào: 2026-01-13 08:42:47</t>
  </si>
  <si>
    <t>Thời gian ra: 2026-01-13 18:24:15</t>
  </si>
  <si>
    <t>Thời gian vào: 2026-01-14 08:54:48</t>
  </si>
  <si>
    <t>Thời gian ra: 2026-01-14 19:02:32</t>
  </si>
  <si>
    <t>Thời gian vào: 2026-01-15 08:53:43</t>
  </si>
  <si>
    <t>Thời gian ra: 2026-01-15 18:36:55</t>
  </si>
  <si>
    <t>Thời gian vào: 2026-01-19 09:02:00</t>
  </si>
  <si>
    <t>Thời gian ra: 2026-01-19 19:27:48</t>
  </si>
  <si>
    <t>Thời gian vào: 2026-01-20 08:53:59</t>
  </si>
  <si>
    <t>Thời gian ra: 2026-01-20 18:33:29</t>
  </si>
  <si>
    <t>Thời gian vào: 2026-01-21 08:50:08</t>
  </si>
  <si>
    <t>Thời gian ra: 2026-01-21 18:20:43</t>
  </si>
  <si>
    <t>Thời gian vào: 2026-01-22 09:04:21</t>
  </si>
  <si>
    <t>Thời gian ra: 2026-01-22 18:34:40</t>
  </si>
  <si>
    <t>Thời gian vào: 2026-01-26 13:44:48</t>
  </si>
  <si>
    <t>Thời gian ra: 2026-01-26 20:44:42</t>
  </si>
  <si>
    <t>Thời lượng theo dõi:420 phút</t>
  </si>
  <si>
    <t>Thời gian vào: 2026-01-27 09:02:44</t>
  </si>
  <si>
    <t>Thời gian ra: 2026-01-27 18:34:27</t>
  </si>
  <si>
    <t>Thời gian vào: 2026-01-28 08:58:23</t>
  </si>
  <si>
    <t>Thời gian ra: 2026-01-28 18:40:56</t>
  </si>
  <si>
    <t>Thời gian vào: 2026-01-29 09:19:06</t>
  </si>
  <si>
    <t>Thời gian ra: 2026-01-29 19:20:47</t>
  </si>
  <si>
    <t>Phạm Thị Thu Hà</t>
  </si>
  <si>
    <t>Thời gian vào: 2026-01-07 15:04:31</t>
  </si>
  <si>
    <t>Thời gian vào: 2026-01-31 13:54:34</t>
  </si>
  <si>
    <t>Bùi Hồng Long</t>
  </si>
  <si>
    <t>Thời gian vào: 2026-01-05 08:52:04</t>
  </si>
  <si>
    <t>Thời gian ra: 2026-01-05 19:06:39</t>
  </si>
  <si>
    <t>Thời gian vào: 2026-01-06 09:15:19</t>
  </si>
  <si>
    <t>Thời gian ra: 2026-01-06 17:54:39</t>
  </si>
  <si>
    <t>Thời lượng theo dõi:519 phút</t>
  </si>
  <si>
    <t>Thời gian vào: 2026-01-07 09:07:24</t>
  </si>
  <si>
    <t>Thời gian ra: 2026-01-07 18:08:35</t>
  </si>
  <si>
    <t>Thời gian vào: 2026-01-08 09:14:41</t>
  </si>
  <si>
    <t>Thời gian ra: 2026-01-08 18:32:18</t>
  </si>
  <si>
    <t>Thời gian vào: 2026-01-09 09:04:16</t>
  </si>
  <si>
    <t>Thời gian ra: 2026-01-09 19:12:48</t>
  </si>
  <si>
    <t>Thời gian vào: 2026-01-10 09:20:43</t>
  </si>
  <si>
    <t>Thời gian ra: 2026-01-10 19:20:57</t>
  </si>
  <si>
    <t>Thời gian vào: 2026-01-12 09:01:01</t>
  </si>
  <si>
    <t>Thời gian ra: 2026-01-12 18:14:22</t>
  </si>
  <si>
    <t>Thời gian vào: 2026-01-13 09:00:51</t>
  </si>
  <si>
    <t>Thời gian ra: 2026-01-13 18:25:05</t>
  </si>
  <si>
    <t>Thời gian vào: 2026-01-14 09:10:25</t>
  </si>
  <si>
    <t>Thời gian ra: 2026-01-14 18:53:44</t>
  </si>
  <si>
    <t>Thời gian vào: 2026-01-15 13:38:06</t>
  </si>
  <si>
    <t>Thời gian ra: 2026-01-15 18:28:20</t>
  </si>
  <si>
    <t>Thời lượng theo dõi:290 phút</t>
  </si>
  <si>
    <t>Thời gian vào: 2026-01-16 09:06:08</t>
  </si>
  <si>
    <t>Thời gian ra: 2026-01-16 18:44:44</t>
  </si>
  <si>
    <t>Thời gian vào: 2026-01-19 09:04:32</t>
  </si>
  <si>
    <t>Thời gian ra: 2026-01-19 18:26:09</t>
  </si>
  <si>
    <t>Thời gian vào: 2026-01-20 08:54:01</t>
  </si>
  <si>
    <t>Thời gian ra: 2026-01-20 19:48:54</t>
  </si>
  <si>
    <t>Thời lượng theo dõi:655 phút</t>
  </si>
  <si>
    <t>Thời gian vào: 2026-01-21 13:33:43</t>
  </si>
  <si>
    <t>Thời gian ra: 2026-01-21 18:06:44</t>
  </si>
  <si>
    <t>Thời gian vào: 2026-01-22 08:52:03</t>
  </si>
  <si>
    <t>Thời gian ra: 2026-01-22 18:51:25</t>
  </si>
  <si>
    <t>Thời gian vào: 2026-01-23 09:04:45</t>
  </si>
  <si>
    <t>Thời gian ra: 2026-01-23 18:49:49</t>
  </si>
  <si>
    <t>Thời gian vào: 2026-01-26 09:04:58</t>
  </si>
  <si>
    <t>Thời gian ra: 2026-01-26 18:15:11</t>
  </si>
  <si>
    <t>Thời gian vào: 2026-01-27 09:05:33</t>
  </si>
  <si>
    <t>Thời gian ra: 2026-01-27 18:34:09</t>
  </si>
  <si>
    <t>Thời gian vào: 2026-01-28 08:39:41</t>
  </si>
  <si>
    <t>Thời gian ra: 2026-01-28 18:59:20</t>
  </si>
  <si>
    <t>Thời gian vào: 2026-01-29 08:08:48</t>
  </si>
  <si>
    <t>Thời gian ra: 2026-01-29 08:19:27</t>
  </si>
  <si>
    <t>Thời lượng theo dõi:11 phút</t>
  </si>
  <si>
    <t>Thời gian vào: 2026-01-30 09:09:31</t>
  </si>
  <si>
    <t>Thời gian ra: 2026-01-30 18:52:49</t>
  </si>
  <si>
    <t>Trần Thị Hải Yến</t>
  </si>
  <si>
    <t>Thời gian vào: 2026-01-05 09:02:25</t>
  </si>
  <si>
    <t>Thời gian ra: 2026-01-05 18:40:50</t>
  </si>
  <si>
    <t>Thời gian vào: 2026-01-06 13:41:24</t>
  </si>
  <si>
    <t>Thời gian ra: 2026-01-06 21:30:32</t>
  </si>
  <si>
    <t>Thời lượng theo dõi:469 phút</t>
  </si>
  <si>
    <t>Thời gian vào: 2026-01-07 09:04:17</t>
  </si>
  <si>
    <t>Thời gian ra: 2026-01-07 18:29:17</t>
  </si>
  <si>
    <t>Thời gian vào: 2026-01-12 09:21:59</t>
  </si>
  <si>
    <t>Thời gian ra: 2026-01-12 20:10:55</t>
  </si>
  <si>
    <t>Thời lượng theo dõi:649 phút</t>
  </si>
  <si>
    <t>Thời gian vào: 2026-01-13 13:47:07</t>
  </si>
  <si>
    <t>Thời gian ra: 2026-01-13 22:38:57</t>
  </si>
  <si>
    <t>Thời gian vào: 2026-01-14 08:57:54</t>
  </si>
  <si>
    <t>Thời gian ra: 2026-01-14 19:02:41</t>
  </si>
  <si>
    <t>Thời gian vào: 2026-01-15 13:36:37</t>
  </si>
  <si>
    <t>Thời gian ra: 2026-01-15 22:01:18</t>
  </si>
  <si>
    <t>Thời gian vào: 2026-01-16 08:32:01</t>
  </si>
  <si>
    <t>Thời gian ra: 2026-01-16 19:25:41</t>
  </si>
  <si>
    <t>Thời gian vào: 2026-01-19 09:19:52</t>
  </si>
  <si>
    <t>Thời gian ra: 2026-01-19 19:58:28</t>
  </si>
  <si>
    <t>Thời gian vào: 2026-01-20 13:39:04</t>
  </si>
  <si>
    <t>Thời gian ra: 2026-01-20 21:31:38</t>
  </si>
  <si>
    <t>Thời gian vào: 2026-01-21 09:39:37</t>
  </si>
  <si>
    <t>Thời gian ra: 2026-01-21 19:12:53</t>
  </si>
  <si>
    <t>Thời gian vào: 2026-01-22 13:36:50</t>
  </si>
  <si>
    <t>Thời gian ra: 2026-01-22 22:14:52</t>
  </si>
  <si>
    <t>Thời lượng theo dõi:518 phút</t>
  </si>
  <si>
    <t>Thời gian vào: 2026-01-26 09:27:49</t>
  </si>
  <si>
    <t>Thời gian ra: 2026-01-26 20:42:36</t>
  </si>
  <si>
    <t>Thời gian vào: 2026-01-27 13:42:41</t>
  </si>
  <si>
    <t>Thời gian ra: 2026-01-27 21:44:00</t>
  </si>
  <si>
    <t>Thời gian vào: 2026-01-28 09:49:45</t>
  </si>
  <si>
    <t>Thời gian ra: 2026-01-28 18:10:02</t>
  </si>
  <si>
    <t>Thời gian vào: 2026-01-29 13:34:41</t>
  </si>
  <si>
    <t>Thời gian ra: 2026-01-29 22:17:25</t>
  </si>
  <si>
    <t>Thời lượng theo dõi:523 phút</t>
  </si>
  <si>
    <t>Trần Thị Kim Tuyến</t>
  </si>
  <si>
    <t>Thời gian vào: 2026-01-05 09:44:32</t>
  </si>
  <si>
    <t>Thời gian ra: 2026-01-05 18:33:04</t>
  </si>
  <si>
    <t>Thời gian vào: 2026-01-06 09:57:08</t>
  </si>
  <si>
    <t>Thời gian ra: 2026-01-06 18:38:03</t>
  </si>
  <si>
    <t>Thời gian vào: 2026-01-07 09:45:40</t>
  </si>
  <si>
    <t>Thời gian ra: 2026-01-07 19:20:30</t>
  </si>
  <si>
    <t>Thời gian vào: 2026-01-08 10:08:08</t>
  </si>
  <si>
    <t>Thời gian ra: 2026-01-08 19:19:57</t>
  </si>
  <si>
    <t>Thời gian vào: 2026-01-11 14:18:41</t>
  </si>
  <si>
    <t>Thời gian ra: 2026-01-11 17:19:07</t>
  </si>
  <si>
    <t>Thời lượng theo dõi:180 phút</t>
  </si>
  <si>
    <t>Thời gian vào: 2026-01-12 09:40:26</t>
  </si>
  <si>
    <t>Thời gian ra: 2026-01-12 20:33:04</t>
  </si>
  <si>
    <t>Thời gian vào: 2026-01-13 08:30:17</t>
  </si>
  <si>
    <t>Thời gian ra: 2026-01-13 17:18:43</t>
  </si>
  <si>
    <t>Thời gian vào: 2026-01-14 08:32:15</t>
  </si>
  <si>
    <t>Thời gian ra: 2026-01-14 16:23:44</t>
  </si>
  <si>
    <t>Thời gian vào: 2026-01-15 08:34:40</t>
  </si>
  <si>
    <t>Thời gian ra: 2026-01-15 22:01:20</t>
  </si>
  <si>
    <t>Thời lượng theo dõi:807 phút</t>
  </si>
  <si>
    <t>Thời gian vào: 2026-01-16 08:32:03</t>
  </si>
  <si>
    <t>Thời gian ra: 2026-01-16 15:32:18</t>
  </si>
  <si>
    <t>Thời gian vào: 2026-01-19 09:48:14</t>
  </si>
  <si>
    <t>Thời gian ra: 2026-01-19 20:57:14</t>
  </si>
  <si>
    <t>Thời gian vào: 2026-01-20 08:48:58</t>
  </si>
  <si>
    <t>Thời gian ra: 2026-01-20 20:45:36</t>
  </si>
  <si>
    <t>Thời lượng theo dõi:717 phút</t>
  </si>
  <si>
    <t>Thời gian vào: 2026-01-21 10:09:27</t>
  </si>
  <si>
    <t>Thời gian ra: 2026-01-21 18:31:12</t>
  </si>
  <si>
    <t>Thời lượng theo dõi:502 phút</t>
  </si>
  <si>
    <t>Thời gian vào: 2026-01-27 09:36:48</t>
  </si>
  <si>
    <t>Thời gian ra: 2026-01-27 18:54:08</t>
  </si>
  <si>
    <t>Thời gian vào: 2026-01-28 10:04:32</t>
  </si>
  <si>
    <t>Thời gian ra: 2026-01-28 19:20:19</t>
  </si>
  <si>
    <t>Thời gian vào: 2026-01-29 09:59:57</t>
  </si>
  <si>
    <t>Thời gian ra: 2026-01-29 19:00:41</t>
  </si>
  <si>
    <t>Trương Thị Xuyến</t>
  </si>
  <si>
    <t>Thời gian vào: 2026-01-05 08:32:36</t>
  </si>
  <si>
    <t>Thời gian ra: 2026-01-05 19:08:06</t>
  </si>
  <si>
    <t>Thời gian vào: 2026-01-06 08:40:36</t>
  </si>
  <si>
    <t>Thời gian ra: 2026-01-06 20:47:55</t>
  </si>
  <si>
    <t>Thời lượng theo dõi:727 phút</t>
  </si>
  <si>
    <t>Thời gian vào: 2026-01-07 08:38:14</t>
  </si>
  <si>
    <t>Thời gian ra: 2026-01-07 15:22:02</t>
  </si>
  <si>
    <t>Thời lượng theo dõi:404 phút</t>
  </si>
  <si>
    <t>Thời gian vào: 2026-01-08 08:38:35</t>
  </si>
  <si>
    <t>Thời gian ra: 2026-01-08 19:13:29</t>
  </si>
  <si>
    <t>Thời gian vào: 2026-01-09 08:30:22</t>
  </si>
  <si>
    <t>Thời gian ra: 2026-01-09 18:41:30</t>
  </si>
  <si>
    <t>Thời gian vào: 2026-01-10 08:48:38</t>
  </si>
  <si>
    <t>Thời gian ra: 2026-01-10 18:55:22</t>
  </si>
  <si>
    <t>Thời gian vào: 2026-01-12 08:08:36</t>
  </si>
  <si>
    <t>Thời gian ra: 2026-01-12 18:06:39</t>
  </si>
  <si>
    <t>Thời gian vào: 2026-01-13 13:08:35</t>
  </si>
  <si>
    <t>Thời gian ra: 2026-01-13 18:34:18</t>
  </si>
  <si>
    <t>Thời lượng theo dõi:326 phút</t>
  </si>
  <si>
    <t>Thời gian vào: 2026-01-14 08:44:13</t>
  </si>
  <si>
    <t>Thời gian ra: 2026-01-14 18:33:27</t>
  </si>
  <si>
    <t>Thời gian vào: 2026-01-15 08:00:39</t>
  </si>
  <si>
    <t>Thời gian ra: 2026-01-15 18:36:38</t>
  </si>
  <si>
    <t>Thời gian vào: 2026-01-16 08:08:25</t>
  </si>
  <si>
    <t>Thời gian ra: 2026-01-16 19:09:34</t>
  </si>
  <si>
    <t>Thời lượng theo dõi:661 phút</t>
  </si>
  <si>
    <t>Thời gian vào: 2026-01-19 08:45:44</t>
  </si>
  <si>
    <t>Thời gian ra: 2026-01-19 19:13:55</t>
  </si>
  <si>
    <t>Thời gian vào: 2026-01-20 08:36:37</t>
  </si>
  <si>
    <t>Thời gian ra: 2026-01-20 19:54:21</t>
  </si>
  <si>
    <t>Thời gian vào: 2026-01-21 13:36:54</t>
  </si>
  <si>
    <t>Thời gian ra: 2026-01-21 18:52:13</t>
  </si>
  <si>
    <t>Thời lượng theo dõi:315 phút</t>
  </si>
  <si>
    <t>Thời gian vào: 2026-01-22 08:38:14</t>
  </si>
  <si>
    <t>Thời gian ra: 2026-01-22 19:06:25</t>
  </si>
  <si>
    <t>Thời gian vào: 2026-01-23 08:26:11</t>
  </si>
  <si>
    <t>Thời gian ra: 2026-01-23 18:19:35</t>
  </si>
  <si>
    <t>Thời gian vào: 2026-01-26 08:31:22</t>
  </si>
  <si>
    <t>Thời gian ra: 2026-01-26 18:21:17</t>
  </si>
  <si>
    <t>Thời gian vào: 2026-01-27 08:23:24</t>
  </si>
  <si>
    <t>Thời gian ra: 2026-01-27 18:46:15</t>
  </si>
  <si>
    <t>Thời gian vào: 2026-01-28 08:44:31</t>
  </si>
  <si>
    <t>Thời gian ra: 2026-01-28 18:08:54</t>
  </si>
  <si>
    <t>Thời gian vào: 2026-01-30 08:14:20</t>
  </si>
  <si>
    <t>Thời gian ra: 2026-01-30 18:23:35</t>
  </si>
  <si>
    <t>Nguyễn Thị Mai Phương</t>
  </si>
  <si>
    <t>Thời gian vào: 2026-01-05 09:02:11</t>
  </si>
  <si>
    <t>Thời gian ra: 2026-01-05 18:07:30</t>
  </si>
  <si>
    <t>Thời gian vào: 2026-01-06 13:28:09</t>
  </si>
  <si>
    <t>Thời gian ra: 2026-01-06 18:03:45</t>
  </si>
  <si>
    <t>Thời gian vào: 2026-01-07 13:33:07</t>
  </si>
  <si>
    <t>Thời gian ra: 2026-01-07 18:04:09</t>
  </si>
  <si>
    <t>Thời gian vào: 2026-01-08 08:38:28</t>
  </si>
  <si>
    <t>Thời gian ra: 2026-01-08 18:02:02</t>
  </si>
  <si>
    <t>Thời gian vào: 2026-01-12 08:35:41</t>
  </si>
  <si>
    <t>Thời gian ra: 2026-01-12 18:04:35</t>
  </si>
  <si>
    <t>Thời gian vào: 2026-01-13 08:54:56</t>
  </si>
  <si>
    <t>Thời gian ra: 2026-01-13 18:04:03</t>
  </si>
  <si>
    <t>Thời gian vào: 2026-01-14 13:31:24</t>
  </si>
  <si>
    <t>Thời gian ra: 2026-01-14 18:02:07</t>
  </si>
  <si>
    <t>Thời gian vào: 2026-01-15 08:43:04</t>
  </si>
  <si>
    <t>Thời gian ra: 2026-01-15 18:03:31</t>
  </si>
  <si>
    <t>Thời gian vào: 2026-01-19 08:59:59</t>
  </si>
  <si>
    <t>Thời gian ra: 2026-01-19 18:03:52</t>
  </si>
  <si>
    <t>Thời gian vào: 2026-01-20 09:35:27</t>
  </si>
  <si>
    <t>Thời gian ra: 2026-01-20 18:03:09</t>
  </si>
  <si>
    <t>Thời lượng theo dõi:508 phút</t>
  </si>
  <si>
    <t>Thời gian vào: 2026-01-21 08:43:25</t>
  </si>
  <si>
    <t>Thời gian ra: 2026-01-21 18:02:50</t>
  </si>
  <si>
    <t>Thời gian vào: 2026-01-22 08:59:42</t>
  </si>
  <si>
    <t>Thời gian ra: 2026-01-22 18:02:02</t>
  </si>
  <si>
    <t>Thời gian vào: 2026-01-26 08:39:08</t>
  </si>
  <si>
    <t>Thời gian ra: 2026-01-26 18:09:42</t>
  </si>
  <si>
    <t>Thời gian vào: 2026-01-27 13:09:32</t>
  </si>
  <si>
    <t>Thời gian ra: 2026-01-27 18:05:51</t>
  </si>
  <si>
    <t>Thời gian vào: 2026-01-28 08:42:29</t>
  </si>
  <si>
    <t>Thời gian ra: 2026-01-28 18:11:36</t>
  </si>
  <si>
    <t>Thời gian vào: 2026-01-29 10:06:36</t>
  </si>
  <si>
    <t>Thời gian ra: 2026-01-29 18:10:23</t>
  </si>
  <si>
    <t>Thời lượng theo dõi:484 phút</t>
  </si>
  <si>
    <t>Nguyễn Minh Quang</t>
  </si>
  <si>
    <t>MKT Nexira</t>
  </si>
  <si>
    <t>Phạm Thị Ánh</t>
  </si>
  <si>
    <t>Thời gian vào: 2026-01-05 08:14:32</t>
  </si>
  <si>
    <t>Thời gian ra: 2026-01-05 18:51:27</t>
  </si>
  <si>
    <t>Thời lượng theo dõi:637 phút</t>
  </si>
  <si>
    <t>Thời gian vào: 2026-01-06 08:47:00</t>
  </si>
  <si>
    <t>Thời gian ra: 2026-01-06 18:20:31</t>
  </si>
  <si>
    <t>Thời gian vào: 2026-01-07 08:15:57</t>
  </si>
  <si>
    <t>Thời gian ra: 2026-01-07 18:46:00</t>
  </si>
  <si>
    <t>Thời gian vào: 2026-01-08 08:16:13</t>
  </si>
  <si>
    <t>Thời gian ra: 2026-01-08 18:58:19</t>
  </si>
  <si>
    <t>Thời gian vào: 2026-01-09 08:00:25</t>
  </si>
  <si>
    <t>Thời gian ra: 2026-01-09 12:33:03</t>
  </si>
  <si>
    <t>Thời gian vào: 2026-01-12 08:24:12</t>
  </si>
  <si>
    <t>Thời gian ra: 2026-01-12 18:39:58</t>
  </si>
  <si>
    <t>Thời gian vào: 2026-01-13 08:30:22</t>
  </si>
  <si>
    <t>Thời gian ra: 2026-01-13 18:39:00</t>
  </si>
  <si>
    <t>Thời gian vào: 2026-01-14 08:35:08</t>
  </si>
  <si>
    <t>Thời gian ra: 2026-01-14 19:38:01</t>
  </si>
  <si>
    <t>Thời gian vào: 2026-01-15 08:27:08</t>
  </si>
  <si>
    <t>Thời gian ra: 2026-01-15 18:46:07</t>
  </si>
  <si>
    <t>Thời gian vào: 2026-01-16 08:29:59</t>
  </si>
  <si>
    <t>Thời gian ra: 2026-01-16 08:30:06</t>
  </si>
  <si>
    <t>Thời gian vào: 2026-01-19 08:17:23</t>
  </si>
  <si>
    <t>Thời gian ra: 2026-01-19 18:47:01</t>
  </si>
  <si>
    <t>Thời gian vào: 2026-01-20 08:17:57</t>
  </si>
  <si>
    <t>Thời gian ra: 2026-01-20 18:15:12</t>
  </si>
  <si>
    <t>Thời gian vào: 2026-01-21 08:21:23</t>
  </si>
  <si>
    <t>Thời gian ra: 2026-01-21 18:54:04</t>
  </si>
  <si>
    <t>Thời gian vào: 2026-01-26 08:33:43</t>
  </si>
  <si>
    <t>Thời gian ra: 2026-01-26 17:25:08</t>
  </si>
  <si>
    <t>Thời lượng theo dõi:531 phút</t>
  </si>
  <si>
    <t>Thời gian vào: 2026-01-27 08:09:07</t>
  </si>
  <si>
    <t>Thời gian ra: 2026-01-27 19:12:37</t>
  </si>
  <si>
    <t>Thời lượng theo dõi:664 phút</t>
  </si>
  <si>
    <t>Thời gian vào: 2026-01-28 08:27:35</t>
  </si>
  <si>
    <t>Thời gian ra: 2026-01-28 19:23:55</t>
  </si>
  <si>
    <t>Thời gian vào: 2026-01-29 08:27:42</t>
  </si>
  <si>
    <t>Thời gian ra: 2026-01-29 19:21:52</t>
  </si>
  <si>
    <t>Thời gian vào: 2026-01-30 18:23:31</t>
  </si>
  <si>
    <t>Thời gian ra: 2026-01-30 18:23:47</t>
  </si>
  <si>
    <t>Nguyễn Hà Thanh</t>
  </si>
  <si>
    <t>Thời gian vào: 2026-01-05 08:40:55</t>
  </si>
  <si>
    <t>Thời gian ra: 2026-01-05 18:34:08</t>
  </si>
  <si>
    <t>Thời gian vào: 2026-01-06 09:09:09</t>
  </si>
  <si>
    <t>Thời gian ra: 2026-01-06 18:34:30</t>
  </si>
  <si>
    <t>Thời gian vào: 2026-01-07 09:00:08</t>
  </si>
  <si>
    <t>Thời gian ra: 2026-01-07 18:46:09</t>
  </si>
  <si>
    <t>Thời gian vào: 2026-01-08 08:38:32</t>
  </si>
  <si>
    <t>Thời gian ra: 2026-01-08 18:07:54</t>
  </si>
  <si>
    <t>Thời gian vào: 2026-01-09 08:40:04</t>
  </si>
  <si>
    <t>Thời gian ra: 2026-01-09 18:19:55</t>
  </si>
  <si>
    <t>Thời gian vào: 2026-01-10 08:39:29</t>
  </si>
  <si>
    <t>Thời gian ra: 2026-01-10 12:12:17</t>
  </si>
  <si>
    <t>Thời lượng theo dõi:213 phút</t>
  </si>
  <si>
    <t>Thời gian vào: 2026-01-12 08:41:02</t>
  </si>
  <si>
    <t>Thời gian vào: 2026-01-13 08:45:47</t>
  </si>
  <si>
    <t>Thời gian ra: 2026-01-13 18:27:27</t>
  </si>
  <si>
    <t>Thời gian vào: 2026-01-14 08:51:00</t>
  </si>
  <si>
    <t>Thời gian ra: 2026-01-14 18:48:30</t>
  </si>
  <si>
    <t>Thời gian vào: 2026-01-15 08:51:23</t>
  </si>
  <si>
    <t>Thời gian ra: 2026-01-15 18:24:54</t>
  </si>
  <si>
    <t>Thời gian vào: 2026-01-16 08:50:48</t>
  </si>
  <si>
    <t>Thời gian ra: 2026-01-16 18:44:47</t>
  </si>
  <si>
    <t>Thời gian vào: 2026-01-21 08:39:43</t>
  </si>
  <si>
    <t>Thời gian ra: 2026-01-21 18:38:51</t>
  </si>
  <si>
    <t>Thời gian vào: 2026-01-22 08:46:18</t>
  </si>
  <si>
    <t>Thời gian ra: 2026-01-22 18:26:24</t>
  </si>
  <si>
    <t>Thời gian vào: 2026-01-23 08:44:15</t>
  </si>
  <si>
    <t>Thời gian ra: 2026-01-23 18:46:03</t>
  </si>
  <si>
    <t>Thời gian vào: 2026-01-26 08:37:55</t>
  </si>
  <si>
    <t>Thời gian ra: 2026-01-26 18:13:30</t>
  </si>
  <si>
    <t>Thời gian vào: 2026-01-27 08:39:25</t>
  </si>
  <si>
    <t>Thời gian ra: 2026-01-27 18:06:15</t>
  </si>
  <si>
    <t>Thời gian vào: 2026-01-28 08:41:01</t>
  </si>
  <si>
    <t>Thời gian ra: 2026-01-28 18:36:40</t>
  </si>
  <si>
    <t>Thời gian vào: 2026-01-29 08:54:36</t>
  </si>
  <si>
    <t>Thời gian ra: 2026-01-29 18:29:18</t>
  </si>
  <si>
    <t>Thời gian vào: 2026-01-30 08:55:18</t>
  </si>
  <si>
    <t>Thời gian ra: 2026-01-30 18:52:14</t>
  </si>
  <si>
    <t>Vũ Hồng Vân</t>
  </si>
  <si>
    <t>Thời gian vào: 2026-01-05 14:30:54</t>
  </si>
  <si>
    <t>Thời gian vào: 2026-01-13 11:04:33</t>
  </si>
  <si>
    <t>Thời gian ra: 2026-01-13 16:22:12</t>
  </si>
  <si>
    <t>Thời gian vào: 2026-01-14 18:48:20</t>
  </si>
  <si>
    <t>Thời gian ra: 2026-01-14 19:53:32</t>
  </si>
  <si>
    <t>Thời lượng theo dõi:65 phút</t>
  </si>
  <si>
    <t>Hồ Nghĩa Hoàng Phúc</t>
  </si>
  <si>
    <t>Hoàng Thị Như Quỳnh</t>
  </si>
  <si>
    <t>Thời gian vào: 2026-01-05 08:38:43</t>
  </si>
  <si>
    <t>Thời gian ra: 2026-01-05 18:15:45</t>
  </si>
  <si>
    <t>Thời gian vào: 2026-01-06 08:32:25</t>
  </si>
  <si>
    <t>Thời gian ra: 2026-01-06 18:23:14</t>
  </si>
  <si>
    <t>Thời gian vào: 2026-01-07 08:36:16</t>
  </si>
  <si>
    <t>Thời gian ra: 2026-01-07 18:22:02</t>
  </si>
  <si>
    <t>Thời gian vào: 2026-01-08 08:36:18</t>
  </si>
  <si>
    <t>Thời gian ra: 2026-01-08 18:27:28</t>
  </si>
  <si>
    <t>Thời gian vào: 2026-01-09 08:56:12</t>
  </si>
  <si>
    <t>Thời gian ra: 2026-01-09 12:15:01</t>
  </si>
  <si>
    <t>Thời lượng theo dõi:199 phút</t>
  </si>
  <si>
    <t>Thời gian vào: 2026-01-12 08:37:17</t>
  </si>
  <si>
    <t>Thời gian ra: 2026-01-12 18:33:17</t>
  </si>
  <si>
    <t>Thời gian vào: 2026-01-13 08:30:13</t>
  </si>
  <si>
    <t>Thời gian ra: 2026-01-13 18:18:52</t>
  </si>
  <si>
    <t>Thời gian vào: 2026-01-14 08:32:29</t>
  </si>
  <si>
    <t>Thời gian ra: 2026-01-14 18:08:24</t>
  </si>
  <si>
    <t>Thời gian vào: 2026-01-15 08:40:10</t>
  </si>
  <si>
    <t>Thời gian ra: 2026-01-15 18:48:47</t>
  </si>
  <si>
    <t>Thời gian vào: 2026-01-20 08:40:25</t>
  </si>
  <si>
    <t>Thời gian ra: 2026-01-20 18:15:14</t>
  </si>
  <si>
    <t>Thời gian vào: 2026-01-21 08:28:31</t>
  </si>
  <si>
    <t>Thời gian ra: 2026-01-21 18:06:58</t>
  </si>
  <si>
    <t>Thời gian vào: 2026-01-22 08:35:23</t>
  </si>
  <si>
    <t>Thời gian ra: 2026-01-22 18:58:33</t>
  </si>
  <si>
    <t>Thời gian vào: 2026-01-26 08:39:11</t>
  </si>
  <si>
    <t>Thời gian ra: 2026-01-26 18:32:03</t>
  </si>
  <si>
    <t>Thời gian vào: 2026-01-27 08:31:49</t>
  </si>
  <si>
    <t>Thời gian ra: 2026-01-27 18:33:00</t>
  </si>
  <si>
    <t>Thời gian vào: 2026-01-28 08:33:08</t>
  </si>
  <si>
    <t>Thời gian ra: 2026-01-28 18:16:52</t>
  </si>
  <si>
    <t>Thời gian vào: 2026-01-29 08:36:44</t>
  </si>
  <si>
    <t>Thời gian ra: 2026-01-29 18:14:33</t>
  </si>
  <si>
    <t>Trần Trường Sơn</t>
  </si>
  <si>
    <t>Thời gian vào: 2026-01-05 09:00:48</t>
  </si>
  <si>
    <t>Thời gian ra: 2026-01-05 18:21:24</t>
  </si>
  <si>
    <t>Thời gian vào: 2026-01-06 09:17:47</t>
  </si>
  <si>
    <t>Thời gian ra: 2026-01-06 18:17:26</t>
  </si>
  <si>
    <t>Thời gian vào: 2026-01-08 09:05:46</t>
  </si>
  <si>
    <t>Thời gian ra: 2026-01-08 22:05:03</t>
  </si>
  <si>
    <t>Thời lượng theo dõi:779 phút</t>
  </si>
  <si>
    <t>Thời gian vào: 2026-01-09 08:49:47</t>
  </si>
  <si>
    <t>Thời gian ra: 2026-01-09 21:22:58</t>
  </si>
  <si>
    <t>Thời gian vào: 2026-01-10 10:37:42</t>
  </si>
  <si>
    <t>Thời gian vào: 2026-01-12 08:51:55</t>
  </si>
  <si>
    <t>Thời gian ra: 2026-01-12 20:41:15</t>
  </si>
  <si>
    <t>Thời lượng theo dõi:709 phút</t>
  </si>
  <si>
    <t>Thời gian vào: 2026-01-13 09:11:55</t>
  </si>
  <si>
    <t>Thời gian ra: 2026-01-13 18:25:46</t>
  </si>
  <si>
    <t>Thời gian vào: 2026-01-14 13:50:25</t>
  </si>
  <si>
    <t>Thời gian ra: 2026-01-14 22:16:09</t>
  </si>
  <si>
    <t>Thời gian vào: 2026-01-15 10:01:15</t>
  </si>
  <si>
    <t>Thời gian ra: 2026-01-15 18:43:55</t>
  </si>
  <si>
    <t>Thời gian vào: 2026-01-16 09:51:38</t>
  </si>
  <si>
    <t>Thời gian ra: 2026-01-16 18:48:19</t>
  </si>
  <si>
    <t>Thời lượng theo dõi:537 phút</t>
  </si>
  <si>
    <t>Thời gian vào: 2026-01-19 10:04:47</t>
  </si>
  <si>
    <t>Thời gian ra: 2026-01-19 18:49:31</t>
  </si>
  <si>
    <t>Thời lượng theo dõi:525 phút</t>
  </si>
  <si>
    <t>Thời gian vào: 2026-01-20 13:48:42</t>
  </si>
  <si>
    <t>Thời gian ra: 2026-01-20 18:58:24</t>
  </si>
  <si>
    <t>Thời lượng theo dõi:310 phút</t>
  </si>
  <si>
    <t>Thời gian vào: 2026-01-21 10:09:37</t>
  </si>
  <si>
    <t>Thời gian ra: 2026-01-21 19:23:49</t>
  </si>
  <si>
    <t>Thời gian vào: 2026-01-22 09:47:48</t>
  </si>
  <si>
    <t>Thời gian ra: 2026-01-22 18:41:52</t>
  </si>
  <si>
    <t>Thời gian vào: 2026-01-23 13:32:34</t>
  </si>
  <si>
    <t>Thời gian ra: 2026-01-23 18:55:14</t>
  </si>
  <si>
    <t>Thời lượng theo dõi:323 phút</t>
  </si>
  <si>
    <t>Thời gian vào: 2026-01-28 09:24:55</t>
  </si>
  <si>
    <t>Thời gian ra: 2026-01-28 19:36:28</t>
  </si>
  <si>
    <t>Thời gian vào: 2026-01-29 09:33:09</t>
  </si>
  <si>
    <t>Thời gian ra: 2026-01-29 18:44:16</t>
  </si>
  <si>
    <t>Thời gian vào: 2026-01-30 09:57:12</t>
  </si>
  <si>
    <t>Thời gian ra: 2026-01-30 18:59:43</t>
  </si>
  <si>
    <t>Hoàng Bích Hồng</t>
  </si>
  <si>
    <t>Thời gian vào: 2026-01-05 11:29:37</t>
  </si>
  <si>
    <t>Thời gian ra: 2026-01-05 18:04:28</t>
  </si>
  <si>
    <t>Thời lượng theo dõi:395 phút</t>
  </si>
  <si>
    <t>Thời gian vào: 2026-01-06 08:27:37</t>
  </si>
  <si>
    <t>Thời gian ra: 2026-01-06 21:23:38</t>
  </si>
  <si>
    <t>Thời gian vào: 2026-01-07 09:28:10</t>
  </si>
  <si>
    <t>Thời gian ra: 2026-01-07 18:05:59</t>
  </si>
  <si>
    <t>Thời gian vào: 2026-01-08 08:25:40</t>
  </si>
  <si>
    <t>Thời gian ra: 2026-01-08 18:09:17</t>
  </si>
  <si>
    <t>Thời gian vào: 2026-01-09 08:25:41</t>
  </si>
  <si>
    <t>Thời gian ra: 2026-01-09 18:08:39</t>
  </si>
  <si>
    <t>Thời gian vào: 2026-01-10 08:23:27</t>
  </si>
  <si>
    <t>Thời gian ra: 2026-01-10 18:07:45</t>
  </si>
  <si>
    <t>Thời gian vào: 2026-01-12 08:27:20</t>
  </si>
  <si>
    <t>Thời gian ra: 2026-01-12 17:36:33</t>
  </si>
  <si>
    <t>Thời gian vào: 2026-01-13 08:30:16</t>
  </si>
  <si>
    <t>Thời gian ra: 2026-01-13 17:36:29</t>
  </si>
  <si>
    <t>Thời gian vào: 2026-01-14 08:27:22</t>
  </si>
  <si>
    <t>Thời gian ra: 2026-01-14 17:31:57</t>
  </si>
  <si>
    <t>Thời gian vào: 2026-01-15 08:30:24</t>
  </si>
  <si>
    <t>Thời gian ra: 2026-01-15 20:47:13</t>
  </si>
  <si>
    <t>Thời lượng theo dõi:737 phút</t>
  </si>
  <si>
    <t>Thời gian vào: 2026-01-16 10:32:59</t>
  </si>
  <si>
    <t>Thời gian ra: 2026-01-16 18:09:52</t>
  </si>
  <si>
    <t>Thời lượng theo dõi:457 phút</t>
  </si>
  <si>
    <t>Thời gian vào: 2026-01-19 08:29:19</t>
  </si>
  <si>
    <t>Thời gian ra: 2026-01-19 18:03:42</t>
  </si>
  <si>
    <t>Thời gian vào: 2026-01-20 08:30:58</t>
  </si>
  <si>
    <t>Thời gian ra: 2026-01-20 18:07:49</t>
  </si>
  <si>
    <t>Thời gian vào: 2026-01-21 08:24:39</t>
  </si>
  <si>
    <t>Thời gian ra: 2026-01-21 18:06:50</t>
  </si>
  <si>
    <t>Thời gian vào: 2026-01-22 08:26:59</t>
  </si>
  <si>
    <t>Thời gian ra: 2026-01-22 18:10:29</t>
  </si>
  <si>
    <t>Thời gian vào: 2026-01-23 08:29:28</t>
  </si>
  <si>
    <t>Thời gian ra: 2026-01-23 18:06:40</t>
  </si>
  <si>
    <t>Thời gian vào: 2026-01-26 08:30:33</t>
  </si>
  <si>
    <t>Thời gian ra: 2026-01-26 18:10:06</t>
  </si>
  <si>
    <t>Thời gian vào: 2026-01-27 08:30:06</t>
  </si>
  <si>
    <t>Thời gian ra: 2026-01-27 18:10:43</t>
  </si>
  <si>
    <t>Thời gian vào: 2026-01-28 08:26:28</t>
  </si>
  <si>
    <t>Thời gian ra: 2026-01-28 18:17:13</t>
  </si>
  <si>
    <t>Thời gian vào: 2026-01-29 08:27:46</t>
  </si>
  <si>
    <t>Thời gian ra: 2026-01-29 18:08:02</t>
  </si>
  <si>
    <t>Thời gian vào: 2026-01-30 08:27:54</t>
  </si>
  <si>
    <t>Thời gian ra: 2026-01-30 18:29:25</t>
  </si>
  <si>
    <t>Trần Thị Duyên</t>
  </si>
  <si>
    <t>Thời gian vào: 2026-01-05 09:00:20</t>
  </si>
  <si>
    <t>Thời gian ra: 2026-01-05 18:20:55</t>
  </si>
  <si>
    <t>Thời gian vào: 2026-01-06 09:01:51</t>
  </si>
  <si>
    <t>Thời gian ra: 2026-01-06 18:26:49</t>
  </si>
  <si>
    <t>Thời gian vào: 2026-01-07 08:51:03</t>
  </si>
  <si>
    <t>Thời gian ra: 2026-01-07 18:08:39</t>
  </si>
  <si>
    <t>Thời gian vào: 2026-01-08 09:08:14</t>
  </si>
  <si>
    <t>Thời gian ra: 2026-01-08 18:17:52</t>
  </si>
  <si>
    <t>Thời gian vào: 2026-01-09 08:22:53</t>
  </si>
  <si>
    <t>Thời gian ra: 2026-01-09 18:54:04</t>
  </si>
  <si>
    <t>Thời gian vào: 2026-01-10 14:32:53</t>
  </si>
  <si>
    <t>Thời gian ra: 2026-01-10 18:56:57</t>
  </si>
  <si>
    <t>Thời lượng theo dõi:264 phút</t>
  </si>
  <si>
    <t>Thời gian vào: 2026-01-12 08:51:06</t>
  </si>
  <si>
    <t>Thời gian ra: 2026-01-12 18:28:23</t>
  </si>
  <si>
    <t>Thời gian vào: 2026-01-13 18:09:49</t>
  </si>
  <si>
    <t>Thời gian vào: 2026-01-14 08:51:35</t>
  </si>
  <si>
    <t>Thời gian ra: 2026-01-14 18:10:07</t>
  </si>
  <si>
    <t>Thời gian vào: 2026-01-15 08:42:44</t>
  </si>
  <si>
    <t>Thời gian ra: 2026-01-15 18:05:58</t>
  </si>
  <si>
    <t>Thời gian vào: 2026-01-16 08:55:20</t>
  </si>
  <si>
    <t>Thời gian ra: 2026-01-16 18:24:03</t>
  </si>
  <si>
    <t>Thời gian vào: 2026-01-19 08:52:49</t>
  </si>
  <si>
    <t>Thời gian ra: 2026-01-19 18:14:35</t>
  </si>
  <si>
    <t>Thời gian vào: 2026-01-20 08:51:35</t>
  </si>
  <si>
    <t>Thời gian ra: 2026-01-20 18:04:55</t>
  </si>
  <si>
    <t>Thời gian vào: 2026-01-21 08:50:13</t>
  </si>
  <si>
    <t>Thời gian ra: 2026-01-21 18:24:05</t>
  </si>
  <si>
    <t>Thời gian vào: 2026-01-22 08:56:56</t>
  </si>
  <si>
    <t>Thời gian ra: 2026-01-22 18:10:55</t>
  </si>
  <si>
    <t>Thời gian vào: 2026-01-23 08:42:44</t>
  </si>
  <si>
    <t>Thời gian ra: 2026-01-23 18:13:42</t>
  </si>
  <si>
    <t>Thời gian vào: 2026-01-26 09:05:51</t>
  </si>
  <si>
    <t>Thời gian ra: 2026-01-26 18:09:21</t>
  </si>
  <si>
    <t>Thời gian vào: 2026-01-27 08:51:35</t>
  </si>
  <si>
    <t>Thời gian ra: 2026-01-27 18:11:10</t>
  </si>
  <si>
    <t>Thời gian vào: 2026-01-28 08:40:35</t>
  </si>
  <si>
    <t>Thời gian ra: 2026-01-28 18:17:30</t>
  </si>
  <si>
    <t>Thời gian vào: 2026-01-29 08:57:14</t>
  </si>
  <si>
    <t>Thời gian ra: 2026-01-29 18:20:24</t>
  </si>
  <si>
    <t>Thời gian vào: 2026-01-30 08:39:12</t>
  </si>
  <si>
    <t>Thời gian ra: 2026-01-30 19:25:30</t>
  </si>
  <si>
    <t>Nguyễn Thuỳ Linh</t>
  </si>
  <si>
    <t>Thời gian vào: 2026-01-05 11:17:28</t>
  </si>
  <si>
    <t>Thời gian ra: 2026-01-05 18:18:59</t>
  </si>
  <si>
    <t>Thời gian vào: 2026-01-06 12:05:42</t>
  </si>
  <si>
    <t>Thời gian ra: 2026-01-06 18:07:54</t>
  </si>
  <si>
    <t>Thời lượng theo dõi:362 phút</t>
  </si>
  <si>
    <t>Thời gian vào: 2026-01-07 19:13:54</t>
  </si>
  <si>
    <t>Thời gian vào: 2026-01-09 18:13:58</t>
  </si>
  <si>
    <t>Thời gian vào: 2026-01-14 10:25:44</t>
  </si>
  <si>
    <t>Thời gian ra: 2026-01-14 18:02:20</t>
  </si>
  <si>
    <t>Thời gian vào: 2026-01-16 14:05:24</t>
  </si>
  <si>
    <t>Thời gian ra: 2026-01-16 18:02:47</t>
  </si>
  <si>
    <t>Thời lượng theo dõi:237 phút</t>
  </si>
  <si>
    <t>Thời gian vào: 2026-01-19 13:48:41</t>
  </si>
  <si>
    <t>Thời gian ra: 2026-01-19 19:03:46</t>
  </si>
  <si>
    <t>Thời gian vào: 2026-01-20 14:49:12</t>
  </si>
  <si>
    <t>Thời gian ra: 2026-01-20 18:31:58</t>
  </si>
  <si>
    <t>Thời lượng theo dõi:223 phút</t>
  </si>
  <si>
    <t>Bùi Phương Mai</t>
  </si>
  <si>
    <t>Đỗ Ngọc Quỳnh</t>
  </si>
  <si>
    <t>Thời gian vào: 2026-01-06 18:55:15</t>
  </si>
  <si>
    <t>Thời gian vào: 2026-01-09 17:16:08</t>
  </si>
  <si>
    <t>Thời gian ra: 2026-01-09 17:16:12</t>
  </si>
  <si>
    <t>Thời gian vào: 2026-01-12 10:47:53</t>
  </si>
  <si>
    <t>Thời gian ra: 2026-01-12 14:41:31</t>
  </si>
  <si>
    <t>Thời lượng theo dõi:234 phút</t>
  </si>
  <si>
    <t>Thời gian vào: 2026-01-13 12:12:13</t>
  </si>
  <si>
    <t>Thời gian ra: 2026-01-13 18:19:24</t>
  </si>
  <si>
    <t>Thời lượng theo dõi:367 phút</t>
  </si>
  <si>
    <t>Thời gian vào: 2026-01-15 13:34:42</t>
  </si>
  <si>
    <t>Thời gian vào: 2026-01-20 18:51:44</t>
  </si>
  <si>
    <t>Thời gian ra: 2026-01-20 18:51:48</t>
  </si>
  <si>
    <t>Thời gian vào: 2026-01-21 14:21:13</t>
  </si>
  <si>
    <t>Thời gian vào: 2026-01-22 16:52:38</t>
  </si>
  <si>
    <t>Thời gian vào: 2026-01-23 16:05:40</t>
  </si>
  <si>
    <t>Thời gian ra: 2026-01-23 16:06:24</t>
  </si>
  <si>
    <t>Thời gian vào: 2026-01-26 14:02:00</t>
  </si>
  <si>
    <t>Thời gian ra: 2026-01-26 14:02:04</t>
  </si>
  <si>
    <t>Thời gian vào: 2026-01-28 12:02:06</t>
  </si>
  <si>
    <t>Thời gian ra: 2026-01-28 12:02:46</t>
  </si>
  <si>
    <t>Thời gian vào: 2026-01-30 17:44:37</t>
  </si>
  <si>
    <t>Kim Hồng Ngọc</t>
  </si>
  <si>
    <t>Thời gian vào: 2026-01-05 09:04:43</t>
  </si>
  <si>
    <t>Thời gian ra: 2026-01-05 19:53:27</t>
  </si>
  <si>
    <t>Thời gian vào: 2026-01-06 09:42:12</t>
  </si>
  <si>
    <t>Thời gian ra: 2026-01-06 18:37:14</t>
  </si>
  <si>
    <t>Thời gian vào: 2026-01-07 13:56:09</t>
  </si>
  <si>
    <t>Thời gian ra: 2026-01-07 20:26:20</t>
  </si>
  <si>
    <t>Thời lượng theo dõi:390 phút</t>
  </si>
  <si>
    <t>Thời gian vào: 2026-01-08 13:39:03</t>
  </si>
  <si>
    <t>Thời gian ra: 2026-01-08 19:59:09</t>
  </si>
  <si>
    <t>Thời lượng theo dõi:380 phút</t>
  </si>
  <si>
    <t>Thời gian vào: 2026-01-09 14:34:18</t>
  </si>
  <si>
    <t>Thời gian ra: 2026-01-09 18:19:28</t>
  </si>
  <si>
    <t>Thời lượng theo dõi:225 phút</t>
  </si>
  <si>
    <t>Thời gian vào: 2026-01-11 14:46:30</t>
  </si>
  <si>
    <t>Thời gian ra: 2026-01-11 18:14:21</t>
  </si>
  <si>
    <t>Thời gian vào: 2026-01-12 13:34:05</t>
  </si>
  <si>
    <t>Thời gian ra: 2026-01-12 20:33:07</t>
  </si>
  <si>
    <t>Thời lượng theo dõi:419 phút</t>
  </si>
  <si>
    <t>Thời gian vào: 2026-01-13 08:33:49</t>
  </si>
  <si>
    <t>Thời gian ra: 2026-01-13 20:35:27</t>
  </si>
  <si>
    <t>Thời lượng theo dõi:722 phút</t>
  </si>
  <si>
    <t>Thời gian vào: 2026-01-14 08:20:34</t>
  </si>
  <si>
    <t>Thời gian ra: 2026-01-14 22:18:18</t>
  </si>
  <si>
    <t>Thời lượng theo dõi:838 phút</t>
  </si>
  <si>
    <t>Thời gian vào: 2026-01-15 08:38:07</t>
  </si>
  <si>
    <t>Thời gian ra: 2026-01-15 19:02:35</t>
  </si>
  <si>
    <t>Thời gian vào: 2026-01-16 08:42:07</t>
  </si>
  <si>
    <t>Thời gian ra: 2026-01-16 19:03:29</t>
  </si>
  <si>
    <t>Thời gian vào: 2026-01-19 13:41:54</t>
  </si>
  <si>
    <t>Thời gian ra: 2026-01-19 20:24:07</t>
  </si>
  <si>
    <t>Thời lượng theo dõi:402 phút</t>
  </si>
  <si>
    <t>Thời gian vào: 2026-01-20 08:34:25</t>
  </si>
  <si>
    <t>Thời gian ra: 2026-01-20 20:45:41</t>
  </si>
  <si>
    <t>Thời lượng theo dõi:731 phút</t>
  </si>
  <si>
    <t>Thời gian vào: 2026-01-21 13:36:51</t>
  </si>
  <si>
    <t>Thời gian ra: 2026-01-21 20:12:07</t>
  </si>
  <si>
    <t>Thời gian vào: 2026-01-22 16:41:54</t>
  </si>
  <si>
    <t>Thời gian ra: 2026-01-22 20:24:52</t>
  </si>
  <si>
    <t>Thời gian vào: 2026-01-25 14:05:46</t>
  </si>
  <si>
    <t>Thời gian ra: 2026-01-25 17:19:37</t>
  </si>
  <si>
    <t>Thời lượng theo dõi:194 phút</t>
  </si>
  <si>
    <t>Thời gian vào: 2026-01-26 09:06:28</t>
  </si>
  <si>
    <t>Thời gian ra: 2026-01-26 19:48:48</t>
  </si>
  <si>
    <t>Thời gian vào: 2026-01-27 13:37:04</t>
  </si>
  <si>
    <t>Thời gian ra: 2026-01-27 17:42:15</t>
  </si>
  <si>
    <t>Thời lượng theo dõi:245 phút</t>
  </si>
  <si>
    <t>Thời gian vào: 2026-01-28 15:54:04</t>
  </si>
  <si>
    <t>Thời gian ra: 2026-01-28 19:42:41</t>
  </si>
  <si>
    <t>Thời lượng theo dõi:229 phút</t>
  </si>
  <si>
    <t>Thời gian vào: 2026-01-29 09:22:19</t>
  </si>
  <si>
    <t>Thời gian ra: 2026-01-29 19:01:00</t>
  </si>
  <si>
    <t>Thời gian vào: 2026-02-01 15:05:44</t>
  </si>
  <si>
    <t>Thời gian ra: 2026-02-01 16:37:19</t>
  </si>
  <si>
    <t>Thời lượng theo dõi:92 phút</t>
  </si>
  <si>
    <t>Phạm Thị Ngân Hà</t>
  </si>
  <si>
    <t>Thời gian vào: 2026-01-06 21:26:44</t>
  </si>
  <si>
    <t>Thời gian ra: 2026-01-06 21:26:48</t>
  </si>
  <si>
    <t>Thời gian vào: 2026-01-07 10:42:37</t>
  </si>
  <si>
    <t>Thời gian ra: 2026-01-07 18:33:53</t>
  </si>
  <si>
    <t>Thời gian vào: 2026-01-08 08:29:00</t>
  </si>
  <si>
    <t>Thời gian ra: 2026-01-08 18:33:45</t>
  </si>
  <si>
    <t>Thời gian vào: 2026-01-09 08:25:50</t>
  </si>
  <si>
    <t>Thời gian ra: 2026-01-09 18:26:13</t>
  </si>
  <si>
    <t>Thời gian vào: 2026-01-10 08:28:08</t>
  </si>
  <si>
    <t>Thời gian ra: 2026-01-10 16:40:23</t>
  </si>
  <si>
    <t>Thời gian vào: 2026-01-12 08:26:52</t>
  </si>
  <si>
    <t>Thời gian ra: 2026-01-12 16:44:15</t>
  </si>
  <si>
    <t>Thời lượng theo dõi:497 phút</t>
  </si>
  <si>
    <t>Thời gian vào: 2026-01-13 08:31:25</t>
  </si>
  <si>
    <t>Thời gian ra: 2026-01-13 18:10:56</t>
  </si>
  <si>
    <t>Thời gian vào: 2026-01-14 08:27:31</t>
  </si>
  <si>
    <t>Thời gian ra: 2026-01-14 19:06:53</t>
  </si>
  <si>
    <t>Thời gian vào: 2026-01-15 06:36:09</t>
  </si>
  <si>
    <t>Thời gian ra: 2026-01-15 06:36:24</t>
  </si>
  <si>
    <t>Thời gian vào: 2026-01-16 00:14:22</t>
  </si>
  <si>
    <t>Thời gian vào: 2026-01-17 14:56:17</t>
  </si>
  <si>
    <t>Thời gian ra: 2026-01-17 14:56:27</t>
  </si>
  <si>
    <t>Thời gian vào: 2026-01-19 08:25:24</t>
  </si>
  <si>
    <t>Thời gian ra: 2026-01-19 16:36:44</t>
  </si>
  <si>
    <t>Thời gian vào: 2026-01-20 08:31:06</t>
  </si>
  <si>
    <t>Thời gian ra: 2026-01-20 18:14:31</t>
  </si>
  <si>
    <t>Thời gian vào: 2026-01-21 08:24:48</t>
  </si>
  <si>
    <t>Thời gian ra: 2026-01-21 18:14:34</t>
  </si>
  <si>
    <t>Thời gian vào: 2026-01-22 08:30:13</t>
  </si>
  <si>
    <t>Thời gian ra: 2026-01-22 18:16:11</t>
  </si>
  <si>
    <t>Thời gian vào: 2026-01-23 08:30:37</t>
  </si>
  <si>
    <t>Thời gian ra: 2026-01-23 18:12:23</t>
  </si>
  <si>
    <t>Thời gian vào: 2026-01-26 08:51:46</t>
  </si>
  <si>
    <t>Thời gian ra: 2026-01-26 18:09:49</t>
  </si>
  <si>
    <t>Thời gian vào: 2026-01-27 08:30:11</t>
  </si>
  <si>
    <t>Thời gian ra: 2026-01-27 18:10:35</t>
  </si>
  <si>
    <t>Thời gian vào: 2026-01-28 08:28:22</t>
  </si>
  <si>
    <t>Thời gian ra: 2026-01-28 17:33:47</t>
  </si>
  <si>
    <t>Thời gian vào: 2026-01-29 08:27:51</t>
  </si>
  <si>
    <t>Thời gian ra: 2026-01-29 17:41:33</t>
  </si>
  <si>
    <t>Thời gian vào: 2026-01-30 13:28:34</t>
  </si>
  <si>
    <t>Thời gian ra: 2026-01-30 21:50:56</t>
  </si>
  <si>
    <t>Đinh Quỳnh Trang</t>
  </si>
  <si>
    <t>Thời gian vào: 2026-01-05 08:57:40</t>
  </si>
  <si>
    <t>Thời gian ra: 2026-01-05 18:34:42</t>
  </si>
  <si>
    <t>Thời gian vào: 2026-01-06 08:47:02</t>
  </si>
  <si>
    <t>Thời gian ra: 2026-01-06 18:08:00</t>
  </si>
  <si>
    <t>Thời gian vào: 2026-01-07 08:38:02</t>
  </si>
  <si>
    <t>Thời gian ra: 2026-01-07 18:11:22</t>
  </si>
  <si>
    <t>Thời gian vào: 2026-01-08 08:49:29</t>
  </si>
  <si>
    <t>Thời gian ra: 2026-01-08 18:09:40</t>
  </si>
  <si>
    <t>Thời gian vào: 2026-01-09 08:32:21</t>
  </si>
  <si>
    <t>Thời gian ra: 2026-01-09 18:09:18</t>
  </si>
  <si>
    <t>Thời gian vào: 2026-01-10 08:35:47</t>
  </si>
  <si>
    <t>Thời gian ra: 2026-01-10 12:10:03</t>
  </si>
  <si>
    <t>Thời lượng theo dõi:214 phút</t>
  </si>
  <si>
    <t>Thời gian vào: 2026-01-12 08:39:13</t>
  </si>
  <si>
    <t>Thời gian ra: 2026-01-12 18:05:33</t>
  </si>
  <si>
    <t>Thời gian vào: 2026-01-13 08:27:51</t>
  </si>
  <si>
    <t>Thời gian ra: 2026-01-13 18:05:53</t>
  </si>
  <si>
    <t>Thời gian vào: 2026-01-14 08:40:04</t>
  </si>
  <si>
    <t>Thời gian ra: 2026-01-14 18:10:27</t>
  </si>
  <si>
    <t>Thời gian vào: 2026-01-15 13:30:53</t>
  </si>
  <si>
    <t>Thời gian ra: 2026-01-15 18:07:52</t>
  </si>
  <si>
    <t>Thời gian vào: 2026-01-16 08:37:38</t>
  </si>
  <si>
    <t>Thời gian ra: 2026-01-16 18:44:49</t>
  </si>
  <si>
    <t>Thời gian vào: 2026-01-19 08:40:48</t>
  </si>
  <si>
    <t>Thời gian ra: 2026-01-19 18:07:39</t>
  </si>
  <si>
    <t>Thời gian vào: 2026-01-20 08:40:27</t>
  </si>
  <si>
    <t>Thời gian ra: 2026-01-20 18:13:17</t>
  </si>
  <si>
    <t>Thời gian vào: 2026-01-21 08:37:59</t>
  </si>
  <si>
    <t>Thời gian ra: 2026-01-21 18:07:56</t>
  </si>
  <si>
    <t>Thời gian vào: 2026-01-22 08:40:09</t>
  </si>
  <si>
    <t>Thời gian ra: 2026-01-22 18:09:07</t>
  </si>
  <si>
    <t>Thời gian vào: 2026-01-23 08:44:10</t>
  </si>
  <si>
    <t>Thời gian ra: 2026-01-23 18:46:14</t>
  </si>
  <si>
    <t>Thời gian vào: 2026-01-26 08:40:33</t>
  </si>
  <si>
    <t>Thời gian ra: 2026-01-26 18:13:34</t>
  </si>
  <si>
    <t>Thời gian vào: 2026-01-27 08:49:28</t>
  </si>
  <si>
    <t>Thời gian ra: 2026-01-27 18:12:57</t>
  </si>
  <si>
    <t>Thời gian vào: 2026-01-28 08:40:31</t>
  </si>
  <si>
    <t>Thời gian ra: 2026-01-28 18:16:06</t>
  </si>
  <si>
    <t>Thời gian vào: 2026-01-29 08:34:15</t>
  </si>
  <si>
    <t>Thời gian ra: 2026-01-29 18:07:42</t>
  </si>
  <si>
    <t>Thời gian vào: 2026-01-30 13:24:45</t>
  </si>
  <si>
    <t>Thời gian ra: 2026-01-30 18:52:34</t>
  </si>
  <si>
    <t>Trịnh Thị Phương Hoa</t>
  </si>
  <si>
    <t>Thời gian vào: 2026-01-05 13:01:42</t>
  </si>
  <si>
    <t>Thời gian ra: 2026-01-05 19:04:05</t>
  </si>
  <si>
    <t>Thời gian vào: 2026-01-06 19:38:25</t>
  </si>
  <si>
    <t>Thời gian ra: 2026-01-06 19:38:28</t>
  </si>
  <si>
    <t>Thời gian vào: 2026-01-07 08:57:14</t>
  </si>
  <si>
    <t>Thời gian vào: 2026-01-08 08:52:20</t>
  </si>
  <si>
    <t>Thời gian ra: 2026-01-08 18:32:57</t>
  </si>
  <si>
    <t>Thời gian vào: 2026-01-09 12:19:04</t>
  </si>
  <si>
    <t>Thời gian vào: 2026-01-13 12:44:06</t>
  </si>
  <si>
    <t>Thời gian ra: 2026-01-13 18:49:01</t>
  </si>
  <si>
    <t>Thời lượng theo dõi:365 phút</t>
  </si>
  <si>
    <t>Thời gian vào: 2026-01-14 08:43:10</t>
  </si>
  <si>
    <t>Thời gian ra: 2026-01-14 08:44:36</t>
  </si>
  <si>
    <t>Thời gian vào: 2026-01-15 19:44:49</t>
  </si>
  <si>
    <t>Thời gian ra: 2026-01-15 19:45:03</t>
  </si>
  <si>
    <t>Thời gian vào: 2026-01-19 14:00:43</t>
  </si>
  <si>
    <t>Thời gian ra: 2026-01-19 18:49:05</t>
  </si>
  <si>
    <t>Thời lượng theo dõi:288 phút</t>
  </si>
  <si>
    <t>Thời gian vào: 2026-01-27 18:52:28</t>
  </si>
  <si>
    <t>Thời gian ra: 2026-01-27 18:53:14</t>
  </si>
  <si>
    <t>Thời gian vào: 2026-01-28 12:18:44</t>
  </si>
  <si>
    <t>Thời gian ra: 2026-01-28 18:51:02</t>
  </si>
  <si>
    <t>Thời lượng theo dõi:392 phút</t>
  </si>
  <si>
    <t>Thời gian vào: 2026-01-29 20:03:24</t>
  </si>
  <si>
    <t>Vũ Đức Huy</t>
  </si>
  <si>
    <t>Thời gian vào: 2026-01-05 08:32:08</t>
  </si>
  <si>
    <t>Thời gian ra: 2026-01-05 18:35:19</t>
  </si>
  <si>
    <t>Thời gian vào: 2026-01-06 07:59:32</t>
  </si>
  <si>
    <t>Thời gian ra: 2026-01-06 18:30:26</t>
  </si>
  <si>
    <t>Thời gian vào: 2026-01-07 08:31:07</t>
  </si>
  <si>
    <t>Thời gian ra: 2026-01-07 18:08:29</t>
  </si>
  <si>
    <t>Thời gian vào: 2026-01-08 08:40:18</t>
  </si>
  <si>
    <t>Thời gian ra: 2026-01-08 18:14:00</t>
  </si>
  <si>
    <t>Thời gian vào: 2026-01-09 08:47:56</t>
  </si>
  <si>
    <t>Thời gian ra: 2026-01-09 18:18:31</t>
  </si>
  <si>
    <t>Thời gian vào: 2026-01-10 08:35:49</t>
  </si>
  <si>
    <t>Thời gian ra: 2026-01-10 18:29:25</t>
  </si>
  <si>
    <t>Thời gian vào: 2026-01-12 08:36:43</t>
  </si>
  <si>
    <t>Thời gian ra: 2026-01-12 18:14:53</t>
  </si>
  <si>
    <t>Thời gian vào: 2026-01-13 08:36:47</t>
  </si>
  <si>
    <t>Thời gian ra: 2026-01-13 18:07:36</t>
  </si>
  <si>
    <t>Thời gian vào: 2026-01-14 08:51:39</t>
  </si>
  <si>
    <t>Thời gian ra: 2026-01-14 18:22:19</t>
  </si>
  <si>
    <t>Thời gian vào: 2026-01-15 08:31:48</t>
  </si>
  <si>
    <t>Thời gian ra: 2026-01-15 18:12:02</t>
  </si>
  <si>
    <t>Thời gian vào: 2026-01-16 08:37:36</t>
  </si>
  <si>
    <t>Thời gian ra: 2026-01-16 18:33:07</t>
  </si>
  <si>
    <t>Thời gian vào: 2026-01-19 08:51:55</t>
  </si>
  <si>
    <t>Thời gian ra: 2026-01-19 18:30:17</t>
  </si>
  <si>
    <t>Thời gian vào: 2026-01-20 08:39:07</t>
  </si>
  <si>
    <t>Thời gian ra: 2026-01-20 18:15:41</t>
  </si>
  <si>
    <t>Thời gian vào: 2026-01-21 08:34:06</t>
  </si>
  <si>
    <t>Thời gian ra: 2026-01-21 18:24:51</t>
  </si>
  <si>
    <t>Thời gian vào: 2026-01-22 08:40:13</t>
  </si>
  <si>
    <t>Thời gian ra: 2026-01-22 18:19:46</t>
  </si>
  <si>
    <t>Thời gian vào: 2026-01-23 08:40:33</t>
  </si>
  <si>
    <t>Thời gian ra: 2026-01-23 18:42:36</t>
  </si>
  <si>
    <t>Thời gian vào: 2026-01-27 08:20:14</t>
  </si>
  <si>
    <t>Thời gian ra: 2026-01-27 18:10:03</t>
  </si>
  <si>
    <t>Thời gian vào: 2026-01-28 08:49:27</t>
  </si>
  <si>
    <t>Thời gian ra: 2026-01-28 18:14:47</t>
  </si>
  <si>
    <t>Thời gian vào: 2026-01-29 08:48:37</t>
  </si>
  <si>
    <t>Thời gian ra: 2026-01-29 18:05:26</t>
  </si>
  <si>
    <t>Thời gian vào: 2026-01-30 08:42:34</t>
  </si>
  <si>
    <t>Thời gian ra: 2026-01-30 18:55:39</t>
  </si>
  <si>
    <t>Phạm Hữu Tuyển</t>
  </si>
  <si>
    <t>Thời gian vào: 2026-01-05 08:23:57</t>
  </si>
  <si>
    <t>Thời gian ra: 2026-01-05 18:10:26</t>
  </si>
  <si>
    <t>Thời gian vào: 2026-01-06 08:23:27</t>
  </si>
  <si>
    <t>Thời gian ra: 2026-01-06 18:10:09</t>
  </si>
  <si>
    <t>Thời gian vào: 2026-01-07 08:26:15</t>
  </si>
  <si>
    <t>Thời gian ra: 2026-01-07 17:32:33</t>
  </si>
  <si>
    <t>Thời gian vào: 2026-01-08 08:31:46</t>
  </si>
  <si>
    <t>Thời gian ra: 2026-01-08 18:12:08</t>
  </si>
  <si>
    <t>Thời gian vào: 2026-01-09 18:36:51</t>
  </si>
  <si>
    <t>Thời gian vào: 2026-01-10 08:54:25</t>
  </si>
  <si>
    <t>Thời gian ra: 2026-01-10 18:04:25</t>
  </si>
  <si>
    <t>Thời gian vào: 2026-01-12 08:27:28</t>
  </si>
  <si>
    <t>Thời gian ra: 2026-01-12 18:18:12</t>
  </si>
  <si>
    <t>Thời gian vào: 2026-01-13 08:27:37</t>
  </si>
  <si>
    <t>Thời gian ra: 2026-01-13 18:07:16</t>
  </si>
  <si>
    <t>Thời gian vào: 2026-01-14 08:18:04</t>
  </si>
  <si>
    <t>Thời gian ra: 2026-01-14 18:07:11</t>
  </si>
  <si>
    <t>Thời gian vào: 2026-01-15 08:23:15</t>
  </si>
  <si>
    <t>Thời gian ra: 2026-01-15 18:03:12</t>
  </si>
  <si>
    <t>Thời gian vào: 2026-01-16 08:20:01</t>
  </si>
  <si>
    <t>Thời gian ra: 2026-01-16 18:06:10</t>
  </si>
  <si>
    <t>Thời gian vào: 2026-01-19 08:45:08</t>
  </si>
  <si>
    <t>Thời gian ra: 2026-01-19 18:08:40</t>
  </si>
  <si>
    <t>Thời gian vào: 2026-01-20 08:26:05</t>
  </si>
  <si>
    <t>Thời gian ra: 2026-01-20 18:03:46</t>
  </si>
  <si>
    <t>Thời gian vào: 2026-01-21 08:25:01</t>
  </si>
  <si>
    <t>Thời gian ra: 2026-01-21 18:04:29</t>
  </si>
  <si>
    <t>Thời gian vào: 2026-01-22 08:25:40</t>
  </si>
  <si>
    <t>Thời gian ra: 2026-01-22 18:06:00</t>
  </si>
  <si>
    <t>Thời gian vào: 2026-01-23 08:29:21</t>
  </si>
  <si>
    <t>Thời gian ra: 2026-01-23 18:07:25</t>
  </si>
  <si>
    <t>Thời gian vào: 2026-01-26 08:33:52</t>
  </si>
  <si>
    <t>Thời gian ra: 2026-01-26 18:01:55</t>
  </si>
  <si>
    <t>Thời gian vào: 2026-01-27 08:53:38</t>
  </si>
  <si>
    <t>Thời gian ra: 2026-01-27 18:06:01</t>
  </si>
  <si>
    <t>Thời gian vào: 2026-01-28 08:27:10</t>
  </si>
  <si>
    <t>Thời gian ra: 2026-01-28 18:11:13</t>
  </si>
  <si>
    <t>Thời gian vào: 2026-01-29 08:21:08</t>
  </si>
  <si>
    <t>Thời gian ra: 2026-01-29 18:00:43</t>
  </si>
  <si>
    <t>Thời gian vào: 2026-01-30 08:26:55</t>
  </si>
  <si>
    <t>Thời gian ra: 2026-01-30 18:08:28</t>
  </si>
  <si>
    <t>Nguyễn Nam Khánh</t>
  </si>
  <si>
    <t>Thời gian vào: 2026-01-05 09:17:46</t>
  </si>
  <si>
    <t>Thời gian ra: 2026-01-05 18:10:28</t>
  </si>
  <si>
    <t>Thời gian vào: 2026-01-06 09:04:35</t>
  </si>
  <si>
    <t>Thời gian ra: 2026-01-06 18:12:37</t>
  </si>
  <si>
    <t>Thời gian vào: 2026-01-07 09:05:52</t>
  </si>
  <si>
    <t>Thời gian ra: 2026-01-07 19:55:18</t>
  </si>
  <si>
    <t>Thời gian vào: 2026-01-08 09:08:30</t>
  </si>
  <si>
    <t>Thời gian ra: 2026-01-08 20:26:58</t>
  </si>
  <si>
    <t>Thời gian vào: 2026-01-09 08:44:31</t>
  </si>
  <si>
    <t>Thời gian ra: 2026-01-09 18:48:44</t>
  </si>
  <si>
    <t>Thời gian vào: 2026-01-10 08:32:51</t>
  </si>
  <si>
    <t>Thời gian ra: 2026-01-10 18:04:29</t>
  </si>
  <si>
    <t>Thời gian vào: 2026-01-12 08:57:29</t>
  </si>
  <si>
    <t>Thời gian ra: 2026-01-12 19:45:34</t>
  </si>
  <si>
    <t>Thời gian vào: 2026-01-13 08:50:16</t>
  </si>
  <si>
    <t>Thời gian ra: 2026-01-13 18:39:03</t>
  </si>
  <si>
    <t>Thời gian vào: 2026-01-14 08:45:23</t>
  </si>
  <si>
    <t>Thời gian ra: 2026-01-14 22:42:05</t>
  </si>
  <si>
    <t>Thời lượng theo dõi:837 phút</t>
  </si>
  <si>
    <t>Thời gian vào: 2026-01-15 13:23:53</t>
  </si>
  <si>
    <t>Thời gian ra: 2026-01-15 18:03:20</t>
  </si>
  <si>
    <t>Thời lượng theo dõi:279 phút</t>
  </si>
  <si>
    <t>Thời gian vào: 2026-01-16 09:16:15</t>
  </si>
  <si>
    <t>Thời gian ra: 2026-01-16 18:06:06</t>
  </si>
  <si>
    <t>Thời gian vào: 2026-01-19 08:45:47</t>
  </si>
  <si>
    <t>Thời gian ra: 2026-01-19 18:08:08</t>
  </si>
  <si>
    <t>Thời gian vào: 2026-01-20 08:30:50</t>
  </si>
  <si>
    <t>Thời gian ra: 2026-01-20 18:04:57</t>
  </si>
  <si>
    <t>Thời gian vào: 2026-01-21 08:50:31</t>
  </si>
  <si>
    <t>Thời gian ra: 2026-01-21 22:23:13</t>
  </si>
  <si>
    <t>Thời lượng theo dõi:813 phút</t>
  </si>
  <si>
    <t>Thời gian vào: 2026-01-22 09:21:31</t>
  </si>
  <si>
    <t>Thời gian ra: 2026-01-22 22:07:21</t>
  </si>
  <si>
    <t>Thời lượng theo dõi:766 phút</t>
  </si>
  <si>
    <t>Thời gian vào: 2026-01-23 08:25:59</t>
  </si>
  <si>
    <t>Thời gian ra: 2026-01-23 22:23:44</t>
  </si>
  <si>
    <t>Thời gian vào: 2026-01-26 09:16:56</t>
  </si>
  <si>
    <t>Thời gian vào: 2026-01-27 09:01:49</t>
  </si>
  <si>
    <t>Thời gian ra: 2026-01-27 18:06:04</t>
  </si>
  <si>
    <t>Thời gian vào: 2026-01-28 13:48:14</t>
  </si>
  <si>
    <t>Thời gian ra: 2026-01-28 18:16:46</t>
  </si>
  <si>
    <t>Thời gian vào: 2026-01-29 09:03:40</t>
  </si>
  <si>
    <t>Thời gian ra: 2026-01-29 18:01:44</t>
  </si>
  <si>
    <t>Thời gian vào: 2026-01-30 08:55:02</t>
  </si>
  <si>
    <t>Thời gian ra: 2026-01-30 18:08:26</t>
  </si>
  <si>
    <t>Thời gian vào: 2026-02-01 13:27:55</t>
  </si>
  <si>
    <t>Thời gian ra: 2026-02-01 20:15:37</t>
  </si>
  <si>
    <t>Thời lượng theo dõi:408 phút</t>
  </si>
  <si>
    <t>Hà Thị Tình</t>
  </si>
  <si>
    <t>Thời gian vào: 2026-01-05 08:38:39</t>
  </si>
  <si>
    <t>Thời gian ra: 2026-01-05 19:15:31</t>
  </si>
  <si>
    <t>Thời gian vào: 2026-01-06 08:45:15</t>
  </si>
  <si>
    <t>Thời gian ra: 2026-01-06 20:22:17</t>
  </si>
  <si>
    <t>Thời lượng theo dõi:697 phút</t>
  </si>
  <si>
    <t>Thời gian vào: 2026-01-07 08:45:02</t>
  </si>
  <si>
    <t>Thời gian ra: 2026-01-07 19:04:13</t>
  </si>
  <si>
    <t>Thời gian vào: 2026-01-08 08:55:14</t>
  </si>
  <si>
    <t>Thời gian ra: 2026-01-08 18:17:51</t>
  </si>
  <si>
    <t>Thời gian vào: 2026-01-09 09:04:09</t>
  </si>
  <si>
    <t>Thời gian ra: 2026-01-09 18:53:19</t>
  </si>
  <si>
    <t>Thời gian vào: 2026-01-10 08:50:46</t>
  </si>
  <si>
    <t>Thời gian ra: 2026-01-10 19:23:03</t>
  </si>
  <si>
    <t>Thời gian vào: 2026-01-12 08:39:16</t>
  </si>
  <si>
    <t>Thời gian ra: 2026-01-12 18:37:09</t>
  </si>
  <si>
    <t>Thời gian vào: 2026-01-14 08:50:57</t>
  </si>
  <si>
    <t>Thời gian ra: 2026-01-14 18:57:44</t>
  </si>
  <si>
    <t>Thời gian vào: 2026-01-15 08:47:48</t>
  </si>
  <si>
    <t>Thời gian ra: 2026-01-15 21:03:59</t>
  </si>
  <si>
    <t>Thời gian vào: 2026-01-16 08:47:40</t>
  </si>
  <si>
    <t>Thời gian ra: 2026-01-16 19:33:36</t>
  </si>
  <si>
    <t>Thời gian vào: 2026-01-19 08:38:10</t>
  </si>
  <si>
    <t>Thời gian ra: 2026-01-19 18:55:05</t>
  </si>
  <si>
    <t>Thời gian vào: 2026-01-20 08:44:43</t>
  </si>
  <si>
    <t>Thời gian ra: 2026-01-20 19:53:59</t>
  </si>
  <si>
    <t>Thời gian vào: 2026-01-21 08:43:22</t>
  </si>
  <si>
    <t>Thời gian ra: 2026-01-21 19:08:41</t>
  </si>
  <si>
    <t>Thời gian vào: 2026-01-22 08:45:03</t>
  </si>
  <si>
    <t>Thời gian ra: 2026-01-22 18:59:28</t>
  </si>
  <si>
    <t>Thời gian vào: 2026-01-28 08:39:37</t>
  </si>
  <si>
    <t>Thời gian ra: 2026-01-28 18:50:57</t>
  </si>
  <si>
    <t>Thời gian vào: 2026-01-29 08:46:54</t>
  </si>
  <si>
    <t>Thời gian ra: 2026-01-29 20:02:51</t>
  </si>
  <si>
    <t>Thời lượng theo dõi:676 phút</t>
  </si>
  <si>
    <t>Thời gian vào: 2026-01-30 08:42:37</t>
  </si>
  <si>
    <t>Thời gian ra: 2026-01-30 19:47:57</t>
  </si>
  <si>
    <t>Thời lượng theo dõi:665 phút</t>
  </si>
  <si>
    <t>Trần Thị Hồng Thủy</t>
  </si>
  <si>
    <t>Thời gian vào: 2026-01-05 08:58:48</t>
  </si>
  <si>
    <t>Thời gian ra: 2026-01-05 18:29:54</t>
  </si>
  <si>
    <t>Thời gian vào: 2026-01-06 09:05:03</t>
  </si>
  <si>
    <t>Thời gian ra: 2026-01-06 18:28:10</t>
  </si>
  <si>
    <t>Thời gian vào: 2026-01-07 09:17:17</t>
  </si>
  <si>
    <t>Thời gian ra: 2026-01-07 19:04:18</t>
  </si>
  <si>
    <t>Thời gian vào: 2026-01-08 08:52:07</t>
  </si>
  <si>
    <t>Thời gian ra: 2026-01-08 20:21:43</t>
  </si>
  <si>
    <t>Thời gian vào: 2026-01-09 09:01:08</t>
  </si>
  <si>
    <t>Thời gian ra: 2026-01-09 19:17:53</t>
  </si>
  <si>
    <t>Thời gian vào: 2026-01-10 08:54:13</t>
  </si>
  <si>
    <t>Thời gian ra: 2026-01-10 19:23:06</t>
  </si>
  <si>
    <t>Thời gian vào: 2026-01-12 08:48:46</t>
  </si>
  <si>
    <t>Thời gian ra: 2026-01-12 18:37:00</t>
  </si>
  <si>
    <t>Thời gian vào: 2026-01-13 08:44:08</t>
  </si>
  <si>
    <t>Thời gian ra: 2026-01-13 19:19:24</t>
  </si>
  <si>
    <t>Thời gian vào: 2026-01-14 08:53:55</t>
  </si>
  <si>
    <t>Thời gian ra: 2026-01-14 18:57:46</t>
  </si>
  <si>
    <t>Thời gian vào: 2026-01-15 08:55:55</t>
  </si>
  <si>
    <t>Thời gian ra: 2026-01-15 20:23:33</t>
  </si>
  <si>
    <t>Thời gian vào: 2026-01-16 08:57:21</t>
  </si>
  <si>
    <t>Thời gian ra: 2026-01-16 18:18:00</t>
  </si>
  <si>
    <t>Thời gian vào: 2026-01-19 08:54:55</t>
  </si>
  <si>
    <t>Thời gian ra: 2026-01-19 12:09:21</t>
  </si>
  <si>
    <t>Thời gian vào: 2026-01-20 08:56:00</t>
  </si>
  <si>
    <t>Thời gian ra: 2026-01-20 18:03:31</t>
  </si>
  <si>
    <t>Thời gian vào: 2026-01-21 08:54:50</t>
  </si>
  <si>
    <t>Thời gian ra: 2026-01-21 18:35:20</t>
  </si>
  <si>
    <t>Thời gian vào: 2026-01-22 08:56:58</t>
  </si>
  <si>
    <t>Thời gian ra: 2026-01-22 18:59:30</t>
  </si>
  <si>
    <t>Thời gian vào: 2026-01-23 08:49:23</t>
  </si>
  <si>
    <t>Thời gian ra: 2026-01-23 20:02:39</t>
  </si>
  <si>
    <t>Thời gian vào: 2026-01-27 08:51:41</t>
  </si>
  <si>
    <t>Thời gian ra: 2026-01-27 18:23:01</t>
  </si>
  <si>
    <t>Thời gian vào: 2026-01-28 08:58:18</t>
  </si>
  <si>
    <t>Thời gian ra: 2026-01-28 18:50:59</t>
  </si>
  <si>
    <t>Thời gian vào: 2026-01-29 08:49:45</t>
  </si>
  <si>
    <t>Thời gian ra: 2026-01-29 20:02:59</t>
  </si>
  <si>
    <t>Thời gian vào: 2026-01-30 08:58:05</t>
  </si>
  <si>
    <t>Thời gian ra: 2026-01-30 19:48:00</t>
  </si>
  <si>
    <t>Thời lượng theo dõi:650 phút</t>
  </si>
  <si>
    <t>Trần Duy Hải</t>
  </si>
  <si>
    <t>Thời gian vào: 2026-01-05 09:35:55</t>
  </si>
  <si>
    <t>Thời gian ra: 2026-01-05 18:20:37</t>
  </si>
  <si>
    <t>Thời gian vào: 2026-01-06 09:48:11</t>
  </si>
  <si>
    <t>Thời gian ra: 2026-01-06 18:29:35</t>
  </si>
  <si>
    <t>Thời gian vào: 2026-01-07 13:41:44</t>
  </si>
  <si>
    <t>Thời gian ra: 2026-01-07 20:31:58</t>
  </si>
  <si>
    <t>Thời lượng theo dõi:410 phút</t>
  </si>
  <si>
    <t>Thời gian vào: 2026-01-08 13:47:45</t>
  </si>
  <si>
    <t>Thời gian ra: 2026-01-08 21:03:12</t>
  </si>
  <si>
    <t>Thời lượng theo dõi:435 phút</t>
  </si>
  <si>
    <t>Thời gian vào: 2026-01-09 15:06:22</t>
  </si>
  <si>
    <t>Thời gian ra: 2026-01-09 20:59:17</t>
  </si>
  <si>
    <t>Thời lượng theo dõi:353 phút</t>
  </si>
  <si>
    <t>Thời gian vào: 2026-01-10 14:26:50</t>
  </si>
  <si>
    <t>Thời gian ra: 2026-01-10 16:10:53</t>
  </si>
  <si>
    <t>Thời lượng theo dõi:104 phút</t>
  </si>
  <si>
    <t>Thời gian vào: 2026-01-12 13:40:54</t>
  </si>
  <si>
    <t>Thời gian ra: 2026-01-12 21:31:12</t>
  </si>
  <si>
    <t>Thời lượng theo dõi:470 phút</t>
  </si>
  <si>
    <t>Thời gian vào: 2026-01-13 08:42:42</t>
  </si>
  <si>
    <t>Thời gian ra: 2026-01-13 22:02:58</t>
  </si>
  <si>
    <t>Thời lượng theo dõi:800 phút</t>
  </si>
  <si>
    <t>Thời gian vào: 2026-01-14 08:47:39</t>
  </si>
  <si>
    <t>Thời gian ra: 2026-01-14 22:03:32</t>
  </si>
  <si>
    <t>Thời lượng theo dõi:796 phút</t>
  </si>
  <si>
    <t>Thời gian vào: 2026-01-15 08:43:01</t>
  </si>
  <si>
    <t>Thời gian ra: 2026-01-15 19:22:13</t>
  </si>
  <si>
    <t>Thời gian vào: 2026-01-16 08:52:55</t>
  </si>
  <si>
    <t>Thời gian ra: 2026-01-16 11:30:30</t>
  </si>
  <si>
    <t>Thời lượng theo dõi:158 phút</t>
  </si>
  <si>
    <t>Thời gian vào: 2026-01-17 13:33:12</t>
  </si>
  <si>
    <t>Thời gian ra: 2026-01-17 18:38:32</t>
  </si>
  <si>
    <t>Thời lượng theo dõi:305 phút</t>
  </si>
  <si>
    <t>Thời gian vào: 2026-01-18 14:20:28</t>
  </si>
  <si>
    <t>Thời gian ra: 2026-01-18 16:51:48</t>
  </si>
  <si>
    <t>Thời lượng theo dõi:151 phút</t>
  </si>
  <si>
    <t>Thời gian vào: 2026-01-19 13:35:45</t>
  </si>
  <si>
    <t>Thời gian ra: 2026-01-19 20:08:38</t>
  </si>
  <si>
    <t>Thời lượng theo dõi:393 phút</t>
  </si>
  <si>
    <t>Thời gian vào: 2026-01-20 08:46:32</t>
  </si>
  <si>
    <t>Thời gian ra: 2026-01-20 18:33:17</t>
  </si>
  <si>
    <t>Thời gian vào: 2026-01-22 13:34:58</t>
  </si>
  <si>
    <t>Thời gian ra: 2026-01-22 19:31:38</t>
  </si>
  <si>
    <t>Thời lượng theo dõi:357 phút</t>
  </si>
  <si>
    <t>Thời gian vào: 2026-01-24 14:45:04</t>
  </si>
  <si>
    <t>Thời gian ra: 2026-01-24 19:53:50</t>
  </si>
  <si>
    <t>Thời gian vào: 2026-01-25 14:08:18</t>
  </si>
  <si>
    <t>Thời gian ra: 2026-01-25 15:09:24</t>
  </si>
  <si>
    <t>Thời lượng theo dõi:61 phút</t>
  </si>
  <si>
    <t>Thời gian vào: 2026-01-26 13:47:48</t>
  </si>
  <si>
    <t>Thời gian ra: 2026-01-26 19:49:59</t>
  </si>
  <si>
    <t>Thời gian vào: 2026-01-27 13:43:18</t>
  </si>
  <si>
    <t>Thời gian ra: 2026-01-27 20:08:41</t>
  </si>
  <si>
    <t>Thời lượng theo dõi:385 phút</t>
  </si>
  <si>
    <t>Thời gian vào: 2026-01-28 14:36:17</t>
  </si>
  <si>
    <t>Thời gian ra: 2026-01-28 19:42:44</t>
  </si>
  <si>
    <t>Thời lượng theo dõi:306 phút</t>
  </si>
  <si>
    <t>Thời gian vào: 2026-01-29 13:10:27</t>
  </si>
  <si>
    <t>Thời gian ra: 2026-01-29 20:00:24</t>
  </si>
  <si>
    <t>Cao Thành Long</t>
  </si>
  <si>
    <t>Thời gian vào: 2026-01-05 11:09:07</t>
  </si>
  <si>
    <t>Thời gian ra: 2026-01-05 12:04:13</t>
  </si>
  <si>
    <t>Thời lượng theo dõi:55 phút</t>
  </si>
  <si>
    <t>Thời gian vào: 2026-01-06 13:38:49</t>
  </si>
  <si>
    <t>Thời gian ra: 2026-01-06 21:26:17</t>
  </si>
  <si>
    <t>Thời lượng theo dõi:467 phút</t>
  </si>
  <si>
    <t>Thời gian vào: 2026-01-07 18:22:01</t>
  </si>
  <si>
    <t>Thời gian vào: 2026-01-08 18:35:31</t>
  </si>
  <si>
    <t>Thời gian vào: 2026-01-09 11:36:40</t>
  </si>
  <si>
    <t>Thời gian ra: 2026-01-09 18:25:58</t>
  </si>
  <si>
    <t>Thời lượng theo dõi:409 phút</t>
  </si>
  <si>
    <t>Thời gian vào: 2026-01-10 09:57:48</t>
  </si>
  <si>
    <t>Thời gian ra: 2026-01-10 16:16:52</t>
  </si>
  <si>
    <t>Thời lượng theo dõi:379 phút</t>
  </si>
  <si>
    <t>Thời gian vào: 2026-01-13 16:42:23</t>
  </si>
  <si>
    <t>Thời gian ra: 2026-01-13 17:02:55</t>
  </si>
  <si>
    <t>Thời lượng theo dõi:21 phút</t>
  </si>
  <si>
    <t>Thời gian vào: 2026-01-15 10:01:13</t>
  </si>
  <si>
    <t>Thời gian ra: 2026-01-15 15:41:03</t>
  </si>
  <si>
    <t>Thời lượng theo dõi:340 phút</t>
  </si>
  <si>
    <t>Thời gian vào: 2026-01-16 00:14:24</t>
  </si>
  <si>
    <t>Thời gian vào: 2026-01-20 14:29:48</t>
  </si>
  <si>
    <t>Thời gian ra: 2026-01-20 18:13:21</t>
  </si>
  <si>
    <t>Thời gian vào: 2026-01-21 18:14:36</t>
  </si>
  <si>
    <t>Thời gian vào: 2026-01-22 18:31:58</t>
  </si>
  <si>
    <t>Thời gian ra: 2026-01-22 18:32:33</t>
  </si>
  <si>
    <t>Thời gian vào: 2026-01-23 11:37:18</t>
  </si>
  <si>
    <t>Thời gian vào: 2026-01-27 11:52:33</t>
  </si>
  <si>
    <t>Thời gian ra: 2026-01-27 18:11:22</t>
  </si>
  <si>
    <t>Thời gian vào: 2026-01-29 12:03:14</t>
  </si>
  <si>
    <t>Thời gian ra: 2026-01-29 18:20:26</t>
  </si>
  <si>
    <t>Thời lượng theo dõi:377 phút</t>
  </si>
  <si>
    <t>Thời gian vào: 2026-01-30 12:07:50</t>
  </si>
  <si>
    <t>Thời gian ra: 2026-01-30 18:52:42</t>
  </si>
  <si>
    <t>Thời lượng theo dõi:405 phút</t>
  </si>
  <si>
    <t>Thời gian vào: 2026-02-01 23:43:42</t>
  </si>
  <si>
    <t>Thời gian ra: 2026-02-01 23:43:45</t>
  </si>
  <si>
    <t>Nguyễn Thị Chí</t>
  </si>
  <si>
    <t>Thời gian vào: 2026-01-03 08:04:31</t>
  </si>
  <si>
    <t>Thời gian ra: 2026-01-03 09:56:58</t>
  </si>
  <si>
    <t>Thời lượng theo dõi:112 phút</t>
  </si>
  <si>
    <t>Thời gian vào: 2026-01-05 08:25:45</t>
  </si>
  <si>
    <t>Thời gian ra: 2026-01-05 15:00:17</t>
  </si>
  <si>
    <t>Thời gian vào: 2026-01-06 08:25:59</t>
  </si>
  <si>
    <t>Thời gian ra: 2026-01-06 15:00:16</t>
  </si>
  <si>
    <t>Thời lượng theo dõi:394 phút</t>
  </si>
  <si>
    <t>Thời gian vào: 2026-01-07 08:25:38</t>
  </si>
  <si>
    <t>Thời gian ra: 2026-01-07 15:02:24</t>
  </si>
  <si>
    <t>Thời lượng theo dõi:397 phút</t>
  </si>
  <si>
    <t>Thời gian vào: 2026-01-08 08:25:33</t>
  </si>
  <si>
    <t>Thời gian ra: 2026-01-08 15:19:41</t>
  </si>
  <si>
    <t>Thời lượng theo dõi:414 phút</t>
  </si>
  <si>
    <t>Thời gian vào: 2026-01-09 08:25:33</t>
  </si>
  <si>
    <t>Thời gian ra: 2026-01-09 15:00:02</t>
  </si>
  <si>
    <t>Thời gian vào: 2026-01-10 08:18:17</t>
  </si>
  <si>
    <t>Thời gian ra: 2026-01-10 15:05:10</t>
  </si>
  <si>
    <t>Thời lượng theo dõi:407 phút</t>
  </si>
  <si>
    <t>Thời gian vào: 2026-01-12 08:25:03</t>
  </si>
  <si>
    <t>Thời gian ra: 2026-01-12 15:00:35</t>
  </si>
  <si>
    <t>Thời lượng theo dõi:396 phút</t>
  </si>
  <si>
    <t>Thời gian vào: 2026-01-13 08:25:21</t>
  </si>
  <si>
    <t>Thời gian ra: 2026-01-13 14:59:26</t>
  </si>
  <si>
    <t>Thời gian vào: 2026-01-14 08:25:22</t>
  </si>
  <si>
    <t>Thời gian ra: 2026-01-14 15:03:30</t>
  </si>
  <si>
    <t>Thời lượng theo dõi:398 phút</t>
  </si>
  <si>
    <t>Thời gian vào: 2026-01-15 08:25:27</t>
  </si>
  <si>
    <t>Thời gian ra: 2026-01-15 15:03:24</t>
  </si>
  <si>
    <t>Thời gian vào: 2026-01-16 08:25:52</t>
  </si>
  <si>
    <t>Thời gian ra: 2026-01-16 15:02:17</t>
  </si>
  <si>
    <t>Thời gian vào: 2026-01-17 08:12:11</t>
  </si>
  <si>
    <t>Thời gian ra: 2026-01-17 10:20:38</t>
  </si>
  <si>
    <t>Thời lượng theo dõi:128 phút</t>
  </si>
  <si>
    <t>Thời gian vào: 2026-01-19 08:26:16</t>
  </si>
  <si>
    <t>Thời gian ra: 2026-01-19 15:00:52</t>
  </si>
  <si>
    <t>Thời gian vào: 2026-01-20 08:25:30</t>
  </si>
  <si>
    <t>Thời gian ra: 2026-01-20 15:00:52</t>
  </si>
  <si>
    <t>Thời gian vào: 2026-01-21 08:25:25</t>
  </si>
  <si>
    <t>Thời gian ra: 2026-01-21 15:02:37</t>
  </si>
  <si>
    <t>Thời gian vào: 2026-01-22 08:25:21</t>
  </si>
  <si>
    <t>Thời gian ra: 2026-01-22 15:01:21</t>
  </si>
  <si>
    <t>Thời gian vào: 2026-01-23 08:25:23</t>
  </si>
  <si>
    <t>Thời gian ra: 2026-01-23 15:02:51</t>
  </si>
  <si>
    <t>Thời gian vào: 2026-01-24 08:05:57</t>
  </si>
  <si>
    <t>Thời gian ra: 2026-01-24 10:32:15</t>
  </si>
  <si>
    <t>Thời lượng theo dõi:146 phút</t>
  </si>
  <si>
    <t>Thời gian vào: 2026-01-26 08:25:10</t>
  </si>
  <si>
    <t>Thời gian ra: 2026-01-26 15:06:04</t>
  </si>
  <si>
    <t>Thời lượng theo dõi:401 phút</t>
  </si>
  <si>
    <t>Thời gian vào: 2026-01-27 08:25:19</t>
  </si>
  <si>
    <t>Thời gian ra: 2026-01-27 15:01:56</t>
  </si>
  <si>
    <t>Thời gian vào: 2026-01-28 08:25:36</t>
  </si>
  <si>
    <t>Thời gian ra: 2026-01-28 15:00:39</t>
  </si>
  <si>
    <t>Thời gian vào: 2026-01-29 08:25:07</t>
  </si>
  <si>
    <t>Thời gian ra: 2026-01-29 15:00:53</t>
  </si>
  <si>
    <t>Thời gian vào: 2026-01-30 08:25:26</t>
  </si>
  <si>
    <t>Thời gian ra: 2026-01-30 15:03:16</t>
  </si>
  <si>
    <t>Thời gian vào: 2026-01-31 08:19:36</t>
  </si>
  <si>
    <t>Thời gian ra: 2026-01-31 10:36:10</t>
  </si>
  <si>
    <t>Thời lượng theo dõi:137 phút</t>
  </si>
  <si>
    <t>Bùi Thu Nga</t>
  </si>
  <si>
    <t>Thời gian vào: 2026-01-05 08:32:39</t>
  </si>
  <si>
    <t>Thời gian ra: 2026-01-05 18:22:33</t>
  </si>
  <si>
    <t>Thời gian vào: 2026-01-06 11:11:16</t>
  </si>
  <si>
    <t>Thời gian vào: 2026-01-08 18:03:27</t>
  </si>
  <si>
    <t>Thời gian vào: 2026-01-09 08:32:19</t>
  </si>
  <si>
    <t>Thời gian ra: 2026-01-09 12:00:40</t>
  </si>
  <si>
    <t>Thời gian vào: 2026-01-12 18:08:50</t>
  </si>
  <si>
    <t>Thời gian ra: 2026-01-12 18:09:09</t>
  </si>
  <si>
    <t>Thời gian vào: 2026-01-13 08:36:06</t>
  </si>
  <si>
    <t>Thời gian ra: 2026-01-13 17:37:19</t>
  </si>
  <si>
    <t>Thời gian vào: 2026-01-14 18:02:23</t>
  </si>
  <si>
    <t>Thời gian vào: 2026-01-15 09:22:21</t>
  </si>
  <si>
    <t>Thời gian ra: 2026-01-15 17:31:06</t>
  </si>
  <si>
    <t>Thời lượng theo dõi:489 phút</t>
  </si>
  <si>
    <t>Thời gian vào: 2026-01-16 08:30:00</t>
  </si>
  <si>
    <t>Thời gian ra: 2026-01-16 14:23:38</t>
  </si>
  <si>
    <t>Thời lượng theo dõi:354 phút</t>
  </si>
  <si>
    <t>Thời gian vào: 2026-01-19 14:45:53</t>
  </si>
  <si>
    <t>Thời gian ra: 2026-01-19 18:13:17</t>
  </si>
  <si>
    <t>Thời lượng theo dõi:207 phút</t>
  </si>
  <si>
    <t>Thời gian vào: 2026-01-20 17:54:28</t>
  </si>
  <si>
    <t>Thời gian ra: 2026-01-20 18:29:13</t>
  </si>
  <si>
    <t>Thời lượng theo dõi:35 phút</t>
  </si>
  <si>
    <t>Thời gian vào: 2026-01-21 18:49:35</t>
  </si>
  <si>
    <t>Thời gian vào: 2026-01-22 14:36:31</t>
  </si>
  <si>
    <t>Thời gian ra: 2026-01-22 18:04:54</t>
  </si>
  <si>
    <t>Thời gian vào: 2026-01-26 08:29:26</t>
  </si>
  <si>
    <t>Thời gian ra: 2026-01-26 19:27:01</t>
  </si>
  <si>
    <t>Thời lượng theo dõi:658 phút</t>
  </si>
  <si>
    <t>Thời gian vào: 2026-01-27 13:53:11</t>
  </si>
  <si>
    <t>Thời gian ra: 2026-01-27 18:23:49</t>
  </si>
  <si>
    <t>Thời gian vào: 2026-01-29 18:46:48</t>
  </si>
  <si>
    <t>Thời gian ra: 2026-01-29 18:47:43</t>
  </si>
  <si>
    <t>Nguyễn Thị Yến</t>
  </si>
  <si>
    <t>Thời gian vào: 2026-01-05 08:32:05</t>
  </si>
  <si>
    <t>Thời gian ra: 2026-01-05 18:02:06</t>
  </si>
  <si>
    <t>Thời gian vào: 2026-01-06 08:53:54</t>
  </si>
  <si>
    <t>Thời gian ra: 2026-01-06 18:13:27</t>
  </si>
  <si>
    <t>Thời gian vào: 2026-01-07 08:31:37</t>
  </si>
  <si>
    <t>Thời gian ra: 2026-01-07 18:08:42</t>
  </si>
  <si>
    <t>Thời gian vào: 2026-01-08 08:42:50</t>
  </si>
  <si>
    <t>Thời gian ra: 2026-01-08 18:02:04</t>
  </si>
  <si>
    <t>Thời gian vào: 2026-01-09 08:34:43</t>
  </si>
  <si>
    <t>Thời gian ra: 2026-01-09 18:02:46</t>
  </si>
  <si>
    <t>Thời gian vào: 2026-01-10 08:40:47</t>
  </si>
  <si>
    <t>Thời gian ra: 2026-01-10 12:27:22</t>
  </si>
  <si>
    <t>Thời gian vào: 2026-01-12 08:44:07</t>
  </si>
  <si>
    <t>Thời gian ra: 2026-01-12 18:05:02</t>
  </si>
  <si>
    <t>Thời gian vào: 2026-01-13 08:39:05</t>
  </si>
  <si>
    <t>Thời gian ra: 2026-01-13 18:03:17</t>
  </si>
  <si>
    <t>Thời gian vào: 2026-01-14 08:41:17</t>
  </si>
  <si>
    <t>Thời gian ra: 2026-01-14 18:06:25</t>
  </si>
  <si>
    <t>Thời gian vào: 2026-01-15 08:34:57</t>
  </si>
  <si>
    <t>Thời gian ra: 2026-01-15 15:55:34</t>
  </si>
  <si>
    <t>Thời lượng theo dõi:441 phút</t>
  </si>
  <si>
    <t>Thời gian vào: 2026-01-16 08:37:41</t>
  </si>
  <si>
    <t>Thời gian ra: 2026-01-16 18:11:32</t>
  </si>
  <si>
    <t>Thời gian vào: 2026-01-19 08:47:27</t>
  </si>
  <si>
    <t>Thời gian ra: 2026-01-19 18:06:57</t>
  </si>
  <si>
    <t>Thời gian vào: 2026-01-20 08:37:18</t>
  </si>
  <si>
    <t>Thời gian ra: 2026-01-20 18:03:51</t>
  </si>
  <si>
    <t>Thời gian vào: 2026-01-21 08:35:32</t>
  </si>
  <si>
    <t>Thời gian ra: 2026-01-21 18:07:51</t>
  </si>
  <si>
    <t>Thời gian vào: 2026-01-22 08:45:05</t>
  </si>
  <si>
    <t>Thời gian ra: 2026-01-22 18:05:50</t>
  </si>
  <si>
    <t>Thời gian vào: 2026-01-23 08:38:28</t>
  </si>
  <si>
    <t>Thời gian ra: 2026-01-23 18:03:52</t>
  </si>
  <si>
    <t>Thời gian vào: 2026-01-26 08:47:31</t>
  </si>
  <si>
    <t>Thời gian ra: 2026-01-26 18:07:28</t>
  </si>
  <si>
    <t>Thời gian vào: 2026-01-27 08:40:03</t>
  </si>
  <si>
    <t>Thời gian ra: 2026-01-27 18:01:16</t>
  </si>
  <si>
    <t>Thời gian vào: 2026-01-28 08:44:25</t>
  </si>
  <si>
    <t>Thời gian ra: 2026-01-28 18:00:33</t>
  </si>
  <si>
    <t>Thời gian vào: 2026-01-29 08:39:58</t>
  </si>
  <si>
    <t>Thời gian ra: 2026-01-29 18:09:29</t>
  </si>
  <si>
    <t>Thời gian vào: 2026-01-30 08:42:39</t>
  </si>
  <si>
    <t>Thời gian ra: 2026-01-30 18:07:59</t>
  </si>
  <si>
    <t>Nguyễn Thị Hải Anh</t>
  </si>
  <si>
    <t>Dương Văn Chung</t>
  </si>
  <si>
    <t>Bùi Thị Thu Phương</t>
  </si>
  <si>
    <t>Thời gian vào: 2026-01-05 08:22:01</t>
  </si>
  <si>
    <t>Thời gian ra: 2026-01-05 18:02:54</t>
  </si>
  <si>
    <t>Thời gian vào: 2026-01-06 08:36:04</t>
  </si>
  <si>
    <t>Thời gian vào: 2026-01-07 10:00:14</t>
  </si>
  <si>
    <t>Thời gian ra: 2026-01-07 18:05:57</t>
  </si>
  <si>
    <t>Thời lượng theo dõi:486 phút</t>
  </si>
  <si>
    <t>Thời gian vào: 2026-01-08 08:23:36</t>
  </si>
  <si>
    <t>Thời gian vào: 2026-01-09 08:22:21</t>
  </si>
  <si>
    <t>Thời gian ra: 2026-01-09 18:08:35</t>
  </si>
  <si>
    <t>Thời gian vào: 2026-01-10 08:23:30</t>
  </si>
  <si>
    <t>Thời gian ra: 2026-01-10 18:07:40</t>
  </si>
  <si>
    <t>Thời gian vào: 2026-01-12 08:24:15</t>
  </si>
  <si>
    <t>Thời gian ra: 2026-01-12 17:36:19</t>
  </si>
  <si>
    <t>Thời gian vào: 2026-01-13 08:16:40</t>
  </si>
  <si>
    <t>Thời gian ra: 2026-01-13 17:36:09</t>
  </si>
  <si>
    <t>Thời gian vào: 2026-01-14 08:15:30</t>
  </si>
  <si>
    <t>Thời gian ra: 2026-01-14 17:32:00</t>
  </si>
  <si>
    <t>Thời gian vào: 2026-01-15 08:23:22</t>
  </si>
  <si>
    <t>Thời gian ra: 2026-01-15 20:01:54</t>
  </si>
  <si>
    <t>Thời lượng theo dõi:699 phút</t>
  </si>
  <si>
    <t>Thời gian vào: 2026-01-16 08:15:56</t>
  </si>
  <si>
    <t>Thời gian ra: 2026-01-16 18:08:01</t>
  </si>
  <si>
    <t>Thời gian vào: 2026-01-19 08:16:39</t>
  </si>
  <si>
    <t>Thời gian ra: 2026-01-19 18:03:27</t>
  </si>
  <si>
    <t>Thời gian vào: 2026-01-20 08:21:55</t>
  </si>
  <si>
    <t>Thời gian ra: 2026-01-20 18:06:58</t>
  </si>
  <si>
    <t>Thời gian vào: 2026-01-21 08:13:03</t>
  </si>
  <si>
    <t>Thời gian ra: 2026-01-21 18:05:44</t>
  </si>
  <si>
    <t>Thời gian vào: 2026-01-22 08:23:24</t>
  </si>
  <si>
    <t>Thời gian ra: 2026-01-22 18:08:16</t>
  </si>
  <si>
    <t>Thời gian vào: 2026-01-23 08:26:04</t>
  </si>
  <si>
    <t>Thời gian ra: 2026-01-23 18:05:13</t>
  </si>
  <si>
    <t>Thời gian vào: 2026-01-26 08:23:58</t>
  </si>
  <si>
    <t>Thời gian ra: 2026-01-26 18:07:10</t>
  </si>
  <si>
    <t>Thời gian vào: 2026-01-27 08:20:05</t>
  </si>
  <si>
    <t>Thời gian ra: 2026-01-27 18:09:49</t>
  </si>
  <si>
    <t>Thời gian vào: 2026-01-28 08:24:42</t>
  </si>
  <si>
    <t>Thời gian ra: 2026-01-28 18:05:33</t>
  </si>
  <si>
    <t>Thời gian vào: 2026-01-29 08:22:44</t>
  </si>
  <si>
    <t>Thời gian ra: 2026-01-29 18:08:43</t>
  </si>
  <si>
    <t>Thời gian vào: 2026-01-30 08:19:10</t>
  </si>
  <si>
    <t>Thời gian ra: 2026-01-30 18:11:05</t>
  </si>
  <si>
    <t>Nguyễn Quang Anh</t>
  </si>
  <si>
    <t>Thời gian vào: 2026-01-15 12:07:34</t>
  </si>
  <si>
    <t>Thời gian ra: 2026-01-15 12:08:23</t>
  </si>
  <si>
    <t>Nguyễn Thùy An</t>
  </si>
  <si>
    <t>Thời gian vào: 2026-01-03 11:07:33</t>
  </si>
  <si>
    <t>Thời gian vào: 2026-01-06 08:19:50</t>
  </si>
  <si>
    <t>Thời gian ra: 2026-01-06 21:23:49</t>
  </si>
  <si>
    <t>Thời lượng theo dõi:784 phút</t>
  </si>
  <si>
    <t>Thời gian vào: 2026-01-07 18:21:29</t>
  </si>
  <si>
    <t>Thời gian vào: 2026-01-10 18:07:28</t>
  </si>
  <si>
    <t>Thời gian vào: 2026-01-12 08:48:49</t>
  </si>
  <si>
    <t>Thời gian ra: 2026-01-12 18:26:59</t>
  </si>
  <si>
    <t>Thời gian vào: 2026-01-13 08:33:51</t>
  </si>
  <si>
    <t>Thời gian ra: 2026-01-13 18:11:00</t>
  </si>
  <si>
    <t>Thời gian vào: 2026-01-14 09:07:55</t>
  </si>
  <si>
    <t>Thời gian ra: 2026-01-14 19:49:09</t>
  </si>
  <si>
    <t>Thời gian vào: 2026-01-15 09:03:31</t>
  </si>
  <si>
    <t>Thời gian ra: 2026-01-15 18:23:29</t>
  </si>
  <si>
    <t>Thời gian vào: 2026-01-16 08:39:05</t>
  </si>
  <si>
    <t>Thời gian ra: 2026-01-16 08:47:42</t>
  </si>
  <si>
    <t>Thời lượng theo dõi:9 phút</t>
  </si>
  <si>
    <t>Thời gian vào: 2026-01-19 08:31:38</t>
  </si>
  <si>
    <t>Thời gian ra: 2026-01-19 18:03:30</t>
  </si>
  <si>
    <t>Thời gian vào: 2026-01-20 08:40:29</t>
  </si>
  <si>
    <t>Thời gian ra: 2026-01-20 18:30:38</t>
  </si>
  <si>
    <t>Thời gian vào: 2026-01-21 08:50:15</t>
  </si>
  <si>
    <t>Thời gian vào: 2026-01-22 14:49:55</t>
  </si>
  <si>
    <t>Thời gian ra: 2026-01-22 18:10:22</t>
  </si>
  <si>
    <t>Thời lượng theo dõi:200 phút</t>
  </si>
  <si>
    <t>Thời gian vào: 2026-01-23 13:42:14</t>
  </si>
  <si>
    <t>Thời gian vào: 2026-01-27 15:24:28</t>
  </si>
  <si>
    <t>Thời gian ra: 2026-01-27 18:09:57</t>
  </si>
  <si>
    <t>Thời lượng theo dõi:165 phút</t>
  </si>
  <si>
    <t>Thời gian vào: 2026-01-28 08:47:17</t>
  </si>
  <si>
    <t>Thời gian ra: 2026-01-28 18:05:36</t>
  </si>
  <si>
    <t>Trần Tuấn Tú</t>
  </si>
  <si>
    <t>Thời gian vào: 2026-01-05 08:55:28</t>
  </si>
  <si>
    <t>Thời gian ra: 2026-01-05 19:26:49</t>
  </si>
  <si>
    <t>Thời gian vào: 2026-01-06 08:44:54</t>
  </si>
  <si>
    <t>Thời gian ra: 2026-01-06 20:46:51</t>
  </si>
  <si>
    <t>Thời gian vào: 2026-01-07 08:43:04</t>
  </si>
  <si>
    <t>Thời gian ra: 2026-01-07 20:02:29</t>
  </si>
  <si>
    <t>Thời lượng theo dõi:679 phút</t>
  </si>
  <si>
    <t>Thời gian vào: 2026-01-08 08:49:31</t>
  </si>
  <si>
    <t>Thời gian ra: 2026-01-08 19:09:03</t>
  </si>
  <si>
    <t>Thời gian vào: 2026-01-09 08:34:37</t>
  </si>
  <si>
    <t>Thời gian ra: 2026-01-09 19:17:33</t>
  </si>
  <si>
    <t>Thời gian vào: 2026-01-10 08:34:25</t>
  </si>
  <si>
    <t>Thời gian vào: 2026-01-12 08:59:08</t>
  </si>
  <si>
    <t>Thời gian ra: 2026-01-12 19:47:06</t>
  </si>
  <si>
    <t>Thời gian vào: 2026-01-13 08:44:09</t>
  </si>
  <si>
    <t>Thời gian ra: 2026-01-13 20:11:27</t>
  </si>
  <si>
    <t>Thời lượng theo dõi:687 phút</t>
  </si>
  <si>
    <t>Thời gian vào: 2026-01-14 08:47:42</t>
  </si>
  <si>
    <t>Thời gian ra: 2026-01-14 22:10:47</t>
  </si>
  <si>
    <t>Thời lượng theo dõi:803 phút</t>
  </si>
  <si>
    <t>Thời gian vào: 2026-01-15 08:55:50</t>
  </si>
  <si>
    <t>Thời gian ra: 2026-01-15 22:53:22</t>
  </si>
  <si>
    <t>Thời gian vào: 2026-01-16 08:31:58</t>
  </si>
  <si>
    <t>Thời gian ra: 2026-01-16 19:59:19</t>
  </si>
  <si>
    <t>Thời gian vào: 2026-01-19 08:44:38</t>
  </si>
  <si>
    <t>Thời gian ra: 2026-01-19 19:36:49</t>
  </si>
  <si>
    <t>Thời gian vào: 2026-01-20 08:57:58</t>
  </si>
  <si>
    <t>Thời gian ra: 2026-01-20 19:09:42</t>
  </si>
  <si>
    <t>Thời gian vào: 2026-01-21 08:53:30</t>
  </si>
  <si>
    <t>Thời gian ra: 2026-01-21 19:27:35</t>
  </si>
  <si>
    <t>Thời lượng theo dõi:634 phút</t>
  </si>
  <si>
    <t>Thời gian vào: 2026-01-22 08:45:00</t>
  </si>
  <si>
    <t>Thời gian ra: 2026-01-22 22:53:23</t>
  </si>
  <si>
    <t>Thời lượng theo dõi:848 phút</t>
  </si>
  <si>
    <t>Thời gian vào: 2026-01-23 08:56:06</t>
  </si>
  <si>
    <t>Thời lượng theo dõi:774 phút</t>
  </si>
  <si>
    <t>Thời gian vào: 2026-01-27 08:49:30</t>
  </si>
  <si>
    <t>Thời gian ra: 2026-01-27 19:54:25</t>
  </si>
  <si>
    <t>Thời gian vào: 2026-01-28 08:47:19</t>
  </si>
  <si>
    <t>Thời gian ra: 2026-01-28 19:12:59</t>
  </si>
  <si>
    <t>Thời gian vào: 2026-01-29 08:44:24</t>
  </si>
  <si>
    <t>Thời gian ra: 2026-01-29 19:33:42</t>
  </si>
  <si>
    <t>Thời gian vào: 2026-01-30 08:53:34</t>
  </si>
  <si>
    <t>Thời gian ra: 2026-01-30 20:08:29</t>
  </si>
  <si>
    <t>Cao Thị Nhung</t>
  </si>
  <si>
    <t>Thời gian vào: 2026-01-05 08:21:52</t>
  </si>
  <si>
    <t>Thời gian ra: 2026-01-05 18:08:05</t>
  </si>
  <si>
    <t>Thời gian vào: 2026-01-06 08:25:25</t>
  </si>
  <si>
    <t>Thời gian ra: 2026-01-06 18:11:28</t>
  </si>
  <si>
    <t>Thời gian vào: 2026-01-07 08:28:13</t>
  </si>
  <si>
    <t>Thời gian ra: 2026-01-07 18:12:59</t>
  </si>
  <si>
    <t>Thời gian vào: 2026-01-08 08:32:07</t>
  </si>
  <si>
    <t>Thời gian ra: 2026-01-08 18:24:53</t>
  </si>
  <si>
    <t>Thời gian vào: 2026-01-13 08:27:46</t>
  </si>
  <si>
    <t>Thời gian ra: 2026-01-13 18:24:19</t>
  </si>
  <si>
    <t>Thời gian vào: 2026-01-14 08:27:37</t>
  </si>
  <si>
    <t>Thời gian ra: 2026-01-14 18:21:53</t>
  </si>
  <si>
    <t>Thời gian vào: 2026-01-15 13:34:04</t>
  </si>
  <si>
    <t>Thời gian ra: 2026-01-15 18:13:45</t>
  </si>
  <si>
    <t>Thời lượng theo dõi:280 phút</t>
  </si>
  <si>
    <t>Thời gian vào: 2026-01-19 08:25:20</t>
  </si>
  <si>
    <t>Thời gian ra: 2026-01-19 12:04:22</t>
  </si>
  <si>
    <t>Thời lượng theo dõi:219 phút</t>
  </si>
  <si>
    <t>Thời gian vào: 2026-01-20 08:57:56</t>
  </si>
  <si>
    <t>Thời gian ra: 2026-01-20 18:33:32</t>
  </si>
  <si>
    <t>Thời gian vào: 2026-01-21 08:28:27</t>
  </si>
  <si>
    <t>Thời gian ra: 2026-01-21 18:10:42</t>
  </si>
  <si>
    <t>Thời gian vào: 2026-01-22 08:29:03</t>
  </si>
  <si>
    <t>Thời gian ra: 2026-01-22 18:15:00</t>
  </si>
  <si>
    <t>Thời gian vào: 2026-01-26 13:28:04</t>
  </si>
  <si>
    <t>Thời gian ra: 2026-01-26 18:25:26</t>
  </si>
  <si>
    <t>Thời lượng theo dõi:297 phút</t>
  </si>
  <si>
    <t>Thời gian vào: 2026-01-27 08:16:26</t>
  </si>
  <si>
    <t>Thời gian ra: 2026-01-27 18:34:22</t>
  </si>
  <si>
    <t>Thời gian vào: 2026-01-28 08:25:16</t>
  </si>
  <si>
    <t>Thời gian ra: 2026-01-28 18:13:55</t>
  </si>
  <si>
    <t>Thời gian vào: 2026-01-29 08:32:08</t>
  </si>
  <si>
    <t>Thời gian ra: 2026-01-29 18:12:24</t>
  </si>
  <si>
    <t>Hàn Mạnh Hùng</t>
  </si>
  <si>
    <t>Thời gian vào: 2026-01-05 08:55:54</t>
  </si>
  <si>
    <t>Thời gian ra: 2026-01-05 18:02:05</t>
  </si>
  <si>
    <t>Thời gian vào: 2026-01-06 09:15:45</t>
  </si>
  <si>
    <t>Thời gian ra: 2026-01-06 18:12:55</t>
  </si>
  <si>
    <t>Thời gian vào: 2026-01-07 09:22:26</t>
  </si>
  <si>
    <t>Thời gian ra: 2026-01-07 18:11:18</t>
  </si>
  <si>
    <t>Thời gian vào: 2026-01-09 09:01:11</t>
  </si>
  <si>
    <t>Thời gian ra: 2026-01-09 18:03:26</t>
  </si>
  <si>
    <t>Thời gian vào: 2026-01-12 08:57:18</t>
  </si>
  <si>
    <t>Thời gian ra: 2026-01-12 19:35:35</t>
  </si>
  <si>
    <t>Thời gian vào: 2026-01-14 09:06:19</t>
  </si>
  <si>
    <t>Thời gian ra: 2026-01-14 18:04:29</t>
  </si>
  <si>
    <t>Thời gian vào: 2026-01-15 15:56:09</t>
  </si>
  <si>
    <t>Thời gian vào: 2026-01-16 08:57:18</t>
  </si>
  <si>
    <t>Thời gian ra: 2026-01-16 18:05:28</t>
  </si>
  <si>
    <t>Thời gian vào: 2026-01-18 09:05:48</t>
  </si>
  <si>
    <t>Thời gian ra: 2026-01-18 09:06:38</t>
  </si>
  <si>
    <t>Thời gian vào: 2026-01-20 09:04:03</t>
  </si>
  <si>
    <t>Thời gian ra: 2026-01-20 18:20:14</t>
  </si>
  <si>
    <t>Thời gian vào: 2026-01-21 09:14:01</t>
  </si>
  <si>
    <t>Thời gian ra: 2026-01-21 18:05:01</t>
  </si>
  <si>
    <t>Thời gian vào: 2026-01-22 13:39:53</t>
  </si>
  <si>
    <t>Thời gian ra: 2026-01-22 18:05:54</t>
  </si>
  <si>
    <t>Thời gian vào: 2026-01-23 08:56:12</t>
  </si>
  <si>
    <t>Thời gian ra: 2026-01-23 18:04:02</t>
  </si>
  <si>
    <t>Thời gian vào: 2026-01-26 09:01:45</t>
  </si>
  <si>
    <t>Thời gian ra: 2026-01-26 18:06:22</t>
  </si>
  <si>
    <t>Thời gian vào: 2026-01-27 13:37:06</t>
  </si>
  <si>
    <t>Thời gian ra: 2026-01-27 18:01:26</t>
  </si>
  <si>
    <t>Thời gian vào: 2026-01-28 08:53:09</t>
  </si>
  <si>
    <t>Thời gian ra: 2026-01-28 18:00:36</t>
  </si>
  <si>
    <t>Thời gian vào: 2026-01-29 09:24:18</t>
  </si>
  <si>
    <t>Thời gian ra: 2026-01-29 18:04:20</t>
  </si>
  <si>
    <t>Thời lượng theo dõi:520 phút</t>
  </si>
  <si>
    <t>Thời gian vào: 2026-01-30 13:43:20</t>
  </si>
  <si>
    <t>Thời gian ra: 2026-01-30 18:07:35</t>
  </si>
  <si>
    <t>Đặng Quốc Cường</t>
  </si>
  <si>
    <t>Thời gian vào: 2026-01-05 08:23:51</t>
  </si>
  <si>
    <t>Thời gian ra: 2026-01-05 18:05:07</t>
  </si>
  <si>
    <t>Thời gian vào: 2026-01-06 08:27:41</t>
  </si>
  <si>
    <t>Thời gian ra: 2026-01-06 18:09:20</t>
  </si>
  <si>
    <t>Thời gian vào: 2026-01-07 09:00:09</t>
  </si>
  <si>
    <t>Thời gian ra: 2026-01-07 18:39:06</t>
  </si>
  <si>
    <t>Thời gian vào: 2026-01-08 08:26:12</t>
  </si>
  <si>
    <t>Thời gian ra: 2026-01-08 18:13:32</t>
  </si>
  <si>
    <t>Thời gian vào: 2026-01-12 08:54:53</t>
  </si>
  <si>
    <t>Thời gian ra: 2026-01-12 18:06:03</t>
  </si>
  <si>
    <t>Thời gian vào: 2026-01-13 08:23:30</t>
  </si>
  <si>
    <t>Thời gian ra: 2026-01-13 18:16:02</t>
  </si>
  <si>
    <t>Thời gian vào: 2026-01-14 08:52:27</t>
  </si>
  <si>
    <t>Thời gian ra: 2026-01-14 18:47:00</t>
  </si>
  <si>
    <t>Thời gian vào: 2026-01-15 08:27:10</t>
  </si>
  <si>
    <t>Thời gian ra: 2026-01-15 12:02:49</t>
  </si>
  <si>
    <t>Thời gian vào: 2026-01-19 08:14:02</t>
  </si>
  <si>
    <t>Thời gian ra: 2026-01-19 18:17:34</t>
  </si>
  <si>
    <t>Thời gian vào: 2026-01-20 08:21:48</t>
  </si>
  <si>
    <t>Thời gian ra: 2026-01-20 18:03:35</t>
  </si>
  <si>
    <t>Thời gian vào: 2026-01-21 09:01:06</t>
  </si>
  <si>
    <t>Thời gian ra: 2026-01-21 18:07:24</t>
  </si>
  <si>
    <t>Thời gian vào: 2026-01-22 08:25:36</t>
  </si>
  <si>
    <t>Thời gian ra: 2026-01-22 18:04:34</t>
  </si>
  <si>
    <t>Thời gian vào: 2026-01-26 13:13:54</t>
  </si>
  <si>
    <t>Thời gian ra: 2026-01-26 20:32:16</t>
  </si>
  <si>
    <t>Thời gian vào: 2026-01-27 08:11:46</t>
  </si>
  <si>
    <t>Thời gian ra: 2026-01-27 18:13:48</t>
  </si>
  <si>
    <t>Thời gian vào: 2026-01-28 08:39:40</t>
  </si>
  <si>
    <t>Thời gian ra: 2026-01-28 18:06:43</t>
  </si>
  <si>
    <t>Thời gian vào: 2026-01-29 08:21:04</t>
  </si>
  <si>
    <t>Thời gian ra: 2026-01-29 18:08:51</t>
  </si>
  <si>
    <t>Nguyễn Như Huy Hoàng</t>
  </si>
  <si>
    <t>Thời gian vào: 2026-01-05 08:42:27</t>
  </si>
  <si>
    <t>Thời gian ra: 2026-01-05 19:36:14</t>
  </si>
  <si>
    <t>Thời gian vào: 2026-01-06 08:34:22</t>
  </si>
  <si>
    <t>Thời gian ra: 2026-01-06 18:17:59</t>
  </si>
  <si>
    <t>Thời gian vào: 2026-01-07 08:43:13</t>
  </si>
  <si>
    <t>Thời gian ra: 2026-01-07 19:05:37</t>
  </si>
  <si>
    <t>Thời gian vào: 2026-01-08 08:37:28</t>
  </si>
  <si>
    <t>Thời gian ra: 2026-01-08 19:05:51</t>
  </si>
  <si>
    <t>Thời gian vào: 2026-01-09 18:33:31</t>
  </si>
  <si>
    <t>Thời gian vào: 2026-01-12 08:39:44</t>
  </si>
  <si>
    <t>Thời gian ra: 2026-01-12 18:47:03</t>
  </si>
  <si>
    <t>Thời gian vào: 2026-01-13 08:30:35</t>
  </si>
  <si>
    <t>Thời gian ra: 2026-01-13 18:41:36</t>
  </si>
  <si>
    <t>Thời gian vào: 2026-01-14 08:48:45</t>
  </si>
  <si>
    <t>Thời gian ra: 2026-01-14 19:14:49</t>
  </si>
  <si>
    <t>Thời gian vào: 2026-01-15 08:38:44</t>
  </si>
  <si>
    <t>Thời gian ra: 2026-01-15 19:08:31</t>
  </si>
  <si>
    <t>Thời gian vào: 2026-01-19 08:49:16</t>
  </si>
  <si>
    <t>Thời gian ra: 2026-01-19 19:04:17</t>
  </si>
  <si>
    <t>Thời gian vào: 2026-01-20 08:41:47</t>
  </si>
  <si>
    <t>Thời gian ra: 2026-01-20 18:22:01</t>
  </si>
  <si>
    <t>Thời gian vào: 2026-01-21 08:40:36</t>
  </si>
  <si>
    <t>Thời gian ra: 2026-01-21 18:34:29</t>
  </si>
  <si>
    <t>Thời gian vào: 2026-01-22 08:49:47</t>
  </si>
  <si>
    <t>Thời gian ra: 2026-01-22 19:33:15</t>
  </si>
  <si>
    <t>Thời gian vào: 2026-01-26 08:37:37</t>
  </si>
  <si>
    <t>Thời gian ra: 2026-01-26 18:29:50</t>
  </si>
  <si>
    <t>Thời gian vào: 2026-01-27 08:30:45</t>
  </si>
  <si>
    <t>Thời gian ra: 2026-01-27 19:41:39</t>
  </si>
  <si>
    <t>Thời lượng theo dõi:671 phút</t>
  </si>
  <si>
    <t>Thời gian vào: 2026-01-28 08:37:54</t>
  </si>
  <si>
    <t>Thời gian ra: 2026-01-28 19:28:17</t>
  </si>
  <si>
    <t>Thời gian vào: 2026-01-29 08:36:58</t>
  </si>
  <si>
    <t>Thời gian ra: 2026-01-29 18:06:53</t>
  </si>
  <si>
    <t>Nguyễn Thị Diệu Linh</t>
  </si>
  <si>
    <t>Thời gian vào: 2026-01-05 08:27:45</t>
  </si>
  <si>
    <t>Thời gian ra: 2026-01-05 18:09:42</t>
  </si>
  <si>
    <t>Thời gian vào: 2026-01-06 08:37:10</t>
  </si>
  <si>
    <t>Thời gian ra: 2026-01-06 18:08:06</t>
  </si>
  <si>
    <t>Thời gian vào: 2026-01-07 08:33:58</t>
  </si>
  <si>
    <t>Thời gian ra: 2026-01-07 17:32:07</t>
  </si>
  <si>
    <t>Thời gian vào: 2026-01-08 08:28:17</t>
  </si>
  <si>
    <t>Thời gian ra: 2026-01-08 18:08:53</t>
  </si>
  <si>
    <t>Thời gian vào: 2026-01-12 08:34:36</t>
  </si>
  <si>
    <t>Thời gian ra: 2026-01-12 12:32:31</t>
  </si>
  <si>
    <t>Thời lượng theo dõi:238 phút</t>
  </si>
  <si>
    <t>Thời gian vào: 2026-01-13 08:29:29</t>
  </si>
  <si>
    <t>Thời gian ra: 2026-01-13 18:03:55</t>
  </si>
  <si>
    <t>Thời gian vào: 2026-01-14 08:32:31</t>
  </si>
  <si>
    <t>Thời gian ra: 2026-01-14 18:04:02</t>
  </si>
  <si>
    <t>Thời gian vào: 2026-01-15 08:27:05</t>
  </si>
  <si>
    <t>Thời gian ra: 2026-01-15 18:15:08</t>
  </si>
  <si>
    <t>Thời gian vào: 2026-01-19 08:35:01</t>
  </si>
  <si>
    <t>Thời gian ra: 2026-01-19 18:04:18</t>
  </si>
  <si>
    <t>Thời gian vào: 2026-01-20 08:25:49</t>
  </si>
  <si>
    <t>Thời gian ra: 2026-01-20 18:07:04</t>
  </si>
  <si>
    <t>Thời gian vào: 2026-01-21 08:59:38</t>
  </si>
  <si>
    <t>Thời gian ra: 2026-01-21 18:22:32</t>
  </si>
  <si>
    <t>Thời gian vào: 2026-01-22 08:34:49</t>
  </si>
  <si>
    <t>Thời gian ra: 2026-01-22 18:04:27</t>
  </si>
  <si>
    <t>Thời gian vào: 2026-01-26 08:37:34</t>
  </si>
  <si>
    <t>Thời gian ra: 2026-01-26 18:29:33</t>
  </si>
  <si>
    <t>Thời gian vào: 2026-01-27 08:35:00</t>
  </si>
  <si>
    <t>Thời gian ra: 2026-01-27 18:07:28</t>
  </si>
  <si>
    <t>Thời gian vào: 2026-01-28 08:30:49</t>
  </si>
  <si>
    <t>Thời gian ra: 2026-01-28 18:10:43</t>
  </si>
  <si>
    <t>Thời gian vào: 2026-01-29 08:37:26</t>
  </si>
  <si>
    <t>Thời gian ra: 2026-01-29 18:12:54</t>
  </si>
  <si>
    <t>Trần Hữu Hiệp</t>
  </si>
  <si>
    <t>Thời gian vào: 2026-01-05 08:27:47</t>
  </si>
  <si>
    <t>Thời gian ra: 2026-01-05 18:05:47</t>
  </si>
  <si>
    <t>Thời gian vào: 2026-01-06 13:46:19</t>
  </si>
  <si>
    <t>Thời gian ra: 2026-01-06 18:05:31</t>
  </si>
  <si>
    <t>Thời lượng theo dõi:259 phút</t>
  </si>
  <si>
    <t>Thời gian vào: 2026-01-07 10:06:09</t>
  </si>
  <si>
    <t>Thời gian ra: 2026-01-07 18:04:22</t>
  </si>
  <si>
    <t>Thời lượng theo dõi:478 phút</t>
  </si>
  <si>
    <t>Thời gian vào: 2026-01-08 08:50:31</t>
  </si>
  <si>
    <t>Thời gian ra: 2026-01-08 18:04:07</t>
  </si>
  <si>
    <t>Thời gian vào: 2026-01-12 09:58:01</t>
  </si>
  <si>
    <t>Thời gian ra: 2026-01-12 18:04:13</t>
  </si>
  <si>
    <t>Thời gian vào: 2026-01-13 08:31:28</t>
  </si>
  <si>
    <t>Thời gian ra: 2026-01-13 18:05:33</t>
  </si>
  <si>
    <t>Thời gian vào: 2026-01-14 10:44:29</t>
  </si>
  <si>
    <t>Thời gian ra: 2026-01-14 18:06:12</t>
  </si>
  <si>
    <t>Thời lượng theo dõi:442 phút</t>
  </si>
  <si>
    <t>Thời gian vào: 2026-01-19 08:31:32</t>
  </si>
  <si>
    <t>Thời gian ra: 2026-01-19 18:03:17</t>
  </si>
  <si>
    <t>Thời gian vào: 2026-01-20 09:32:11</t>
  </si>
  <si>
    <t>Thời gian ra: 2026-01-20 18:04:59</t>
  </si>
  <si>
    <t>Thời lượng theo dõi:513 phút</t>
  </si>
  <si>
    <t>Thời gian vào: 2026-01-21 18:07:38</t>
  </si>
  <si>
    <t>Thời gian vào: 2026-01-22 10:07:05</t>
  </si>
  <si>
    <t>Thời gian ra: 2026-01-22 18:02:40</t>
  </si>
  <si>
    <t>Thời lượng theo dõi:476 phút</t>
  </si>
  <si>
    <t>Thời gian vào: 2026-01-26 08:30:28</t>
  </si>
  <si>
    <t>Thời gian ra: 2026-01-26 18:04:27</t>
  </si>
  <si>
    <t>Thời gian vào: 2026-01-27 13:22:20</t>
  </si>
  <si>
    <t>Thời gian ra: 2026-01-27 18:07:02</t>
  </si>
  <si>
    <t>Thời lượng theo dõi:285 phút</t>
  </si>
  <si>
    <t>Thời gian vào: 2026-01-28 13:34:02</t>
  </si>
  <si>
    <t>Thời gian ra: 2026-01-28 18:03:33</t>
  </si>
  <si>
    <t>Thời lượng theo dõi:270 phút</t>
  </si>
  <si>
    <t>Thời gian vào: 2026-01-29 08:30:46</t>
  </si>
  <si>
    <t>Thời gian ra: 2026-01-29 18:06:32</t>
  </si>
  <si>
    <t>Nguyễn Sơn Tùng</t>
  </si>
  <si>
    <t>Thời gian vào: 2026-01-05 08:17:58</t>
  </si>
  <si>
    <t>Thời gian ra: 2026-01-05 18:06:34</t>
  </si>
  <si>
    <t>Thời gian vào: 2026-01-07 08:28:05</t>
  </si>
  <si>
    <t>Thời gian ra: 2026-01-07 18:55:57</t>
  </si>
  <si>
    <t>Thời gian vào: 2026-01-08 08:33:42</t>
  </si>
  <si>
    <t>Thời gian ra: 2026-01-08 18:02:21</t>
  </si>
  <si>
    <t>Thời gian vào: 2026-01-12 20:24:34</t>
  </si>
  <si>
    <t>Thời gian ra: 2026-01-12 20:31:51</t>
  </si>
  <si>
    <t>Thời lượng theo dõi:7 phút</t>
  </si>
  <si>
    <t>Thời gian vào: 2026-01-14 08:32:46</t>
  </si>
  <si>
    <t>Thời gian vào: 2026-01-19 08:30:38</t>
  </si>
  <si>
    <t>Thời gian ra: 2026-01-19 18:03:08</t>
  </si>
  <si>
    <t>Thời gian vào: 2026-01-20 08:35:29</t>
  </si>
  <si>
    <t>Thời gian ra: 2026-01-20 18:06:06</t>
  </si>
  <si>
    <t>Thời gian vào: 2026-01-21 08:32:05</t>
  </si>
  <si>
    <t>Thời gian ra: 2026-01-21 18:05:18</t>
  </si>
  <si>
    <t>Thời gian vào: 2026-01-22 08:31:33</t>
  </si>
  <si>
    <t>Thời gian ra: 2026-01-22 18:09:03</t>
  </si>
  <si>
    <t>Thời gian vào: 2026-01-26 08:34:44</t>
  </si>
  <si>
    <t>Thời gian ra: 2026-01-26 20:33:04</t>
  </si>
  <si>
    <t>Thời lượng theo dõi:718 phút</t>
  </si>
  <si>
    <t>Thời gian vào: 2026-01-27 08:27:46</t>
  </si>
  <si>
    <t>Thời gian ra: 2026-01-27 18:10:53</t>
  </si>
  <si>
    <t>Thời gian vào: 2026-01-28 08:35:34</t>
  </si>
  <si>
    <t>Thời gian ra: 2026-01-28 18:25:35</t>
  </si>
  <si>
    <t>Thời gian vào: 2026-01-29 08:27:58</t>
  </si>
  <si>
    <t>Thời gian ra: 2026-01-29 18:09:34</t>
  </si>
  <si>
    <t>Nguyễn Trọng Long</t>
  </si>
  <si>
    <t>Holiday</t>
  </si>
  <si>
    <t>Thời gian vào: 2026-01-05 08:20:56</t>
  </si>
  <si>
    <t>Thời gian ra: 2026-01-05 18:02:27</t>
  </si>
  <si>
    <t>Thời gian vào: 2026-01-06 08:33:41</t>
  </si>
  <si>
    <t>Thời gian ra: 2026-01-06 18:36:01</t>
  </si>
  <si>
    <t>Đi văn miếu test app</t>
  </si>
  <si>
    <t>Thời gian vào: 2026-01-08 07:59:43</t>
  </si>
  <si>
    <t>Thời gian ra: 2026-01-08 18:06:22</t>
  </si>
  <si>
    <t>Thời gian vào: 2026-01-12 08:18:59</t>
  </si>
  <si>
    <t>Thời gian ra: 2026-01-12 18:08:15</t>
  </si>
  <si>
    <t>Thời gian vào: 2026-01-13 08:15:32</t>
  </si>
  <si>
    <t>Thời gian ra: 2026-01-13 16:17:34</t>
  </si>
  <si>
    <t>Thời gian vào: 2026-01-15 08:15:33</t>
  </si>
  <si>
    <t>Thời gian ra: 2026-01-15 18:07:23</t>
  </si>
  <si>
    <t>Thời gian vào: 2026-01-16 08:25:55</t>
  </si>
  <si>
    <t>Thời gian ra: 2026-01-16 18:35:58</t>
  </si>
  <si>
    <t>Thời gian vào: 2026-01-19 08:16:01</t>
  </si>
  <si>
    <t>Thời gian ra: 2026-01-19 18:16:16</t>
  </si>
  <si>
    <t>Thời gian vào: 2026-01-20 08:15:05</t>
  </si>
  <si>
    <t>Thời gian ra: 2026-01-20 18:03:12</t>
  </si>
  <si>
    <t>Thời gian vào: 2026-01-22 08:12:04</t>
  </si>
  <si>
    <t>Thời gian ra: 2026-01-22 18:33:46</t>
  </si>
  <si>
    <t>Thời gian vào: 2026-01-23 08:10:22</t>
  </si>
  <si>
    <t>Thời gian ra: 2026-01-23 18:17:23</t>
  </si>
  <si>
    <t>Thời gian vào: 2026-01-27 08:21:00</t>
  </si>
  <si>
    <t>Thời gian ra: 2026-01-27 18:04:04</t>
  </si>
  <si>
    <t>Thời gian vào: 2026-01-29 08:25:27</t>
  </si>
  <si>
    <t>Thời gian ra: 2026-01-29 18:01:04</t>
  </si>
  <si>
    <t>Thời gian vào: 2026-01-30 20:49:36</t>
  </si>
  <si>
    <t>Thời gian vào: 2026-01-02 08:58:15</t>
  </si>
  <si>
    <t>Thời gian ra: 2026-01-02 18:03:40</t>
  </si>
  <si>
    <t>Thời gian vào: 2026-01-06 09:22:07</t>
  </si>
  <si>
    <t>Thời gian ra: 2026-01-06 18:57:59</t>
  </si>
  <si>
    <t>Thời gian vào: 2026-01-07 09:45:43</t>
  </si>
  <si>
    <t>Thời gian ra: 2026-01-07 16:06:53</t>
  </si>
  <si>
    <t>Thời lượng theo dõi:381 phút</t>
  </si>
  <si>
    <t>Thời gian vào: 2026-01-12 09:41:47</t>
  </si>
  <si>
    <t>Thời gian vào: 2026-01-13 14:35:09</t>
  </si>
  <si>
    <t>Thời gian vào: 2026-01-14 11:03:11</t>
  </si>
  <si>
    <t>Thời gian vào: 2026-01-19 09:48:02</t>
  </si>
  <si>
    <t>Thời gian ra: 2026-01-19 18:51:30</t>
  </si>
  <si>
    <t>Thời gian vào: 2026-01-26 09:16:51</t>
  </si>
  <si>
    <t>Thời gian ra: 2026-01-26 18:49:33</t>
  </si>
  <si>
    <t>Thời gian vào: 2026-01-30 13:55:46</t>
  </si>
  <si>
    <t>Thời gian ra: 2026-01-30 18:19:06</t>
  </si>
  <si>
    <t>Thời lượng theo dõi:263 phút</t>
  </si>
  <si>
    <t>Thời gian vào: 2026-01-02 08:26:48</t>
  </si>
  <si>
    <t>Thời gian ra: 2026-01-02 18:19:48</t>
  </si>
  <si>
    <t>Thời gian vào: 2026-01-05 09:04:07</t>
  </si>
  <si>
    <t>Thời gian ra: 2026-01-05 18:42:27</t>
  </si>
  <si>
    <t>Thời gian vào: 2026-01-06 10:17:39</t>
  </si>
  <si>
    <t>Thời gian ra: 2026-01-06 19:10:01</t>
  </si>
  <si>
    <t>Thời gian vào: 2026-01-07 08:39:52</t>
  </si>
  <si>
    <t>Thời gian ra: 2026-01-07 18:07:14</t>
  </si>
  <si>
    <t>Thời gian vào: 2026-01-09 08:28:24</t>
  </si>
  <si>
    <t>Thời gian ra: 2026-01-09 18:22:37</t>
  </si>
  <si>
    <t>Thời gian vào: 2026-01-12 08:26:40</t>
  </si>
  <si>
    <t>Thời gian ra: 2026-01-12 18:26:09</t>
  </si>
  <si>
    <t>Thời gian vào: 2026-01-13 10:05:23</t>
  </si>
  <si>
    <t>Thời gian ra: 2026-01-13 16:26:55</t>
  </si>
  <si>
    <t>Thời gian vào: 2026-01-14 13:55:29</t>
  </si>
  <si>
    <t>Thời gian ra: 2026-01-14 18:10:09</t>
  </si>
  <si>
    <t>Thời gian vào: 2026-01-16 08:33:56</t>
  </si>
  <si>
    <t>Thời gian ra: 2026-01-16 19:44:36</t>
  </si>
  <si>
    <t>Thời gian vào: 2026-01-19 12:47:12</t>
  </si>
  <si>
    <t>Thời gian ra: 2026-01-19 19:02:57</t>
  </si>
  <si>
    <t>Thời lượng theo dõi:376 phút</t>
  </si>
  <si>
    <t>Thời gian vào: 2026-01-20 08:28:07</t>
  </si>
  <si>
    <t>Thời gian ra: 2026-01-20 18:27:40</t>
  </si>
  <si>
    <t>Thời gian vào: 2026-01-21 10:16:27</t>
  </si>
  <si>
    <t>Thời gian ra: 2026-01-21 18:09:08</t>
  </si>
  <si>
    <t>Thời gian vào: 2026-01-22 08:36:59</t>
  </si>
  <si>
    <t>Thời gian ra: 2026-01-22 13:35:12</t>
  </si>
  <si>
    <t>Thời lượng theo dõi:298 phút</t>
  </si>
  <si>
    <t>Thời gian vào: 2026-01-23 08:37:40</t>
  </si>
  <si>
    <t>Thời gian ra: 2026-01-23 18:09:28</t>
  </si>
  <si>
    <t>Thời gian vào: 2026-01-26 08:41:55</t>
  </si>
  <si>
    <t>Thời gian ra: 2026-01-26 18:24:10</t>
  </si>
  <si>
    <t>Thời gian vào: 2026-01-27 13:22:31</t>
  </si>
  <si>
    <t>Thời gian ra: 2026-01-27 18:10:20</t>
  </si>
  <si>
    <t>Thời gian vào: 2026-01-28 08:44:26</t>
  </si>
  <si>
    <t>Thời gian ra: 2026-01-28 16:41:01</t>
  </si>
  <si>
    <t>Thời gian vào: 2026-01-29 08:22:38</t>
  </si>
  <si>
    <t>Thời gian ra: 2026-01-29 18:12:27</t>
  </si>
  <si>
    <t>Thời gian vào: 2026-01-30 08:32:04</t>
  </si>
  <si>
    <t>Thời gian ra: 2026-01-30 18:19:49</t>
  </si>
  <si>
    <t>Thời gian vào: 2026-01-12 16:27:47</t>
  </si>
  <si>
    <t>Thời gian ra: 2026-01-12 16:29:00</t>
  </si>
  <si>
    <t>Thời gian vào: 2026-01-21 17:30:35</t>
  </si>
  <si>
    <t>Thời gian ra: 2026-01-21 17:31:33</t>
  </si>
  <si>
    <t>Thời gian vào: 2026-01-02 08:29:39</t>
  </si>
  <si>
    <t>Thời gian ra: 2026-01-02 18:29:40</t>
  </si>
  <si>
    <t>Thời gian vào: 2026-01-06 08:35:35</t>
  </si>
  <si>
    <t>Thời gian ra: 2026-01-06 20:30:50</t>
  </si>
  <si>
    <t>Thời lượng theo dõi:715 phút</t>
  </si>
  <si>
    <t>Thời gian vào: 2026-01-08 08:47:02</t>
  </si>
  <si>
    <t>Thời gian ra: 2026-01-08 20:34:15</t>
  </si>
  <si>
    <t>Thời gian vào: 2026-01-09 08:28:51</t>
  </si>
  <si>
    <t>Thời gian ra: 2026-01-09 18:32:49</t>
  </si>
  <si>
    <t>Thời gian vào: 2026-01-13 08:28:00</t>
  </si>
  <si>
    <t>Thời gian ra: 2026-01-13 16:13:12</t>
  </si>
  <si>
    <t>Thời lượng theo dõi:465 phút</t>
  </si>
  <si>
    <t>Thời gian vào: 2026-01-15 08:34:43</t>
  </si>
  <si>
    <t>Thời gian ra: 2026-01-15 18:18:01</t>
  </si>
  <si>
    <t>Thời gian vào: 2026-01-16 09:37:44</t>
  </si>
  <si>
    <t>Thời gian ra: 2026-01-16 19:18:14</t>
  </si>
  <si>
    <t>Thời gian vào: 2026-01-20 08:26:11</t>
  </si>
  <si>
    <t>Thời gian ra: 2026-01-20 18:30:06</t>
  </si>
  <si>
    <t>Thời gian vào: 2026-01-21 08:21:13</t>
  </si>
  <si>
    <t>Thời gian ra: 2026-01-21 20:02:44</t>
  </si>
  <si>
    <t>Thời lượng theo dõi:702 phút</t>
  </si>
  <si>
    <t>Thời gian vào: 2026-01-23 18:39:43</t>
  </si>
  <si>
    <t>Thời gian vào: 2026-01-27 08:12:21</t>
  </si>
  <si>
    <t>Thời gian ra: 2026-01-27 19:43:37</t>
  </si>
  <si>
    <t>Thời lượng theo dõi:691 phút</t>
  </si>
  <si>
    <t>Thời gian vào: 2026-01-29 08:49:48</t>
  </si>
  <si>
    <t>Thời gian ra: 2026-01-29 19:48:27</t>
  </si>
  <si>
    <t>Thời lượng theo dõi:659 phút</t>
  </si>
  <si>
    <t>Thời gian vào: 2026-01-30 08:31:59</t>
  </si>
  <si>
    <t>Thời gian ra: 2026-01-30 16:38:34</t>
  </si>
  <si>
    <t>Thời lượng theo dõi:487 phút</t>
  </si>
  <si>
    <t>Thời gian vào: 2026-01-02 08:33:19</t>
  </si>
  <si>
    <t>Thời gian ra: 2026-01-02 14:04:59</t>
  </si>
  <si>
    <t>Thời gian vào: 2026-01-05 09:09:53</t>
  </si>
  <si>
    <t>Thời gian ra: 2026-01-05 18:15:01</t>
  </si>
  <si>
    <t>Thời gian vào: 2026-01-06 08:37:04</t>
  </si>
  <si>
    <t>Thời gian ra: 2026-01-06 18:15:28</t>
  </si>
  <si>
    <t>Thời gian vào: 2026-01-07 09:11:49</t>
  </si>
  <si>
    <t>Thời gian ra: 2026-01-07 18:11:54</t>
  </si>
  <si>
    <t>Thời gian vào: 2026-01-08 13:24:13</t>
  </si>
  <si>
    <t>Thời gian ra: 2026-01-08 18:16:08</t>
  </si>
  <si>
    <t>Thời lượng theo dõi:292 phút</t>
  </si>
  <si>
    <t>Thời gian vào: 2026-01-09 09:21:04</t>
  </si>
  <si>
    <t>Thời gian ra: 2026-01-09 18:27:52</t>
  </si>
  <si>
    <t>Thời gian vào: 2026-01-12 09:00:59</t>
  </si>
  <si>
    <t>Thời gian ra: 2026-01-12 18:17:39</t>
  </si>
  <si>
    <t>Thời gian vào: 2026-01-13 13:43:17</t>
  </si>
  <si>
    <t>Thời gian vào: 2026-01-14 09:20:04</t>
  </si>
  <si>
    <t>Thời gian ra: 2026-01-14 18:24:03</t>
  </si>
  <si>
    <t>Thời gian vào: 2026-01-15 09:00:12</t>
  </si>
  <si>
    <t>Thời gian ra: 2026-01-15 18:17:43</t>
  </si>
  <si>
    <t>Thời gian vào: 2026-01-16 08:58:18</t>
  </si>
  <si>
    <t>Thời gian ra: 2026-01-16 12:45:18</t>
  </si>
  <si>
    <t>Thời gian vào: 2026-01-19 09:12:10</t>
  </si>
  <si>
    <t>Thời gian ra: 2026-01-19 18:20:43</t>
  </si>
  <si>
    <t>Thời gian vào: 2026-01-20 09:06:18</t>
  </si>
  <si>
    <t>Thời gian ra: 2026-01-20 18:10:12</t>
  </si>
  <si>
    <t>Thời gian vào: 2026-01-21 09:01:39</t>
  </si>
  <si>
    <t>Thời gian ra: 2026-01-21 18:16:39</t>
  </si>
  <si>
    <t>Thời gian vào: 2026-01-22 09:06:31</t>
  </si>
  <si>
    <t>Thời gian ra: 2026-01-22 18:13:37</t>
  </si>
  <si>
    <t>Thời gian vào: 2026-01-26 09:08:11</t>
  </si>
  <si>
    <t>Thời gian ra: 2026-01-26 18:19:39</t>
  </si>
  <si>
    <t>Thời gian vào: 2026-01-27 09:14:51</t>
  </si>
  <si>
    <t>Thời gian ra: 2026-01-27 18:15:45</t>
  </si>
  <si>
    <t>Thời gian vào: 2026-01-28 09:17:25</t>
  </si>
  <si>
    <t>Thời gian ra: 2026-01-28 18:11:01</t>
  </si>
  <si>
    <t>Thời gian vào: 2026-01-29 09:25:12</t>
  </si>
  <si>
    <t>Thời gian ra: 2026-01-29 18:13:55</t>
  </si>
  <si>
    <t>Thời gian vào: 2026-01-30 09:17:48</t>
  </si>
  <si>
    <t>Thời gian ra: 2026-01-30 17:04:07</t>
  </si>
  <si>
    <t>Thời lượng theo dõi:466 phút</t>
  </si>
  <si>
    <t>Thời gian vào: 2026-01-28 12:09:15</t>
  </si>
  <si>
    <t>Thời gian vào: 2026-01-29 18:05:39</t>
  </si>
  <si>
    <t xml:space="preserve">Tet </t>
  </si>
  <si>
    <t>Quênc check in?</t>
  </si>
  <si>
    <t>Thời gian vào: 2026-01-02 18:31:16</t>
  </si>
  <si>
    <t xml:space="preserve">weekend </t>
  </si>
  <si>
    <t>Thời gian vào: 2026-01-05 08:19:56</t>
  </si>
  <si>
    <t>Thời gian ra: 2026-01-05 18:21:57</t>
  </si>
  <si>
    <t>Thời gian vào: 2026-01-06 08:23:31</t>
  </si>
  <si>
    <t>Thời gian ra: 2026-01-06 18:14:12</t>
  </si>
  <si>
    <t>Thời gian vào: 2026-01-07 08:21:34</t>
  </si>
  <si>
    <t>Thời gian ra: 2026-01-07 18:15:30</t>
  </si>
  <si>
    <t>Thời gian vào: 2026-01-08 08:29:50</t>
  </si>
  <si>
    <t>Thời gian ra: 2026-01-08 18:22:10</t>
  </si>
  <si>
    <t>Thời gian vào: 2026-01-09 08:25:03</t>
  </si>
  <si>
    <t>Thời gian ra: 2026-01-09 18:27:08</t>
  </si>
  <si>
    <t>Thời gian vào: 2026-01-12 08:22:32</t>
  </si>
  <si>
    <t>Thời gian ra: 2026-01-12 18:15:58</t>
  </si>
  <si>
    <t>Quên chekc out?</t>
  </si>
  <si>
    <t>Thời gian vào: 2026-01-13 08:29:31</t>
  </si>
  <si>
    <t xml:space="preserve">Late request </t>
  </si>
  <si>
    <t>Thời gian vào: 2026-01-14 08:38:34</t>
  </si>
  <si>
    <t>Thời gian ra: 2026-01-14 18:20:51</t>
  </si>
  <si>
    <t>Thời gian vào: 2026-01-15 08:25:06</t>
  </si>
  <si>
    <t>Thời gian ra: 2026-01-15 18:18:11</t>
  </si>
  <si>
    <t>Thời gian vào: 2026-01-16 08:27:49</t>
  </si>
  <si>
    <t>Thời gian ra: 2026-01-16 18:19:40</t>
  </si>
  <si>
    <t>Thời gian vào: 2026-01-19 09:32:31</t>
  </si>
  <si>
    <t>Thời gian ra: 2026-01-19 18:14:31</t>
  </si>
  <si>
    <t>Thời lượng theo dõi:522 phút</t>
  </si>
  <si>
    <t>Thời gian vào: 2026-01-20 08:39:09</t>
  </si>
  <si>
    <t>Thời gian ra: 2026-01-20 18:24:32</t>
  </si>
  <si>
    <t xml:space="preserve">Thang đông </t>
  </si>
  <si>
    <t>Thời gian vào: 2026-01-21 08:32:10</t>
  </si>
  <si>
    <t>Thời gian ra: 2026-01-21 18:19:10</t>
  </si>
  <si>
    <t>Thời gian vào: 2026-01-22 08:32:10</t>
  </si>
  <si>
    <t>Thời gian ra: 2026-01-22 18:23:30</t>
  </si>
  <si>
    <t>Làm việc ở văn miếu</t>
  </si>
  <si>
    <t>Thời gian vào: 2026-01-23 12:11:41</t>
  </si>
  <si>
    <t>Thời gian ra: 2026-01-23 18:24:59</t>
  </si>
  <si>
    <t>Thời lượng theo dõi:373 phút</t>
  </si>
  <si>
    <t>Thời gian vào: 2026-01-26 08:28:50</t>
  </si>
  <si>
    <t>Thời gian ra: 2026-01-26 18:15:22</t>
  </si>
  <si>
    <t>Thời gian vào: 2026-01-27 08:22:35</t>
  </si>
  <si>
    <t>Thời gian ra: 2026-01-27 18:28:22</t>
  </si>
  <si>
    <t>Thời gian vào: 2026-01-28 08:30:00</t>
  </si>
  <si>
    <t>Thời gian ra: 2026-01-28 18:14:57</t>
  </si>
  <si>
    <t>Thời gian vào: 2026-01-29 08:29:47</t>
  </si>
  <si>
    <t>Thời gian ra: 2026-01-29 18:13:30</t>
  </si>
  <si>
    <t>Họp Văn Miếu</t>
  </si>
  <si>
    <t>weekend</t>
  </si>
  <si>
    <t>Thời gian vào: 2026-01-05 08:34:31</t>
  </si>
  <si>
    <t>Thời gian ra: 2026-01-05 18:28:19</t>
  </si>
  <si>
    <t>Thời gian vào: 2026-01-06 08:40:09</t>
  </si>
  <si>
    <t>Thời gian ra: 2026-01-06 17:32:45</t>
  </si>
  <si>
    <t>Thời gian vào: 2026-01-07 08:39:47</t>
  </si>
  <si>
    <t>Thời gian ra: 2026-01-07 18:45:11</t>
  </si>
  <si>
    <t>Thời gian vào: 2026-01-08 08:29:33</t>
  </si>
  <si>
    <t>Thời gian ra: 2026-01-08 18:07:48</t>
  </si>
  <si>
    <t>Thời gian vào: 2026-01-09 08:28:42</t>
  </si>
  <si>
    <t>Thời gian ra: 2026-01-09 18:13:45</t>
  </si>
  <si>
    <t>Thời gian vào: 2026-01-12 08:32:29</t>
  </si>
  <si>
    <t>Thời gian ra: 2026-01-12 18:05:44</t>
  </si>
  <si>
    <t>Thời gian vào: 2026-01-13 08:20:36</t>
  </si>
  <si>
    <t>Thời gian ra: 2026-01-13 16:31:14</t>
  </si>
  <si>
    <t>Thời gian vào: 2026-01-14 08:30:28</t>
  </si>
  <si>
    <t>Thời gian ra: 2026-01-14 18:20:46</t>
  </si>
  <si>
    <t>Thời gian vào: 2026-01-15 09:14:59</t>
  </si>
  <si>
    <t>Thời gian ra: 2026-01-15 18:17:58</t>
  </si>
  <si>
    <t xml:space="preserve">Đi gặp vendor </t>
  </si>
  <si>
    <t>Thời gian vào: 2026-01-16 11:37:20</t>
  </si>
  <si>
    <t>Thời gian ra: 2026-01-16 18:24:11</t>
  </si>
  <si>
    <t>Thời gian vào: 2026-01-19 08:31:11</t>
  </si>
  <si>
    <t>Thời gian ra: 2026-01-19 18:17:29</t>
  </si>
  <si>
    <t>Thời gian vào: 2026-01-20 12:13:03</t>
  </si>
  <si>
    <t>Thời gian ra: 2026-01-20 18:21:13</t>
  </si>
  <si>
    <t>Thời lượng theo dõi:368 phút</t>
  </si>
  <si>
    <t>Thời gian vào: 2026-01-21 08:28:48</t>
  </si>
  <si>
    <t>Thời gian ra: 2026-01-21 18:05:04</t>
  </si>
  <si>
    <t>Thời gian vào: 2026-01-22 08:37:43</t>
  </si>
  <si>
    <t>Thời gian ra: 2026-01-22 18:29:04</t>
  </si>
  <si>
    <t>lÀM Văn Miếu</t>
  </si>
  <si>
    <t>Thời gian vào: 2026-01-23 12:11:39</t>
  </si>
  <si>
    <t>Thời gian ra: 2026-01-23 18:30:21</t>
  </si>
  <si>
    <t>Thời gian vào: 2026-01-26 14:13:18</t>
  </si>
  <si>
    <t>Thời gian ra: 2026-01-26 18:00:25</t>
  </si>
  <si>
    <t>Thời gian vào: 2026-01-27 10:39:00</t>
  </si>
  <si>
    <t>Thời gian ra: 2026-01-27 18:14:23</t>
  </si>
  <si>
    <t>Thời lượng theo dõi:455 phút</t>
  </si>
  <si>
    <t>Thời gian vào: 2026-01-28 08:25:45</t>
  </si>
  <si>
    <t>Thời gian ra: 2026-01-28 18:12:36</t>
  </si>
  <si>
    <t>Thời gian vào: 2026-01-29 08:37:01</t>
  </si>
  <si>
    <t>Thời gian ra: 2026-01-29 18:14:50</t>
  </si>
  <si>
    <t>Thời gian vào: 2026-01-30 08:04:00</t>
  </si>
  <si>
    <t>Thời gian ra: 2026-01-30 18:33:33</t>
  </si>
  <si>
    <t>Bùi Xuân Qúy</t>
  </si>
  <si>
    <t xml:space="preserve">tet </t>
  </si>
  <si>
    <t xml:space="preserve">Muộn </t>
  </si>
  <si>
    <t>Thời gian vào: 2026-01-05 08:47:53</t>
  </si>
  <si>
    <t>Thời gian ra: 2026-01-05 18:09:35</t>
  </si>
  <si>
    <t>Thời gian vào: 2026-01-06 08:39:26</t>
  </si>
  <si>
    <t>Thời gian ra: 2026-01-06 18:18:07</t>
  </si>
  <si>
    <t>Thời gian vào: 2026-01-08 08:43:14</t>
  </si>
  <si>
    <t>Thời gian ra: 2026-01-08 18:16:47</t>
  </si>
  <si>
    <t>Thời gian vào: 2026-01-09 08:24:45</t>
  </si>
  <si>
    <t>Thời gian ra: 2026-01-09 18:04:10</t>
  </si>
  <si>
    <t>Thời gian vào: 2026-01-12 08:27:01</t>
  </si>
  <si>
    <t>Thời gian ra: 2026-01-12 18:17:41</t>
  </si>
  <si>
    <t>ko chekc out?</t>
  </si>
  <si>
    <t>Thời gian vào: 2026-01-13 08:26:12</t>
  </si>
  <si>
    <t>Thời gian vào: 2026-01-14 09:43:26</t>
  </si>
  <si>
    <t>Thời gian ra: 2026-01-14 18:24:07</t>
  </si>
  <si>
    <t>Thời gian vào: 2026-01-15 08:40:00</t>
  </si>
  <si>
    <t>Thời gian vào: 2026-01-21 08:32:24</t>
  </si>
  <si>
    <t>Thời gian vào: 2026-01-22 08:37:28</t>
  </si>
  <si>
    <t>Thời gian ra: 2026-01-22 18:14:35</t>
  </si>
  <si>
    <t>Thời gian vào: 2026-01-23 08:23:57</t>
  </si>
  <si>
    <t>Thời gian ra: 2026-01-23 18:15:01</t>
  </si>
  <si>
    <t>Quên check in</t>
  </si>
  <si>
    <t>Thời gian vào: 2026-01-26 13:50:35</t>
  </si>
  <si>
    <t>Thời gian ra: 2026-01-26 18:19:46</t>
  </si>
  <si>
    <t>Thời gian vào: 2026-01-28 08:24:11</t>
  </si>
  <si>
    <t>Thời gian ra: 2026-01-28 18:10:11</t>
  </si>
  <si>
    <t xml:space="preserve">về sớm </t>
  </si>
  <si>
    <t>Thời gian vào: 2026-01-29 08:30:39</t>
  </si>
  <si>
    <t>Thời gian ra: 2026-01-29 17:22:02</t>
  </si>
  <si>
    <t>Vũ Việt Lâm</t>
  </si>
  <si>
    <t>Thời gian vào: 2026-01-02 09:07:37</t>
  </si>
  <si>
    <t>Thời gian ra: 2026-01-02 18:30:45</t>
  </si>
  <si>
    <t>Thời gian vào: 2026-01-05 08:39:55</t>
  </si>
  <si>
    <t>Thời gian ra: 2026-01-05 18:14:57</t>
  </si>
  <si>
    <t>Thời gian vào: 2026-01-06 09:02:06</t>
  </si>
  <si>
    <t>Thời gian ra: 2026-01-06 18:15:37</t>
  </si>
  <si>
    <t>Thời gian vào: 2026-01-07 08:50:23</t>
  </si>
  <si>
    <t>Thời gian ra: 2026-01-07 18:11:59</t>
  </si>
  <si>
    <t>Thời gian vào: 2026-01-08 08:39:26</t>
  </si>
  <si>
    <t>Thời gian ra: 2026-01-08 18:17:20</t>
  </si>
  <si>
    <t>Thời gian vào: 2026-01-09 08:28:26</t>
  </si>
  <si>
    <t>Thời gian ra: 2026-01-09 18:27:11</t>
  </si>
  <si>
    <t>Thời gian vào: 2026-01-12 08:44:58</t>
  </si>
  <si>
    <t>Thời gian ra: 2026-01-12 18:17:46</t>
  </si>
  <si>
    <t>Thời gian vào: 2026-01-14 09:11:26</t>
  </si>
  <si>
    <t>Thời gian ra: 2026-01-14 18:23:00</t>
  </si>
  <si>
    <t>Thời gian vào: 2026-01-15 09:14:10</t>
  </si>
  <si>
    <t>Thời gian ra: 2026-01-15 18:18:59</t>
  </si>
  <si>
    <t>Thời gian vào: 2026-01-16 08:25:08</t>
  </si>
  <si>
    <t>Thời gian ra: 2026-01-16 18:25:08</t>
  </si>
  <si>
    <t>Thời gian vào: 2026-01-19 09:05:31</t>
  </si>
  <si>
    <t>Thời gian ra: 2026-01-19 18:22:07</t>
  </si>
  <si>
    <t>Thời gian vào: 2026-01-20 13:38:58</t>
  </si>
  <si>
    <t>Thời gian ra: 2026-01-20 18:10:09</t>
  </si>
  <si>
    <t>Thời gian vào: 2026-01-21 09:38:35</t>
  </si>
  <si>
    <t>Thời gian ra: 2026-01-21 18:36:40</t>
  </si>
  <si>
    <t>Thời gian vào: 2026-01-22 08:40:16</t>
  </si>
  <si>
    <t>Thời gian ra: 2026-01-22 18:14:38</t>
  </si>
  <si>
    <t>Thời gian vào: 2026-01-23 09:25:53</t>
  </si>
  <si>
    <t>Thời gian ra: 2026-01-23 18:13:35</t>
  </si>
  <si>
    <t>Thời gian vào: 2026-01-26 18:19:44</t>
  </si>
  <si>
    <t>Thời gian vào: 2026-01-27 09:26:33</t>
  </si>
  <si>
    <t>Thời gian ra: 2026-01-27 18:15:51</t>
  </si>
  <si>
    <t>Thời gian vào: 2026-01-28 09:24:54</t>
  </si>
  <si>
    <t>Thời gian ra: 2026-01-28 18:11:07</t>
  </si>
  <si>
    <t>Thời gian vào: 2026-01-29 09:27:22</t>
  </si>
  <si>
    <t>Thời gian ra: 2026-01-29 18:13:51</t>
  </si>
  <si>
    <t>Thời gian vào: 2026-01-30 08:32:21</t>
  </si>
  <si>
    <t>Thời gian ra: 2026-01-30 18:24:38</t>
  </si>
  <si>
    <t>Tet holiday</t>
  </si>
  <si>
    <t>Thời gian vào: 2026-01-02 07:16:35</t>
  </si>
  <si>
    <t>Thời gian ra: 2026-01-02 11:40:36</t>
  </si>
  <si>
    <t>Thời gian vào: 2026-01-05 08:03:05</t>
  </si>
  <si>
    <t>Thời gian ra: 2026-01-05 18:01:39</t>
  </si>
  <si>
    <t>Thời gian vào: 2026-01-06 08:11:40</t>
  </si>
  <si>
    <t>Thời gian ra: 2026-01-06 18:03:52</t>
  </si>
  <si>
    <t>Thời gian vào: 2026-01-07 07:54:41</t>
  </si>
  <si>
    <t>Thời gian ra: 2026-01-07 18:03:32</t>
  </si>
  <si>
    <t>Thời gian vào: 2026-01-08 08:20:00</t>
  </si>
  <si>
    <t>Thời gian ra: 2026-01-08 18:05:39</t>
  </si>
  <si>
    <t>Thời gian vào: 2026-01-09 07:32:39</t>
  </si>
  <si>
    <t>Thời gian ra: 2026-01-09 12:36:50</t>
  </si>
  <si>
    <t>Thời lượng theo dõi:304 phút</t>
  </si>
  <si>
    <t>Thời gian vào: 2026-01-12 07:59:26</t>
  </si>
  <si>
    <t>Thời gian ra: 2026-01-12 18:10:11</t>
  </si>
  <si>
    <t>Thời gian vào: 2026-01-13 07:58:34</t>
  </si>
  <si>
    <t>Thời gian ra: 2026-01-13 18:05:16</t>
  </si>
  <si>
    <t>Thời gian vào: 2026-01-14 08:22:10</t>
  </si>
  <si>
    <t>Thời gian ra: 2026-01-14 18:02:08</t>
  </si>
  <si>
    <t>Thời gian vào: 2026-01-15 07:55:44</t>
  </si>
  <si>
    <t>Thời gian ra: 2026-01-15 18:02:18</t>
  </si>
  <si>
    <t>Thời gian vào: 2026-01-16 07:22:38</t>
  </si>
  <si>
    <t>Thời gian ra: 2026-01-16 11:41:07</t>
  </si>
  <si>
    <t>Thời lượng theo dõi:258 phút</t>
  </si>
  <si>
    <t>Thời gian vào: 2026-01-19 08:35:21</t>
  </si>
  <si>
    <t>Thời gian ra: 2026-01-19 18:12:22</t>
  </si>
  <si>
    <t>Thời gian vào: 2026-01-20 08:22:55</t>
  </si>
  <si>
    <t>Thời gian ra: 2026-01-20 18:05:16</t>
  </si>
  <si>
    <t>Thời gian vào: 2026-01-21 08:09:02</t>
  </si>
  <si>
    <t>Thời gian ra: 2026-01-21 18:09:48</t>
  </si>
  <si>
    <t>Thời gian vào: 2026-01-22 08:14:55</t>
  </si>
  <si>
    <t>Thời gian ra: 2026-01-22 18:25:02</t>
  </si>
  <si>
    <t>Thời gian vào: 2026-01-23 07:00:29</t>
  </si>
  <si>
    <t>Thời gian ra: 2026-01-23 11:37:56</t>
  </si>
  <si>
    <t>Thời gian vào: 2026-01-26 08:07:26</t>
  </si>
  <si>
    <t>Thời gian ra: 2026-01-26 18:21:41</t>
  </si>
  <si>
    <t>Thời gian vào: 2026-01-27 08:24:47</t>
  </si>
  <si>
    <t>Thời gian ra: 2026-01-27 18:37:22</t>
  </si>
  <si>
    <t>Thời gian vào: 2026-01-28 12:28:52</t>
  </si>
  <si>
    <t>Thời gian ra: 2026-01-28 18:23:04</t>
  </si>
  <si>
    <t>Thời gian vào: 2026-01-29 08:09:02</t>
  </si>
  <si>
    <t>Thời gian ra: 2026-01-29 18:05:05</t>
  </si>
  <si>
    <t>Thời gian vào: 2026-01-30 07:32:55</t>
  </si>
  <si>
    <t>Thời gian ra: 2026-01-30 12:06:37</t>
  </si>
  <si>
    <t>Thời lượng theo dõi:274 phút</t>
  </si>
  <si>
    <t>Hoàng Thị Xoan</t>
  </si>
  <si>
    <t>đi Văn miếu</t>
  </si>
  <si>
    <t>Thời gian vào: 2026-01-05 08:29:52</t>
  </si>
  <si>
    <t>Thời gian ra: 2026-01-05 18:13:46</t>
  </si>
  <si>
    <t>Thang máy đông</t>
  </si>
  <si>
    <t>Thời gian vào: 2026-01-06 08:31:19</t>
  </si>
  <si>
    <t>Thời gian ra: 2026-01-06 18:14:27</t>
  </si>
  <si>
    <t>Thời gian vào: 2026-01-08 13:29:29</t>
  </si>
  <si>
    <t>Thời gian ra: 2026-01-08 18:08:20</t>
  </si>
  <si>
    <t>Thời gian vào: 2026-01-09 08:22:58</t>
  </si>
  <si>
    <t>Thời gian ra: 2026-01-09 12:02:58</t>
  </si>
  <si>
    <t>Thời lượng theo dõi:220 phút</t>
  </si>
  <si>
    <t>Thời gian vào: 2026-01-12 08:29:08</t>
  </si>
  <si>
    <t>Thời gian ra: 2026-01-12 18:12:38</t>
  </si>
  <si>
    <t>Thời gian vào: 2026-01-14 08:24:37</t>
  </si>
  <si>
    <t>Thời gian ra: 2026-01-14 18:05:29</t>
  </si>
  <si>
    <t>Thời gian vào: 2026-01-15 08:26:44</t>
  </si>
  <si>
    <t>Thời gian ra: 2026-01-15 18:04:44</t>
  </si>
  <si>
    <t>Thời gian vào: 2026-01-16 08:21:28</t>
  </si>
  <si>
    <t>Thời gian ra: 2026-01-16 18:34:41</t>
  </si>
  <si>
    <t xml:space="preserve">late request </t>
  </si>
  <si>
    <t>Thời gian vào: 2026-01-19 08:41:49</t>
  </si>
  <si>
    <t>Thời gian ra: 2026-01-19 18:14:22</t>
  </si>
  <si>
    <t>Thời gian vào: 2026-01-20 08:25:51</t>
  </si>
  <si>
    <t>Thời gian ra: 2026-01-20 18:07:54</t>
  </si>
  <si>
    <t>Thời gian vào: 2026-01-21 08:26:39</t>
  </si>
  <si>
    <t>Thời gian ra: 2026-01-21 18:07:43</t>
  </si>
  <si>
    <t>Thời gian vào: 2026-01-22 09:06:32</t>
  </si>
  <si>
    <t>Thời gian ra: 2026-01-22 18:13:17</t>
  </si>
  <si>
    <t>Thời gian vào: 2026-01-23 12:11:42</t>
  </si>
  <si>
    <t>Thời gian ra: 2026-01-23 18:13:47</t>
  </si>
  <si>
    <t>Thời gian vào: 2026-01-26 08:29:40</t>
  </si>
  <si>
    <t>Thời gian ra: 2026-01-26 18:11:55</t>
  </si>
  <si>
    <t>Thời gian vào: 2026-01-27 08:28:47</t>
  </si>
  <si>
    <t>Thời gian ra: 2026-01-27 18:14:50</t>
  </si>
  <si>
    <t>Thời gian vào: 2026-01-28 08:26:16</t>
  </si>
  <si>
    <t>Thời gian ra: 2026-01-28 18:10:06</t>
  </si>
  <si>
    <t>Thời gian vào: 2026-01-29 08:54:50</t>
  </si>
  <si>
    <t>Thời gian ra: 2026-01-29 18:04:09</t>
  </si>
  <si>
    <t>Thời gian vào: 2026-01-30 08:30:54</t>
  </si>
  <si>
    <t>Thời gian ra: 2026-01-30 18:06:39</t>
  </si>
  <si>
    <t>ko check in?</t>
  </si>
  <si>
    <t>Thời gian vào: 2026-01-02 13:32:00</t>
  </si>
  <si>
    <t>Thời gian ra: 2026-01-02 18:31:13</t>
  </si>
  <si>
    <t>Thời lượng theo dõi:299 phút</t>
  </si>
  <si>
    <t>Thời gian vào: 2026-01-05 08:46:18</t>
  </si>
  <si>
    <t xml:space="preserve">thang đông </t>
  </si>
  <si>
    <t>Thời gian vào: 2026-01-06 08:31:14</t>
  </si>
  <si>
    <t>Thời gian ra: 2026-01-06 18:14:26</t>
  </si>
  <si>
    <t>KO CHECK IN</t>
  </si>
  <si>
    <t>Thời gian vào: 2026-01-07 13:33:30</t>
  </si>
  <si>
    <t>Thời gian ra: 2026-01-07 18:56:05</t>
  </si>
  <si>
    <t>Thời gian vào: 2026-01-08 08:30:18</t>
  </si>
  <si>
    <t>Thời gian ra: 2026-01-08 18:43:09</t>
  </si>
  <si>
    <t>Thời gian vào: 2026-01-09 08:30:23</t>
  </si>
  <si>
    <t>Thời gian ra: 2026-01-09 18:26:59</t>
  </si>
  <si>
    <t>Thời gian vào: 2026-01-12 08:30:23</t>
  </si>
  <si>
    <t>Thời gian ra: 2026-01-12 18:13:19</t>
  </si>
  <si>
    <t>Thời gian vào: 2026-01-13 09:06:10</t>
  </si>
  <si>
    <t>Thời gian ra: 2026-01-13 16:31:18</t>
  </si>
  <si>
    <t>Thời lượng theo dõi:445 phút</t>
  </si>
  <si>
    <t>Thời gian vào: 2026-01-14 08:34:08</t>
  </si>
  <si>
    <t>Thời gian ra: 2026-01-14 18:22:17</t>
  </si>
  <si>
    <t>Thời gian vào: 2026-01-15 08:29:43</t>
  </si>
  <si>
    <t>Thời gian ra: 2026-01-15 20:12:54</t>
  </si>
  <si>
    <t>Thời lượng theo dõi:703 phút</t>
  </si>
  <si>
    <t>Thời gian vào: 2026-01-16 12:03:11</t>
  </si>
  <si>
    <t>Thời gian ra: 2026-01-16 22:09:07</t>
  </si>
  <si>
    <t>Thời gian vào: 2026-01-19 08:30:43</t>
  </si>
  <si>
    <t>Thời gian ra: 2026-01-19 18:17:33</t>
  </si>
  <si>
    <t>Thời gian vào: 2026-01-20 08:30:54</t>
  </si>
  <si>
    <t>Thời gian ra: 2026-01-20 18:44:41</t>
  </si>
  <si>
    <t>Thời gian vào: 2026-01-21 08:39:53</t>
  </si>
  <si>
    <t>Thời gian ra: 2026-01-21 19:30:02</t>
  </si>
  <si>
    <t>Thời gian vào: 2026-01-22 08:30:07</t>
  </si>
  <si>
    <t>Thời gian ra: 2026-01-22 18:28:57</t>
  </si>
  <si>
    <t>Thời gian vào: 2026-01-23 08:30:59</t>
  </si>
  <si>
    <t>Thời gian ra: 2026-01-23 18:41:05</t>
  </si>
  <si>
    <t>Thời gian vào: 2026-01-26 08:28:54</t>
  </si>
  <si>
    <t>Thời gian ra: 2026-01-26 18:15:40</t>
  </si>
  <si>
    <t>gặp btlsqs</t>
  </si>
  <si>
    <t>Thời gian vào: 2026-01-27 13:33:52</t>
  </si>
  <si>
    <t>Thời gian ra: 2026-01-27 18:42:18</t>
  </si>
  <si>
    <t>Thời lượng theo dõi:308 phút</t>
  </si>
  <si>
    <t>Thời gian vào: 2026-01-28 08:30:04</t>
  </si>
  <si>
    <t>Thời gian ra: 2026-01-28 18:09:12</t>
  </si>
  <si>
    <t>Thời gian vào: 2026-01-29 08:31:47</t>
  </si>
  <si>
    <t>Thời gian ra: 2026-01-29 18:22:44</t>
  </si>
  <si>
    <t>Thời gian vào: 2026-01-30 08:30:57</t>
  </si>
  <si>
    <t>Thời gian ra: 2026-01-30 18:33:26</t>
  </si>
  <si>
    <t>Thời gian vào: 2026-01-06 08:27:25</t>
  </si>
  <si>
    <t>Thời gian ra: 2026-01-06 18:19:02</t>
  </si>
  <si>
    <t>Thời gian vào: 2026-01-07 08:22:28</t>
  </si>
  <si>
    <t>Thời gian ra: 2026-01-07 18:18:23</t>
  </si>
  <si>
    <t>Thời gian vào: 2026-01-08 08:21:31</t>
  </si>
  <si>
    <t>Thời gian ra: 2026-01-08 18:13:52</t>
  </si>
  <si>
    <t>Thời gian vào: 2026-01-09 08:28:38</t>
  </si>
  <si>
    <t>Thời gian ra: 2026-01-09 18:21:13</t>
  </si>
  <si>
    <t>Thời gian vào: 2026-01-12 08:20:55</t>
  </si>
  <si>
    <t>Thời gian ra: 2026-01-12 18:19:36</t>
  </si>
  <si>
    <t>Thời gian vào: 2026-01-13 08:24:30</t>
  </si>
  <si>
    <t>Thời gian ra: 2026-01-13 08:24:39</t>
  </si>
  <si>
    <t>Thời gian vào: 2026-01-14 08:22:32</t>
  </si>
  <si>
    <t>Thời gian ra: 2026-01-14 18:27:27</t>
  </si>
  <si>
    <t>Thời gian vào: 2026-01-15 08:22:54</t>
  </si>
  <si>
    <t>Thời gian ra: 2026-01-15 18:15:45</t>
  </si>
  <si>
    <t>Thời gian vào: 2026-01-16 08:25:10</t>
  </si>
  <si>
    <t>Thời gian ra: 2026-01-16 18:18:13</t>
  </si>
  <si>
    <t>Thời gian vào: 2026-01-19 08:17:30</t>
  </si>
  <si>
    <t>Thời gian ra: 2026-01-19 18:28:04</t>
  </si>
  <si>
    <t>Thời gian vào: 2026-01-20 08:30:18</t>
  </si>
  <si>
    <t>Thời gian ra: 2026-01-20 18:15:39</t>
  </si>
  <si>
    <t>Thời gian vào: 2026-01-21 08:32:13</t>
  </si>
  <si>
    <t>Thời gian ra: 2026-01-21 18:16:40</t>
  </si>
  <si>
    <t>Thời gian vào: 2026-01-22 08:28:19</t>
  </si>
  <si>
    <t>Thời gian ra: 2026-01-22 18:23:25</t>
  </si>
  <si>
    <t>Thời gian vào: 2026-01-23 08:25:56</t>
  </si>
  <si>
    <t>Thời gian ra: 2026-01-23 18:27:30</t>
  </si>
  <si>
    <t>Thời gian vào: 2026-01-26 08:29:44</t>
  </si>
  <si>
    <t>Thời gian ra: 2026-01-26 18:25:05</t>
  </si>
  <si>
    <t>Thời gian vào: 2026-01-27 08:27:40</t>
  </si>
  <si>
    <t>Thời gian ra: 2026-01-27 18:42:48</t>
  </si>
  <si>
    <t>Thời gian vào: 2026-01-28 08:22:56</t>
  </si>
  <si>
    <t>Thời gian ra: 2026-01-28 18:21:03</t>
  </si>
  <si>
    <t>Thời gian vào: 2026-01-29 08:25:37</t>
  </si>
  <si>
    <t>Thời gian ra: 2026-01-29 18:45:25</t>
  </si>
  <si>
    <t>Thời gian vào: 2026-01-30 08:27:23</t>
  </si>
  <si>
    <t>Thời gian ra: 2026-01-30 18:15:28</t>
  </si>
  <si>
    <t>Chu Thị Tuyết Mai</t>
  </si>
  <si>
    <t>Thời gian vào: 2026-01-02 11:57:37</t>
  </si>
  <si>
    <t>Thời gian ra: 2026-01-02 18:06:30</t>
  </si>
  <si>
    <t>Thời lượng theo dõi:369 phút</t>
  </si>
  <si>
    <t>Quên check out?</t>
  </si>
  <si>
    <t>Thời gian vào: 2026-01-05 09:09:48</t>
  </si>
  <si>
    <t>Thời gian vào: 2026-01-06 13:31:06</t>
  </si>
  <si>
    <t>Thời gian ra: 2026-01-06 18:19:11</t>
  </si>
  <si>
    <t xml:space="preserve">ko nhận face </t>
  </si>
  <si>
    <t>Thời gian vào: 2026-01-07 18:57:47</t>
  </si>
  <si>
    <t>Thời gian vào: 2026-01-08 08:26:08</t>
  </si>
  <si>
    <t>Thời gian ra: 2026-01-08 18:24:47</t>
  </si>
  <si>
    <t>Thời gian vào: 2026-01-09 08:37:35</t>
  </si>
  <si>
    <t>Thời gian ra: 2026-01-09 18:27:02</t>
  </si>
  <si>
    <t>Thời gian vào: 2026-01-12 08:10:03</t>
  </si>
  <si>
    <t>Thời gian ra: 2026-01-12 08:49:12</t>
  </si>
  <si>
    <t>Thời lượng theo dõi:39 phút</t>
  </si>
  <si>
    <t>Thời gian vào: 2026-01-14 18:28:02</t>
  </si>
  <si>
    <t>Thời gian vào: 2026-01-15 08:25:22</t>
  </si>
  <si>
    <t>Thời gian ra: 2026-01-15 18:10:09</t>
  </si>
  <si>
    <t>Thời gian vào: 2026-01-16 08:35:21</t>
  </si>
  <si>
    <t>Thời gian ra: 2026-01-16 08:35:24</t>
  </si>
  <si>
    <t>Thời gian vào: 2026-01-19 08:47:57</t>
  </si>
  <si>
    <t>Thời gian ra: 2026-01-19 18:17:38</t>
  </si>
  <si>
    <t>Thời gian vào: 2026-01-20 08:22:04</t>
  </si>
  <si>
    <t>Thời gian ra: 2026-01-20 18:48:20</t>
  </si>
  <si>
    <t>Thời gian vào: 2026-01-21 08:24:42</t>
  </si>
  <si>
    <t>Thời gian ra: 2026-01-21 18:04:59</t>
  </si>
  <si>
    <t>Thời gian vào: 2026-01-22 08:25:34</t>
  </si>
  <si>
    <t>Thời gian ra: 2026-01-22 18:29:11</t>
  </si>
  <si>
    <t>Thời gian vào: 2026-01-26 08:47:36</t>
  </si>
  <si>
    <t>Thời gian ra: 2026-01-26 18:15:38</t>
  </si>
  <si>
    <t>Thời gian vào: 2026-01-27 08:23:58</t>
  </si>
  <si>
    <t>Thời gian ra: 2026-01-27 18:07:53</t>
  </si>
  <si>
    <t>Thời gian vào: 2026-01-28 08:14:06</t>
  </si>
  <si>
    <t>Thời gian ra: 2026-01-28 18:36:18</t>
  </si>
  <si>
    <t>Thời gian vào: 2026-01-29 08:24:16</t>
  </si>
  <si>
    <t>Thời gian ra: 2026-01-29 18:22:41</t>
  </si>
  <si>
    <t>Thời gian vào: 2026-01-30 08:26:38</t>
  </si>
  <si>
    <t>Thời gian ra: 2026-01-30 18:19:57</t>
  </si>
  <si>
    <t>Thời gian vào: 2026-01-02 13:33:10</t>
  </si>
  <si>
    <t>Thời gian ra: 2026-01-02 18:12:25</t>
  </si>
  <si>
    <t>Thời gian vào: 2026-01-05 08:29:10</t>
  </si>
  <si>
    <t>Thời gian ra: 2026-01-05 18:10:56</t>
  </si>
  <si>
    <t>Thời gian vào: 2026-01-06 13:38:45</t>
  </si>
  <si>
    <t>Thời gian ra: 2026-01-06 18:20:20</t>
  </si>
  <si>
    <t>Thời gian vào: 2026-01-07 09:34:57</t>
  </si>
  <si>
    <t>Thời gian ra: 2026-01-07 18:11:57</t>
  </si>
  <si>
    <t>Thời lượng theo dõi:517 phút</t>
  </si>
  <si>
    <t xml:space="preserve">rEMOTE </t>
  </si>
  <si>
    <t>Thời gian vào: 2026-01-12 12:26:02</t>
  </si>
  <si>
    <t>Thời gian ra: 2026-01-12 18:17:37</t>
  </si>
  <si>
    <t>Thời lượng theo dõi:352 phút</t>
  </si>
  <si>
    <t>quên chekc out?</t>
  </si>
  <si>
    <t>Thời gian vào: 2026-01-13 08:27:03</t>
  </si>
  <si>
    <t>Thời gian vào: 2026-01-14 08:21:31</t>
  </si>
  <si>
    <t>Thời gian ra: 2026-01-14 18:24:05</t>
  </si>
  <si>
    <t>Thời gian vào: 2026-01-15 10:01:17</t>
  </si>
  <si>
    <t>Thời gian ra: 2026-01-15 18:14:25</t>
  </si>
  <si>
    <t>Thời gian vào: 2026-01-16 08:32:06</t>
  </si>
  <si>
    <t>Thời gian ra: 2026-01-16 18:06:57</t>
  </si>
  <si>
    <t>Thời gian vào: 2026-01-19 13:31:36</t>
  </si>
  <si>
    <t>Thời gian ra: 2026-01-19 18:20:41</t>
  </si>
  <si>
    <t>Thời lượng theo dõi:289 phút</t>
  </si>
  <si>
    <t>Thời gian vào: 2026-01-20 08:42:12</t>
  </si>
  <si>
    <t>Thời gian ra: 2026-01-20 18:00:37</t>
  </si>
  <si>
    <t>Thời gian vào: 2026-01-21 08:29:01</t>
  </si>
  <si>
    <t>Thời gian ra: 2026-01-21 18:08:29</t>
  </si>
  <si>
    <t>Thời gian vào: 2026-01-22 13:28:09</t>
  </si>
  <si>
    <t>Thời gian ra: 2026-01-22 18:13:32</t>
  </si>
  <si>
    <t>Thời gian vào: 2026-01-23 09:54:14</t>
  </si>
  <si>
    <t>Thời gian ra: 2026-01-23 18:13:54</t>
  </si>
  <si>
    <t>Thời gian vào: 2026-01-26 09:25:35</t>
  </si>
  <si>
    <t>Thời gian ra: 2026-01-26 18:19:42</t>
  </si>
  <si>
    <t>Thời gian vào: 2026-01-27 13:31:35</t>
  </si>
  <si>
    <t>Thời gian ra: 2026-01-27 18:11:28</t>
  </si>
  <si>
    <t xml:space="preserve">Quên check in </t>
  </si>
  <si>
    <t>Thời gian vào: 2026-01-28 18:10:09</t>
  </si>
  <si>
    <t>Thời gian vào: 2026-01-29 10:48:41</t>
  </si>
  <si>
    <t>Thời gian ra: 2026-01-29 18:14:48</t>
  </si>
  <si>
    <t>Thời lượng theo dõi:446 phút</t>
  </si>
  <si>
    <t>Thời gian vào: 2026-01-30 13:36:32</t>
  </si>
  <si>
    <t>Thời gian ra: 2026-01-30 18:24:36</t>
  </si>
  <si>
    <t>Thời gian vào: 2026-01-05 12:24:37</t>
  </si>
  <si>
    <t>Thời gian ra: 2026-01-05 18:12:48</t>
  </si>
  <si>
    <t>Thời lượng theo dõi:348 phút</t>
  </si>
  <si>
    <t>Thời gian vào: 2026-01-06 08:25:21</t>
  </si>
  <si>
    <t>Thời gian ra: 2026-01-06 18:15:40</t>
  </si>
  <si>
    <t>Thời gian vào: 2026-01-07 08:20:48</t>
  </si>
  <si>
    <t>Thời gian ra: 2026-01-07 18:18:26</t>
  </si>
  <si>
    <t>Thời gian vào: 2026-01-08 08:20:38</t>
  </si>
  <si>
    <t>Thời gian ra: 2026-01-08 18:13:54</t>
  </si>
  <si>
    <t>Thời gian vào: 2026-01-09 08:23:01</t>
  </si>
  <si>
    <t>Thời gian ra: 2026-01-09 18:21:15</t>
  </si>
  <si>
    <t>Thời gian vào: 2026-01-12 08:24:34</t>
  </si>
  <si>
    <t>Thời gian ra: 2026-01-12 18:19:44</t>
  </si>
  <si>
    <t>Quên check out</t>
  </si>
  <si>
    <t>Thời gian vào: 2026-01-13 08:25:57</t>
  </si>
  <si>
    <t>Thời gian vào: 2026-01-14 08:20:38</t>
  </si>
  <si>
    <t>Thời gian ra: 2026-01-14 18:26:06</t>
  </si>
  <si>
    <t>Thời gian vào: 2026-01-15 08:20:52</t>
  </si>
  <si>
    <t>Thời gian ra: 2026-01-15 18:08:08</t>
  </si>
  <si>
    <t>Thời gian vào: 2026-01-16 08:25:57</t>
  </si>
  <si>
    <t>Thời gian ra: 2026-01-16 18:19:19</t>
  </si>
  <si>
    <t>Thời gian vào: 2026-01-19 08:24:14</t>
  </si>
  <si>
    <t>Thời gian ra: 2026-01-19 18:20:46</t>
  </si>
  <si>
    <t>Thời gian vào: 2026-01-20 08:23:55</t>
  </si>
  <si>
    <t>Thời gian vào: 2026-01-21 08:22:24</t>
  </si>
  <si>
    <t>Thời gian ra: 2026-01-21 18:18:46</t>
  </si>
  <si>
    <t>Thời gian vào: 2026-01-22 09:03:46</t>
  </si>
  <si>
    <t>Thời gian ra: 2026-01-22 18:18:10</t>
  </si>
  <si>
    <t>Thời gian vào: 2026-01-23 08:21:41</t>
  </si>
  <si>
    <t>Thời gian ra: 2026-01-23 18:13:56</t>
  </si>
  <si>
    <t>Thời gian vào: 2026-01-26 08:25:02</t>
  </si>
  <si>
    <t>Thời gian ra: 2026-01-26 18:06:35</t>
  </si>
  <si>
    <t>Thời gian vào: 2026-01-27 08:27:37</t>
  </si>
  <si>
    <t>Thời gian ra: 2026-01-27 18:17:56</t>
  </si>
  <si>
    <t>Thời gian vào: 2026-01-28 09:43:33</t>
  </si>
  <si>
    <t>Thời gian ra: 2026-01-28 18:07:08</t>
  </si>
  <si>
    <t>Thời gian vào: 2026-01-29 08:25:40</t>
  </si>
  <si>
    <t>Thời gian ra: 2026-01-29 18:20:09</t>
  </si>
  <si>
    <t>Thời gian vào: 2026-01-30 08:24:19</t>
  </si>
  <si>
    <t>Thời gian ra: 2026-01-30 12:10:27</t>
  </si>
  <si>
    <t>Thời lượng theo dõi:226 phút</t>
  </si>
  <si>
    <t>tet</t>
  </si>
  <si>
    <t>Thời gian vào: 2026-01-05 08:21:03</t>
  </si>
  <si>
    <t>Thời gian ra: 2026-01-05 18:20:48</t>
  </si>
  <si>
    <t>Thời gian vào: 2026-01-06 08:24:47</t>
  </si>
  <si>
    <t>Thời gian ra: 2026-01-06 18:24:08</t>
  </si>
  <si>
    <t>Thời gian vào: 2026-01-07 08:36:14</t>
  </si>
  <si>
    <t>Thời gian ra: 2026-01-07 18:23:42</t>
  </si>
  <si>
    <t>Thời gian vào: 2026-01-08 09:19:45</t>
  </si>
  <si>
    <t>Thời gian ra: 2026-01-08 18:30:56</t>
  </si>
  <si>
    <t>Thời gian vào: 2026-01-09 08:28:44</t>
  </si>
  <si>
    <t>Thời gian ra: 2026-01-09 18:03:10</t>
  </si>
  <si>
    <t>Thời gian vào: 2026-01-12 08:30:07</t>
  </si>
  <si>
    <t>Thời gian ra: 2026-01-12 18:22:58</t>
  </si>
  <si>
    <t>Thời gian vào: 2026-01-14 08:24:40</t>
  </si>
  <si>
    <t>Thời gian ra: 2026-01-14 18:12:29</t>
  </si>
  <si>
    <t>Thời gian vào: 2026-01-15 08:29:04</t>
  </si>
  <si>
    <t>Thời gian ra: 2026-01-15 18:21:01</t>
  </si>
  <si>
    <t>Thời gian vào: 2026-01-16 08:32:53</t>
  </si>
  <si>
    <t>Thời gian ra: 2026-01-16 18:35:02</t>
  </si>
  <si>
    <t>Thời gian vào: 2026-01-19 08:39:09</t>
  </si>
  <si>
    <t>Thời gian ra: 2026-01-19 18:25:56</t>
  </si>
  <si>
    <t>Thời gian vào: 2026-01-20 08:23:41</t>
  </si>
  <si>
    <t>Thời gian ra: 2026-01-20 18:12:42</t>
  </si>
  <si>
    <t>Thời gian vào: 2026-01-21 08:39:57</t>
  </si>
  <si>
    <t>Thời gian ra: 2026-01-21 18:09:43</t>
  </si>
  <si>
    <t>Thời gian vào: 2026-01-22 08:37:25</t>
  </si>
  <si>
    <t>Thời gian ra: 2026-01-22 18:19:51</t>
  </si>
  <si>
    <t>Thời gian vào: 2026-01-26 09:13:30</t>
  </si>
  <si>
    <t>Thời gian ra: 2026-01-26 18:07:18</t>
  </si>
  <si>
    <t>Thời gian vào: 2026-01-27 08:29:21</t>
  </si>
  <si>
    <t>Thời gian ra: 2026-01-27 18:19:00</t>
  </si>
  <si>
    <t>Thời gian vào: 2026-01-28 08:42:01</t>
  </si>
  <si>
    <t>Thời gian ra: 2026-01-28 18:13:28</t>
  </si>
  <si>
    <t>Thời gian vào: 2026-01-29 08:33:04</t>
  </si>
  <si>
    <t>Thời gian ra: 2026-01-29 18:19:28</t>
  </si>
  <si>
    <t>Thời gian vào: 2026-01-30 08:46:04</t>
  </si>
  <si>
    <t>Thời gian ra: 2026-01-30 18:06:41</t>
  </si>
  <si>
    <t>Nguyễn Ngọc Khởi</t>
  </si>
  <si>
    <t>Thời gian vào: 2026-01-05 08:31:11</t>
  </si>
  <si>
    <t>Thời gian ra: 2026-01-05 18:02:45</t>
  </si>
  <si>
    <t>Thời gian vào: 2026-01-06 08:25:43</t>
  </si>
  <si>
    <t>Thời gian ra: 2026-01-06 18:03:03</t>
  </si>
  <si>
    <t>Thời gian vào: 2026-01-07 08:27:57</t>
  </si>
  <si>
    <t>Thời gian ra: 2026-01-07 18:02:23</t>
  </si>
  <si>
    <t>Thời gian vào: 2026-01-08 08:27:57</t>
  </si>
  <si>
    <t>Thời gian ra: 2026-01-08 18:09:03</t>
  </si>
  <si>
    <t>Thời gian vào: 2026-01-12 08:27:46</t>
  </si>
  <si>
    <t>Thời gian ra: 2026-01-12 18:04:16</t>
  </si>
  <si>
    <t>Thời gian vào: 2026-01-13 08:28:44</t>
  </si>
  <si>
    <t>Thời gian ra: 2026-01-13 18:03:58</t>
  </si>
  <si>
    <t>Thời gian vào: 2026-01-14 08:27:02</t>
  </si>
  <si>
    <t>Thời gian ra: 2026-01-14 18:04:21</t>
  </si>
  <si>
    <t>Thời gian vào: 2026-01-15 08:30:00</t>
  </si>
  <si>
    <t>Thời gian ra: 2026-01-15 18:03:16</t>
  </si>
  <si>
    <t>Thời gian vào: 2026-01-19 09:02:14</t>
  </si>
  <si>
    <t>Thời gian ra: 2026-01-19 18:07:24</t>
  </si>
  <si>
    <t>Thời gian vào: 2026-01-20 08:28:33</t>
  </si>
  <si>
    <t>Thời gian ra: 2026-01-20 18:03:22</t>
  </si>
  <si>
    <t>Thời gian vào: 2026-01-21 08:34:39</t>
  </si>
  <si>
    <t>Thời gian ra: 2026-01-21 18:02:54</t>
  </si>
  <si>
    <t>Thời gian vào: 2026-01-22 08:28:25</t>
  </si>
  <si>
    <t>Thời gian ra: 2026-01-22 18:02:43</t>
  </si>
  <si>
    <t>Thời gian vào: 2026-01-26 08:28:46</t>
  </si>
  <si>
    <t>Thời gian ra: 2026-01-26 18:04:09</t>
  </si>
  <si>
    <t>Thời gian vào: 2026-01-27 08:27:53</t>
  </si>
  <si>
    <t>Thời gian ra: 2026-01-27 18:05:55</t>
  </si>
  <si>
    <t>Thời gian vào: 2026-01-28 08:27:41</t>
  </si>
  <si>
    <t>Thời gian ra: 2026-01-28 18:05:26</t>
  </si>
  <si>
    <t>Thời gian vào: 2026-01-29 08:28:01</t>
  </si>
  <si>
    <t>Thời gian ra: 2026-01-29 18:11:08</t>
  </si>
  <si>
    <t>Thời gian vào: 2026-01-05 08:30:45</t>
  </si>
  <si>
    <t>Thời gian ra: 2026-01-05 18:09:38</t>
  </si>
  <si>
    <t>Thời gian vào: 2026-01-06 08:40:33</t>
  </si>
  <si>
    <t>Thời gian ra: 2026-01-06 18:16:16</t>
  </si>
  <si>
    <t>Thời gian vào: 2026-01-07 08:30:29</t>
  </si>
  <si>
    <t>Thời gian ra: 2026-01-07 18:07:42</t>
  </si>
  <si>
    <t>Đi quay Văn Miếu</t>
  </si>
  <si>
    <t>Thời gian vào: 2026-01-09 08:28:33</t>
  </si>
  <si>
    <t>Thời gian ra: 2026-01-09 18:14:06</t>
  </si>
  <si>
    <t>Thời gian vào: 2026-01-12 08:20:26</t>
  </si>
  <si>
    <t>Thời gian ra: 2026-01-12 18:06:22</t>
  </si>
  <si>
    <t>Early request</t>
  </si>
  <si>
    <t>Thời gian vào: 2026-01-13 08:30:31</t>
  </si>
  <si>
    <t>Thời gian ra: 2026-01-13 16:26:48</t>
  </si>
  <si>
    <t>Thời gian vào: 2026-01-14 08:31:29</t>
  </si>
  <si>
    <t>Thời gian ra: 2026-01-14 18:14:04</t>
  </si>
  <si>
    <t>Thời gian vào: 2026-01-16 08:20:31</t>
  </si>
  <si>
    <t>Thời gian ra: 2026-01-16 18:14:46</t>
  </si>
  <si>
    <t>Thời gian vào: 2026-01-19 08:37:44</t>
  </si>
  <si>
    <t>Thời gian ra: 2026-01-19 18:12:38</t>
  </si>
  <si>
    <t>Thời gian vào: 2026-01-20 08:27:18</t>
  </si>
  <si>
    <t>Thời gian ra: 2026-01-20 18:26:41</t>
  </si>
  <si>
    <t>Thời gian vào: 2026-01-21 08:28:10</t>
  </si>
  <si>
    <t>Thời gian ra: 2026-01-21 18:09:59</t>
  </si>
  <si>
    <t>Thời gian vào: 2026-01-22 08:30:38</t>
  </si>
  <si>
    <t>Thời gian ra: 2026-01-22 19:52:34</t>
  </si>
  <si>
    <t>Thời gian vào: 2026-01-23 08:30:57</t>
  </si>
  <si>
    <t>Thời gian ra: 2026-01-23 18:36:45</t>
  </si>
  <si>
    <t>Thời gian vào: 2026-01-26 08:31:25</t>
  </si>
  <si>
    <t>Thời gian ra: 2026-01-26 18:05:38</t>
  </si>
  <si>
    <t>Thời gian vào: 2026-01-27 08:22:26</t>
  </si>
  <si>
    <t>Thời gian ra: 2026-01-27 18:10:18</t>
  </si>
  <si>
    <t>Thời gian vào: 2026-01-28 08:33:27</t>
  </si>
  <si>
    <t>Thời gian ra: 2026-01-28 18:05:23</t>
  </si>
  <si>
    <t>Thời gian vào: 2026-01-29 08:31:50</t>
  </si>
  <si>
    <t>Thời gian ra: 2026-01-29 18:07:40</t>
  </si>
  <si>
    <t>Thời gian vào: 2026-01-30 08:32:27</t>
  </si>
  <si>
    <t>Thời gian ra: 2026-01-30 18:12:52</t>
  </si>
  <si>
    <t>Trần Thị Bảo Tâm</t>
  </si>
  <si>
    <t>Thời gian vào: 2026-01-07 19:36:52</t>
  </si>
  <si>
    <t>Thời gian ra: 2026-01-07 19:36:56</t>
  </si>
  <si>
    <t>Thời gian vào: 2026-01-02 08:02:15</t>
  </si>
  <si>
    <t>Thời gian ra: 2026-01-02 17:51:58</t>
  </si>
  <si>
    <t>Thời gian vào: 2026-01-05 08:03:36</t>
  </si>
  <si>
    <t>Thời gian ra: 2026-01-05 17:38:02</t>
  </si>
  <si>
    <t>Thời gian vào: 2026-01-06 08:06:26</t>
  </si>
  <si>
    <t>Thời gian ra: 2026-01-06 17:39:02</t>
  </si>
  <si>
    <t>Thời gian vào: 2026-01-07 07:57:47</t>
  </si>
  <si>
    <t>Thời gian ra: 2026-01-07 17:40:16</t>
  </si>
  <si>
    <t>Thời gian vào: 2026-01-08 07:51:58</t>
  </si>
  <si>
    <t>Thời gian ra: 2026-01-08 17:37:27</t>
  </si>
  <si>
    <t>Thời gian vào: 2026-01-09 07:53:52</t>
  </si>
  <si>
    <t>Thời gian ra: 2026-01-09 17:36:55</t>
  </si>
  <si>
    <t>Thời gian vào: 2026-01-12 07:49:11</t>
  </si>
  <si>
    <t>Thời gian ra: 2026-01-12 17:39:34</t>
  </si>
  <si>
    <t>Thời gian vào: 2026-01-13 08:10:41</t>
  </si>
  <si>
    <t>Thời gian ra: 2026-01-13 16:18:25</t>
  </si>
  <si>
    <t>Thời gian vào: 2026-01-14 07:55:16</t>
  </si>
  <si>
    <t>Thời gian ra: 2026-01-14 12:14:08</t>
  </si>
  <si>
    <t>Thời gian vào: 2026-01-15 08:02:22</t>
  </si>
  <si>
    <t>Thời gian ra: 2026-01-15 17:39:40</t>
  </si>
  <si>
    <t>Thời gian vào: 2026-01-16 07:58:55</t>
  </si>
  <si>
    <t>Thời gian ra: 2026-01-16 18:53:58</t>
  </si>
  <si>
    <t>Thời gian vào: 2026-01-19 07:58:11</t>
  </si>
  <si>
    <t>Thời gian ra: 2026-01-19 17:36:43</t>
  </si>
  <si>
    <t>Thời gian vào: 2026-01-20 07:55:59</t>
  </si>
  <si>
    <t>Thời gian ra: 2026-01-20 17:38:22</t>
  </si>
  <si>
    <t>Thời gian vào: 2026-01-21 07:54:34</t>
  </si>
  <si>
    <t>Thời gian ra: 2026-01-21 17:38:14</t>
  </si>
  <si>
    <t>Thời gian vào: 2026-01-22 07:54:08</t>
  </si>
  <si>
    <t>Thời gian ra: 2026-01-22 17:37:18</t>
  </si>
  <si>
    <t>Thời gian vào: 2026-01-23 07:59:36</t>
  </si>
  <si>
    <t>Thời gian ra: 2026-01-23 17:51:11</t>
  </si>
  <si>
    <t>Thời gian vào: 2026-01-26 07:59:13</t>
  </si>
  <si>
    <t>Thời gian ra: 2026-01-26 17:38:40</t>
  </si>
  <si>
    <t>Thời gian vào: 2026-01-27 07:56:27</t>
  </si>
  <si>
    <t>Thời gian ra: 2026-01-27 17:38:54</t>
  </si>
  <si>
    <t>Thời gian vào: 2026-01-28 08:11:04</t>
  </si>
  <si>
    <t>Thời gian ra: 2026-01-28 17:40:07</t>
  </si>
  <si>
    <t>Thời gian vào: 2026-01-29 07:55:59</t>
  </si>
  <si>
    <t>Thời gian ra: 2026-01-29 17:36:55</t>
  </si>
  <si>
    <t>Nhan Yến Trang</t>
  </si>
  <si>
    <t>Thời gian vào: 2026-01-13 14:46:07</t>
  </si>
  <si>
    <t>Thời gian ra: 2026-01-13 16:24:54</t>
  </si>
  <si>
    <t>Phạm Minh Dương</t>
  </si>
  <si>
    <t>Thời gian vào: 2026-01-06 08:25:40</t>
  </si>
  <si>
    <t>Thời gian ra: 2026-01-06 18:02:57</t>
  </si>
  <si>
    <t>Thời gian vào: 2026-01-07 08:28:00</t>
  </si>
  <si>
    <t>Thời gian ra: 2026-01-07 18:02:10</t>
  </si>
  <si>
    <t>Thời gian vào: 2026-01-08 08:27:54</t>
  </si>
  <si>
    <t>Thời gian ra: 2026-01-08 18:01:50</t>
  </si>
  <si>
    <t>Thời gian vào: 2026-01-12 08:27:44</t>
  </si>
  <si>
    <t>Thời gian ra: 2026-01-12 18:02:31</t>
  </si>
  <si>
    <t>Thời gian vào: 2026-01-13 08:28:50</t>
  </si>
  <si>
    <t>Thời gian ra: 2026-01-13 18:03:37</t>
  </si>
  <si>
    <t>Thời gian vào: 2026-01-14 08:27:10</t>
  </si>
  <si>
    <t>Thời gian ra: 2026-01-14 18:02:34</t>
  </si>
  <si>
    <t>Thời gian vào: 2026-01-15 08:30:14</t>
  </si>
  <si>
    <t>Thời gian ra: 2026-01-15 18:02:14</t>
  </si>
  <si>
    <t>Thời gian vào: 2026-01-19 09:02:02</t>
  </si>
  <si>
    <t>Thời gian ra: 2026-01-19 18:03:01</t>
  </si>
  <si>
    <t>Thời gian vào: 2026-01-20 08:28:36</t>
  </si>
  <si>
    <t>Thời gian ra: 2026-01-20 18:02:27</t>
  </si>
  <si>
    <t>Thời gian vào: 2026-01-21 08:34:36</t>
  </si>
  <si>
    <t>Thời gian ra: 2026-01-21 18:02:20</t>
  </si>
  <si>
    <t>Thời gian vào: 2026-01-22 08:28:14</t>
  </si>
  <si>
    <t>Thời gian ra: 2026-01-22 18:01:55</t>
  </si>
  <si>
    <t>Thời gian vào: 2026-01-26 08:27:18</t>
  </si>
  <si>
    <t>Thời gian ra: 2026-01-26 18:02:40</t>
  </si>
  <si>
    <t>Thời gian vào: 2026-01-27 08:27:51</t>
  </si>
  <si>
    <t>Thời gian ra: 2026-01-27 18:02:31</t>
  </si>
  <si>
    <t>Thời gian vào: 2026-01-28 08:27:34</t>
  </si>
  <si>
    <t>Thời gian ra: 2026-01-28 18:03:13</t>
  </si>
  <si>
    <t>Thời gian vào: 2026-01-29 08:28:45</t>
  </si>
  <si>
    <t>Thời gian ra: 2026-01-29 18:04:27</t>
  </si>
  <si>
    <t>Nguyễn Thị Quỳnh</t>
  </si>
  <si>
    <t>Nguyễn Thị Phương Anh</t>
  </si>
  <si>
    <t>Thời gian vào: 2026-01-11 11:58:55</t>
  </si>
  <si>
    <t>Thời gian ra: 2026-01-11 11:59:03</t>
  </si>
  <si>
    <t>Thời gian vào: 2026-01-12 22:54:19</t>
  </si>
  <si>
    <t>Thời gian vào: 2026-01-17 23:01:44</t>
  </si>
  <si>
    <t>Thời gian ra: 2026-01-17 23:01:53</t>
  </si>
  <si>
    <t>Thời gian vào: 2026-01-28 19:54:39</t>
  </si>
  <si>
    <t>Thời gian vào: 2026-01-30 11:05:35</t>
  </si>
  <si>
    <t>Thời gian ra: 2026-01-30 11:05:39</t>
  </si>
  <si>
    <t>Triệu Phạm Thảo Nhi</t>
  </si>
  <si>
    <t>Thời gian vào: 2026-01-12 10:20:39</t>
  </si>
  <si>
    <t>Thời gian ra: 2026-01-12 10:20:47</t>
  </si>
  <si>
    <t>Thời gian vào: 2026-01-13 10:18:46</t>
  </si>
  <si>
    <t>Thời gian ra: 2026-01-13 10:19:49</t>
  </si>
  <si>
    <t>Thời gian vào: 2026-01-15 16:20:12</t>
  </si>
  <si>
    <t>Thời gian ra: 2026-01-15 23:38:11</t>
  </si>
  <si>
    <t>Thời gian vào: 2026-01-16 03:07:31</t>
  </si>
  <si>
    <t>Thời gian vào: 2026-01-18 17:52:44</t>
  </si>
  <si>
    <t>Thời gian vào: 2026-01-19 10:18:12</t>
  </si>
  <si>
    <t>Thời gian vào: 2026-01-20 11:20:16</t>
  </si>
  <si>
    <t>Thời gian vào: 2026-01-27 07:57:00</t>
  </si>
  <si>
    <t>Thời gian ra: 2026-01-27 07:57:27</t>
  </si>
  <si>
    <t>Thời gian vào: 2026-02-01 20:53:24</t>
  </si>
  <si>
    <t>Nguyễn Văn Quân</t>
  </si>
  <si>
    <t>Đỗ Hoàng Nam</t>
  </si>
  <si>
    <t>Nguyễn Trần Minh Quang</t>
  </si>
  <si>
    <t>Nguyễn Bá Kiện</t>
  </si>
  <si>
    <t>Lê Minh Xuân Phương</t>
  </si>
  <si>
    <t>Nguyễn Thị Kim Ngân</t>
  </si>
  <si>
    <t>Thời gian vào: 2026-01-05 08:43:06</t>
  </si>
  <si>
    <t>Thời gian ra: 2026-01-05 18:17:07</t>
  </si>
  <si>
    <t>Thời gian vào: 2026-01-06 08:35:59</t>
  </si>
  <si>
    <t>Thời gian ra: 2026-01-06 18:13:02</t>
  </si>
  <si>
    <t>Thời gian vào: 2026-01-07 08:33:49</t>
  </si>
  <si>
    <t>Thời gian ra: 2026-01-07 18:09:31</t>
  </si>
  <si>
    <t>Thời gian vào: 2026-01-08 08:03:53</t>
  </si>
  <si>
    <t>Thời gian ra: 2026-01-08 18:17:50</t>
  </si>
  <si>
    <t>Thời gian vào: 2026-01-09 08:22:29</t>
  </si>
  <si>
    <t>Thời gian ra: 2026-01-09 18:48:54</t>
  </si>
  <si>
    <t>Thời gian vào: 2026-01-10 08:43:05</t>
  </si>
  <si>
    <t>Thời gian ra: 2026-01-10 18:02:34</t>
  </si>
  <si>
    <t>Thời gian vào: 2026-01-12 08:27:25</t>
  </si>
  <si>
    <t>Thời gian ra: 2026-01-12 19:58:21</t>
  </si>
  <si>
    <t>Thời gian vào: 2026-01-13 08:36:10</t>
  </si>
  <si>
    <t>Thời gian ra: 2026-01-13 18:08:43</t>
  </si>
  <si>
    <t>Thời gian vào: 2026-01-14 08:47:47</t>
  </si>
  <si>
    <t>Thời gian ra: 2026-01-14 18:07:18</t>
  </si>
  <si>
    <t>Thời gian vào: 2026-01-15 08:19:24</t>
  </si>
  <si>
    <t>Thời gian ra: 2026-01-15 18:04:20</t>
  </si>
  <si>
    <t>Thời gian vào: 2026-01-16 08:28:10</t>
  </si>
  <si>
    <t>Thời gian ra: 2026-01-16 18:24:08</t>
  </si>
  <si>
    <t>Thời gian vào: 2026-01-19 08:01:03</t>
  </si>
  <si>
    <t>Thời gian ra: 2026-01-19 18:20:38</t>
  </si>
  <si>
    <t>Thời gian vào: 2026-01-20 08:37:04</t>
  </si>
  <si>
    <t>Thời gian ra: 2026-01-20 18:04:39</t>
  </si>
  <si>
    <t>Thời gian vào: 2026-01-21 08:12:59</t>
  </si>
  <si>
    <t>Thời gian ra: 2026-01-21 18:03:29</t>
  </si>
  <si>
    <t>Thời gian vào: 2026-01-22 08:30:32</t>
  </si>
  <si>
    <t>Thời gian ra: 2026-01-22 18:06:07</t>
  </si>
  <si>
    <t>Thời gian vào: 2026-01-23 08:19:19</t>
  </si>
  <si>
    <t>Thời gian ra: 2026-01-23 18:10:28</t>
  </si>
  <si>
    <t>Thời gian vào: 2026-01-26 06:04:06</t>
  </si>
  <si>
    <t>Thời gian ra: 2026-01-26 19:56:19</t>
  </si>
  <si>
    <t>Thời lượng theo dõi:832 phút</t>
  </si>
  <si>
    <t>Thời gian vào: 2026-01-27 08:28:45</t>
  </si>
  <si>
    <t>Thời gian ra: 2026-01-27 16:03:42</t>
  </si>
  <si>
    <t>Thời gian vào: 2026-01-28 08:27:06</t>
  </si>
  <si>
    <t>Thời gian ra: 2026-01-28 18:17:09</t>
  </si>
  <si>
    <t>Thời gian vào: 2026-01-29 08:36:39</t>
  </si>
  <si>
    <t>Thời gian ra: 2026-01-29 18:50:53</t>
  </si>
  <si>
    <t>Thời gian vào: 2026-01-30 08:27:58</t>
  </si>
  <si>
    <t>Thời gian ra: 2026-01-30 18:03:01</t>
  </si>
  <si>
    <t>Thời gian vào: 2026-01-31 08:37:08</t>
  </si>
  <si>
    <t>Đinh Thị Tường Vi</t>
  </si>
  <si>
    <t>Thời gian vào: 2026-01-05 08:58:33</t>
  </si>
  <si>
    <t>Thời gian ra: 2026-01-05 18:29:19</t>
  </si>
  <si>
    <t>Thời gian vào: 2026-01-06 08:35:26</t>
  </si>
  <si>
    <t>Thời gian ra: 2026-01-06 18:38:30</t>
  </si>
  <si>
    <t>Thời gian vào: 2026-01-07 08:44:09</t>
  </si>
  <si>
    <t>Thời gian ra: 2026-01-07 18:20:56</t>
  </si>
  <si>
    <t>Thời gian vào: 2026-01-08 08:41:35</t>
  </si>
  <si>
    <t>Thời gian ra: 2026-01-08 18:52:49</t>
  </si>
  <si>
    <t>Thời gian vào: 2026-01-09 13:34:56</t>
  </si>
  <si>
    <t>Thời gian ra: 2026-01-09 18:29:29</t>
  </si>
  <si>
    <t>Thời lượng theo dõi:295 phút</t>
  </si>
  <si>
    <t>Thời gian vào: 2026-01-12 08:43:22</t>
  </si>
  <si>
    <t>Thời gian ra: 2026-01-12 18:43:33</t>
  </si>
  <si>
    <t>Thời gian vào: 2026-01-13 08:47:30</t>
  </si>
  <si>
    <t>Thời gian ra: 2026-01-13 18:14:57</t>
  </si>
  <si>
    <t>Thời gian vào: 2026-01-14 09:03:55</t>
  </si>
  <si>
    <t>Thời gian ra: 2026-01-14 18:49:51</t>
  </si>
  <si>
    <t>Thời gian vào: 2026-01-15 08:46:03</t>
  </si>
  <si>
    <t>Thời gian ra: 2026-01-15 18:09:13</t>
  </si>
  <si>
    <t>Thời gian vào: 2026-01-16 13:34:31</t>
  </si>
  <si>
    <t>Thời gian ra: 2026-01-16 18:14:53</t>
  </si>
  <si>
    <t>Thời gian vào: 2026-01-19 17:19:44</t>
  </si>
  <si>
    <t>Thời gian vào: 2026-01-20 08:47:33</t>
  </si>
  <si>
    <t>Thời gian ra: 2026-01-20 18:52:54</t>
  </si>
  <si>
    <t>Thời gian vào: 2026-01-21 08:45:17</t>
  </si>
  <si>
    <t>Thời gian ra: 2026-01-21 18:53:57</t>
  </si>
  <si>
    <t>Thời gian vào: 2026-01-22 08:58:33</t>
  </si>
  <si>
    <t>Thời gian ra: 2026-01-22 18:51:55</t>
  </si>
  <si>
    <t>Thời gian vào: 2026-01-23 09:17:44</t>
  </si>
  <si>
    <t>Thời gian ra: 2026-01-23 18:30:53</t>
  </si>
  <si>
    <t>Thời gian vào: 2026-01-26 09:02:07</t>
  </si>
  <si>
    <t>Thời gian ra: 2026-01-26 18:14:46</t>
  </si>
  <si>
    <t>Thời gian vào: 2026-01-27 08:52:28</t>
  </si>
  <si>
    <t>Thời gian ra: 2026-01-27 18:22:55</t>
  </si>
  <si>
    <t>Thời gian vào: 2026-01-28 08:58:48</t>
  </si>
  <si>
    <t>Thời gian ra: 2026-01-28 18:52:35</t>
  </si>
  <si>
    <t>Thời gian vào: 2026-01-29 18:54:12</t>
  </si>
  <si>
    <t>Thời gian vào: 2026-01-30 09:08:34</t>
  </si>
  <si>
    <t>Thời gian ra: 2026-01-30 18:53:14</t>
  </si>
  <si>
    <t>Đặng Đức Lịch</t>
  </si>
  <si>
    <t>Thời gian vào: 2026-01-05 18:01:48</t>
  </si>
  <si>
    <t>Thời gian ra: 2026-01-05 18:01:59</t>
  </si>
  <si>
    <t>Thời gian vào: 2026-01-07 13:49:57</t>
  </si>
  <si>
    <t>Thời gian vào: 2026-01-08 16:18:27</t>
  </si>
  <si>
    <t>Thời gian ra: 2026-01-08 18:52:05</t>
  </si>
  <si>
    <t>Thời gian vào: 2026-01-09 17:43:51</t>
  </si>
  <si>
    <t>Thời gian ra: 2026-01-09 17:43:56</t>
  </si>
  <si>
    <t>Thời gian vào: 2026-01-10 14:13:22</t>
  </si>
  <si>
    <t>Thời gian ra: 2026-01-10 14:13:36</t>
  </si>
  <si>
    <t>Thời gian vào: 2026-01-13 08:21:52</t>
  </si>
  <si>
    <t>Thời gian ra: 2026-01-13 19:05:38</t>
  </si>
  <si>
    <t>Thời lượng theo dõi:644 phút</t>
  </si>
  <si>
    <t>Thời gian vào: 2026-01-14 08:44:11</t>
  </si>
  <si>
    <t>Thời gian ra: 2026-01-14 17:00:05</t>
  </si>
  <si>
    <t>Thời gian vào: 2026-01-15 07:39:58</t>
  </si>
  <si>
    <t>Thời gian ra: 2026-01-15 11:48:58</t>
  </si>
  <si>
    <t>Thời gian vào: 2026-01-16 11:30:32</t>
  </si>
  <si>
    <t>Thời gian ra: 2026-01-16 11:30:50</t>
  </si>
  <si>
    <t>Thời gian vào: 2026-01-19 13:25:37</t>
  </si>
  <si>
    <t>Thời gian ra: 2026-01-19 15:36:37</t>
  </si>
  <si>
    <t>Thời lượng theo dõi:131 phút</t>
  </si>
  <si>
    <t>Thời gian vào: 2026-01-20 12:28:05</t>
  </si>
  <si>
    <t>Thời gian vào: 2026-01-21 13:49:19</t>
  </si>
  <si>
    <t>Thời gian ra: 2026-01-21 13:51:54</t>
  </si>
  <si>
    <t>Thời lượng theo dõi:3 phút</t>
  </si>
  <si>
    <t>Thời gian vào: 2026-01-26 18:21:01</t>
  </si>
  <si>
    <t>Thời gian vào: 2026-01-29 17:59:29</t>
  </si>
  <si>
    <t>Thời gian ra: 2026-01-29 20:10:23</t>
  </si>
  <si>
    <t>Thời gian vào: 2026-01-05 08:29:40</t>
  </si>
  <si>
    <t>Thời gian ra: 2026-01-05 18:18:24</t>
  </si>
  <si>
    <t>Thời gian vào: 2026-01-06 09:50:14</t>
  </si>
  <si>
    <t>Thời gian ra: 2026-01-06 18:17:41</t>
  </si>
  <si>
    <t>Thời lượng theo dõi:507 phút</t>
  </si>
  <si>
    <t>Thời gian vào: 2026-01-07 08:40:16</t>
  </si>
  <si>
    <t>Thời gian ra: 2026-01-07 18:21:32</t>
  </si>
  <si>
    <t>Thời gian vào: 2026-01-08 08:41:08</t>
  </si>
  <si>
    <t>Thời gian ra: 2026-01-08 11:53:46</t>
  </si>
  <si>
    <t>Thời lượng theo dõi:193 phút</t>
  </si>
  <si>
    <t>Vu Duy Anh</t>
  </si>
  <si>
    <t>Nguyễn Văn Sơn</t>
  </si>
  <si>
    <t>Nguyễn Duy Hưng</t>
  </si>
  <si>
    <t>Thời gian vào: 2026-01-05 14:49:55</t>
  </si>
  <si>
    <t>Lê Đăng Minh Đạt</t>
  </si>
  <si>
    <t>Thời gian vào: 2026-01-05 11:50:40</t>
  </si>
  <si>
    <t>Thời gian ra: 2026-01-05 16:19:11</t>
  </si>
  <si>
    <t>Thời gian vào: 2026-01-12 17:04:45</t>
  </si>
  <si>
    <t>Đào Hà Phương</t>
  </si>
  <si>
    <t>Thời gian vào: 2026-01-02 08:24:06</t>
  </si>
  <si>
    <t>Thời gian ra: 2026-01-02 18:09:35</t>
  </si>
  <si>
    <t>Thời gian vào: 2026-01-05 08:17:02</t>
  </si>
  <si>
    <t>Thời gian ra: 2026-01-05 18:20:24</t>
  </si>
  <si>
    <t>Thời gian vào: 2026-01-06 08:43:39</t>
  </si>
  <si>
    <t>Thời gian ra: 2026-01-06 18:23:50</t>
  </si>
  <si>
    <t>Thời gian vào: 2026-01-07 08:29:55</t>
  </si>
  <si>
    <t>Thời gian ra: 2026-01-07 18:25:38</t>
  </si>
  <si>
    <t>Thời gian vào: 2026-01-08 08:25:02</t>
  </si>
  <si>
    <t>Thời gian ra: 2026-01-08 18:13:37</t>
  </si>
  <si>
    <t>Thời gian vào: 2026-01-09 18:16:44</t>
  </si>
  <si>
    <t>Thời gian vào: 2026-01-12 08:31:24</t>
  </si>
  <si>
    <t>Thời gian ra: 2026-01-12 18:45:27</t>
  </si>
  <si>
    <t>Thời gian vào: 2026-01-13 08:22:19</t>
  </si>
  <si>
    <t>Thời gian ra: 2026-01-13 18:06:55</t>
  </si>
  <si>
    <t>Thời gian vào: 2026-01-14 08:21:59</t>
  </si>
  <si>
    <t>Thời gian ra: 2026-01-14 18:12:37</t>
  </si>
  <si>
    <t>Thời gian vào: 2026-01-15 08:24:39</t>
  </si>
  <si>
    <t>Thời gian ra: 2026-01-15 18:11:24</t>
  </si>
  <si>
    <t>Thời gian vào: 2026-01-16 09:36:37</t>
  </si>
  <si>
    <t>Thời gian ra: 2026-01-16 18:16:38</t>
  </si>
  <si>
    <t>Thời gian vào: 2026-01-19 08:23:24</t>
  </si>
  <si>
    <t>Thời gian ra: 2026-01-19 18:16:13</t>
  </si>
  <si>
    <t>Thời gian vào: 2026-01-20 08:23:48</t>
  </si>
  <si>
    <t>Thời gian ra: 2026-01-20 18:10:16</t>
  </si>
  <si>
    <t>Thời gian vào: 2026-01-21 09:43:07</t>
  </si>
  <si>
    <t>Thời gian ra: 2026-01-21 18:06:47</t>
  </si>
  <si>
    <t>Thời gian vào: 2026-01-22 08:26:15</t>
  </si>
  <si>
    <t>Thời gian ra: 2026-01-22 18:21:18</t>
  </si>
  <si>
    <t>Thời gian vào: 2026-01-23 08:23:54</t>
  </si>
  <si>
    <t>Thời gian ra: 2026-01-23 12:00:05</t>
  </si>
  <si>
    <t>Thời gian vào: 2026-01-26 08:27:49</t>
  </si>
  <si>
    <t>Thời gian ra: 2026-01-26 18:07:21</t>
  </si>
  <si>
    <t>Thời gian vào: 2026-01-27 08:22:19</t>
  </si>
  <si>
    <t>Thời gian ra: 2026-01-27 18:10:08</t>
  </si>
  <si>
    <t>Thời gian vào: 2026-01-28 08:21:48</t>
  </si>
  <si>
    <t>Thời gian ra: 2026-01-28 18:12:28</t>
  </si>
  <si>
    <t>Thời gian vào: 2026-01-29 08:26:07</t>
  </si>
  <si>
    <t>Thời gian ra: 2026-01-29 18:06:05</t>
  </si>
  <si>
    <t>Thời gian vào: 2026-01-30 12:43:25</t>
  </si>
  <si>
    <t>Thời gian ra: 2026-01-30 18:19:20</t>
  </si>
  <si>
    <t>Thời lượng theo dõi:336 phút</t>
  </si>
  <si>
    <t>Võ Thị Vân Hà</t>
  </si>
  <si>
    <t>Thời gian vào: 2026-01-05 08:46:21</t>
  </si>
  <si>
    <t>Thời gian ra: 2026-01-05 18:19:51</t>
  </si>
  <si>
    <t>Thời gian vào: 2026-01-06 09:14:52</t>
  </si>
  <si>
    <t>Thời gian ra: 2026-01-06 19:42:08</t>
  </si>
  <si>
    <t>Thời gian vào: 2026-01-07 08:57:38</t>
  </si>
  <si>
    <t>Thời gian ra: 2026-01-07 19:55:05</t>
  </si>
  <si>
    <t>Thời gian vào: 2026-01-08 09:14:07</t>
  </si>
  <si>
    <t>Thời gian ra: 2026-01-08 12:10:02</t>
  </si>
  <si>
    <t>Thời lượng theo dõi:176 phút</t>
  </si>
  <si>
    <t>Thời gian vào: 2026-01-09 09:16:08</t>
  </si>
  <si>
    <t>Thời gian ra: 2026-01-09 18:54:27</t>
  </si>
  <si>
    <t>Thời gian vào: 2026-01-10 09:24:19</t>
  </si>
  <si>
    <t>Thời gian ra: 2026-01-10 18:46:06</t>
  </si>
  <si>
    <t>Thời gian vào: 2026-01-12 08:55:58</t>
  </si>
  <si>
    <t>Thời gian ra: 2026-01-12 18:34:05</t>
  </si>
  <si>
    <t>Thời gian vào: 2026-01-13 09:07:46</t>
  </si>
  <si>
    <t>Thời gian ra: 2026-01-13 18:57:17</t>
  </si>
  <si>
    <t>Thời gian vào: 2026-01-14 08:51:06</t>
  </si>
  <si>
    <t>Thời gian ra: 2026-01-14 19:25:08</t>
  </si>
  <si>
    <t>Thời gian vào: 2026-01-15 09:17:17</t>
  </si>
  <si>
    <t>Thời gian ra: 2026-01-15 18:56:26</t>
  </si>
  <si>
    <t>Thời gian vào: 2026-01-16 09:21:03</t>
  </si>
  <si>
    <t>Thời gian ra: 2026-01-16 18:59:47</t>
  </si>
  <si>
    <t>Thời gian vào: 2026-01-19 09:41:42</t>
  </si>
  <si>
    <t>Thời gian ra: 2026-01-19 18:53:36</t>
  </si>
  <si>
    <t>Thời gian vào: 2026-01-20 09:02:59</t>
  </si>
  <si>
    <t>Thời gian ra: 2026-01-20 18:12:15</t>
  </si>
  <si>
    <t>Thời gian vào: 2026-01-21 08:52:01</t>
  </si>
  <si>
    <t>Thời gian ra: 2026-01-21 19:36:03</t>
  </si>
  <si>
    <t>Thời gian vào: 2026-01-22 08:53:25</t>
  </si>
  <si>
    <t>Thời gian ra: 2026-01-22 18:12:36</t>
  </si>
  <si>
    <t>Thời gian vào: 2026-01-23 09:53:24</t>
  </si>
  <si>
    <t>Thời gian ra: 2026-01-23 18:46:05</t>
  </si>
  <si>
    <t>Thời gian vào: 2026-01-26 08:41:53</t>
  </si>
  <si>
    <t>Thời gian ra: 2026-01-26 18:14:54</t>
  </si>
  <si>
    <t>Thời gian vào: 2026-01-27 09:07:07</t>
  </si>
  <si>
    <t>Thời gian ra: 2026-01-27 18:33:36</t>
  </si>
  <si>
    <t>Thời gian vào: 2026-01-28 09:00:27</t>
  </si>
  <si>
    <t>Thời gian ra: 2026-01-28 18:54:45</t>
  </si>
  <si>
    <t>Lê Phương Linh</t>
  </si>
  <si>
    <t>Thời gian vào: 2026-01-06 08:49:21</t>
  </si>
  <si>
    <t>Thời gian ra: 2026-01-06 18:41:13</t>
  </si>
  <si>
    <t>Thời gian vào: 2026-01-07 08:56:36</t>
  </si>
  <si>
    <t>Thời gian ra: 2026-01-07 19:35:13</t>
  </si>
  <si>
    <t>Thời gian vào: 2026-01-08 09:18:46</t>
  </si>
  <si>
    <t>Thời gian ra: 2026-01-08 18:12:33</t>
  </si>
  <si>
    <t>Thời gian vào: 2026-01-09 08:35:06</t>
  </si>
  <si>
    <t>Thời gian ra: 2026-01-09 19:47:44</t>
  </si>
  <si>
    <t>Thời gian vào: 2026-01-13 08:59:54</t>
  </si>
  <si>
    <t>Thời gian ra: 2026-01-13 18:13:57</t>
  </si>
  <si>
    <t>Thời gian vào: 2026-01-14 08:56:48</t>
  </si>
  <si>
    <t>Thời gian ra: 2026-01-14 18:17:27</t>
  </si>
  <si>
    <t>Thời gian ra: 2026-01-15 18:18:08</t>
  </si>
  <si>
    <t>Thời gian vào: 2026-01-16 09:10:10</t>
  </si>
  <si>
    <t>Thời gian ra: 2026-01-16 18:18:32</t>
  </si>
  <si>
    <t>Thời gian vào: 2026-01-19 08:57:08</t>
  </si>
  <si>
    <t>Thời gian ra: 2026-01-19 18:31:35</t>
  </si>
  <si>
    <t>Thời gian vào: 2026-01-20 08:59:40</t>
  </si>
  <si>
    <t>Thời gian ra: 2026-01-20 18:11:01</t>
  </si>
  <si>
    <t>Thời gian vào: 2026-01-21 08:50:17</t>
  </si>
  <si>
    <t>Thời gian ra: 2026-01-21 18:06:55</t>
  </si>
  <si>
    <t>Thời gian vào: 2026-01-22 08:58:55</t>
  </si>
  <si>
    <t>Thời gian ra: 2026-01-22 18:08:54</t>
  </si>
  <si>
    <t>Thời gian vào: 2026-01-23 09:09:36</t>
  </si>
  <si>
    <t>Thời gian ra: 2026-01-23 18:06:57</t>
  </si>
  <si>
    <t>Thời gian vào: 2026-01-26 09:06:34</t>
  </si>
  <si>
    <t>Thời gian ra: 2026-01-26 18:19:36</t>
  </si>
  <si>
    <t>Thời gian vào: 2026-01-27 08:54:54</t>
  </si>
  <si>
    <t>Thời gian ra: 2026-01-27 18:14:25</t>
  </si>
  <si>
    <t>Thời gian vào: 2026-01-28 08:51:14</t>
  </si>
  <si>
    <t>Thời gian ra: 2026-01-28 18:03:56</t>
  </si>
  <si>
    <t>Thời gian vào: 2026-01-29 08:54:41</t>
  </si>
  <si>
    <t>Thời gian ra: 2026-01-29 18:13:44</t>
  </si>
  <si>
    <t>Thời gian vào: 2026-01-30 09:01:42</t>
  </si>
  <si>
    <t>Thời gian ra: 2026-01-30 18:12:01</t>
  </si>
  <si>
    <t>Thời gian vào: 2026-01-12 08:29:41</t>
  </si>
  <si>
    <t>Thời gian vào: 2026-01-19 08:25:32</t>
  </si>
  <si>
    <t>Thời gian ra: 2026-01-19 12:37:14</t>
  </si>
  <si>
    <t>Thời lượng theo dõi:252 phút</t>
  </si>
  <si>
    <t>Thời gian vào: 2026-01-26 08:29:31</t>
  </si>
  <si>
    <t>Thời gian vào: 2026-01-28 08:22:54</t>
  </si>
  <si>
    <t>Vũ Trung Kiên</t>
  </si>
  <si>
    <t>Thời gian vào: 2026-01-05 08:29:29</t>
  </si>
  <si>
    <t>Thời gian ra: 2026-01-05 18:10:13</t>
  </si>
  <si>
    <t>Thời gian vào: 2026-01-06 08:23:41</t>
  </si>
  <si>
    <t>Thời gian ra: 2026-01-06 18:02:49</t>
  </si>
  <si>
    <t>Thời gian vào: 2026-01-07 08:28:35</t>
  </si>
  <si>
    <t>Thời gian ra: 2026-01-07 18:15:33</t>
  </si>
  <si>
    <t>Thời gian vào: 2026-01-08 08:29:21</t>
  </si>
  <si>
    <t>Thời gian ra: 2026-01-08 18:08:09</t>
  </si>
  <si>
    <t>Thời gian vào: 2026-01-12 08:29:14</t>
  </si>
  <si>
    <t>Thời gian ra: 2026-01-12 18:14:30</t>
  </si>
  <si>
    <t>Thời gian vào: 2026-01-13 08:29:03</t>
  </si>
  <si>
    <t>Thời gian ra: 2026-01-13 18:03:04</t>
  </si>
  <si>
    <t>Thời gian vào: 2026-01-14 08:29:29</t>
  </si>
  <si>
    <t>Thời gian ra: 2026-01-14 18:09:14</t>
  </si>
  <si>
    <t>Thời gian vào: 2026-01-15 08:29:32</t>
  </si>
  <si>
    <t>Thời gian ra: 2026-01-15 18:26:49</t>
  </si>
  <si>
    <t>Thời gian vào: 2026-01-19 08:16:35</t>
  </si>
  <si>
    <t>Thời gian ra: 2026-01-19 18:18:34</t>
  </si>
  <si>
    <t>Thời gian vào: 2026-01-20 08:16:44</t>
  </si>
  <si>
    <t>Thời gian ra: 2026-01-20 17:31:55</t>
  </si>
  <si>
    <t>Thời gian vào: 2026-01-21 08:17:58</t>
  </si>
  <si>
    <t>Thời gian ra: 2026-01-21 18:11:46</t>
  </si>
  <si>
    <t>Thời gian vào: 2026-01-22 08:15:28</t>
  </si>
  <si>
    <t>Thời gian ra: 2026-01-22 18:10:45</t>
  </si>
  <si>
    <t>Thời gian vào: 2026-01-26 08:15:35</t>
  </si>
  <si>
    <t>Thời gian ra: 2026-01-26 18:15:18</t>
  </si>
  <si>
    <t>Thời gian vào: 2026-01-27 08:30:03</t>
  </si>
  <si>
    <t>Thời gian ra: 2026-01-27 18:08:24</t>
  </si>
  <si>
    <t>Thời gian vào: 2026-01-28 08:22:28</t>
  </si>
  <si>
    <t>Thời gian ra: 2026-01-28 18:10:30</t>
  </si>
  <si>
    <t>Thời gian vào: 2026-01-29 08:30:35</t>
  </si>
  <si>
    <t>Thời gian ra: 2026-01-29 17:01:26</t>
  </si>
  <si>
    <t>Thời lượng theo dõi:511 phút</t>
  </si>
  <si>
    <t>Đặng Thị Thảo</t>
  </si>
  <si>
    <t>Thời gian vào: 2026-01-05 08:35:47</t>
  </si>
  <si>
    <t>Thời gian ra: 2026-01-05 18:18:12</t>
  </si>
  <si>
    <t>Thời gian vào: 2026-01-06 08:30:54</t>
  </si>
  <si>
    <t>Thời gian ra: 2026-01-06 18:18:12</t>
  </si>
  <si>
    <t>Thời gian vào: 2026-01-07 08:33:17</t>
  </si>
  <si>
    <t>Thời gian ra: 2026-01-07 18:07:46</t>
  </si>
  <si>
    <t>Thời gian vào: 2026-01-08 08:25:00</t>
  </si>
  <si>
    <t>Thời gian ra: 2026-01-08 18:07:28</t>
  </si>
  <si>
    <t>Thời gian vào: 2026-01-09 08:36:02</t>
  </si>
  <si>
    <t>Thời gian ra: 2026-01-09 18:14:47</t>
  </si>
  <si>
    <t>Thời gian vào: 2026-01-12 08:35:53</t>
  </si>
  <si>
    <t>Thời gian ra: 2026-01-12 18:11:11</t>
  </si>
  <si>
    <t>Thời gian vào: 2026-01-13 08:39:58</t>
  </si>
  <si>
    <t>Thời gian ra: 2026-01-13 18:11:11</t>
  </si>
  <si>
    <t>Thời gian vào: 2026-01-14 08:42:27</t>
  </si>
  <si>
    <t>Thời gian ra: 2026-01-14 16:43:43</t>
  </si>
  <si>
    <t>Thời gian vào: 2026-01-16 08:45:51</t>
  </si>
  <si>
    <t>Thời gian ra: 2026-01-16 17:47:31</t>
  </si>
  <si>
    <t>Thời gian vào: 2026-01-20 08:43:47</t>
  </si>
  <si>
    <t>Thời gian vào: 2026-01-21 08:40:31</t>
  </si>
  <si>
    <t>Thời gian ra: 2026-01-21 17:39:55</t>
  </si>
  <si>
    <t>Thời gian vào: 2026-01-22 08:42:47</t>
  </si>
  <si>
    <t>Thời gian ra: 2026-01-22 18:15:31</t>
  </si>
  <si>
    <t>Thời gian vào: 2026-01-23 08:45:28</t>
  </si>
  <si>
    <t>Thời gian ra: 2026-01-23 17:36:17</t>
  </si>
  <si>
    <t>Thời gian vào: 2026-01-26 08:35:26</t>
  </si>
  <si>
    <t>Thời gian ra: 2026-01-26 18:11:11</t>
  </si>
  <si>
    <t>Thời gian vào: 2026-01-27 08:45:00</t>
  </si>
  <si>
    <t>Thời gian ra: 2026-01-27 17:40:57</t>
  </si>
  <si>
    <t>Thời gian vào: 2026-01-28 08:44:45</t>
  </si>
  <si>
    <t>Thời gian ra: 2026-01-28 17:34:13</t>
  </si>
  <si>
    <t>Thời gian vào: 2026-01-29 08:26:19</t>
  </si>
  <si>
    <t>Thời gian ra: 2026-01-29 17:56:17</t>
  </si>
  <si>
    <t>Thời gian vào: 2026-01-30 08:40:24</t>
  </si>
  <si>
    <t>Thời gian ra: 2026-01-30 08:46:07</t>
  </si>
  <si>
    <t>Thời lượng theo dõi:6 phút</t>
  </si>
  <si>
    <t>Trần Hà Chi</t>
  </si>
  <si>
    <t>Thời gian vào: 2026-01-05 08:48:42</t>
  </si>
  <si>
    <t>Thời gian ra: 2026-01-05 19:06:14</t>
  </si>
  <si>
    <t>Thời gian vào: 2026-01-06 08:45:38</t>
  </si>
  <si>
    <t>Thời gian ra: 2026-01-06 18:33:36</t>
  </si>
  <si>
    <t>Thời gian vào: 2026-01-07 08:50:20</t>
  </si>
  <si>
    <t>Thời gian ra: 2026-01-07 18:20:17</t>
  </si>
  <si>
    <t>Thời gian vào: 2026-01-08 08:48:28</t>
  </si>
  <si>
    <t>Thời gian ra: 2026-01-08 18:33:34</t>
  </si>
  <si>
    <t>Thời gian vào: 2026-01-09 08:40:49</t>
  </si>
  <si>
    <t>Thời gian ra: 2026-01-09 18:19:25</t>
  </si>
  <si>
    <t>Thời gian vào: 2026-01-10 08:45:05</t>
  </si>
  <si>
    <t>Thời gian ra: 2026-01-10 18:39:19</t>
  </si>
  <si>
    <t>Thời gian vào: 2026-01-12 08:48:44</t>
  </si>
  <si>
    <t>Thời gian ra: 2026-01-12 18:17:49</t>
  </si>
  <si>
    <t>Thời gian vào: 2026-01-13 08:43:14</t>
  </si>
  <si>
    <t>Thời gian ra: 2026-01-13 18:24:51</t>
  </si>
  <si>
    <t>Thời gian vào: 2026-01-14 08:53:11</t>
  </si>
  <si>
    <t>Thời gian ra: 2026-01-14 18:17:36</t>
  </si>
  <si>
    <t>Thời gian vào: 2026-01-15 08:50:00</t>
  </si>
  <si>
    <t>Thời gian ra: 2026-01-15 18:33:03</t>
  </si>
  <si>
    <t>Thời gian vào: 2026-01-16 08:50:06</t>
  </si>
  <si>
    <t>Thời gian ra: 2026-01-16 18:41:52</t>
  </si>
  <si>
    <t>Thời gian vào: 2026-01-19 08:51:29</t>
  </si>
  <si>
    <t>Thời gian ra: 2026-01-19 18:15:59</t>
  </si>
  <si>
    <t>Thời gian vào: 2026-01-20 08:50:57</t>
  </si>
  <si>
    <t>Thời gian ra: 2026-01-20 18:10:05</t>
  </si>
  <si>
    <t>Thời gian vào: 2026-01-21 08:51:59</t>
  </si>
  <si>
    <t>Thời gian ra: 2026-01-21 18:11:38</t>
  </si>
  <si>
    <t>Thời gian vào: 2026-01-22 08:50:36</t>
  </si>
  <si>
    <t>Thời gian ra: 2026-01-22 18:13:10</t>
  </si>
  <si>
    <t>Thời gian vào: 2026-01-23 08:52:58</t>
  </si>
  <si>
    <t>Thời gian ra: 2026-01-23 18:45:51</t>
  </si>
  <si>
    <t>Thời gian vào: 2026-01-26 09:04:49</t>
  </si>
  <si>
    <t>Thời gian ra: 2026-01-26 18:14:49</t>
  </si>
  <si>
    <t>Thời gian vào: 2026-01-27 08:48:09</t>
  </si>
  <si>
    <t>Thời gian ra: 2026-01-27 18:14:21</t>
  </si>
  <si>
    <t>Thời gian vào: 2026-01-29 08:58:28</t>
  </si>
  <si>
    <t>Thời gian ra: 2026-01-29 18:11:45</t>
  </si>
  <si>
    <t>Thời gian vào: 2026-01-30 08:58:46</t>
  </si>
  <si>
    <t>Thời gian ra: 2026-01-30 18:52:38</t>
  </si>
  <si>
    <t>Nguyễn Châm Anh</t>
  </si>
  <si>
    <t>Thời gian vào: 2026-01-05 12:01:25</t>
  </si>
  <si>
    <t>Thời gian ra: 2026-01-05 14:01:46</t>
  </si>
  <si>
    <t>Thời lượng theo dõi:120 phút</t>
  </si>
  <si>
    <t>Thời gian vào: 2026-01-06 15:20:21</t>
  </si>
  <si>
    <t>Thời gian ra: 2026-01-06 15:20:23</t>
  </si>
  <si>
    <t>Thời gian vào: 2026-01-07 12:48:47</t>
  </si>
  <si>
    <t>Thời gian ra: 2026-01-07 19:33:17</t>
  </si>
  <si>
    <t>Thời gian vào: 2026-01-08 10:48:16</t>
  </si>
  <si>
    <t>Thời gian ra: 2026-01-08 12:05:45</t>
  </si>
  <si>
    <t>Thời lượng theo dõi:77 phút</t>
  </si>
  <si>
    <t>Thời gian vào: 2026-01-09 18:19:31</t>
  </si>
  <si>
    <t>Thời gian ra: 2026-01-09 18:20:53</t>
  </si>
  <si>
    <t>Thời gian vào: 2026-01-10 12:05:01</t>
  </si>
  <si>
    <t>Thời gian ra: 2026-01-10 15:14:37</t>
  </si>
  <si>
    <t>Thời lượng theo dõi:190 phút</t>
  </si>
  <si>
    <t>Thời gian vào: 2026-01-12 12:30:40</t>
  </si>
  <si>
    <t>Thời gian ra: 2026-01-12 16:26:44</t>
  </si>
  <si>
    <t>Thời gian vào: 2026-01-15 07:01:59</t>
  </si>
  <si>
    <t>Thời gian ra: 2026-01-15 14:10:13</t>
  </si>
  <si>
    <t>Thời lượng theo dõi:428 phút</t>
  </si>
  <si>
    <t>Thời gian vào: 2026-01-22 19:39:04</t>
  </si>
  <si>
    <t>Thời gian vào: 2026-01-24 20:36:11</t>
  </si>
  <si>
    <t>Thời gian ra: 2026-01-24 20:37:15</t>
  </si>
  <si>
    <t>Thời gian vào: 2026-01-26 18:34:30</t>
  </si>
  <si>
    <t>Thời gian vào: 2026-01-29 12:07:31</t>
  </si>
  <si>
    <t>Thời gian ra: 2026-01-29 13:51:15</t>
  </si>
  <si>
    <t>Thời gian vào: 2026-01-30 12:17:36</t>
  </si>
  <si>
    <t>Thời gian ra: 2026-01-30 16:45:10</t>
  </si>
  <si>
    <t>Thời lượng theo dõi:268 phút</t>
  </si>
  <si>
    <t>Trần Lưu Huyền</t>
  </si>
  <si>
    <t>Nguyễn Đắc Tuệ</t>
  </si>
  <si>
    <t>Thời gian vào: 2026-01-05 08:27:27</t>
  </si>
  <si>
    <t>Thời gian ra: 2026-01-05 18:08:46</t>
  </si>
  <si>
    <t>Thời gian vào: 2026-01-06 08:23:22</t>
  </si>
  <si>
    <t>Thời gian ra: 2026-01-06 18:10:02</t>
  </si>
  <si>
    <t>Thời gian vào: 2026-01-07 08:47:07</t>
  </si>
  <si>
    <t>Thời gian ra: 2026-01-07 18:12:10</t>
  </si>
  <si>
    <t>Thời gian vào: 2026-01-08 08:38:25</t>
  </si>
  <si>
    <t>Thời gian ra: 2026-01-08 18:12:17</t>
  </si>
  <si>
    <t>Thời gian vào: 2026-01-12 08:27:48</t>
  </si>
  <si>
    <t>Thời gian ra: 2026-01-12 18:09:01</t>
  </si>
  <si>
    <t>Thời gian vào: 2026-01-13 08:24:52</t>
  </si>
  <si>
    <t>Thời gian ra: 2026-01-13 18:06:13</t>
  </si>
  <si>
    <t>Thời gian vào: 2026-01-14 08:42:30</t>
  </si>
  <si>
    <t>Thời gian ra: 2026-01-14 18:05:18</t>
  </si>
  <si>
    <t>Thời gian vào: 2026-01-15 08:27:00</t>
  </si>
  <si>
    <t>Thời gian ra: 2026-01-15 18:11:21</t>
  </si>
  <si>
    <t>Thời gian vào: 2026-01-19 08:30:09</t>
  </si>
  <si>
    <t>Thời gian ra: 2026-01-19 18:15:34</t>
  </si>
  <si>
    <t>Thời gian vào: 2026-01-20 13:05:42</t>
  </si>
  <si>
    <t>Thời gian ra: 2026-01-20 18:28:30</t>
  </si>
  <si>
    <t>Thời gian vào: 2026-01-21 08:46:45</t>
  </si>
  <si>
    <t>Thời gian ra: 2026-01-21 18:38:28</t>
  </si>
  <si>
    <t>Thời gian vào: 2026-01-22 08:34:52</t>
  </si>
  <si>
    <t>Thời gian ra: 2026-01-22 18:14:22</t>
  </si>
  <si>
    <t>Thời gian vào: 2026-01-26 08:33:47</t>
  </si>
  <si>
    <t>Thời gian ra: 2026-01-26 18:26:46</t>
  </si>
  <si>
    <t>Thời gian vào: 2026-01-27 08:27:49</t>
  </si>
  <si>
    <t>Thời gian ra: 2026-01-27 18:06:39</t>
  </si>
  <si>
    <t>Thời gian vào: 2026-01-28 08:27:25</t>
  </si>
  <si>
    <t>Thời gian ra: 2026-01-28 18:08:58</t>
  </si>
  <si>
    <t>Thời gian vào: 2026-01-29 08:32:06</t>
  </si>
  <si>
    <t>Thời gian ra: 2026-01-29 12:12:47</t>
  </si>
  <si>
    <t>Thời lượng theo dõi:221 phút</t>
  </si>
  <si>
    <t>Nguyễn Xuân Hiếu</t>
  </si>
  <si>
    <t>Hoàng Ngọc Tuyền</t>
  </si>
  <si>
    <t>Thời gian vào: 2026-01-06 08:08:14</t>
  </si>
  <si>
    <t>Thời gian ra: 2026-01-06 18:02:10</t>
  </si>
  <si>
    <t>Thời gian vào: 2026-01-07 08:09:57</t>
  </si>
  <si>
    <t>Thời gian ra: 2026-01-07 18:01:46</t>
  </si>
  <si>
    <t>Thời gian vào: 2026-01-08 08:13:06</t>
  </si>
  <si>
    <t>Thời gian ra: 2026-01-08 18:01:34</t>
  </si>
  <si>
    <t>Thời gian vào: 2026-01-12 08:11:47</t>
  </si>
  <si>
    <t>Thời gian ra: 2026-01-12 18:01:40</t>
  </si>
  <si>
    <t>Thời gian vào: 2026-01-13 08:11:41</t>
  </si>
  <si>
    <t>Thời gian ra: 2026-01-13 18:02:58</t>
  </si>
  <si>
    <t>Thời gian vào: 2026-01-14 08:07:40</t>
  </si>
  <si>
    <t>Thời gian ra: 2026-01-14 18:01:32</t>
  </si>
  <si>
    <t>Thời gian vào: 2026-01-19 08:08:09</t>
  </si>
  <si>
    <t>Thời gian ra: 2026-01-19 18:01:28</t>
  </si>
  <si>
    <t>Thời gian vào: 2026-01-20 08:13:04</t>
  </si>
  <si>
    <t>Thời gian ra: 2026-01-20 18:02:25</t>
  </si>
  <si>
    <t>Thời gian vào: 2026-01-21 08:09:32</t>
  </si>
  <si>
    <t>Thời gian ra: 2026-01-21 18:01:12</t>
  </si>
  <si>
    <t>Thời gian vào: 2026-01-22 08:12:53</t>
  </si>
  <si>
    <t>Thời gian ra: 2026-01-22 18:01:51</t>
  </si>
  <si>
    <t>Thời gian vào: 2026-01-26 08:11:18</t>
  </si>
  <si>
    <t>Thời gian ra: 2026-01-26 18:01:50</t>
  </si>
  <si>
    <t>Thời gian vào: 2026-01-27 08:09:30</t>
  </si>
  <si>
    <t>Thời gian ra: 2026-01-27 18:01:57</t>
  </si>
  <si>
    <t>Thời gian vào: 2026-01-28 08:09:28</t>
  </si>
  <si>
    <t>Thời gian ra: 2026-01-28 18:01:02</t>
  </si>
  <si>
    <t>Thời gian vào: 2026-01-29 08:08:55</t>
  </si>
  <si>
    <t>Thời gian ra: 2026-01-29 18:01:57</t>
  </si>
  <si>
    <t>Total nhân sự trả lương tháng 9: 28</t>
  </si>
  <si>
    <t>BẢNG LƯƠNG THÁNG 09/2024</t>
  </si>
  <si>
    <t>Công thực tế T9</t>
  </si>
  <si>
    <t>Hiệu suất T9</t>
  </si>
  <si>
    <t>Hiệu suất T8</t>
  </si>
  <si>
    <t>Lương tháng 8</t>
  </si>
  <si>
    <t>Công tháng 8</t>
  </si>
  <si>
    <t>CL lương (T9-T8)</t>
  </si>
  <si>
    <r>
      <rPr>
        <sz val="9"/>
        <color indexed="25"/>
        <rFont val="Arial"/>
      </rPr>
      <t>Bùi Văn Điệp</t>
    </r>
  </si>
  <si>
    <t>CTY BSM LABS THANH TOAN LUONG T7.2024</t>
  </si>
  <si>
    <r>
      <rPr>
        <sz val="9"/>
        <color indexed="25"/>
        <rFont val="Arial"/>
      </rPr>
      <t>Nguyễn Ngọc Anh</t>
    </r>
  </si>
  <si>
    <t>02606600301</t>
  </si>
  <si>
    <r>
      <rPr>
        <sz val="9"/>
        <color indexed="25"/>
        <rFont val="Arial"/>
      </rPr>
      <t>Phan Thanh Tùng</t>
    </r>
  </si>
  <si>
    <t xml:space="preserve">CL phạt đi muộn </t>
  </si>
  <si>
    <t>PHAN THANH TUNG</t>
  </si>
  <si>
    <t>19036367351018</t>
  </si>
  <si>
    <r>
      <rPr>
        <sz val="9"/>
        <color indexed="25"/>
        <rFont val="Arial"/>
      </rPr>
      <t>Nguyễn Ngọc Lê</t>
    </r>
  </si>
  <si>
    <t>NGUYEN NGOC LE</t>
  </si>
  <si>
    <t>0011004317492</t>
  </si>
  <si>
    <t>OFF</t>
  </si>
  <si>
    <r>
      <rPr>
        <sz val="9"/>
        <color indexed="25"/>
        <rFont val="Arial"/>
      </rPr>
      <t>Nguyễn Hồng Nhung</t>
    </r>
  </si>
  <si>
    <t>CL ngày công</t>
  </si>
  <si>
    <t>NGUYEN HONG NHUNG</t>
  </si>
  <si>
    <t>239748449</t>
  </si>
  <si>
    <r>
      <rPr>
        <sz val="9"/>
        <color indexed="25"/>
        <rFont val="Arial"/>
      </rPr>
      <t>Lê Hải Linh</t>
    </r>
  </si>
  <si>
    <t>CL phạt đi muộn</t>
  </si>
  <si>
    <r>
      <rPr>
        <sz val="9"/>
        <color indexed="25"/>
        <rFont val="Arial"/>
      </rPr>
      <t>Cao Nguyễn Nguyệt Linh</t>
    </r>
  </si>
  <si>
    <t>CAO NGUYEN NGUYET LINH</t>
  </si>
  <si>
    <t>19034300764013</t>
  </si>
  <si>
    <r>
      <rPr>
        <sz val="9"/>
        <color indexed="25"/>
        <rFont val="Arial"/>
      </rPr>
      <t xml:space="preserve">Thái Thanh Nhật Quang </t>
    </r>
  </si>
  <si>
    <r>
      <rPr>
        <sz val="9"/>
        <color indexed="25"/>
        <rFont val="Arial"/>
      </rPr>
      <t>Trần Minh Tuyết</t>
    </r>
  </si>
  <si>
    <t xml:space="preserve">Nguyễn Thị Thu Thảo </t>
  </si>
  <si>
    <t>Tester</t>
  </si>
  <si>
    <r>
      <rPr>
        <sz val="9"/>
        <color indexed="25"/>
        <rFont val="Arial"/>
      </rPr>
      <t xml:space="preserve">Nguyễn Thị Thu Thảo </t>
    </r>
  </si>
  <si>
    <t>NGUYEN THI THU THAO</t>
  </si>
  <si>
    <t>1014035653</t>
  </si>
  <si>
    <r>
      <rPr>
        <sz val="9"/>
        <color indexed="25"/>
        <rFont val="Arial"/>
      </rPr>
      <t xml:space="preserve">Nguyễn Hữu Tuấn Minh </t>
    </r>
  </si>
  <si>
    <t>CL do điều chỉnh tăng lương</t>
  </si>
  <si>
    <r>
      <rPr>
        <sz val="9"/>
        <color indexed="25"/>
        <rFont val="Arial"/>
      </rPr>
      <t>Đỗ Khánh Huyền</t>
    </r>
  </si>
  <si>
    <t>CL do điều chỉnh tăng lương+ĐC giảm lương T8 do tính nhầm lương NET sang Gross</t>
  </si>
  <si>
    <r>
      <rPr>
        <sz val="9"/>
        <color indexed="25"/>
        <rFont val="Arial"/>
      </rPr>
      <t>Nguyễn Tử Trường Lâm</t>
    </r>
  </si>
  <si>
    <r>
      <rPr>
        <sz val="9"/>
        <color indexed="25"/>
        <rFont val="Arial"/>
      </rPr>
      <t xml:space="preserve">Lê Anh Việt </t>
    </r>
  </si>
  <si>
    <t>CL ngày công thực tế đi làm</t>
  </si>
  <si>
    <t>LE ANH VIET</t>
  </si>
  <si>
    <t>170717</t>
  </si>
  <si>
    <t>A CHAU (ACB)-307</t>
  </si>
  <si>
    <r>
      <rPr>
        <sz val="9"/>
        <color indexed="25"/>
        <rFont val="Arial"/>
      </rPr>
      <t xml:space="preserve">Nguyễn Song Hà </t>
    </r>
  </si>
  <si>
    <r>
      <rPr>
        <sz val="9"/>
        <color indexed="25"/>
        <rFont val="Arial"/>
      </rPr>
      <t xml:space="preserve">Trần Thị Bảo Tâm </t>
    </r>
  </si>
  <si>
    <t>TRAN THI BAO TAM</t>
  </si>
  <si>
    <t>18729518888</t>
  </si>
  <si>
    <r>
      <rPr>
        <sz val="9"/>
        <color indexed="25"/>
        <rFont val="Arial"/>
      </rPr>
      <t xml:space="preserve">Phạm Đăng Bình </t>
    </r>
  </si>
  <si>
    <t>CL ngày công thực tế đi làm+ phạt đi muộn</t>
  </si>
  <si>
    <t xml:space="preserve">Phạm Thị Mỹ Duyên </t>
  </si>
  <si>
    <t>duyeneditorbsmlabs@gmail.com</t>
  </si>
  <si>
    <r>
      <rPr>
        <sz val="9"/>
        <color indexed="25"/>
        <rFont val="Arial"/>
      </rPr>
      <t xml:space="preserve">Phạm Thị Mỹ Duyên </t>
    </r>
  </si>
  <si>
    <t xml:space="preserve">Nguyễn Phương Ly </t>
  </si>
  <si>
    <r>
      <rPr>
        <sz val="11"/>
        <color indexed="48"/>
        <rFont val="Google Sans"/>
      </rPr>
      <t>phuongly.bsmlabs@gmail.com</t>
    </r>
  </si>
  <si>
    <r>
      <rPr>
        <sz val="9"/>
        <color indexed="25"/>
        <rFont val="Arial"/>
      </rPr>
      <t xml:space="preserve">Nguyễn Phương Ly </t>
    </r>
  </si>
  <si>
    <t>T8 có 3 công, T9 đủ công</t>
  </si>
  <si>
    <t>anhnguyen.bsmlabs@gmail.com</t>
  </si>
  <si>
    <t xml:space="preserve">QC Lead  </t>
  </si>
  <si>
    <r>
      <rPr>
        <sz val="9"/>
        <color indexed="25"/>
        <rFont val="Arial"/>
      </rPr>
      <t>Nguyễn Thị Ngọc Ánh</t>
    </r>
  </si>
  <si>
    <t>Nhân sự mới T9</t>
  </si>
  <si>
    <t xml:space="preserve">Bùi Thị Nam Trang </t>
  </si>
  <si>
    <t>namtrangbsmlabs@gmail.com</t>
  </si>
  <si>
    <t xml:space="preserve">Graphic Design </t>
  </si>
  <si>
    <r>
      <rPr>
        <sz val="9"/>
        <color indexed="25"/>
        <rFont val="Arial"/>
      </rPr>
      <t xml:space="preserve">Bùi Thị Nam Trang </t>
    </r>
  </si>
  <si>
    <r>
      <rPr>
        <sz val="9"/>
        <color indexed="25"/>
        <rFont val="Arial"/>
      </rPr>
      <t>Nguyễn Xuân Phong</t>
    </r>
  </si>
  <si>
    <t>T8 công ít hơn, nhưng T7 trừ đi muộn nhiều hơn</t>
  </si>
  <si>
    <r>
      <rPr>
        <sz val="9"/>
        <color indexed="25"/>
        <rFont val="Arial"/>
      </rPr>
      <t>Vương Tuấn Cường</t>
    </r>
  </si>
  <si>
    <t>T8 và T9 cùng ít hơn ngày công chuẩn 1 ngày, nhưng công chuẩn T8 và T9 khác nhau</t>
  </si>
  <si>
    <t>VUONG TUAN CUONG</t>
  </si>
  <si>
    <t>19072451339011</t>
  </si>
  <si>
    <r>
      <rPr>
        <sz val="9"/>
        <color indexed="25"/>
        <rFont val="Arial"/>
      </rPr>
      <t>Nguyễn Nam Anh</t>
    </r>
  </si>
  <si>
    <t>CL ngày công + Phạt đi muộn</t>
  </si>
  <si>
    <t>NGUYEN NAM ANH</t>
  </si>
  <si>
    <t>19036834245014</t>
  </si>
  <si>
    <t>phanhnp.bsmlabs@gmail.com</t>
  </si>
  <si>
    <r>
      <rPr>
        <sz val="9"/>
        <color indexed="25"/>
        <rFont val="Arial"/>
      </rPr>
      <t>Ngô Phương Anh</t>
    </r>
  </si>
  <si>
    <t>T8 và T9 cùng ít hơn ngày công chuẩn 1 ngày, nhưng công chuẩn T8 và T9 khác nhau + CL Phạt đi muộn</t>
  </si>
  <si>
    <t>NGO PHUONG ANH</t>
  </si>
  <si>
    <t>0982304341</t>
  </si>
  <si>
    <t xml:space="preserve">Nguyễn Gia Bình </t>
  </si>
  <si>
    <t>binhng.bsmlabs@gmail.com</t>
  </si>
  <si>
    <r>
      <rPr>
        <sz val="9"/>
        <color indexed="25"/>
        <rFont val="Arial"/>
      </rPr>
      <t xml:space="preserve">Nguyễn Gia Bình </t>
    </r>
  </si>
  <si>
    <t>CL công đi làm thực tế</t>
  </si>
  <si>
    <t xml:space="preserve">Tự trả </t>
  </si>
  <si>
    <t xml:space="preserve">Nguyễn Thị Duyên </t>
  </si>
  <si>
    <t>duyennguyen24.bsmlabs@gmail.com</t>
  </si>
  <si>
    <r>
      <rPr>
        <sz val="9"/>
        <color indexed="25"/>
        <rFont val="Arial"/>
      </rPr>
      <t xml:space="preserve">Nguyễn Thị Duyên </t>
    </r>
  </si>
  <si>
    <t>NGUYEN THI DUYEN</t>
  </si>
  <si>
    <t>19036086737014</t>
  </si>
  <si>
    <t xml:space="preserve">Phan Thị Nguyệt Ánh </t>
  </si>
  <si>
    <t>anhphan.bsmlabs@gmail.com</t>
  </si>
  <si>
    <r>
      <rPr>
        <sz val="9"/>
        <color indexed="25"/>
        <rFont val="Arial"/>
      </rPr>
      <t xml:space="preserve">Phan Thị Nguyệt Ánh </t>
    </r>
  </si>
  <si>
    <t xml:space="preserve">STT </t>
  </si>
  <si>
    <t>Attendance metrics</t>
  </si>
  <si>
    <t>Unusual data</t>
  </si>
  <si>
    <t>Leave summary</t>
  </si>
  <si>
    <t>Time</t>
  </si>
  <si>
    <t>Termination date</t>
  </si>
  <si>
    <t>Expected working days</t>
  </si>
  <si>
    <t>Expected working hours(hr)</t>
  </si>
  <si>
    <t>Workday attendance</t>
  </si>
  <si>
    <t>Non-workday attendance</t>
  </si>
  <si>
    <t>Number of days off</t>
  </si>
  <si>
    <t>Actual working hours(hr)</t>
  </si>
  <si>
    <t>Shift working hours(hr)</t>
  </si>
  <si>
    <t>Offsite working hours</t>
  </si>
  <si>
    <t>Late arrivals</t>
  </si>
  <si>
    <t>Duration of late arrivals(hr)</t>
  </si>
  <si>
    <t>Very late arrivals</t>
  </si>
  <si>
    <t>Duration of very late arrivals(hr)</t>
  </si>
  <si>
    <t>Early leaves</t>
  </si>
  <si>
    <t>Duration of early leaves(hr)</t>
  </si>
  <si>
    <t>Absence hours(hr)</t>
  </si>
  <si>
    <t>Missed clock-ins</t>
  </si>
  <si>
    <t>Missed clock-outs</t>
  </si>
  <si>
    <t>Absence days</t>
  </si>
  <si>
    <t>Business outside(days)</t>
  </si>
  <si>
    <t>Annual leave(days)</t>
  </si>
  <si>
    <t>Personal leave(days)</t>
  </si>
  <si>
    <t>Remote demand</t>
  </si>
  <si>
    <t>Late Request (đi muộn)(min)</t>
  </si>
  <si>
    <t>2024-09-01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</si>
  <si>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</si>
  <si>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</si>
  <si>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</si>
  <si>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</si>
  <si>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</si>
  <si>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</si>
  <si>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</si>
  <si>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</si>
  <si>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</si>
  <si>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</si>
  <si>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</si>
  <si>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</si>
  <si>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</si>
  <si>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</si>
  <si>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</si>
  <si>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</si>
  <si>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</si>
  <si>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</si>
  <si>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</si>
  <si>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</si>
  <si>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</si>
  <si>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</si>
  <si>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</si>
  <si>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Nguyen Hong Nhung</t>
  </si>
  <si>
    <t>20</t>
  </si>
  <si>
    <t>160.0</t>
  </si>
  <si>
    <t>10.8</t>
  </si>
  <si>
    <t>0</t>
  </si>
  <si>
    <t>10</t>
  </si>
  <si>
    <t>55.2</t>
  </si>
  <si>
    <t>54.5</t>
  </si>
  <si>
    <t>6</t>
  </si>
  <si>
    <t>3.8</t>
  </si>
  <si>
    <t>105.5</t>
  </si>
  <si>
    <t>5</t>
  </si>
  <si>
    <t>11</t>
  </si>
  <si>
    <t>4</t>
  </si>
  <si>
    <t>1</t>
  </si>
  <si>
    <t>90</t>
  </si>
  <si>
    <t>08:44,18:20</t>
  </si>
  <si>
    <t>08:45,18:18</t>
  </si>
  <si>
    <t>08:43</t>
  </si>
  <si>
    <t>18:15</t>
  </si>
  <si>
    <t>08:43,18:20</t>
  </si>
  <si>
    <t>08:45,18:20</t>
  </si>
  <si>
    <t>08:43,18:29</t>
  </si>
  <si>
    <t>Đỗ Huyền</t>
  </si>
  <si>
    <t>15.6</t>
  </si>
  <si>
    <t>132.3</t>
  </si>
  <si>
    <t>126.5</t>
  </si>
  <si>
    <t>33.5</t>
  </si>
  <si>
    <t>2</t>
  </si>
  <si>
    <t>2.5</t>
  </si>
  <si>
    <t>60</t>
  </si>
  <si>
    <t>08:40,18:18</t>
  </si>
  <si>
    <t>18:41</t>
  </si>
  <si>
    <t>08:40</t>
  </si>
  <si>
    <t>08:39,18:29</t>
  </si>
  <si>
    <t>08:45,19:30</t>
  </si>
  <si>
    <t>08:45,18:30</t>
  </si>
  <si>
    <t>08:41,18:30</t>
  </si>
  <si>
    <t>18:30</t>
  </si>
  <si>
    <t>08:44,19:20</t>
  </si>
  <si>
    <t>08:42,18:21</t>
  </si>
  <si>
    <t>08:45,18:15</t>
  </si>
  <si>
    <t>08:44,18:15</t>
  </si>
  <si>
    <t>remote chiều</t>
  </si>
  <si>
    <t>08:45,18:16</t>
  </si>
  <si>
    <t>08:40,18:46</t>
  </si>
  <si>
    <t>08:37,18:30</t>
  </si>
  <si>
    <t>08:41,18:37</t>
  </si>
  <si>
    <t>Vương Cường</t>
  </si>
  <si>
    <t>13.2</t>
  </si>
  <si>
    <t>111.5</t>
  </si>
  <si>
    <t>102.3</t>
  </si>
  <si>
    <t>57.7</t>
  </si>
  <si>
    <t>1.5</t>
  </si>
  <si>
    <t>145.2</t>
  </si>
  <si>
    <t>08:45</t>
  </si>
  <si>
    <t>06:56</t>
  </si>
  <si>
    <t>08:29,18:20</t>
  </si>
  <si>
    <t>08:12,18:37</t>
  </si>
  <si>
    <t>07:43</t>
  </si>
  <si>
    <t>08:41,18:45</t>
  </si>
  <si>
    <t>08:31,19:06</t>
  </si>
  <si>
    <t>12:39,18:37</t>
  </si>
  <si>
    <t>08:41,18:20</t>
  </si>
  <si>
    <t>07:36,18:20</t>
  </si>
  <si>
    <t>08:02,18:33</t>
  </si>
  <si>
    <t>08:34</t>
  </si>
  <si>
    <t>18:31</t>
  </si>
  <si>
    <t>Lê Việt</t>
  </si>
  <si>
    <t>33.8</t>
  </si>
  <si>
    <t>37.50 hr</t>
  </si>
  <si>
    <t>9</t>
  </si>
  <si>
    <t>3.0</t>
  </si>
  <si>
    <t>126.2</t>
  </si>
  <si>
    <t>09:08</t>
  </si>
  <si>
    <t>08:54</t>
  </si>
  <si>
    <t>08:57</t>
  </si>
  <si>
    <t>09:45,11:16</t>
  </si>
  <si>
    <t>08:48</t>
  </si>
  <si>
    <t>10:39</t>
  </si>
  <si>
    <t>09:45</t>
  </si>
  <si>
    <t>09:05</t>
  </si>
  <si>
    <t>09:35</t>
  </si>
  <si>
    <t>Ngoc Le</t>
  </si>
  <si>
    <t>17</t>
  </si>
  <si>
    <t>141.2</t>
  </si>
  <si>
    <t>136.0</t>
  </si>
  <si>
    <t>24.0</t>
  </si>
  <si>
    <t>08:36,18:20</t>
  </si>
  <si>
    <t>08:29,18:24</t>
  </si>
  <si>
    <t>08:29,18:26</t>
  </si>
  <si>
    <t>08:43,18:15</t>
  </si>
  <si>
    <t>08:07</t>
  </si>
  <si>
    <t>08:35,18:15</t>
  </si>
  <si>
    <t>08:35,18:21</t>
  </si>
  <si>
    <t>08:35,18:20</t>
  </si>
  <si>
    <t>08:38,18:26</t>
  </si>
  <si>
    <t>08:39,18:27</t>
  </si>
  <si>
    <t>08:35,18:24</t>
  </si>
  <si>
    <t>08:35,18:22</t>
  </si>
  <si>
    <t>08:35,18:49</t>
  </si>
  <si>
    <t>Nguyet Linh</t>
  </si>
  <si>
    <t>16.3</t>
  </si>
  <si>
    <t>142.3</t>
  </si>
  <si>
    <t>130.5</t>
  </si>
  <si>
    <t>0.3</t>
  </si>
  <si>
    <t>29.5</t>
  </si>
  <si>
    <t>0.5</t>
  </si>
  <si>
    <t>120</t>
  </si>
  <si>
    <t>07:29,18:28</t>
  </si>
  <si>
    <t>08:39,18:25</t>
  </si>
  <si>
    <t>08:42,18:15</t>
  </si>
  <si>
    <t>08:49,18:21</t>
  </si>
  <si>
    <t>08:44,18:43</t>
  </si>
  <si>
    <t>08:41,19:32</t>
  </si>
  <si>
    <t>18:20</t>
  </si>
  <si>
    <t>08:42,18:27</t>
  </si>
  <si>
    <t>08:57,18:30</t>
  </si>
  <si>
    <t>08:30,18:41</t>
  </si>
  <si>
    <t>07:42,18:20</t>
  </si>
  <si>
    <t>08:19,21:45</t>
  </si>
  <si>
    <t>08:32,18:41</t>
  </si>
  <si>
    <t>Thu Thao</t>
  </si>
  <si>
    <t>17.4</t>
  </si>
  <si>
    <t>146.1</t>
  </si>
  <si>
    <t>139.3</t>
  </si>
  <si>
    <t>0.8</t>
  </si>
  <si>
    <t>20.8</t>
  </si>
  <si>
    <t>45</t>
  </si>
  <si>
    <t>08:59,19:31</t>
  </si>
  <si>
    <t>08:34,18:15</t>
  </si>
  <si>
    <t>08:38,18:15</t>
  </si>
  <si>
    <t>08:27,18:34</t>
  </si>
  <si>
    <t>09:09,18:28</t>
  </si>
  <si>
    <t>08:43,19:05</t>
  </si>
  <si>
    <t>08:38,18:27</t>
  </si>
  <si>
    <t>09:16,18:43</t>
  </si>
  <si>
    <t>08:45,18:55</t>
  </si>
  <si>
    <t>08:40,18:15</t>
  </si>
  <si>
    <t>08:43,18:24</t>
  </si>
  <si>
    <t>08:41,18:31</t>
  </si>
  <si>
    <t>08:35,18:33</t>
  </si>
  <si>
    <t>08:38,18:20</t>
  </si>
  <si>
    <t>08:36,18:22</t>
  </si>
  <si>
    <t>08:32,18:20</t>
  </si>
  <si>
    <t>Ngoc Anh</t>
  </si>
  <si>
    <t>15.8</t>
  </si>
  <si>
    <t>131.2</t>
  </si>
  <si>
    <t>3</t>
  </si>
  <si>
    <t>08:32,18:15</t>
  </si>
  <si>
    <t>08:28,18:15</t>
  </si>
  <si>
    <t>08:45,18:25</t>
  </si>
  <si>
    <t>08:27,18:16</t>
  </si>
  <si>
    <t>08:23,18:20</t>
  </si>
  <si>
    <t>08:42,18:32</t>
  </si>
  <si>
    <t>08:30,18:15</t>
  </si>
  <si>
    <t>08:28,18:17</t>
  </si>
  <si>
    <t>08:31,18:16</t>
  </si>
  <si>
    <t>08:31,18:25</t>
  </si>
  <si>
    <t>08:31,18:15</t>
  </si>
  <si>
    <t>08:33,18:15</t>
  </si>
  <si>
    <t>08:33,18:19</t>
  </si>
  <si>
    <t>08:28,18:22</t>
  </si>
  <si>
    <t>08:28,18:16</t>
  </si>
  <si>
    <t>Tung Phan</t>
  </si>
  <si>
    <t>16.9</t>
  </si>
  <si>
    <t>141.0</t>
  </si>
  <si>
    <t>134.7</t>
  </si>
  <si>
    <t>0.4</t>
  </si>
  <si>
    <t>25.3</t>
  </si>
  <si>
    <t>08:37,18:47</t>
  </si>
  <si>
    <t>08:35,18:30</t>
  </si>
  <si>
    <t>09:06,18:15</t>
  </si>
  <si>
    <t>08:22,18:15</t>
  </si>
  <si>
    <t>08:26,18:15</t>
  </si>
  <si>
    <t>08:42,18:34</t>
  </si>
  <si>
    <t>08:50,18:20</t>
  </si>
  <si>
    <t>08:29,18:21</t>
  </si>
  <si>
    <t>08:35,19:11</t>
  </si>
  <si>
    <t>08:31,18:30</t>
  </si>
  <si>
    <t>08:36,18:33</t>
  </si>
  <si>
    <t>18:42</t>
  </si>
  <si>
    <t>08:35,18:27</t>
  </si>
  <si>
    <t>08:26,18:20</t>
  </si>
  <si>
    <t>Nam Anh</t>
  </si>
  <si>
    <t>14.7</t>
  </si>
  <si>
    <t>121.2</t>
  </si>
  <si>
    <t>118.8</t>
  </si>
  <si>
    <t>41.3</t>
  </si>
  <si>
    <t>164.4</t>
  </si>
  <si>
    <t>08:39,18:17</t>
  </si>
  <si>
    <t>08:15,18:15</t>
  </si>
  <si>
    <t>08:29,18:15</t>
  </si>
  <si>
    <t>08:40,18:29</t>
  </si>
  <si>
    <t>08:58,18:16</t>
  </si>
  <si>
    <t>09:04,18:15</t>
  </si>
  <si>
    <t>08:37,18:15</t>
  </si>
  <si>
    <t>08:53,18:15</t>
  </si>
  <si>
    <t>09:26,18:40</t>
  </si>
  <si>
    <t>Hải Linh</t>
  </si>
  <si>
    <t>16.1</t>
  </si>
  <si>
    <t>126.9</t>
  </si>
  <si>
    <t>124.4</t>
  </si>
  <si>
    <t>0.1</t>
  </si>
  <si>
    <t>35.7</t>
  </si>
  <si>
    <t>169.8</t>
  </si>
  <si>
    <t>08:43,18:23</t>
  </si>
  <si>
    <t>08:45,19:54</t>
  </si>
  <si>
    <t>08:46,18:20</t>
  </si>
  <si>
    <t>08:43,18:22</t>
  </si>
  <si>
    <t>08:45,18:21</t>
  </si>
  <si>
    <t>08:48,18:20</t>
  </si>
  <si>
    <t>08:42</t>
  </si>
  <si>
    <t>Phong NX</t>
  </si>
  <si>
    <t>13</t>
  </si>
  <si>
    <t>101.8</t>
  </si>
  <si>
    <t>99.0</t>
  </si>
  <si>
    <t>61.0</t>
  </si>
  <si>
    <t>15</t>
  </si>
  <si>
    <t>08:37,18:38</t>
  </si>
  <si>
    <t>08:38</t>
  </si>
  <si>
    <t>08:41,18:24</t>
  </si>
  <si>
    <t>08:42,18:29</t>
  </si>
  <si>
    <t>08:34,18:29</t>
  </si>
  <si>
    <t>08:32,18:31</t>
  </si>
  <si>
    <t>08:40,18:24</t>
  </si>
  <si>
    <t>08:41,18:19</t>
  </si>
  <si>
    <t>08:39,18:26</t>
  </si>
  <si>
    <t>08:40,18:16</t>
  </si>
  <si>
    <t>08:44</t>
  </si>
  <si>
    <t>08:43,18:17</t>
  </si>
  <si>
    <t>11.4</t>
  </si>
  <si>
    <t>81.9</t>
  </si>
  <si>
    <t>77.6</t>
  </si>
  <si>
    <t>0.2</t>
  </si>
  <si>
    <t>82.4</t>
  </si>
  <si>
    <t>30</t>
  </si>
  <si>
    <t>08:41</t>
  </si>
  <si>
    <t>08:55,18:24</t>
  </si>
  <si>
    <t>08:36,18:49</t>
  </si>
  <si>
    <t>06:49,18:26</t>
  </si>
  <si>
    <t>08:37</t>
  </si>
  <si>
    <t>08:42,18:24</t>
  </si>
  <si>
    <t>08:39</t>
  </si>
  <si>
    <t>08:35,18:16</t>
  </si>
  <si>
    <t>08:36,18:24</t>
  </si>
  <si>
    <t>Nguyễn Tử Trường Lâm</t>
  </si>
  <si>
    <t>18</t>
  </si>
  <si>
    <t>148.4</t>
  </si>
  <si>
    <t>143.0</t>
  </si>
  <si>
    <t>1.1</t>
  </si>
  <si>
    <t>17.1</t>
  </si>
  <si>
    <t>08:27,18:25</t>
  </si>
  <si>
    <t>08:39,18:41</t>
  </si>
  <si>
    <t>08:41,18:15</t>
  </si>
  <si>
    <t>08:39,18:39</t>
  </si>
  <si>
    <t>08:43,18:54</t>
  </si>
  <si>
    <t>09:31,18:15</t>
  </si>
  <si>
    <t>08:42,18:50</t>
  </si>
  <si>
    <t>08:43,18:44</t>
  </si>
  <si>
    <t>08:42,18:38</t>
  </si>
  <si>
    <t>08:54,18:26</t>
  </si>
  <si>
    <t>08:40,18:42</t>
  </si>
  <si>
    <t>08:42,18:28</t>
  </si>
  <si>
    <t>08:38,18:22</t>
  </si>
  <si>
    <t>Trần Bảo Tâm</t>
  </si>
  <si>
    <t>14.8</t>
  </si>
  <si>
    <t>114.8</t>
  </si>
  <si>
    <t>108.1</t>
  </si>
  <si>
    <t>1.6</t>
  </si>
  <si>
    <t>51.9</t>
  </si>
  <si>
    <t>08:38,18:50</t>
  </si>
  <si>
    <t>08:42,19:22</t>
  </si>
  <si>
    <t>09:19,18:20</t>
  </si>
  <si>
    <t>08:39,19:37</t>
  </si>
  <si>
    <t>09:28</t>
  </si>
  <si>
    <t>18:26</t>
  </si>
  <si>
    <t>09:03,18:20</t>
  </si>
  <si>
    <t>08:35</t>
  </si>
  <si>
    <t>08:44,18:49</t>
  </si>
  <si>
    <t>18:50</t>
  </si>
  <si>
    <t>08:46</t>
  </si>
  <si>
    <t>08:40,18:56</t>
  </si>
  <si>
    <t>08:37,18:37</t>
  </si>
  <si>
    <t>08:40,18:20</t>
  </si>
  <si>
    <t>18:18</t>
  </si>
  <si>
    <t>18:29</t>
  </si>
  <si>
    <t>Trần Minh Tuyết</t>
  </si>
  <si>
    <t>17.5</t>
  </si>
  <si>
    <t>144.3</t>
  </si>
  <si>
    <t>137.5</t>
  </si>
  <si>
    <t>0.0</t>
  </si>
  <si>
    <t>22.5</t>
  </si>
  <si>
    <t>08:37,18:48</t>
  </si>
  <si>
    <t>08:34,18:20</t>
  </si>
  <si>
    <t>08:40,18:22</t>
  </si>
  <si>
    <t>08:30</t>
  </si>
  <si>
    <t>18:23</t>
  </si>
  <si>
    <t>08:41,18:39</t>
  </si>
  <si>
    <t>18:45</t>
  </si>
  <si>
    <t>08:46,18:24</t>
  </si>
  <si>
    <t>08:24,18:15</t>
  </si>
  <si>
    <t>08:33,19:11</t>
  </si>
  <si>
    <t>08:40,18:25</t>
  </si>
  <si>
    <t>08:36,19:32</t>
  </si>
  <si>
    <t>08:45,18:28</t>
  </si>
  <si>
    <t>Nguyễn Hữu Tuấn Minh</t>
  </si>
  <si>
    <t>16.5</t>
  </si>
  <si>
    <t>140.9</t>
  </si>
  <si>
    <t>132.5</t>
  </si>
  <si>
    <t>27.6</t>
  </si>
  <si>
    <t>08:44,19:29</t>
  </si>
  <si>
    <t>08:45,19:20</t>
  </si>
  <si>
    <t>21:04</t>
  </si>
  <si>
    <t>08:45,18:23</t>
  </si>
  <si>
    <t>09:03,18:15</t>
  </si>
  <si>
    <t>08:43,18:39</t>
  </si>
  <si>
    <t>08:43,18:46</t>
  </si>
  <si>
    <t>08:43,19:19</t>
  </si>
  <si>
    <t>08:42,18:59</t>
  </si>
  <si>
    <t>Nguyen Gia Binh</t>
  </si>
  <si>
    <t>14.5</t>
  </si>
  <si>
    <t>120.1</t>
  </si>
  <si>
    <t>116.0</t>
  </si>
  <si>
    <t>44.0</t>
  </si>
  <si>
    <t>135</t>
  </si>
  <si>
    <t>08:32,18:24</t>
  </si>
  <si>
    <t>09:09,18:15</t>
  </si>
  <si>
    <t>08:33,18:16</t>
  </si>
  <si>
    <t>08:45,18:24</t>
  </si>
  <si>
    <t>07:33,18:15</t>
  </si>
  <si>
    <t>08:39,18:20</t>
  </si>
  <si>
    <t>07:58,18:17</t>
  </si>
  <si>
    <t>08:35,18:17</t>
  </si>
  <si>
    <t>09:26,18:18</t>
  </si>
  <si>
    <t>08:33,18:20</t>
  </si>
  <si>
    <t>Duyennguyen</t>
  </si>
  <si>
    <t>13.9</t>
  </si>
  <si>
    <t>105.8</t>
  </si>
  <si>
    <t>103.2</t>
  </si>
  <si>
    <t>56.8</t>
  </si>
  <si>
    <t>08:36</t>
  </si>
  <si>
    <t>08:38,18:19</t>
  </si>
  <si>
    <t>08:47,18:18</t>
  </si>
  <si>
    <t>08:40,18:21</t>
  </si>
  <si>
    <t>08:34,18:22</t>
  </si>
  <si>
    <t>08:40,18:17</t>
  </si>
  <si>
    <t>08:33,17:35</t>
  </si>
  <si>
    <t>Duyen Editor</t>
  </si>
  <si>
    <t>135.5</t>
  </si>
  <si>
    <t>24.5</t>
  </si>
  <si>
    <t>08:25,18:26</t>
  </si>
  <si>
    <t>08:25,18:15</t>
  </si>
  <si>
    <t>08:35,18:42</t>
  </si>
  <si>
    <t>08:34,18:45</t>
  </si>
  <si>
    <t>09:15,18:57</t>
  </si>
  <si>
    <t>08:37,18:23</t>
  </si>
  <si>
    <t>08:33,18:26</t>
  </si>
  <si>
    <t>08:30,18:46</t>
  </si>
  <si>
    <t>08:31,19:34</t>
  </si>
  <si>
    <t>08:29,18:34</t>
  </si>
  <si>
    <t>08:34,18:25</t>
  </si>
  <si>
    <t>08:32,18:30</t>
  </si>
  <si>
    <t>08:29,18:30</t>
  </si>
  <si>
    <t>Binh_Editor</t>
  </si>
  <si>
    <t>15.4</t>
  </si>
  <si>
    <t>125.5</t>
  </si>
  <si>
    <t>118.9</t>
  </si>
  <si>
    <t>41.2</t>
  </si>
  <si>
    <t>08:45,18:26</t>
  </si>
  <si>
    <t>08:47,18:27</t>
  </si>
  <si>
    <t>09:11,18:21</t>
  </si>
  <si>
    <t>08:41,18:23</t>
  </si>
  <si>
    <t>08:37,18:55</t>
  </si>
  <si>
    <t>09:26,18:32</t>
  </si>
  <si>
    <t>08:37,18:17</t>
  </si>
  <si>
    <t>08:52,20:05</t>
  </si>
  <si>
    <t>08:37,19:00</t>
  </si>
  <si>
    <t>08:36,18:56</t>
  </si>
  <si>
    <t>08:44,18:21</t>
  </si>
  <si>
    <t>08:33,18:21</t>
  </si>
  <si>
    <t>Song Hà</t>
  </si>
  <si>
    <t>12.3</t>
  </si>
  <si>
    <t>99.9</t>
  </si>
  <si>
    <t>94.7</t>
  </si>
  <si>
    <t>65.4</t>
  </si>
  <si>
    <t>3.5</t>
  </si>
  <si>
    <t>75</t>
  </si>
  <si>
    <t>08:51</t>
  </si>
  <si>
    <t>08:20,18:21</t>
  </si>
  <si>
    <t>08:20</t>
  </si>
  <si>
    <t>08:29,18:28</t>
  </si>
  <si>
    <t>08:30,18:16</t>
  </si>
  <si>
    <t>07:57,18:16</t>
  </si>
  <si>
    <t>08:18,18:17</t>
  </si>
  <si>
    <t>08:20,18:35</t>
  </si>
  <si>
    <t>08:14,18:15</t>
  </si>
  <si>
    <t>08:18,18:20</t>
  </si>
  <si>
    <t>08:19,18:16</t>
  </si>
  <si>
    <t>07:50</t>
  </si>
  <si>
    <t>Ánh Phan</t>
  </si>
  <si>
    <t>14.4</t>
  </si>
  <si>
    <t>120.2</t>
  </si>
  <si>
    <t>115.3</t>
  </si>
  <si>
    <t>44.8</t>
  </si>
  <si>
    <t>240</t>
  </si>
  <si>
    <t>08:36,18:35</t>
  </si>
  <si>
    <t>08:38,18:16</t>
  </si>
  <si>
    <t>08:26</t>
  </si>
  <si>
    <t>08:23,18:38</t>
  </si>
  <si>
    <t>08:20,18:15</t>
  </si>
  <si>
    <t>08:25,18:19</t>
  </si>
  <si>
    <t>08:14,18:16</t>
  </si>
  <si>
    <t>08:35,18:23</t>
  </si>
  <si>
    <t>Ly Nguyen</t>
  </si>
  <si>
    <t>135.1</t>
  </si>
  <si>
    <t>130.3</t>
  </si>
  <si>
    <t>29.7</t>
  </si>
  <si>
    <t>08:34,18:59</t>
  </si>
  <si>
    <t>08:45,19:27</t>
  </si>
  <si>
    <t>09:56</t>
  </si>
  <si>
    <t>08:45,09:03</t>
  </si>
  <si>
    <t>08:45,19:16</t>
  </si>
  <si>
    <t>08:37,18:18</t>
  </si>
  <si>
    <t>18:37</t>
  </si>
  <si>
    <t>08:45,18:35</t>
  </si>
  <si>
    <t>19</t>
  </si>
  <si>
    <t>152.0</t>
  </si>
  <si>
    <t>8</t>
  </si>
  <si>
    <t>138.4</t>
  </si>
  <si>
    <t>135.0</t>
  </si>
  <si>
    <t>17.0</t>
  </si>
  <si>
    <t>08:20,18:16</t>
  </si>
  <si>
    <t>08:30,18:20</t>
  </si>
  <si>
    <t>18:38</t>
  </si>
  <si>
    <t>08:35,18:19</t>
  </si>
  <si>
    <t>Nam Trang</t>
  </si>
  <si>
    <t>64.0</t>
  </si>
  <si>
    <t>64.5</t>
  </si>
  <si>
    <t>63.8</t>
  </si>
  <si>
    <t>08:43,18:35</t>
  </si>
  <si>
    <t>08:41,18:22</t>
  </si>
  <si>
    <t>08:49,18:15</t>
  </si>
  <si>
    <t>Họ tên</t>
  </si>
  <si>
    <t xml:space="preserve">Thưởng hiệu suất </t>
  </si>
  <si>
    <t xml:space="preserve">Ngày công </t>
  </si>
  <si>
    <t>Cường</t>
  </si>
  <si>
    <t>06/9 late request</t>
  </si>
  <si>
    <t>Công tính lương  20</t>
  </si>
  <si>
    <t xml:space="preserve">Thu Thảo </t>
  </si>
  <si>
    <t>Remote 11/9</t>
  </si>
  <si>
    <t>Công tính lương: 21</t>
  </si>
  <si>
    <t>ok</t>
  </si>
  <si>
    <t xml:space="preserve">Trường Lâm </t>
  </si>
  <si>
    <t>Remote 16/9</t>
  </si>
  <si>
    <t xml:space="preserve">Công tính lương: 21 </t>
  </si>
  <si>
    <t>10/09 : BO sáng</t>
  </si>
  <si>
    <t xml:space="preserve">ko đi muộn </t>
  </si>
  <si>
    <t>remote sáng 17/9</t>
  </si>
  <si>
    <t>Đi muộn ngày 04/9</t>
  </si>
  <si>
    <t>Đi muộn sáng 23+24</t>
  </si>
  <si>
    <t xml:space="preserve">11/9 +16 /9 remote </t>
  </si>
  <si>
    <t>Đi muộn 10/9</t>
  </si>
  <si>
    <t xml:space="preserve">13/9 Remote sáng,B0 chiều </t>
  </si>
  <si>
    <t>18/9 NP sáng</t>
  </si>
  <si>
    <t xml:space="preserve">Ngoc Anh </t>
  </si>
  <si>
    <t>Remote ngày 06/9</t>
  </si>
  <si>
    <t xml:space="preserve">Chị Tuyết </t>
  </si>
  <si>
    <t>Remote sáng 16</t>
  </si>
  <si>
    <t xml:space="preserve">20/9 BO chiều </t>
  </si>
  <si>
    <t>Late request sáng ngày 09/9 + 16/9</t>
  </si>
  <si>
    <t>ko đi muộn</t>
  </si>
  <si>
    <t>OFF sáng 18</t>
  </si>
  <si>
    <t>đi muộn 1 lần</t>
  </si>
  <si>
    <t xml:space="preserve">30/9 OFF  sáng </t>
  </si>
  <si>
    <t>Về sớm 24/9</t>
  </si>
  <si>
    <t>BO sáng 27/9</t>
  </si>
  <si>
    <t xml:space="preserve">Tùng Phan </t>
  </si>
  <si>
    <t>Remote 11+12/9</t>
  </si>
  <si>
    <t xml:space="preserve">Nam Trang </t>
  </si>
  <si>
    <t>Công tính lương: 9</t>
  </si>
  <si>
    <t>Ngọc Lê</t>
  </si>
  <si>
    <t xml:space="preserve">11/9 remote </t>
  </si>
  <si>
    <t>Công tính lương 21</t>
  </si>
  <si>
    <t>26/9 + 18/9 late request</t>
  </si>
  <si>
    <t>Đi muộn 1 lần ngày 09/9</t>
  </si>
  <si>
    <t xml:space="preserve">Đi muộn 2 lần </t>
  </si>
  <si>
    <t xml:space="preserve">19/9 remote </t>
  </si>
  <si>
    <t xml:space="preserve">Ngọc Ánh </t>
  </si>
  <si>
    <t>Công tính lương: 19</t>
  </si>
  <si>
    <t>Late request 19+24+26+27/9</t>
  </si>
  <si>
    <t>Đi muộn 0</t>
  </si>
  <si>
    <t xml:space="preserve">Nguyệt Linh </t>
  </si>
  <si>
    <t>Đi muộn ngày 09/9</t>
  </si>
  <si>
    <t xml:space="preserve">16/9 OFF sáng </t>
  </si>
  <si>
    <t xml:space="preserve">Nghỉ phép 2 ngày </t>
  </si>
  <si>
    <t>Late request ngày 10 +16/9</t>
  </si>
  <si>
    <t>Đi muộn ngày 09 + 23/9</t>
  </si>
  <si>
    <t>remote ngày 11</t>
  </si>
  <si>
    <t xml:space="preserve">Remote 2 ngày </t>
  </si>
  <si>
    <t>Remote  11+12/9</t>
  </si>
  <si>
    <t>Off 09/9 + sáng 23/9</t>
  </si>
  <si>
    <t xml:space="preserve">Ly Nguyễn </t>
  </si>
  <si>
    <t>Remote 11 ,17</t>
  </si>
  <si>
    <t>remote 30/9</t>
  </si>
  <si>
    <t>Về sớm 16, đi muộn 16</t>
  </si>
  <si>
    <t>đi muộn nhưng late request</t>
  </si>
  <si>
    <t>OFF sáng 19/9</t>
  </si>
  <si>
    <t>Đi muộn 27, 18</t>
  </si>
  <si>
    <t>Early request 20</t>
  </si>
  <si>
    <t xml:space="preserve">Phong </t>
  </si>
  <si>
    <t>Remote 09/9 +18+11/9</t>
  </si>
  <si>
    <t>Công tính lương: 18.5</t>
  </si>
  <si>
    <t>OFF chiều 26+ ngày 27+13</t>
  </si>
  <si>
    <t xml:space="preserve">Song Hà </t>
  </si>
  <si>
    <t xml:space="preserve">Late request ngày 10/9 </t>
  </si>
  <si>
    <t>Late request ngày 05/9</t>
  </si>
  <si>
    <t>NP 23</t>
  </si>
  <si>
    <t>Đi muộn 1 ngày 04/9</t>
  </si>
  <si>
    <t>Remote ngày 12,11 , 09, chiều ngày 06,</t>
  </si>
  <si>
    <t>B0 sáng 16</t>
  </si>
  <si>
    <t xml:space="preserve">N. Phương Anh </t>
  </si>
  <si>
    <t>Remote chiều 05/9</t>
  </si>
  <si>
    <t>Remote ngày 11+12/9</t>
  </si>
  <si>
    <t>Đi muộn 1 lần ngày 10/9</t>
  </si>
  <si>
    <t>OFF  17+26/9 và chiều 19/6</t>
  </si>
  <si>
    <t xml:space="preserve">Phan Ánh  </t>
  </si>
  <si>
    <t xml:space="preserve">Off sáng ngày 04/9 </t>
  </si>
  <si>
    <t>Công tính lương: 20,5</t>
  </si>
  <si>
    <t>Về sớm 15:30 ngày 30/9 + 16/9</t>
  </si>
  <si>
    <t>remote 06 + 11 +13</t>
  </si>
  <si>
    <t>Late request sáng 16</t>
  </si>
  <si>
    <t xml:space="preserve">Nghỉ phép 23 -&gt; Sử dụng benefit Runway </t>
  </si>
  <si>
    <t>Về sớm 17:30 ngày 17</t>
  </si>
  <si>
    <t xml:space="preserve">Huyền </t>
  </si>
  <si>
    <t>Late request 10/9</t>
  </si>
  <si>
    <t xml:space="preserve">OFF: Không </t>
  </si>
  <si>
    <t xml:space="preserve">Gia Bình </t>
  </si>
  <si>
    <t>Remote 12/9,06,11</t>
  </si>
  <si>
    <t>remote chiều 24</t>
  </si>
  <si>
    <t>OFF 18,23</t>
  </si>
  <si>
    <t>Late request 25,30,9</t>
  </si>
  <si>
    <t>Về sớm 13</t>
  </si>
  <si>
    <t xml:space="preserve">Duyên AI </t>
  </si>
  <si>
    <t>Về sớm 27</t>
  </si>
  <si>
    <t>Công tính lương: 20</t>
  </si>
  <si>
    <t>Remote 20,11 + 10/9</t>
  </si>
  <si>
    <t xml:space="preserve">Duyên Editor </t>
  </si>
  <si>
    <t>Remote 12</t>
  </si>
  <si>
    <t>OFF 20/9</t>
  </si>
  <si>
    <t>Late request 16/9 30''</t>
  </si>
  <si>
    <t xml:space="preserve">Bình Editor </t>
  </si>
  <si>
    <t xml:space="preserve">Nghỉ phép 17 -&gt; Runway </t>
  </si>
  <si>
    <t>Remote 11</t>
  </si>
  <si>
    <t>Đi muộn 3 lần</t>
  </si>
  <si>
    <t xml:space="preserve">Tuấn Minh </t>
  </si>
  <si>
    <t>Remote 11+12</t>
  </si>
  <si>
    <t>OFF 18</t>
  </si>
  <si>
    <t>Đi muộn 1 lần 16/9</t>
  </si>
  <si>
    <t xml:space="preserve">Hải Linh </t>
  </si>
  <si>
    <t xml:space="preserve">Đi muộn 3 lần </t>
  </si>
  <si>
    <t>Nhung</t>
  </si>
  <si>
    <t>Công tính lương: 10</t>
  </si>
  <si>
    <t xml:space="preserve">Tâm </t>
  </si>
  <si>
    <t>Remote sáng 30/9</t>
  </si>
  <si>
    <t>BO sáng 26/7</t>
  </si>
  <si>
    <t xml:space="preserve">Đi muộn 1 lần </t>
  </si>
  <si>
    <t>Late request 19/9</t>
  </si>
  <si>
    <t xml:space="preserve">Lê Việt </t>
  </si>
  <si>
    <t>Hội thảo sáng 25</t>
  </si>
  <si>
    <t>Công tính lương:  21</t>
  </si>
  <si>
    <t>gặp khách sáng 05/9</t>
  </si>
  <si>
    <t xml:space="preserve">Đi muộn 3 lần  </t>
  </si>
  <si>
    <t>Late request sáng 19</t>
  </si>
  <si>
    <t>remote sáng 27 +30/9</t>
  </si>
  <si>
    <t>DANH SÁCH TRÍCH NỘP BẢO HIỂM THÁNG 9/2024</t>
  </si>
  <si>
    <t xml:space="preserve">DANH SÁCH TRÍCH NỘP BẢO HIỂM THÁNG 07/2024                                                                                                                 </t>
  </si>
  <si>
    <t>SỐ SỔ BHXH</t>
  </si>
  <si>
    <t>EID</t>
  </si>
  <si>
    <t>Mã số NV</t>
  </si>
  <si>
    <t>Mức lương</t>
  </si>
  <si>
    <t>NSDLĐ đóng 21,5%</t>
  </si>
  <si>
    <t>NLĐ đóng 10.5%</t>
  </si>
  <si>
    <t xml:space="preserve">BHXH </t>
  </si>
  <si>
    <t>BHYT</t>
  </si>
  <si>
    <t>BHTN</t>
  </si>
  <si>
    <t>1%</t>
  </si>
  <si>
    <t>0113145672</t>
  </si>
  <si>
    <t>0107025871</t>
  </si>
  <si>
    <t>4221453018</t>
  </si>
  <si>
    <t>BSM00012</t>
  </si>
  <si>
    <t>DANH SÁCH ĐIỀU CHỈNH BH THÁNG 9/2024</t>
  </si>
  <si>
    <t>ĐIỀU CHỈNH GIẢM</t>
  </si>
  <si>
    <t>CÔNG TY TRÍCH NỘP (1)</t>
  </si>
  <si>
    <t>NGƯỜI LAO ĐỘNG TRÍCH NỘP</t>
  </si>
  <si>
    <t>Tổng (1)+(2)</t>
  </si>
  <si>
    <t>Ngày hiệu lực</t>
  </si>
  <si>
    <t>Tổng</t>
  </si>
  <si>
    <t>Người lập</t>
  </si>
  <si>
    <t>Phụ trách kế toán</t>
  </si>
  <si>
    <t xml:space="preserve">Giám đốc </t>
  </si>
  <si>
    <t>DANH SÁCH TRÍCH NỘP BẢO HIỂM THÁNG 03/2026</t>
  </si>
  <si>
    <t xml:space="preserve">Số phải nộp cuối tháng 2/2026 </t>
  </si>
  <si>
    <t>C12 T3/2026</t>
  </si>
  <si>
    <t>Cộng phải nộp T2+3/2026</t>
  </si>
  <si>
    <t>DANH SÁCH ĐIỀU CHỈNH BH THÁNG 11/2025</t>
  </si>
  <si>
    <t>CL phạt chậm nộp</t>
  </si>
  <si>
    <t>C12 của T3 dự báo ( chưa chốt ký)</t>
  </si>
  <si>
    <t>CL</t>
  </si>
  <si>
    <t>CL ???</t>
  </si>
  <si>
    <t xml:space="preserve">ĐIỀU CHỈNH TĂNG </t>
  </si>
  <si>
    <t>Techcombank</t>
  </si>
  <si>
    <t>NGUYEN THI HA</t>
  </si>
  <si>
    <t>DANG PHUONG ANH</t>
  </si>
  <si>
    <t>PHAM THI MY DUYEN</t>
  </si>
  <si>
    <t>BIDV</t>
  </si>
  <si>
    <t>Nguyễn Phương Ly</t>
  </si>
  <si>
    <t>Tiên Phong Bank (TP Bank)</t>
  </si>
  <si>
    <t>Nguyễn Thị Nguyệt Ánh</t>
  </si>
  <si>
    <t>Bùi Thị Nam Trang</t>
  </si>
  <si>
    <t>Ngô Phương Dung</t>
  </si>
  <si>
    <t>Nguyễn Thị Phương</t>
  </si>
  <si>
    <t>Nguyễn Hồng Thái</t>
  </si>
  <si>
    <t>VP bank</t>
  </si>
  <si>
    <t>1903 6046 7290 19</t>
  </si>
  <si>
    <t>KAZAMA KEN I CHI</t>
  </si>
  <si>
    <t>ngân hàng OCB</t>
  </si>
  <si>
    <t>Phan MInh Đức</t>
  </si>
  <si>
    <t>TPBank</t>
  </si>
  <si>
    <t>Thủy ANh</t>
  </si>
  <si>
    <t xml:space="preserve">chu thị tuyết mai </t>
  </si>
  <si>
    <t>250357175169</t>
  </si>
  <si>
    <t xml:space="preserve">Võ Nhật Nam </t>
  </si>
</sst>
</file>

<file path=xl/styles.xml><?xml version="1.0" encoding="utf-8"?>
<styleSheet xmlns="http://schemas.openxmlformats.org/spreadsheetml/2006/main">
  <numFmts count="15">
    <numFmt numFmtId="0" formatCode="General"/>
    <numFmt numFmtId="59" formatCode="&quot; &quot;* #,##0&quot; &quot;;&quot; &quot;* (#,##0);&quot; &quot;* &quot;-&quot;??&quot; &quot;"/>
    <numFmt numFmtId="60" formatCode="yyyy/m/d"/>
    <numFmt numFmtId="61" formatCode="&quot; &quot;* #,##0&quot;   &quot;;&quot;-&quot;* #,##0&quot;   &quot;;&quot; &quot;* &quot;-&quot;??&quot;   &quot;"/>
    <numFmt numFmtId="62" formatCode="&quot; &quot;* #,##0&quot; &quot;;&quot; &quot;* (#,##0);&quot; &quot;* &quot;- &quot;"/>
    <numFmt numFmtId="63" formatCode="&quot; &quot;* #,##0.00&quot; &quot;;&quot; &quot;* (#,##0.00);&quot; &quot;* &quot;-&quot;??&quot; &quot;"/>
    <numFmt numFmtId="64" formatCode="dd/mm/yyyy"/>
    <numFmt numFmtId="65" formatCode="d/m/yyyy"/>
    <numFmt numFmtId="66" formatCode="d/m"/>
    <numFmt numFmtId="67" formatCode="dd/mm"/>
    <numFmt numFmtId="68" formatCode="yyyy&quot;-&quot;mm&quot;-&quot;dd"/>
    <numFmt numFmtId="69" formatCode="hh:mm:ss"/>
    <numFmt numFmtId="70" formatCode="&quot; &quot;* #,##0.0&quot; &quot;;&quot; &quot;* (#,##0.0);&quot; &quot;* &quot;-&quot;?&quot; &quot;"/>
    <numFmt numFmtId="71" formatCode="0.0%"/>
    <numFmt numFmtId="72" formatCode="&quot; &quot;* #,##0&quot; &quot;;&quot; &quot;* (#,##0);&quot; &quot;* &quot;-&quot;?&quot; &quot;"/>
  </numFmts>
  <fonts count="100">
    <font>
      <sz val="10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9"/>
      <color indexed="8"/>
      <name val="Times New Roman"/>
    </font>
    <font>
      <sz val="9"/>
      <color indexed="8"/>
      <name val="Times New Roman"/>
    </font>
    <font>
      <sz val="8"/>
      <color indexed="8"/>
      <name val="Times New Roman"/>
    </font>
    <font>
      <sz val="9"/>
      <color indexed="25"/>
      <name val="Times New Roman"/>
    </font>
    <font>
      <sz val="9"/>
      <color indexed="25"/>
      <name val="Calibri"/>
    </font>
    <font>
      <sz val="9"/>
      <color indexed="23"/>
      <name val="Times New Roman"/>
    </font>
    <font>
      <b val="1"/>
      <u val="single"/>
      <sz val="9"/>
      <color indexed="8"/>
      <name val="Times New Roman"/>
    </font>
    <font>
      <sz val="9"/>
      <color indexed="27"/>
      <name val="Times New Roman"/>
    </font>
    <font>
      <sz val="9"/>
      <color indexed="28"/>
      <name val="Times New Roman"/>
    </font>
    <font>
      <sz val="9"/>
      <color indexed="31"/>
      <name val="Times New Roman"/>
    </font>
    <font>
      <u val="single"/>
      <sz val="9"/>
      <color indexed="33"/>
      <name val="Times New Roman"/>
    </font>
    <font>
      <sz val="10"/>
      <color indexed="8"/>
      <name val="Times New Roman"/>
    </font>
    <font>
      <sz val="10"/>
      <color indexed="25"/>
      <name val="Calibri"/>
    </font>
    <font>
      <b val="1"/>
      <sz val="10"/>
      <color indexed="8"/>
      <name val="Calibri"/>
    </font>
    <font>
      <b val="1"/>
      <sz val="11"/>
      <color indexed="8"/>
      <name val="Google Sans"/>
    </font>
    <font>
      <sz val="9"/>
      <color indexed="8"/>
      <name val="Google Sans"/>
    </font>
    <font>
      <i val="1"/>
      <sz val="9"/>
      <color indexed="8"/>
      <name val="Google Sans"/>
    </font>
    <font>
      <b val="1"/>
      <sz val="9"/>
      <color indexed="8"/>
      <name val="Google Sans"/>
    </font>
    <font>
      <sz val="9"/>
      <color indexed="25"/>
      <name val="Google Sans"/>
    </font>
    <font>
      <b val="1"/>
      <sz val="9"/>
      <color indexed="25"/>
      <name val="Google Sans"/>
    </font>
    <font>
      <b val="1"/>
      <sz val="14"/>
      <color indexed="8"/>
      <name val="Google Sans"/>
    </font>
    <font>
      <sz val="14"/>
      <color indexed="8"/>
      <name val="Calibri"/>
    </font>
    <font>
      <b val="1"/>
      <sz val="14"/>
      <color indexed="8"/>
      <name val="Calibri"/>
    </font>
    <font>
      <sz val="10"/>
      <color indexed="34"/>
      <name val="Arial"/>
    </font>
    <font>
      <b val="1"/>
      <sz val="9"/>
      <color indexed="35"/>
      <name val="Google Sans"/>
    </font>
    <font>
      <sz val="9"/>
      <color indexed="35"/>
      <name val="Google Sans"/>
    </font>
    <font>
      <sz val="9"/>
      <color indexed="8"/>
      <name val="Arial"/>
    </font>
    <font>
      <sz val="9"/>
      <color indexed="8"/>
      <name val="Montserrat"/>
    </font>
    <font>
      <sz val="10"/>
      <color indexed="8"/>
      <name val="Montserrat"/>
    </font>
    <font>
      <b val="1"/>
      <sz val="9"/>
      <color indexed="8"/>
      <name val="Arial"/>
    </font>
    <font>
      <sz val="9"/>
      <color indexed="34"/>
      <name val="Google Sans"/>
    </font>
    <font>
      <sz val="9"/>
      <color indexed="36"/>
      <name val="Segoe UI"/>
    </font>
    <font>
      <sz val="10"/>
      <color indexed="25"/>
      <name val="Arial"/>
    </font>
    <font>
      <sz val="10"/>
      <color indexed="8"/>
      <name val="Arial"/>
    </font>
    <font>
      <sz val="9"/>
      <color indexed="25"/>
      <name val="Montserrat"/>
    </font>
    <font>
      <sz val="10"/>
      <color indexed="25"/>
      <name val="Montserrat"/>
    </font>
    <font>
      <sz val="10"/>
      <color indexed="35"/>
      <name val="Calibri"/>
    </font>
    <font>
      <sz val="10"/>
      <color indexed="35"/>
      <name val="Montserrat"/>
    </font>
    <font>
      <sz val="10"/>
      <color indexed="35"/>
      <name val="Arial"/>
    </font>
    <font>
      <sz val="9"/>
      <color indexed="35"/>
      <name val="Montserrat"/>
    </font>
    <font>
      <sz val="9"/>
      <color indexed="23"/>
      <name val="Google Sans"/>
    </font>
    <font>
      <sz val="9"/>
      <color indexed="39"/>
      <name val="Montserrat"/>
    </font>
    <font>
      <sz val="11"/>
      <color indexed="8"/>
      <name val="Helvetica Neue"/>
    </font>
    <font>
      <b val="1"/>
      <sz val="9"/>
      <color indexed="40"/>
      <name val="Montserrat"/>
    </font>
    <font>
      <sz val="10"/>
      <color indexed="25"/>
      <name val="Times New Roman"/>
    </font>
    <font>
      <b val="1"/>
      <sz val="10"/>
      <color indexed="25"/>
      <name val="Arial"/>
    </font>
    <font>
      <i val="1"/>
      <sz val="10"/>
      <color indexed="8"/>
      <name val="Times New Roman"/>
    </font>
    <font>
      <b val="1"/>
      <sz val="8"/>
      <color indexed="42"/>
      <name val="Arial"/>
    </font>
    <font>
      <b val="1"/>
      <sz val="8"/>
      <color indexed="42"/>
      <name val="Inherit"/>
    </font>
    <font>
      <b val="1"/>
      <sz val="8"/>
      <color indexed="42"/>
      <name val="Noto_sans"/>
    </font>
    <font>
      <sz val="9"/>
      <color indexed="35"/>
      <name val="Arial"/>
    </font>
    <font>
      <b val="1"/>
      <sz val="10"/>
      <color indexed="25"/>
      <name val="Times New Roman"/>
    </font>
    <font>
      <b val="1"/>
      <sz val="10"/>
      <color indexed="8"/>
      <name val="Times New Roman"/>
    </font>
    <font>
      <i val="1"/>
      <sz val="10"/>
      <color indexed="8"/>
      <name val="Calibri"/>
    </font>
    <font>
      <b val="1"/>
      <sz val="10"/>
      <color indexed="25"/>
      <name val="Calibri"/>
    </font>
    <font>
      <b val="1"/>
      <sz val="13"/>
      <color indexed="8"/>
      <name val="Montserrat"/>
    </font>
    <font>
      <b val="1"/>
      <sz val="10"/>
      <color indexed="8"/>
      <name val="Montserrat"/>
    </font>
    <font>
      <b val="1"/>
      <sz val="10"/>
      <color indexed="25"/>
      <name val="Montserrat"/>
    </font>
    <font>
      <b val="1"/>
      <sz val="11"/>
      <color indexed="8"/>
      <name val="Montserrat"/>
    </font>
    <font>
      <sz val="11"/>
      <color indexed="8"/>
      <name val="Montserrat"/>
    </font>
    <font>
      <b val="1"/>
      <sz val="9"/>
      <color indexed="8"/>
      <name val="Montserrat"/>
    </font>
    <font>
      <b val="1"/>
      <sz val="13"/>
      <color indexed="36"/>
      <name val="Montserrat"/>
    </font>
    <font>
      <sz val="11"/>
      <color indexed="36"/>
      <name val="Montserrat"/>
    </font>
    <font>
      <sz val="11"/>
      <color indexed="8"/>
      <name val="Times New Roman"/>
    </font>
    <font>
      <sz val="10"/>
      <color indexed="8"/>
      <name val="Google Sans"/>
    </font>
    <font>
      <b val="1"/>
      <sz val="10"/>
      <color indexed="25"/>
      <name val="Google Sans"/>
    </font>
    <font>
      <b val="1"/>
      <sz val="10"/>
      <color indexed="8"/>
      <name val="Google Sans"/>
    </font>
    <font>
      <sz val="11"/>
      <color indexed="8"/>
      <name val="Arial"/>
    </font>
    <font>
      <sz val="9"/>
      <color indexed="40"/>
      <name val="Montserrat"/>
    </font>
    <font>
      <sz val="10"/>
      <color indexed="25"/>
      <name val="Google Sans"/>
    </font>
    <font>
      <sz val="11"/>
      <color indexed="36"/>
      <name val="Arial"/>
    </font>
    <font>
      <b val="1"/>
      <sz val="10"/>
      <color indexed="8"/>
      <name val="Arial"/>
    </font>
    <font>
      <sz val="9"/>
      <color indexed="40"/>
      <name val="Google Sans"/>
    </font>
    <font>
      <sz val="10"/>
      <color indexed="40"/>
      <name val="Google Sans"/>
    </font>
    <font>
      <i val="1"/>
      <sz val="9"/>
      <color indexed="8"/>
      <name val="Arial"/>
    </font>
    <font>
      <sz val="9"/>
      <color indexed="25"/>
      <name val="Arial"/>
    </font>
    <font>
      <b val="1"/>
      <sz val="9"/>
      <color indexed="25"/>
      <name val="Arial"/>
    </font>
    <font>
      <b val="1"/>
      <sz val="8"/>
      <color indexed="8"/>
      <name val="Arial"/>
    </font>
    <font>
      <sz val="9"/>
      <color indexed="23"/>
      <name val="Arial"/>
    </font>
    <font>
      <sz val="11"/>
      <color indexed="48"/>
      <name val="Google Sans"/>
    </font>
    <font>
      <b val="1"/>
      <sz val="9"/>
      <color indexed="34"/>
      <name val="Arial"/>
    </font>
    <font>
      <sz val="9"/>
      <color indexed="34"/>
      <name val="Arial"/>
    </font>
    <font>
      <i val="1"/>
      <sz val="10"/>
      <color indexed="8"/>
      <name val="Arial"/>
    </font>
    <font>
      <sz val="12"/>
      <color indexed="10"/>
      <name val="Arial"/>
    </font>
    <font>
      <sz val="12"/>
      <color indexed="8"/>
      <name val="Arial"/>
    </font>
    <font>
      <sz val="10"/>
      <color indexed="10"/>
      <name val="Arial"/>
    </font>
    <font>
      <b val="1"/>
      <sz val="11"/>
      <color indexed="8"/>
      <name val="Arial"/>
    </font>
    <font>
      <b val="1"/>
      <sz val="12"/>
      <color indexed="8"/>
      <name val="Arial"/>
    </font>
    <font>
      <sz val="10"/>
      <color indexed="10"/>
      <name val="Calibri"/>
    </font>
    <font>
      <b val="1"/>
      <sz val="13"/>
      <color indexed="8"/>
      <name val="Arial"/>
    </font>
    <font>
      <sz val="9"/>
      <color indexed="8"/>
      <name val="Calibri"/>
    </font>
    <font>
      <b val="1"/>
      <sz val="13"/>
      <color indexed="8"/>
      <name val="Calibri"/>
    </font>
    <font>
      <b val="1"/>
      <sz val="9"/>
      <color indexed="8"/>
      <name val="Calibri"/>
    </font>
    <font>
      <sz val="9"/>
      <color indexed="10"/>
      <name val="Arial"/>
    </font>
    <font>
      <b val="1"/>
      <sz val="13"/>
      <color indexed="8"/>
      <name val="Google Sans"/>
    </font>
    <font>
      <sz val="10"/>
      <color indexed="35"/>
      <name val="Google Sans"/>
    </font>
    <font>
      <sz val="11"/>
      <color indexed="56"/>
      <name val="LarkHackSafariFont"/>
    </font>
  </fonts>
  <fills count="3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8"/>
        <bgColor auto="1"/>
      </patternFill>
    </fill>
    <fill>
      <patternFill patternType="solid">
        <fgColor indexed="43"/>
        <bgColor auto="1"/>
      </patternFill>
    </fill>
    <fill>
      <patternFill patternType="solid">
        <fgColor indexed="44"/>
        <bgColor auto="1"/>
      </patternFill>
    </fill>
    <fill>
      <patternFill patternType="solid">
        <fgColor indexed="45"/>
        <bgColor auto="1"/>
      </patternFill>
    </fill>
    <fill>
      <patternFill patternType="solid">
        <fgColor indexed="46"/>
        <bgColor auto="1"/>
      </patternFill>
    </fill>
    <fill>
      <patternFill patternType="solid">
        <fgColor indexed="47"/>
        <bgColor auto="1"/>
      </patternFill>
    </fill>
    <fill>
      <patternFill patternType="solid">
        <fgColor indexed="49"/>
        <bgColor auto="1"/>
      </patternFill>
    </fill>
    <fill>
      <patternFill patternType="solid">
        <fgColor indexed="51"/>
        <bgColor auto="1"/>
      </patternFill>
    </fill>
    <fill>
      <patternFill patternType="solid">
        <fgColor indexed="52"/>
        <bgColor auto="1"/>
      </patternFill>
    </fill>
    <fill>
      <patternFill patternType="solid">
        <fgColor indexed="53"/>
        <bgColor auto="1"/>
      </patternFill>
    </fill>
    <fill>
      <patternFill patternType="solid">
        <fgColor indexed="54"/>
        <bgColor auto="1"/>
      </patternFill>
    </fill>
    <fill>
      <patternFill patternType="solid">
        <fgColor indexed="55"/>
        <bgColor auto="1"/>
      </patternFill>
    </fill>
  </fills>
  <borders count="13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dotted">
        <color indexed="8"/>
      </right>
      <top style="thin">
        <color indexed="8"/>
      </top>
      <bottom style="thin">
        <color indexed="8"/>
      </bottom>
      <diagonal/>
    </border>
    <border>
      <left style="dotted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/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37"/>
      </bottom>
      <diagonal/>
    </border>
    <border>
      <left/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37"/>
      </right>
      <top style="thin">
        <color indexed="9"/>
      </top>
      <bottom style="thin">
        <color indexed="9"/>
      </bottom>
      <diagonal/>
    </border>
    <border>
      <left style="medium">
        <color indexed="37"/>
      </left>
      <right style="medium">
        <color indexed="37"/>
      </right>
      <top style="medium">
        <color indexed="37"/>
      </top>
      <bottom style="medium">
        <color indexed="37"/>
      </bottom>
      <diagonal/>
    </border>
    <border>
      <left style="medium">
        <color indexed="37"/>
      </left>
      <right/>
      <top style="thin">
        <color indexed="9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9"/>
      </left>
      <right/>
      <top style="medium">
        <color indexed="37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37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medium">
        <color indexed="37"/>
      </bottom>
      <diagonal/>
    </border>
    <border>
      <left style="thin">
        <color indexed="9"/>
      </left>
      <right/>
      <top style="thin">
        <color indexed="9"/>
      </top>
      <bottom style="medium">
        <color indexed="37"/>
      </bottom>
      <diagonal/>
    </border>
    <border>
      <left/>
      <right style="medium">
        <color indexed="37"/>
      </right>
      <top/>
      <bottom/>
      <diagonal/>
    </border>
    <border>
      <left style="medium">
        <color indexed="37"/>
      </left>
      <right style="medium">
        <color indexed="37"/>
      </right>
      <top style="thin">
        <color indexed="9"/>
      </top>
      <bottom style="medium">
        <color indexed="37"/>
      </bottom>
      <diagonal/>
    </border>
    <border>
      <left style="medium">
        <color indexed="37"/>
      </left>
      <right/>
      <top/>
      <bottom style="thin">
        <color indexed="9"/>
      </bottom>
      <diagonal/>
    </border>
    <border>
      <left style="medium">
        <color indexed="37"/>
      </left>
      <right/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/>
      <top style="thin">
        <color indexed="9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37"/>
      </right>
      <top/>
      <bottom style="thin">
        <color indexed="8"/>
      </bottom>
      <diagonal/>
    </border>
    <border>
      <left style="thin">
        <color indexed="8"/>
      </left>
      <right style="medium">
        <color indexed="37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37"/>
      </right>
      <top style="thin">
        <color indexed="8"/>
      </top>
      <bottom/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41"/>
      </bottom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/>
      <right/>
      <top style="medium">
        <color indexed="41"/>
      </top>
      <bottom/>
      <diagonal/>
    </border>
    <border>
      <left/>
      <right style="thin">
        <color indexed="9"/>
      </right>
      <top style="medium">
        <color indexed="37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medium">
        <color indexed="37"/>
      </top>
      <bottom style="thin">
        <color indexed="9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9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8"/>
      </right>
      <top/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37"/>
      </bottom>
      <diagonal/>
    </border>
    <border>
      <left/>
      <right style="thin">
        <color indexed="8"/>
      </right>
      <top/>
      <bottom style="medium">
        <color indexed="37"/>
      </bottom>
      <diagonal/>
    </border>
    <border>
      <left/>
      <right/>
      <top style="thin">
        <color indexed="8"/>
      </top>
      <bottom style="medium">
        <color indexed="37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37"/>
      </right>
      <top style="medium">
        <color indexed="37"/>
      </top>
      <bottom style="medium">
        <color indexed="37"/>
      </bottom>
      <diagonal/>
    </border>
    <border>
      <left style="medium">
        <color indexed="37"/>
      </left>
      <right style="thin">
        <color indexed="8"/>
      </right>
      <top style="medium">
        <color indexed="37"/>
      </top>
      <bottom style="medium">
        <color indexed="37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37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37"/>
      </right>
      <top style="medium">
        <color indexed="8"/>
      </top>
      <bottom style="thin">
        <color indexed="8"/>
      </bottom>
      <diagonal/>
    </border>
    <border>
      <left style="medium">
        <color indexed="37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medium">
        <color indexed="8"/>
      </right>
      <top style="thin">
        <color indexed="9"/>
      </top>
      <bottom/>
      <diagonal/>
    </border>
    <border>
      <left style="medium">
        <color indexed="37"/>
      </left>
      <right style="thin">
        <color indexed="9"/>
      </right>
      <top style="thin">
        <color indexed="9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37"/>
      </left>
      <right/>
      <top/>
      <bottom/>
      <diagonal/>
    </border>
    <border>
      <left style="thin">
        <color indexed="8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medium">
        <color indexed="37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8"/>
      </right>
      <top/>
      <bottom style="thin">
        <color indexed="9"/>
      </bottom>
      <diagonal/>
    </border>
    <border>
      <left style="medium">
        <color indexed="37"/>
      </left>
      <right style="thin">
        <color indexed="9"/>
      </right>
      <top/>
      <bottom style="thin">
        <color indexed="9"/>
      </bottom>
      <diagonal/>
    </border>
    <border>
      <left style="medium">
        <color indexed="37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37"/>
      </right>
      <top style="medium">
        <color indexed="37"/>
      </top>
      <bottom style="thin">
        <color indexed="8"/>
      </bottom>
      <diagonal/>
    </border>
    <border>
      <left style="medium">
        <color indexed="37"/>
      </left>
      <right style="thin">
        <color indexed="8"/>
      </right>
      <top style="medium">
        <color indexed="37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/>
      <diagonal/>
    </border>
    <border>
      <left style="thin">
        <color indexed="9"/>
      </left>
      <right/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8"/>
      </bottom>
      <diagonal/>
    </border>
    <border>
      <left style="thin">
        <color indexed="50"/>
      </left>
      <right style="thin">
        <color indexed="50"/>
      </right>
      <top style="thin">
        <color indexed="9"/>
      </top>
      <bottom/>
      <diagonal/>
    </border>
    <border>
      <left style="thin">
        <color indexed="50"/>
      </left>
      <right/>
      <top style="thin">
        <color indexed="9"/>
      </top>
      <bottom/>
      <diagonal/>
    </border>
    <border>
      <left/>
      <right style="thin">
        <color indexed="50"/>
      </right>
      <top style="thin">
        <color indexed="9"/>
      </top>
      <bottom style="thin">
        <color indexed="50"/>
      </bottom>
      <diagonal/>
    </border>
    <border>
      <left style="thin">
        <color indexed="50"/>
      </left>
      <right/>
      <top style="thin">
        <color indexed="9"/>
      </top>
      <bottom style="thin">
        <color indexed="50"/>
      </bottom>
      <diagonal/>
    </border>
    <border>
      <left/>
      <right style="thin">
        <color indexed="9"/>
      </right>
      <top style="thin">
        <color indexed="9"/>
      </top>
      <bottom style="thin">
        <color indexed="50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50"/>
      </bottom>
      <diagonal/>
    </border>
    <border>
      <left style="thin">
        <color indexed="9"/>
      </left>
      <right style="thin">
        <color indexed="50"/>
      </right>
      <top style="thin">
        <color indexed="9"/>
      </top>
      <bottom style="thin">
        <color indexed="50"/>
      </bottom>
      <diagonal/>
    </border>
    <border>
      <left style="thin">
        <color indexed="50"/>
      </left>
      <right style="thin">
        <color indexed="50"/>
      </right>
      <top/>
      <bottom style="thin">
        <color indexed="8"/>
      </bottom>
      <diagonal/>
    </border>
    <border>
      <left style="thin">
        <color indexed="50"/>
      </left>
      <right style="thin">
        <color indexed="50"/>
      </right>
      <top style="thin">
        <color indexed="50"/>
      </top>
      <bottom style="thin">
        <color indexed="8"/>
      </bottom>
      <diagonal/>
    </border>
    <border>
      <left style="thin">
        <color indexed="50"/>
      </left>
      <right style="thin">
        <color indexed="9"/>
      </right>
      <top style="thin">
        <color indexed="50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center"/>
    </xf>
  </cellStyleXfs>
  <cellXfs count="1429">
    <xf numFmtId="0" fontId="0" applyNumberFormat="0" applyFont="1" applyFill="0" applyBorder="0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3" borderId="1" applyNumberFormat="0" applyFont="1" applyFill="0" applyBorder="1" applyAlignment="1" applyProtection="0">
      <alignment horizontal="left" vertical="center"/>
    </xf>
    <xf numFmtId="0" fontId="4" borderId="1" applyNumberFormat="0" applyFont="1" applyFill="0" applyBorder="1" applyAlignment="1" applyProtection="0">
      <alignment horizontal="center" vertical="center"/>
    </xf>
    <xf numFmtId="0" fontId="4" fillId="2" borderId="1" applyNumberFormat="0" applyFont="1" applyFill="1" applyBorder="1" applyAlignment="1" applyProtection="0">
      <alignment horizontal="center" vertical="center" wrapText="1"/>
    </xf>
    <xf numFmtId="0" fontId="4" borderId="1" applyNumberFormat="0" applyFont="1" applyFill="0" applyBorder="1" applyAlignment="1" applyProtection="0">
      <alignment vertical="center"/>
    </xf>
    <xf numFmtId="0" fontId="3" borderId="1" applyNumberFormat="0" applyFont="1" applyFill="0" applyBorder="1" applyAlignment="1" applyProtection="0">
      <alignment vertical="center"/>
    </xf>
    <xf numFmtId="59" fontId="4" borderId="1" applyNumberFormat="1" applyFont="1" applyFill="0" applyBorder="1" applyAlignment="1" applyProtection="0">
      <alignment vertical="center"/>
    </xf>
    <xf numFmtId="10" fontId="4" borderId="2" applyNumberFormat="1" applyFont="1" applyFill="0" applyBorder="1" applyAlignment="1" applyProtection="0">
      <alignment vertical="center"/>
    </xf>
    <xf numFmtId="10" fontId="4" fillId="3" borderId="3" applyNumberFormat="1" applyFont="1" applyFill="1" applyBorder="1" applyAlignment="1" applyProtection="0">
      <alignment vertical="center"/>
    </xf>
    <xf numFmtId="0" fontId="4" borderId="4" applyNumberFormat="0" applyFont="1" applyFill="0" applyBorder="1" applyAlignment="1" applyProtection="0">
      <alignment vertical="center"/>
    </xf>
    <xf numFmtId="60" fontId="4" borderId="1" applyNumberFormat="1" applyFont="1" applyFill="0" applyBorder="1" applyAlignment="1" applyProtection="0">
      <alignment vertical="center"/>
    </xf>
    <xf numFmtId="0" fontId="4" fillId="2" borderId="1" applyNumberFormat="0" applyFont="1" applyFill="1" applyBorder="1" applyAlignment="1" applyProtection="0">
      <alignment vertical="center" wrapText="1"/>
    </xf>
    <xf numFmtId="0" fontId="4" borderId="5" applyNumberFormat="0" applyFont="1" applyFill="0" applyBorder="1" applyAlignment="1" applyProtection="0">
      <alignment vertical="center"/>
    </xf>
    <xf numFmtId="0" fontId="3" borderId="1" applyNumberFormat="0" applyFont="1" applyFill="0" applyBorder="1" applyAlignment="1" applyProtection="0">
      <alignment horizontal="center" vertical="center"/>
    </xf>
    <xf numFmtId="0" fontId="3" fillId="2" borderId="1" applyNumberFormat="0" applyFont="1" applyFill="1" applyBorder="1" applyAlignment="1" applyProtection="0">
      <alignment horizontal="center" vertical="center" wrapText="1"/>
    </xf>
    <xf numFmtId="3" fontId="4" borderId="1" applyNumberFormat="1" applyFont="1" applyFill="0" applyBorder="1" applyAlignment="1" applyProtection="0">
      <alignment vertical="center"/>
    </xf>
    <xf numFmtId="2" fontId="3" borderId="1" applyNumberFormat="1" applyFont="1" applyFill="0" applyBorder="1" applyAlignment="1" applyProtection="0">
      <alignment vertical="center"/>
    </xf>
    <xf numFmtId="59" fontId="3" borderId="1" applyNumberFormat="1" applyFont="1" applyFill="0" applyBorder="1" applyAlignment="1" applyProtection="0">
      <alignment vertical="center"/>
    </xf>
    <xf numFmtId="61" fontId="4" borderId="1" applyNumberFormat="1" applyFont="1" applyFill="0" applyBorder="1" applyAlignment="1" applyProtection="0">
      <alignment vertical="center"/>
    </xf>
    <xf numFmtId="0" fontId="4" borderId="6" applyNumberFormat="0" applyFont="1" applyFill="0" applyBorder="1" applyAlignment="1" applyProtection="0">
      <alignment vertical="center"/>
    </xf>
    <xf numFmtId="62" fontId="4" borderId="1" applyNumberFormat="1" applyFont="1" applyFill="0" applyBorder="1" applyAlignment="1" applyProtection="0">
      <alignment vertical="center"/>
    </xf>
    <xf numFmtId="0" fontId="4" fillId="2" borderId="2" applyNumberFormat="1" applyFont="1" applyFill="1" applyBorder="1" applyAlignment="1" applyProtection="0">
      <alignment vertical="center" wrapText="1"/>
    </xf>
    <xf numFmtId="0" fontId="4" fillId="2" borderId="7" applyNumberFormat="0" applyFont="1" applyFill="1" applyBorder="1" applyAlignment="1" applyProtection="0">
      <alignment vertical="center" wrapText="1"/>
    </xf>
    <xf numFmtId="0" fontId="4" borderId="7" applyNumberFormat="0" applyFont="1" applyFill="0" applyBorder="1" applyAlignment="1" applyProtection="0">
      <alignment vertical="center"/>
    </xf>
    <xf numFmtId="0" fontId="4" fillId="4" borderId="8" applyNumberFormat="0" applyFont="1" applyFill="1" applyBorder="1" applyAlignment="1" applyProtection="0">
      <alignment vertical="center"/>
    </xf>
    <xf numFmtId="49" fontId="4" borderId="4" applyNumberFormat="1" applyFont="1" applyFill="0" applyBorder="1" applyAlignment="1" applyProtection="0">
      <alignment vertical="center"/>
    </xf>
    <xf numFmtId="0" fontId="0" borderId="1" applyNumberFormat="0" applyFont="1" applyFill="0" applyBorder="1" applyAlignment="1" applyProtection="0">
      <alignment vertical="center"/>
    </xf>
    <xf numFmtId="49" fontId="3" borderId="9" applyNumberFormat="1" applyFont="1" applyFill="0" applyBorder="1" applyAlignment="1" applyProtection="0">
      <alignment horizontal="center" vertical="center"/>
    </xf>
    <xf numFmtId="0" fontId="0" borderId="9" applyNumberFormat="0" applyFont="1" applyFill="0" applyBorder="1" applyAlignment="1" applyProtection="0">
      <alignment vertical="center"/>
    </xf>
    <xf numFmtId="0" fontId="4" borderId="9" applyNumberFormat="0" applyFont="1" applyFill="0" applyBorder="1" applyAlignment="1" applyProtection="0">
      <alignment vertical="center"/>
    </xf>
    <xf numFmtId="3" fontId="4" fillId="2" borderId="1" applyNumberFormat="1" applyFont="1" applyFill="1" applyBorder="1" applyAlignment="1" applyProtection="0">
      <alignment vertical="bottom"/>
    </xf>
    <xf numFmtId="0" fontId="3" borderId="10" applyNumberFormat="0" applyFont="1" applyFill="0" applyBorder="1" applyAlignment="1" applyProtection="0">
      <alignment vertical="center"/>
    </xf>
    <xf numFmtId="49" fontId="3" borderId="5" applyNumberFormat="1" applyFont="1" applyFill="0" applyBorder="1" applyAlignment="1" applyProtection="0">
      <alignment vertical="center"/>
    </xf>
    <xf numFmtId="3" fontId="3" borderId="1" applyNumberFormat="1" applyFont="1" applyFill="0" applyBorder="1" applyAlignment="1" applyProtection="0">
      <alignment vertical="center"/>
    </xf>
    <xf numFmtId="49" fontId="3" fillId="5" borderId="11" applyNumberFormat="1" applyFont="1" applyFill="1" applyBorder="1" applyAlignment="1" applyProtection="0">
      <alignment horizontal="left" vertical="center"/>
    </xf>
    <xf numFmtId="0" fontId="0" borderId="12" applyNumberFormat="0" applyFont="1" applyFill="0" applyBorder="1" applyAlignment="1" applyProtection="0">
      <alignment vertical="center"/>
    </xf>
    <xf numFmtId="0" fontId="0" borderId="13" applyNumberFormat="0" applyFont="1" applyFill="0" applyBorder="1" applyAlignment="1" applyProtection="0">
      <alignment vertical="center"/>
    </xf>
    <xf numFmtId="0" fontId="3" borderId="14" applyNumberFormat="0" applyFont="1" applyFill="0" applyBorder="1" applyAlignment="1" applyProtection="0">
      <alignment horizontal="center" vertical="center"/>
    </xf>
    <xf numFmtId="49" fontId="3" fillId="6" borderId="11" applyNumberFormat="1" applyFont="1" applyFill="1" applyBorder="1" applyAlignment="1" applyProtection="0">
      <alignment horizontal="center" vertical="center" wrapText="1"/>
    </xf>
    <xf numFmtId="0" fontId="0" borderId="15" applyNumberFormat="0" applyFont="1" applyFill="0" applyBorder="1" applyAlignment="1" applyProtection="0">
      <alignment vertical="center"/>
    </xf>
    <xf numFmtId="49" fontId="3" fillId="7" borderId="11" applyNumberFormat="1" applyFont="1" applyFill="1" applyBorder="1" applyAlignment="1" applyProtection="0">
      <alignment horizontal="center" vertical="center"/>
    </xf>
    <xf numFmtId="49" fontId="3" fillId="8" borderId="11" applyNumberFormat="1" applyFont="1" applyFill="1" applyBorder="1" applyAlignment="1" applyProtection="0">
      <alignment horizontal="center" vertical="center" wrapText="1"/>
    </xf>
    <xf numFmtId="0" fontId="3" fillId="2" borderId="14" applyNumberFormat="0" applyFont="1" applyFill="1" applyBorder="1" applyAlignment="1" applyProtection="0">
      <alignment horizontal="center" vertical="center" wrapText="1"/>
    </xf>
    <xf numFmtId="49" fontId="3" fillId="9" borderId="11" applyNumberFormat="1" applyFont="1" applyFill="1" applyBorder="1" applyAlignment="1" applyProtection="0">
      <alignment horizontal="center" vertical="center" wrapText="1"/>
    </xf>
    <xf numFmtId="49" fontId="3" fillId="10" borderId="16" applyNumberFormat="1" applyFont="1" applyFill="1" applyBorder="1" applyAlignment="1" applyProtection="0">
      <alignment horizontal="center" vertical="center" wrapText="1"/>
    </xf>
    <xf numFmtId="49" fontId="3" fillId="11" borderId="11" applyNumberFormat="1" applyFont="1" applyFill="1" applyBorder="1" applyAlignment="1" applyProtection="0">
      <alignment horizontal="center" vertical="center"/>
    </xf>
    <xf numFmtId="49" fontId="3" fillId="12" borderId="11" applyNumberFormat="1" applyFont="1" applyFill="1" applyBorder="1" applyAlignment="1" applyProtection="0">
      <alignment horizontal="center" vertical="center"/>
    </xf>
    <xf numFmtId="49" fontId="3" fillId="13" borderId="11" applyNumberFormat="1" applyFont="1" applyFill="1" applyBorder="1" applyAlignment="1" applyProtection="0">
      <alignment horizontal="center" vertical="center"/>
    </xf>
    <xf numFmtId="49" fontId="3" fillId="14" borderId="16" applyNumberFormat="1" applyFont="1" applyFill="1" applyBorder="1" applyAlignment="1" applyProtection="0">
      <alignment vertical="center" wrapText="1"/>
    </xf>
    <xf numFmtId="49" fontId="3" fillId="2" borderId="17" applyNumberFormat="1" applyFont="1" applyFill="1" applyBorder="1" applyAlignment="1" applyProtection="0">
      <alignment horizontal="center" vertical="center" wrapText="1"/>
    </xf>
    <xf numFmtId="0" fontId="3" fillId="2" borderId="7" applyNumberFormat="0" applyFont="1" applyFill="1" applyBorder="1" applyAlignment="1" applyProtection="0">
      <alignment horizontal="center" vertical="center" wrapText="1"/>
    </xf>
    <xf numFmtId="0" fontId="3" fillId="15" borderId="8" applyNumberFormat="0" applyFont="1" applyFill="1" applyBorder="1" applyAlignment="1" applyProtection="0">
      <alignment vertical="center"/>
    </xf>
    <xf numFmtId="49" fontId="3" fillId="15" borderId="8" applyNumberFormat="1" applyFont="1" applyFill="1" applyBorder="1" applyAlignment="1" applyProtection="0">
      <alignment vertical="center"/>
    </xf>
    <xf numFmtId="59" fontId="3" borderId="4" applyNumberFormat="1" applyFont="1" applyFill="0" applyBorder="1" applyAlignment="1" applyProtection="0">
      <alignment vertical="center"/>
    </xf>
    <xf numFmtId="49" fontId="3" fillId="2" borderId="18" applyNumberFormat="1" applyFont="1" applyFill="1" applyBorder="1" applyAlignment="1" applyProtection="0">
      <alignment horizontal="center" vertical="center" wrapText="1"/>
    </xf>
    <xf numFmtId="0" fontId="0" borderId="19" applyNumberFormat="0" applyFont="1" applyFill="0" applyBorder="1" applyAlignment="1" applyProtection="0">
      <alignment vertical="center"/>
    </xf>
    <xf numFmtId="49" fontId="3" fillId="2" borderId="18" applyNumberFormat="1" applyFont="1" applyFill="1" applyBorder="1" applyAlignment="1" applyProtection="0">
      <alignment vertical="center" wrapText="1"/>
    </xf>
    <xf numFmtId="49" fontId="4" fillId="2" borderId="18" applyNumberFormat="1" applyFont="1" applyFill="1" applyBorder="1" applyAlignment="1" applyProtection="0">
      <alignment vertical="center" wrapText="1"/>
    </xf>
    <xf numFmtId="49" fontId="4" fillId="2" borderId="18" applyNumberFormat="1" applyFont="1" applyFill="1" applyBorder="1" applyAlignment="1" applyProtection="0">
      <alignment horizontal="center" vertical="center" wrapText="1"/>
    </xf>
    <xf numFmtId="0" fontId="0" borderId="20" applyNumberFormat="0" applyFont="1" applyFill="0" applyBorder="1" applyAlignment="1" applyProtection="0">
      <alignment vertical="center"/>
    </xf>
    <xf numFmtId="49" fontId="3" fillId="2" borderId="21" applyNumberFormat="1" applyFont="1" applyFill="1" applyBorder="1" applyAlignment="1" applyProtection="0">
      <alignment horizontal="center" vertical="center" wrapText="1"/>
    </xf>
    <xf numFmtId="0" fontId="0" borderId="22" applyNumberFormat="0" applyFont="1" applyFill="0" applyBorder="1" applyAlignment="1" applyProtection="0">
      <alignment vertical="center"/>
    </xf>
    <xf numFmtId="0" fontId="3" fillId="2" borderId="22" applyNumberFormat="0" applyFont="1" applyFill="1" applyBorder="1" applyAlignment="1" applyProtection="0">
      <alignment horizontal="center" vertical="center" wrapText="1"/>
    </xf>
    <xf numFmtId="0" fontId="4" borderId="22" applyNumberFormat="0" applyFont="1" applyFill="0" applyBorder="1" applyAlignment="1" applyProtection="0">
      <alignment vertical="center"/>
    </xf>
    <xf numFmtId="49" fontId="4" borderId="23" applyNumberFormat="1" applyFont="1" applyFill="0" applyBorder="1" applyAlignment="1" applyProtection="0">
      <alignment vertical="center"/>
    </xf>
    <xf numFmtId="0" fontId="0" borderId="24" applyNumberFormat="0" applyFont="1" applyFill="0" applyBorder="1" applyAlignment="1" applyProtection="0">
      <alignment vertical="center"/>
    </xf>
    <xf numFmtId="49" fontId="3" fillId="2" borderId="14" applyNumberFormat="1" applyFont="1" applyFill="1" applyBorder="1" applyAlignment="1" applyProtection="0">
      <alignment horizontal="center" vertical="center" wrapText="1"/>
    </xf>
    <xf numFmtId="49" fontId="3" fillId="2" borderId="14" applyNumberFormat="1" applyFont="1" applyFill="1" applyBorder="1" applyAlignment="1" applyProtection="0">
      <alignment vertical="center" wrapText="1"/>
    </xf>
    <xf numFmtId="49" fontId="4" fillId="2" borderId="14" applyNumberFormat="1" applyFont="1" applyFill="1" applyBorder="1" applyAlignment="1" applyProtection="0">
      <alignment vertical="center" wrapText="1"/>
    </xf>
    <xf numFmtId="49" fontId="4" fillId="2" borderId="22" applyNumberFormat="1" applyFont="1" applyFill="1" applyBorder="1" applyAlignment="1" applyProtection="0">
      <alignment horizontal="center" vertical="bottom" wrapText="1"/>
    </xf>
    <xf numFmtId="49" fontId="4" fillId="2" borderId="22" applyNumberFormat="1" applyFont="1" applyFill="1" applyBorder="1" applyAlignment="1" applyProtection="0">
      <alignment horizontal="center" vertical="bottom"/>
    </xf>
    <xf numFmtId="0" fontId="4" borderId="25" applyNumberFormat="0" applyFont="1" applyFill="0" applyBorder="1" applyAlignment="1" applyProtection="0">
      <alignment vertical="center"/>
    </xf>
    <xf numFmtId="49" fontId="4" borderId="1" applyNumberFormat="1" applyFont="1" applyFill="0" applyBorder="1" applyAlignment="1" applyProtection="0">
      <alignment vertical="center"/>
    </xf>
    <xf numFmtId="0" fontId="4" fillId="2" borderId="14" applyNumberFormat="0" applyFont="1" applyFill="1" applyBorder="1" applyAlignment="1" applyProtection="0">
      <alignment horizontal="center" vertical="center" wrapText="1"/>
    </xf>
    <xf numFmtId="49" fontId="4" fillId="2" borderId="14" applyNumberFormat="1" applyFont="1" applyFill="1" applyBorder="1" applyAlignment="1" applyProtection="0">
      <alignment horizontal="center" vertical="center" wrapText="1"/>
    </xf>
    <xf numFmtId="0" fontId="4" fillId="2" borderId="14" applyNumberFormat="0" applyFont="1" applyFill="1" applyBorder="1" applyAlignment="1" applyProtection="0">
      <alignment horizontal="center" vertical="bottom" wrapText="1"/>
    </xf>
    <xf numFmtId="0" fontId="4" fillId="2" borderId="22" applyNumberFormat="0" applyFont="1" applyFill="1" applyBorder="1" applyAlignment="1" applyProtection="0">
      <alignment horizontal="center" vertical="bottom" wrapText="1"/>
    </xf>
    <xf numFmtId="0" fontId="4" borderId="22" applyNumberFormat="0" applyFont="1" applyFill="0" applyBorder="1" applyAlignment="1" applyProtection="0">
      <alignment horizontal="center" vertical="center"/>
    </xf>
    <xf numFmtId="0" fontId="4" borderId="25" applyNumberFormat="0" applyFont="1" applyFill="0" applyBorder="1" applyAlignment="1" applyProtection="0">
      <alignment horizontal="center" vertical="center"/>
    </xf>
    <xf numFmtId="0" fontId="4" fillId="2" borderId="14" applyNumberFormat="0" applyFont="1" applyFill="1" applyBorder="1" applyAlignment="1" applyProtection="0">
      <alignment horizontal="center" vertical="bottom"/>
    </xf>
    <xf numFmtId="0" fontId="4" fillId="2" borderId="14" applyNumberFormat="1" applyFont="1" applyFill="1" applyBorder="1" applyAlignment="1" applyProtection="0">
      <alignment vertical="bottom"/>
    </xf>
    <xf numFmtId="0" fontId="4" fillId="2" borderId="14" applyNumberFormat="0" applyFont="1" applyFill="1" applyBorder="1" applyAlignment="1" applyProtection="0">
      <alignment vertical="bottom"/>
    </xf>
    <xf numFmtId="0" fontId="4" fillId="2" borderId="22" applyNumberFormat="0" applyFont="1" applyFill="1" applyBorder="1" applyAlignment="1" applyProtection="0">
      <alignment horizontal="center" vertical="bottom"/>
    </xf>
    <xf numFmtId="2" fontId="4" borderId="22" applyNumberFormat="1" applyFont="1" applyFill="0" applyBorder="1" applyAlignment="1" applyProtection="0">
      <alignment vertical="center"/>
    </xf>
    <xf numFmtId="0" fontId="4" borderId="14" applyNumberFormat="1" applyFont="1" applyFill="0" applyBorder="1" applyAlignment="1" applyProtection="0">
      <alignment horizontal="center" vertical="center"/>
    </xf>
    <xf numFmtId="49" fontId="4" borderId="14" applyNumberFormat="1" applyFont="1" applyFill="0" applyBorder="1" applyAlignment="1" applyProtection="0">
      <alignment horizontal="center" vertical="center"/>
    </xf>
    <xf numFmtId="49" fontId="4" borderId="14" applyNumberFormat="1" applyFont="1" applyFill="0" applyBorder="1" applyAlignment="1" applyProtection="0">
      <alignment vertical="center"/>
    </xf>
    <xf numFmtId="0" fontId="4" borderId="14" applyNumberFormat="0" applyFont="1" applyFill="0" applyBorder="1" applyAlignment="1" applyProtection="0">
      <alignment horizontal="center" vertical="center"/>
    </xf>
    <xf numFmtId="3" fontId="4" borderId="14" applyNumberFormat="1" applyFont="1" applyFill="0" applyBorder="1" applyAlignment="1" applyProtection="0">
      <alignment vertical="center"/>
    </xf>
    <xf numFmtId="3" fontId="4" fillId="16" borderId="14" applyNumberFormat="1" applyFont="1" applyFill="1" applyBorder="1" applyAlignment="1" applyProtection="0">
      <alignment horizontal="center" vertical="center"/>
    </xf>
    <xf numFmtId="3" fontId="4" borderId="14" applyNumberFormat="1" applyFont="1" applyFill="0" applyBorder="1" applyAlignment="1" applyProtection="0">
      <alignment horizontal="center" vertical="center"/>
    </xf>
    <xf numFmtId="2" fontId="4" borderId="14" applyNumberFormat="1" applyFont="1" applyFill="0" applyBorder="1" applyAlignment="1" applyProtection="0">
      <alignment vertical="center"/>
    </xf>
    <xf numFmtId="0" fontId="4" borderId="14" applyNumberFormat="0" applyFont="1" applyFill="0" applyBorder="1" applyAlignment="1" applyProtection="0">
      <alignment vertical="center"/>
    </xf>
    <xf numFmtId="63" fontId="4" borderId="14" applyNumberFormat="1" applyFont="1" applyFill="0" applyBorder="1" applyAlignment="1" applyProtection="0">
      <alignment vertical="center"/>
    </xf>
    <xf numFmtId="59" fontId="4" borderId="14" applyNumberFormat="1" applyFont="1" applyFill="0" applyBorder="1" applyAlignment="1" applyProtection="0">
      <alignment vertical="center"/>
    </xf>
    <xf numFmtId="59" fontId="4" fillId="2" borderId="14" applyNumberFormat="1" applyFont="1" applyFill="1" applyBorder="1" applyAlignment="1" applyProtection="0">
      <alignment vertical="center" wrapText="1"/>
    </xf>
    <xf numFmtId="3" fontId="3" borderId="14" applyNumberFormat="1" applyFont="1" applyFill="0" applyBorder="1" applyAlignment="1" applyProtection="0">
      <alignment vertical="center"/>
    </xf>
    <xf numFmtId="3" fontId="4" fillId="17" borderId="14" applyNumberFormat="1" applyFont="1" applyFill="1" applyBorder="1" applyAlignment="1" applyProtection="0">
      <alignment vertical="center"/>
    </xf>
    <xf numFmtId="49" fontId="4" fillId="2" borderId="22" applyNumberFormat="1" applyFont="1" applyFill="1" applyBorder="1" applyAlignment="1" applyProtection="0">
      <alignment vertical="center" wrapText="1"/>
    </xf>
    <xf numFmtId="3" fontId="4" borderId="22" applyNumberFormat="1" applyFont="1" applyFill="0" applyBorder="1" applyAlignment="1" applyProtection="0">
      <alignment vertical="center"/>
    </xf>
    <xf numFmtId="1" fontId="4" borderId="22" applyNumberFormat="1" applyFont="1" applyFill="0" applyBorder="1" applyAlignment="1" applyProtection="0">
      <alignment vertical="center"/>
    </xf>
    <xf numFmtId="3" fontId="3" borderId="25" applyNumberFormat="1" applyFont="1" applyFill="0" applyBorder="1" applyAlignment="1" applyProtection="0">
      <alignment vertical="center"/>
    </xf>
    <xf numFmtId="49" fontId="3" borderId="1" applyNumberFormat="1" applyFont="1" applyFill="0" applyBorder="1" applyAlignment="1" applyProtection="0">
      <alignment vertical="center"/>
    </xf>
    <xf numFmtId="0" fontId="4" borderId="14" applyNumberFormat="1" applyFont="1" applyFill="0" applyBorder="1" applyAlignment="1" applyProtection="0">
      <alignment vertical="center"/>
    </xf>
    <xf numFmtId="0" fontId="4" fillId="2" borderId="22" applyNumberFormat="0" applyFont="1" applyFill="1" applyBorder="1" applyAlignment="1" applyProtection="0">
      <alignment vertical="center" wrapText="1"/>
    </xf>
    <xf numFmtId="49" fontId="3" borderId="25" applyNumberFormat="1" applyFont="1" applyFill="0" applyBorder="1" applyAlignment="1" applyProtection="0">
      <alignment vertical="center"/>
    </xf>
    <xf numFmtId="0" fontId="4" fillId="2" borderId="14" applyNumberFormat="0" applyFont="1" applyFill="1" applyBorder="1" applyAlignment="1" applyProtection="0">
      <alignment vertical="center" wrapText="1"/>
    </xf>
    <xf numFmtId="0" fontId="4" borderId="26" applyNumberFormat="1" applyFont="1" applyFill="0" applyBorder="1" applyAlignment="1" applyProtection="0">
      <alignment horizontal="center" vertical="center"/>
    </xf>
    <xf numFmtId="49" fontId="4" borderId="27" applyNumberFormat="1" applyFont="1" applyFill="0" applyBorder="1" applyAlignment="1" applyProtection="0">
      <alignment horizontal="center" vertical="center"/>
    </xf>
    <xf numFmtId="3" fontId="5" borderId="14" applyNumberFormat="1" applyFont="1" applyFill="0" applyBorder="1" applyAlignment="1" applyProtection="0">
      <alignment horizontal="center" vertical="center"/>
    </xf>
    <xf numFmtId="9" fontId="4" borderId="14" applyNumberFormat="1" applyFont="1" applyFill="0" applyBorder="1" applyAlignment="1" applyProtection="0">
      <alignment horizontal="center" vertical="center"/>
    </xf>
    <xf numFmtId="59" fontId="3" borderId="14" applyNumberFormat="1" applyFont="1" applyFill="0" applyBorder="1" applyAlignment="1" applyProtection="0">
      <alignment vertical="center"/>
    </xf>
    <xf numFmtId="2" fontId="4" borderId="14" applyNumberFormat="1" applyFont="1" applyFill="0" applyBorder="1" applyAlignment="1" applyProtection="0">
      <alignment horizontal="center" vertical="center"/>
    </xf>
    <xf numFmtId="49" fontId="6" fillId="2" borderId="14" applyNumberFormat="1" applyFont="1" applyFill="1" applyBorder="1" applyAlignment="1" applyProtection="0">
      <alignment vertical="bottom"/>
    </xf>
    <xf numFmtId="49" fontId="4" fillId="2" borderId="14" applyNumberFormat="1" applyFont="1" applyFill="1" applyBorder="1" applyAlignment="1" applyProtection="0">
      <alignment vertical="bottom"/>
    </xf>
    <xf numFmtId="49" fontId="4" fillId="2" borderId="14" applyNumberFormat="1" applyFont="1" applyFill="1" applyBorder="1" applyAlignment="1" applyProtection="0">
      <alignment vertical="bottom" wrapText="1"/>
    </xf>
    <xf numFmtId="49" fontId="4" fillId="2" borderId="14" applyNumberFormat="1" applyFont="1" applyFill="1" applyBorder="1" applyAlignment="1" applyProtection="0">
      <alignment horizontal="center" vertical="bottom"/>
    </xf>
    <xf numFmtId="3" fontId="6" borderId="14" applyNumberFormat="1" applyFont="1" applyFill="0" applyBorder="1" applyAlignment="1" applyProtection="0">
      <alignment vertical="center"/>
    </xf>
    <xf numFmtId="2" fontId="6" borderId="14" applyNumberFormat="1" applyFont="1" applyFill="0" applyBorder="1" applyAlignment="1" applyProtection="0">
      <alignment vertical="center"/>
    </xf>
    <xf numFmtId="63" fontId="6" borderId="14" applyNumberFormat="1" applyFont="1" applyFill="0" applyBorder="1" applyAlignment="1" applyProtection="0">
      <alignment vertical="center"/>
    </xf>
    <xf numFmtId="49" fontId="6" borderId="14" applyNumberFormat="1" applyFont="1" applyFill="0" applyBorder="1" applyAlignment="1" applyProtection="0">
      <alignment vertical="center"/>
    </xf>
    <xf numFmtId="0" fontId="6" borderId="14" applyNumberFormat="0" applyFont="1" applyFill="0" applyBorder="1" applyAlignment="1" applyProtection="0">
      <alignment vertical="center"/>
    </xf>
    <xf numFmtId="59" fontId="6" borderId="14" applyNumberFormat="1" applyFont="1" applyFill="0" applyBorder="1" applyAlignment="1" applyProtection="0">
      <alignment vertical="center"/>
    </xf>
    <xf numFmtId="49" fontId="6" fillId="2" borderId="14" applyNumberFormat="1" applyFont="1" applyFill="1" applyBorder="1" applyAlignment="1" applyProtection="0">
      <alignment vertical="center" wrapText="1"/>
    </xf>
    <xf numFmtId="0" fontId="6" fillId="2" borderId="22" applyNumberFormat="0" applyFont="1" applyFill="1" applyBorder="1" applyAlignment="1" applyProtection="0">
      <alignment vertical="center" wrapText="1"/>
    </xf>
    <xf numFmtId="49" fontId="7" borderId="14" applyNumberFormat="1" applyFont="1" applyFill="0" applyBorder="1" applyAlignment="1" applyProtection="0">
      <alignment vertical="center"/>
    </xf>
    <xf numFmtId="9" fontId="6" borderId="14" applyNumberFormat="1" applyFont="1" applyFill="0" applyBorder="1" applyAlignment="1" applyProtection="0">
      <alignment horizontal="center" vertical="center"/>
    </xf>
    <xf numFmtId="49" fontId="6" borderId="14" applyNumberFormat="1" applyFont="1" applyFill="0" applyBorder="1" applyAlignment="1" applyProtection="0">
      <alignment horizontal="center" vertical="center"/>
    </xf>
    <xf numFmtId="3" fontId="6" borderId="14" applyNumberFormat="1" applyFont="1" applyFill="0" applyBorder="1" applyAlignment="1" applyProtection="0">
      <alignment horizontal="center" vertical="center"/>
    </xf>
    <xf numFmtId="49" fontId="4" fillId="18" borderId="14" applyNumberFormat="1" applyFont="1" applyFill="1" applyBorder="1" applyAlignment="1" applyProtection="0">
      <alignment vertical="center" wrapText="1"/>
    </xf>
    <xf numFmtId="49" fontId="8" fillId="2" borderId="14" applyNumberFormat="1" applyFont="1" applyFill="1" applyBorder="1" applyAlignment="1" applyProtection="0">
      <alignment vertical="center" wrapText="1"/>
    </xf>
    <xf numFmtId="0" fontId="9" borderId="14" applyNumberFormat="0" applyFont="1" applyFill="0" applyBorder="1" applyAlignment="1" applyProtection="0">
      <alignment horizontal="center" vertical="center"/>
    </xf>
    <xf numFmtId="3" fontId="10" borderId="14" applyNumberFormat="1" applyFont="1" applyFill="0" applyBorder="1" applyAlignment="1" applyProtection="0">
      <alignment vertical="center"/>
    </xf>
    <xf numFmtId="0" fontId="11" borderId="14" applyNumberFormat="0" applyFont="1" applyFill="0" applyBorder="1" applyAlignment="1" applyProtection="0">
      <alignment horizontal="center" vertical="center"/>
    </xf>
    <xf numFmtId="49" fontId="9" fillId="19" borderId="14" applyNumberFormat="1" applyFont="1" applyFill="1" applyBorder="1" applyAlignment="1" applyProtection="0">
      <alignment horizontal="center" vertical="center"/>
    </xf>
    <xf numFmtId="0" fontId="11" fillId="20" borderId="14" applyNumberFormat="0" applyFont="1" applyFill="1" applyBorder="1" applyAlignment="1" applyProtection="0">
      <alignment horizontal="center" vertical="center"/>
    </xf>
    <xf numFmtId="0" fontId="12" fillId="21" borderId="14" applyNumberFormat="0" applyFont="1" applyFill="1" applyBorder="1" applyAlignment="1" applyProtection="0">
      <alignment vertical="center"/>
    </xf>
    <xf numFmtId="0" fontId="13" fillId="2" borderId="14" applyNumberFormat="0" applyFont="1" applyFill="1" applyBorder="1" applyAlignment="1" applyProtection="0">
      <alignment vertical="center" wrapText="1"/>
    </xf>
    <xf numFmtId="0" fontId="4" borderId="26" applyNumberFormat="0" applyFont="1" applyFill="0" applyBorder="1" applyAlignment="1" applyProtection="0">
      <alignment horizontal="center" vertical="center"/>
    </xf>
    <xf numFmtId="0" fontId="11" borderId="27" applyNumberFormat="0" applyFont="1" applyFill="0" applyBorder="1" applyAlignment="1" applyProtection="0">
      <alignment horizontal="center" vertical="center"/>
    </xf>
    <xf numFmtId="0" fontId="12" borderId="14" applyNumberFormat="0" applyFont="1" applyFill="0" applyBorder="1" applyAlignment="1" applyProtection="0">
      <alignment vertical="center"/>
    </xf>
    <xf numFmtId="0" fontId="6" borderId="14" applyNumberFormat="0" applyFont="1" applyFill="0" applyBorder="1" applyAlignment="1" applyProtection="0">
      <alignment horizontal="center" vertical="center"/>
    </xf>
    <xf numFmtId="0" fontId="6" fillId="2" borderId="14" applyNumberFormat="0" applyFont="1" applyFill="1" applyBorder="1" applyAlignment="1" applyProtection="0">
      <alignment vertical="bottom"/>
    </xf>
    <xf numFmtId="0" fontId="4" fillId="2" borderId="24" applyNumberFormat="0" applyFont="1" applyFill="1" applyBorder="1" applyAlignment="1" applyProtection="0">
      <alignment vertical="center" wrapText="1"/>
    </xf>
    <xf numFmtId="0" fontId="4" borderId="24" applyNumberFormat="0" applyFont="1" applyFill="0" applyBorder="1" applyAlignment="1" applyProtection="0">
      <alignment vertical="center"/>
    </xf>
    <xf numFmtId="49" fontId="3" borderId="14" applyNumberFormat="1" applyFont="1" applyFill="0" applyBorder="1" applyAlignment="1" applyProtection="0">
      <alignment vertical="center"/>
    </xf>
    <xf numFmtId="0" fontId="3" borderId="26" applyNumberFormat="0" applyFont="1" applyFill="0" applyBorder="1" applyAlignment="1" applyProtection="0">
      <alignment vertical="center"/>
    </xf>
    <xf numFmtId="0" fontId="3" borderId="27" applyNumberFormat="0" applyFont="1" applyFill="0" applyBorder="1" applyAlignment="1" applyProtection="0">
      <alignment vertical="center"/>
    </xf>
    <xf numFmtId="3" fontId="6" fillId="2" borderId="14" applyNumberFormat="1" applyFont="1" applyFill="1" applyBorder="1" applyAlignment="1" applyProtection="0">
      <alignment vertical="bottom"/>
    </xf>
    <xf numFmtId="3" fontId="3" borderId="14" applyNumberFormat="1" applyFont="1" applyFill="0" applyBorder="1" applyAlignment="1" applyProtection="0">
      <alignment horizontal="center" vertical="center"/>
    </xf>
    <xf numFmtId="0" fontId="4" borderId="28" applyNumberFormat="0" applyFont="1" applyFill="0" applyBorder="1" applyAlignment="1" applyProtection="0">
      <alignment vertical="center"/>
    </xf>
    <xf numFmtId="0" fontId="4" borderId="28" applyNumberFormat="0" applyFont="1" applyFill="0" applyBorder="1" applyAlignment="1" applyProtection="0">
      <alignment horizontal="center" vertical="center"/>
    </xf>
    <xf numFmtId="0" fontId="4" borderId="29" applyNumberFormat="0" applyFont="1" applyFill="0" applyBorder="1" applyAlignment="1" applyProtection="0">
      <alignment vertical="center"/>
    </xf>
    <xf numFmtId="49" fontId="4" fillId="2" borderId="21" applyNumberFormat="1" applyFont="1" applyFill="1" applyBorder="1" applyAlignment="1" applyProtection="0">
      <alignment vertical="center" wrapText="1"/>
    </xf>
    <xf numFmtId="3" fontId="4" borderId="28" applyNumberFormat="1" applyFont="1" applyFill="0" applyBorder="1" applyAlignment="1" applyProtection="0">
      <alignment vertical="center"/>
    </xf>
    <xf numFmtId="3" fontId="4" fillId="2" borderId="28" applyNumberFormat="1" applyFont="1" applyFill="1" applyBorder="1" applyAlignment="1" applyProtection="0">
      <alignment vertical="bottom"/>
    </xf>
    <xf numFmtId="59" fontId="4" fillId="2" borderId="28" applyNumberFormat="1" applyFont="1" applyFill="1" applyBorder="1" applyAlignment="1" applyProtection="0">
      <alignment vertical="bottom"/>
    </xf>
    <xf numFmtId="59" fontId="4" borderId="28" applyNumberFormat="1" applyFont="1" applyFill="0" applyBorder="1" applyAlignment="1" applyProtection="0">
      <alignment vertical="center"/>
    </xf>
    <xf numFmtId="0" fontId="14" borderId="1" applyNumberFormat="0" applyFont="1" applyFill="0" applyBorder="1" applyAlignment="1" applyProtection="0">
      <alignment vertical="center"/>
    </xf>
    <xf numFmtId="0" fontId="14" borderId="28" applyNumberFormat="0" applyFont="1" applyFill="0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0" borderId="1" applyNumberFormat="1" applyFont="1" applyFill="0" applyBorder="1" applyAlignment="1" applyProtection="0">
      <alignment vertical="center"/>
    </xf>
    <xf numFmtId="0" fontId="15" fillId="2" borderId="1" applyNumberFormat="1" applyFont="1" applyFill="1" applyBorder="1" applyAlignment="1" applyProtection="0">
      <alignment vertical="center"/>
    </xf>
    <xf numFmtId="0" fontId="16" fillId="2" borderId="1" applyNumberFormat="1" applyFont="1" applyFill="1" applyBorder="1" applyAlignment="1" applyProtection="0">
      <alignment vertical="center"/>
    </xf>
    <xf numFmtId="0" fontId="0" fillId="2" borderId="1" applyNumberFormat="1" applyFont="1" applyFill="1" applyBorder="1" applyAlignment="1" applyProtection="0">
      <alignment vertical="center"/>
    </xf>
    <xf numFmtId="0" fontId="0" fillId="3" borderId="1" applyNumberFormat="1" applyFont="1" applyFill="1" applyBorder="1" applyAlignment="1" applyProtection="0">
      <alignment vertical="center"/>
    </xf>
    <xf numFmtId="0" fontId="0" fillId="10" borderId="1" applyNumberFormat="1" applyFont="1" applyFill="1" applyBorder="1" applyAlignment="1" applyProtection="0">
      <alignment vertical="center"/>
    </xf>
    <xf numFmtId="49" fontId="17" borderId="1" applyNumberFormat="1" applyFont="1" applyFill="0" applyBorder="1" applyAlignment="1" applyProtection="0">
      <alignment horizontal="left" vertical="center"/>
    </xf>
    <xf numFmtId="0" fontId="18" borderId="1" applyNumberFormat="0" applyFont="1" applyFill="0" applyBorder="1" applyAlignment="1" applyProtection="0">
      <alignment horizontal="center" vertical="center"/>
    </xf>
    <xf numFmtId="0" fontId="18" fillId="2" borderId="1" applyNumberFormat="0" applyFont="1" applyFill="1" applyBorder="1" applyAlignment="1" applyProtection="0">
      <alignment horizontal="center" vertical="center" wrapText="1"/>
    </xf>
    <xf numFmtId="0" fontId="18" borderId="1" applyNumberFormat="0" applyFont="1" applyFill="0" applyBorder="1" applyAlignment="1" applyProtection="0">
      <alignment vertical="center"/>
    </xf>
    <xf numFmtId="3" fontId="18" borderId="1" applyNumberFormat="1" applyFont="1" applyFill="0" applyBorder="1" applyAlignment="1" applyProtection="0">
      <alignment vertical="center"/>
    </xf>
    <xf numFmtId="0" fontId="19" borderId="1" applyNumberFormat="0" applyFont="1" applyFill="0" applyBorder="1" applyAlignment="1" applyProtection="0">
      <alignment horizontal="center" vertical="center"/>
    </xf>
    <xf numFmtId="0" fontId="20" borderId="1" applyNumberFormat="0" applyFont="1" applyFill="0" applyBorder="1" applyAlignment="1" applyProtection="0">
      <alignment vertical="center"/>
    </xf>
    <xf numFmtId="59" fontId="18" borderId="1" applyNumberFormat="1" applyFont="1" applyFill="0" applyBorder="1" applyAlignment="1" applyProtection="0">
      <alignment vertical="center"/>
    </xf>
    <xf numFmtId="0" fontId="21" fillId="2" borderId="1" applyNumberFormat="0" applyFont="1" applyFill="1" applyBorder="1" applyAlignment="1" applyProtection="0">
      <alignment vertical="center"/>
    </xf>
    <xf numFmtId="0" fontId="20" fillId="2" borderId="1" applyNumberFormat="0" applyFont="1" applyFill="1" applyBorder="1" applyAlignment="1" applyProtection="0">
      <alignment vertical="center"/>
    </xf>
    <xf numFmtId="59" fontId="18" fillId="2" borderId="1" applyNumberFormat="1" applyFont="1" applyFill="1" applyBorder="1" applyAlignment="1" applyProtection="0">
      <alignment vertical="center"/>
    </xf>
    <xf numFmtId="60" fontId="18" borderId="1" applyNumberFormat="1" applyFont="1" applyFill="0" applyBorder="1" applyAlignment="1" applyProtection="0">
      <alignment vertical="center"/>
    </xf>
    <xf numFmtId="0" fontId="18" fillId="2" borderId="1" applyNumberFormat="0" applyFont="1" applyFill="1" applyBorder="1" applyAlignment="1" applyProtection="0">
      <alignment vertical="center" wrapText="1"/>
    </xf>
    <xf numFmtId="0" fontId="21" borderId="1" applyNumberFormat="0" applyFont="1" applyFill="0" applyBorder="1" applyAlignment="1" applyProtection="0">
      <alignment vertical="center"/>
    </xf>
    <xf numFmtId="0" fontId="21" borderId="2" applyNumberFormat="0" applyFont="1" applyFill="0" applyBorder="1" applyAlignment="1" applyProtection="0">
      <alignment vertical="center"/>
    </xf>
    <xf numFmtId="0" fontId="22" fillId="3" borderId="3" applyNumberFormat="0" applyFont="1" applyFill="1" applyBorder="1" applyAlignment="1" applyProtection="0">
      <alignment vertical="center"/>
    </xf>
    <xf numFmtId="0" fontId="21" fillId="3" borderId="3" applyNumberFormat="0" applyFont="1" applyFill="1" applyBorder="1" applyAlignment="1" applyProtection="0">
      <alignment vertical="center"/>
    </xf>
    <xf numFmtId="0" fontId="18" borderId="30" applyNumberFormat="0" applyFont="1" applyFill="0" applyBorder="1" applyAlignment="1" applyProtection="0">
      <alignment vertical="center"/>
    </xf>
    <xf numFmtId="0" fontId="18" fillId="2" borderId="1" applyNumberFormat="0" applyFont="1" applyFill="1" applyBorder="1" applyAlignment="1" applyProtection="0">
      <alignment vertical="center"/>
    </xf>
    <xf numFmtId="0" fontId="18" borderId="2" applyNumberFormat="0" applyFont="1" applyFill="0" applyBorder="1" applyAlignment="1" applyProtection="0">
      <alignment vertical="center"/>
    </xf>
    <xf numFmtId="0" fontId="20" borderId="1" applyNumberFormat="0" applyFont="1" applyFill="0" applyBorder="1" applyAlignment="1" applyProtection="0">
      <alignment horizontal="center" vertical="center"/>
    </xf>
    <xf numFmtId="0" fontId="20" fillId="2" borderId="1" applyNumberFormat="0" applyFont="1" applyFill="1" applyBorder="1" applyAlignment="1" applyProtection="0">
      <alignment horizontal="center" vertical="center" wrapText="1"/>
    </xf>
    <xf numFmtId="2" fontId="20" borderId="1" applyNumberFormat="1" applyFont="1" applyFill="0" applyBorder="1" applyAlignment="1" applyProtection="0">
      <alignment vertical="center"/>
    </xf>
    <xf numFmtId="3" fontId="20" borderId="1" applyNumberFormat="1" applyFont="1" applyFill="0" applyBorder="1" applyAlignment="1" applyProtection="0">
      <alignment vertical="center"/>
    </xf>
    <xf numFmtId="59" fontId="20" borderId="1" applyNumberFormat="1" applyFont="1" applyFill="0" applyBorder="1" applyAlignment="1" applyProtection="0">
      <alignment vertical="center"/>
    </xf>
    <xf numFmtId="0" fontId="22" fillId="2" borderId="1" applyNumberFormat="0" applyFont="1" applyFill="1" applyBorder="1" applyAlignment="1" applyProtection="0">
      <alignment vertical="center"/>
    </xf>
    <xf numFmtId="61" fontId="18" borderId="1" applyNumberFormat="1" applyFont="1" applyFill="0" applyBorder="1" applyAlignment="1" applyProtection="0">
      <alignment vertical="center"/>
    </xf>
    <xf numFmtId="62" fontId="18" borderId="1" applyNumberFormat="1" applyFont="1" applyFill="0" applyBorder="1" applyAlignment="1" applyProtection="0">
      <alignment vertical="center"/>
    </xf>
    <xf numFmtId="0" fontId="22" fillId="3" borderId="8" applyNumberFormat="0" applyFont="1" applyFill="1" applyBorder="1" applyAlignment="1" applyProtection="0">
      <alignment vertical="center"/>
    </xf>
    <xf numFmtId="0" fontId="21" fillId="3" borderId="8" applyNumberFormat="0" applyFont="1" applyFill="1" applyBorder="1" applyAlignment="1" applyProtection="0">
      <alignment vertical="center"/>
    </xf>
    <xf numFmtId="0" fontId="18" fillId="4" borderId="8" applyNumberFormat="0" applyFont="1" applyFill="1" applyBorder="1" applyAlignment="1" applyProtection="0">
      <alignment vertical="center"/>
    </xf>
    <xf numFmtId="49" fontId="18" borderId="4" applyNumberFormat="1" applyFont="1" applyFill="0" applyBorder="1" applyAlignment="1" applyProtection="0">
      <alignment vertical="center"/>
    </xf>
    <xf numFmtId="49" fontId="23" borderId="9" applyNumberFormat="1" applyFont="1" applyFill="0" applyBorder="1" applyAlignment="1" applyProtection="0">
      <alignment horizontal="left" vertical="center"/>
    </xf>
    <xf numFmtId="0" fontId="24" borderId="9" applyNumberFormat="0" applyFont="1" applyFill="0" applyBorder="1" applyAlignment="1" applyProtection="0">
      <alignment horizontal="left" vertical="center"/>
    </xf>
    <xf numFmtId="0" fontId="24" fillId="2" borderId="9" applyNumberFormat="0" applyFont="1" applyFill="1" applyBorder="1" applyAlignment="1" applyProtection="0">
      <alignment horizontal="left" vertical="center"/>
    </xf>
    <xf numFmtId="0" fontId="25" fillId="2" borderId="9" applyNumberFormat="0" applyFont="1" applyFill="1" applyBorder="1" applyAlignment="1" applyProtection="0">
      <alignment horizontal="left" vertical="center"/>
    </xf>
    <xf numFmtId="0" fontId="18" borderId="9" applyNumberFormat="0" applyFont="1" applyFill="0" applyBorder="1" applyAlignment="1" applyProtection="0">
      <alignment vertical="center"/>
    </xf>
    <xf numFmtId="3" fontId="21" fillId="2" borderId="1" applyNumberFormat="1" applyFont="1" applyFill="1" applyBorder="1" applyAlignment="1" applyProtection="0">
      <alignment vertical="bottom"/>
    </xf>
    <xf numFmtId="0" fontId="20" borderId="31" applyNumberFormat="0" applyFont="1" applyFill="0" applyBorder="1" applyAlignment="1" applyProtection="0">
      <alignment vertical="center"/>
    </xf>
    <xf numFmtId="49" fontId="20" borderId="5" applyNumberFormat="1" applyFont="1" applyFill="0" applyBorder="1" applyAlignment="1" applyProtection="0">
      <alignment vertical="center"/>
    </xf>
    <xf numFmtId="0" fontId="20" fillId="2" borderId="5" applyNumberFormat="0" applyFont="1" applyFill="1" applyBorder="1" applyAlignment="1" applyProtection="0">
      <alignment vertical="center"/>
    </xf>
    <xf numFmtId="49" fontId="20" fillId="5" borderId="11" applyNumberFormat="1" applyFont="1" applyFill="1" applyBorder="1" applyAlignment="1" applyProtection="0">
      <alignment horizontal="left" vertical="center"/>
    </xf>
    <xf numFmtId="0" fontId="20" borderId="14" applyNumberFormat="0" applyFont="1" applyFill="0" applyBorder="1" applyAlignment="1" applyProtection="0">
      <alignment horizontal="center" vertical="center"/>
    </xf>
    <xf numFmtId="49" fontId="20" fillId="6" borderId="11" applyNumberFormat="1" applyFont="1" applyFill="1" applyBorder="1" applyAlignment="1" applyProtection="0">
      <alignment horizontal="center" vertical="center" wrapText="1"/>
    </xf>
    <xf numFmtId="0" fontId="20" fillId="7" borderId="14" applyNumberFormat="0" applyFont="1" applyFill="1" applyBorder="1" applyAlignment="1" applyProtection="0">
      <alignment horizontal="center" vertical="center"/>
    </xf>
    <xf numFmtId="49" fontId="20" fillId="7" borderId="11" applyNumberFormat="1" applyFont="1" applyFill="1" applyBorder="1" applyAlignment="1" applyProtection="0">
      <alignment horizontal="center" vertical="center"/>
    </xf>
    <xf numFmtId="49" fontId="20" fillId="8" borderId="11" applyNumberFormat="1" applyFont="1" applyFill="1" applyBorder="1" applyAlignment="1" applyProtection="0">
      <alignment horizontal="center" vertical="center" wrapText="1"/>
    </xf>
    <xf numFmtId="0" fontId="22" fillId="2" borderId="14" applyNumberFormat="0" applyFont="1" applyFill="1" applyBorder="1" applyAlignment="1" applyProtection="0">
      <alignment horizontal="center" vertical="center" wrapText="1"/>
    </xf>
    <xf numFmtId="49" fontId="20" fillId="9" borderId="11" applyNumberFormat="1" applyFont="1" applyFill="1" applyBorder="1" applyAlignment="1" applyProtection="0">
      <alignment horizontal="center" vertical="center" wrapText="1"/>
    </xf>
    <xf numFmtId="49" fontId="20" fillId="10" borderId="16" applyNumberFormat="1" applyFont="1" applyFill="1" applyBorder="1" applyAlignment="1" applyProtection="0">
      <alignment horizontal="center" vertical="center" wrapText="1"/>
    </xf>
    <xf numFmtId="49" fontId="20" fillId="11" borderId="11" applyNumberFormat="1" applyFont="1" applyFill="1" applyBorder="1" applyAlignment="1" applyProtection="0">
      <alignment horizontal="center" vertical="center"/>
    </xf>
    <xf numFmtId="49" fontId="20" fillId="12" borderId="11" applyNumberFormat="1" applyFont="1" applyFill="1" applyBorder="1" applyAlignment="1" applyProtection="0">
      <alignment horizontal="center" vertical="center"/>
    </xf>
    <xf numFmtId="49" fontId="20" fillId="13" borderId="11" applyNumberFormat="1" applyFont="1" applyFill="1" applyBorder="1" applyAlignment="1" applyProtection="0">
      <alignment horizontal="center" vertical="center"/>
    </xf>
    <xf numFmtId="49" fontId="20" fillId="14" borderId="16" applyNumberFormat="1" applyFont="1" applyFill="1" applyBorder="1" applyAlignment="1" applyProtection="0">
      <alignment vertical="center" wrapText="1"/>
    </xf>
    <xf numFmtId="49" fontId="20" fillId="2" borderId="18" applyNumberFormat="1" applyFont="1" applyFill="1" applyBorder="1" applyAlignment="1" applyProtection="0">
      <alignment horizontal="center" vertical="center" wrapText="1"/>
    </xf>
    <xf numFmtId="0" fontId="20" fillId="2" borderId="25" applyNumberFormat="0" applyFont="1" applyFill="1" applyBorder="1" applyAlignment="1" applyProtection="0">
      <alignment horizontal="center" vertical="center" wrapText="1"/>
    </xf>
    <xf numFmtId="0" fontId="20" fillId="15" borderId="8" applyNumberFormat="0" applyFont="1" applyFill="1" applyBorder="1" applyAlignment="1" applyProtection="0">
      <alignment vertical="center"/>
    </xf>
    <xf numFmtId="49" fontId="20" fillId="15" borderId="8" applyNumberFormat="1" applyFont="1" applyFill="1" applyBorder="1" applyAlignment="1" applyProtection="0">
      <alignment vertical="center"/>
    </xf>
    <xf numFmtId="59" fontId="20" borderId="4" applyNumberFormat="1" applyFont="1" applyFill="0" applyBorder="1" applyAlignment="1" applyProtection="0">
      <alignment vertical="center"/>
    </xf>
    <xf numFmtId="0" fontId="20" fillId="2" borderId="14" applyNumberFormat="0" applyFont="1" applyFill="1" applyBorder="1" applyAlignment="1" applyProtection="0">
      <alignment vertical="center" wrapText="1"/>
    </xf>
    <xf numFmtId="49" fontId="20" fillId="2" borderId="18" applyNumberFormat="1" applyFont="1" applyFill="1" applyBorder="1" applyAlignment="1" applyProtection="0">
      <alignment vertical="center" wrapText="1"/>
    </xf>
    <xf numFmtId="49" fontId="18" fillId="2" borderId="18" applyNumberFormat="1" applyFont="1" applyFill="1" applyBorder="1" applyAlignment="1" applyProtection="0">
      <alignment vertical="center" wrapText="1"/>
    </xf>
    <xf numFmtId="49" fontId="21" fillId="2" borderId="18" applyNumberFormat="1" applyFont="1" applyFill="1" applyBorder="1" applyAlignment="1" applyProtection="0">
      <alignment vertical="center" wrapText="1"/>
    </xf>
    <xf numFmtId="49" fontId="18" fillId="2" borderId="18" applyNumberFormat="1" applyFont="1" applyFill="1" applyBorder="1" applyAlignment="1" applyProtection="0">
      <alignment horizontal="center" vertical="center" wrapText="1"/>
    </xf>
    <xf numFmtId="49" fontId="20" fillId="2" borderId="21" applyNumberFormat="1" applyFont="1" applyFill="1" applyBorder="1" applyAlignment="1" applyProtection="0">
      <alignment horizontal="center" vertical="center" wrapText="1"/>
    </xf>
    <xf numFmtId="59" fontId="20" fillId="2" borderId="1" applyNumberFormat="1" applyFont="1" applyFill="1" applyBorder="1" applyAlignment="1" applyProtection="0">
      <alignment horizontal="center" vertical="center" wrapText="1"/>
    </xf>
    <xf numFmtId="49" fontId="18" borderId="32" applyNumberFormat="1" applyFont="1" applyFill="0" applyBorder="1" applyAlignment="1" applyProtection="0">
      <alignment vertical="center"/>
    </xf>
    <xf numFmtId="0" fontId="18" borderId="6" applyNumberFormat="0" applyFont="1" applyFill="0" applyBorder="1" applyAlignment="1" applyProtection="0">
      <alignment vertical="center"/>
    </xf>
    <xf numFmtId="0" fontId="18" fillId="2" borderId="6" applyNumberFormat="0" applyFont="1" applyFill="1" applyBorder="1" applyAlignment="1" applyProtection="0">
      <alignment vertical="center"/>
    </xf>
    <xf numFmtId="3" fontId="18" borderId="2" applyNumberFormat="1" applyFont="1" applyFill="0" applyBorder="1" applyAlignment="1" applyProtection="0">
      <alignment vertical="center"/>
    </xf>
    <xf numFmtId="49" fontId="20" fillId="2" borderId="14" applyNumberFormat="1" applyFont="1" applyFill="1" applyBorder="1" applyAlignment="1" applyProtection="0">
      <alignment horizontal="center" vertical="center" wrapText="1"/>
    </xf>
    <xf numFmtId="49" fontId="20" fillId="2" borderId="14" applyNumberFormat="1" applyFont="1" applyFill="1" applyBorder="1" applyAlignment="1" applyProtection="0">
      <alignment vertical="center" wrapText="1"/>
    </xf>
    <xf numFmtId="49" fontId="19" fillId="2" borderId="14" applyNumberFormat="1" applyFont="1" applyFill="1" applyBorder="1" applyAlignment="1" applyProtection="0">
      <alignment vertical="center" wrapText="1"/>
    </xf>
    <xf numFmtId="49" fontId="18" fillId="2" borderId="14" applyNumberFormat="1" applyFont="1" applyFill="1" applyBorder="1" applyAlignment="1" applyProtection="0">
      <alignment vertical="center" wrapText="1"/>
    </xf>
    <xf numFmtId="0" fontId="16" fillId="2" borderId="24" applyNumberFormat="0" applyFont="1" applyFill="1" applyBorder="1" applyAlignment="1" applyProtection="0">
      <alignment horizontal="center" vertical="center"/>
    </xf>
    <xf numFmtId="0" fontId="0" borderId="24" applyNumberFormat="0" applyFont="1" applyFill="0" applyBorder="1" applyAlignment="1" applyProtection="0">
      <alignment horizontal="center" vertical="center"/>
    </xf>
    <xf numFmtId="59" fontId="0" fillId="2" borderId="24" applyNumberFormat="1" applyFont="1" applyFill="1" applyBorder="1" applyAlignment="1" applyProtection="0">
      <alignment horizontal="center" vertical="center"/>
    </xf>
    <xf numFmtId="49" fontId="20" fillId="2" borderId="25" applyNumberFormat="1" applyFont="1" applyFill="1" applyBorder="1" applyAlignment="1" applyProtection="0">
      <alignment horizontal="center" vertical="center" wrapText="1"/>
    </xf>
    <xf numFmtId="49" fontId="20" fillId="2" borderId="1" applyNumberFormat="1" applyFont="1" applyFill="1" applyBorder="1" applyAlignment="1" applyProtection="0">
      <alignment horizontal="center" vertical="center" wrapText="1"/>
    </xf>
    <xf numFmtId="49" fontId="20" fillId="2" borderId="1" applyNumberFormat="1" applyFont="1" applyFill="1" applyBorder="1" applyAlignment="1" applyProtection="0">
      <alignment horizontal="center" vertical="bottom" wrapText="1"/>
    </xf>
    <xf numFmtId="49" fontId="22" fillId="2" borderId="1" applyNumberFormat="1" applyFont="1" applyFill="1" applyBorder="1" applyAlignment="1" applyProtection="0">
      <alignment horizontal="center" vertical="bottom" wrapText="1"/>
    </xf>
    <xf numFmtId="49" fontId="22" fillId="2" borderId="2" applyNumberFormat="1" applyFont="1" applyFill="1" applyBorder="1" applyAlignment="1" applyProtection="0">
      <alignment horizontal="center" vertical="bottom" wrapText="1"/>
    </xf>
    <xf numFmtId="49" fontId="22" fillId="3" borderId="8" applyNumberFormat="1" applyFont="1" applyFill="1" applyBorder="1" applyAlignment="1" applyProtection="0">
      <alignment horizontal="center" vertical="bottom" wrapText="1"/>
    </xf>
    <xf numFmtId="49" fontId="22" fillId="3" borderId="8" applyNumberFormat="1" applyFont="1" applyFill="1" applyBorder="1" applyAlignment="1" applyProtection="0">
      <alignment horizontal="center" vertical="bottom"/>
    </xf>
    <xf numFmtId="0" fontId="18" borderId="4" applyNumberFormat="0" applyFont="1" applyFill="0" applyBorder="1" applyAlignment="1" applyProtection="0">
      <alignment vertical="center"/>
    </xf>
    <xf numFmtId="49" fontId="18" borderId="1" applyNumberFormat="1" applyFont="1" applyFill="0" applyBorder="1" applyAlignment="1" applyProtection="0">
      <alignment vertical="center"/>
    </xf>
    <xf numFmtId="0" fontId="18" fillId="2" borderId="14" applyNumberFormat="0" applyFont="1" applyFill="1" applyBorder="1" applyAlignment="1" applyProtection="0">
      <alignment horizontal="center" vertical="center" wrapText="1"/>
    </xf>
    <xf numFmtId="49" fontId="18" fillId="2" borderId="14" applyNumberFormat="1" applyFont="1" applyFill="1" applyBorder="1" applyAlignment="1" applyProtection="0">
      <alignment horizontal="center" vertical="center" wrapText="1"/>
    </xf>
    <xf numFmtId="49" fontId="19" fillId="2" borderId="14" applyNumberFormat="1" applyFont="1" applyFill="1" applyBorder="1" applyAlignment="1" applyProtection="0">
      <alignment horizontal="center" vertical="center" wrapText="1"/>
    </xf>
    <xf numFmtId="0" fontId="21" fillId="2" borderId="14" applyNumberFormat="0" applyFont="1" applyFill="1" applyBorder="1" applyAlignment="1" applyProtection="0">
      <alignment horizontal="center" vertical="center" wrapText="1"/>
    </xf>
    <xf numFmtId="0" fontId="18" fillId="2" borderId="14" applyNumberFormat="0" applyFont="1" applyFill="1" applyBorder="1" applyAlignment="1" applyProtection="0">
      <alignment horizontal="center" vertical="bottom" wrapText="1"/>
    </xf>
    <xf numFmtId="49" fontId="20" fillId="2" borderId="25" applyNumberFormat="1" applyFont="1" applyFill="1" applyBorder="1" applyAlignment="1" applyProtection="0">
      <alignment horizontal="center" vertical="bottom" wrapText="1"/>
    </xf>
    <xf numFmtId="0" fontId="18" fillId="2" borderId="1" applyNumberFormat="0" applyFont="1" applyFill="1" applyBorder="1" applyAlignment="1" applyProtection="0">
      <alignment horizontal="center" vertical="bottom" wrapText="1"/>
    </xf>
    <xf numFmtId="0" fontId="21" borderId="1" applyNumberFormat="0" applyFont="1" applyFill="0" applyBorder="1" applyAlignment="1" applyProtection="0">
      <alignment horizontal="center" vertical="center"/>
    </xf>
    <xf numFmtId="49" fontId="22" borderId="2" applyNumberFormat="1" applyFont="1" applyFill="0" applyBorder="1" applyAlignment="1" applyProtection="0">
      <alignment horizontal="center" vertical="center"/>
    </xf>
    <xf numFmtId="0" fontId="22" fillId="3" borderId="8" applyNumberFormat="0" applyFont="1" applyFill="1" applyBorder="1" applyAlignment="1" applyProtection="0">
      <alignment horizontal="center" vertical="center"/>
    </xf>
    <xf numFmtId="0" fontId="21" fillId="3" borderId="8" applyNumberFormat="0" applyFont="1" applyFill="1" applyBorder="1" applyAlignment="1" applyProtection="0">
      <alignment horizontal="center" vertical="center"/>
    </xf>
    <xf numFmtId="0" fontId="18" borderId="4" applyNumberFormat="0" applyFont="1" applyFill="0" applyBorder="1" applyAlignment="1" applyProtection="0">
      <alignment horizontal="center" vertical="center"/>
    </xf>
    <xf numFmtId="0" fontId="18" fillId="2" borderId="1" applyNumberFormat="0" applyFont="1" applyFill="1" applyBorder="1" applyAlignment="1" applyProtection="0">
      <alignment horizontal="center" vertical="center"/>
    </xf>
    <xf numFmtId="0" fontId="18" borderId="2" applyNumberFormat="0" applyFont="1" applyFill="0" applyBorder="1" applyAlignment="1" applyProtection="0">
      <alignment horizontal="center" vertical="center"/>
    </xf>
    <xf numFmtId="0" fontId="18" fillId="2" borderId="14" applyNumberFormat="0" applyFont="1" applyFill="1" applyBorder="1" applyAlignment="1" applyProtection="0">
      <alignment horizontal="center" vertical="bottom"/>
    </xf>
    <xf numFmtId="0" fontId="18" fillId="2" borderId="14" applyNumberFormat="1" applyFont="1" applyFill="1" applyBorder="1" applyAlignment="1" applyProtection="0">
      <alignment vertical="bottom"/>
    </xf>
    <xf numFmtId="0" fontId="18" fillId="2" borderId="14" applyNumberFormat="0" applyFont="1" applyFill="1" applyBorder="1" applyAlignment="1" applyProtection="0">
      <alignment vertical="bottom"/>
    </xf>
    <xf numFmtId="0" fontId="19" fillId="2" borderId="14" applyNumberFormat="1" applyFont="1" applyFill="1" applyBorder="1" applyAlignment="1" applyProtection="0">
      <alignment vertical="bottom"/>
    </xf>
    <xf numFmtId="0" fontId="21" fillId="2" borderId="14" applyNumberFormat="0" applyFont="1" applyFill="1" applyBorder="1" applyAlignment="1" applyProtection="0">
      <alignment vertical="bottom"/>
    </xf>
    <xf numFmtId="0" fontId="20" fillId="2" borderId="14" applyNumberFormat="1" applyFont="1" applyFill="1" applyBorder="1" applyAlignment="1" applyProtection="0">
      <alignment vertical="bottom"/>
    </xf>
    <xf numFmtId="59" fontId="18" fillId="2" borderId="14" applyNumberFormat="1" applyFont="1" applyFill="1" applyBorder="1" applyAlignment="1" applyProtection="0">
      <alignment vertical="bottom"/>
    </xf>
    <xf numFmtId="0" fontId="18" fillId="2" borderId="25" applyNumberFormat="0" applyFont="1" applyFill="1" applyBorder="1" applyAlignment="1" applyProtection="0">
      <alignment horizontal="center" vertical="bottom" wrapText="1"/>
    </xf>
    <xf numFmtId="0" fontId="18" fillId="2" borderId="1" applyNumberFormat="0" applyFont="1" applyFill="1" applyBorder="1" applyAlignment="1" applyProtection="0">
      <alignment horizontal="center" vertical="bottom"/>
    </xf>
    <xf numFmtId="0" fontId="21" fillId="2" borderId="1" applyNumberFormat="0" applyFont="1" applyFill="1" applyBorder="1" applyAlignment="1" applyProtection="0">
      <alignment horizontal="center" vertical="bottom"/>
    </xf>
    <xf numFmtId="2" fontId="21" borderId="2" applyNumberFormat="1" applyFont="1" applyFill="0" applyBorder="1" applyAlignment="1" applyProtection="0">
      <alignment vertical="center"/>
    </xf>
    <xf numFmtId="49" fontId="18" fillId="2" borderId="1" applyNumberFormat="1" applyFont="1" applyFill="1" applyBorder="1" applyAlignment="1" applyProtection="0">
      <alignment horizontal="center" vertical="center"/>
    </xf>
    <xf numFmtId="49" fontId="18" borderId="1" applyNumberFormat="1" applyFont="1" applyFill="0" applyBorder="1" applyAlignment="1" applyProtection="0">
      <alignment horizontal="center" vertical="center"/>
    </xf>
    <xf numFmtId="49" fontId="18" borderId="5" applyNumberFormat="1" applyFont="1" applyFill="0" applyBorder="1" applyAlignment="1" applyProtection="0">
      <alignment horizontal="center" vertical="center"/>
    </xf>
    <xf numFmtId="49" fontId="16" fillId="10" borderId="8" applyNumberFormat="1" applyFont="1" applyFill="1" applyBorder="1" applyAlignment="1" applyProtection="0">
      <alignment vertical="center"/>
    </xf>
    <xf numFmtId="49" fontId="16" borderId="1" applyNumberFormat="1" applyFont="1" applyFill="0" applyBorder="1" applyAlignment="1" applyProtection="0">
      <alignment horizontal="center" vertical="center"/>
    </xf>
    <xf numFmtId="49" fontId="18" fillId="3" borderId="14" applyNumberFormat="1" applyFont="1" applyFill="1" applyBorder="1" applyAlignment="1" applyProtection="0">
      <alignment horizontal="center" vertical="center"/>
    </xf>
    <xf numFmtId="49" fontId="18" borderId="14" applyNumberFormat="1" applyFont="1" applyFill="0" applyBorder="1" applyAlignment="1" applyProtection="0">
      <alignment vertical="center"/>
    </xf>
    <xf numFmtId="0" fontId="18" borderId="14" applyNumberFormat="0" applyFont="1" applyFill="0" applyBorder="1" applyAlignment="1" applyProtection="0">
      <alignment horizontal="center" vertical="center"/>
    </xf>
    <xf numFmtId="49" fontId="18" borderId="14" applyNumberFormat="1" applyFont="1" applyFill="0" applyBorder="1" applyAlignment="1" applyProtection="0">
      <alignment horizontal="center" vertical="center"/>
    </xf>
    <xf numFmtId="0" fontId="18" borderId="14" applyNumberFormat="0" applyFont="1" applyFill="0" applyBorder="1" applyAlignment="1" applyProtection="0">
      <alignment vertical="center"/>
    </xf>
    <xf numFmtId="59" fontId="20" borderId="14" applyNumberFormat="1" applyFont="1" applyFill="0" applyBorder="1" applyAlignment="1" applyProtection="0">
      <alignment vertical="center"/>
    </xf>
    <xf numFmtId="3" fontId="20" borderId="14" applyNumberFormat="1" applyFont="1" applyFill="0" applyBorder="1" applyAlignment="1" applyProtection="0">
      <alignment vertical="center"/>
    </xf>
    <xf numFmtId="3" fontId="18" borderId="14" applyNumberFormat="1" applyFont="1" applyFill="0" applyBorder="1" applyAlignment="1" applyProtection="0">
      <alignment vertical="center"/>
    </xf>
    <xf numFmtId="2" fontId="18" borderId="14" applyNumberFormat="1" applyFont="1" applyFill="0" applyBorder="1" applyAlignment="1" applyProtection="0">
      <alignment vertical="center"/>
    </xf>
    <xf numFmtId="63" fontId="18" borderId="14" applyNumberFormat="1" applyFont="1" applyFill="0" applyBorder="1" applyAlignment="1" applyProtection="0">
      <alignment horizontal="right" vertical="center"/>
    </xf>
    <xf numFmtId="3" fontId="21" fillId="2" borderId="14" applyNumberFormat="1" applyFont="1" applyFill="1" applyBorder="1" applyAlignment="1" applyProtection="0">
      <alignment vertical="center"/>
    </xf>
    <xf numFmtId="3" fontId="18" fillId="2" borderId="14" applyNumberFormat="1" applyFont="1" applyFill="1" applyBorder="1" applyAlignment="1" applyProtection="0">
      <alignment vertical="center"/>
    </xf>
    <xf numFmtId="59" fontId="18" borderId="14" applyNumberFormat="1" applyFont="1" applyFill="0" applyBorder="1" applyAlignment="1" applyProtection="0">
      <alignment vertical="center"/>
    </xf>
    <xf numFmtId="0" fontId="18" borderId="14" applyNumberFormat="1" applyFont="1" applyFill="0" applyBorder="1" applyAlignment="1" applyProtection="0">
      <alignment vertical="center"/>
    </xf>
    <xf numFmtId="59" fontId="18" fillId="2" borderId="14" applyNumberFormat="1" applyFont="1" applyFill="1" applyBorder="1" applyAlignment="1" applyProtection="0">
      <alignment vertical="center"/>
    </xf>
    <xf numFmtId="2" fontId="18" fillId="2" borderId="25" applyNumberFormat="1" applyFont="1" applyFill="1" applyBorder="1" applyAlignment="1" applyProtection="0">
      <alignment vertical="center" wrapText="1"/>
    </xf>
    <xf numFmtId="59" fontId="18" fillId="2" borderId="1" applyNumberFormat="1" applyFont="1" applyFill="1" applyBorder="1" applyAlignment="1" applyProtection="0">
      <alignment vertical="center" wrapText="1"/>
    </xf>
    <xf numFmtId="3" fontId="22" fillId="3" borderId="8" applyNumberFormat="1" applyFont="1" applyFill="1" applyBorder="1" applyAlignment="1" applyProtection="0">
      <alignment vertical="center"/>
    </xf>
    <xf numFmtId="49" fontId="20" fillId="2" borderId="4" applyNumberFormat="1" applyFont="1" applyFill="1" applyBorder="1" applyAlignment="1" applyProtection="0">
      <alignment vertical="center" wrapText="1"/>
    </xf>
    <xf numFmtId="49" fontId="18" fillId="2" borderId="1" applyNumberFormat="1" applyFont="1" applyFill="1" applyBorder="1" applyAlignment="1" applyProtection="0">
      <alignment vertical="bottom"/>
    </xf>
    <xf numFmtId="49" fontId="18" fillId="2" borderId="5" applyNumberFormat="1" applyFont="1" applyFill="1" applyBorder="1" applyAlignment="1" applyProtection="0">
      <alignment vertical="bottom"/>
    </xf>
    <xf numFmtId="49" fontId="26" fillId="2" borderId="2" applyNumberFormat="1" applyFont="1" applyFill="1" applyBorder="1" applyAlignment="1" applyProtection="0">
      <alignment vertical="bottom"/>
    </xf>
    <xf numFmtId="49" fontId="18" fillId="2" borderId="8" applyNumberFormat="1" applyFont="1" applyFill="1" applyBorder="1" applyAlignment="1" applyProtection="0">
      <alignment vertical="bottom"/>
    </xf>
    <xf numFmtId="49" fontId="20" borderId="7" applyNumberFormat="1" applyFont="1" applyFill="0" applyBorder="1" applyAlignment="1" applyProtection="0">
      <alignment vertical="center"/>
    </xf>
    <xf numFmtId="49" fontId="0" fillId="10" borderId="8" applyNumberFormat="1" applyFont="1" applyFill="1" applyBorder="1" applyAlignment="1" applyProtection="0">
      <alignment vertical="center"/>
    </xf>
    <xf numFmtId="49" fontId="0" borderId="4" applyNumberFormat="1" applyFont="1" applyFill="0" applyBorder="1" applyAlignment="1" applyProtection="0">
      <alignment vertical="center"/>
    </xf>
    <xf numFmtId="3" fontId="0" borderId="1" applyNumberFormat="1" applyFont="1" applyFill="0" applyBorder="1" applyAlignment="1" applyProtection="0">
      <alignment vertical="center"/>
    </xf>
    <xf numFmtId="3" fontId="15" borderId="1" applyNumberFormat="1" applyFont="1" applyFill="0" applyBorder="1" applyAlignment="1" applyProtection="0">
      <alignment vertical="center"/>
    </xf>
    <xf numFmtId="0" fontId="21" fillId="3" borderId="8" applyNumberFormat="0" applyFont="1" applyFill="1" applyBorder="1" applyAlignment="1" applyProtection="0">
      <alignment vertical="center" wrapText="1"/>
    </xf>
    <xf numFmtId="49" fontId="20" borderId="4" applyNumberFormat="1" applyFont="1" applyFill="0" applyBorder="1" applyAlignment="1" applyProtection="0">
      <alignment vertical="center"/>
    </xf>
    <xf numFmtId="49" fontId="18" fillId="2" borderId="2" applyNumberFormat="1" applyFont="1" applyFill="1" applyBorder="1" applyAlignment="1" applyProtection="0">
      <alignment vertical="bottom"/>
    </xf>
    <xf numFmtId="49" fontId="18" fillId="10" borderId="8" applyNumberFormat="1" applyFont="1" applyFill="1" applyBorder="1" applyAlignment="1" applyProtection="0">
      <alignment vertical="bottom"/>
    </xf>
    <xf numFmtId="49" fontId="26" fillId="2" borderId="7" applyNumberFormat="1" applyFont="1" applyFill="1" applyBorder="1" applyAlignment="1" applyProtection="0">
      <alignment vertical="bottom"/>
    </xf>
    <xf numFmtId="0" fontId="0" borderId="5" applyNumberFormat="1" applyFont="1" applyFill="0" applyBorder="1" applyAlignment="1" applyProtection="0">
      <alignment vertical="center"/>
    </xf>
    <xf numFmtId="49" fontId="21" fillId="3" borderId="14" applyNumberFormat="1" applyFont="1" applyFill="1" applyBorder="1" applyAlignment="1" applyProtection="0">
      <alignment horizontal="center" vertical="center"/>
    </xf>
    <xf numFmtId="49" fontId="21" borderId="14" applyNumberFormat="1" applyFont="1" applyFill="0" applyBorder="1" applyAlignment="1" applyProtection="0">
      <alignment vertical="center"/>
    </xf>
    <xf numFmtId="9" fontId="21" borderId="14" applyNumberFormat="1" applyFont="1" applyFill="0" applyBorder="1" applyAlignment="1" applyProtection="0">
      <alignment horizontal="center" vertical="center"/>
    </xf>
    <xf numFmtId="49" fontId="21" borderId="14" applyNumberFormat="1" applyFont="1" applyFill="0" applyBorder="1" applyAlignment="1" applyProtection="0">
      <alignment horizontal="center" vertical="center"/>
    </xf>
    <xf numFmtId="59" fontId="21" borderId="14" applyNumberFormat="1" applyFont="1" applyFill="0" applyBorder="1" applyAlignment="1" applyProtection="0">
      <alignment vertical="center"/>
    </xf>
    <xf numFmtId="59" fontId="22" borderId="14" applyNumberFormat="1" applyFont="1" applyFill="0" applyBorder="1" applyAlignment="1" applyProtection="0">
      <alignment vertical="center"/>
    </xf>
    <xf numFmtId="3" fontId="21" borderId="14" applyNumberFormat="1" applyFont="1" applyFill="0" applyBorder="1" applyAlignment="1" applyProtection="0">
      <alignment vertical="center"/>
    </xf>
    <xf numFmtId="2" fontId="21" borderId="14" applyNumberFormat="1" applyFont="1" applyFill="0" applyBorder="1" applyAlignment="1" applyProtection="0">
      <alignment vertical="center"/>
    </xf>
    <xf numFmtId="2" fontId="21" borderId="14" applyNumberFormat="1" applyFont="1" applyFill="0" applyBorder="1" applyAlignment="1" applyProtection="0">
      <alignment horizontal="center" vertical="center"/>
    </xf>
    <xf numFmtId="63" fontId="21" borderId="14" applyNumberFormat="1" applyFont="1" applyFill="0" applyBorder="1" applyAlignment="1" applyProtection="0">
      <alignment horizontal="right" vertical="center"/>
    </xf>
    <xf numFmtId="3" fontId="22" borderId="14" applyNumberFormat="1" applyFont="1" applyFill="0" applyBorder="1" applyAlignment="1" applyProtection="0">
      <alignment vertical="center"/>
    </xf>
    <xf numFmtId="0" fontId="21" borderId="14" applyNumberFormat="0" applyFont="1" applyFill="0" applyBorder="1" applyAlignment="1" applyProtection="0">
      <alignment vertical="center"/>
    </xf>
    <xf numFmtId="0" fontId="21" borderId="14" applyNumberFormat="1" applyFont="1" applyFill="0" applyBorder="1" applyAlignment="1" applyProtection="0">
      <alignment vertical="center"/>
    </xf>
    <xf numFmtId="59" fontId="21" fillId="2" borderId="14" applyNumberFormat="1" applyFont="1" applyFill="1" applyBorder="1" applyAlignment="1" applyProtection="0">
      <alignment vertical="center"/>
    </xf>
    <xf numFmtId="0" fontId="21" fillId="2" borderId="14" applyNumberFormat="0" applyFont="1" applyFill="1" applyBorder="1" applyAlignment="1" applyProtection="0">
      <alignment vertical="center" wrapText="1"/>
    </xf>
    <xf numFmtId="2" fontId="21" fillId="2" borderId="25" applyNumberFormat="1" applyFont="1" applyFill="1" applyBorder="1" applyAlignment="1" applyProtection="0">
      <alignment vertical="center" wrapText="1"/>
    </xf>
    <xf numFmtId="59" fontId="21" fillId="2" borderId="1" applyNumberFormat="1" applyFont="1" applyFill="1" applyBorder="1" applyAlignment="1" applyProtection="0">
      <alignment vertical="center" wrapText="1"/>
    </xf>
    <xf numFmtId="3" fontId="21" borderId="1" applyNumberFormat="1" applyFont="1" applyFill="0" applyBorder="1" applyAlignment="1" applyProtection="0">
      <alignment vertical="center"/>
    </xf>
    <xf numFmtId="3" fontId="21" borderId="2" applyNumberFormat="1" applyFont="1" applyFill="0" applyBorder="1" applyAlignment="1" applyProtection="0">
      <alignment vertical="center"/>
    </xf>
    <xf numFmtId="3" fontId="27" fillId="3" borderId="8" applyNumberFormat="1" applyFont="1" applyFill="1" applyBorder="1" applyAlignment="1" applyProtection="0">
      <alignment vertical="center"/>
    </xf>
    <xf numFmtId="49" fontId="28" fillId="3" borderId="8" applyNumberFormat="1" applyFont="1" applyFill="1" applyBorder="1" applyAlignment="1" applyProtection="0">
      <alignment vertical="center" wrapText="1"/>
    </xf>
    <xf numFmtId="49" fontId="22" borderId="4" applyNumberFormat="1" applyFont="1" applyFill="0" applyBorder="1" applyAlignment="1" applyProtection="0">
      <alignment vertical="center"/>
    </xf>
    <xf numFmtId="49" fontId="21" fillId="2" borderId="1" applyNumberFormat="1" applyFont="1" applyFill="1" applyBorder="1" applyAlignment="1" applyProtection="0">
      <alignment vertical="bottom"/>
    </xf>
    <xf numFmtId="49" fontId="21" fillId="2" borderId="10" applyNumberFormat="1" applyFont="1" applyFill="1" applyBorder="1" applyAlignment="1" applyProtection="0">
      <alignment vertical="bottom"/>
    </xf>
    <xf numFmtId="49" fontId="22" borderId="2" applyNumberFormat="1" applyFont="1" applyFill="0" applyBorder="1" applyAlignment="1" applyProtection="0">
      <alignment vertical="center"/>
    </xf>
    <xf numFmtId="0" fontId="0" fillId="10" borderId="8" applyNumberFormat="1" applyFont="1" applyFill="1" applyBorder="1" applyAlignment="1" applyProtection="0">
      <alignment vertical="center"/>
    </xf>
    <xf numFmtId="3" fontId="0" borderId="4" applyNumberFormat="1" applyFont="1" applyFill="0" applyBorder="1" applyAlignment="1" applyProtection="0">
      <alignment vertical="center"/>
    </xf>
    <xf numFmtId="9" fontId="18" borderId="14" applyNumberFormat="1" applyFont="1" applyFill="0" applyBorder="1" applyAlignment="1" applyProtection="0">
      <alignment horizontal="center" vertical="center"/>
    </xf>
    <xf numFmtId="63" fontId="18" borderId="14" applyNumberFormat="1" applyFont="1" applyFill="0" applyBorder="1" applyAlignment="1" applyProtection="0">
      <alignment vertical="center"/>
    </xf>
    <xf numFmtId="0" fontId="18" fillId="2" borderId="14" applyNumberFormat="0" applyFont="1" applyFill="1" applyBorder="1" applyAlignment="1" applyProtection="0">
      <alignment vertical="center" wrapText="1"/>
    </xf>
    <xf numFmtId="49" fontId="18" fillId="2" borderId="7" applyNumberFormat="1" applyFont="1" applyFill="1" applyBorder="1" applyAlignment="1" applyProtection="0">
      <alignment horizontal="center" vertical="bottom"/>
    </xf>
    <xf numFmtId="0" fontId="0" borderId="6" applyNumberFormat="1" applyFont="1" applyFill="0" applyBorder="1" applyAlignment="1" applyProtection="0">
      <alignment vertical="center"/>
    </xf>
    <xf numFmtId="0" fontId="18" fillId="10" borderId="14" applyNumberFormat="1" applyFont="1" applyFill="1" applyBorder="1" applyAlignment="1" applyProtection="0">
      <alignment horizontal="center" vertical="center"/>
    </xf>
    <xf numFmtId="49" fontId="18" fillId="2" borderId="14" applyNumberFormat="1" applyFont="1" applyFill="1" applyBorder="1" applyAlignment="1" applyProtection="0">
      <alignment vertical="bottom"/>
    </xf>
    <xf numFmtId="49" fontId="18" fillId="2" borderId="14" applyNumberFormat="1" applyFont="1" applyFill="1" applyBorder="1" applyAlignment="1" applyProtection="0">
      <alignment vertical="bottom" wrapText="1"/>
    </xf>
    <xf numFmtId="49" fontId="28" fillId="3" borderId="8" applyNumberFormat="1" applyFont="1" applyFill="1" applyBorder="1" applyAlignment="1" applyProtection="0">
      <alignment vertical="center"/>
    </xf>
    <xf numFmtId="49" fontId="20" borderId="30" applyNumberFormat="1" applyFont="1" applyFill="0" applyBorder="1" applyAlignment="1" applyProtection="0">
      <alignment vertical="center"/>
    </xf>
    <xf numFmtId="49" fontId="18" fillId="2" borderId="6" applyNumberFormat="1" applyFont="1" applyFill="1" applyBorder="1" applyAlignment="1" applyProtection="0">
      <alignment vertical="bottom"/>
    </xf>
    <xf numFmtId="49" fontId="18" fillId="2" borderId="10" applyNumberFormat="1" applyFont="1" applyFill="1" applyBorder="1" applyAlignment="1" applyProtection="0">
      <alignment vertical="bottom"/>
    </xf>
    <xf numFmtId="49" fontId="20" borderId="2" applyNumberFormat="1" applyFont="1" applyFill="0" applyBorder="1" applyAlignment="1" applyProtection="0">
      <alignment vertical="center"/>
    </xf>
    <xf numFmtId="0" fontId="21" borderId="14" applyNumberFormat="1" applyFont="1" applyFill="0" applyBorder="1" applyAlignment="1" applyProtection="0">
      <alignment horizontal="center" vertical="center"/>
    </xf>
    <xf numFmtId="49" fontId="21" fillId="2" borderId="14" applyNumberFormat="1" applyFont="1" applyFill="1" applyBorder="1" applyAlignment="1" applyProtection="0">
      <alignment vertical="center" wrapText="1"/>
    </xf>
    <xf numFmtId="3" fontId="22" fillId="2" borderId="14" applyNumberFormat="1" applyFont="1" applyFill="1" applyBorder="1" applyAlignment="1" applyProtection="0">
      <alignment vertical="center"/>
    </xf>
    <xf numFmtId="49" fontId="22" borderId="8" applyNumberFormat="1" applyFont="1" applyFill="0" applyBorder="1" applyAlignment="1" applyProtection="0">
      <alignment vertical="center"/>
    </xf>
    <xf numFmtId="49" fontId="21" fillId="2" borderId="8" applyNumberFormat="1" applyFont="1" applyFill="1" applyBorder="1" applyAlignment="1" applyProtection="0">
      <alignment vertical="bottom"/>
    </xf>
    <xf numFmtId="49" fontId="21" fillId="2" borderId="4" applyNumberFormat="1" applyFont="1" applyFill="1" applyBorder="1" applyAlignment="1" applyProtection="0">
      <alignment vertical="bottom"/>
    </xf>
    <xf numFmtId="49" fontId="21" fillId="2" borderId="2" applyNumberFormat="1" applyFont="1" applyFill="1" applyBorder="1" applyAlignment="1" applyProtection="0">
      <alignment vertical="bottom"/>
    </xf>
    <xf numFmtId="49" fontId="22" borderId="7" applyNumberFormat="1" applyFont="1" applyFill="0" applyBorder="1" applyAlignment="1" applyProtection="0">
      <alignment vertical="center"/>
    </xf>
    <xf numFmtId="49" fontId="21" fillId="2" borderId="14" applyNumberFormat="1" applyFont="1" applyFill="1" applyBorder="1" applyAlignment="1" applyProtection="0">
      <alignment vertical="bottom"/>
    </xf>
    <xf numFmtId="63" fontId="21" borderId="14" applyNumberFormat="1" applyFont="1" applyFill="0" applyBorder="1" applyAlignment="1" applyProtection="0">
      <alignment vertical="center"/>
    </xf>
    <xf numFmtId="3" fontId="29" borderId="14" applyNumberFormat="1" applyFont="1" applyFill="0" applyBorder="1" applyAlignment="1" applyProtection="0">
      <alignment vertical="center"/>
    </xf>
    <xf numFmtId="49" fontId="20" borderId="8" applyNumberFormat="1" applyFont="1" applyFill="0" applyBorder="1" applyAlignment="1" applyProtection="0">
      <alignment vertical="center"/>
    </xf>
    <xf numFmtId="49" fontId="18" fillId="2" borderId="4" applyNumberFormat="1" applyFont="1" applyFill="1" applyBorder="1" applyAlignment="1" applyProtection="0">
      <alignment vertical="bottom"/>
    </xf>
    <xf numFmtId="0" fontId="18" borderId="14" applyNumberFormat="1" applyFont="1" applyFill="0" applyBorder="1" applyAlignment="1" applyProtection="0">
      <alignment horizontal="center" vertical="center"/>
    </xf>
    <xf numFmtId="59" fontId="18" borderId="14" applyNumberFormat="1" applyFont="1" applyFill="0" applyBorder="1" applyAlignment="1" applyProtection="0">
      <alignment horizontal="right" vertical="center"/>
    </xf>
    <xf numFmtId="2" fontId="18" borderId="14" applyNumberFormat="1" applyFont="1" applyFill="0" applyBorder="1" applyAlignment="1" applyProtection="0">
      <alignment horizontal="right" vertical="center"/>
    </xf>
    <xf numFmtId="3" fontId="18" borderId="14" applyNumberFormat="1" applyFont="1" applyFill="0" applyBorder="1" applyAlignment="1" applyProtection="0">
      <alignment horizontal="right" vertical="center"/>
    </xf>
    <xf numFmtId="3" fontId="18" fillId="2" borderId="14" applyNumberFormat="1" applyFont="1" applyFill="1" applyBorder="1" applyAlignment="1" applyProtection="0">
      <alignment horizontal="right" vertical="center"/>
    </xf>
    <xf numFmtId="49" fontId="18" borderId="8" applyNumberFormat="1" applyFont="1" applyFill="0" applyBorder="1" applyAlignment="1" applyProtection="0">
      <alignment vertical="center"/>
    </xf>
    <xf numFmtId="49" fontId="18" fillId="2" borderId="30" applyNumberFormat="1" applyFont="1" applyFill="1" applyBorder="1" applyAlignment="1" applyProtection="0">
      <alignment vertical="bottom"/>
    </xf>
    <xf numFmtId="49" fontId="18" fillId="2" borderId="33" applyNumberFormat="1" applyFont="1" applyFill="1" applyBorder="1" applyAlignment="1" applyProtection="0">
      <alignment vertical="bottom"/>
    </xf>
    <xf numFmtId="49" fontId="18" fillId="2" borderId="8" applyNumberFormat="1" applyFont="1" applyFill="1" applyBorder="1" applyAlignment="1" applyProtection="0">
      <alignment horizontal="center" vertical="bottom"/>
    </xf>
    <xf numFmtId="49" fontId="20" borderId="32" applyNumberFormat="1" applyFont="1" applyFill="0" applyBorder="1" applyAlignment="1" applyProtection="0">
      <alignment vertical="center"/>
    </xf>
    <xf numFmtId="49" fontId="18" fillId="2" borderId="34" applyNumberFormat="1" applyFont="1" applyFill="1" applyBorder="1" applyAlignment="1" applyProtection="0">
      <alignment horizontal="left" vertical="bottom"/>
    </xf>
    <xf numFmtId="49" fontId="18" fillId="2" borderId="35" applyNumberFormat="1" applyFont="1" applyFill="1" applyBorder="1" applyAlignment="1" applyProtection="0">
      <alignment horizontal="center" vertical="bottom"/>
    </xf>
    <xf numFmtId="49" fontId="18" fillId="3" borderId="14" applyNumberFormat="1" applyFont="1" applyFill="1" applyBorder="1" applyAlignment="1" applyProtection="0">
      <alignment vertical="center" wrapText="1"/>
    </xf>
    <xf numFmtId="3" fontId="30" borderId="14" applyNumberFormat="1" applyFont="1" applyFill="0" applyBorder="1" applyAlignment="1" applyProtection="0">
      <alignment horizontal="right" vertical="center"/>
    </xf>
    <xf numFmtId="3" fontId="22" fillId="2" borderId="14" applyNumberFormat="1" applyFont="1" applyFill="1" applyBorder="1" applyAlignment="1" applyProtection="0">
      <alignment horizontal="right" vertical="center"/>
    </xf>
    <xf numFmtId="49" fontId="21" fillId="2" borderId="6" applyNumberFormat="1" applyFont="1" applyFill="1" applyBorder="1" applyAlignment="1" applyProtection="0">
      <alignment vertical="bottom"/>
    </xf>
    <xf numFmtId="64" fontId="31" borderId="14" applyNumberFormat="1" applyFont="1" applyFill="0" applyBorder="1" applyAlignment="1" applyProtection="0">
      <alignment horizontal="left" vertical="center"/>
    </xf>
    <xf numFmtId="9" fontId="30" borderId="14" applyNumberFormat="1" applyFont="1" applyFill="0" applyBorder="1" applyAlignment="1" applyProtection="0">
      <alignment horizontal="center" vertical="center"/>
    </xf>
    <xf numFmtId="59" fontId="29" borderId="14" applyNumberFormat="1" applyFont="1" applyFill="0" applyBorder="1" applyAlignment="1" applyProtection="0">
      <alignment vertical="center"/>
    </xf>
    <xf numFmtId="59" fontId="32" borderId="14" applyNumberFormat="1" applyFont="1" applyFill="0" applyBorder="1" applyAlignment="1" applyProtection="0">
      <alignment vertical="center"/>
    </xf>
    <xf numFmtId="49" fontId="33" fillId="2" borderId="1" applyNumberFormat="1" applyFont="1" applyFill="1" applyBorder="1" applyAlignment="1" applyProtection="0">
      <alignment horizontal="left" vertical="bottom"/>
    </xf>
    <xf numFmtId="49" fontId="34" borderId="2" applyNumberFormat="1" applyFont="1" applyFill="0" applyBorder="1" applyAlignment="1" applyProtection="0">
      <alignment vertical="center"/>
    </xf>
    <xf numFmtId="49" fontId="21" fillId="2" borderId="1" applyNumberFormat="1" applyFont="1" applyFill="1" applyBorder="1" applyAlignment="1" applyProtection="0">
      <alignment horizontal="left" vertical="bottom"/>
    </xf>
    <xf numFmtId="49" fontId="35" fillId="2" borderId="1" applyNumberFormat="1" applyFont="1" applyFill="1" applyBorder="1" applyAlignment="1" applyProtection="0">
      <alignment vertical="bottom"/>
    </xf>
    <xf numFmtId="49" fontId="35" fillId="2" borderId="6" applyNumberFormat="1" applyFont="1" applyFill="1" applyBorder="1" applyAlignment="1" applyProtection="0">
      <alignment vertical="bottom"/>
    </xf>
    <xf numFmtId="49" fontId="30" fillId="2" borderId="14" applyNumberFormat="1" applyFont="1" applyFill="1" applyBorder="1" applyAlignment="1" applyProtection="0">
      <alignment vertical="bottom"/>
    </xf>
    <xf numFmtId="64" fontId="31" borderId="14" applyNumberFormat="1" applyFont="1" applyFill="0" applyBorder="1" applyAlignment="1" applyProtection="0">
      <alignment horizontal="center" vertical="center"/>
    </xf>
    <xf numFmtId="49" fontId="30" borderId="14" applyNumberFormat="1" applyFont="1" applyFill="0" applyBorder="1" applyAlignment="1" applyProtection="0">
      <alignment vertical="center"/>
    </xf>
    <xf numFmtId="3" fontId="30" borderId="14" applyNumberFormat="1" applyFont="1" applyFill="0" applyBorder="1" applyAlignment="1" applyProtection="0">
      <alignment vertical="center"/>
    </xf>
    <xf numFmtId="59" fontId="30" borderId="14" applyNumberFormat="1" applyFont="1" applyFill="0" applyBorder="1" applyAlignment="1" applyProtection="0">
      <alignment vertical="center"/>
    </xf>
    <xf numFmtId="49" fontId="20" fillId="2" borderId="4" applyNumberFormat="1" applyFont="1" applyFill="1" applyBorder="1" applyAlignment="1" applyProtection="0">
      <alignment vertical="bottom"/>
    </xf>
    <xf numFmtId="49" fontId="33" fillId="2" borderId="1" applyNumberFormat="1" applyFont="1" applyFill="1" applyBorder="1" applyAlignment="1" applyProtection="0">
      <alignment vertical="bottom"/>
    </xf>
    <xf numFmtId="49" fontId="36" borderId="36" applyNumberFormat="1" applyFont="1" applyFill="0" applyBorder="1" applyAlignment="1" applyProtection="0">
      <alignment vertical="center"/>
    </xf>
    <xf numFmtId="49" fontId="20" fillId="2" borderId="37" applyNumberFormat="1" applyFont="1" applyFill="1" applyBorder="1" applyAlignment="1" applyProtection="0">
      <alignment vertical="bottom"/>
    </xf>
    <xf numFmtId="49" fontId="36" fillId="2" borderId="38" applyNumberFormat="1" applyFont="1" applyFill="1" applyBorder="1" applyAlignment="1" applyProtection="0">
      <alignment vertical="bottom"/>
    </xf>
    <xf numFmtId="49" fontId="36" fillId="2" borderId="39" applyNumberFormat="1" applyFont="1" applyFill="1" applyBorder="1" applyAlignment="1" applyProtection="0">
      <alignment vertical="bottom" wrapText="1"/>
    </xf>
    <xf numFmtId="59" fontId="20" borderId="40" applyNumberFormat="1" applyFont="1" applyFill="0" applyBorder="1" applyAlignment="1" applyProtection="0">
      <alignment vertical="center"/>
    </xf>
    <xf numFmtId="49" fontId="0" borderId="30" applyNumberFormat="1" applyFont="1" applyFill="0" applyBorder="1" applyAlignment="1" applyProtection="0">
      <alignment vertical="center"/>
    </xf>
    <xf numFmtId="49" fontId="28" fillId="3" borderId="41" applyNumberFormat="1" applyFont="1" applyFill="1" applyBorder="1" applyAlignment="1" applyProtection="0">
      <alignment vertical="center"/>
    </xf>
    <xf numFmtId="49" fontId="30" fillId="22" borderId="14" applyNumberFormat="1" applyFont="1" applyFill="1" applyBorder="1" applyAlignment="1" applyProtection="0">
      <alignment vertical="bottom"/>
    </xf>
    <xf numFmtId="49" fontId="36" fillId="2" borderId="25" applyNumberFormat="1" applyFont="1" applyFill="1" applyBorder="1" applyAlignment="1" applyProtection="0">
      <alignment vertical="bottom"/>
    </xf>
    <xf numFmtId="49" fontId="36" fillId="2" borderId="1" applyNumberFormat="1" applyFont="1" applyFill="1" applyBorder="1" applyAlignment="1" applyProtection="0">
      <alignment vertical="bottom"/>
    </xf>
    <xf numFmtId="49" fontId="36" fillId="2" borderId="42" applyNumberFormat="1" applyFont="1" applyFill="1" applyBorder="1" applyAlignment="1" applyProtection="0">
      <alignment vertical="bottom"/>
    </xf>
    <xf numFmtId="59" fontId="20" fillId="3" borderId="8" applyNumberFormat="1" applyFont="1" applyFill="1" applyBorder="1" applyAlignment="1" applyProtection="0">
      <alignment vertical="center"/>
    </xf>
    <xf numFmtId="0" fontId="0" fillId="3" borderId="8" applyNumberFormat="0" applyFont="1" applyFill="1" applyBorder="1" applyAlignment="1" applyProtection="0">
      <alignment vertical="center"/>
    </xf>
    <xf numFmtId="3" fontId="20" fillId="2" borderId="14" applyNumberFormat="1" applyFont="1" applyFill="1" applyBorder="1" applyAlignment="1" applyProtection="0">
      <alignment horizontal="right" vertical="center"/>
    </xf>
    <xf numFmtId="0" fontId="21" fillId="3" borderId="41" applyNumberFormat="0" applyFont="1" applyFill="1" applyBorder="1" applyAlignment="1" applyProtection="0">
      <alignment vertical="center"/>
    </xf>
    <xf numFmtId="49" fontId="36" fillId="2" borderId="2" applyNumberFormat="1" applyFont="1" applyFill="1" applyBorder="1" applyAlignment="1" applyProtection="0">
      <alignment vertical="bottom"/>
    </xf>
    <xf numFmtId="3" fontId="15" borderId="4" applyNumberFormat="1" applyFont="1" applyFill="0" applyBorder="1" applyAlignment="1" applyProtection="0">
      <alignment vertical="center"/>
    </xf>
    <xf numFmtId="49" fontId="37" fillId="2" borderId="14" applyNumberFormat="1" applyFont="1" applyFill="1" applyBorder="1" applyAlignment="1" applyProtection="0">
      <alignment vertical="bottom"/>
    </xf>
    <xf numFmtId="64" fontId="38" borderId="14" applyNumberFormat="1" applyFont="1" applyFill="0" applyBorder="1" applyAlignment="1" applyProtection="0">
      <alignment horizontal="center" vertical="center"/>
    </xf>
    <xf numFmtId="49" fontId="37" borderId="14" applyNumberFormat="1" applyFont="1" applyFill="0" applyBorder="1" applyAlignment="1" applyProtection="0">
      <alignment vertical="center"/>
    </xf>
    <xf numFmtId="3" fontId="37" borderId="14" applyNumberFormat="1" applyFont="1" applyFill="0" applyBorder="1" applyAlignment="1" applyProtection="0">
      <alignment vertical="center"/>
    </xf>
    <xf numFmtId="59" fontId="37" borderId="14" applyNumberFormat="1" applyFont="1" applyFill="0" applyBorder="1" applyAlignment="1" applyProtection="0">
      <alignment vertical="center"/>
    </xf>
    <xf numFmtId="3" fontId="21" fillId="2" borderId="14" applyNumberFormat="1" applyFont="1" applyFill="1" applyBorder="1" applyAlignment="1" applyProtection="0">
      <alignment horizontal="right" vertical="center"/>
    </xf>
    <xf numFmtId="3" fontId="37" borderId="14" applyNumberFormat="1" applyFont="1" applyFill="0" applyBorder="1" applyAlignment="1" applyProtection="0">
      <alignment horizontal="right" vertical="center"/>
    </xf>
    <xf numFmtId="49" fontId="21" fillId="3" borderId="41" applyNumberFormat="1" applyFont="1" applyFill="1" applyBorder="1" applyAlignment="1" applyProtection="0">
      <alignment vertical="center"/>
    </xf>
    <xf numFmtId="49" fontId="37" fillId="22" borderId="43" applyNumberFormat="1" applyFont="1" applyFill="1" applyBorder="1" applyAlignment="1" applyProtection="0">
      <alignment vertical="bottom"/>
    </xf>
    <xf numFmtId="49" fontId="35" fillId="2" borderId="44" applyNumberFormat="1" applyFont="1" applyFill="1" applyBorder="1" applyAlignment="1" applyProtection="0">
      <alignment vertical="bottom"/>
    </xf>
    <xf numFmtId="49" fontId="21" fillId="2" borderId="36" applyNumberFormat="1" applyFont="1" applyFill="1" applyBorder="1" applyAlignment="1" applyProtection="0">
      <alignment vertical="bottom"/>
    </xf>
    <xf numFmtId="49" fontId="35" fillId="2" borderId="36" applyNumberFormat="1" applyFont="1" applyFill="1" applyBorder="1" applyAlignment="1" applyProtection="0">
      <alignment vertical="bottom"/>
    </xf>
    <xf numFmtId="49" fontId="35" fillId="2" borderId="45" applyNumberFormat="1" applyFont="1" applyFill="1" applyBorder="1" applyAlignment="1" applyProtection="0">
      <alignment vertical="bottom"/>
    </xf>
    <xf numFmtId="59" fontId="22" fillId="3" borderId="8" applyNumberFormat="1" applyFont="1" applyFill="1" applyBorder="1" applyAlignment="1" applyProtection="0">
      <alignment vertical="center"/>
    </xf>
    <xf numFmtId="49" fontId="31" borderId="14" applyNumberFormat="1" applyFont="1" applyFill="0" applyBorder="1" applyAlignment="1" applyProtection="0">
      <alignment horizontal="center" vertical="center"/>
    </xf>
    <xf numFmtId="49" fontId="28" fillId="3" borderId="46" applyNumberFormat="1" applyFont="1" applyFill="1" applyBorder="1" applyAlignment="1" applyProtection="0">
      <alignment vertical="center"/>
    </xf>
    <xf numFmtId="49" fontId="30" fillId="2" borderId="39" applyNumberFormat="1" applyFont="1" applyFill="1" applyBorder="1" applyAlignment="1" applyProtection="0">
      <alignment vertical="bottom" wrapText="1"/>
    </xf>
    <xf numFmtId="49" fontId="36" fillId="2" borderId="39" applyNumberFormat="1" applyFont="1" applyFill="1" applyBorder="1" applyAlignment="1" applyProtection="0">
      <alignment horizontal="left" vertical="bottom" wrapText="1"/>
    </xf>
    <xf numFmtId="49" fontId="18" fillId="2" borderId="47" applyNumberFormat="1" applyFont="1" applyFill="1" applyBorder="1" applyAlignment="1" applyProtection="0">
      <alignment vertical="bottom"/>
    </xf>
    <xf numFmtId="0" fontId="36" fillId="2" borderId="48" applyNumberFormat="0" applyFont="1" applyFill="1" applyBorder="1" applyAlignment="1" applyProtection="0">
      <alignment vertical="bottom"/>
    </xf>
    <xf numFmtId="49" fontId="38" borderId="14" applyNumberFormat="1" applyFont="1" applyFill="0" applyBorder="1" applyAlignment="1" applyProtection="0">
      <alignment horizontal="center" vertical="center"/>
    </xf>
    <xf numFmtId="49" fontId="35" fillId="2" borderId="39" applyNumberFormat="1" applyFont="1" applyFill="1" applyBorder="1" applyAlignment="1" applyProtection="0">
      <alignment vertical="center" wrapText="1"/>
    </xf>
    <xf numFmtId="49" fontId="35" fillId="2" borderId="39" applyNumberFormat="1" applyFont="1" applyFill="1" applyBorder="1" applyAlignment="1" applyProtection="0">
      <alignment horizontal="left" vertical="bottom" wrapText="1"/>
    </xf>
    <xf numFmtId="49" fontId="35" fillId="2" borderId="39" applyNumberFormat="1" applyFont="1" applyFill="1" applyBorder="1" applyAlignment="1" applyProtection="0">
      <alignment vertical="bottom" wrapText="1"/>
    </xf>
    <xf numFmtId="0" fontId="35" fillId="2" borderId="49" applyNumberFormat="0" applyFont="1" applyFill="1" applyBorder="1" applyAlignment="1" applyProtection="0">
      <alignment vertical="bottom"/>
    </xf>
    <xf numFmtId="49" fontId="36" fillId="2" borderId="39" applyNumberFormat="1" applyFont="1" applyFill="1" applyBorder="1" applyAlignment="1" applyProtection="0">
      <alignment vertical="center" wrapText="1"/>
    </xf>
    <xf numFmtId="0" fontId="36" fillId="2" borderId="49" applyNumberFormat="0" applyFont="1" applyFill="1" applyBorder="1" applyAlignment="1" applyProtection="0">
      <alignment vertical="bottom"/>
    </xf>
    <xf numFmtId="0" fontId="21" fillId="3" borderId="46" applyNumberFormat="0" applyFont="1" applyFill="1" applyBorder="1" applyAlignment="1" applyProtection="0">
      <alignment vertical="center"/>
    </xf>
    <xf numFmtId="49" fontId="31" borderId="14" applyNumberFormat="1" applyFont="1" applyFill="0" applyBorder="1" applyAlignment="1" applyProtection="0">
      <alignment vertical="center"/>
    </xf>
    <xf numFmtId="2" fontId="18" fillId="22" borderId="14" applyNumberFormat="1" applyFont="1" applyFill="1" applyBorder="1" applyAlignment="1" applyProtection="0">
      <alignment vertical="center"/>
    </xf>
    <xf numFmtId="49" fontId="20" borderId="49" applyNumberFormat="1" applyFont="1" applyFill="0" applyBorder="1" applyAlignment="1" applyProtection="0">
      <alignment vertical="center"/>
    </xf>
    <xf numFmtId="0" fontId="0" fillId="10" borderId="8" applyNumberFormat="0" applyFont="1" applyFill="1" applyBorder="1" applyAlignment="1" applyProtection="0">
      <alignment vertical="center"/>
    </xf>
    <xf numFmtId="0" fontId="39" fillId="2" borderId="1" applyNumberFormat="1" applyFont="1" applyFill="1" applyBorder="1" applyAlignment="1" applyProtection="0">
      <alignment vertical="center"/>
    </xf>
    <xf numFmtId="49" fontId="28" fillId="3" borderId="14" applyNumberFormat="1" applyFont="1" applyFill="1" applyBorder="1" applyAlignment="1" applyProtection="0">
      <alignment horizontal="center" vertical="center"/>
    </xf>
    <xf numFmtId="49" fontId="28" borderId="14" applyNumberFormat="1" applyFont="1" applyFill="0" applyBorder="1" applyAlignment="1" applyProtection="0">
      <alignment vertical="center"/>
    </xf>
    <xf numFmtId="9" fontId="28" borderId="14" applyNumberFormat="1" applyFont="1" applyFill="0" applyBorder="1" applyAlignment="1" applyProtection="0">
      <alignment horizontal="center" vertical="center"/>
    </xf>
    <xf numFmtId="49" fontId="28" borderId="14" applyNumberFormat="1" applyFont="1" applyFill="0" applyBorder="1" applyAlignment="1" applyProtection="0">
      <alignment horizontal="center" vertical="center"/>
    </xf>
    <xf numFmtId="3" fontId="40" borderId="14" applyNumberFormat="1" applyFont="1" applyFill="0" applyBorder="1" applyAlignment="1" applyProtection="0">
      <alignment vertical="center"/>
    </xf>
    <xf numFmtId="59" fontId="27" borderId="14" applyNumberFormat="1" applyFont="1" applyFill="0" applyBorder="1" applyAlignment="1" applyProtection="0">
      <alignment vertical="center"/>
    </xf>
    <xf numFmtId="3" fontId="28" borderId="14" applyNumberFormat="1" applyFont="1" applyFill="0" applyBorder="1" applyAlignment="1" applyProtection="0">
      <alignment vertical="center"/>
    </xf>
    <xf numFmtId="2" fontId="28" borderId="14" applyNumberFormat="1" applyFont="1" applyFill="0" applyBorder="1" applyAlignment="1" applyProtection="0">
      <alignment vertical="center"/>
    </xf>
    <xf numFmtId="63" fontId="28" borderId="14" applyNumberFormat="1" applyFont="1" applyFill="0" applyBorder="1" applyAlignment="1" applyProtection="0">
      <alignment horizontal="right" vertical="center"/>
    </xf>
    <xf numFmtId="3" fontId="27" borderId="14" applyNumberFormat="1" applyFont="1" applyFill="0" applyBorder="1" applyAlignment="1" applyProtection="0">
      <alignment vertical="center"/>
    </xf>
    <xf numFmtId="3" fontId="28" fillId="2" borderId="14" applyNumberFormat="1" applyFont="1" applyFill="1" applyBorder="1" applyAlignment="1" applyProtection="0">
      <alignment vertical="center"/>
    </xf>
    <xf numFmtId="3" fontId="28" fillId="2" borderId="14" applyNumberFormat="1" applyFont="1" applyFill="1" applyBorder="1" applyAlignment="1" applyProtection="0">
      <alignment horizontal="right" vertical="center"/>
    </xf>
    <xf numFmtId="59" fontId="28" borderId="14" applyNumberFormat="1" applyFont="1" applyFill="0" applyBorder="1" applyAlignment="1" applyProtection="0">
      <alignment vertical="center"/>
    </xf>
    <xf numFmtId="59" fontId="28" fillId="2" borderId="14" applyNumberFormat="1" applyFont="1" applyFill="1" applyBorder="1" applyAlignment="1" applyProtection="0">
      <alignment vertical="center"/>
    </xf>
    <xf numFmtId="0" fontId="28" fillId="2" borderId="14" applyNumberFormat="0" applyFont="1" applyFill="1" applyBorder="1" applyAlignment="1" applyProtection="0">
      <alignment vertical="center" wrapText="1"/>
    </xf>
    <xf numFmtId="2" fontId="28" fillId="2" borderId="25" applyNumberFormat="1" applyFont="1" applyFill="1" applyBorder="1" applyAlignment="1" applyProtection="0">
      <alignment vertical="center" wrapText="1"/>
    </xf>
    <xf numFmtId="59" fontId="28" fillId="2" borderId="1" applyNumberFormat="1" applyFont="1" applyFill="1" applyBorder="1" applyAlignment="1" applyProtection="0">
      <alignment vertical="center" wrapText="1"/>
    </xf>
    <xf numFmtId="3" fontId="28" borderId="1" applyNumberFormat="1" applyFont="1" applyFill="0" applyBorder="1" applyAlignment="1" applyProtection="0">
      <alignment vertical="center"/>
    </xf>
    <xf numFmtId="3" fontId="28" borderId="2" applyNumberFormat="1" applyFont="1" applyFill="0" applyBorder="1" applyAlignment="1" applyProtection="0">
      <alignment vertical="center"/>
    </xf>
    <xf numFmtId="49" fontId="41" fillId="2" borderId="39" applyNumberFormat="1" applyFont="1" applyFill="1" applyBorder="1" applyAlignment="1" applyProtection="0">
      <alignment vertical="center" wrapText="1"/>
    </xf>
    <xf numFmtId="49" fontId="41" fillId="2" borderId="39" applyNumberFormat="1" applyFont="1" applyFill="1" applyBorder="1" applyAlignment="1" applyProtection="0">
      <alignment horizontal="left" vertical="bottom" wrapText="1"/>
    </xf>
    <xf numFmtId="49" fontId="41" fillId="2" borderId="39" applyNumberFormat="1" applyFont="1" applyFill="1" applyBorder="1" applyAlignment="1" applyProtection="0">
      <alignment vertical="bottom" wrapText="1"/>
    </xf>
    <xf numFmtId="49" fontId="27" borderId="49" applyNumberFormat="1" applyFont="1" applyFill="0" applyBorder="1" applyAlignment="1" applyProtection="0">
      <alignment vertical="center"/>
    </xf>
    <xf numFmtId="49" fontId="28" fillId="2" borderId="14" applyNumberFormat="1" applyFont="1" applyFill="1" applyBorder="1" applyAlignment="1" applyProtection="0">
      <alignment vertical="center" wrapText="1"/>
    </xf>
    <xf numFmtId="49" fontId="40" borderId="14" applyNumberFormat="1" applyFont="1" applyFill="0" applyBorder="1" applyAlignment="1" applyProtection="0">
      <alignment horizontal="center" vertical="center"/>
    </xf>
    <xf numFmtId="3" fontId="27" fillId="2" borderId="14" applyNumberFormat="1" applyFont="1" applyFill="1" applyBorder="1" applyAlignment="1" applyProtection="0">
      <alignment horizontal="right" vertical="center"/>
    </xf>
    <xf numFmtId="0" fontId="28" borderId="14" applyNumberFormat="0" applyFont="1" applyFill="0" applyBorder="1" applyAlignment="1" applyProtection="0">
      <alignment vertical="center"/>
    </xf>
    <xf numFmtId="64" fontId="40" borderId="14" applyNumberFormat="1" applyFont="1" applyFill="0" applyBorder="1" applyAlignment="1" applyProtection="0">
      <alignment horizontal="center" vertical="center"/>
    </xf>
    <xf numFmtId="9" fontId="42" borderId="14" applyNumberFormat="1" applyFont="1" applyFill="0" applyBorder="1" applyAlignment="1" applyProtection="0">
      <alignment horizontal="center" vertical="center"/>
    </xf>
    <xf numFmtId="0" fontId="42" fillId="2" borderId="14" applyNumberFormat="0" applyFont="1" applyFill="1" applyBorder="1" applyAlignment="1" applyProtection="0">
      <alignment horizontal="center" vertical="center" wrapText="1"/>
    </xf>
    <xf numFmtId="0" fontId="41" fillId="2" borderId="39" applyNumberFormat="0" applyFont="1" applyFill="1" applyBorder="1" applyAlignment="1" applyProtection="0">
      <alignment vertical="center" wrapText="1"/>
    </xf>
    <xf numFmtId="0" fontId="41" fillId="2" borderId="39" applyNumberFormat="0" applyFont="1" applyFill="1" applyBorder="1" applyAlignment="1" applyProtection="0">
      <alignment horizontal="left" vertical="bottom" wrapText="1"/>
    </xf>
    <xf numFmtId="0" fontId="41" fillId="2" borderId="39" applyNumberFormat="0" applyFont="1" applyFill="1" applyBorder="1" applyAlignment="1" applyProtection="0">
      <alignment vertical="bottom" wrapText="1"/>
    </xf>
    <xf numFmtId="59" fontId="27" borderId="49" applyNumberFormat="1" applyFont="1" applyFill="0" applyBorder="1" applyAlignment="1" applyProtection="0">
      <alignment vertical="center"/>
    </xf>
    <xf numFmtId="49" fontId="31" fillId="22" borderId="14" applyNumberFormat="1" applyFont="1" applyFill="1" applyBorder="1" applyAlignment="1" applyProtection="0">
      <alignment horizontal="center" vertical="center"/>
    </xf>
    <xf numFmtId="3" fontId="31" borderId="14" applyNumberFormat="1" applyFont="1" applyFill="0" applyBorder="1" applyAlignment="1" applyProtection="0">
      <alignment vertical="center"/>
    </xf>
    <xf numFmtId="49" fontId="43" fillId="2" borderId="14" applyNumberFormat="1" applyFont="1" applyFill="1" applyBorder="1" applyAlignment="1" applyProtection="0">
      <alignment vertical="center" wrapText="1"/>
    </xf>
    <xf numFmtId="49" fontId="44" fillId="2" borderId="14" applyNumberFormat="1" applyFont="1" applyFill="1" applyBorder="1" applyAlignment="1" applyProtection="0">
      <alignment horizontal="left" vertical="center" wrapText="1"/>
    </xf>
    <xf numFmtId="49" fontId="30" borderId="14" applyNumberFormat="1" applyFont="1" applyFill="0" applyBorder="1" applyAlignment="1" applyProtection="0">
      <alignment horizontal="center" vertical="center"/>
    </xf>
    <xf numFmtId="59" fontId="21" fillId="3" borderId="14" applyNumberFormat="1" applyFont="1" applyFill="1" applyBorder="1" applyAlignment="1" applyProtection="0">
      <alignment vertical="center"/>
    </xf>
    <xf numFmtId="59" fontId="20" borderId="49" applyNumberFormat="1" applyFont="1" applyFill="0" applyBorder="1" applyAlignment="1" applyProtection="0">
      <alignment vertical="center"/>
    </xf>
    <xf numFmtId="2" fontId="18" fillId="2" borderId="50" applyNumberFormat="1" applyFont="1" applyFill="1" applyBorder="1" applyAlignment="1" applyProtection="0">
      <alignment vertical="center" wrapText="1"/>
    </xf>
    <xf numFmtId="59" fontId="18" fillId="2" borderId="9" applyNumberFormat="1" applyFont="1" applyFill="1" applyBorder="1" applyAlignment="1" applyProtection="0">
      <alignment vertical="center" wrapText="1"/>
    </xf>
    <xf numFmtId="3" fontId="18" borderId="9" applyNumberFormat="1" applyFont="1" applyFill="0" applyBorder="1" applyAlignment="1" applyProtection="0">
      <alignment vertical="center"/>
    </xf>
    <xf numFmtId="3" fontId="18" borderId="51" applyNumberFormat="1" applyFont="1" applyFill="0" applyBorder="1" applyAlignment="1" applyProtection="0">
      <alignment vertical="center"/>
    </xf>
    <xf numFmtId="3" fontId="27" fillId="3" borderId="52" applyNumberFormat="1" applyFont="1" applyFill="1" applyBorder="1" applyAlignment="1" applyProtection="0">
      <alignment vertical="center"/>
    </xf>
    <xf numFmtId="49" fontId="28" fillId="3" borderId="53" applyNumberFormat="1" applyFont="1" applyFill="1" applyBorder="1" applyAlignment="1" applyProtection="0">
      <alignment vertical="center"/>
    </xf>
    <xf numFmtId="0" fontId="20" borderId="14" applyNumberFormat="0" applyFont="1" applyFill="0" applyBorder="1" applyAlignment="1" applyProtection="0">
      <alignment vertical="center"/>
    </xf>
    <xf numFmtId="49" fontId="20" borderId="14" applyNumberFormat="1" applyFont="1" applyFill="0" applyBorder="1" applyAlignment="1" applyProtection="0">
      <alignment horizontal="center" vertical="center"/>
    </xf>
    <xf numFmtId="0" fontId="20" borderId="26" applyNumberFormat="0" applyFont="1" applyFill="0" applyBorder="1" applyAlignment="1" applyProtection="0">
      <alignment vertical="center"/>
    </xf>
    <xf numFmtId="0" fontId="20" borderId="27" applyNumberFormat="0" applyFont="1" applyFill="0" applyBorder="1" applyAlignment="1" applyProtection="0">
      <alignment vertical="center"/>
    </xf>
    <xf numFmtId="59" fontId="20" fillId="2" borderId="14" applyNumberFormat="1" applyFont="1" applyFill="1" applyBorder="1" applyAlignment="1" applyProtection="0">
      <alignment vertical="center"/>
    </xf>
    <xf numFmtId="59" fontId="20" fillId="3" borderId="14" applyNumberFormat="1" applyFont="1" applyFill="1" applyBorder="1" applyAlignment="1" applyProtection="0">
      <alignment vertical="center"/>
    </xf>
    <xf numFmtId="3" fontId="22" fillId="3" borderId="54" applyNumberFormat="1" applyFont="1" applyFill="1" applyBorder="1" applyAlignment="1" applyProtection="0">
      <alignment vertical="center"/>
    </xf>
    <xf numFmtId="0" fontId="0" fillId="2" borderId="39" applyNumberFormat="0" applyFont="1" applyFill="1" applyBorder="1" applyAlignment="1" applyProtection="0">
      <alignment vertical="center" wrapText="1"/>
    </xf>
    <xf numFmtId="0" fontId="18" borderId="49" applyNumberFormat="0" applyFont="1" applyFill="0" applyBorder="1" applyAlignment="1" applyProtection="0">
      <alignment vertical="center"/>
    </xf>
    <xf numFmtId="59" fontId="36" borderId="28" applyNumberFormat="1" applyFont="1" applyFill="0" applyBorder="1" applyAlignment="1" applyProtection="0">
      <alignment vertical="center"/>
    </xf>
    <xf numFmtId="59" fontId="36" borderId="15" applyNumberFormat="1" applyFont="1" applyFill="0" applyBorder="1" applyAlignment="1" applyProtection="0">
      <alignment vertical="center"/>
    </xf>
    <xf numFmtId="59" fontId="36" borderId="29" applyNumberFormat="1" applyFont="1" applyFill="0" applyBorder="1" applyAlignment="1" applyProtection="0">
      <alignment vertical="center"/>
    </xf>
    <xf numFmtId="59" fontId="46" borderId="14" applyNumberFormat="1" applyFont="1" applyFill="0" applyBorder="1" applyAlignment="1" applyProtection="0">
      <alignment vertical="center"/>
    </xf>
    <xf numFmtId="59" fontId="46" fillId="2" borderId="14" applyNumberFormat="1" applyFont="1" applyFill="1" applyBorder="1" applyAlignment="1" applyProtection="0">
      <alignment vertical="center"/>
    </xf>
    <xf numFmtId="49" fontId="46" fillId="2" borderId="14" applyNumberFormat="1" applyFont="1" applyFill="1" applyBorder="1" applyAlignment="1" applyProtection="0">
      <alignment vertical="center" wrapText="1"/>
    </xf>
    <xf numFmtId="59" fontId="36" borderId="55" applyNumberFormat="1" applyFont="1" applyFill="0" applyBorder="1" applyAlignment="1" applyProtection="0">
      <alignment vertical="center"/>
    </xf>
    <xf numFmtId="59" fontId="18" borderId="28" applyNumberFormat="1" applyFont="1" applyFill="0" applyBorder="1" applyAlignment="1" applyProtection="0">
      <alignment vertical="center"/>
    </xf>
    <xf numFmtId="0" fontId="47" borderId="56" applyNumberFormat="0" applyFont="1" applyFill="0" applyBorder="1" applyAlignment="1" applyProtection="0">
      <alignment vertical="center"/>
    </xf>
    <xf numFmtId="59" fontId="35" fillId="3" borderId="57" applyNumberFormat="1" applyFont="1" applyFill="1" applyBorder="1" applyAlignment="1" applyProtection="0">
      <alignment vertical="center"/>
    </xf>
    <xf numFmtId="59" fontId="18" fillId="3" borderId="58" applyNumberFormat="1" applyFont="1" applyFill="1" applyBorder="1" applyAlignment="1" applyProtection="0">
      <alignment vertical="center"/>
    </xf>
    <xf numFmtId="59" fontId="0" fillId="10" borderId="8" applyNumberFormat="1" applyFont="1" applyFill="1" applyBorder="1" applyAlignment="1" applyProtection="0">
      <alignment vertical="center"/>
    </xf>
    <xf numFmtId="0" fontId="36" borderId="59" applyNumberFormat="0" applyFont="1" applyFill="0" applyBorder="1" applyAlignment="1" applyProtection="0">
      <alignment vertical="center"/>
    </xf>
    <xf numFmtId="0" fontId="30" fillId="22" borderId="14" applyNumberFormat="0" applyFont="1" applyFill="1" applyBorder="1" applyAlignment="1" applyProtection="0">
      <alignment vertical="bottom"/>
    </xf>
    <xf numFmtId="64" fontId="31" fillId="22" borderId="14" applyNumberFormat="1" applyFont="1" applyFill="1" applyBorder="1" applyAlignment="1" applyProtection="0">
      <alignment horizontal="center" vertical="center"/>
    </xf>
    <xf numFmtId="64" fontId="31" fillId="22" borderId="14" applyNumberFormat="1" applyFont="1" applyFill="1" applyBorder="1" applyAlignment="1" applyProtection="0">
      <alignment horizontal="left" vertical="center"/>
    </xf>
    <xf numFmtId="0" fontId="36" borderId="25" applyNumberFormat="0" applyFont="1" applyFill="0" applyBorder="1" applyAlignment="1" applyProtection="0">
      <alignment vertical="center"/>
    </xf>
    <xf numFmtId="0" fontId="36" borderId="1" applyNumberFormat="0" applyFont="1" applyFill="0" applyBorder="1" applyAlignment="1" applyProtection="0">
      <alignment vertical="center"/>
    </xf>
    <xf numFmtId="59" fontId="35" borderId="28" applyNumberFormat="1" applyFont="1" applyFill="0" applyBorder="1" applyAlignment="1" applyProtection="0">
      <alignment vertical="center"/>
    </xf>
    <xf numFmtId="59" fontId="35" fillId="2" borderId="28" applyNumberFormat="1" applyFont="1" applyFill="1" applyBorder="1" applyAlignment="1" applyProtection="0">
      <alignment vertical="center"/>
    </xf>
    <xf numFmtId="59" fontId="48" fillId="2" borderId="28" applyNumberFormat="1" applyFont="1" applyFill="1" applyBorder="1" applyAlignment="1" applyProtection="0">
      <alignment vertical="center"/>
    </xf>
    <xf numFmtId="59" fontId="35" borderId="60" applyNumberFormat="1" applyFont="1" applyFill="0" applyBorder="1" applyAlignment="1" applyProtection="0">
      <alignment vertical="center"/>
    </xf>
    <xf numFmtId="59" fontId="35" borderId="56" applyNumberFormat="1" applyFont="1" applyFill="0" applyBorder="1" applyAlignment="1" applyProtection="0">
      <alignment vertical="center"/>
    </xf>
    <xf numFmtId="59" fontId="16" fillId="3" borderId="57" applyNumberFormat="1" applyFont="1" applyFill="1" applyBorder="1" applyAlignment="1" applyProtection="0">
      <alignment vertical="center"/>
    </xf>
    <xf numFmtId="49" fontId="48" fillId="2" borderId="61" applyNumberFormat="1" applyFont="1" applyFill="1" applyBorder="1" applyAlignment="1" applyProtection="0">
      <alignment vertical="center"/>
    </xf>
    <xf numFmtId="59" fontId="35" fillId="2" borderId="56" applyNumberFormat="1" applyFont="1" applyFill="1" applyBorder="1" applyAlignment="1" applyProtection="0">
      <alignment vertical="center"/>
    </xf>
    <xf numFmtId="49" fontId="48" borderId="61" applyNumberFormat="1" applyFont="1" applyFill="0" applyBorder="1" applyAlignment="1" applyProtection="0">
      <alignment vertical="center"/>
    </xf>
    <xf numFmtId="59" fontId="29" borderId="1" applyNumberFormat="1" applyFont="1" applyFill="0" applyBorder="1" applyAlignment="1" applyProtection="0">
      <alignment vertical="center"/>
    </xf>
    <xf numFmtId="0" fontId="47" borderId="2" applyNumberFormat="0" applyFont="1" applyFill="0" applyBorder="1" applyAlignment="1" applyProtection="0">
      <alignment vertical="center"/>
    </xf>
    <xf numFmtId="59" fontId="48" fillId="3" borderId="8" applyNumberFormat="1" applyFont="1" applyFill="1" applyBorder="1" applyAlignment="1" applyProtection="0">
      <alignment vertical="center"/>
    </xf>
    <xf numFmtId="0" fontId="35" fillId="3" borderId="46" applyNumberFormat="0" applyFont="1" applyFill="1" applyBorder="1" applyAlignment="1" applyProtection="0">
      <alignment vertical="center"/>
    </xf>
    <xf numFmtId="0" fontId="36" borderId="49" applyNumberFormat="0" applyFont="1" applyFill="0" applyBorder="1" applyAlignment="1" applyProtection="0">
      <alignment vertical="center"/>
    </xf>
    <xf numFmtId="3" fontId="14" borderId="1" applyNumberFormat="1" applyFont="1" applyFill="0" applyBorder="1" applyAlignment="1" applyProtection="0">
      <alignment vertical="center"/>
    </xf>
    <xf numFmtId="0" fontId="49" borderId="1" applyNumberFormat="0" applyFont="1" applyFill="0" applyBorder="1" applyAlignment="1" applyProtection="0">
      <alignment vertical="center"/>
    </xf>
    <xf numFmtId="0" fontId="50" borderId="1" applyNumberFormat="0" applyFont="1" applyFill="0" applyBorder="1" applyAlignment="1" applyProtection="0">
      <alignment vertical="center"/>
    </xf>
    <xf numFmtId="0" fontId="47" fillId="2" borderId="1" applyNumberFormat="0" applyFont="1" applyFill="1" applyBorder="1" applyAlignment="1" applyProtection="0">
      <alignment vertical="center"/>
    </xf>
    <xf numFmtId="59" fontId="14" fillId="2" borderId="1" applyNumberFormat="1" applyFont="1" applyFill="1" applyBorder="1" applyAlignment="1" applyProtection="0">
      <alignment vertical="center"/>
    </xf>
    <xf numFmtId="0" fontId="14" borderId="2" applyNumberFormat="0" applyFont="1" applyFill="0" applyBorder="1" applyAlignment="1" applyProtection="0">
      <alignment vertical="center"/>
    </xf>
    <xf numFmtId="0" fontId="51" fillId="23" borderId="62" applyNumberFormat="1" applyFont="1" applyFill="1" applyBorder="1" applyAlignment="1" applyProtection="0">
      <alignment horizontal="right" vertical="center" wrapText="1"/>
    </xf>
    <xf numFmtId="0" fontId="36" borderId="4" applyNumberFormat="0" applyFont="1" applyFill="0" applyBorder="1" applyAlignment="1" applyProtection="0">
      <alignment vertical="center"/>
    </xf>
    <xf numFmtId="0" fontId="52" borderId="1" applyNumberFormat="0" applyFont="1" applyFill="0" applyBorder="1" applyAlignment="1" applyProtection="0">
      <alignment vertical="center"/>
    </xf>
    <xf numFmtId="59" fontId="53" borderId="6" applyNumberFormat="1" applyFont="1" applyFill="0" applyBorder="1" applyAlignment="1" applyProtection="0">
      <alignment vertical="center"/>
    </xf>
    <xf numFmtId="49" fontId="29" borderId="1" applyNumberFormat="1" applyFont="1" applyFill="0" applyBorder="1" applyAlignment="1" applyProtection="0">
      <alignment vertical="center"/>
    </xf>
    <xf numFmtId="49" fontId="35" borderId="2" applyNumberFormat="1" applyFont="1" applyFill="0" applyBorder="1" applyAlignment="1" applyProtection="0">
      <alignment vertical="center"/>
    </xf>
    <xf numFmtId="0" fontId="54" fillId="3" borderId="8" applyNumberFormat="0" applyFont="1" applyFill="1" applyBorder="1" applyAlignment="1" applyProtection="0">
      <alignment vertical="center"/>
    </xf>
    <xf numFmtId="0" fontId="47" fillId="3" borderId="46" applyNumberFormat="0" applyFont="1" applyFill="1" applyBorder="1" applyAlignment="1" applyProtection="0">
      <alignment vertical="center"/>
    </xf>
    <xf numFmtId="0" fontId="14" borderId="49" applyNumberFormat="0" applyFont="1" applyFill="0" applyBorder="1" applyAlignment="1" applyProtection="0">
      <alignment vertical="center"/>
    </xf>
    <xf numFmtId="0" fontId="14" fillId="2" borderId="1" applyNumberFormat="0" applyFont="1" applyFill="1" applyBorder="1" applyAlignment="1" applyProtection="0">
      <alignment vertical="center"/>
    </xf>
    <xf numFmtId="59" fontId="14" borderId="1" applyNumberFormat="1" applyFont="1" applyFill="0" applyBorder="1" applyAlignment="1" applyProtection="0">
      <alignment vertical="center"/>
    </xf>
    <xf numFmtId="59" fontId="36" borderId="6" applyNumberFormat="1" applyFont="1" applyFill="0" applyBorder="1" applyAlignment="1" applyProtection="0">
      <alignment vertical="center"/>
    </xf>
    <xf numFmtId="59" fontId="53" borderId="1" applyNumberFormat="1" applyFont="1" applyFill="0" applyBorder="1" applyAlignment="1" applyProtection="0">
      <alignment vertical="center"/>
    </xf>
    <xf numFmtId="59" fontId="55" borderId="1" applyNumberFormat="1" applyFont="1" applyFill="0" applyBorder="1" applyAlignment="1" applyProtection="0">
      <alignment vertical="center"/>
    </xf>
    <xf numFmtId="49" fontId="21" borderId="2" applyNumberFormat="1" applyFont="1" applyFill="0" applyBorder="1" applyAlignment="1" applyProtection="0">
      <alignment vertical="center"/>
    </xf>
    <xf numFmtId="59" fontId="36" borderId="1" applyNumberFormat="1" applyFont="1" applyFill="0" applyBorder="1" applyAlignment="1" applyProtection="0">
      <alignment vertical="center"/>
    </xf>
    <xf numFmtId="59" fontId="0" borderId="1" applyNumberFormat="1" applyFont="1" applyFill="0" applyBorder="1" applyAlignment="1" applyProtection="0">
      <alignment vertical="center"/>
    </xf>
    <xf numFmtId="0" fontId="47" fillId="3" borderId="8" applyNumberFormat="0" applyFont="1" applyFill="1" applyBorder="1" applyAlignment="1" applyProtection="0">
      <alignment vertical="center"/>
    </xf>
    <xf numFmtId="0" fontId="14" borderId="63" applyNumberFormat="0" applyFont="1" applyFill="0" applyBorder="1" applyAlignment="1" applyProtection="0">
      <alignment vertical="center"/>
    </xf>
    <xf numFmtId="0" fontId="14" borderId="64" applyNumberFormat="0" applyFont="1" applyFill="0" applyBorder="1" applyAlignment="1" applyProtection="0">
      <alignment vertical="center"/>
    </xf>
    <xf numFmtId="0" fontId="14" fillId="2" borderId="64" applyNumberFormat="0" applyFont="1" applyFill="1" applyBorder="1" applyAlignment="1" applyProtection="0">
      <alignment vertical="center"/>
    </xf>
    <xf numFmtId="0" fontId="47" borderId="1" applyNumberFormat="0" applyFont="1" applyFill="0" applyBorder="1" applyAlignment="1" applyProtection="0">
      <alignment vertical="center"/>
    </xf>
    <xf numFmtId="0" fontId="14" borderId="4" applyNumberFormat="0" applyFont="1" applyFill="0" applyBorder="1" applyAlignment="1" applyProtection="0">
      <alignment vertical="center"/>
    </xf>
    <xf numFmtId="0" fontId="0" fillId="2" borderId="1" applyNumberFormat="0" applyFont="1" applyFill="1" applyBorder="1" applyAlignment="1" applyProtection="0">
      <alignment vertical="center"/>
    </xf>
    <xf numFmtId="0" fontId="55" fillId="2" borderId="1" applyNumberFormat="0" applyFont="1" applyFill="1" applyBorder="1" applyAlignment="1" applyProtection="0">
      <alignment vertical="center"/>
    </xf>
    <xf numFmtId="0" fontId="52" borderId="1" applyNumberFormat="1" applyFont="1" applyFill="0" applyBorder="1" applyAlignment="1" applyProtection="0">
      <alignment vertical="center"/>
    </xf>
    <xf numFmtId="0" fontId="56" borderId="1" applyNumberFormat="0" applyFont="1" applyFill="0" applyBorder="1" applyAlignment="1" applyProtection="0">
      <alignment vertical="center"/>
    </xf>
    <xf numFmtId="0" fontId="15" fillId="3" borderId="8" applyNumberFormat="0" applyFont="1" applyFill="1" applyBorder="1" applyAlignment="1" applyProtection="0">
      <alignment vertical="center"/>
    </xf>
    <xf numFmtId="0" fontId="57" fillId="3" borderId="8" applyNumberFormat="0" applyFont="1" applyFill="1" applyBorder="1" applyAlignment="1" applyProtection="0">
      <alignment vertical="center"/>
    </xf>
    <xf numFmtId="0" fontId="15" borderId="2" applyNumberFormat="0" applyFont="1" applyFill="0" applyBorder="1" applyAlignment="1" applyProtection="0">
      <alignment vertical="center"/>
    </xf>
    <xf numFmtId="0" fontId="15" borderId="1" applyNumberFormat="0" applyFont="1" applyFill="0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58" fillId="2" borderId="1" applyNumberFormat="1" applyFont="1" applyFill="1" applyBorder="1" applyAlignment="1" applyProtection="0">
      <alignment vertical="center"/>
    </xf>
    <xf numFmtId="0" fontId="31" fillId="2" borderId="1" applyNumberFormat="0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0" fontId="31" fillId="2" borderId="9" applyNumberFormat="0" applyFont="1" applyFill="1" applyBorder="1" applyAlignment="1" applyProtection="0">
      <alignment vertical="center"/>
    </xf>
    <xf numFmtId="0" fontId="31" fillId="2" borderId="5" applyNumberFormat="0" applyFont="1" applyFill="1" applyBorder="1" applyAlignment="1" applyProtection="0">
      <alignment vertical="center"/>
    </xf>
    <xf numFmtId="49" fontId="59" fillId="24" borderId="14" applyNumberFormat="1" applyFont="1" applyFill="1" applyBorder="1" applyAlignment="1" applyProtection="0">
      <alignment horizontal="center" vertical="bottom" wrapText="1"/>
    </xf>
    <xf numFmtId="0" fontId="59" fillId="24" borderId="14" applyNumberFormat="0" applyFont="1" applyFill="1" applyBorder="1" applyAlignment="1" applyProtection="0">
      <alignment horizontal="center" vertical="bottom" wrapText="1"/>
    </xf>
    <xf numFmtId="0" fontId="31" fillId="2" borderId="65" applyNumberFormat="0" applyFont="1" applyFill="1" applyBorder="1" applyAlignment="1" applyProtection="0">
      <alignment vertical="center"/>
    </xf>
    <xf numFmtId="0" fontId="31" fillId="2" borderId="8" applyNumberFormat="0" applyFont="1" applyFill="1" applyBorder="1" applyAlignment="1" applyProtection="0">
      <alignment vertical="center"/>
    </xf>
    <xf numFmtId="0" fontId="31" fillId="2" borderId="31" applyNumberFormat="0" applyFont="1" applyFill="1" applyBorder="1" applyAlignment="1" applyProtection="0">
      <alignment vertical="center"/>
    </xf>
    <xf numFmtId="49" fontId="0" fillId="2" borderId="56" applyNumberFormat="1" applyFont="1" applyFill="1" applyBorder="1" applyAlignment="1" applyProtection="0">
      <alignment vertical="center"/>
    </xf>
    <xf numFmtId="49" fontId="60" fillId="3" borderId="19" applyNumberFormat="1" applyFont="1" applyFill="1" applyBorder="1" applyAlignment="1" applyProtection="0">
      <alignment vertical="center" wrapText="1"/>
    </xf>
    <xf numFmtId="0" fontId="31" fillId="2" borderId="14" applyNumberFormat="1" applyFont="1" applyFill="1" applyBorder="1" applyAlignment="1" applyProtection="0">
      <alignment horizontal="center" vertical="bottom" wrapText="1"/>
    </xf>
    <xf numFmtId="49" fontId="31" fillId="2" borderId="14" applyNumberFormat="1" applyFont="1" applyFill="1" applyBorder="1" applyAlignment="1" applyProtection="0">
      <alignment vertical="center"/>
    </xf>
    <xf numFmtId="49" fontId="59" fillId="2" borderId="14" applyNumberFormat="1" applyFont="1" applyFill="1" applyBorder="1" applyAlignment="1" applyProtection="0">
      <alignment horizontal="center" vertical="center"/>
    </xf>
    <xf numFmtId="0" fontId="31" fillId="2" borderId="14" applyNumberFormat="0" applyFont="1" applyFill="1" applyBorder="1" applyAlignment="1" applyProtection="0">
      <alignment horizontal="center" vertical="center"/>
    </xf>
    <xf numFmtId="49" fontId="31" fillId="2" borderId="14" applyNumberFormat="1" applyFont="1" applyFill="1" applyBorder="1" applyAlignment="1" applyProtection="0">
      <alignment horizontal="right" vertical="center"/>
    </xf>
    <xf numFmtId="49" fontId="0" fillId="2" borderId="2" applyNumberFormat="1" applyFont="1" applyFill="1" applyBorder="1" applyAlignment="1" applyProtection="0">
      <alignment vertical="center"/>
    </xf>
    <xf numFmtId="49" fontId="18" fillId="2" borderId="14" applyNumberFormat="1" applyFont="1" applyFill="1" applyBorder="1" applyAlignment="1" applyProtection="0">
      <alignment vertical="center"/>
    </xf>
    <xf numFmtId="0" fontId="59" fillId="2" borderId="14" applyNumberFormat="0" applyFont="1" applyFill="1" applyBorder="1" applyAlignment="1" applyProtection="0">
      <alignment horizontal="center" vertical="center"/>
    </xf>
    <xf numFmtId="0" fontId="31" fillId="2" borderId="14" applyNumberFormat="0" applyFont="1" applyFill="1" applyBorder="1" applyAlignment="1" applyProtection="0">
      <alignment horizontal="right" vertical="center"/>
    </xf>
    <xf numFmtId="0" fontId="0" fillId="2" borderId="2" applyNumberFormat="0" applyFont="1" applyFill="1" applyBorder="1" applyAlignment="1" applyProtection="0">
      <alignment vertical="center"/>
    </xf>
    <xf numFmtId="0" fontId="60" fillId="3" borderId="66" applyNumberFormat="0" applyFont="1" applyFill="1" applyBorder="1" applyAlignment="1" applyProtection="0">
      <alignment vertical="center" wrapText="1"/>
    </xf>
    <xf numFmtId="0" fontId="31" fillId="2" borderId="14" applyNumberFormat="0" applyFont="1" applyFill="1" applyBorder="1" applyAlignment="1" applyProtection="0">
      <alignment horizontal="center" vertical="bottom" wrapText="1"/>
    </xf>
    <xf numFmtId="62" fontId="30" fillId="2" borderId="14" applyNumberFormat="1" applyFont="1" applyFill="1" applyBorder="1" applyAlignment="1" applyProtection="0">
      <alignment vertical="bottom"/>
    </xf>
    <xf numFmtId="0" fontId="18" fillId="2" borderId="14" applyNumberFormat="0" applyFont="1" applyFill="1" applyBorder="1" applyAlignment="1" applyProtection="0">
      <alignment vertical="center"/>
    </xf>
    <xf numFmtId="0" fontId="0" fillId="2" borderId="67" applyNumberFormat="0" applyFont="1" applyFill="1" applyBorder="1" applyAlignment="1" applyProtection="0">
      <alignment vertical="center"/>
    </xf>
    <xf numFmtId="49" fontId="61" fillId="24" borderId="14" applyNumberFormat="1" applyFont="1" applyFill="1" applyBorder="1" applyAlignment="1" applyProtection="0">
      <alignment horizontal="center" vertical="bottom" wrapText="1"/>
    </xf>
    <xf numFmtId="0" fontId="61" fillId="24" borderId="14" applyNumberFormat="0" applyFont="1" applyFill="1" applyBorder="1" applyAlignment="1" applyProtection="0">
      <alignment horizontal="center" vertical="bottom" wrapText="1"/>
    </xf>
    <xf numFmtId="0" fontId="31" fillId="2" borderId="68" applyNumberFormat="0" applyFont="1" applyFill="1" applyBorder="1" applyAlignment="1" applyProtection="0">
      <alignment vertical="center"/>
    </xf>
    <xf numFmtId="0" fontId="31" fillId="2" borderId="32" applyNumberFormat="0" applyFont="1" applyFill="1" applyBorder="1" applyAlignment="1" applyProtection="0">
      <alignment vertical="center"/>
    </xf>
    <xf numFmtId="0" fontId="31" fillId="2" borderId="6" applyNumberFormat="0" applyFont="1" applyFill="1" applyBorder="1" applyAlignment="1" applyProtection="0">
      <alignment vertical="center"/>
    </xf>
    <xf numFmtId="49" fontId="16" fillId="2" borderId="2" applyNumberFormat="1" applyFont="1" applyFill="1" applyBorder="1" applyAlignment="1" applyProtection="0">
      <alignment vertical="center"/>
    </xf>
    <xf numFmtId="0" fontId="62" fillId="2" borderId="14" applyNumberFormat="1" applyFont="1" applyFill="1" applyBorder="1" applyAlignment="1" applyProtection="0">
      <alignment horizontal="center" vertical="bottom" wrapText="1"/>
    </xf>
    <xf numFmtId="49" fontId="31" fillId="2" borderId="14" applyNumberFormat="1" applyFont="1" applyFill="1" applyBorder="1" applyAlignment="1" applyProtection="0">
      <alignment vertical="bottom"/>
    </xf>
    <xf numFmtId="0" fontId="31" fillId="2" borderId="69" applyNumberFormat="0" applyFont="1" applyFill="1" applyBorder="1" applyAlignment="1" applyProtection="0">
      <alignment vertical="center"/>
    </xf>
    <xf numFmtId="0" fontId="31" fillId="2" borderId="30" applyNumberFormat="0" applyFont="1" applyFill="1" applyBorder="1" applyAlignment="1" applyProtection="0">
      <alignment vertical="center"/>
    </xf>
    <xf numFmtId="49" fontId="60" fillId="3" borderId="66" applyNumberFormat="1" applyFont="1" applyFill="1" applyBorder="1" applyAlignment="1" applyProtection="0">
      <alignment vertical="center" wrapText="1"/>
    </xf>
    <xf numFmtId="0" fontId="0" fillId="2" borderId="70" applyNumberFormat="0" applyFont="1" applyFill="1" applyBorder="1" applyAlignment="1" applyProtection="0">
      <alignment vertical="center"/>
    </xf>
    <xf numFmtId="0" fontId="30" fillId="2" borderId="14" applyNumberFormat="0" applyFont="1" applyFill="1" applyBorder="1" applyAlignment="1" applyProtection="0">
      <alignment vertical="center"/>
    </xf>
    <xf numFmtId="64" fontId="31" fillId="2" borderId="14" applyNumberFormat="1" applyFont="1" applyFill="1" applyBorder="1" applyAlignment="1" applyProtection="0">
      <alignment horizontal="center" vertical="center"/>
    </xf>
    <xf numFmtId="0" fontId="31" fillId="2" borderId="14" applyNumberFormat="0" applyFont="1" applyFill="1" applyBorder="1" applyAlignment="1" applyProtection="0">
      <alignment vertical="center"/>
    </xf>
    <xf numFmtId="0" fontId="0" fillId="2" borderId="59" applyNumberFormat="0" applyFont="1" applyFill="1" applyBorder="1" applyAlignment="1" applyProtection="0">
      <alignment vertical="center"/>
    </xf>
    <xf numFmtId="0" fontId="62" fillId="2" borderId="14" applyNumberFormat="0" applyFont="1" applyFill="1" applyBorder="1" applyAlignment="1" applyProtection="0">
      <alignment horizontal="center" vertical="bottom" wrapText="1"/>
    </xf>
    <xf numFmtId="0" fontId="0" fillId="2" borderId="71" applyNumberFormat="0" applyFont="1" applyFill="1" applyBorder="1" applyAlignment="1" applyProtection="0">
      <alignment vertical="center"/>
    </xf>
    <xf numFmtId="0" fontId="31" fillId="2" borderId="23" applyNumberFormat="0" applyFont="1" applyFill="1" applyBorder="1" applyAlignment="1" applyProtection="0">
      <alignment vertical="center"/>
    </xf>
    <xf numFmtId="49" fontId="31" fillId="2" borderId="14" applyNumberFormat="1" applyFont="1" applyFill="1" applyBorder="1" applyAlignment="1" applyProtection="0">
      <alignment horizontal="center" vertical="center"/>
    </xf>
    <xf numFmtId="62" fontId="30" fillId="2" borderId="14" applyNumberFormat="1" applyFont="1" applyFill="1" applyBorder="1" applyAlignment="1" applyProtection="0">
      <alignment horizontal="center" vertical="center"/>
    </xf>
    <xf numFmtId="0" fontId="31" fillId="2" borderId="25" applyNumberFormat="0" applyFont="1" applyFill="1" applyBorder="1" applyAlignment="1" applyProtection="0">
      <alignment vertical="center"/>
    </xf>
    <xf numFmtId="0" fontId="31" fillId="2" borderId="14" applyNumberFormat="1" applyFont="1" applyFill="1" applyBorder="1" applyAlignment="1" applyProtection="0">
      <alignment horizontal="center" vertical="center"/>
    </xf>
    <xf numFmtId="65" fontId="31" fillId="2" borderId="14" applyNumberFormat="1" applyFont="1" applyFill="1" applyBorder="1" applyAlignment="1" applyProtection="0">
      <alignment horizontal="center" vertical="center"/>
    </xf>
    <xf numFmtId="49" fontId="30" fillId="2" borderId="14" applyNumberFormat="1" applyFont="1" applyFill="1" applyBorder="1" applyAlignment="1" applyProtection="0">
      <alignment vertical="center"/>
    </xf>
    <xf numFmtId="0" fontId="31" fillId="2" borderId="55" applyNumberFormat="0" applyFont="1" applyFill="1" applyBorder="1" applyAlignment="1" applyProtection="0">
      <alignment vertical="center"/>
    </xf>
    <xf numFmtId="0" fontId="31" fillId="2" borderId="28" applyNumberFormat="0" applyFont="1" applyFill="1" applyBorder="1" applyAlignment="1" applyProtection="0">
      <alignment vertical="center"/>
    </xf>
    <xf numFmtId="0" fontId="0" fillId="2" borderId="6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31" fillId="2" borderId="2" applyNumberFormat="0" applyFont="1" applyFill="1" applyBorder="1" applyAlignment="1" applyProtection="0">
      <alignment vertical="center"/>
    </xf>
    <xf numFmtId="0" fontId="31" fillId="2" borderId="3" applyNumberFormat="0" applyFont="1" applyFill="1" applyBorder="1" applyAlignment="1" applyProtection="0">
      <alignment vertical="center"/>
    </xf>
    <xf numFmtId="0" fontId="31" fillId="2" borderId="3" applyNumberFormat="0" applyFont="1" applyFill="1" applyBorder="1" applyAlignment="1" applyProtection="0">
      <alignment vertical="center" wrapText="1"/>
    </xf>
    <xf numFmtId="0" fontId="31" fillId="2" borderId="51" applyNumberFormat="0" applyFont="1" applyFill="1" applyBorder="1" applyAlignment="1" applyProtection="0">
      <alignment vertical="center"/>
    </xf>
    <xf numFmtId="0" fontId="31" fillId="2" borderId="52" applyNumberFormat="0" applyFont="1" applyFill="1" applyBorder="1" applyAlignment="1" applyProtection="0">
      <alignment vertical="center"/>
    </xf>
    <xf numFmtId="0" fontId="31" fillId="2" borderId="8" applyNumberFormat="0" applyFont="1" applyFill="1" applyBorder="1" applyAlignment="1" applyProtection="0">
      <alignment vertical="center" wrapText="1"/>
    </xf>
    <xf numFmtId="49" fontId="63" fillId="25" borderId="14" applyNumberFormat="1" applyFont="1" applyFill="1" applyBorder="1" applyAlignment="1" applyProtection="0">
      <alignment horizontal="center" vertical="center" wrapText="1"/>
    </xf>
    <xf numFmtId="0" fontId="64" fillId="2" borderId="65" applyNumberFormat="0" applyFont="1" applyFill="1" applyBorder="1" applyAlignment="1" applyProtection="0">
      <alignment horizontal="center" vertical="bottom"/>
    </xf>
    <xf numFmtId="0" fontId="64" fillId="2" borderId="8" applyNumberFormat="0" applyFont="1" applyFill="1" applyBorder="1" applyAlignment="1" applyProtection="0">
      <alignment horizontal="center" vertical="bottom"/>
    </xf>
    <xf numFmtId="0" fontId="64" fillId="2" borderId="8" applyNumberFormat="0" applyFont="1" applyFill="1" applyBorder="1" applyAlignment="1" applyProtection="0">
      <alignment horizontal="center" vertical="bottom" wrapText="1"/>
    </xf>
    <xf numFmtId="0" fontId="64" fillId="2" borderId="31" applyNumberFormat="0" applyFont="1" applyFill="1" applyBorder="1" applyAlignment="1" applyProtection="0">
      <alignment horizontal="center" vertical="bottom"/>
    </xf>
    <xf numFmtId="0" fontId="30" fillId="2" borderId="14" applyNumberFormat="1" applyFont="1" applyFill="1" applyBorder="1" applyAlignment="1" applyProtection="0">
      <alignment horizontal="center" vertical="center"/>
    </xf>
    <xf numFmtId="49" fontId="30" fillId="2" borderId="11" applyNumberFormat="1" applyFont="1" applyFill="1" applyBorder="1" applyAlignment="1" applyProtection="0">
      <alignment vertical="center"/>
    </xf>
    <xf numFmtId="0" fontId="65" fillId="2" borderId="66" applyNumberFormat="0" applyFont="1" applyFill="1" applyBorder="1" applyAlignment="1" applyProtection="0">
      <alignment vertical="center" wrapText="1"/>
    </xf>
    <xf numFmtId="3" fontId="63" fillId="2" borderId="14" applyNumberFormat="1" applyFont="1" applyFill="1" applyBorder="1" applyAlignment="1" applyProtection="0">
      <alignment vertical="center"/>
    </xf>
    <xf numFmtId="3" fontId="63" fillId="2" borderId="14" applyNumberFormat="1" applyFont="1" applyFill="1" applyBorder="1" applyAlignment="1" applyProtection="0">
      <alignment horizontal="right" vertical="center"/>
    </xf>
    <xf numFmtId="0" fontId="65" fillId="2" borderId="72" applyNumberFormat="0" applyFont="1" applyFill="1" applyBorder="1" applyAlignment="1" applyProtection="0">
      <alignment vertical="center" wrapText="1"/>
    </xf>
    <xf numFmtId="66" fontId="31" fillId="2" borderId="65" applyNumberFormat="1" applyFont="1" applyFill="1" applyBorder="1" applyAlignment="1" applyProtection="0">
      <alignment horizontal="right" vertical="bottom"/>
    </xf>
    <xf numFmtId="0" fontId="31" fillId="2" borderId="8" applyNumberFormat="0" applyFont="1" applyFill="1" applyBorder="1" applyAlignment="1" applyProtection="0">
      <alignment vertical="bottom"/>
    </xf>
    <xf numFmtId="0" fontId="31" fillId="2" borderId="8" applyNumberFormat="0" applyFont="1" applyFill="1" applyBorder="1" applyAlignment="1" applyProtection="0">
      <alignment vertical="bottom" wrapText="1"/>
    </xf>
    <xf numFmtId="0" fontId="36" fillId="2" borderId="31" applyNumberFormat="0" applyFont="1" applyFill="1" applyBorder="1" applyAlignment="1" applyProtection="0">
      <alignment horizontal="center" vertical="bottom"/>
    </xf>
    <xf numFmtId="49" fontId="30" fillId="2" borderId="11" applyNumberFormat="1" applyFont="1" applyFill="1" applyBorder="1" applyAlignment="1" applyProtection="0">
      <alignment vertical="center" wrapText="1"/>
    </xf>
    <xf numFmtId="0" fontId="65" fillId="2" borderId="41" applyNumberFormat="0" applyFont="1" applyFill="1" applyBorder="1" applyAlignment="1" applyProtection="0">
      <alignment vertical="center" wrapText="1"/>
    </xf>
    <xf numFmtId="49" fontId="30" fillId="2" borderId="14" applyNumberFormat="1" applyFont="1" applyFill="1" applyBorder="1" applyAlignment="1" applyProtection="0">
      <alignment vertical="center" wrapText="1"/>
    </xf>
    <xf numFmtId="0" fontId="36" fillId="2" borderId="65" applyNumberFormat="0" applyFont="1" applyFill="1" applyBorder="1" applyAlignment="1" applyProtection="0">
      <alignment horizontal="center" vertical="bottom"/>
    </xf>
    <xf numFmtId="0" fontId="36" fillId="2" borderId="8" applyNumberFormat="0" applyFont="1" applyFill="1" applyBorder="1" applyAlignment="1" applyProtection="0">
      <alignment horizontal="center" vertical="bottom"/>
    </xf>
    <xf numFmtId="0" fontId="36" fillId="2" borderId="8" applyNumberFormat="0" applyFont="1" applyFill="1" applyBorder="1" applyAlignment="1" applyProtection="0">
      <alignment horizontal="center" vertical="bottom" wrapText="1"/>
    </xf>
    <xf numFmtId="67" fontId="31" fillId="2" borderId="65" applyNumberFormat="1" applyFont="1" applyFill="1" applyBorder="1" applyAlignment="1" applyProtection="0">
      <alignment horizontal="center" vertical="bottom"/>
    </xf>
    <xf numFmtId="0" fontId="31" fillId="2" borderId="8" applyNumberFormat="0" applyFont="1" applyFill="1" applyBorder="1" applyAlignment="1" applyProtection="0">
      <alignment horizontal="center" vertical="bottom"/>
    </xf>
    <xf numFmtId="64" fontId="31" fillId="2" borderId="65" applyNumberFormat="1" applyFont="1" applyFill="1" applyBorder="1" applyAlignment="1" applyProtection="0">
      <alignment horizontal="center" vertical="bottom"/>
    </xf>
    <xf numFmtId="49" fontId="30" fillId="2" borderId="14" applyNumberFormat="1" applyFont="1" applyFill="1" applyBorder="1" applyAlignment="1" applyProtection="0">
      <alignment horizontal="left" vertical="center" wrapText="1"/>
    </xf>
    <xf numFmtId="0" fontId="59" fillId="2" borderId="65" applyNumberFormat="0" applyFont="1" applyFill="1" applyBorder="1" applyAlignment="1" applyProtection="0">
      <alignment horizontal="center" vertical="bottom"/>
    </xf>
    <xf numFmtId="0" fontId="59" fillId="2" borderId="8" applyNumberFormat="0" applyFont="1" applyFill="1" applyBorder="1" applyAlignment="1" applyProtection="0">
      <alignment horizontal="center" vertical="bottom"/>
    </xf>
    <xf numFmtId="0" fontId="59" fillId="2" borderId="8" applyNumberFormat="0" applyFont="1" applyFill="1" applyBorder="1" applyAlignment="1" applyProtection="0">
      <alignment horizontal="center" vertical="bottom" wrapText="1"/>
    </xf>
    <xf numFmtId="0" fontId="59" fillId="2" borderId="31" applyNumberFormat="0" applyFont="1" applyFill="1" applyBorder="1" applyAlignment="1" applyProtection="0">
      <alignment horizontal="center" vertical="bottom" wrapText="1"/>
    </xf>
    <xf numFmtId="64" fontId="31" fillId="2" borderId="65" applyNumberFormat="1" applyFont="1" applyFill="1" applyBorder="1" applyAlignment="1" applyProtection="0">
      <alignment vertical="center"/>
    </xf>
    <xf numFmtId="0" fontId="66" fillId="2" borderId="8" applyNumberFormat="0" applyFont="1" applyFill="1" applyBorder="1" applyAlignment="1" applyProtection="0">
      <alignment horizontal="left" vertical="center"/>
    </xf>
    <xf numFmtId="0" fontId="65" fillId="2" borderId="73" applyNumberFormat="0" applyFont="1" applyFill="1" applyBorder="1" applyAlignment="1" applyProtection="0">
      <alignment vertical="center" wrapText="1"/>
    </xf>
    <xf numFmtId="49" fontId="63" fillId="2" borderId="14" applyNumberFormat="1" applyFont="1" applyFill="1" applyBorder="1" applyAlignment="1" applyProtection="0">
      <alignment horizontal="left" vertical="center" wrapText="1"/>
    </xf>
    <xf numFmtId="49" fontId="63" fillId="2" borderId="21" applyNumberFormat="1" applyFont="1" applyFill="1" applyBorder="1" applyAlignment="1" applyProtection="0">
      <alignment horizontal="center" vertical="center"/>
    </xf>
    <xf numFmtId="0" fontId="36" fillId="2" borderId="15" applyNumberFormat="0" applyFont="1" applyFill="1" applyBorder="1" applyAlignment="1" applyProtection="0">
      <alignment vertical="center"/>
    </xf>
    <xf numFmtId="0" fontId="36" fillId="2" borderId="13" applyNumberFormat="0" applyFont="1" applyFill="1" applyBorder="1" applyAlignment="1" applyProtection="0">
      <alignment vertical="center"/>
    </xf>
    <xf numFmtId="3" fontId="63" fillId="4" borderId="14" applyNumberFormat="1" applyFont="1" applyFill="1" applyBorder="1" applyAlignment="1" applyProtection="0">
      <alignment vertical="center"/>
    </xf>
    <xf numFmtId="0" fontId="31" fillId="2" borderId="56" applyNumberFormat="0" applyFont="1" applyFill="1" applyBorder="1" applyAlignment="1" applyProtection="0">
      <alignment vertical="center"/>
    </xf>
    <xf numFmtId="0" fontId="31" fillId="2" borderId="57" applyNumberFormat="0" applyFont="1" applyFill="1" applyBorder="1" applyAlignment="1" applyProtection="0">
      <alignment vertical="center"/>
    </xf>
    <xf numFmtId="0" fontId="31" fillId="2" borderId="6" applyNumberFormat="0" applyFont="1" applyFill="1" applyBorder="1" applyAlignment="1" applyProtection="0">
      <alignment vertical="center" wrapText="1"/>
    </xf>
    <xf numFmtId="0" fontId="31" fillId="2" borderId="4" applyNumberFormat="0" applyFont="1" applyFill="1" applyBorder="1" applyAlignment="1" applyProtection="0">
      <alignment vertical="center"/>
    </xf>
    <xf numFmtId="0" fontId="31" fillId="2" borderId="1" applyNumberFormat="0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center"/>
    </xf>
    <xf numFmtId="0" fontId="67" borderId="9" applyNumberFormat="0" applyFont="1" applyFill="0" applyBorder="1" applyAlignment="1" applyProtection="0">
      <alignment vertical="center"/>
    </xf>
    <xf numFmtId="59" fontId="67" fillId="2" borderId="9" applyNumberFormat="1" applyFont="1" applyFill="1" applyBorder="1" applyAlignment="1" applyProtection="0">
      <alignment vertical="center"/>
    </xf>
    <xf numFmtId="0" fontId="67" borderId="1" applyNumberFormat="0" applyFont="1" applyFill="0" applyBorder="1" applyAlignment="1" applyProtection="0">
      <alignment vertical="center"/>
    </xf>
    <xf numFmtId="0" fontId="67" fillId="2" borderId="1" applyNumberFormat="0" applyFont="1" applyFill="1" applyBorder="1" applyAlignment="1" applyProtection="0">
      <alignment vertical="center"/>
    </xf>
    <xf numFmtId="49" fontId="67" borderId="9" applyNumberFormat="1" applyFont="1" applyFill="0" applyBorder="1" applyAlignment="1" applyProtection="0">
      <alignment vertical="center"/>
    </xf>
    <xf numFmtId="0" fontId="67" fillId="2" borderId="9" applyNumberFormat="0" applyFont="1" applyFill="1" applyBorder="1" applyAlignment="1" applyProtection="0">
      <alignment vertical="center"/>
    </xf>
    <xf numFmtId="49" fontId="68" fillId="2" borderId="51" applyNumberFormat="1" applyFont="1" applyFill="1" applyBorder="1" applyAlignment="1" applyProtection="0">
      <alignment vertical="center"/>
    </xf>
    <xf numFmtId="0" fontId="69" fillId="3" borderId="74" applyNumberFormat="1" applyFont="1" applyFill="1" applyBorder="1" applyAlignment="1" applyProtection="0">
      <alignment horizontal="center" vertical="center"/>
    </xf>
    <xf numFmtId="0" fontId="67" borderId="4" applyNumberFormat="0" applyFont="1" applyFill="0" applyBorder="1" applyAlignment="1" applyProtection="0">
      <alignment vertical="center"/>
    </xf>
    <xf numFmtId="49" fontId="69" fillId="22" borderId="14" applyNumberFormat="1" applyFont="1" applyFill="1" applyBorder="1" applyAlignment="1" applyProtection="0">
      <alignment horizontal="center" vertical="bottom"/>
    </xf>
    <xf numFmtId="49" fontId="69" fillId="22" borderId="14" applyNumberFormat="1" applyFont="1" applyFill="1" applyBorder="1" applyAlignment="1" applyProtection="0">
      <alignment horizontal="center" vertical="center" wrapText="1"/>
    </xf>
    <xf numFmtId="49" fontId="69" fillId="22" borderId="75" applyNumberFormat="1" applyFont="1" applyFill="1" applyBorder="1" applyAlignment="1" applyProtection="0">
      <alignment horizontal="center" vertical="center" wrapText="1"/>
    </xf>
    <xf numFmtId="0" fontId="67" borderId="50" applyNumberFormat="0" applyFont="1" applyFill="0" applyBorder="1" applyAlignment="1" applyProtection="0">
      <alignment vertical="center"/>
    </xf>
    <xf numFmtId="0" fontId="67" fillId="2" borderId="76" applyNumberFormat="0" applyFont="1" applyFill="1" applyBorder="1" applyAlignment="1" applyProtection="0">
      <alignment vertical="center"/>
    </xf>
    <xf numFmtId="49" fontId="67" borderId="14" applyNumberFormat="1" applyFont="1" applyFill="0" applyBorder="1" applyAlignment="1" applyProtection="0">
      <alignment vertical="center"/>
    </xf>
    <xf numFmtId="49" fontId="67" fillId="2" borderId="14" applyNumberFormat="1" applyFont="1" applyFill="1" applyBorder="1" applyAlignment="1" applyProtection="0">
      <alignment vertical="center"/>
    </xf>
    <xf numFmtId="49" fontId="69" fillId="25" borderId="14" applyNumberFormat="1" applyFont="1" applyFill="1" applyBorder="1" applyAlignment="1" applyProtection="0">
      <alignment horizontal="center" vertical="center" wrapText="1"/>
    </xf>
    <xf numFmtId="49" fontId="67" borderId="77" applyNumberFormat="1" applyFont="1" applyFill="0" applyBorder="1" applyAlignment="1" applyProtection="0">
      <alignment vertical="center"/>
    </xf>
    <xf numFmtId="0" fontId="67" borderId="25" applyNumberFormat="0" applyFont="1" applyFill="0" applyBorder="1" applyAlignment="1" applyProtection="0">
      <alignment vertical="center"/>
    </xf>
    <xf numFmtId="0" fontId="67" fillId="2" borderId="14" applyNumberFormat="1" applyFont="1" applyFill="1" applyBorder="1" applyAlignment="1" applyProtection="0">
      <alignment vertical="center"/>
    </xf>
    <xf numFmtId="0" fontId="67" fillId="10" borderId="14" applyNumberFormat="1" applyFont="1" applyFill="1" applyBorder="1" applyAlignment="1" applyProtection="0">
      <alignment vertical="center"/>
    </xf>
    <xf numFmtId="0" fontId="67" borderId="78" applyNumberFormat="1" applyFont="1" applyFill="0" applyBorder="1" applyAlignment="1" applyProtection="0">
      <alignment vertical="center"/>
    </xf>
    <xf numFmtId="0" fontId="29" borderId="14" applyNumberFormat="1" applyFont="1" applyFill="0" applyBorder="1" applyAlignment="1" applyProtection="0">
      <alignment horizontal="center" vertical="center"/>
    </xf>
    <xf numFmtId="0" fontId="29" fillId="2" borderId="79" applyNumberFormat="1" applyFont="1" applyFill="1" applyBorder="1" applyAlignment="1" applyProtection="0">
      <alignment horizontal="center" vertical="center"/>
    </xf>
    <xf numFmtId="49" fontId="30" borderId="80" applyNumberFormat="1" applyFont="1" applyFill="0" applyBorder="1" applyAlignment="1" applyProtection="0">
      <alignment vertical="center"/>
    </xf>
    <xf numFmtId="0" fontId="30" fillId="3" borderId="19" applyNumberFormat="0" applyFont="1" applyFill="1" applyBorder="1" applyAlignment="1" applyProtection="0">
      <alignment vertical="center"/>
    </xf>
    <xf numFmtId="49" fontId="59" borderId="14" applyNumberFormat="1" applyFont="1" applyFill="0" applyBorder="1" applyAlignment="1" applyProtection="0">
      <alignment vertical="center"/>
    </xf>
    <xf numFmtId="49" fontId="36" fillId="2" borderId="14" applyNumberFormat="1" applyFont="1" applyFill="1" applyBorder="1" applyAlignment="1" applyProtection="0">
      <alignment horizontal="right" vertical="center" wrapText="1"/>
    </xf>
    <xf numFmtId="0" fontId="36" borderId="81" applyNumberFormat="0" applyFont="1" applyFill="0" applyBorder="1" applyAlignment="1" applyProtection="0">
      <alignment vertical="center"/>
    </xf>
    <xf numFmtId="0" fontId="36" borderId="82" applyNumberFormat="0" applyFont="1" applyFill="0" applyBorder="1" applyAlignment="1" applyProtection="0">
      <alignment vertical="center"/>
    </xf>
    <xf numFmtId="0" fontId="59" fillId="2" borderId="14" applyNumberFormat="0" applyFont="1" applyFill="1" applyBorder="1" applyAlignment="1" applyProtection="0">
      <alignment vertical="center"/>
    </xf>
    <xf numFmtId="0" fontId="67" borderId="55" applyNumberFormat="0" applyFont="1" applyFill="0" applyBorder="1" applyAlignment="1" applyProtection="0">
      <alignment vertical="center"/>
    </xf>
    <xf numFmtId="0" fontId="67" borderId="56" applyNumberFormat="0" applyFont="1" applyFill="0" applyBorder="1" applyAlignment="1" applyProtection="0">
      <alignment vertical="center"/>
    </xf>
    <xf numFmtId="0" fontId="36" fillId="2" borderId="83" applyNumberFormat="0" applyFont="1" applyFill="1" applyBorder="1" applyAlignment="1" applyProtection="0">
      <alignment vertical="center"/>
    </xf>
    <xf numFmtId="0" fontId="67" borderId="61" applyNumberFormat="0" applyFont="1" applyFill="0" applyBorder="1" applyAlignment="1" applyProtection="0">
      <alignment vertical="center"/>
    </xf>
    <xf numFmtId="0" fontId="67" borderId="28" applyNumberFormat="0" applyFont="1" applyFill="0" applyBorder="1" applyAlignment="1" applyProtection="0">
      <alignment vertical="center"/>
    </xf>
    <xf numFmtId="0" fontId="67" borderId="14" applyNumberFormat="1" applyFont="1" applyFill="0" applyBorder="1" applyAlignment="1" applyProtection="0">
      <alignment vertical="center"/>
    </xf>
    <xf numFmtId="0" fontId="29" fillId="2" borderId="14" applyNumberFormat="1" applyFont="1" applyFill="1" applyBorder="1" applyAlignment="1" applyProtection="0">
      <alignment horizontal="center" vertical="center"/>
    </xf>
    <xf numFmtId="49" fontId="30" fillId="3" borderId="14" applyNumberFormat="1" applyFont="1" applyFill="1" applyBorder="1" applyAlignment="1" applyProtection="0">
      <alignment horizontal="left" vertical="center" wrapText="1"/>
    </xf>
    <xf numFmtId="0" fontId="59" borderId="14" applyNumberFormat="1" applyFont="1" applyFill="0" applyBorder="1" applyAlignment="1" applyProtection="0">
      <alignment vertical="center"/>
    </xf>
    <xf numFmtId="0" fontId="31" fillId="2" borderId="84" applyNumberFormat="0" applyFont="1" applyFill="1" applyBorder="1" applyAlignment="1" applyProtection="0">
      <alignment horizontal="right" vertical="center" wrapText="1"/>
    </xf>
    <xf numFmtId="0" fontId="36" fillId="2" borderId="85" applyNumberFormat="1" applyFont="1" applyFill="1" applyBorder="1" applyAlignment="1" applyProtection="0">
      <alignment horizontal="right" vertical="bottom" wrapText="1"/>
    </xf>
    <xf numFmtId="0" fontId="36" fillId="2" borderId="86" applyNumberFormat="0" applyFont="1" applyFill="1" applyBorder="1" applyAlignment="1" applyProtection="0">
      <alignment vertical="bottom" wrapText="1"/>
    </xf>
    <xf numFmtId="49" fontId="59" fillId="2" borderId="14" applyNumberFormat="1" applyFont="1" applyFill="1" applyBorder="1" applyAlignment="1" applyProtection="0">
      <alignment vertical="center"/>
    </xf>
    <xf numFmtId="0" fontId="67" borderId="25" applyNumberFormat="1" applyFont="1" applyFill="0" applyBorder="1" applyAlignment="1" applyProtection="0">
      <alignment vertical="center"/>
    </xf>
    <xf numFmtId="0" fontId="67" borderId="87" applyNumberFormat="1" applyFont="1" applyFill="0" applyBorder="1" applyAlignment="1" applyProtection="0">
      <alignment vertical="center"/>
    </xf>
    <xf numFmtId="0" fontId="67" borderId="88" applyNumberFormat="1" applyFont="1" applyFill="0" applyBorder="1" applyAlignment="1" applyProtection="0">
      <alignment vertical="center"/>
    </xf>
    <xf numFmtId="0" fontId="67" borderId="1" applyNumberFormat="1" applyFont="1" applyFill="0" applyBorder="1" applyAlignment="1" applyProtection="0">
      <alignment vertical="center"/>
    </xf>
    <xf numFmtId="0" fontId="18" fillId="26" borderId="14" applyNumberFormat="1" applyFont="1" applyFill="1" applyBorder="1" applyAlignment="1" applyProtection="0">
      <alignment horizontal="center" vertical="center"/>
    </xf>
    <xf numFmtId="49" fontId="18" fillId="26" borderId="14" applyNumberFormat="1" applyFont="1" applyFill="1" applyBorder="1" applyAlignment="1" applyProtection="0">
      <alignment vertical="center"/>
    </xf>
    <xf numFmtId="49" fontId="30" fillId="3" borderId="14" applyNumberFormat="1" applyFont="1" applyFill="1" applyBorder="1" applyAlignment="1" applyProtection="0">
      <alignment vertical="bottom"/>
    </xf>
    <xf numFmtId="0" fontId="31" fillId="2" borderId="84" applyNumberFormat="1" applyFont="1" applyFill="1" applyBorder="1" applyAlignment="1" applyProtection="0">
      <alignment horizontal="right" vertical="center" wrapText="1"/>
    </xf>
    <xf numFmtId="0" fontId="29" fillId="10" borderId="14" applyNumberFormat="1" applyFont="1" applyFill="1" applyBorder="1" applyAlignment="1" applyProtection="0">
      <alignment horizontal="center" vertical="center"/>
    </xf>
    <xf numFmtId="0" fontId="59" borderId="89" applyNumberFormat="1" applyFont="1" applyFill="0" applyBorder="1" applyAlignment="1" applyProtection="0">
      <alignment vertical="center"/>
    </xf>
    <xf numFmtId="0" fontId="36" fillId="2" borderId="90" applyNumberFormat="0" applyFont="1" applyFill="1" applyBorder="1" applyAlignment="1" applyProtection="0">
      <alignment horizontal="right" vertical="center" wrapText="1"/>
    </xf>
    <xf numFmtId="0" fontId="36" fillId="4" borderId="85" applyNumberFormat="1" applyFont="1" applyFill="1" applyBorder="1" applyAlignment="1" applyProtection="0">
      <alignment horizontal="right" vertical="bottom" wrapText="1"/>
    </xf>
    <xf numFmtId="49" fontId="36" fillId="4" borderId="86" applyNumberFormat="1" applyFont="1" applyFill="1" applyBorder="1" applyAlignment="1" applyProtection="0">
      <alignment vertical="center"/>
    </xf>
    <xf numFmtId="49" fontId="59" borderId="84" applyNumberFormat="1" applyFont="1" applyFill="0" applyBorder="1" applyAlignment="1" applyProtection="0">
      <alignment vertical="center"/>
    </xf>
    <xf numFmtId="0" fontId="70" fillId="3" borderId="91" applyNumberFormat="1" applyFont="1" applyFill="1" applyBorder="1" applyAlignment="1" applyProtection="0">
      <alignment horizontal="right" vertical="bottom" wrapText="1"/>
    </xf>
    <xf numFmtId="0" fontId="70" fillId="3" borderId="92" applyNumberFormat="1" applyFont="1" applyFill="1" applyBorder="1" applyAlignment="1" applyProtection="0">
      <alignment horizontal="right" vertical="bottom" wrapText="1"/>
    </xf>
    <xf numFmtId="49" fontId="0" fillId="2" borderId="86" applyNumberFormat="1" applyFont="1" applyFill="1" applyBorder="1" applyAlignment="1" applyProtection="0">
      <alignment vertical="bottom"/>
    </xf>
    <xf numFmtId="49" fontId="71" fillId="3" borderId="14" applyNumberFormat="1" applyFont="1" applyFill="1" applyBorder="1" applyAlignment="1" applyProtection="0">
      <alignment vertical="center"/>
    </xf>
    <xf numFmtId="0" fontId="14" borderId="93" applyNumberFormat="0" applyFont="1" applyFill="0" applyBorder="1" applyAlignment="1" applyProtection="0">
      <alignment horizontal="right" vertical="center"/>
    </xf>
    <xf numFmtId="49" fontId="18" fillId="26" borderId="14" applyNumberFormat="1" applyFont="1" applyFill="1" applyBorder="1" applyAlignment="1" applyProtection="0">
      <alignment vertical="bottom"/>
    </xf>
    <xf numFmtId="49" fontId="71" fillId="3" borderId="14" applyNumberFormat="1" applyFont="1" applyFill="1" applyBorder="1" applyAlignment="1" applyProtection="0">
      <alignment vertical="bottom"/>
    </xf>
    <xf numFmtId="0" fontId="14" borderId="94" applyNumberFormat="0" applyFont="1" applyFill="0" applyBorder="1" applyAlignment="1" applyProtection="0">
      <alignment horizontal="right" vertical="center"/>
    </xf>
    <xf numFmtId="0" fontId="36" fillId="2" borderId="85" applyNumberFormat="0" applyFont="1" applyFill="1" applyBorder="1" applyAlignment="1" applyProtection="0">
      <alignment vertical="bottom" wrapText="1"/>
    </xf>
    <xf numFmtId="0" fontId="67" borderId="95" applyNumberFormat="1" applyFont="1" applyFill="0" applyBorder="1" applyAlignment="1" applyProtection="0">
      <alignment vertical="center"/>
    </xf>
    <xf numFmtId="0" fontId="67" borderId="96" applyNumberFormat="1" applyFont="1" applyFill="0" applyBorder="1" applyAlignment="1" applyProtection="0">
      <alignment vertical="center"/>
    </xf>
    <xf numFmtId="0" fontId="67" borderId="97" applyNumberFormat="1" applyFont="1" applyFill="0" applyBorder="1" applyAlignment="1" applyProtection="0">
      <alignment vertical="center"/>
    </xf>
    <xf numFmtId="0" fontId="67" borderId="5" applyNumberFormat="1" applyFont="1" applyFill="0" applyBorder="1" applyAlignment="1" applyProtection="0">
      <alignment vertical="center"/>
    </xf>
    <xf numFmtId="49" fontId="59" fillId="3" borderId="14" applyNumberFormat="1" applyFont="1" applyFill="1" applyBorder="1" applyAlignment="1" applyProtection="0">
      <alignment vertical="center"/>
    </xf>
    <xf numFmtId="0" fontId="67" fillId="3" borderId="65" applyNumberFormat="1" applyFont="1" applyFill="1" applyBorder="1" applyAlignment="1" applyProtection="0">
      <alignment vertical="center"/>
    </xf>
    <xf numFmtId="0" fontId="67" fillId="3" borderId="98" applyNumberFormat="1" applyFont="1" applyFill="1" applyBorder="1" applyAlignment="1" applyProtection="0">
      <alignment vertical="center"/>
    </xf>
    <xf numFmtId="0" fontId="36" fillId="3" borderId="85" applyNumberFormat="1" applyFont="1" applyFill="1" applyBorder="1" applyAlignment="1" applyProtection="0">
      <alignment horizontal="right" vertical="bottom" wrapText="1"/>
    </xf>
    <xf numFmtId="0" fontId="67" fillId="3" borderId="99" applyNumberFormat="1" applyFont="1" applyFill="1" applyBorder="1" applyAlignment="1" applyProtection="0">
      <alignment vertical="center"/>
    </xf>
    <xf numFmtId="0" fontId="67" fillId="3" borderId="8" applyNumberFormat="1" applyFont="1" applyFill="1" applyBorder="1" applyAlignment="1" applyProtection="0">
      <alignment vertical="center"/>
    </xf>
    <xf numFmtId="0" fontId="36" fillId="2" borderId="84" applyNumberFormat="0" applyFont="1" applyFill="1" applyBorder="1" applyAlignment="1" applyProtection="0">
      <alignment horizontal="right" vertical="center" wrapText="1"/>
    </xf>
    <xf numFmtId="0" fontId="67" borderId="100" applyNumberFormat="1" applyFont="1" applyFill="0" applyBorder="1" applyAlignment="1" applyProtection="0">
      <alignment vertical="center"/>
    </xf>
    <xf numFmtId="0" fontId="67" borderId="101" applyNumberFormat="1" applyFont="1" applyFill="0" applyBorder="1" applyAlignment="1" applyProtection="0">
      <alignment vertical="center"/>
    </xf>
    <xf numFmtId="0" fontId="67" borderId="102" applyNumberFormat="1" applyFont="1" applyFill="0" applyBorder="1" applyAlignment="1" applyProtection="0">
      <alignment vertical="center"/>
    </xf>
    <xf numFmtId="0" fontId="67" borderId="10" applyNumberFormat="1" applyFont="1" applyFill="0" applyBorder="1" applyAlignment="1" applyProtection="0">
      <alignment vertical="center"/>
    </xf>
    <xf numFmtId="0" fontId="30" borderId="14" applyNumberFormat="0" applyFont="1" applyFill="0" applyBorder="1" applyAlignment="1" applyProtection="0">
      <alignment vertical="center"/>
    </xf>
    <xf numFmtId="0" fontId="67" borderId="23" applyNumberFormat="1" applyFont="1" applyFill="0" applyBorder="1" applyAlignment="1" applyProtection="0">
      <alignment vertical="center"/>
    </xf>
    <xf numFmtId="0" fontId="67" borderId="103" applyNumberFormat="1" applyFont="1" applyFill="0" applyBorder="1" applyAlignment="1" applyProtection="0">
      <alignment vertical="center"/>
    </xf>
    <xf numFmtId="0" fontId="67" borderId="104" applyNumberFormat="1" applyFont="1" applyFill="0" applyBorder="1" applyAlignment="1" applyProtection="0">
      <alignment vertical="center"/>
    </xf>
    <xf numFmtId="0" fontId="67" borderId="6" applyNumberFormat="1" applyFont="1" applyFill="0" applyBorder="1" applyAlignment="1" applyProtection="0">
      <alignment vertical="center"/>
    </xf>
    <xf numFmtId="0" fontId="67" fillId="3" borderId="78" applyNumberFormat="1" applyFont="1" applyFill="1" applyBorder="1" applyAlignment="1" applyProtection="0">
      <alignment vertical="center"/>
    </xf>
    <xf numFmtId="49" fontId="29" fillId="3" borderId="14" applyNumberFormat="1" applyFont="1" applyFill="1" applyBorder="1" applyAlignment="1" applyProtection="0">
      <alignment horizontal="center" vertical="center"/>
    </xf>
    <xf numFmtId="0" fontId="59" borderId="14" applyNumberFormat="0" applyFont="1" applyFill="0" applyBorder="1" applyAlignment="1" applyProtection="0">
      <alignment vertical="center"/>
    </xf>
    <xf numFmtId="0" fontId="31" fillId="2" borderId="90" applyNumberFormat="0" applyFont="1" applyFill="1" applyBorder="1" applyAlignment="1" applyProtection="0">
      <alignment horizontal="right" vertical="center" wrapText="1"/>
    </xf>
    <xf numFmtId="0" fontId="70" fillId="3" borderId="105" applyNumberFormat="1" applyFont="1" applyFill="1" applyBorder="1" applyAlignment="1" applyProtection="0">
      <alignment horizontal="right" vertical="bottom" wrapText="1"/>
    </xf>
    <xf numFmtId="0" fontId="36" fillId="3" borderId="85" applyNumberFormat="0" applyFont="1" applyFill="1" applyBorder="1" applyAlignment="1" applyProtection="0">
      <alignment vertical="bottom" wrapText="1"/>
    </xf>
    <xf numFmtId="49" fontId="36" fillId="2" borderId="85" applyNumberFormat="1" applyFont="1" applyFill="1" applyBorder="1" applyAlignment="1" applyProtection="0">
      <alignment horizontal="right" vertical="bottom" wrapText="1"/>
    </xf>
    <xf numFmtId="0" fontId="72" borderId="1" applyNumberFormat="0" applyFont="1" applyFill="0" applyBorder="1" applyAlignment="1" applyProtection="0">
      <alignment vertical="center"/>
    </xf>
    <xf numFmtId="49" fontId="30" fillId="26" borderId="14" applyNumberFormat="1" applyFont="1" applyFill="1" applyBorder="1" applyAlignment="1" applyProtection="0">
      <alignment horizontal="left" vertical="center" wrapText="1"/>
    </xf>
    <xf numFmtId="0" fontId="73" borderId="84" applyNumberFormat="0" applyFont="1" applyFill="0" applyBorder="1" applyAlignment="1" applyProtection="0">
      <alignment horizontal="right" vertical="center"/>
    </xf>
    <xf numFmtId="0" fontId="36" fillId="2" borderId="84" applyNumberFormat="1" applyFont="1" applyFill="1" applyBorder="1" applyAlignment="1" applyProtection="0">
      <alignment horizontal="right" vertical="center" wrapText="1"/>
    </xf>
    <xf numFmtId="0" fontId="29" fillId="2" borderId="16" applyNumberFormat="1" applyFont="1" applyFill="1" applyBorder="1" applyAlignment="1" applyProtection="0">
      <alignment horizontal="center" vertical="center"/>
    </xf>
    <xf numFmtId="49" fontId="29" fillId="2" borderId="14" applyNumberFormat="1" applyFont="1" applyFill="1" applyBorder="1" applyAlignment="1" applyProtection="0">
      <alignment vertical="center" wrapText="1"/>
    </xf>
    <xf numFmtId="0" fontId="29" fillId="2" borderId="73" applyNumberFormat="1" applyFont="1" applyFill="1" applyBorder="1" applyAlignment="1" applyProtection="0">
      <alignment horizontal="center" vertical="center"/>
    </xf>
    <xf numFmtId="0" fontId="36" fillId="2" borderId="106" applyNumberFormat="1" applyFont="1" applyFill="1" applyBorder="1" applyAlignment="1" applyProtection="0">
      <alignment horizontal="right" vertical="bottom" wrapText="1"/>
    </xf>
    <xf numFmtId="49" fontId="0" fillId="2" borderId="107" applyNumberFormat="1" applyFont="1" applyFill="1" applyBorder="1" applyAlignment="1" applyProtection="0">
      <alignment vertical="bottom"/>
    </xf>
    <xf numFmtId="0" fontId="67" fillId="3" borderId="78" applyNumberFormat="0" applyFont="1" applyFill="1" applyBorder="1" applyAlignment="1" applyProtection="0">
      <alignment vertical="center"/>
    </xf>
    <xf numFmtId="49" fontId="29" fillId="3" borderId="14" applyNumberFormat="1" applyFont="1" applyFill="1" applyBorder="1" applyAlignment="1" applyProtection="0">
      <alignment horizontal="left" vertical="center"/>
    </xf>
    <xf numFmtId="0" fontId="29" fillId="2" borderId="14" applyNumberFormat="0" applyFont="1" applyFill="1" applyBorder="1" applyAlignment="1" applyProtection="0">
      <alignment horizontal="center" vertical="center"/>
    </xf>
    <xf numFmtId="49" fontId="70" borderId="18" applyNumberFormat="1" applyFont="1" applyFill="0" applyBorder="1" applyAlignment="1" applyProtection="0">
      <alignment vertical="center"/>
    </xf>
    <xf numFmtId="0" fontId="74" borderId="14" applyNumberFormat="1" applyFont="1" applyFill="0" applyBorder="1" applyAlignment="1" applyProtection="0">
      <alignment vertical="center"/>
    </xf>
    <xf numFmtId="49" fontId="14" fillId="2" borderId="14" applyNumberFormat="1" applyFont="1" applyFill="1" applyBorder="1" applyAlignment="1" applyProtection="0">
      <alignment horizontal="right" vertical="center" wrapText="1"/>
    </xf>
    <xf numFmtId="49" fontId="70" fillId="2" borderId="56" applyNumberFormat="1" applyFont="1" applyFill="1" applyBorder="1" applyAlignment="1" applyProtection="0">
      <alignment vertical="center"/>
    </xf>
    <xf numFmtId="0" fontId="67" fillId="10" borderId="8" applyNumberFormat="1" applyFont="1" applyFill="1" applyBorder="1" applyAlignment="1" applyProtection="0">
      <alignment vertical="center"/>
    </xf>
    <xf numFmtId="0" fontId="67" fillId="10" borderId="41" applyNumberFormat="1" applyFont="1" applyFill="1" applyBorder="1" applyAlignment="1" applyProtection="0">
      <alignment vertical="center"/>
    </xf>
    <xf numFmtId="0" fontId="14" fillId="2" borderId="14" applyNumberFormat="1" applyFont="1" applyFill="1" applyBorder="1" applyAlignment="1" applyProtection="0">
      <alignment horizontal="right" vertical="center" wrapText="1"/>
    </xf>
    <xf numFmtId="0" fontId="75" borderId="14" applyNumberFormat="1" applyFont="1" applyFill="0" applyBorder="1" applyAlignment="1" applyProtection="0">
      <alignment horizontal="center" vertical="center"/>
    </xf>
    <xf numFmtId="49" fontId="71" borderId="14" applyNumberFormat="1" applyFont="1" applyFill="0" applyBorder="1" applyAlignment="1" applyProtection="0">
      <alignment vertical="center"/>
    </xf>
    <xf numFmtId="0" fontId="76" borderId="78" applyNumberFormat="1" applyFont="1" applyFill="0" applyBorder="1" applyAlignment="1" applyProtection="0">
      <alignment vertical="center"/>
    </xf>
    <xf numFmtId="49" fontId="70" borderId="24" applyNumberFormat="1" applyFont="1" applyFill="0" applyBorder="1" applyAlignment="1" applyProtection="0">
      <alignment vertical="center"/>
    </xf>
    <xf numFmtId="0" fontId="74" borderId="14" applyNumberFormat="0" applyFont="1" applyFill="0" applyBorder="1" applyAlignment="1" applyProtection="0">
      <alignment vertical="center"/>
    </xf>
    <xf numFmtId="0" fontId="14" fillId="2" borderId="14" applyNumberFormat="0" applyFont="1" applyFill="1" applyBorder="1" applyAlignment="1" applyProtection="0">
      <alignment horizontal="right" vertical="center" wrapText="1"/>
    </xf>
    <xf numFmtId="49" fontId="70" fillId="2" borderId="9" applyNumberFormat="1" applyFont="1" applyFill="1" applyBorder="1" applyAlignment="1" applyProtection="0">
      <alignment vertical="center"/>
    </xf>
    <xf numFmtId="0" fontId="67" borderId="6" applyNumberFormat="0" applyFont="1" applyFill="0" applyBorder="1" applyAlignment="1" applyProtection="0">
      <alignment vertical="center"/>
    </xf>
    <xf numFmtId="0" fontId="76" borderId="6" applyNumberFormat="0" applyFont="1" applyFill="0" applyBorder="1" applyAlignment="1" applyProtection="0">
      <alignment vertical="center"/>
    </xf>
    <xf numFmtId="0" fontId="67" fillId="2" borderId="28" applyNumberFormat="0" applyFont="1" applyFill="1" applyBorder="1" applyAlignment="1" applyProtection="0">
      <alignment vertical="center"/>
    </xf>
    <xf numFmtId="0" fontId="76" borderId="1" applyNumberFormat="0" applyFont="1" applyFill="0" applyBorder="1" applyAlignment="1" applyProtection="0">
      <alignment vertical="center"/>
    </xf>
    <xf numFmtId="0" fontId="76" borderId="14" applyNumberFormat="1" applyFont="1" applyFill="0" applyBorder="1" applyAlignment="1" applyProtection="0">
      <alignment vertical="center"/>
    </xf>
    <xf numFmtId="49" fontId="0" borderId="14" applyNumberFormat="1" applyFont="1" applyFill="0" applyBorder="1" applyAlignment="1" applyProtection="0">
      <alignment vertical="center"/>
    </xf>
    <xf numFmtId="0" fontId="67" borderId="59" applyNumberFormat="0" applyFont="1" applyFill="0" applyBorder="1" applyAlignment="1" applyProtection="0">
      <alignment vertical="center"/>
    </xf>
    <xf numFmtId="49" fontId="71" fillId="2" borderId="14" applyNumberFormat="1" applyFont="1" applyFill="1" applyBorder="1" applyAlignment="1" applyProtection="0">
      <alignment vertical="bottom"/>
    </xf>
    <xf numFmtId="0" fontId="76" fillId="10" borderId="14" applyNumberFormat="1" applyFont="1" applyFill="1" applyBorder="1" applyAlignment="1" applyProtection="0">
      <alignment vertical="center"/>
    </xf>
    <xf numFmtId="0" fontId="76" fillId="10" borderId="108" applyNumberFormat="1" applyFont="1" applyFill="1" applyBorder="1" applyAlignment="1" applyProtection="0">
      <alignment vertical="center"/>
    </xf>
    <xf numFmtId="0" fontId="0" borderId="14" applyNumberFormat="0" applyFont="1" applyFill="0" applyBorder="1" applyAlignment="1" applyProtection="0">
      <alignment vertical="center"/>
    </xf>
    <xf numFmtId="59" fontId="69" fillId="2" borderId="14" applyNumberFormat="1" applyFont="1" applyFill="1" applyBorder="1" applyAlignment="1" applyProtection="0">
      <alignment vertical="center"/>
    </xf>
    <xf numFmtId="0" fontId="69" borderId="14" applyNumberFormat="1" applyFont="1" applyFill="0" applyBorder="1" applyAlignment="1" applyProtection="0">
      <alignment vertical="center"/>
    </xf>
    <xf numFmtId="0" fontId="69" borderId="73" applyNumberFormat="1" applyFont="1" applyFill="0" applyBorder="1" applyAlignment="1" applyProtection="0">
      <alignment vertical="center"/>
    </xf>
    <xf numFmtId="0" fontId="67" borderId="18" applyNumberFormat="0" applyFont="1" applyFill="0" applyBorder="1" applyAlignment="1" applyProtection="0">
      <alignment vertical="center"/>
    </xf>
    <xf numFmtId="0" fontId="67" borderId="29" applyNumberFormat="0" applyFont="1" applyFill="0" applyBorder="1" applyAlignment="1" applyProtection="0">
      <alignment vertical="center"/>
    </xf>
    <xf numFmtId="0" fontId="74" fillId="25" borderId="14" applyNumberFormat="1" applyFont="1" applyFill="1" applyBorder="1" applyAlignment="1" applyProtection="0">
      <alignment vertical="center"/>
    </xf>
    <xf numFmtId="49" fontId="67" borderId="55" applyNumberFormat="1" applyFont="1" applyFill="0" applyBorder="1" applyAlignment="1" applyProtection="0">
      <alignment vertical="center"/>
    </xf>
    <xf numFmtId="59" fontId="67" fillId="2" borderId="28" applyNumberFormat="1" applyFont="1" applyFill="1" applyBorder="1" applyAlignment="1" applyProtection="0">
      <alignment vertical="center"/>
    </xf>
    <xf numFmtId="59" fontId="67" fillId="2" borderId="1" applyNumberFormat="1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16" fillId="2" borderId="9" applyNumberFormat="1" applyFont="1" applyFill="1" applyBorder="1" applyAlignment="1" applyProtection="0">
      <alignment horizontal="center" vertical="center"/>
    </xf>
    <xf numFmtId="49" fontId="16" fillId="27" borderId="14" applyNumberFormat="1" applyFont="1" applyFill="1" applyBorder="1" applyAlignment="1" applyProtection="0">
      <alignment horizontal="center" vertical="center" wrapText="1"/>
    </xf>
    <xf numFmtId="49" fontId="16" fillId="27" borderId="14" applyNumberFormat="1" applyFont="1" applyFill="1" applyBorder="1" applyAlignment="1" applyProtection="0">
      <alignment horizontal="center" vertical="center"/>
    </xf>
    <xf numFmtId="0" fontId="0" fillId="2" borderId="25" applyNumberFormat="0" applyFont="1" applyFill="1" applyBorder="1" applyAlignment="1" applyProtection="0">
      <alignment vertical="center"/>
    </xf>
    <xf numFmtId="0" fontId="0" fillId="2" borderId="28" applyNumberFormat="1" applyFont="1" applyFill="1" applyBorder="1" applyAlignment="1" applyProtection="0">
      <alignment horizontal="center" vertical="center"/>
    </xf>
    <xf numFmtId="49" fontId="0" fillId="2" borderId="28" applyNumberFormat="1" applyFont="1" applyFill="1" applyBorder="1" applyAlignment="1" applyProtection="0">
      <alignment horizontal="center" vertical="center"/>
    </xf>
    <xf numFmtId="68" fontId="0" fillId="2" borderId="28" applyNumberFormat="1" applyFont="1" applyFill="1" applyBorder="1" applyAlignment="1" applyProtection="0">
      <alignment horizontal="center" vertical="center"/>
    </xf>
    <xf numFmtId="0" fontId="0" fillId="2" borderId="28" applyNumberFormat="0" applyFont="1" applyFill="1" applyBorder="1" applyAlignment="1" applyProtection="0">
      <alignment vertical="center"/>
    </xf>
    <xf numFmtId="0" fontId="0" fillId="2" borderId="1" applyNumberFormat="1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horizontal="center" vertical="center"/>
    </xf>
    <xf numFmtId="68" fontId="0" fillId="2" borderId="1" applyNumberFormat="1" applyFont="1" applyFill="1" applyBorder="1" applyAlignment="1" applyProtection="0">
      <alignment horizontal="center" vertical="center"/>
    </xf>
    <xf numFmtId="69" fontId="0" fillId="2" borderId="1" applyNumberFormat="1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vertical="center"/>
    </xf>
    <xf numFmtId="49" fontId="0" fillId="2" borderId="5" applyNumberFormat="1" applyFont="1" applyFill="1" applyBorder="1" applyAlignment="1" applyProtection="0">
      <alignment horizontal="center" vertical="center"/>
    </xf>
    <xf numFmtId="0" fontId="0" fillId="2" borderId="5" applyNumberFormat="0" applyFont="1" applyFill="1" applyBorder="1" applyAlignment="1" applyProtection="0">
      <alignment vertical="center"/>
    </xf>
    <xf numFmtId="0" fontId="0" fillId="2" borderId="109" applyNumberFormat="1" applyFont="1" applyFill="1" applyBorder="1" applyAlignment="1" applyProtection="0">
      <alignment horizontal="center" vertical="center"/>
    </xf>
    <xf numFmtId="49" fontId="0" fillId="2" borderId="8" applyNumberFormat="1" applyFont="1" applyFill="1" applyBorder="1" applyAlignment="1" applyProtection="0">
      <alignment horizontal="center" vertical="center"/>
    </xf>
    <xf numFmtId="68" fontId="0" fillId="2" borderId="8" applyNumberFormat="1" applyFont="1" applyFill="1" applyBorder="1" applyAlignment="1" applyProtection="0">
      <alignment horizontal="center" vertical="center"/>
    </xf>
    <xf numFmtId="69" fontId="0" fillId="2" borderId="8" applyNumberFormat="1" applyFont="1" applyFill="1" applyBorder="1" applyAlignment="1" applyProtection="0">
      <alignment horizontal="center" vertical="center"/>
    </xf>
    <xf numFmtId="49" fontId="0" fillId="2" borderId="8" applyNumberFormat="1" applyFont="1" applyFill="1" applyBorder="1" applyAlignment="1" applyProtection="0">
      <alignment vertical="center"/>
    </xf>
    <xf numFmtId="0" fontId="0" fillId="2" borderId="8" applyNumberFormat="0" applyFont="1" applyFill="1" applyBorder="1" applyAlignment="1" applyProtection="0">
      <alignment vertical="center"/>
    </xf>
    <xf numFmtId="0" fontId="0" fillId="2" borderId="31" applyNumberFormat="0" applyFont="1" applyFill="1" applyBorder="1" applyAlignment="1" applyProtection="0">
      <alignment vertical="center"/>
    </xf>
    <xf numFmtId="49" fontId="0" fillId="2" borderId="10" applyNumberFormat="1" applyFont="1" applyFill="1" applyBorder="1" applyAlignment="1" applyProtection="0">
      <alignment horizontal="center" vertical="center"/>
    </xf>
    <xf numFmtId="0" fontId="0" fillId="2" borderId="10" applyNumberFormat="0" applyFont="1" applyFill="1" applyBorder="1" applyAlignment="1" applyProtection="0">
      <alignment vertical="center"/>
    </xf>
    <xf numFmtId="49" fontId="0" fillId="2" borderId="6" applyNumberFormat="1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vertical="center" wrapText="1"/>
    </xf>
    <xf numFmtId="0" fontId="0" fillId="2" borderId="5" applyNumberFormat="1" applyFont="1" applyFill="1" applyBorder="1" applyAlignment="1" applyProtection="0">
      <alignment horizontal="center" vertical="center"/>
    </xf>
    <xf numFmtId="68" fontId="0" fillId="2" borderId="5" applyNumberFormat="1" applyFont="1" applyFill="1" applyBorder="1" applyAlignment="1" applyProtection="0">
      <alignment horizontal="center" vertical="center"/>
    </xf>
    <xf numFmtId="49" fontId="0" fillId="2" borderId="5" applyNumberFormat="1" applyFont="1" applyFill="1" applyBorder="1" applyAlignment="1" applyProtection="0">
      <alignment vertical="center"/>
    </xf>
    <xf numFmtId="0" fontId="0" fillId="3" borderId="109" applyNumberFormat="1" applyFont="1" applyFill="1" applyBorder="1" applyAlignment="1" applyProtection="0">
      <alignment horizontal="center" vertical="center"/>
    </xf>
    <xf numFmtId="49" fontId="0" fillId="3" borderId="8" applyNumberFormat="1" applyFont="1" applyFill="1" applyBorder="1" applyAlignment="1" applyProtection="0">
      <alignment horizontal="center" vertical="center"/>
    </xf>
    <xf numFmtId="68" fontId="0" fillId="3" borderId="8" applyNumberFormat="1" applyFont="1" applyFill="1" applyBorder="1" applyAlignment="1" applyProtection="0">
      <alignment horizontal="center" vertical="center"/>
    </xf>
    <xf numFmtId="49" fontId="0" fillId="3" borderId="8" applyNumberFormat="1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vertical="center"/>
    </xf>
    <xf numFmtId="69" fontId="0" fillId="3" borderId="8" applyNumberFormat="1" applyFont="1" applyFill="1" applyBorder="1" applyAlignment="1" applyProtection="0">
      <alignment horizontal="center" vertical="center"/>
    </xf>
    <xf numFmtId="49" fontId="0" fillId="2" borderId="2" applyNumberFormat="1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vertical="center"/>
    </xf>
    <xf numFmtId="0" fontId="0" fillId="2" borderId="34" applyNumberFormat="0" applyFont="1" applyFill="1" applyBorder="1" applyAlignment="1" applyProtection="0">
      <alignment vertical="center"/>
    </xf>
    <xf numFmtId="49" fontId="36" fillId="2" borderId="1" applyNumberFormat="1" applyFont="1" applyFill="1" applyBorder="1" applyAlignment="1" applyProtection="0">
      <alignment vertical="center"/>
    </xf>
    <xf numFmtId="49" fontId="0" fillId="2" borderId="4" applyNumberFormat="1" applyFont="1" applyFill="1" applyBorder="1" applyAlignment="1" applyProtection="0">
      <alignment vertical="center"/>
    </xf>
    <xf numFmtId="0" fontId="0" fillId="2" borderId="6" applyNumberFormat="1" applyFont="1" applyFill="1" applyBorder="1" applyAlignment="1" applyProtection="0">
      <alignment horizontal="center" vertical="center"/>
    </xf>
    <xf numFmtId="68" fontId="0" fillId="2" borderId="6" applyNumberFormat="1" applyFont="1" applyFill="1" applyBorder="1" applyAlignment="1" applyProtection="0">
      <alignment horizontal="center" vertical="center"/>
    </xf>
    <xf numFmtId="69" fontId="0" fillId="2" borderId="6" applyNumberFormat="1" applyFont="1" applyFill="1" applyBorder="1" applyAlignment="1" applyProtection="0">
      <alignment horizontal="center" vertical="center"/>
    </xf>
    <xf numFmtId="0" fontId="0" fillId="2" borderId="32" applyNumberFormat="0" applyFont="1" applyFill="1" applyBorder="1" applyAlignment="1" applyProtection="0">
      <alignment vertical="center"/>
    </xf>
    <xf numFmtId="49" fontId="36" fillId="2" borderId="8" applyNumberFormat="1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32" borderId="5" applyNumberFormat="0" applyFont="1" applyFill="0" applyBorder="1" applyAlignment="1" applyProtection="0">
      <alignment horizontal="left" vertical="center"/>
    </xf>
    <xf numFmtId="0" fontId="29" borderId="1" applyNumberFormat="0" applyFont="1" applyFill="0" applyBorder="1" applyAlignment="1" applyProtection="0">
      <alignment horizontal="center" vertical="center"/>
    </xf>
    <xf numFmtId="0" fontId="29" fillId="2" borderId="1" applyNumberFormat="0" applyFont="1" applyFill="1" applyBorder="1" applyAlignment="1" applyProtection="0">
      <alignment horizontal="center" vertical="center" wrapText="1"/>
    </xf>
    <xf numFmtId="0" fontId="29" borderId="1" applyNumberFormat="0" applyFont="1" applyFill="0" applyBorder="1" applyAlignment="1" applyProtection="0">
      <alignment vertical="center"/>
    </xf>
    <xf numFmtId="0" fontId="77" borderId="1" applyNumberFormat="0" applyFont="1" applyFill="0" applyBorder="1" applyAlignment="1" applyProtection="0">
      <alignment horizontal="center" vertical="center"/>
    </xf>
    <xf numFmtId="0" fontId="32" borderId="1" applyNumberFormat="0" applyFont="1" applyFill="0" applyBorder="1" applyAlignment="1" applyProtection="0">
      <alignment vertical="center"/>
    </xf>
    <xf numFmtId="3" fontId="29" borderId="1" applyNumberFormat="1" applyFont="1" applyFill="0" applyBorder="1" applyAlignment="1" applyProtection="0">
      <alignment vertical="center"/>
    </xf>
    <xf numFmtId="60" fontId="29" borderId="1" applyNumberFormat="1" applyFont="1" applyFill="0" applyBorder="1" applyAlignment="1" applyProtection="0">
      <alignment vertical="center"/>
    </xf>
    <xf numFmtId="0" fontId="29" fillId="2" borderId="1" applyNumberFormat="0" applyFont="1" applyFill="1" applyBorder="1" applyAlignment="1" applyProtection="0">
      <alignment vertical="center" wrapText="1"/>
    </xf>
    <xf numFmtId="0" fontId="78" borderId="1" applyNumberFormat="0" applyFont="1" applyFill="0" applyBorder="1" applyAlignment="1" applyProtection="0">
      <alignment vertical="center"/>
    </xf>
    <xf numFmtId="0" fontId="78" borderId="2" applyNumberFormat="0" applyFont="1" applyFill="0" applyBorder="1" applyAlignment="1" applyProtection="0">
      <alignment vertical="center"/>
    </xf>
    <xf numFmtId="0" fontId="79" fillId="3" borderId="3" applyNumberFormat="0" applyFont="1" applyFill="1" applyBorder="1" applyAlignment="1" applyProtection="0">
      <alignment vertical="center"/>
    </xf>
    <xf numFmtId="0" fontId="78" fillId="3" borderId="3" applyNumberFormat="0" applyFont="1" applyFill="1" applyBorder="1" applyAlignment="1" applyProtection="0">
      <alignment vertical="center"/>
    </xf>
    <xf numFmtId="0" fontId="29" borderId="30" applyNumberFormat="0" applyFont="1" applyFill="0" applyBorder="1" applyAlignment="1" applyProtection="0">
      <alignment vertical="center"/>
    </xf>
    <xf numFmtId="49" fontId="32" fillId="3" borderId="109" applyNumberFormat="1" applyFont="1" applyFill="1" applyBorder="1" applyAlignment="1" applyProtection="0">
      <alignment vertical="center"/>
    </xf>
    <xf numFmtId="0" fontId="0" borderId="4" applyNumberFormat="0" applyFont="1" applyFill="0" applyBorder="1" applyAlignment="1" applyProtection="0">
      <alignment vertical="center"/>
    </xf>
    <xf numFmtId="0" fontId="32" borderId="1" applyNumberFormat="0" applyFont="1" applyFill="0" applyBorder="1" applyAlignment="1" applyProtection="0">
      <alignment horizontal="center" vertical="center"/>
    </xf>
    <xf numFmtId="0" fontId="32" fillId="2" borderId="1" applyNumberFormat="0" applyFont="1" applyFill="1" applyBorder="1" applyAlignment="1" applyProtection="0">
      <alignment horizontal="center" vertical="center" wrapText="1"/>
    </xf>
    <xf numFmtId="2" fontId="32" borderId="1" applyNumberFormat="1" applyFont="1" applyFill="0" applyBorder="1" applyAlignment="1" applyProtection="0">
      <alignment vertical="center"/>
    </xf>
    <xf numFmtId="59" fontId="32" borderId="1" applyNumberFormat="1" applyFont="1" applyFill="0" applyBorder="1" applyAlignment="1" applyProtection="0">
      <alignment vertical="center"/>
    </xf>
    <xf numFmtId="61" fontId="29" borderId="1" applyNumberFormat="1" applyFont="1" applyFill="0" applyBorder="1" applyAlignment="1" applyProtection="0">
      <alignment vertical="center"/>
    </xf>
    <xf numFmtId="0" fontId="29" borderId="1" applyNumberFormat="1" applyFont="1" applyFill="0" applyBorder="1" applyAlignment="1" applyProtection="0">
      <alignment vertical="center"/>
    </xf>
    <xf numFmtId="62" fontId="29" borderId="1" applyNumberFormat="1" applyFont="1" applyFill="0" applyBorder="1" applyAlignment="1" applyProtection="0">
      <alignment vertical="center"/>
    </xf>
    <xf numFmtId="0" fontId="29" fillId="2" borderId="1" applyNumberFormat="1" applyFont="1" applyFill="1" applyBorder="1" applyAlignment="1" applyProtection="0">
      <alignment vertical="center" wrapText="1"/>
    </xf>
    <xf numFmtId="0" fontId="79" fillId="3" borderId="8" applyNumberFormat="0" applyFont="1" applyFill="1" applyBorder="1" applyAlignment="1" applyProtection="0">
      <alignment vertical="center"/>
    </xf>
    <xf numFmtId="0" fontId="78" fillId="3" borderId="8" applyNumberFormat="0" applyFont="1" applyFill="1" applyBorder="1" applyAlignment="1" applyProtection="0">
      <alignment vertical="center"/>
    </xf>
    <xf numFmtId="0" fontId="29" fillId="4" borderId="8" applyNumberFormat="0" applyFont="1" applyFill="1" applyBorder="1" applyAlignment="1" applyProtection="0">
      <alignment vertical="center"/>
    </xf>
    <xf numFmtId="49" fontId="29" borderId="4" applyNumberFormat="1" applyFont="1" applyFill="0" applyBorder="1" applyAlignment="1" applyProtection="0">
      <alignment vertical="center"/>
    </xf>
    <xf numFmtId="49" fontId="74" borderId="110" applyNumberFormat="1" applyFont="1" applyFill="0" applyBorder="1" applyAlignment="1" applyProtection="0">
      <alignment horizontal="center" vertical="center"/>
    </xf>
    <xf numFmtId="0" fontId="29" borderId="9" applyNumberFormat="0" applyFont="1" applyFill="0" applyBorder="1" applyAlignment="1" applyProtection="0">
      <alignment vertical="center"/>
    </xf>
    <xf numFmtId="3" fontId="78" fillId="2" borderId="1" applyNumberFormat="1" applyFont="1" applyFill="1" applyBorder="1" applyAlignment="1" applyProtection="0">
      <alignment vertical="bottom"/>
    </xf>
    <xf numFmtId="0" fontId="32" borderId="31" applyNumberFormat="0" applyFont="1" applyFill="0" applyBorder="1" applyAlignment="1" applyProtection="0">
      <alignment vertical="center"/>
    </xf>
    <xf numFmtId="49" fontId="32" borderId="5" applyNumberFormat="1" applyFont="1" applyFill="0" applyBorder="1" applyAlignment="1" applyProtection="0">
      <alignment vertical="center"/>
    </xf>
    <xf numFmtId="3" fontId="32" borderId="1" applyNumberFormat="1" applyFont="1" applyFill="0" applyBorder="1" applyAlignment="1" applyProtection="0">
      <alignment vertical="center"/>
    </xf>
    <xf numFmtId="49" fontId="32" fillId="5" borderId="11" applyNumberFormat="1" applyFont="1" applyFill="1" applyBorder="1" applyAlignment="1" applyProtection="0">
      <alignment horizontal="left" vertical="center"/>
    </xf>
    <xf numFmtId="0" fontId="32" borderId="14" applyNumberFormat="0" applyFont="1" applyFill="0" applyBorder="1" applyAlignment="1" applyProtection="0">
      <alignment horizontal="center" vertical="center"/>
    </xf>
    <xf numFmtId="49" fontId="32" fillId="6" borderId="11" applyNumberFormat="1" applyFont="1" applyFill="1" applyBorder="1" applyAlignment="1" applyProtection="0">
      <alignment horizontal="center" vertical="center" wrapText="1"/>
    </xf>
    <xf numFmtId="0" fontId="32" fillId="7" borderId="14" applyNumberFormat="0" applyFont="1" applyFill="1" applyBorder="1" applyAlignment="1" applyProtection="0">
      <alignment horizontal="center" vertical="center"/>
    </xf>
    <xf numFmtId="49" fontId="32" fillId="7" borderId="11" applyNumberFormat="1" applyFont="1" applyFill="1" applyBorder="1" applyAlignment="1" applyProtection="0">
      <alignment horizontal="center" vertical="center"/>
    </xf>
    <xf numFmtId="49" fontId="32" fillId="8" borderId="11" applyNumberFormat="1" applyFont="1" applyFill="1" applyBorder="1" applyAlignment="1" applyProtection="0">
      <alignment horizontal="center" vertical="center" wrapText="1"/>
    </xf>
    <xf numFmtId="0" fontId="32" fillId="2" borderId="14" applyNumberFormat="0" applyFont="1" applyFill="1" applyBorder="1" applyAlignment="1" applyProtection="0">
      <alignment horizontal="center" vertical="center" wrapText="1"/>
    </xf>
    <xf numFmtId="49" fontId="32" fillId="9" borderId="11" applyNumberFormat="1" applyFont="1" applyFill="1" applyBorder="1" applyAlignment="1" applyProtection="0">
      <alignment horizontal="center" vertical="center" wrapText="1"/>
    </xf>
    <xf numFmtId="49" fontId="32" fillId="10" borderId="16" applyNumberFormat="1" applyFont="1" applyFill="1" applyBorder="1" applyAlignment="1" applyProtection="0">
      <alignment horizontal="center" vertical="center" wrapText="1"/>
    </xf>
    <xf numFmtId="49" fontId="32" fillId="11" borderId="11" applyNumberFormat="1" applyFont="1" applyFill="1" applyBorder="1" applyAlignment="1" applyProtection="0">
      <alignment horizontal="center" vertical="center"/>
    </xf>
    <xf numFmtId="49" fontId="32" fillId="12" borderId="11" applyNumberFormat="1" applyFont="1" applyFill="1" applyBorder="1" applyAlignment="1" applyProtection="0">
      <alignment horizontal="center" vertical="center"/>
    </xf>
    <xf numFmtId="49" fontId="32" fillId="13" borderId="11" applyNumberFormat="1" applyFont="1" applyFill="1" applyBorder="1" applyAlignment="1" applyProtection="0">
      <alignment horizontal="center" vertical="center"/>
    </xf>
    <xf numFmtId="49" fontId="32" fillId="14" borderId="16" applyNumberFormat="1" applyFont="1" applyFill="1" applyBorder="1" applyAlignment="1" applyProtection="0">
      <alignment vertical="center" wrapText="1"/>
    </xf>
    <xf numFmtId="49" fontId="32" fillId="2" borderId="18" applyNumberFormat="1" applyFont="1" applyFill="1" applyBorder="1" applyAlignment="1" applyProtection="0">
      <alignment horizontal="center" vertical="center" wrapText="1"/>
    </xf>
    <xf numFmtId="0" fontId="32" fillId="2" borderId="25" applyNumberFormat="0" applyFont="1" applyFill="1" applyBorder="1" applyAlignment="1" applyProtection="0">
      <alignment horizontal="center" vertical="center" wrapText="1"/>
    </xf>
    <xf numFmtId="3" fontId="78" borderId="1" applyNumberFormat="1" applyFont="1" applyFill="0" applyBorder="1" applyAlignment="1" applyProtection="0">
      <alignment vertical="center"/>
    </xf>
    <xf numFmtId="0" fontId="32" fillId="15" borderId="8" applyNumberFormat="0" applyFont="1" applyFill="1" applyBorder="1" applyAlignment="1" applyProtection="0">
      <alignment vertical="center"/>
    </xf>
    <xf numFmtId="49" fontId="32" fillId="15" borderId="8" applyNumberFormat="1" applyFont="1" applyFill="1" applyBorder="1" applyAlignment="1" applyProtection="0">
      <alignment vertical="center"/>
    </xf>
    <xf numFmtId="59" fontId="32" borderId="4" applyNumberFormat="1" applyFont="1" applyFill="0" applyBorder="1" applyAlignment="1" applyProtection="0">
      <alignment vertical="center"/>
    </xf>
    <xf numFmtId="0" fontId="32" fillId="2" borderId="14" applyNumberFormat="0" applyFont="1" applyFill="1" applyBorder="1" applyAlignment="1" applyProtection="0">
      <alignment vertical="center" wrapText="1"/>
    </xf>
    <xf numFmtId="49" fontId="32" fillId="2" borderId="18" applyNumberFormat="1" applyFont="1" applyFill="1" applyBorder="1" applyAlignment="1" applyProtection="0">
      <alignment vertical="center" wrapText="1"/>
    </xf>
    <xf numFmtId="49" fontId="29" fillId="2" borderId="18" applyNumberFormat="1" applyFont="1" applyFill="1" applyBorder="1" applyAlignment="1" applyProtection="0">
      <alignment vertical="center" wrapText="1"/>
    </xf>
    <xf numFmtId="49" fontId="29" fillId="2" borderId="18" applyNumberFormat="1" applyFont="1" applyFill="1" applyBorder="1" applyAlignment="1" applyProtection="0">
      <alignment horizontal="center" vertical="center" wrapText="1"/>
    </xf>
    <xf numFmtId="49" fontId="32" fillId="2" borderId="21" applyNumberFormat="1" applyFont="1" applyFill="1" applyBorder="1" applyAlignment="1" applyProtection="0">
      <alignment horizontal="center" vertical="center" wrapText="1"/>
    </xf>
    <xf numFmtId="49" fontId="29" borderId="32" applyNumberFormat="1" applyFont="1" applyFill="0" applyBorder="1" applyAlignment="1" applyProtection="0">
      <alignment vertical="center"/>
    </xf>
    <xf numFmtId="0" fontId="29" borderId="6" applyNumberFormat="0" applyFont="1" applyFill="0" applyBorder="1" applyAlignment="1" applyProtection="0">
      <alignment vertical="center"/>
    </xf>
    <xf numFmtId="49" fontId="32" fillId="2" borderId="14" applyNumberFormat="1" applyFont="1" applyFill="1" applyBorder="1" applyAlignment="1" applyProtection="0">
      <alignment horizontal="center" vertical="center" wrapText="1"/>
    </xf>
    <xf numFmtId="49" fontId="32" fillId="2" borderId="14" applyNumberFormat="1" applyFont="1" applyFill="1" applyBorder="1" applyAlignment="1" applyProtection="0">
      <alignment vertical="center" wrapText="1"/>
    </xf>
    <xf numFmtId="49" fontId="77" fillId="2" borderId="14" applyNumberFormat="1" applyFont="1" applyFill="1" applyBorder="1" applyAlignment="1" applyProtection="0">
      <alignment vertical="center" wrapText="1"/>
    </xf>
    <xf numFmtId="49" fontId="32" fillId="2" borderId="25" applyNumberFormat="1" applyFont="1" applyFill="1" applyBorder="1" applyAlignment="1" applyProtection="0">
      <alignment horizontal="center" vertical="center" wrapText="1"/>
    </xf>
    <xf numFmtId="49" fontId="32" fillId="2" borderId="1" applyNumberFormat="1" applyFont="1" applyFill="1" applyBorder="1" applyAlignment="1" applyProtection="0">
      <alignment horizontal="center" vertical="center" wrapText="1"/>
    </xf>
    <xf numFmtId="49" fontId="29" fillId="2" borderId="1" applyNumberFormat="1" applyFont="1" applyFill="1" applyBorder="1" applyAlignment="1" applyProtection="0">
      <alignment horizontal="center" vertical="bottom" wrapText="1"/>
    </xf>
    <xf numFmtId="49" fontId="79" fillId="2" borderId="1" applyNumberFormat="1" applyFont="1" applyFill="1" applyBorder="1" applyAlignment="1" applyProtection="0">
      <alignment horizontal="center" vertical="bottom" wrapText="1"/>
    </xf>
    <xf numFmtId="49" fontId="79" fillId="2" borderId="2" applyNumberFormat="1" applyFont="1" applyFill="1" applyBorder="1" applyAlignment="1" applyProtection="0">
      <alignment horizontal="center" vertical="bottom" wrapText="1"/>
    </xf>
    <xf numFmtId="49" fontId="79" fillId="3" borderId="8" applyNumberFormat="1" applyFont="1" applyFill="1" applyBorder="1" applyAlignment="1" applyProtection="0">
      <alignment horizontal="center" vertical="bottom"/>
    </xf>
    <xf numFmtId="0" fontId="29" borderId="4" applyNumberFormat="0" applyFont="1" applyFill="0" applyBorder="1" applyAlignment="1" applyProtection="0">
      <alignment vertical="center"/>
    </xf>
    <xf numFmtId="0" fontId="29" fillId="2" borderId="14" applyNumberFormat="0" applyFont="1" applyFill="1" applyBorder="1" applyAlignment="1" applyProtection="0">
      <alignment horizontal="center" vertical="center" wrapText="1"/>
    </xf>
    <xf numFmtId="49" fontId="29" fillId="2" borderId="14" applyNumberFormat="1" applyFont="1" applyFill="1" applyBorder="1" applyAlignment="1" applyProtection="0">
      <alignment horizontal="center" vertical="center" wrapText="1"/>
    </xf>
    <xf numFmtId="49" fontId="77" fillId="2" borderId="14" applyNumberFormat="1" applyFont="1" applyFill="1" applyBorder="1" applyAlignment="1" applyProtection="0">
      <alignment horizontal="center" vertical="center" wrapText="1"/>
    </xf>
    <xf numFmtId="0" fontId="29" fillId="2" borderId="14" applyNumberFormat="0" applyFont="1" applyFill="1" applyBorder="1" applyAlignment="1" applyProtection="0">
      <alignment horizontal="center" vertical="bottom" wrapText="1"/>
    </xf>
    <xf numFmtId="0" fontId="29" fillId="2" borderId="25" applyNumberFormat="0" applyFont="1" applyFill="1" applyBorder="1" applyAlignment="1" applyProtection="0">
      <alignment horizontal="center" vertical="bottom" wrapText="1"/>
    </xf>
    <xf numFmtId="0" fontId="29" fillId="2" borderId="1" applyNumberFormat="0" applyFont="1" applyFill="1" applyBorder="1" applyAlignment="1" applyProtection="0">
      <alignment horizontal="center" vertical="bottom" wrapText="1"/>
    </xf>
    <xf numFmtId="0" fontId="78" borderId="1" applyNumberFormat="0" applyFont="1" applyFill="0" applyBorder="1" applyAlignment="1" applyProtection="0">
      <alignment horizontal="center" vertical="center"/>
    </xf>
    <xf numFmtId="0" fontId="78" borderId="2" applyNumberFormat="0" applyFont="1" applyFill="0" applyBorder="1" applyAlignment="1" applyProtection="0">
      <alignment horizontal="center" vertical="center"/>
    </xf>
    <xf numFmtId="0" fontId="79" fillId="3" borderId="8" applyNumberFormat="0" applyFont="1" applyFill="1" applyBorder="1" applyAlignment="1" applyProtection="0">
      <alignment horizontal="center" vertical="center"/>
    </xf>
    <xf numFmtId="0" fontId="78" fillId="3" borderId="8" applyNumberFormat="0" applyFont="1" applyFill="1" applyBorder="1" applyAlignment="1" applyProtection="0">
      <alignment horizontal="center" vertical="center"/>
    </xf>
    <xf numFmtId="0" fontId="29" borderId="4" applyNumberFormat="0" applyFont="1" applyFill="0" applyBorder="1" applyAlignment="1" applyProtection="0">
      <alignment horizontal="center" vertical="center"/>
    </xf>
    <xf numFmtId="0" fontId="29" fillId="2" borderId="14" applyNumberFormat="0" applyFont="1" applyFill="1" applyBorder="1" applyAlignment="1" applyProtection="0">
      <alignment horizontal="center" vertical="bottom"/>
    </xf>
    <xf numFmtId="0" fontId="29" fillId="2" borderId="14" applyNumberFormat="1" applyFont="1" applyFill="1" applyBorder="1" applyAlignment="1" applyProtection="0">
      <alignment vertical="bottom"/>
    </xf>
    <xf numFmtId="0" fontId="29" fillId="2" borderId="14" applyNumberFormat="0" applyFont="1" applyFill="1" applyBorder="1" applyAlignment="1" applyProtection="0">
      <alignment vertical="bottom"/>
    </xf>
    <xf numFmtId="0" fontId="77" fillId="2" borderId="14" applyNumberFormat="1" applyFont="1" applyFill="1" applyBorder="1" applyAlignment="1" applyProtection="0">
      <alignment vertical="bottom"/>
    </xf>
    <xf numFmtId="0" fontId="29" fillId="2" borderId="1" applyNumberFormat="0" applyFont="1" applyFill="1" applyBorder="1" applyAlignment="1" applyProtection="0">
      <alignment horizontal="center" vertical="bottom"/>
    </xf>
    <xf numFmtId="0" fontId="78" fillId="2" borderId="1" applyNumberFormat="0" applyFont="1" applyFill="1" applyBorder="1" applyAlignment="1" applyProtection="0">
      <alignment horizontal="center" vertical="bottom"/>
    </xf>
    <xf numFmtId="2" fontId="78" borderId="2" applyNumberFormat="1" applyFont="1" applyFill="0" applyBorder="1" applyAlignment="1" applyProtection="0">
      <alignment vertical="center"/>
    </xf>
    <xf numFmtId="49" fontId="29" borderId="14" applyNumberFormat="1" applyFont="1" applyFill="0" applyBorder="1" applyAlignment="1" applyProtection="0">
      <alignment vertical="center"/>
    </xf>
    <xf numFmtId="0" fontId="29" borderId="14" applyNumberFormat="0" applyFont="1" applyFill="0" applyBorder="1" applyAlignment="1" applyProtection="0">
      <alignment horizontal="center" vertical="center"/>
    </xf>
    <xf numFmtId="49" fontId="29" borderId="14" applyNumberFormat="1" applyFont="1" applyFill="0" applyBorder="1" applyAlignment="1" applyProtection="0">
      <alignment horizontal="center" vertical="center"/>
    </xf>
    <xf numFmtId="0" fontId="29" borderId="14" applyNumberFormat="0" applyFont="1" applyFill="0" applyBorder="1" applyAlignment="1" applyProtection="0">
      <alignment vertical="center"/>
    </xf>
    <xf numFmtId="3" fontId="32" borderId="14" applyNumberFormat="1" applyFont="1" applyFill="0" applyBorder="1" applyAlignment="1" applyProtection="0">
      <alignment vertical="center"/>
    </xf>
    <xf numFmtId="2" fontId="29" borderId="14" applyNumberFormat="1" applyFont="1" applyFill="0" applyBorder="1" applyAlignment="1" applyProtection="0">
      <alignment vertical="center"/>
    </xf>
    <xf numFmtId="63" fontId="29" borderId="14" applyNumberFormat="1" applyFont="1" applyFill="0" applyBorder="1" applyAlignment="1" applyProtection="0">
      <alignment horizontal="right" vertical="center"/>
    </xf>
    <xf numFmtId="0" fontId="29" borderId="14" applyNumberFormat="1" applyFont="1" applyFill="0" applyBorder="1" applyAlignment="1" applyProtection="0">
      <alignment vertical="center"/>
    </xf>
    <xf numFmtId="2" fontId="29" fillId="2" borderId="25" applyNumberFormat="1" applyFont="1" applyFill="1" applyBorder="1" applyAlignment="1" applyProtection="0">
      <alignment vertical="center" wrapText="1"/>
    </xf>
    <xf numFmtId="2" fontId="29" fillId="2" borderId="1" applyNumberFormat="1" applyFont="1" applyFill="1" applyBorder="1" applyAlignment="1" applyProtection="0">
      <alignment vertical="center" wrapText="1"/>
    </xf>
    <xf numFmtId="0" fontId="78" borderId="2" applyNumberFormat="1" applyFont="1" applyFill="0" applyBorder="1" applyAlignment="1" applyProtection="0">
      <alignment vertical="center"/>
    </xf>
    <xf numFmtId="3" fontId="79" fillId="3" borderId="8" applyNumberFormat="1" applyFont="1" applyFill="1" applyBorder="1" applyAlignment="1" applyProtection="0">
      <alignment vertical="center"/>
    </xf>
    <xf numFmtId="49" fontId="32" fillId="2" borderId="4" applyNumberFormat="1" applyFont="1" applyFill="1" applyBorder="1" applyAlignment="1" applyProtection="0">
      <alignment vertical="center" wrapText="1"/>
    </xf>
    <xf numFmtId="49" fontId="26" fillId="2" borderId="1" applyNumberFormat="1" applyFont="1" applyFill="1" applyBorder="1" applyAlignment="1" applyProtection="0">
      <alignment vertical="bottom"/>
    </xf>
    <xf numFmtId="3" fontId="32" borderId="4" applyNumberFormat="1" applyFont="1" applyFill="0" applyBorder="1" applyAlignment="1" applyProtection="0">
      <alignment vertical="center"/>
    </xf>
    <xf numFmtId="0" fontId="29" fillId="2" borderId="14" applyNumberFormat="0" applyFont="1" applyFill="1" applyBorder="1" applyAlignment="1" applyProtection="0">
      <alignment vertical="center" wrapText="1"/>
    </xf>
    <xf numFmtId="49" fontId="78" fillId="3" borderId="8" applyNumberFormat="1" applyFont="1" applyFill="1" applyBorder="1" applyAlignment="1" applyProtection="0">
      <alignment vertical="center"/>
    </xf>
    <xf numFmtId="49" fontId="36" fillId="2" borderId="1" applyNumberFormat="1" applyFont="1" applyFill="1" applyBorder="1" applyAlignment="1" applyProtection="0">
      <alignment horizontal="center" vertical="bottom"/>
    </xf>
    <xf numFmtId="3" fontId="26" fillId="2" borderId="1" applyNumberFormat="1" applyFont="1" applyFill="1" applyBorder="1" applyAlignment="1" applyProtection="0">
      <alignment vertical="bottom"/>
    </xf>
    <xf numFmtId="0" fontId="26" fillId="2" borderId="1" applyNumberFormat="0" applyFont="1" applyFill="1" applyBorder="1" applyAlignment="1" applyProtection="0">
      <alignment vertical="bottom"/>
    </xf>
    <xf numFmtId="3" fontId="80" borderId="14" applyNumberFormat="1" applyFont="1" applyFill="0" applyBorder="1" applyAlignment="1" applyProtection="0">
      <alignment vertical="center"/>
    </xf>
    <xf numFmtId="49" fontId="78" fillId="10" borderId="14" applyNumberFormat="1" applyFont="1" applyFill="1" applyBorder="1" applyAlignment="1" applyProtection="0">
      <alignment vertical="center"/>
    </xf>
    <xf numFmtId="9" fontId="29" borderId="14" applyNumberFormat="1" applyFont="1" applyFill="0" applyBorder="1" applyAlignment="1" applyProtection="0">
      <alignment horizontal="center" vertical="center"/>
    </xf>
    <xf numFmtId="0" fontId="70" borderId="14" applyNumberFormat="0" applyFont="1" applyFill="0" applyBorder="1" applyAlignment="1" applyProtection="0">
      <alignment vertical="center"/>
    </xf>
    <xf numFmtId="2" fontId="29" borderId="14" applyNumberFormat="1" applyFont="1" applyFill="0" applyBorder="1" applyAlignment="1" applyProtection="0">
      <alignment horizontal="center" vertical="center"/>
    </xf>
    <xf numFmtId="0" fontId="26" borderId="1" applyNumberFormat="0" applyFont="1" applyFill="0" applyBorder="1" applyAlignment="1" applyProtection="0">
      <alignment vertical="center"/>
    </xf>
    <xf numFmtId="63" fontId="29" borderId="14" applyNumberFormat="1" applyFont="1" applyFill="0" applyBorder="1" applyAlignment="1" applyProtection="0">
      <alignment vertical="center"/>
    </xf>
    <xf numFmtId="49" fontId="29" fillId="2" borderId="14" applyNumberFormat="1" applyFont="1" applyFill="1" applyBorder="1" applyAlignment="1" applyProtection="0">
      <alignment vertical="bottom"/>
    </xf>
    <xf numFmtId="49" fontId="29" fillId="2" borderId="14" applyNumberFormat="1" applyFont="1" applyFill="1" applyBorder="1" applyAlignment="1" applyProtection="0">
      <alignment vertical="bottom" wrapText="1"/>
    </xf>
    <xf numFmtId="9" fontId="78" borderId="14" applyNumberFormat="1" applyFont="1" applyFill="0" applyBorder="1" applyAlignment="1" applyProtection="0">
      <alignment horizontal="center" vertical="center"/>
    </xf>
    <xf numFmtId="0" fontId="81" fillId="2" borderId="14" applyNumberFormat="0" applyFont="1" applyFill="1" applyBorder="1" applyAlignment="1" applyProtection="0">
      <alignment vertical="center" wrapText="1"/>
    </xf>
    <xf numFmtId="3" fontId="32" fillId="3" borderId="14" applyNumberFormat="1" applyFont="1" applyFill="1" applyBorder="1" applyAlignment="1" applyProtection="0">
      <alignment vertical="center"/>
    </xf>
    <xf numFmtId="3" fontId="32" borderId="30" applyNumberFormat="1" applyFont="1" applyFill="0" applyBorder="1" applyAlignment="1" applyProtection="0">
      <alignment vertical="center"/>
    </xf>
    <xf numFmtId="49" fontId="26" fillId="2" borderId="5" applyNumberFormat="1" applyFont="1" applyFill="1" applyBorder="1" applyAlignment="1" applyProtection="0">
      <alignment vertical="bottom"/>
    </xf>
    <xf numFmtId="3" fontId="26" fillId="2" borderId="5" applyNumberFormat="1" applyFont="1" applyFill="1" applyBorder="1" applyAlignment="1" applyProtection="0">
      <alignment vertical="bottom"/>
    </xf>
    <xf numFmtId="0" fontId="29" borderId="5" applyNumberFormat="0" applyFont="1" applyFill="0" applyBorder="1" applyAlignment="1" applyProtection="0">
      <alignment vertical="center"/>
    </xf>
    <xf numFmtId="59" fontId="78" borderId="14" applyNumberFormat="1" applyFont="1" applyFill="0" applyBorder="1" applyAlignment="1" applyProtection="0">
      <alignment vertical="center"/>
    </xf>
    <xf numFmtId="3" fontId="32" fillId="3" borderId="14" applyNumberFormat="1" applyFont="1" applyFill="1" applyBorder="1" applyAlignment="1" applyProtection="0">
      <alignment horizontal="right" vertical="center"/>
    </xf>
    <xf numFmtId="3" fontId="32" borderId="14" applyNumberFormat="1" applyFont="1" applyFill="0" applyBorder="1" applyAlignment="1" applyProtection="0">
      <alignment horizontal="right" vertical="center"/>
    </xf>
    <xf numFmtId="2" fontId="78" borderId="14" applyNumberFormat="1" applyFont="1" applyFill="0" applyBorder="1" applyAlignment="1" applyProtection="0">
      <alignment vertical="center"/>
    </xf>
    <xf numFmtId="63" fontId="78" borderId="14" applyNumberFormat="1" applyFont="1" applyFill="0" applyBorder="1" applyAlignment="1" applyProtection="0">
      <alignment vertical="center"/>
    </xf>
    <xf numFmtId="3" fontId="78" borderId="14" applyNumberFormat="1" applyFont="1" applyFill="0" applyBorder="1" applyAlignment="1" applyProtection="0">
      <alignment vertical="center"/>
    </xf>
    <xf numFmtId="3" fontId="29" fillId="10" borderId="14" applyNumberFormat="1" applyFont="1" applyFill="1" applyBorder="1" applyAlignment="1" applyProtection="0">
      <alignment vertical="center"/>
    </xf>
    <xf numFmtId="0" fontId="78" borderId="14" applyNumberFormat="0" applyFont="1" applyFill="0" applyBorder="1" applyAlignment="1" applyProtection="0">
      <alignment vertical="center"/>
    </xf>
    <xf numFmtId="0" fontId="78" fillId="2" borderId="14" applyNumberFormat="0" applyFont="1" applyFill="1" applyBorder="1" applyAlignment="1" applyProtection="0">
      <alignment vertical="center" wrapText="1"/>
    </xf>
    <xf numFmtId="49" fontId="78" fillId="3" borderId="8" applyNumberFormat="1" applyFont="1" applyFill="1" applyBorder="1" applyAlignment="1" applyProtection="0">
      <alignment vertical="center" wrapText="1"/>
    </xf>
    <xf numFmtId="3" fontId="32" borderId="8" applyNumberFormat="1" applyFont="1" applyFill="0" applyBorder="1" applyAlignment="1" applyProtection="0">
      <alignment vertical="center"/>
    </xf>
    <xf numFmtId="49" fontId="26" fillId="2" borderId="8" applyNumberFormat="1" applyFont="1" applyFill="1" applyBorder="1" applyAlignment="1" applyProtection="0">
      <alignment vertical="bottom"/>
    </xf>
    <xf numFmtId="0" fontId="29" borderId="31" applyNumberFormat="0" applyFont="1" applyFill="0" applyBorder="1" applyAlignment="1" applyProtection="0">
      <alignment vertical="center"/>
    </xf>
    <xf numFmtId="0" fontId="78" fillId="3" borderId="8" applyNumberFormat="0" applyFont="1" applyFill="1" applyBorder="1" applyAlignment="1" applyProtection="0">
      <alignment vertical="center" wrapText="1"/>
    </xf>
    <xf numFmtId="49" fontId="78" fillId="3" borderId="8" applyNumberFormat="1" applyFont="1" applyFill="1" applyBorder="1" applyAlignment="1" applyProtection="0">
      <alignment horizontal="left" vertical="center" wrapText="1"/>
    </xf>
    <xf numFmtId="3" fontId="36" borderId="14" applyNumberFormat="1" applyFont="1" applyFill="0" applyBorder="1" applyAlignment="1" applyProtection="0">
      <alignment vertical="center"/>
    </xf>
    <xf numFmtId="59" fontId="78" borderId="14" applyNumberFormat="1" applyFont="1" applyFill="0" applyBorder="1" applyAlignment="1" applyProtection="0">
      <alignment horizontal="right" vertical="center"/>
    </xf>
    <xf numFmtId="2" fontId="29" borderId="14" applyNumberFormat="1" applyFont="1" applyFill="0" applyBorder="1" applyAlignment="1" applyProtection="0">
      <alignment horizontal="right" vertical="center"/>
    </xf>
    <xf numFmtId="2" fontId="36" borderId="14" applyNumberFormat="1" applyFont="1" applyFill="0" applyBorder="1" applyAlignment="1" applyProtection="0">
      <alignment vertical="center"/>
    </xf>
    <xf numFmtId="63" fontId="78" borderId="14" applyNumberFormat="1" applyFont="1" applyFill="0" applyBorder="1" applyAlignment="1" applyProtection="0">
      <alignment horizontal="right" vertical="center"/>
    </xf>
    <xf numFmtId="3" fontId="29" borderId="14" applyNumberFormat="1" applyFont="1" applyFill="0" applyBorder="1" applyAlignment="1" applyProtection="0">
      <alignment horizontal="right" vertical="center"/>
    </xf>
    <xf numFmtId="0" fontId="36" borderId="14" applyNumberFormat="0" applyFont="1" applyFill="0" applyBorder="1" applyAlignment="1" applyProtection="0">
      <alignment vertical="center"/>
    </xf>
    <xf numFmtId="59" fontId="36" borderId="14" applyNumberFormat="1" applyFont="1" applyFill="0" applyBorder="1" applyAlignment="1" applyProtection="0">
      <alignment vertical="center"/>
    </xf>
    <xf numFmtId="59" fontId="29" borderId="14" applyNumberFormat="1" applyFont="1" applyFill="0" applyBorder="1" applyAlignment="1" applyProtection="0">
      <alignment horizontal="right" vertical="center"/>
    </xf>
    <xf numFmtId="3" fontId="78" borderId="14" applyNumberFormat="1" applyFont="1" applyFill="0" applyBorder="1" applyAlignment="1" applyProtection="0">
      <alignment horizontal="right" vertical="center"/>
    </xf>
    <xf numFmtId="3" fontId="48" fillId="3" borderId="8" applyNumberFormat="1" applyFont="1" applyFill="1" applyBorder="1" applyAlignment="1" applyProtection="0">
      <alignment vertical="center"/>
    </xf>
    <xf numFmtId="3" fontId="36" borderId="8" applyNumberFormat="1" applyFont="1" applyFill="0" applyBorder="1" applyAlignment="1" applyProtection="0">
      <alignment vertical="center"/>
    </xf>
    <xf numFmtId="49" fontId="36" fillId="2" borderId="8" applyNumberFormat="1" applyFont="1" applyFill="1" applyBorder="1" applyAlignment="1" applyProtection="0">
      <alignment vertical="bottom"/>
    </xf>
    <xf numFmtId="0" fontId="36" fillId="2" borderId="8" applyNumberFormat="1" applyFont="1" applyFill="1" applyBorder="1" applyAlignment="1" applyProtection="0">
      <alignment horizontal="center" vertical="bottom"/>
    </xf>
    <xf numFmtId="0" fontId="36" borderId="8" applyNumberFormat="0" applyFont="1" applyFill="0" applyBorder="1" applyAlignment="1" applyProtection="0">
      <alignment vertical="center"/>
    </xf>
    <xf numFmtId="0" fontId="36" borderId="31" applyNumberFormat="0" applyFont="1" applyFill="0" applyBorder="1" applyAlignment="1" applyProtection="0">
      <alignment vertical="center"/>
    </xf>
    <xf numFmtId="49" fontId="78" fillId="2" borderId="14" applyNumberFormat="1" applyFont="1" applyFill="1" applyBorder="1" applyAlignment="1" applyProtection="0">
      <alignment vertical="center" wrapText="1"/>
    </xf>
    <xf numFmtId="3" fontId="79" borderId="14" applyNumberFormat="1" applyFont="1" applyFill="0" applyBorder="1" applyAlignment="1" applyProtection="0">
      <alignment vertical="center"/>
    </xf>
    <xf numFmtId="59" fontId="29" fillId="13" borderId="14" applyNumberFormat="1" applyFont="1" applyFill="1" applyBorder="1" applyAlignment="1" applyProtection="0">
      <alignment vertical="center"/>
    </xf>
    <xf numFmtId="3" fontId="32" fillId="13" borderId="14" applyNumberFormat="1" applyFont="1" applyFill="1" applyBorder="1" applyAlignment="1" applyProtection="0">
      <alignment vertical="center"/>
    </xf>
    <xf numFmtId="3" fontId="32" borderId="32" applyNumberFormat="1" applyFont="1" applyFill="0" applyBorder="1" applyAlignment="1" applyProtection="0">
      <alignment vertical="center"/>
    </xf>
    <xf numFmtId="3" fontId="26" fillId="2" borderId="6" applyNumberFormat="1" applyFont="1" applyFill="1" applyBorder="1" applyAlignment="1" applyProtection="0">
      <alignment vertical="bottom"/>
    </xf>
    <xf numFmtId="0" fontId="26" fillId="2" borderId="6" applyNumberFormat="0" applyFont="1" applyFill="1" applyBorder="1" applyAlignment="1" applyProtection="0">
      <alignment vertical="bottom"/>
    </xf>
    <xf numFmtId="49" fontId="36" borderId="14" applyNumberFormat="1" applyFont="1" applyFill="0" applyBorder="1" applyAlignment="1" applyProtection="0">
      <alignment vertical="center"/>
    </xf>
    <xf numFmtId="0" fontId="78" borderId="5" applyNumberFormat="0" applyFont="1" applyFill="0" applyBorder="1" applyAlignment="1" applyProtection="0">
      <alignment vertical="center"/>
    </xf>
    <xf numFmtId="3" fontId="29" borderId="2" applyNumberFormat="1" applyFont="1" applyFill="0" applyBorder="1" applyAlignment="1" applyProtection="0">
      <alignment vertical="center"/>
    </xf>
    <xf numFmtId="0" fontId="78" fillId="5" borderId="8" applyNumberFormat="0" applyFont="1" applyFill="1" applyBorder="1" applyAlignment="1" applyProtection="0">
      <alignment vertical="center"/>
    </xf>
    <xf numFmtId="3" fontId="78" borderId="4" applyNumberFormat="1" applyFont="1" applyFill="0" applyBorder="1" applyAlignment="1" applyProtection="0">
      <alignment vertical="center"/>
    </xf>
    <xf numFmtId="49" fontId="78" fillId="5" borderId="14" applyNumberFormat="1" applyFont="1" applyFill="1" applyBorder="1" applyAlignment="1" applyProtection="0">
      <alignment vertical="center" wrapText="1"/>
    </xf>
    <xf numFmtId="3" fontId="32" fillId="5" borderId="14" applyNumberFormat="1" applyFont="1" applyFill="1" applyBorder="1" applyAlignment="1" applyProtection="0">
      <alignment vertical="center"/>
    </xf>
    <xf numFmtId="49" fontId="81" fillId="2" borderId="14" applyNumberFormat="1" applyFont="1" applyFill="1" applyBorder="1" applyAlignment="1" applyProtection="0">
      <alignment vertical="center" wrapText="1"/>
    </xf>
    <xf numFmtId="0" fontId="78" borderId="6" applyNumberFormat="0" applyFont="1" applyFill="0" applyBorder="1" applyAlignment="1" applyProtection="0">
      <alignment vertical="center"/>
    </xf>
    <xf numFmtId="49" fontId="32" borderId="4" applyNumberFormat="1" applyFont="1" applyFill="0" applyBorder="1" applyAlignment="1" applyProtection="0">
      <alignment vertical="center"/>
    </xf>
    <xf numFmtId="49" fontId="70" borderId="14" applyNumberFormat="1" applyFont="1" applyFill="0" applyBorder="1" applyAlignment="1" applyProtection="0">
      <alignment vertical="center"/>
    </xf>
    <xf numFmtId="3" fontId="83" borderId="1" applyNumberFormat="1" applyFont="1" applyFill="0" applyBorder="1" applyAlignment="1" applyProtection="0">
      <alignment vertical="center"/>
    </xf>
    <xf numFmtId="0" fontId="84" borderId="1" applyNumberFormat="0" applyFont="1" applyFill="0" applyBorder="1" applyAlignment="1" applyProtection="0">
      <alignment vertical="center"/>
    </xf>
    <xf numFmtId="49" fontId="78" fillId="10" borderId="14" applyNumberFormat="1" applyFont="1" applyFill="1" applyBorder="1" applyAlignment="1" applyProtection="0">
      <alignment vertical="center" wrapText="1"/>
    </xf>
    <xf numFmtId="49" fontId="78" fillId="5" borderId="14" applyNumberFormat="1" applyFont="1" applyFill="1" applyBorder="1" applyAlignment="1" applyProtection="0">
      <alignment vertical="center"/>
    </xf>
    <xf numFmtId="3" fontId="29" fillId="13" borderId="14" applyNumberFormat="1" applyFont="1" applyFill="1" applyBorder="1" applyAlignment="1" applyProtection="0">
      <alignment vertical="center"/>
    </xf>
    <xf numFmtId="2" fontId="29" fillId="2" borderId="50" applyNumberFormat="1" applyFont="1" applyFill="1" applyBorder="1" applyAlignment="1" applyProtection="0">
      <alignment vertical="center" wrapText="1"/>
    </xf>
    <xf numFmtId="2" fontId="29" fillId="2" borderId="9" applyNumberFormat="1" applyFont="1" applyFill="1" applyBorder="1" applyAlignment="1" applyProtection="0">
      <alignment vertical="center" wrapText="1"/>
    </xf>
    <xf numFmtId="3" fontId="78" borderId="9" applyNumberFormat="1" applyFont="1" applyFill="0" applyBorder="1" applyAlignment="1" applyProtection="0">
      <alignment vertical="center"/>
    </xf>
    <xf numFmtId="3" fontId="29" borderId="9" applyNumberFormat="1" applyFont="1" applyFill="0" applyBorder="1" applyAlignment="1" applyProtection="0">
      <alignment vertical="center"/>
    </xf>
    <xf numFmtId="0" fontId="78" borderId="51" applyNumberFormat="1" applyFont="1" applyFill="0" applyBorder="1" applyAlignment="1" applyProtection="0">
      <alignment vertical="center"/>
    </xf>
    <xf numFmtId="3" fontId="79" fillId="3" borderId="52" applyNumberFormat="1" applyFont="1" applyFill="1" applyBorder="1" applyAlignment="1" applyProtection="0">
      <alignment vertical="center"/>
    </xf>
    <xf numFmtId="49" fontId="78" fillId="3" borderId="52" applyNumberFormat="1" applyFont="1" applyFill="1" applyBorder="1" applyAlignment="1" applyProtection="0">
      <alignment vertical="center"/>
    </xf>
    <xf numFmtId="0" fontId="32" borderId="14" applyNumberFormat="0" applyFont="1" applyFill="0" applyBorder="1" applyAlignment="1" applyProtection="0">
      <alignment vertical="center"/>
    </xf>
    <xf numFmtId="49" fontId="32" borderId="14" applyNumberFormat="1" applyFont="1" applyFill="0" applyBorder="1" applyAlignment="1" applyProtection="0">
      <alignment vertical="center"/>
    </xf>
    <xf numFmtId="0" fontId="32" borderId="26" applyNumberFormat="0" applyFont="1" applyFill="0" applyBorder="1" applyAlignment="1" applyProtection="0">
      <alignment vertical="center"/>
    </xf>
    <xf numFmtId="0" fontId="32" borderId="27" applyNumberFormat="0" applyFont="1" applyFill="0" applyBorder="1" applyAlignment="1" applyProtection="0">
      <alignment vertical="center"/>
    </xf>
    <xf numFmtId="0" fontId="78" borderId="22" applyNumberFormat="0" applyFont="1" applyFill="0" applyBorder="1" applyAlignment="1" applyProtection="0">
      <alignment vertical="center"/>
    </xf>
    <xf numFmtId="3" fontId="79" fillId="3" borderId="14" applyNumberFormat="1" applyFont="1" applyFill="1" applyBorder="1" applyAlignment="1" applyProtection="0">
      <alignment vertical="center"/>
    </xf>
    <xf numFmtId="0" fontId="29" borderId="25" applyNumberFormat="0" applyFont="1" applyFill="0" applyBorder="1" applyAlignment="1" applyProtection="0">
      <alignment vertical="center"/>
    </xf>
    <xf numFmtId="0" fontId="36" borderId="28" applyNumberFormat="0" applyFont="1" applyFill="0" applyBorder="1" applyAlignment="1" applyProtection="0">
      <alignment vertical="center"/>
    </xf>
    <xf numFmtId="0" fontId="85" borderId="28" applyNumberFormat="0" applyFont="1" applyFill="0" applyBorder="1" applyAlignment="1" applyProtection="0">
      <alignment vertical="center"/>
    </xf>
    <xf numFmtId="3" fontId="36" borderId="28" applyNumberFormat="1" applyFont="1" applyFill="0" applyBorder="1" applyAlignment="1" applyProtection="0">
      <alignment vertical="center"/>
    </xf>
    <xf numFmtId="49" fontId="78" borderId="1" applyNumberFormat="1" applyFont="1" applyFill="0" applyBorder="1" applyAlignment="1" applyProtection="0">
      <alignment vertical="center"/>
    </xf>
    <xf numFmtId="3" fontId="78" borderId="28" applyNumberFormat="1" applyFont="1" applyFill="0" applyBorder="1" applyAlignment="1" applyProtection="0">
      <alignment vertical="center"/>
    </xf>
    <xf numFmtId="0" fontId="35" borderId="56" applyNumberFormat="0" applyFont="1" applyFill="0" applyBorder="1" applyAlignment="1" applyProtection="0">
      <alignment vertical="center"/>
    </xf>
    <xf numFmtId="0" fontId="48" fillId="3" borderId="57" applyNumberFormat="0" applyFont="1" applyFill="1" applyBorder="1" applyAlignment="1" applyProtection="0">
      <alignment vertical="center"/>
    </xf>
    <xf numFmtId="0" fontId="35" fillId="3" borderId="57" applyNumberFormat="0" applyFont="1" applyFill="1" applyBorder="1" applyAlignment="1" applyProtection="0">
      <alignment vertical="center"/>
    </xf>
    <xf numFmtId="0" fontId="85" borderId="1" applyNumberFormat="0" applyFont="1" applyFill="0" applyBorder="1" applyAlignment="1" applyProtection="0">
      <alignment vertical="center"/>
    </xf>
    <xf numFmtId="3" fontId="36" borderId="1" applyNumberFormat="1" applyFont="1" applyFill="0" applyBorder="1" applyAlignment="1" applyProtection="0">
      <alignment vertical="center"/>
    </xf>
    <xf numFmtId="70" fontId="36" borderId="1" applyNumberFormat="1" applyFont="1" applyFill="0" applyBorder="1" applyAlignment="1" applyProtection="0">
      <alignment vertical="center"/>
    </xf>
    <xf numFmtId="3" fontId="79" borderId="1" applyNumberFormat="1" applyFont="1" applyFill="0" applyBorder="1" applyAlignment="1" applyProtection="0">
      <alignment vertical="center"/>
    </xf>
    <xf numFmtId="0" fontId="35" borderId="2" applyNumberFormat="0" applyFont="1" applyFill="0" applyBorder="1" applyAlignment="1" applyProtection="0">
      <alignment vertical="center"/>
    </xf>
    <xf numFmtId="0" fontId="48" fillId="3" borderId="8" applyNumberFormat="0" applyFont="1" applyFill="1" applyBorder="1" applyAlignment="1" applyProtection="0">
      <alignment vertical="center"/>
    </xf>
    <xf numFmtId="0" fontId="35" fillId="3" borderId="8" applyNumberFormat="0" applyFont="1" applyFill="1" applyBorder="1" applyAlignment="1" applyProtection="0">
      <alignment vertical="center"/>
    </xf>
    <xf numFmtId="3" fontId="47" borderId="1" applyNumberFormat="1" applyFont="1" applyFill="0" applyBorder="1" applyAlignment="1" applyProtection="0">
      <alignment vertical="center"/>
    </xf>
    <xf numFmtId="59" fontId="47" borderId="1" applyNumberFormat="1" applyFont="1" applyFill="0" applyBorder="1" applyAlignment="1" applyProtection="0">
      <alignment vertical="center"/>
    </xf>
    <xf numFmtId="59" fontId="47" borderId="2" applyNumberFormat="1" applyFont="1" applyFill="0" applyBorder="1" applyAlignment="1" applyProtection="0">
      <alignment vertical="center"/>
    </xf>
    <xf numFmtId="0" fontId="57" fillId="3" borderId="35" applyNumberFormat="0" applyFont="1" applyFill="1" applyBorder="1" applyAlignment="1" applyProtection="0">
      <alignment vertical="center"/>
    </xf>
    <xf numFmtId="0" fontId="15" fillId="3" borderId="35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86" fillId="28" borderId="111" applyNumberFormat="1" applyFont="1" applyFill="1" applyBorder="1" applyAlignment="1" applyProtection="0">
      <alignment horizontal="center" vertical="center"/>
    </xf>
    <xf numFmtId="49" fontId="86" fillId="28" borderId="112" applyNumberFormat="1" applyFont="1" applyFill="1" applyBorder="1" applyAlignment="1" applyProtection="0">
      <alignment horizontal="left" vertical="center"/>
    </xf>
    <xf numFmtId="0" fontId="86" fillId="28" borderId="113" applyNumberFormat="0" applyFont="1" applyFill="1" applyBorder="1" applyAlignment="1" applyProtection="0">
      <alignment horizontal="left" vertical="center"/>
    </xf>
    <xf numFmtId="49" fontId="86" fillId="28" borderId="114" applyNumberFormat="1" applyFont="1" applyFill="1" applyBorder="1" applyAlignment="1" applyProtection="0">
      <alignment horizontal="left" vertical="center"/>
    </xf>
    <xf numFmtId="0" fontId="0" borderId="115" applyNumberFormat="0" applyFont="1" applyFill="0" applyBorder="1" applyAlignment="1" applyProtection="0">
      <alignment vertical="center"/>
    </xf>
    <xf numFmtId="0" fontId="0" borderId="116" applyNumberFormat="0" applyFont="1" applyFill="0" applyBorder="1" applyAlignment="1" applyProtection="0">
      <alignment vertical="center"/>
    </xf>
    <xf numFmtId="0" fontId="0" borderId="117" applyNumberFormat="0" applyFont="1" applyFill="0" applyBorder="1" applyAlignment="1" applyProtection="0">
      <alignment vertical="center"/>
    </xf>
    <xf numFmtId="0" fontId="0" borderId="118" applyNumberFormat="0" applyFont="1" applyFill="0" applyBorder="1" applyAlignment="1" applyProtection="0">
      <alignment vertical="center"/>
    </xf>
    <xf numFmtId="49" fontId="86" fillId="28" borderId="119" applyNumberFormat="1" applyFont="1" applyFill="1" applyBorder="1" applyAlignment="1" applyProtection="0">
      <alignment horizontal="left" vertical="center" wrapText="1"/>
    </xf>
    <xf numFmtId="68" fontId="86" fillId="29" borderId="119" applyNumberFormat="1" applyFont="1" applyFill="1" applyBorder="1" applyAlignment="1" applyProtection="0">
      <alignment horizontal="center" vertical="center" wrapText="1"/>
    </xf>
    <xf numFmtId="49" fontId="86" fillId="29" borderId="119" applyNumberFormat="1" applyFont="1" applyFill="1" applyBorder="1" applyAlignment="1" applyProtection="0">
      <alignment horizontal="left" vertical="center" wrapText="1"/>
    </xf>
    <xf numFmtId="68" fontId="86" fillId="28" borderId="119" applyNumberFormat="1" applyFont="1" applyFill="1" applyBorder="1" applyAlignment="1" applyProtection="0">
      <alignment horizontal="left" vertical="center" wrapText="1"/>
    </xf>
    <xf numFmtId="68" fontId="86" fillId="29" borderId="119" applyNumberFormat="1" applyFont="1" applyFill="1" applyBorder="1" applyAlignment="1" applyProtection="0">
      <alignment horizontal="left" vertical="center" wrapText="1"/>
    </xf>
    <xf numFmtId="49" fontId="86" fillId="28" borderId="120" applyNumberFormat="1" applyFont="1" applyFill="1" applyBorder="1" applyAlignment="1" applyProtection="0">
      <alignment horizontal="left" vertical="center" wrapText="1"/>
    </xf>
    <xf numFmtId="0" fontId="70" borderId="14" applyNumberFormat="1" applyFont="1" applyFill="0" applyBorder="1" applyAlignment="1" applyProtection="0">
      <alignment horizontal="center" vertical="center"/>
    </xf>
    <xf numFmtId="49" fontId="87" borderId="14" applyNumberFormat="1" applyFont="1" applyFill="0" applyBorder="1" applyAlignment="1" applyProtection="0">
      <alignment vertical="center"/>
    </xf>
    <xf numFmtId="49" fontId="87" fillId="30" borderId="14" applyNumberFormat="1" applyFont="1" applyFill="1" applyBorder="1" applyAlignment="1" applyProtection="0">
      <alignment vertical="center"/>
    </xf>
    <xf numFmtId="49" fontId="86" fillId="30" borderId="14" applyNumberFormat="1" applyFont="1" applyFill="1" applyBorder="1" applyAlignment="1" applyProtection="0">
      <alignment vertical="center"/>
    </xf>
    <xf numFmtId="49" fontId="87" fillId="17" borderId="14" applyNumberFormat="1" applyFont="1" applyFill="1" applyBorder="1" applyAlignment="1" applyProtection="0">
      <alignment vertical="center"/>
    </xf>
    <xf numFmtId="49" fontId="86" borderId="14" applyNumberFormat="1" applyFont="1" applyFill="0" applyBorder="1" applyAlignment="1" applyProtection="0">
      <alignment vertical="center"/>
    </xf>
    <xf numFmtId="0" fontId="36" borderId="56" applyNumberFormat="0" applyFont="1" applyFill="0" applyBorder="1" applyAlignment="1" applyProtection="0">
      <alignment vertical="center"/>
    </xf>
    <xf numFmtId="0" fontId="36" borderId="57" applyNumberFormat="0" applyFont="1" applyFill="0" applyBorder="1" applyAlignment="1" applyProtection="0">
      <alignment vertical="center"/>
    </xf>
    <xf numFmtId="0" fontId="36" borderId="61" applyNumberFormat="0" applyFont="1" applyFill="0" applyBorder="1" applyAlignment="1" applyProtection="0">
      <alignment vertical="center"/>
    </xf>
    <xf numFmtId="0" fontId="88" borderId="57" applyNumberFormat="0" applyFont="1" applyFill="0" applyBorder="1" applyAlignment="1" applyProtection="0">
      <alignment vertical="center"/>
    </xf>
    <xf numFmtId="0" fontId="36" borderId="15" applyNumberFormat="0" applyFont="1" applyFill="0" applyBorder="1" applyAlignment="1" applyProtection="0">
      <alignment vertical="center"/>
    </xf>
    <xf numFmtId="0" fontId="36" borderId="121" applyNumberFormat="0" applyFont="1" applyFill="0" applyBorder="1" applyAlignment="1" applyProtection="0">
      <alignment vertical="center"/>
    </xf>
    <xf numFmtId="0" fontId="36" borderId="2" applyNumberFormat="0" applyFont="1" applyFill="0" applyBorder="1" applyAlignment="1" applyProtection="0">
      <alignment vertical="center"/>
    </xf>
    <xf numFmtId="0" fontId="36" borderId="5" applyNumberFormat="0" applyFont="1" applyFill="0" applyBorder="1" applyAlignment="1" applyProtection="0">
      <alignment vertical="center"/>
    </xf>
    <xf numFmtId="0" fontId="36" borderId="33" applyNumberFormat="0" applyFont="1" applyFill="0" applyBorder="1" applyAlignment="1" applyProtection="0">
      <alignment vertical="center"/>
    </xf>
    <xf numFmtId="0" fontId="88" borderId="8" applyNumberFormat="0" applyFont="1" applyFill="0" applyBorder="1" applyAlignment="1" applyProtection="0">
      <alignment vertical="center"/>
    </xf>
    <xf numFmtId="0" fontId="36" borderId="122" applyNumberFormat="0" applyFont="1" applyFill="0" applyBorder="1" applyAlignment="1" applyProtection="0">
      <alignment vertical="center"/>
    </xf>
    <xf numFmtId="49" fontId="16" fillId="3" borderId="14" applyNumberFormat="1" applyFont="1" applyFill="1" applyBorder="1" applyAlignment="1" applyProtection="0">
      <alignment horizontal="center" vertical="bottom"/>
    </xf>
    <xf numFmtId="49" fontId="74" fillId="3" borderId="14" applyNumberFormat="1" applyFont="1" applyFill="1" applyBorder="1" applyAlignment="1" applyProtection="0">
      <alignment horizontal="center" vertical="center"/>
    </xf>
    <xf numFmtId="0" fontId="36" borderId="65" applyNumberFormat="0" applyFont="1" applyFill="0" applyBorder="1" applyAlignment="1" applyProtection="0">
      <alignment vertical="center"/>
    </xf>
    <xf numFmtId="0" fontId="36" borderId="9" applyNumberFormat="0" applyFont="1" applyFill="0" applyBorder="1" applyAlignment="1" applyProtection="0">
      <alignment vertical="center"/>
    </xf>
    <xf numFmtId="0" fontId="36" borderId="51" applyNumberFormat="0" applyFont="1" applyFill="0" applyBorder="1" applyAlignment="1" applyProtection="0">
      <alignment vertical="center"/>
    </xf>
    <xf numFmtId="0" fontId="36" borderId="52" applyNumberFormat="0" applyFont="1" applyFill="0" applyBorder="1" applyAlignment="1" applyProtection="0">
      <alignment vertical="center"/>
    </xf>
    <xf numFmtId="0" fontId="36" borderId="7" applyNumberFormat="0" applyFont="1" applyFill="0" applyBorder="1" applyAlignment="1" applyProtection="0">
      <alignment vertical="center"/>
    </xf>
    <xf numFmtId="0" fontId="36" borderId="14" applyNumberFormat="1" applyFont="1" applyFill="0" applyBorder="1" applyAlignment="1" applyProtection="0">
      <alignment horizontal="center" vertical="center"/>
    </xf>
    <xf numFmtId="49" fontId="89" borderId="16" applyNumberFormat="1" applyFont="1" applyFill="0" applyBorder="1" applyAlignment="1" applyProtection="0">
      <alignment vertical="center"/>
    </xf>
    <xf numFmtId="49" fontId="74" fillId="31" borderId="14" applyNumberFormat="1" applyFont="1" applyFill="1" applyBorder="1" applyAlignment="1" applyProtection="0">
      <alignment vertical="center" wrapText="1"/>
    </xf>
    <xf numFmtId="0" fontId="74" borderId="8" applyNumberFormat="0" applyFont="1" applyFill="0" applyBorder="1" applyAlignment="1" applyProtection="0">
      <alignment vertical="center"/>
    </xf>
    <xf numFmtId="49" fontId="74" borderId="18" applyNumberFormat="1" applyFont="1" applyFill="0" applyBorder="1" applyAlignment="1" applyProtection="0">
      <alignment vertical="center"/>
    </xf>
    <xf numFmtId="49" fontId="74" fillId="2" borderId="65" applyNumberFormat="1" applyFont="1" applyFill="1" applyBorder="1" applyAlignment="1" applyProtection="0">
      <alignment vertical="center" wrapText="1"/>
    </xf>
    <xf numFmtId="49" fontId="36" borderId="123" applyNumberFormat="1" applyFont="1" applyFill="0" applyBorder="1" applyAlignment="1" applyProtection="0">
      <alignment vertical="center"/>
    </xf>
    <xf numFmtId="49" fontId="36" fillId="2" borderId="14" applyNumberFormat="1" applyFont="1" applyFill="1" applyBorder="1" applyAlignment="1" applyProtection="0">
      <alignment vertical="center" wrapText="1"/>
    </xf>
    <xf numFmtId="0" fontId="36" fillId="2" borderId="65" applyNumberFormat="0" applyFont="1" applyFill="1" applyBorder="1" applyAlignment="1" applyProtection="0">
      <alignment vertical="center" wrapText="1"/>
    </xf>
    <xf numFmtId="0" fontId="36" borderId="123" applyNumberFormat="0" applyFont="1" applyFill="0" applyBorder="1" applyAlignment="1" applyProtection="0">
      <alignment vertical="center"/>
    </xf>
    <xf numFmtId="0" fontId="36" fillId="2" borderId="14" applyNumberFormat="0" applyFont="1" applyFill="1" applyBorder="1" applyAlignment="1" applyProtection="0">
      <alignment vertical="center" wrapText="1"/>
    </xf>
    <xf numFmtId="0" fontId="74" borderId="56" applyNumberFormat="0" applyFont="1" applyFill="0" applyBorder="1" applyAlignment="1" applyProtection="0">
      <alignment vertical="center"/>
    </xf>
    <xf numFmtId="0" fontId="74" borderId="15" applyNumberFormat="0" applyFont="1" applyFill="0" applyBorder="1" applyAlignment="1" applyProtection="0">
      <alignment vertical="center"/>
    </xf>
    <xf numFmtId="0" fontId="36" borderId="13" applyNumberFormat="0" applyFont="1" applyFill="0" applyBorder="1" applyAlignment="1" applyProtection="0">
      <alignment vertical="center"/>
    </xf>
    <xf numFmtId="0" fontId="74" borderId="51" applyNumberFormat="0" applyFont="1" applyFill="0" applyBorder="1" applyAlignment="1" applyProtection="0">
      <alignment vertical="center"/>
    </xf>
    <xf numFmtId="0" fontId="74" borderId="28" applyNumberFormat="0" applyFont="1" applyFill="0" applyBorder="1" applyAlignment="1" applyProtection="0">
      <alignment vertical="center"/>
    </xf>
    <xf numFmtId="0" fontId="36" fillId="2" borderId="28" applyNumberFormat="0" applyFont="1" applyFill="1" applyBorder="1" applyAlignment="1" applyProtection="0">
      <alignment vertical="center" wrapText="1"/>
    </xf>
    <xf numFmtId="0" fontId="74" borderId="121" applyNumberFormat="0" applyFont="1" applyFill="0" applyBorder="1" applyAlignment="1" applyProtection="0">
      <alignment vertical="center"/>
    </xf>
    <xf numFmtId="0" fontId="36" borderId="80" applyNumberFormat="0" applyFont="1" applyFill="0" applyBorder="1" applyAlignment="1" applyProtection="0">
      <alignment vertical="center"/>
    </xf>
    <xf numFmtId="0" fontId="36" fillId="2" borderId="80" applyNumberFormat="0" applyFont="1" applyFill="1" applyBorder="1" applyAlignment="1" applyProtection="0">
      <alignment vertical="center" wrapText="1"/>
    </xf>
    <xf numFmtId="0" fontId="74" borderId="9" applyNumberFormat="0" applyFont="1" applyFill="0" applyBorder="1" applyAlignment="1" applyProtection="0">
      <alignment vertical="center"/>
    </xf>
    <xf numFmtId="0" fontId="36" fillId="2" borderId="9" applyNumberFormat="0" applyFont="1" applyFill="1" applyBorder="1" applyAlignment="1" applyProtection="0">
      <alignment vertical="center" wrapText="1"/>
    </xf>
    <xf numFmtId="49" fontId="90" borderId="18" applyNumberFormat="1" applyFont="1" applyFill="0" applyBorder="1" applyAlignment="1" applyProtection="0">
      <alignment vertical="center"/>
    </xf>
    <xf numFmtId="0" fontId="36" borderId="6" applyNumberFormat="0" applyFont="1" applyFill="0" applyBorder="1" applyAlignment="1" applyProtection="0">
      <alignment vertical="center"/>
    </xf>
    <xf numFmtId="49" fontId="74" fillId="2" borderId="18" applyNumberFormat="1" applyFont="1" applyFill="1" applyBorder="1" applyAlignment="1" applyProtection="0">
      <alignment vertical="center" wrapText="1"/>
    </xf>
    <xf numFmtId="0" fontId="36" fillId="2" borderId="23" applyNumberFormat="0" applyFont="1" applyFill="1" applyBorder="1" applyAlignment="1" applyProtection="0">
      <alignment vertical="center" wrapText="1"/>
    </xf>
    <xf numFmtId="0" fontId="89" borderId="56" applyNumberFormat="0" applyFont="1" applyFill="0" applyBorder="1" applyAlignment="1" applyProtection="0">
      <alignment vertical="center"/>
    </xf>
    <xf numFmtId="0" fontId="36" fillId="2" borderId="57" applyNumberFormat="0" applyFont="1" applyFill="1" applyBorder="1" applyAlignment="1" applyProtection="0">
      <alignment vertical="center" wrapText="1"/>
    </xf>
    <xf numFmtId="0" fontId="89" borderId="51" applyNumberFormat="0" applyFont="1" applyFill="0" applyBorder="1" applyAlignment="1" applyProtection="0">
      <alignment vertical="center"/>
    </xf>
    <xf numFmtId="0" fontId="36" fillId="2" borderId="52" applyNumberFormat="0" applyFont="1" applyFill="1" applyBorder="1" applyAlignment="1" applyProtection="0">
      <alignment vertical="center" wrapText="1"/>
    </xf>
    <xf numFmtId="49" fontId="89" borderId="18" applyNumberFormat="1" applyFont="1" applyFill="0" applyBorder="1" applyAlignment="1" applyProtection="0">
      <alignment vertical="center"/>
    </xf>
    <xf numFmtId="49" fontId="74" fillId="2" borderId="14" applyNumberFormat="1" applyFont="1" applyFill="1" applyBorder="1" applyAlignment="1" applyProtection="0">
      <alignment vertical="center" wrapText="1"/>
    </xf>
    <xf numFmtId="0" fontId="74" borderId="1" applyNumberFormat="0" applyFont="1" applyFill="0" applyBorder="1" applyAlignment="1" applyProtection="0">
      <alignment vertical="center"/>
    </xf>
    <xf numFmtId="0" fontId="36" borderId="3" applyNumberFormat="0" applyFont="1" applyFill="0" applyBorder="1" applyAlignment="1" applyProtection="0">
      <alignment vertical="center"/>
    </xf>
    <xf numFmtId="0" fontId="36" borderId="23" applyNumberFormat="0" applyFont="1" applyFill="0" applyBorder="1" applyAlignment="1" applyProtection="0">
      <alignment vertical="center"/>
    </xf>
    <xf numFmtId="49" fontId="36" borderId="65" applyNumberFormat="1" applyFont="1" applyFill="0" applyBorder="1" applyAlignment="1" applyProtection="0">
      <alignment vertical="center"/>
    </xf>
    <xf numFmtId="0" fontId="36" borderId="68" applyNumberFormat="0" applyFont="1" applyFill="0" applyBorder="1" applyAlignment="1" applyProtection="0">
      <alignment vertical="center"/>
    </xf>
    <xf numFmtId="49" fontId="78" borderId="14" applyNumberFormat="1" applyFont="1" applyFill="0" applyBorder="1" applyAlignment="1" applyProtection="0">
      <alignment vertical="center"/>
    </xf>
    <xf numFmtId="0" fontId="74" borderId="65" applyNumberFormat="0" applyFont="1" applyFill="0" applyBorder="1" applyAlignment="1" applyProtection="0">
      <alignment vertical="center"/>
    </xf>
    <xf numFmtId="0" fontId="36" borderId="1" applyNumberFormat="0" applyFont="1" applyFill="0" applyBorder="1" applyAlignment="1" applyProtection="0">
      <alignment horizontal="center" vertical="center"/>
    </xf>
    <xf numFmtId="49" fontId="74" borderId="14" applyNumberFormat="1" applyFont="1" applyFill="0" applyBorder="1" applyAlignment="1" applyProtection="0">
      <alignment vertical="center"/>
    </xf>
    <xf numFmtId="49" fontId="36" fillId="32" borderId="14" applyNumberFormat="1" applyFont="1" applyFill="1" applyBorder="1" applyAlignment="1" applyProtection="0">
      <alignment vertical="center" wrapText="1"/>
    </xf>
    <xf numFmtId="49" fontId="74" borderId="65" applyNumberFormat="1" applyFont="1" applyFill="0" applyBorder="1" applyAlignment="1" applyProtection="0">
      <alignment vertical="center"/>
    </xf>
    <xf numFmtId="0" fontId="36" fillId="2" borderId="121" applyNumberFormat="0" applyFont="1" applyFill="1" applyBorder="1" applyAlignment="1" applyProtection="0">
      <alignment vertical="center" wrapText="1"/>
    </xf>
    <xf numFmtId="0" fontId="0" borderId="8" applyNumberFormat="0" applyFont="1" applyFill="0" applyBorder="1" applyAlignment="1" applyProtection="0">
      <alignment vertical="center"/>
    </xf>
    <xf numFmtId="0" fontId="91" borderId="8" applyNumberFormat="0" applyFont="1" applyFill="0" applyBorder="1" applyAlignment="1" applyProtection="0">
      <alignment vertical="center"/>
    </xf>
    <xf numFmtId="0" fontId="0" borderId="2" applyNumberFormat="0" applyFont="1" applyFill="0" applyBorder="1" applyAlignment="1" applyProtection="0">
      <alignment vertical="center"/>
    </xf>
    <xf numFmtId="0" fontId="29" fillId="2" borderId="1" applyNumberFormat="0" applyFont="1" applyFill="1" applyBorder="1" applyAlignment="1" applyProtection="0">
      <alignment vertical="bottom"/>
    </xf>
    <xf numFmtId="0" fontId="0" borderId="59" applyNumberFormat="0" applyFont="1" applyFill="0" applyBorder="1" applyAlignment="1" applyProtection="0">
      <alignment vertical="center"/>
    </xf>
    <xf numFmtId="0" fontId="29" fillId="2" borderId="5" applyNumberFormat="0" applyFont="1" applyFill="1" applyBorder="1" applyAlignment="1" applyProtection="0">
      <alignment vertical="center" wrapText="1"/>
    </xf>
    <xf numFmtId="0" fontId="36" borderId="2" applyNumberFormat="0" applyFont="1" applyFill="0" applyBorder="1" applyAlignment="1" applyProtection="0">
      <alignment horizontal="center" vertical="center"/>
    </xf>
    <xf numFmtId="0" fontId="29" fillId="2" borderId="8" applyNumberFormat="0" applyFont="1" applyFill="1" applyBorder="1" applyAlignment="1" applyProtection="0">
      <alignment vertical="center" wrapText="1"/>
    </xf>
    <xf numFmtId="0" fontId="29" fillId="2" borderId="8" applyNumberFormat="0" applyFont="1" applyFill="1" applyBorder="1" applyAlignment="1" applyProtection="0">
      <alignment vertical="bottom"/>
    </xf>
    <xf numFmtId="0" fontId="0" borderId="32" applyNumberFormat="0" applyFont="1" applyFill="0" applyBorder="1" applyAlignment="1" applyProtection="0">
      <alignment vertical="center"/>
    </xf>
    <xf numFmtId="0" fontId="0" borderId="6" applyNumberFormat="0" applyFont="1" applyFill="0" applyBorder="1" applyAlignment="1" applyProtection="0">
      <alignment vertical="center"/>
    </xf>
    <xf numFmtId="0" fontId="0" borderId="34" applyNumberFormat="0" applyFont="1" applyFill="0" applyBorder="1" applyAlignment="1" applyProtection="0">
      <alignment vertical="center"/>
    </xf>
    <xf numFmtId="0" fontId="78" fillId="2" borderId="8" applyNumberFormat="0" applyFont="1" applyFill="1" applyBorder="1" applyAlignment="1" applyProtection="0">
      <alignment vertical="center" wrapText="1"/>
    </xf>
    <xf numFmtId="0" fontId="78" fillId="2" borderId="6" applyNumberFormat="0" applyFont="1" applyFill="1" applyBorder="1" applyAlignment="1" applyProtection="0">
      <alignment vertical="center" wrapText="1"/>
    </xf>
    <xf numFmtId="0" fontId="78" fillId="2" borderId="1" applyNumberFormat="0" applyFont="1" applyFill="1" applyBorder="1" applyAlignment="1" applyProtection="0">
      <alignment vertical="center" wrapText="1"/>
    </xf>
    <xf numFmtId="0" fontId="36" fillId="2" borderId="56" applyNumberFormat="0" applyFont="1" applyFill="1" applyBorder="1" applyAlignment="1" applyProtection="0">
      <alignment vertical="center" wrapText="1"/>
    </xf>
    <xf numFmtId="0" fontId="78" fillId="2" borderId="5" applyNumberFormat="0" applyFont="1" applyFill="1" applyBorder="1" applyAlignment="1" applyProtection="0">
      <alignment vertical="center" wrapText="1"/>
    </xf>
    <xf numFmtId="0" fontId="36" fillId="2" borderId="51" applyNumberFormat="0" applyFont="1" applyFill="1" applyBorder="1" applyAlignment="1" applyProtection="0">
      <alignment vertical="center" wrapText="1"/>
    </xf>
    <xf numFmtId="0" fontId="78" borderId="8" applyNumberFormat="0" applyFont="1" applyFill="0" applyBorder="1" applyAlignment="1" applyProtection="0">
      <alignment vertical="center"/>
    </xf>
    <xf numFmtId="0" fontId="0" borderId="23" applyNumberFormat="0" applyFont="1" applyFill="0" applyBorder="1" applyAlignment="1" applyProtection="0">
      <alignment vertical="center"/>
    </xf>
    <xf numFmtId="0" fontId="0" borderId="25" applyNumberFormat="0" applyFont="1" applyFill="0" applyBorder="1" applyAlignment="1" applyProtection="0">
      <alignment vertical="center"/>
    </xf>
    <xf numFmtId="0" fontId="0" borderId="35" applyNumberFormat="0" applyFont="1" applyFill="0" applyBorder="1" applyAlignment="1" applyProtection="0">
      <alignment vertical="center"/>
    </xf>
    <xf numFmtId="0" fontId="91" borderId="35" applyNumberFormat="0" applyFont="1" applyFill="0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74" borderId="1" applyNumberFormat="1" applyFont="1" applyFill="0" applyBorder="1" applyAlignment="1" applyProtection="0">
      <alignment horizontal="left" vertical="center"/>
    </xf>
    <xf numFmtId="49" fontId="92" borderId="1" applyNumberFormat="1" applyFont="1" applyFill="0" applyBorder="1" applyAlignment="1" applyProtection="0">
      <alignment horizontal="center" vertical="center"/>
    </xf>
    <xf numFmtId="62" fontId="93" borderId="9" applyNumberFormat="1" applyFont="1" applyFill="0" applyBorder="1" applyAlignment="1" applyProtection="0">
      <alignment horizontal="center" vertical="center"/>
    </xf>
    <xf numFmtId="62" fontId="93" borderId="9" applyNumberFormat="1" applyFont="1" applyFill="0" applyBorder="1" applyAlignment="1" applyProtection="0">
      <alignment horizontal="left" vertical="center"/>
    </xf>
    <xf numFmtId="62" fontId="93" borderId="9" applyNumberFormat="1" applyFont="1" applyFill="0" applyBorder="1" applyAlignment="1" applyProtection="0">
      <alignment vertical="center"/>
    </xf>
    <xf numFmtId="62" fontId="93" borderId="9" applyNumberFormat="1" applyFont="1" applyFill="0" applyBorder="1" applyAlignment="1" applyProtection="0">
      <alignment horizontal="right" vertical="center"/>
    </xf>
    <xf numFmtId="62" fontId="0" borderId="9" applyNumberFormat="1" applyFont="1" applyFill="0" applyBorder="1" applyAlignment="1" applyProtection="0">
      <alignment vertical="center"/>
    </xf>
    <xf numFmtId="49" fontId="94" borderId="9" applyNumberFormat="1" applyFont="1" applyFill="0" applyBorder="1" applyAlignment="1" applyProtection="0">
      <alignment horizontal="center" vertical="center"/>
    </xf>
    <xf numFmtId="49" fontId="3" borderId="18" applyNumberFormat="1" applyFont="1" applyFill="0" applyBorder="1" applyAlignment="1" applyProtection="0">
      <alignment horizontal="center" vertical="center"/>
    </xf>
    <xf numFmtId="49" fontId="3" borderId="14" applyNumberFormat="1" applyFont="1" applyFill="0" applyBorder="1" applyAlignment="1" applyProtection="0">
      <alignment horizontal="center" vertical="center"/>
    </xf>
    <xf numFmtId="49" fontId="3" borderId="21" applyNumberFormat="1" applyFont="1" applyFill="0" applyBorder="1" applyAlignment="1" applyProtection="0">
      <alignment horizontal="center" vertical="center"/>
    </xf>
    <xf numFmtId="49" fontId="95" borderId="18" applyNumberFormat="1" applyFont="1" applyFill="0" applyBorder="1" applyAlignment="1" applyProtection="0">
      <alignment horizontal="center" vertical="center"/>
    </xf>
    <xf numFmtId="49" fontId="95" borderId="14" applyNumberFormat="1" applyFont="1" applyFill="0" applyBorder="1" applyAlignment="1" applyProtection="0">
      <alignment horizontal="center" vertical="center"/>
    </xf>
    <xf numFmtId="49" fontId="95" fillId="2" borderId="18" applyNumberFormat="1" applyFont="1" applyFill="1" applyBorder="1" applyAlignment="1" applyProtection="0">
      <alignment horizontal="center" vertical="center" wrapText="1"/>
    </xf>
    <xf numFmtId="49" fontId="95" borderId="21" applyNumberFormat="1" applyFont="1" applyFill="0" applyBorder="1" applyAlignment="1" applyProtection="0">
      <alignment horizontal="center" vertical="center"/>
    </xf>
    <xf numFmtId="49" fontId="95" borderId="55" applyNumberFormat="1" applyFont="1" applyFill="0" applyBorder="1" applyAlignment="1" applyProtection="0">
      <alignment horizontal="center" vertical="center"/>
    </xf>
    <xf numFmtId="0" fontId="0" borderId="28" applyNumberFormat="0" applyFont="1" applyFill="0" applyBorder="1" applyAlignment="1" applyProtection="0">
      <alignment vertical="center"/>
    </xf>
    <xf numFmtId="62" fontId="3" borderId="14" applyNumberFormat="1" applyFont="1" applyFill="0" applyBorder="1" applyAlignment="1" applyProtection="0">
      <alignment horizontal="center" vertical="center"/>
    </xf>
    <xf numFmtId="62" fontId="0" borderId="14" applyNumberFormat="1" applyFont="1" applyFill="0" applyBorder="1" applyAlignment="1" applyProtection="0">
      <alignment vertical="center"/>
    </xf>
    <xf numFmtId="71" fontId="3" borderId="14" applyNumberFormat="1" applyFont="1" applyFill="0" applyBorder="1" applyAlignment="1" applyProtection="0">
      <alignment horizontal="center" vertical="center"/>
    </xf>
    <xf numFmtId="9" fontId="3" borderId="14" applyNumberFormat="1" applyFont="1" applyFill="0" applyBorder="1" applyAlignment="1" applyProtection="0">
      <alignment horizontal="center" vertical="center"/>
    </xf>
    <xf numFmtId="71" fontId="95" borderId="14" applyNumberFormat="1" applyFont="1" applyFill="0" applyBorder="1" applyAlignment="1" applyProtection="0">
      <alignment horizontal="center" vertical="center"/>
    </xf>
    <xf numFmtId="9" fontId="95" borderId="14" applyNumberFormat="1" applyFont="1" applyFill="0" applyBorder="1" applyAlignment="1" applyProtection="0">
      <alignment horizontal="center" vertical="center"/>
    </xf>
    <xf numFmtId="0" fontId="0" borderId="50" applyNumberFormat="0" applyFont="1" applyFill="0" applyBorder="1" applyAlignment="1" applyProtection="0">
      <alignment vertical="center"/>
    </xf>
    <xf numFmtId="62" fontId="4" borderId="14" applyNumberFormat="1" applyFont="1" applyFill="0" applyBorder="1" applyAlignment="1" applyProtection="0">
      <alignment horizontal="center" vertical="center"/>
    </xf>
    <xf numFmtId="49" fontId="4" borderId="14" applyNumberFormat="1" applyFont="1" applyFill="0" applyBorder="1" applyAlignment="1" applyProtection="0">
      <alignment horizontal="left" vertical="center"/>
    </xf>
    <xf numFmtId="62" fontId="4" borderId="14" applyNumberFormat="1" applyFont="1" applyFill="0" applyBorder="1" applyAlignment="1" applyProtection="0">
      <alignment horizontal="left" vertical="center"/>
    </xf>
    <xf numFmtId="49" fontId="4" fillId="15" borderId="14" applyNumberFormat="1" applyFont="1" applyFill="1" applyBorder="1" applyAlignment="1" applyProtection="0">
      <alignment vertical="bottom"/>
    </xf>
    <xf numFmtId="62" fontId="4" borderId="14" applyNumberFormat="1" applyFont="1" applyFill="0" applyBorder="1" applyAlignment="1" applyProtection="0">
      <alignment horizontal="right" vertical="center"/>
    </xf>
    <xf numFmtId="62" fontId="4" borderId="14" applyNumberFormat="1" applyFont="1" applyFill="0" applyBorder="1" applyAlignment="1" applyProtection="0">
      <alignment vertical="center"/>
    </xf>
    <xf numFmtId="59" fontId="93" borderId="14" applyNumberFormat="1" applyFont="1" applyFill="0" applyBorder="1" applyAlignment="1" applyProtection="0">
      <alignment vertical="center"/>
    </xf>
    <xf numFmtId="62" fontId="93" borderId="14" applyNumberFormat="1" applyFont="1" applyFill="0" applyBorder="1" applyAlignment="1" applyProtection="0">
      <alignment horizontal="center" vertical="center"/>
    </xf>
    <xf numFmtId="49" fontId="93" borderId="14" applyNumberFormat="1" applyFont="1" applyFill="0" applyBorder="1" applyAlignment="1" applyProtection="0">
      <alignment vertical="center"/>
    </xf>
    <xf numFmtId="49" fontId="93" fillId="2" borderId="14" applyNumberFormat="1" applyFont="1" applyFill="1" applyBorder="1" applyAlignment="1" applyProtection="0">
      <alignment horizontal="center" vertical="bottom"/>
    </xf>
    <xf numFmtId="49" fontId="93" fillId="2" borderId="14" applyNumberFormat="1" applyFont="1" applyFill="1" applyBorder="1" applyAlignment="1" applyProtection="0">
      <alignment vertical="bottom"/>
    </xf>
    <xf numFmtId="62" fontId="93" borderId="14" applyNumberFormat="1" applyFont="1" applyFill="0" applyBorder="1" applyAlignment="1" applyProtection="0">
      <alignment horizontal="right" vertical="center"/>
    </xf>
    <xf numFmtId="59" fontId="93" borderId="14" applyNumberFormat="1" applyFont="1" applyFill="0" applyBorder="1" applyAlignment="1" applyProtection="0">
      <alignment horizontal="right" vertical="center"/>
    </xf>
    <xf numFmtId="0" fontId="4" fillId="2" borderId="18" applyNumberFormat="0" applyFont="1" applyFill="1" applyBorder="1" applyAlignment="1" applyProtection="0">
      <alignment horizontal="center" vertical="center" wrapText="1"/>
    </xf>
    <xf numFmtId="0" fontId="0" borderId="77" applyNumberFormat="0" applyFont="1" applyFill="0" applyBorder="1" applyAlignment="1" applyProtection="0">
      <alignment vertical="center"/>
    </xf>
    <xf numFmtId="0" fontId="4" fillId="2" borderId="22" applyNumberFormat="0" applyFont="1" applyFill="1" applyBorder="1" applyAlignment="1" applyProtection="0">
      <alignment horizontal="center" vertical="center" wrapText="1"/>
    </xf>
    <xf numFmtId="59" fontId="93" fillId="15" borderId="14" applyNumberFormat="1" applyFont="1" applyFill="1" applyBorder="1" applyAlignment="1" applyProtection="0">
      <alignment vertical="center"/>
    </xf>
    <xf numFmtId="0" fontId="0" fillId="15" borderId="72" applyNumberFormat="0" applyFont="1" applyFill="1" applyBorder="1" applyAlignment="1" applyProtection="0">
      <alignment vertical="center"/>
    </xf>
    <xf numFmtId="0" fontId="0" borderId="18" applyNumberFormat="0" applyFont="1" applyFill="0" applyBorder="1" applyAlignment="1" applyProtection="0">
      <alignment vertical="center"/>
    </xf>
    <xf numFmtId="49" fontId="93" borderId="14" applyNumberFormat="1" applyFont="1" applyFill="0" applyBorder="1" applyAlignment="1" applyProtection="0">
      <alignment horizontal="center" vertical="center"/>
    </xf>
    <xf numFmtId="62" fontId="4" borderId="22" applyNumberFormat="1" applyFont="1" applyFill="0" applyBorder="1" applyAlignment="1" applyProtection="0">
      <alignment horizontal="left" vertical="center"/>
    </xf>
    <xf numFmtId="49" fontId="4" fillId="15" borderId="14" applyNumberFormat="1" applyFont="1" applyFill="1" applyBorder="1" applyAlignment="1" applyProtection="0">
      <alignment horizontal="left" vertical="center" wrapText="1"/>
    </xf>
    <xf numFmtId="62" fontId="95" borderId="14" applyNumberFormat="1" applyFont="1" applyFill="0" applyBorder="1" applyAlignment="1" applyProtection="0">
      <alignment horizontal="right" vertical="center"/>
    </xf>
    <xf numFmtId="49" fontId="4" fillId="15" borderId="14" applyNumberFormat="1" applyFont="1" applyFill="1" applyBorder="1" applyAlignment="1" applyProtection="0">
      <alignment vertical="center" wrapText="1"/>
    </xf>
    <xf numFmtId="62" fontId="4" borderId="24" applyNumberFormat="1" applyFont="1" applyFill="0" applyBorder="1" applyAlignment="1" applyProtection="0">
      <alignment horizontal="left" vertical="center"/>
    </xf>
    <xf numFmtId="62" fontId="3" borderId="14" applyNumberFormat="1" applyFont="1" applyFill="0" applyBorder="1" applyAlignment="1" applyProtection="0">
      <alignment horizontal="right" vertical="center"/>
    </xf>
    <xf numFmtId="62" fontId="3" fillId="3" borderId="14" applyNumberFormat="1" applyFont="1" applyFill="1" applyBorder="1" applyAlignment="1" applyProtection="0">
      <alignment horizontal="right" vertical="center"/>
    </xf>
    <xf numFmtId="3" fontId="0" borderId="25" applyNumberFormat="1" applyFont="1" applyFill="0" applyBorder="1" applyAlignment="1" applyProtection="0">
      <alignment vertical="center"/>
    </xf>
    <xf numFmtId="62" fontId="93" borderId="124" applyNumberFormat="1" applyFont="1" applyFill="0" applyBorder="1" applyAlignment="1" applyProtection="0">
      <alignment horizontal="center" vertical="center"/>
    </xf>
    <xf numFmtId="62" fontId="93" borderId="28" applyNumberFormat="1" applyFont="1" applyFill="0" applyBorder="1" applyAlignment="1" applyProtection="0">
      <alignment horizontal="left" vertical="center"/>
    </xf>
    <xf numFmtId="62" fontId="95" fillId="2" borderId="28" applyNumberFormat="1" applyFont="1" applyFill="1" applyBorder="1" applyAlignment="1" applyProtection="0">
      <alignment horizontal="center" vertical="center" wrapText="1"/>
    </xf>
    <xf numFmtId="62" fontId="95" borderId="28" applyNumberFormat="1" applyFont="1" applyFill="0" applyBorder="1" applyAlignment="1" applyProtection="0">
      <alignment horizontal="right" vertical="center"/>
    </xf>
    <xf numFmtId="62" fontId="95" borderId="28" applyNumberFormat="1" applyFont="1" applyFill="0" applyBorder="1" applyAlignment="1" applyProtection="0">
      <alignment vertical="center"/>
    </xf>
    <xf numFmtId="3" fontId="0" borderId="28" applyNumberFormat="1" applyFont="1" applyFill="0" applyBorder="1" applyAlignment="1" applyProtection="0">
      <alignment vertical="center"/>
    </xf>
    <xf numFmtId="62" fontId="95" fillId="26" borderId="109" applyNumberFormat="1" applyFont="1" applyFill="1" applyBorder="1" applyAlignment="1" applyProtection="0">
      <alignment horizontal="center" vertical="center"/>
    </xf>
    <xf numFmtId="62" fontId="0" borderId="1" applyNumberFormat="1" applyFont="1" applyFill="0" applyBorder="1" applyAlignment="1" applyProtection="0">
      <alignment vertical="center"/>
    </xf>
    <xf numFmtId="3" fontId="0" borderId="1" applyNumberFormat="1" applyFont="1" applyFill="0" applyBorder="1" applyAlignment="1" applyProtection="0">
      <alignment horizontal="center" vertical="center"/>
    </xf>
    <xf numFmtId="62" fontId="93" borderId="6" applyNumberFormat="1" applyFont="1" applyFill="0" applyBorder="1" applyAlignment="1" applyProtection="0">
      <alignment horizontal="center" vertical="center"/>
    </xf>
    <xf numFmtId="62" fontId="93" borderId="1" applyNumberFormat="1" applyFont="1" applyFill="0" applyBorder="1" applyAlignment="1" applyProtection="0">
      <alignment horizontal="left" vertical="center"/>
    </xf>
    <xf numFmtId="62" fontId="93" borderId="1" applyNumberFormat="1" applyFont="1" applyFill="0" applyBorder="1" applyAlignment="1" applyProtection="0">
      <alignment horizontal="right" vertical="center"/>
    </xf>
    <xf numFmtId="62" fontId="93" borderId="5" applyNumberFormat="1" applyFont="1" applyFill="0" applyBorder="1" applyAlignment="1" applyProtection="0">
      <alignment horizontal="center" vertical="center"/>
    </xf>
    <xf numFmtId="49" fontId="32" fillId="26" borderId="109" applyNumberFormat="1" applyFont="1" applyFill="1" applyBorder="1" applyAlignment="1" applyProtection="0">
      <alignment horizontal="center" vertical="center"/>
    </xf>
    <xf numFmtId="62" fontId="36" borderId="1" applyNumberFormat="1" applyFont="1" applyFill="0" applyBorder="1" applyAlignment="1" applyProtection="0">
      <alignment vertical="center"/>
    </xf>
    <xf numFmtId="3" fontId="36" borderId="1" applyNumberFormat="1" applyFont="1" applyFill="0" applyBorder="1" applyAlignment="1" applyProtection="0">
      <alignment horizontal="center" vertical="center"/>
    </xf>
    <xf numFmtId="62" fontId="29" borderId="6" applyNumberFormat="1" applyFont="1" applyFill="0" applyBorder="1" applyAlignment="1" applyProtection="0">
      <alignment horizontal="center" vertical="center"/>
    </xf>
    <xf numFmtId="62" fontId="29" borderId="1" applyNumberFormat="1" applyFont="1" applyFill="0" applyBorder="1" applyAlignment="1" applyProtection="0">
      <alignment horizontal="left" vertical="center"/>
    </xf>
    <xf numFmtId="62" fontId="29" borderId="1" applyNumberFormat="1" applyFont="1" applyFill="0" applyBorder="1" applyAlignment="1" applyProtection="0">
      <alignment horizontal="right" vertical="center"/>
    </xf>
    <xf numFmtId="62" fontId="29" borderId="1" applyNumberFormat="1" applyFont="1" applyFill="0" applyBorder="1" applyAlignment="1" applyProtection="0">
      <alignment horizontal="center" vertical="center"/>
    </xf>
    <xf numFmtId="62" fontId="29" borderId="5" applyNumberFormat="1" applyFont="1" applyFill="0" applyBorder="1" applyAlignment="1" applyProtection="0">
      <alignment horizontal="right" vertical="center"/>
    </xf>
    <xf numFmtId="49" fontId="32" borderId="1" applyNumberFormat="1" applyFont="1" applyFill="0" applyBorder="1" applyAlignment="1" applyProtection="0">
      <alignment horizontal="center" vertical="center"/>
    </xf>
    <xf numFmtId="62" fontId="29" fillId="33" borderId="41" applyNumberFormat="1" applyFont="1" applyFill="1" applyBorder="1" applyAlignment="1" applyProtection="0">
      <alignment horizontal="right" vertical="center"/>
    </xf>
    <xf numFmtId="49" fontId="32" borderId="21" applyNumberFormat="1" applyFont="1" applyFill="0" applyBorder="1" applyAlignment="1" applyProtection="0">
      <alignment horizontal="center" vertical="center"/>
    </xf>
    <xf numFmtId="49" fontId="32" borderId="18" applyNumberFormat="1" applyFont="1" applyFill="0" applyBorder="1" applyAlignment="1" applyProtection="0">
      <alignment horizontal="center" vertical="center"/>
    </xf>
    <xf numFmtId="62" fontId="29" borderId="9" applyNumberFormat="1" applyFont="1" applyFill="0" applyBorder="1" applyAlignment="1" applyProtection="0">
      <alignment horizontal="center" vertical="center"/>
    </xf>
    <xf numFmtId="62" fontId="29" borderId="9" applyNumberFormat="1" applyFont="1" applyFill="0" applyBorder="1" applyAlignment="1" applyProtection="0">
      <alignment horizontal="left" vertical="center"/>
    </xf>
    <xf numFmtId="62" fontId="29" borderId="51" applyNumberFormat="1" applyFont="1" applyFill="0" applyBorder="1" applyAlignment="1" applyProtection="0">
      <alignment horizontal="left" vertical="center"/>
    </xf>
    <xf numFmtId="62" fontId="29" fillId="33" borderId="125" applyNumberFormat="1" applyFont="1" applyFill="1" applyBorder="1" applyAlignment="1" applyProtection="0">
      <alignment horizontal="right" vertical="center"/>
    </xf>
    <xf numFmtId="49" fontId="32" borderId="14" applyNumberFormat="1" applyFont="1" applyFill="0" applyBorder="1" applyAlignment="1" applyProtection="0">
      <alignment horizontal="center" vertical="center"/>
    </xf>
    <xf numFmtId="49" fontId="32" borderId="14" applyNumberFormat="1" applyFont="1" applyFill="0" applyBorder="1" applyAlignment="1" applyProtection="0">
      <alignment horizontal="left" vertical="center"/>
    </xf>
    <xf numFmtId="49" fontId="32" fillId="2" borderId="14" applyNumberFormat="1" applyFont="1" applyFill="1" applyBorder="1" applyAlignment="1" applyProtection="0">
      <alignment horizontal="right" vertical="center" wrapText="1"/>
    </xf>
    <xf numFmtId="71" fontId="32" borderId="14" applyNumberFormat="1" applyFont="1" applyFill="0" applyBorder="1" applyAlignment="1" applyProtection="0">
      <alignment horizontal="center" vertical="center"/>
    </xf>
    <xf numFmtId="9" fontId="32" borderId="14" applyNumberFormat="1" applyFont="1" applyFill="0" applyBorder="1" applyAlignment="1" applyProtection="0">
      <alignment horizontal="center" vertical="center"/>
    </xf>
    <xf numFmtId="62" fontId="29" borderId="14" applyNumberFormat="1" applyFont="1" applyFill="0" applyBorder="1" applyAlignment="1" applyProtection="0">
      <alignment horizontal="center" vertical="center"/>
    </xf>
    <xf numFmtId="62" fontId="29" borderId="14" applyNumberFormat="1" applyFont="1" applyFill="0" applyBorder="1" applyAlignment="1" applyProtection="0">
      <alignment horizontal="left" vertical="center"/>
    </xf>
    <xf numFmtId="59" fontId="29" borderId="14" applyNumberFormat="1" applyFont="1" applyFill="0" applyBorder="1" applyAlignment="1" applyProtection="0">
      <alignment horizontal="left" vertical="center"/>
    </xf>
    <xf numFmtId="72" fontId="29" borderId="14" applyNumberFormat="1" applyFont="1" applyFill="0" applyBorder="1" applyAlignment="1" applyProtection="0">
      <alignment horizontal="center" vertical="center"/>
    </xf>
    <xf numFmtId="62" fontId="29" borderId="14" applyNumberFormat="1" applyFont="1" applyFill="0" applyBorder="1" applyAlignment="1" applyProtection="0">
      <alignment vertical="center"/>
    </xf>
    <xf numFmtId="0" fontId="29" fillId="2" borderId="14" applyNumberFormat="0" applyFont="1" applyFill="1" applyBorder="1" applyAlignment="1" applyProtection="0">
      <alignment horizontal="left" vertical="center" wrapText="1"/>
    </xf>
    <xf numFmtId="62" fontId="32" borderId="14" applyNumberFormat="1" applyFont="1" applyFill="0" applyBorder="1" applyAlignment="1" applyProtection="0">
      <alignment horizontal="right" vertical="center"/>
    </xf>
    <xf numFmtId="62" fontId="32" borderId="28" applyNumberFormat="1" applyFont="1" applyFill="0" applyBorder="1" applyAlignment="1" applyProtection="0">
      <alignment horizontal="left" vertical="center"/>
    </xf>
    <xf numFmtId="62" fontId="32" borderId="28" applyNumberFormat="1" applyFont="1" applyFill="0" applyBorder="1" applyAlignment="1" applyProtection="0">
      <alignment vertical="center"/>
    </xf>
    <xf numFmtId="62" fontId="96" borderId="28" applyNumberFormat="1" applyFont="1" applyFill="0" applyBorder="1" applyAlignment="1" applyProtection="0">
      <alignment vertical="center"/>
    </xf>
    <xf numFmtId="62" fontId="29" borderId="28" applyNumberFormat="1" applyFont="1" applyFill="0" applyBorder="1" applyAlignment="1" applyProtection="0">
      <alignment vertical="center"/>
    </xf>
    <xf numFmtId="62" fontId="32" borderId="1" applyNumberFormat="1" applyFont="1" applyFill="0" applyBorder="1" applyAlignment="1" applyProtection="0">
      <alignment horizontal="left" vertical="center"/>
    </xf>
    <xf numFmtId="62" fontId="32" borderId="1" applyNumberFormat="1" applyFont="1" applyFill="0" applyBorder="1" applyAlignment="1" applyProtection="0">
      <alignment vertical="center"/>
    </xf>
    <xf numFmtId="62" fontId="96" borderId="1" applyNumberFormat="1" applyFont="1" applyFill="0" applyBorder="1" applyAlignment="1" applyProtection="0">
      <alignment vertical="center"/>
    </xf>
    <xf numFmtId="62" fontId="95" borderId="1" applyNumberFormat="1" applyFont="1" applyFill="0" applyBorder="1" applyAlignment="1" applyProtection="0">
      <alignment horizontal="left" vertical="center"/>
    </xf>
    <xf numFmtId="62" fontId="95" borderId="1" applyNumberFormat="1" applyFont="1" applyFill="0" applyBorder="1" applyAlignment="1" applyProtection="0">
      <alignment vertical="center"/>
    </xf>
    <xf numFmtId="62" fontId="93" borderId="1" applyNumberFormat="1" applyFont="1" applyFill="0" applyBorder="1" applyAlignment="1" applyProtection="0">
      <alignment vertical="center"/>
    </xf>
    <xf numFmtId="0" fontId="95" borderId="1" applyNumberFormat="0" applyFont="1" applyFill="0" applyBorder="1" applyAlignment="1" applyProtection="0">
      <alignment horizontal="center" vertical="center"/>
    </xf>
    <xf numFmtId="0" fontId="95" borderId="1" applyNumberFormat="0" applyFont="1" applyFill="0" applyBorder="1" applyAlignment="1" applyProtection="0">
      <alignment vertical="center"/>
    </xf>
    <xf numFmtId="49" fontId="95" borderId="1" applyNumberFormat="1" applyFont="1" applyFill="0" applyBorder="1" applyAlignment="1" applyProtection="0">
      <alignment horizontal="center" vertical="center"/>
    </xf>
    <xf numFmtId="0" fontId="95" borderId="1" applyNumberFormat="0" applyFont="1" applyFill="0" applyBorder="1" applyAlignment="1" applyProtection="0">
      <alignment horizontal="left" vertical="center"/>
    </xf>
    <xf numFmtId="0" fontId="95" borderId="1" applyNumberFormat="0" applyFont="1" applyFill="0" applyBorder="1" applyAlignment="1" applyProtection="0">
      <alignment horizontal="right" vertical="center"/>
    </xf>
    <xf numFmtId="0" fontId="0" applyNumberFormat="1" applyFont="1" applyFill="0" applyBorder="0" applyAlignment="1" applyProtection="0">
      <alignment vertical="center"/>
    </xf>
    <xf numFmtId="49" fontId="69" borderId="1" applyNumberFormat="1" applyFont="1" applyFill="0" applyBorder="1" applyAlignment="1" applyProtection="0">
      <alignment horizontal="left" vertical="center"/>
    </xf>
    <xf numFmtId="49" fontId="97" borderId="1" applyNumberFormat="1" applyFont="1" applyFill="0" applyBorder="1" applyAlignment="1" applyProtection="0">
      <alignment horizontal="center" vertical="center"/>
    </xf>
    <xf numFmtId="62" fontId="18" borderId="9" applyNumberFormat="1" applyFont="1" applyFill="0" applyBorder="1" applyAlignment="1" applyProtection="0">
      <alignment horizontal="center" vertical="center"/>
    </xf>
    <xf numFmtId="62" fontId="18" borderId="9" applyNumberFormat="1" applyFont="1" applyFill="0" applyBorder="1" applyAlignment="1" applyProtection="0">
      <alignment horizontal="left" vertical="center"/>
    </xf>
    <xf numFmtId="62" fontId="18" borderId="9" applyNumberFormat="1" applyFont="1" applyFill="0" applyBorder="1" applyAlignment="1" applyProtection="0">
      <alignment vertical="center"/>
    </xf>
    <xf numFmtId="62" fontId="18" borderId="9" applyNumberFormat="1" applyFont="1" applyFill="0" applyBorder="1" applyAlignment="1" applyProtection="0">
      <alignment horizontal="right" vertical="center"/>
    </xf>
    <xf numFmtId="62" fontId="67" borderId="9" applyNumberFormat="1" applyFont="1" applyFill="0" applyBorder="1" applyAlignment="1" applyProtection="0">
      <alignment vertical="center"/>
    </xf>
    <xf numFmtId="49" fontId="97" borderId="9" applyNumberFormat="1" applyFont="1" applyFill="0" applyBorder="1" applyAlignment="1" applyProtection="0">
      <alignment horizontal="center" vertical="center"/>
    </xf>
    <xf numFmtId="49" fontId="20" borderId="18" applyNumberFormat="1" applyFont="1" applyFill="0" applyBorder="1" applyAlignment="1" applyProtection="0">
      <alignment horizontal="center" vertical="center"/>
    </xf>
    <xf numFmtId="49" fontId="20" borderId="21" applyNumberFormat="1" applyFont="1" applyFill="0" applyBorder="1" applyAlignment="1" applyProtection="0">
      <alignment horizontal="center" vertical="center"/>
    </xf>
    <xf numFmtId="0" fontId="67" borderId="22" applyNumberFormat="0" applyFont="1" applyFill="0" applyBorder="1" applyAlignment="1" applyProtection="0">
      <alignment vertical="center"/>
    </xf>
    <xf numFmtId="49" fontId="20" borderId="55" applyNumberFormat="1" applyFont="1" applyFill="0" applyBorder="1" applyAlignment="1" applyProtection="0">
      <alignment horizontal="center" vertical="center"/>
    </xf>
    <xf numFmtId="62" fontId="20" borderId="14" applyNumberFormat="1" applyFont="1" applyFill="0" applyBorder="1" applyAlignment="1" applyProtection="0">
      <alignment horizontal="center" vertical="center"/>
    </xf>
    <xf numFmtId="62" fontId="67" borderId="14" applyNumberFormat="1" applyFont="1" applyFill="0" applyBorder="1" applyAlignment="1" applyProtection="0">
      <alignment vertical="center"/>
    </xf>
    <xf numFmtId="71" fontId="20" borderId="14" applyNumberFormat="1" applyFont="1" applyFill="0" applyBorder="1" applyAlignment="1" applyProtection="0">
      <alignment horizontal="center" vertical="center"/>
    </xf>
    <xf numFmtId="9" fontId="20" borderId="14" applyNumberFormat="1" applyFont="1" applyFill="0" applyBorder="1" applyAlignment="1" applyProtection="0">
      <alignment horizontal="center" vertical="center"/>
    </xf>
    <xf numFmtId="62" fontId="18" borderId="14" applyNumberFormat="1" applyFont="1" applyFill="0" applyBorder="1" applyAlignment="1" applyProtection="0">
      <alignment horizontal="center" vertical="center"/>
    </xf>
    <xf numFmtId="49" fontId="18" borderId="14" applyNumberFormat="1" applyFont="1" applyFill="0" applyBorder="1" applyAlignment="1" applyProtection="0">
      <alignment horizontal="left" vertical="center"/>
    </xf>
    <xf numFmtId="62" fontId="18" borderId="14" applyNumberFormat="1" applyFont="1" applyFill="0" applyBorder="1" applyAlignment="1" applyProtection="0">
      <alignment horizontal="left" vertical="center"/>
    </xf>
    <xf numFmtId="0" fontId="18" fillId="2" borderId="14" applyNumberFormat="1" applyFont="1" applyFill="1" applyBorder="1" applyAlignment="1" applyProtection="0">
      <alignment horizontal="center" vertical="bottom"/>
    </xf>
    <xf numFmtId="62" fontId="18" borderId="14" applyNumberFormat="1" applyFont="1" applyFill="0" applyBorder="1" applyAlignment="1" applyProtection="0">
      <alignment horizontal="right" vertical="center"/>
    </xf>
    <xf numFmtId="62" fontId="18" borderId="14" applyNumberFormat="1" applyFont="1" applyFill="0" applyBorder="1" applyAlignment="1" applyProtection="0">
      <alignment vertical="center"/>
    </xf>
    <xf numFmtId="49" fontId="18" fillId="2" borderId="14" applyNumberFormat="1" applyFont="1" applyFill="1" applyBorder="1" applyAlignment="1" applyProtection="0">
      <alignment horizontal="center" vertical="bottom"/>
    </xf>
    <xf numFmtId="0" fontId="18" fillId="2" borderId="18" applyNumberFormat="0" applyFont="1" applyFill="1" applyBorder="1" applyAlignment="1" applyProtection="0">
      <alignment horizontal="center" vertical="center" wrapText="1"/>
    </xf>
    <xf numFmtId="49" fontId="18" fillId="10" borderId="14" applyNumberFormat="1" applyFont="1" applyFill="1" applyBorder="1" applyAlignment="1" applyProtection="0">
      <alignment vertical="bottom"/>
    </xf>
    <xf numFmtId="0" fontId="18" fillId="2" borderId="22" applyNumberFormat="0" applyFont="1" applyFill="1" applyBorder="1" applyAlignment="1" applyProtection="0">
      <alignment horizontal="center" vertical="center" wrapText="1"/>
    </xf>
    <xf numFmtId="62" fontId="18" borderId="22" applyNumberFormat="1" applyFont="1" applyFill="0" applyBorder="1" applyAlignment="1" applyProtection="0">
      <alignment horizontal="left" vertical="center"/>
    </xf>
    <xf numFmtId="49" fontId="18" fillId="2" borderId="14" applyNumberFormat="1" applyFont="1" applyFill="1" applyBorder="1" applyAlignment="1" applyProtection="0">
      <alignment horizontal="left" vertical="center" wrapText="1"/>
    </xf>
    <xf numFmtId="62" fontId="20" borderId="14" applyNumberFormat="1" applyFont="1" applyFill="0" applyBorder="1" applyAlignment="1" applyProtection="0">
      <alignment horizontal="right" vertical="center"/>
    </xf>
    <xf numFmtId="0" fontId="67" borderId="24" applyNumberFormat="0" applyFont="1" applyFill="0" applyBorder="1" applyAlignment="1" applyProtection="0">
      <alignment vertical="center"/>
    </xf>
    <xf numFmtId="49" fontId="18" fillId="10" borderId="14" applyNumberFormat="1" applyFont="1" applyFill="1" applyBorder="1" applyAlignment="1" applyProtection="0">
      <alignment horizontal="left" vertical="center" wrapText="1"/>
    </xf>
    <xf numFmtId="3" fontId="67" borderId="25" applyNumberFormat="1" applyFont="1" applyFill="0" applyBorder="1" applyAlignment="1" applyProtection="0">
      <alignment vertical="center"/>
    </xf>
    <xf numFmtId="49" fontId="18" fillId="10" borderId="14" applyNumberFormat="1" applyFont="1" applyFill="1" applyBorder="1" applyAlignment="1" applyProtection="0">
      <alignment vertical="center" wrapText="1"/>
    </xf>
    <xf numFmtId="49" fontId="30" fillId="10" borderId="14" applyNumberFormat="1" applyFont="1" applyFill="1" applyBorder="1" applyAlignment="1" applyProtection="0">
      <alignment vertical="bottom"/>
    </xf>
    <xf numFmtId="0" fontId="30" fillId="2" borderId="14" applyNumberFormat="0" applyFont="1" applyFill="1" applyBorder="1" applyAlignment="1" applyProtection="0">
      <alignment vertical="bottom"/>
    </xf>
    <xf numFmtId="62" fontId="18" borderId="24" applyNumberFormat="1" applyFont="1" applyFill="0" applyBorder="1" applyAlignment="1" applyProtection="0">
      <alignment horizontal="left" vertical="center"/>
    </xf>
    <xf numFmtId="0" fontId="0" borderId="95" applyNumberFormat="0" applyFont="1" applyFill="0" applyBorder="1" applyAlignment="1" applyProtection="0">
      <alignment vertical="center"/>
    </xf>
    <xf numFmtId="62" fontId="20" fillId="3" borderId="14" applyNumberFormat="1" applyFont="1" applyFill="1" applyBorder="1" applyAlignment="1" applyProtection="0">
      <alignment horizontal="right" vertical="center"/>
    </xf>
    <xf numFmtId="59" fontId="16" fillId="3" borderId="65" applyNumberFormat="1" applyFont="1" applyFill="1" applyBorder="1" applyAlignment="1" applyProtection="0">
      <alignment vertical="center"/>
    </xf>
    <xf numFmtId="0" fontId="67" borderId="7" applyNumberFormat="0" applyFont="1" applyFill="0" applyBorder="1" applyAlignment="1" applyProtection="0">
      <alignment vertical="center"/>
    </xf>
    <xf numFmtId="49" fontId="16" borderId="1" applyNumberFormat="1" applyFont="1" applyFill="0" applyBorder="1" applyAlignment="1" applyProtection="0">
      <alignment vertical="center"/>
    </xf>
    <xf numFmtId="62" fontId="18" borderId="124" applyNumberFormat="1" applyFont="1" applyFill="0" applyBorder="1" applyAlignment="1" applyProtection="0">
      <alignment horizontal="center" vertical="center"/>
    </xf>
    <xf numFmtId="62" fontId="18" borderId="28" applyNumberFormat="1" applyFont="1" applyFill="0" applyBorder="1" applyAlignment="1" applyProtection="0">
      <alignment horizontal="left" vertical="center"/>
    </xf>
    <xf numFmtId="62" fontId="20" fillId="2" borderId="28" applyNumberFormat="1" applyFont="1" applyFill="1" applyBorder="1" applyAlignment="1" applyProtection="0">
      <alignment horizontal="center" vertical="center" wrapText="1"/>
    </xf>
    <xf numFmtId="62" fontId="20" borderId="28" applyNumberFormat="1" applyFont="1" applyFill="0" applyBorder="1" applyAlignment="1" applyProtection="0">
      <alignment horizontal="right" vertical="center"/>
    </xf>
    <xf numFmtId="62" fontId="20" borderId="28" applyNumberFormat="1" applyFont="1" applyFill="0" applyBorder="1" applyAlignment="1" applyProtection="0">
      <alignment vertical="center"/>
    </xf>
    <xf numFmtId="49" fontId="67" borderId="28" applyNumberFormat="1" applyFont="1" applyFill="0" applyBorder="1" applyAlignment="1" applyProtection="0">
      <alignment vertical="center"/>
    </xf>
    <xf numFmtId="62" fontId="68" borderId="126" applyNumberFormat="1" applyFont="1" applyFill="0" applyBorder="1" applyAlignment="1" applyProtection="0">
      <alignment vertical="center"/>
    </xf>
    <xf numFmtId="0" fontId="68" borderId="1" applyNumberFormat="0" applyFont="1" applyFill="0" applyBorder="1" applyAlignment="1" applyProtection="0">
      <alignment vertical="center"/>
    </xf>
    <xf numFmtId="49" fontId="57" borderId="1" applyNumberFormat="1" applyFont="1" applyFill="0" applyBorder="1" applyAlignment="1" applyProtection="0">
      <alignment vertical="center"/>
    </xf>
    <xf numFmtId="49" fontId="20" fillId="26" borderId="109" applyNumberFormat="1" applyFont="1" applyFill="1" applyBorder="1" applyAlignment="1" applyProtection="0">
      <alignment horizontal="center" vertical="center"/>
    </xf>
    <xf numFmtId="62" fontId="67" borderId="1" applyNumberFormat="1" applyFont="1" applyFill="0" applyBorder="1" applyAlignment="1" applyProtection="0">
      <alignment vertical="center"/>
    </xf>
    <xf numFmtId="3" fontId="67" borderId="1" applyNumberFormat="1" applyFont="1" applyFill="0" applyBorder="1" applyAlignment="1" applyProtection="0">
      <alignment horizontal="center" vertical="center"/>
    </xf>
    <xf numFmtId="3" fontId="67" borderId="1" applyNumberFormat="1" applyFont="1" applyFill="0" applyBorder="1" applyAlignment="1" applyProtection="0">
      <alignment vertical="center"/>
    </xf>
    <xf numFmtId="49" fontId="67" borderId="87" applyNumberFormat="1" applyFont="1" applyFill="0" applyBorder="1" applyAlignment="1" applyProtection="0">
      <alignment vertical="center"/>
    </xf>
    <xf numFmtId="3" fontId="55" fillId="2" borderId="127" applyNumberFormat="1" applyFont="1" applyFill="1" applyBorder="1" applyAlignment="1" applyProtection="0">
      <alignment vertical="center" wrapText="1"/>
    </xf>
    <xf numFmtId="0" fontId="67" borderId="128" applyNumberFormat="0" applyFont="1" applyFill="0" applyBorder="1" applyAlignment="1" applyProtection="0">
      <alignment vertical="center"/>
    </xf>
    <xf numFmtId="0" fontId="67" borderId="129" applyNumberFormat="0" applyFont="1" applyFill="0" applyBorder="1" applyAlignment="1" applyProtection="0">
      <alignment vertical="center"/>
    </xf>
    <xf numFmtId="49" fontId="0" borderId="1" applyNumberFormat="1" applyFont="1" applyFill="0" applyBorder="1" applyAlignment="1" applyProtection="0">
      <alignment vertical="center"/>
    </xf>
    <xf numFmtId="3" fontId="48" borderId="1" applyNumberFormat="1" applyFont="1" applyFill="0" applyBorder="1" applyAlignment="1" applyProtection="0">
      <alignment vertical="center"/>
    </xf>
    <xf numFmtId="49" fontId="48" borderId="1" applyNumberFormat="1" applyFont="1" applyFill="0" applyBorder="1" applyAlignment="1" applyProtection="0">
      <alignment vertical="center"/>
    </xf>
    <xf numFmtId="62" fontId="36" borderId="130" applyNumberFormat="1" applyFont="1" applyFill="0" applyBorder="1" applyAlignment="1" applyProtection="0">
      <alignment vertical="center"/>
    </xf>
    <xf numFmtId="49" fontId="20" borderId="1" applyNumberFormat="1" applyFont="1" applyFill="0" applyBorder="1" applyAlignment="1" applyProtection="0">
      <alignment horizontal="center" vertical="center"/>
    </xf>
    <xf numFmtId="62" fontId="18" fillId="33" borderId="41" applyNumberFormat="1" applyFont="1" applyFill="1" applyBorder="1" applyAlignment="1" applyProtection="0">
      <alignment horizontal="right" vertical="center"/>
    </xf>
    <xf numFmtId="62" fontId="18" borderId="51" applyNumberFormat="1" applyFont="1" applyFill="0" applyBorder="1" applyAlignment="1" applyProtection="0">
      <alignment horizontal="left" vertical="center"/>
    </xf>
    <xf numFmtId="62" fontId="18" fillId="33" borderId="125" applyNumberFormat="1" applyFont="1" applyFill="1" applyBorder="1" applyAlignment="1" applyProtection="0">
      <alignment horizontal="right" vertical="center"/>
    </xf>
    <xf numFmtId="49" fontId="20" borderId="14" applyNumberFormat="1" applyFont="1" applyFill="0" applyBorder="1" applyAlignment="1" applyProtection="0">
      <alignment horizontal="left" vertical="center"/>
    </xf>
    <xf numFmtId="49" fontId="20" fillId="2" borderId="14" applyNumberFormat="1" applyFont="1" applyFill="1" applyBorder="1" applyAlignment="1" applyProtection="0">
      <alignment horizontal="right" vertical="center" wrapText="1"/>
    </xf>
    <xf numFmtId="62" fontId="18" borderId="18" applyNumberFormat="1" applyFont="1" applyFill="0" applyBorder="1" applyAlignment="1" applyProtection="0">
      <alignment horizontal="left" vertical="center"/>
    </xf>
    <xf numFmtId="62" fontId="28" borderId="14" applyNumberFormat="1" applyFont="1" applyFill="0" applyBorder="1" applyAlignment="1" applyProtection="0">
      <alignment horizontal="center" vertical="center"/>
    </xf>
    <xf numFmtId="62" fontId="28" borderId="22" applyNumberFormat="1" applyFont="1" applyFill="0" applyBorder="1" applyAlignment="1" applyProtection="0">
      <alignment horizontal="left" vertical="center"/>
    </xf>
    <xf numFmtId="62" fontId="28" borderId="14" applyNumberFormat="1" applyFont="1" applyFill="0" applyBorder="1" applyAlignment="1" applyProtection="0">
      <alignment horizontal="left" vertical="center"/>
    </xf>
    <xf numFmtId="0" fontId="42" fillId="2" borderId="14" applyNumberFormat="0" applyFont="1" applyFill="1" applyBorder="1" applyAlignment="1" applyProtection="0">
      <alignment vertical="bottom"/>
    </xf>
    <xf numFmtId="62" fontId="28" borderId="14" applyNumberFormat="1" applyFont="1" applyFill="0" applyBorder="1" applyAlignment="1" applyProtection="0">
      <alignment horizontal="right" vertical="center"/>
    </xf>
    <xf numFmtId="62" fontId="28" borderId="14" applyNumberFormat="1" applyFont="1" applyFill="0" applyBorder="1" applyAlignment="1" applyProtection="0">
      <alignment vertical="center"/>
    </xf>
    <xf numFmtId="62" fontId="27" borderId="14" applyNumberFormat="1" applyFont="1" applyFill="0" applyBorder="1" applyAlignment="1" applyProtection="0">
      <alignment horizontal="right" vertical="center"/>
    </xf>
    <xf numFmtId="0" fontId="98" borderId="1" applyNumberFormat="0" applyFont="1" applyFill="0" applyBorder="1" applyAlignment="1" applyProtection="0">
      <alignment vertical="center"/>
    </xf>
    <xf numFmtId="49" fontId="20" borderId="9" applyNumberFormat="1" applyFont="1" applyFill="0" applyBorder="1" applyAlignment="1" applyProtection="0">
      <alignment horizontal="center" vertical="center"/>
    </xf>
    <xf numFmtId="62" fontId="32" borderId="9" applyNumberFormat="1" applyFont="1" applyFill="0" applyBorder="1" applyAlignment="1" applyProtection="0">
      <alignment horizontal="left" vertical="center"/>
    </xf>
    <xf numFmtId="62" fontId="32" borderId="9" applyNumberFormat="1" applyFont="1" applyFill="0" applyBorder="1" applyAlignment="1" applyProtection="0">
      <alignment vertical="center"/>
    </xf>
    <xf numFmtId="62" fontId="96" borderId="9" applyNumberFormat="1" applyFont="1" applyFill="0" applyBorder="1" applyAlignment="1" applyProtection="0">
      <alignment vertical="center"/>
    </xf>
    <xf numFmtId="62" fontId="29" borderId="9" applyNumberFormat="1" applyFont="1" applyFill="0" applyBorder="1" applyAlignment="1" applyProtection="0">
      <alignment vertical="center"/>
    </xf>
    <xf numFmtId="62" fontId="21" borderId="14" applyNumberFormat="1" applyFont="1" applyFill="0" applyBorder="1" applyAlignment="1" applyProtection="0">
      <alignment horizontal="center" vertical="center"/>
    </xf>
    <xf numFmtId="0" fontId="21" fillId="2" borderId="22" applyNumberFormat="0" applyFont="1" applyFill="1" applyBorder="1" applyAlignment="1" applyProtection="0">
      <alignment horizontal="center" vertical="center" wrapText="1"/>
    </xf>
    <xf numFmtId="62" fontId="21" borderId="14" applyNumberFormat="1" applyFont="1" applyFill="0" applyBorder="1" applyAlignment="1" applyProtection="0">
      <alignment horizontal="left" vertical="center"/>
    </xf>
    <xf numFmtId="62" fontId="21" borderId="14" applyNumberFormat="1" applyFont="1" applyFill="0" applyBorder="1" applyAlignment="1" applyProtection="0">
      <alignment horizontal="right" vertical="center"/>
    </xf>
    <xf numFmtId="62" fontId="21" borderId="14" applyNumberFormat="1" applyFont="1" applyFill="0" applyBorder="1" applyAlignment="1" applyProtection="0">
      <alignment vertical="center"/>
    </xf>
    <xf numFmtId="0" fontId="72" borderId="22" applyNumberFormat="0" applyFont="1" applyFill="0" applyBorder="1" applyAlignment="1" applyProtection="0">
      <alignment vertical="center"/>
    </xf>
    <xf numFmtId="62" fontId="21" borderId="24" applyNumberFormat="1" applyFont="1" applyFill="0" applyBorder="1" applyAlignment="1" applyProtection="0">
      <alignment horizontal="center" vertical="center"/>
    </xf>
    <xf numFmtId="62" fontId="72" borderId="24" applyNumberFormat="1" applyFont="1" applyFill="0" applyBorder="1" applyAlignment="1" applyProtection="0">
      <alignment vertical="center"/>
    </xf>
    <xf numFmtId="49" fontId="21" fillId="2" borderId="24" applyNumberFormat="1" applyFont="1" applyFill="1" applyBorder="1" applyAlignment="1" applyProtection="0">
      <alignment horizontal="center" vertical="bottom"/>
    </xf>
    <xf numFmtId="49" fontId="21" fillId="2" borderId="24" applyNumberFormat="1" applyFont="1" applyFill="1" applyBorder="1" applyAlignment="1" applyProtection="0">
      <alignment vertical="bottom"/>
    </xf>
    <xf numFmtId="62" fontId="21" borderId="24" applyNumberFormat="1" applyFont="1" applyFill="0" applyBorder="1" applyAlignment="1" applyProtection="0">
      <alignment horizontal="right" vertical="center"/>
    </xf>
    <xf numFmtId="59" fontId="21" borderId="24" applyNumberFormat="1" applyFont="1" applyFill="0" applyBorder="1" applyAlignment="1" applyProtection="0">
      <alignment horizontal="right" vertical="center"/>
    </xf>
    <xf numFmtId="0" fontId="72" borderId="25" applyNumberFormat="0" applyFont="1" applyFill="0" applyBorder="1" applyAlignment="1" applyProtection="0">
      <alignment vertical="center"/>
    </xf>
    <xf numFmtId="62" fontId="21" borderId="22" applyNumberFormat="1" applyFont="1" applyFill="0" applyBorder="1" applyAlignment="1" applyProtection="0">
      <alignment horizontal="left" vertical="center"/>
    </xf>
    <xf numFmtId="62" fontId="22" borderId="14" applyNumberFormat="1" applyFont="1" applyFill="0" applyBorder="1" applyAlignment="1" applyProtection="0">
      <alignment horizontal="right" vertical="center"/>
    </xf>
    <xf numFmtId="3" fontId="72" borderId="25" applyNumberFormat="1" applyFont="1" applyFill="0" applyBorder="1" applyAlignment="1" applyProtection="0">
      <alignment vertical="center"/>
    </xf>
    <xf numFmtId="0" fontId="72" borderId="28" applyNumberFormat="0" applyFont="1" applyFill="0" applyBorder="1" applyAlignment="1" applyProtection="0">
      <alignment vertical="center"/>
    </xf>
    <xf numFmtId="49" fontId="38" borderId="14" applyNumberFormat="1" applyFont="1" applyFill="0" applyBorder="1" applyAlignment="1" applyProtection="0">
      <alignment vertical="center"/>
    </xf>
    <xf numFmtId="0" fontId="32" borderId="1" applyNumberFormat="0" applyFont="1" applyFill="0" applyBorder="1" applyAlignment="1" applyProtection="0">
      <alignment horizontal="left" vertical="center"/>
    </xf>
    <xf numFmtId="0" fontId="32" borderId="1" applyNumberFormat="0" applyFont="1" applyFill="0" applyBorder="1" applyAlignment="1" applyProtection="0">
      <alignment horizontal="right" vertical="center"/>
    </xf>
    <xf numFmtId="0" fontId="0" applyNumberFormat="1" applyFont="1" applyFill="0" applyBorder="0" applyAlignment="1" applyProtection="0">
      <alignment vertical="center"/>
    </xf>
    <xf numFmtId="49" fontId="26" fillId="2" borderId="39" applyNumberFormat="1" applyFont="1" applyFill="1" applyBorder="1" applyAlignment="1" applyProtection="0">
      <alignment vertical="bottom" wrapText="1"/>
    </xf>
    <xf numFmtId="0" fontId="26" fillId="2" borderId="39" applyNumberFormat="1" applyFont="1" applyFill="1" applyBorder="1" applyAlignment="1" applyProtection="0">
      <alignment vertical="bottom" wrapText="1"/>
    </xf>
    <xf numFmtId="0" fontId="0" borderId="88" applyNumberFormat="0" applyFont="1" applyFill="0" applyBorder="1" applyAlignment="1" applyProtection="0">
      <alignment vertical="center"/>
    </xf>
    <xf numFmtId="0" fontId="36" fillId="2" borderId="39" applyNumberFormat="1" applyFont="1" applyFill="1" applyBorder="1" applyAlignment="1" applyProtection="0">
      <alignment horizontal="center" vertical="bottom" wrapText="1"/>
    </xf>
    <xf numFmtId="0" fontId="0" fillId="2" borderId="39" applyNumberFormat="0" applyFont="1" applyFill="1" applyBorder="1" applyAlignment="1" applyProtection="0">
      <alignment vertical="bottom" wrapText="1"/>
    </xf>
    <xf numFmtId="0" fontId="36" fillId="2" borderId="39" applyNumberFormat="1" applyFont="1" applyFill="1" applyBorder="1" applyAlignment="1" applyProtection="0">
      <alignment horizontal="right" vertical="center" wrapText="1"/>
    </xf>
    <xf numFmtId="0" fontId="36" fillId="2" borderId="39" applyNumberFormat="1" applyFont="1" applyFill="1" applyBorder="1" applyAlignment="1" applyProtection="0">
      <alignment horizontal="right" vertical="bottom" wrapText="1"/>
    </xf>
    <xf numFmtId="0" fontId="36" fillId="2" borderId="39" applyNumberFormat="1" applyFont="1" applyFill="1" applyBorder="1" applyAlignment="1" applyProtection="0">
      <alignment vertical="bottom" wrapText="1"/>
    </xf>
    <xf numFmtId="0" fontId="73" fillId="2" borderId="39" applyNumberFormat="1" applyFont="1" applyFill="1" applyBorder="1" applyAlignment="1" applyProtection="0">
      <alignment horizontal="right" vertical="center" wrapText="1"/>
    </xf>
    <xf numFmtId="49" fontId="36" fillId="2" borderId="39" applyNumberFormat="1" applyFont="1" applyFill="1" applyBorder="1" applyAlignment="1" applyProtection="0">
      <alignment horizontal="right" vertical="bottom" wrapText="1"/>
    </xf>
    <xf numFmtId="0" fontId="0" fillId="2" borderId="39" applyNumberFormat="1" applyFont="1" applyFill="1" applyBorder="1" applyAlignment="1" applyProtection="0">
      <alignment horizontal="right" vertical="center" wrapText="1"/>
    </xf>
    <xf numFmtId="49" fontId="31" fillId="2" borderId="39" applyNumberFormat="1" applyFont="1" applyFill="1" applyBorder="1" applyAlignment="1" applyProtection="0">
      <alignment vertical="center" wrapText="1"/>
    </xf>
    <xf numFmtId="0" fontId="99" fillId="2" borderId="39" applyNumberFormat="1" applyFont="1" applyFill="1" applyBorder="1" applyAlignment="1" applyProtection="0">
      <alignment horizontal="right" vertical="center" wrapText="1"/>
    </xf>
    <xf numFmtId="49" fontId="99" fillId="2" borderId="39" applyNumberFormat="1" applyFont="1" applyFill="1" applyBorder="1" applyAlignment="1" applyProtection="0">
      <alignment vertical="center" wrapText="1"/>
    </xf>
    <xf numFmtId="49" fontId="29" fillId="2" borderId="39" applyNumberFormat="1" applyFont="1" applyFill="1" applyBorder="1" applyAlignment="1" applyProtection="0">
      <alignment vertical="center" wrapText="1"/>
    </xf>
    <xf numFmtId="0" fontId="0" fillId="2" borderId="39" applyNumberFormat="1" applyFont="1" applyFill="1" applyBorder="1" applyAlignment="1" applyProtection="0">
      <alignment vertical="center" wrapText="1"/>
    </xf>
    <xf numFmtId="49" fontId="0" fillId="2" borderId="39" applyNumberFormat="1" applyFont="1" applyFill="1" applyBorder="1" applyAlignment="1" applyProtection="0">
      <alignment vertical="center" wrapText="1"/>
    </xf>
    <xf numFmtId="49" fontId="36" borderId="64" applyNumberFormat="1" applyFont="1" applyFill="0" applyBorder="1" applyAlignment="1" applyProtection="0">
      <alignment vertical="center"/>
    </xf>
    <xf numFmtId="49" fontId="36" fillId="2" borderId="64" applyNumberFormat="1" applyFont="1" applyFill="1" applyBorder="1" applyAlignment="1" applyProtection="0">
      <alignment horizontal="right" vertical="bottom"/>
    </xf>
    <xf numFmtId="0" fontId="36" fillId="2" borderId="64" applyNumberFormat="0" applyFont="1" applyFill="1" applyBorder="1" applyAlignment="1" applyProtection="0">
      <alignment vertical="bottom"/>
    </xf>
    <xf numFmtId="49" fontId="36" fillId="2" borderId="64" applyNumberFormat="1" applyFont="1" applyFill="1" applyBorder="1" applyAlignment="1" applyProtection="0">
      <alignment vertical="bottom"/>
    </xf>
    <xf numFmtId="49" fontId="36" fillId="2" borderId="36" applyNumberFormat="1" applyFont="1" applyFill="1" applyBorder="1" applyAlignment="1" applyProtection="0">
      <alignment horizontal="right" vertical="bottom"/>
    </xf>
    <xf numFmtId="0" fontId="0" borderId="36" applyNumberFormat="0" applyFont="1" applyFill="0" applyBorder="1" applyAlignment="1" applyProtection="0">
      <alignment vertical="center"/>
    </xf>
    <xf numFmtId="49" fontId="36" fillId="2" borderId="36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center"/>
    </xf>
    <xf numFmtId="0" fontId="18" fillId="2" borderId="1" applyNumberFormat="0" applyFont="1" applyFill="1" applyBorder="1" applyAlignment="1" applyProtection="0">
      <alignment vertical="bottom"/>
    </xf>
    <xf numFmtId="0" fontId="0" borderId="1" applyNumberFormat="0" applyFont="1" applyFill="0" applyBorder="1" applyAlignment="1" applyProtection="0">
      <alignment horizontal="left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fff00"/>
      <rgbColor rgb="ff00ffff"/>
      <rgbColor rgb="ffb4c6e7"/>
      <rgbColor rgb="fffbe4d5"/>
      <rgbColor rgb="fff7caac"/>
      <rgbColor rgb="ffffffcc"/>
      <rgbColor rgb="ffccffff"/>
      <rgbColor rgb="ffffc000"/>
      <rgbColor rgb="ffffcccc"/>
      <rgbColor rgb="ffccffcc"/>
      <rgbColor rgb="ff8eaadb"/>
      <rgbColor rgb="fff4b083"/>
      <rgbColor rgb="ffff00ff"/>
      <rgbColor rgb="fffff258"/>
      <rgbColor rgb="ffff0000"/>
      <rgbColor rgb="ff3c78d8"/>
      <rgbColor rgb="fff54a45"/>
      <rgbColor rgb="ff9c0006"/>
      <rgbColor rgb="fffff2cb"/>
      <rgbColor rgb="ffffc7ce"/>
      <rgbColor rgb="ff9c6500"/>
      <rgbColor rgb="ffffeb9c"/>
      <rgbColor rgb="ff0563c1"/>
      <rgbColor rgb="ff0000ff"/>
      <rgbColor rgb="ff0070c0"/>
      <rgbColor rgb="ff081b3a"/>
      <rgbColor rgb="ffcccccc"/>
      <rgbColor rgb="ffb4c6e7"/>
      <rgbColor rgb="ff1f1f1f"/>
      <rgbColor rgb="ff7030a0"/>
      <rgbColor rgb="ffc7c7c7"/>
      <rgbColor rgb="ff111111"/>
      <rgbColor rgb="ffe8eaef"/>
      <rgbColor rgb="ffa4c2f4"/>
      <rgbColor rgb="ff00ff00"/>
      <rgbColor rgb="ff92d050"/>
      <rgbColor rgb="ffc9daf8"/>
      <rgbColor rgb="ff222222"/>
      <rgbColor rgb="ff646a73"/>
      <rgbColor rgb="ff9ca2a9"/>
      <rgbColor rgb="ff666666"/>
      <rgbColor rgb="ffb6d7a8"/>
      <rgbColor rgb="ffb4a7d6"/>
      <rgbColor rgb="fff3f3f3"/>
      <rgbColor rgb="ffd9e2f3"/>
      <rgbColor rgb="ff1f23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drawings/drawing3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BN245"/>
  <sheetViews>
    <sheetView workbookViewId="0" showGridLines="0" defaultGridColor="1"/>
  </sheetViews>
  <sheetFormatPr defaultColWidth="14.4" defaultRowHeight="15" customHeight="1" outlineLevelRow="0" outlineLevelCol="0"/>
  <cols>
    <col min="1" max="1" width="8" style="1" customWidth="1"/>
    <col min="2" max="2" width="12" style="1" customWidth="1"/>
    <col min="3" max="3" width="25" style="1" customWidth="1"/>
    <col min="4" max="4" width="28.8125" style="1" customWidth="1"/>
    <col min="5" max="5" width="17" style="1" customWidth="1"/>
    <col min="6" max="6" width="7" style="1" customWidth="1"/>
    <col min="7" max="7" width="8" style="1" customWidth="1"/>
    <col min="8" max="9" width="16" style="1" customWidth="1"/>
    <col min="10" max="10" width="14" style="1" customWidth="1"/>
    <col min="11" max="13" width="15" style="1" customWidth="1"/>
    <col min="14" max="14" width="16" style="1" customWidth="1"/>
    <col min="15" max="15" width="15" style="1" customWidth="1"/>
    <col min="16" max="16" width="17" style="1" customWidth="1"/>
    <col min="17" max="18" width="15.4219" style="1" customWidth="1"/>
    <col min="19" max="20" width="13" style="1" customWidth="1"/>
    <col min="21" max="23" width="10" style="1" customWidth="1"/>
    <col min="24" max="24" width="11" style="1" customWidth="1"/>
    <col min="25" max="25" width="10" style="1" customWidth="1"/>
    <col min="26" max="26" width="12" style="1" customWidth="1"/>
    <col min="27" max="27" width="17.4219" style="1" customWidth="1"/>
    <col min="28" max="28" width="15" style="1" customWidth="1"/>
    <col min="29" max="29" width="13" style="1" customWidth="1"/>
    <col min="30" max="32" width="16" style="1" customWidth="1"/>
    <col min="33" max="33" width="14" style="1" customWidth="1"/>
    <col min="34" max="34" width="13" style="1" customWidth="1"/>
    <col min="35" max="35" width="12" style="1" customWidth="1"/>
    <col min="36" max="36" width="15" style="1" customWidth="1"/>
    <col min="37" max="37" width="12" style="1" customWidth="1"/>
    <col min="38" max="38" width="14" style="1" customWidth="1"/>
    <col min="39" max="39" width="18" style="1" customWidth="1"/>
    <col min="40" max="40" width="15" style="1" customWidth="1"/>
    <col min="41" max="42" width="14" style="1" customWidth="1"/>
    <col min="43" max="43" width="10" style="1" customWidth="1"/>
    <col min="44" max="44" width="14" style="1" customWidth="1"/>
    <col min="45" max="46" width="17" style="1" customWidth="1"/>
    <col min="47" max="47" width="12.4219" style="1" customWidth="1"/>
    <col min="48" max="48" width="14" style="1" customWidth="1"/>
    <col min="49" max="49" width="15" style="1" customWidth="1"/>
    <col min="50" max="50" width="17.4219" style="1" customWidth="1"/>
    <col min="51" max="52" width="16" style="1" customWidth="1"/>
    <col min="53" max="53" width="21" style="1" customWidth="1"/>
    <col min="54" max="54" width="32.4219" style="1" customWidth="1"/>
    <col min="55" max="60" hidden="1" width="14.4" style="1" customWidth="1"/>
    <col min="61" max="62" width="21.8125" style="1" customWidth="1"/>
    <col min="63" max="65" width="19.4219" style="1" customWidth="1"/>
    <col min="66" max="66" width="14" style="1" customWidth="1"/>
    <col min="67" max="16384" width="14.4219" style="1" customWidth="1"/>
  </cols>
  <sheetData>
    <row r="1" ht="13.5" customHeight="1">
      <c r="A1" s="2"/>
      <c r="B1" s="3"/>
      <c r="C1" s="3"/>
      <c r="D1" s="3"/>
      <c r="E1" s="4"/>
      <c r="F1" s="3"/>
      <c r="G1" s="3"/>
      <c r="H1" s="5"/>
      <c r="I1" s="3"/>
      <c r="J1" s="5"/>
      <c r="K1" s="3"/>
      <c r="L1" s="5"/>
      <c r="M1" s="5"/>
      <c r="N1" s="6"/>
      <c r="O1" s="3"/>
      <c r="P1" s="5"/>
      <c r="Q1" s="6"/>
      <c r="R1" s="6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7"/>
      <c r="AM1" s="5"/>
      <c r="AN1" s="5"/>
      <c r="AO1" s="8">
        <v>0.105</v>
      </c>
      <c r="AP1" s="9">
        <v>0.215</v>
      </c>
      <c r="AQ1" s="10"/>
      <c r="AR1" s="7">
        <v>4400000</v>
      </c>
      <c r="AS1" s="5"/>
      <c r="AT1" s="5"/>
      <c r="AU1" s="5"/>
      <c r="AV1" s="5"/>
      <c r="AW1" s="5"/>
      <c r="AX1" s="5"/>
      <c r="AY1" s="7"/>
      <c r="AZ1" s="5"/>
      <c r="BA1" s="11"/>
      <c r="BB1" s="12"/>
      <c r="BC1" s="12"/>
      <c r="BD1" s="5"/>
      <c r="BE1" s="5"/>
      <c r="BF1" s="5"/>
      <c r="BG1" s="5"/>
      <c r="BH1" s="5"/>
      <c r="BI1" s="13"/>
      <c r="BJ1" s="5"/>
      <c r="BK1" s="5"/>
      <c r="BL1" s="5"/>
      <c r="BM1" s="5"/>
      <c r="BN1" s="5"/>
    </row>
    <row r="2" ht="13.5" customHeight="1">
      <c r="A2" s="5"/>
      <c r="B2" s="14"/>
      <c r="C2" s="14"/>
      <c r="D2" s="14"/>
      <c r="E2" s="15"/>
      <c r="F2" s="14"/>
      <c r="G2" s="3"/>
      <c r="H2" s="16"/>
      <c r="I2" s="16"/>
      <c r="J2" s="6"/>
      <c r="K2" s="3"/>
      <c r="L2" s="5"/>
      <c r="M2" s="5"/>
      <c r="N2" s="6"/>
      <c r="O2" s="6"/>
      <c r="P2" s="6"/>
      <c r="Q2" s="6"/>
      <c r="R2" s="6"/>
      <c r="S2" s="6"/>
      <c r="T2" s="6"/>
      <c r="U2" s="6"/>
      <c r="V2" s="6"/>
      <c r="W2" s="6"/>
      <c r="X2" s="17"/>
      <c r="Y2" s="6"/>
      <c r="Z2" s="6"/>
      <c r="AA2" s="18"/>
      <c r="AB2" s="6"/>
      <c r="AC2" s="6"/>
      <c r="AD2" s="6"/>
      <c r="AE2" s="6"/>
      <c r="AF2" s="5"/>
      <c r="AG2" s="5"/>
      <c r="AH2" s="16"/>
      <c r="AI2" s="16"/>
      <c r="AJ2" s="5"/>
      <c r="AK2" s="5"/>
      <c r="AL2" s="7"/>
      <c r="AM2" s="19"/>
      <c r="AN2" s="19"/>
      <c r="AO2" s="5"/>
      <c r="AP2" s="20"/>
      <c r="AQ2" s="19"/>
      <c r="AR2" s="7">
        <v>11000000</v>
      </c>
      <c r="AS2" s="19"/>
      <c r="AT2" s="16"/>
      <c r="AU2" s="16"/>
      <c r="AV2" s="5"/>
      <c r="AW2" s="5"/>
      <c r="AX2" s="5"/>
      <c r="AY2" s="16"/>
      <c r="AZ2" s="21"/>
      <c r="BA2" s="7" cm="1">
        <f t="array" ref="BA2">BA9+BA18+BA21+BA31+BA33</f>
      </c>
      <c r="BB2" s="22">
        <v>47000</v>
      </c>
      <c r="BC2" s="23"/>
      <c r="BD2" s="24"/>
      <c r="BE2" s="24"/>
      <c r="BF2" s="24"/>
      <c r="BG2" s="24"/>
      <c r="BH2" s="24"/>
      <c r="BI2" s="25"/>
      <c r="BJ2" t="s" s="26">
        <v>0</v>
      </c>
      <c r="BK2" s="27"/>
      <c r="BL2" s="5"/>
      <c r="BM2" s="16">
        <v>13358652</v>
      </c>
      <c r="BN2" s="5"/>
    </row>
    <row r="3" ht="13.5" customHeight="1">
      <c r="A3" t="s" s="28">
        <v>1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30"/>
      <c r="BC3" s="5"/>
      <c r="BD3" s="5"/>
      <c r="BE3" s="5"/>
      <c r="BF3" s="31"/>
      <c r="BG3" s="5"/>
      <c r="BH3" s="5"/>
      <c r="BI3" s="32"/>
      <c r="BJ3" t="s" s="33">
        <v>2</v>
      </c>
      <c r="BK3" s="34" cm="1">
        <f t="array" ref="BK3">SUM(AZ9:AZ33)</f>
      </c>
      <c r="BL3" s="5"/>
      <c r="BM3" s="16">
        <v>472375765</v>
      </c>
      <c r="BN3" s="5"/>
    </row>
    <row r="4" ht="13.5" customHeight="1">
      <c r="A4" t="s" s="35">
        <v>3</v>
      </c>
      <c r="B4" s="36"/>
      <c r="C4" s="37"/>
      <c r="D4" s="38"/>
      <c r="E4" s="38"/>
      <c r="F4" s="38"/>
      <c r="G4" s="38"/>
      <c r="H4" t="s" s="39">
        <v>4</v>
      </c>
      <c r="I4" s="36"/>
      <c r="J4" s="40"/>
      <c r="K4" s="40"/>
      <c r="L4" s="40"/>
      <c r="M4" s="40"/>
      <c r="N4" s="40"/>
      <c r="O4" s="40"/>
      <c r="P4" s="40"/>
      <c r="Q4" s="40"/>
      <c r="R4" s="40"/>
      <c r="S4" s="40"/>
      <c r="T4" s="37"/>
      <c r="U4" t="s" s="41">
        <v>5</v>
      </c>
      <c r="V4" s="36"/>
      <c r="W4" s="40"/>
      <c r="X4" s="40"/>
      <c r="Y4" s="37"/>
      <c r="Z4" s="38"/>
      <c r="AA4" t="s" s="42">
        <v>6</v>
      </c>
      <c r="AB4" s="36"/>
      <c r="AC4" s="40"/>
      <c r="AD4" s="37"/>
      <c r="AE4" s="43"/>
      <c r="AF4" t="s" s="44">
        <v>7</v>
      </c>
      <c r="AG4" s="36"/>
      <c r="AH4" s="40"/>
      <c r="AI4" s="40"/>
      <c r="AJ4" s="40"/>
      <c r="AK4" s="40"/>
      <c r="AL4" s="37"/>
      <c r="AM4" t="s" s="45">
        <v>8</v>
      </c>
      <c r="AN4" t="s" s="46">
        <v>9</v>
      </c>
      <c r="AO4" s="36"/>
      <c r="AP4" s="37"/>
      <c r="AQ4" t="s" s="47">
        <v>10</v>
      </c>
      <c r="AR4" s="36"/>
      <c r="AS4" s="40"/>
      <c r="AT4" s="40"/>
      <c r="AU4" s="40"/>
      <c r="AV4" s="37"/>
      <c r="AW4" t="s" s="48">
        <v>11</v>
      </c>
      <c r="AX4" s="36"/>
      <c r="AY4" s="40"/>
      <c r="AZ4" s="37"/>
      <c r="BA4" t="s" s="49">
        <v>12</v>
      </c>
      <c r="BB4" t="s" s="50">
        <v>13</v>
      </c>
      <c r="BC4" s="51"/>
      <c r="BD4" s="24"/>
      <c r="BE4" s="24"/>
      <c r="BF4" s="24"/>
      <c r="BG4" s="24"/>
      <c r="BH4" s="24"/>
      <c r="BI4" s="52"/>
      <c r="BJ4" t="s" s="53">
        <v>14</v>
      </c>
      <c r="BK4" s="54" cm="1">
        <f t="array" ref="BK4">SUM(BA9:BA33)</f>
      </c>
      <c r="BL4" s="5"/>
      <c r="BM4" s="5"/>
      <c r="BN4" s="5"/>
    </row>
    <row r="5" ht="13.5" customHeight="1">
      <c r="A5" t="s" s="55">
        <v>15</v>
      </c>
      <c r="B5" t="s" s="55">
        <v>16</v>
      </c>
      <c r="C5" t="s" s="55">
        <v>17</v>
      </c>
      <c r="D5" t="s" s="55">
        <v>18</v>
      </c>
      <c r="E5" t="s" s="55">
        <v>19</v>
      </c>
      <c r="F5" t="s" s="55">
        <v>20</v>
      </c>
      <c r="G5" t="s" s="55">
        <v>21</v>
      </c>
      <c r="H5" t="s" s="39">
        <v>22</v>
      </c>
      <c r="I5" s="56"/>
      <c r="J5" t="s" s="39">
        <v>23</v>
      </c>
      <c r="K5" s="36"/>
      <c r="L5" s="37"/>
      <c r="M5" t="s" s="55">
        <v>24</v>
      </c>
      <c r="N5" t="s" s="39">
        <v>25</v>
      </c>
      <c r="O5" s="36"/>
      <c r="P5" s="40"/>
      <c r="Q5" s="40"/>
      <c r="R5" s="40"/>
      <c r="S5" s="40"/>
      <c r="T5" s="37"/>
      <c r="U5" t="s" s="57">
        <v>26</v>
      </c>
      <c r="V5" t="s" s="57">
        <v>27</v>
      </c>
      <c r="W5" t="s" s="57">
        <v>28</v>
      </c>
      <c r="X5" t="s" s="57">
        <v>29</v>
      </c>
      <c r="Y5" t="s" s="57">
        <v>30</v>
      </c>
      <c r="Z5" t="s" s="55">
        <v>31</v>
      </c>
      <c r="AA5" t="s" s="57">
        <v>32</v>
      </c>
      <c r="AB5" t="s" s="58">
        <v>33</v>
      </c>
      <c r="AC5" t="s" s="58">
        <v>34</v>
      </c>
      <c r="AD5" t="s" s="58">
        <v>35</v>
      </c>
      <c r="AE5" t="s" s="58">
        <v>36</v>
      </c>
      <c r="AF5" t="s" s="57">
        <v>37</v>
      </c>
      <c r="AG5" t="s" s="58">
        <v>38</v>
      </c>
      <c r="AH5" t="s" s="58">
        <v>39</v>
      </c>
      <c r="AI5" t="s" s="58">
        <v>40</v>
      </c>
      <c r="AJ5" t="s" s="58">
        <v>41</v>
      </c>
      <c r="AK5" t="s" s="59">
        <v>42</v>
      </c>
      <c r="AL5" t="s" s="58">
        <v>43</v>
      </c>
      <c r="AM5" s="60"/>
      <c r="AN5" t="s" s="58">
        <v>44</v>
      </c>
      <c r="AO5" t="s" s="58">
        <v>45</v>
      </c>
      <c r="AP5" t="s" s="58">
        <v>46</v>
      </c>
      <c r="AQ5" t="s" s="57">
        <v>47</v>
      </c>
      <c r="AR5" t="s" s="57">
        <v>48</v>
      </c>
      <c r="AS5" t="s" s="57">
        <v>49</v>
      </c>
      <c r="AT5" t="s" s="57">
        <v>50</v>
      </c>
      <c r="AU5" t="s" s="61">
        <v>51</v>
      </c>
      <c r="AV5" s="37"/>
      <c r="AW5" t="s" s="57">
        <v>52</v>
      </c>
      <c r="AX5" t="s" s="57">
        <v>53</v>
      </c>
      <c r="AY5" t="s" s="57">
        <v>54</v>
      </c>
      <c r="AZ5" t="s" s="57">
        <v>55</v>
      </c>
      <c r="BA5" s="60"/>
      <c r="BB5" s="62"/>
      <c r="BC5" s="63"/>
      <c r="BD5" s="64"/>
      <c r="BE5" s="64"/>
      <c r="BF5" s="64"/>
      <c r="BG5" s="64"/>
      <c r="BH5" s="64"/>
      <c r="BI5" t="s" s="65">
        <v>56</v>
      </c>
      <c r="BJ5" s="20"/>
      <c r="BK5" s="5"/>
      <c r="BL5" s="5"/>
      <c r="BM5" s="5"/>
      <c r="BN5" s="5"/>
    </row>
    <row r="6" ht="37.5" customHeight="1">
      <c r="A6" s="66"/>
      <c r="B6" s="66"/>
      <c r="C6" s="66"/>
      <c r="D6" s="66"/>
      <c r="E6" s="66"/>
      <c r="F6" s="66"/>
      <c r="G6" s="66"/>
      <c r="H6" t="s" s="67">
        <v>57</v>
      </c>
      <c r="I6" t="s" s="67">
        <v>58</v>
      </c>
      <c r="J6" t="s" s="68">
        <v>59</v>
      </c>
      <c r="K6" t="s" s="69">
        <v>60</v>
      </c>
      <c r="L6" t="s" s="69">
        <v>61</v>
      </c>
      <c r="M6" s="66"/>
      <c r="N6" t="s" s="67">
        <v>62</v>
      </c>
      <c r="O6" t="s" s="69">
        <v>63</v>
      </c>
      <c r="P6" t="s" s="69">
        <v>64</v>
      </c>
      <c r="Q6" t="s" s="69">
        <v>65</v>
      </c>
      <c r="R6" t="s" s="69">
        <v>66</v>
      </c>
      <c r="S6" t="s" s="69">
        <v>67</v>
      </c>
      <c r="T6" t="s" s="69">
        <v>61</v>
      </c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t="s" s="68">
        <v>68</v>
      </c>
      <c r="AV6" t="s" s="68">
        <v>69</v>
      </c>
      <c r="AW6" s="66"/>
      <c r="AX6" s="66"/>
      <c r="AY6" s="66"/>
      <c r="AZ6" s="66"/>
      <c r="BA6" s="66"/>
      <c r="BB6" s="66"/>
      <c r="BC6" s="63"/>
      <c r="BD6" t="s" s="70">
        <v>70</v>
      </c>
      <c r="BE6" t="s" s="70">
        <v>71</v>
      </c>
      <c r="BF6" t="s" s="70">
        <v>72</v>
      </c>
      <c r="BG6" t="s" s="71">
        <v>73</v>
      </c>
      <c r="BH6" t="s" s="71">
        <v>74</v>
      </c>
      <c r="BI6" s="72"/>
      <c r="BJ6" t="s" s="73">
        <v>75</v>
      </c>
      <c r="BK6" t="s" s="73">
        <v>76</v>
      </c>
      <c r="BL6" s="5"/>
      <c r="BM6" s="5"/>
      <c r="BN6" s="5"/>
    </row>
    <row r="7" ht="13.5" customHeight="1">
      <c r="A7" s="74"/>
      <c r="B7" s="74"/>
      <c r="C7" s="74"/>
      <c r="D7" s="74"/>
      <c r="E7" s="74"/>
      <c r="F7" s="74"/>
      <c r="G7" s="74"/>
      <c r="H7" t="s" s="75">
        <v>77</v>
      </c>
      <c r="I7" s="74"/>
      <c r="J7" t="s" s="75">
        <v>77</v>
      </c>
      <c r="K7" t="s" s="75">
        <v>77</v>
      </c>
      <c r="L7" t="s" s="75">
        <v>77</v>
      </c>
      <c r="M7" t="s" s="75">
        <v>77</v>
      </c>
      <c r="N7" t="s" s="75">
        <v>77</v>
      </c>
      <c r="O7" t="s" s="75">
        <v>77</v>
      </c>
      <c r="P7" t="s" s="75">
        <v>77</v>
      </c>
      <c r="Q7" s="74"/>
      <c r="R7" t="s" s="75">
        <v>77</v>
      </c>
      <c r="S7" t="s" s="75">
        <v>77</v>
      </c>
      <c r="T7" t="s" s="75">
        <v>77</v>
      </c>
      <c r="U7" t="s" s="75">
        <v>78</v>
      </c>
      <c r="V7" s="74"/>
      <c r="W7" t="s" s="75">
        <v>78</v>
      </c>
      <c r="X7" t="s" s="75">
        <v>78</v>
      </c>
      <c r="Y7" t="s" s="75">
        <v>78</v>
      </c>
      <c r="Z7" s="74"/>
      <c r="AA7" t="s" s="75">
        <v>77</v>
      </c>
      <c r="AB7" t="s" s="75">
        <v>77</v>
      </c>
      <c r="AC7" t="s" s="75">
        <v>77</v>
      </c>
      <c r="AD7" t="s" s="75">
        <v>77</v>
      </c>
      <c r="AE7" s="74"/>
      <c r="AF7" t="s" s="75">
        <v>77</v>
      </c>
      <c r="AG7" t="s" s="75">
        <v>77</v>
      </c>
      <c r="AH7" t="s" s="75">
        <v>77</v>
      </c>
      <c r="AI7" t="s" s="75">
        <v>77</v>
      </c>
      <c r="AJ7" t="s" s="75">
        <v>77</v>
      </c>
      <c r="AK7" s="74"/>
      <c r="AL7" t="s" s="75">
        <v>77</v>
      </c>
      <c r="AM7" t="s" s="75">
        <v>77</v>
      </c>
      <c r="AN7" t="s" s="75">
        <v>77</v>
      </c>
      <c r="AO7" t="s" s="75">
        <v>77</v>
      </c>
      <c r="AP7" t="s" s="75">
        <v>77</v>
      </c>
      <c r="AQ7" t="s" s="75">
        <v>79</v>
      </c>
      <c r="AR7" t="s" s="75">
        <v>80</v>
      </c>
      <c r="AS7" t="s" s="75">
        <v>80</v>
      </c>
      <c r="AT7" t="s" s="75">
        <v>80</v>
      </c>
      <c r="AU7" s="74"/>
      <c r="AV7" t="s" s="75">
        <v>80</v>
      </c>
      <c r="AW7" t="s" s="75">
        <v>80</v>
      </c>
      <c r="AX7" t="s" s="75">
        <v>80</v>
      </c>
      <c r="AY7" t="s" s="75">
        <v>80</v>
      </c>
      <c r="AZ7" t="s" s="75">
        <v>80</v>
      </c>
      <c r="BA7" t="s" s="75">
        <v>80</v>
      </c>
      <c r="BB7" s="76"/>
      <c r="BC7" s="77"/>
      <c r="BD7" s="78"/>
      <c r="BE7" s="78"/>
      <c r="BF7" s="78"/>
      <c r="BG7" s="78"/>
      <c r="BH7" s="78"/>
      <c r="BI7" s="79"/>
      <c r="BJ7" s="3"/>
      <c r="BK7" s="3"/>
      <c r="BL7" s="3"/>
      <c r="BM7" s="3"/>
      <c r="BN7" s="3"/>
    </row>
    <row r="8" ht="13.5" customHeight="1">
      <c r="A8" s="80"/>
      <c r="B8" s="80"/>
      <c r="C8" s="80"/>
      <c r="D8" s="80"/>
      <c r="E8" s="76"/>
      <c r="F8" s="80"/>
      <c r="G8" s="80"/>
      <c r="H8" s="81">
        <v>1</v>
      </c>
      <c r="I8" s="82"/>
      <c r="J8" s="81">
        <v>2</v>
      </c>
      <c r="K8" s="81">
        <v>3</v>
      </c>
      <c r="L8" s="81">
        <v>4</v>
      </c>
      <c r="M8" s="81">
        <v>5</v>
      </c>
      <c r="N8" s="81">
        <v>5</v>
      </c>
      <c r="O8" s="81">
        <v>6</v>
      </c>
      <c r="P8" s="81">
        <v>7</v>
      </c>
      <c r="Q8" s="82"/>
      <c r="R8" s="81">
        <v>8</v>
      </c>
      <c r="S8" s="81">
        <v>9</v>
      </c>
      <c r="T8" s="81">
        <v>10</v>
      </c>
      <c r="U8" s="81">
        <v>11</v>
      </c>
      <c r="V8" s="81">
        <v>12</v>
      </c>
      <c r="W8" s="81">
        <v>13</v>
      </c>
      <c r="X8" s="81">
        <v>14</v>
      </c>
      <c r="Y8" s="81">
        <v>15</v>
      </c>
      <c r="Z8" s="82"/>
      <c r="AA8" s="81">
        <v>16</v>
      </c>
      <c r="AB8" s="81">
        <v>17</v>
      </c>
      <c r="AC8" s="81">
        <v>18</v>
      </c>
      <c r="AD8" s="81">
        <v>19</v>
      </c>
      <c r="AE8" s="82"/>
      <c r="AF8" s="81">
        <v>23</v>
      </c>
      <c r="AG8" s="81">
        <v>24</v>
      </c>
      <c r="AH8" s="81">
        <v>26</v>
      </c>
      <c r="AI8" s="81">
        <v>27</v>
      </c>
      <c r="AJ8" s="81">
        <v>28</v>
      </c>
      <c r="AK8" s="81">
        <v>29</v>
      </c>
      <c r="AL8" s="81">
        <v>30</v>
      </c>
      <c r="AM8" s="81">
        <v>31</v>
      </c>
      <c r="AN8" s="81">
        <v>32</v>
      </c>
      <c r="AO8" s="81">
        <v>33</v>
      </c>
      <c r="AP8" s="81">
        <v>34</v>
      </c>
      <c r="AQ8" s="81">
        <v>35</v>
      </c>
      <c r="AR8" s="81">
        <v>36</v>
      </c>
      <c r="AS8" s="81">
        <v>37</v>
      </c>
      <c r="AT8" s="81">
        <v>38</v>
      </c>
      <c r="AU8" s="81">
        <v>39</v>
      </c>
      <c r="AV8" s="81">
        <v>40</v>
      </c>
      <c r="AW8" s="81">
        <v>41</v>
      </c>
      <c r="AX8" s="81">
        <v>42</v>
      </c>
      <c r="AY8" s="81">
        <v>43</v>
      </c>
      <c r="AZ8" s="81">
        <v>44</v>
      </c>
      <c r="BA8" s="81">
        <v>47</v>
      </c>
      <c r="BB8" s="82"/>
      <c r="BC8" s="77"/>
      <c r="BD8" s="83"/>
      <c r="BE8" s="83"/>
      <c r="BF8" s="83"/>
      <c r="BG8" s="84"/>
      <c r="BH8" s="64"/>
      <c r="BI8" s="72"/>
      <c r="BJ8" s="5"/>
      <c r="BK8" s="5"/>
      <c r="BL8" s="5"/>
      <c r="BM8" s="5"/>
      <c r="BN8" s="5"/>
    </row>
    <row r="9" ht="24.75" customHeight="1">
      <c r="A9" s="85">
        <v>1</v>
      </c>
      <c r="B9" t="s" s="86">
        <v>81</v>
      </c>
      <c r="C9" t="s" s="87">
        <v>82</v>
      </c>
      <c r="D9" t="s" s="87">
        <v>83</v>
      </c>
      <c r="E9" t="s" s="87">
        <v>84</v>
      </c>
      <c r="F9" s="88"/>
      <c r="G9" t="s" s="86">
        <v>85</v>
      </c>
      <c r="H9" s="89"/>
      <c r="I9" s="89"/>
      <c r="J9" s="89"/>
      <c r="K9" s="89"/>
      <c r="L9" s="89"/>
      <c r="M9" s="90" cm="1">
        <f t="array" ref="M9">26950794+H37</f>
        <v>27950794</v>
      </c>
      <c r="N9" s="91" cm="1">
        <f t="array" ref="N9">M9</f>
        <v>27950794</v>
      </c>
      <c r="O9" s="89">
        <v>5100000</v>
      </c>
      <c r="P9" s="89" cm="1">
        <f t="array" ref="P9">N9-(O9+Q9+R9+S9+T9)</f>
        <v>20970794</v>
      </c>
      <c r="Q9" s="89">
        <v>250000</v>
      </c>
      <c r="R9" s="89">
        <v>400000</v>
      </c>
      <c r="S9" s="89">
        <v>500000</v>
      </c>
      <c r="T9" s="89">
        <v>730000</v>
      </c>
      <c r="U9" s="92" cm="1">
        <f t="array" ref="U9">SUM(W9:Y9)</f>
        <v>10</v>
      </c>
      <c r="V9" s="92">
        <v>20</v>
      </c>
      <c r="W9" s="93"/>
      <c r="X9" s="94"/>
      <c r="Y9" s="94">
        <v>10</v>
      </c>
      <c r="Z9" s="94"/>
      <c r="AA9" s="89" cm="1">
        <f t="array" ref="AA9">SUM(AB9:AD9)</f>
        <v>13975397</v>
      </c>
      <c r="AB9" s="89" cm="1">
        <f t="array" ref="AB9">ROUND($H9/V9*W9,0)</f>
        <v>0</v>
      </c>
      <c r="AC9" s="89" cm="1">
        <f t="array" ref="AC9">ROUND(J9/V9*X9,0)</f>
        <v>0</v>
      </c>
      <c r="AD9" s="89" cm="1">
        <f t="array" ref="AD9">ROUND($N9/V9*Y9,0)</f>
        <v>13975397</v>
      </c>
      <c r="AE9" s="89"/>
      <c r="AF9" s="89" cm="1">
        <f t="array" ref="AF9">SUM(AG9:AL9)</f>
        <v>0</v>
      </c>
      <c r="AG9" s="89"/>
      <c r="AH9" s="89"/>
      <c r="AI9" s="89"/>
      <c r="AJ9" s="89"/>
      <c r="AK9" s="95"/>
      <c r="AL9" s="96"/>
      <c r="AM9" s="89" cm="1">
        <f t="array" ref="AM9">AA9+AF9</f>
        <v>13975397</v>
      </c>
      <c r="AN9" s="89">
        <v>5100000</v>
      </c>
      <c r="AO9" s="89" cm="1">
        <f t="array" ref="AO9">$AN9*$AO$1</f>
        <v>535500</v>
      </c>
      <c r="AP9" s="89" cm="1">
        <f t="array" ref="AP9">$AN9*$AP$1</f>
        <v>1096500</v>
      </c>
      <c r="AQ9" s="93"/>
      <c r="AR9" s="95" cm="1">
        <f t="array" ref="AR9">IF($F9=10%,0,(AQ9*$AR$1+$AR$2))</f>
        <v>11000000</v>
      </c>
      <c r="AS9" s="95" cm="1">
        <f t="array" ref="AS9">AM9-(R9+S9+T9)/V9*U9</f>
        <v>13160397</v>
      </c>
      <c r="AT9" s="89" cm="1">
        <f t="array" ref="AT9">ROUND(IF((AS9-AR9-AO9)&lt;0,0,(AS9-AR9-AO9)),0)</f>
        <v>1624897</v>
      </c>
      <c r="AU9" s="95" cm="1">
        <f t="array" ref="AU9">ROUND(IF($F9=10%,ROUND(AS9*10%,0),0),0)</f>
        <v>0</v>
      </c>
      <c r="AV9" s="95" cm="1">
        <f t="array" ref="AV9">ROUND(IF(AU9&gt;0,0,IF(AT9&lt;5000000,AT9*5%,IF(AT9&lt;10000000,250000+(AT9-5000000)*10%,IF(AT9&lt;18000000,750000+(AT9-10000000)*15%,IF(AT9&lt;32000000,1950000+(AT9-18000000)*20%,IF(AT9&lt;52000000,4750000+(AT9-32000000)*25%,IF(AT9&lt;80000000,9750000+(AT9-52000000)*30%,IF(AT9&lt;400000000,18150000+(AT9-80000000)*35%,0)))))))),0)</f>
        <v>81245</v>
      </c>
      <c r="AW9" s="97" cm="1">
        <f t="array" ref="AW9">AM9-AO9-AV9-AU9</f>
        <v>13358652</v>
      </c>
      <c r="AX9" s="89"/>
      <c r="AY9" s="89"/>
      <c r="AZ9" s="98" cm="1">
        <f t="array" ref="AZ9">ROUND(AW9-AX9+AY9,0)</f>
        <v>13358652</v>
      </c>
      <c r="BA9" s="95" cm="1">
        <f t="array" ref="BA9">AM9+AP9</f>
        <v>15071897</v>
      </c>
      <c r="BB9" t="s" s="69">
        <v>86</v>
      </c>
      <c r="BC9" t="s" s="99">
        <v>87</v>
      </c>
      <c r="BD9" t="str" s="64" cm="1">
        <f t="array" ref="BD9">IF(AND(AN9&gt;0,AU9&gt;0),"check","")</f>
      </c>
      <c r="BE9" t="str" s="64" cm="1">
        <f t="array" ref="BE9">IF(AND($F9&lt;&gt;10%,$AN9=0),"check","")</f>
      </c>
      <c r="BF9" s="100"/>
      <c r="BG9" t="str" s="64" cm="1">
        <f t="array" ref="BG9">IF(AND(F9=10%,Y9&gt;12),"check","")</f>
      </c>
      <c r="BH9" s="101"/>
      <c r="BI9" s="102"/>
      <c r="BJ9" s="34"/>
      <c r="BK9" s="34"/>
      <c r="BL9" s="34"/>
      <c r="BM9" t="s" s="103">
        <v>88</v>
      </c>
      <c r="BN9" s="34" cm="1">
        <f t="array" ref="BN9">SUM(AZ9:AZ33)</f>
      </c>
    </row>
    <row r="10" ht="37.5" customHeight="1">
      <c r="A10" s="85">
        <v>2</v>
      </c>
      <c r="B10" t="s" s="86">
        <v>89</v>
      </c>
      <c r="C10" t="s" s="87">
        <v>90</v>
      </c>
      <c r="D10" t="s" s="87">
        <v>91</v>
      </c>
      <c r="E10" t="s" s="87">
        <v>92</v>
      </c>
      <c r="F10" s="88"/>
      <c r="G10" t="s" s="86">
        <v>85</v>
      </c>
      <c r="H10" s="93"/>
      <c r="I10" s="93"/>
      <c r="J10" s="93"/>
      <c r="K10" s="93"/>
      <c r="L10" s="93"/>
      <c r="M10" s="90" cm="1">
        <f t="array" ref="M10">26298235+H36+2000000</f>
        <v>51798235</v>
      </c>
      <c r="N10" s="91" cm="1">
        <f t="array" ref="N10">M10</f>
        <v>51798235</v>
      </c>
      <c r="O10" s="89">
        <v>9000000</v>
      </c>
      <c r="P10" s="89" cm="1">
        <f t="array" ref="P10">N10-(O10+Q10+R10+S10+T10)</f>
        <v>40168235</v>
      </c>
      <c r="Q10" s="89">
        <v>500000</v>
      </c>
      <c r="R10" s="89">
        <v>400000</v>
      </c>
      <c r="S10" s="89">
        <v>1000000</v>
      </c>
      <c r="T10" s="89">
        <v>730000</v>
      </c>
      <c r="U10" s="92" cm="1">
        <f t="array" ref="U10">SUM(W10:Y10)</f>
        <v>20</v>
      </c>
      <c r="V10" s="92">
        <v>20</v>
      </c>
      <c r="W10" s="93"/>
      <c r="X10" s="92"/>
      <c r="Y10" s="94">
        <v>20</v>
      </c>
      <c r="Z10" s="94"/>
      <c r="AA10" s="89" cm="1">
        <f t="array" ref="AA10">SUM(AB10:AD10)</f>
        <v>51798235</v>
      </c>
      <c r="AB10" s="89" cm="1">
        <f t="array" ref="AB10">ROUND($H10/V10*W10,0)</f>
        <v>0</v>
      </c>
      <c r="AC10" s="89" cm="1">
        <f t="array" ref="AC10">ROUND(J10/V10*X10,0)</f>
        <v>0</v>
      </c>
      <c r="AD10" s="89" cm="1">
        <f t="array" ref="AD10">ROUND($N10/V10*Y10,0)</f>
        <v>51798235</v>
      </c>
      <c r="AE10" s="89"/>
      <c r="AF10" s="89" cm="1">
        <f t="array" ref="AF10">SUM(AG10:AL10)</f>
        <v>0</v>
      </c>
      <c r="AG10" s="92"/>
      <c r="AH10" s="92"/>
      <c r="AI10" s="92"/>
      <c r="AJ10" s="92"/>
      <c r="AK10" s="92"/>
      <c r="AL10" s="92"/>
      <c r="AM10" s="89" cm="1">
        <f t="array" ref="AM10">AA10+AF10</f>
        <v>51798235</v>
      </c>
      <c r="AN10" s="89">
        <v>6000000</v>
      </c>
      <c r="AO10" s="89" cm="1">
        <f t="array" ref="AO10">$AN10*$AO$1</f>
        <v>630000</v>
      </c>
      <c r="AP10" s="89" cm="1">
        <f t="array" ref="AP10">$AN10*$AP$1</f>
        <v>1290000</v>
      </c>
      <c r="AQ10" s="104">
        <v>3</v>
      </c>
      <c r="AR10" s="95" cm="1">
        <f t="array" ref="AR10">IF($F10=10%,0,(AQ10*$AR$1+$AR$2))</f>
        <v>24200000</v>
      </c>
      <c r="AS10" s="95" cm="1">
        <f t="array" ref="AS10">AM10-R10-S10-T10</f>
        <v>49668235</v>
      </c>
      <c r="AT10" s="89" cm="1">
        <f t="array" ref="AT10">ROUND(IF((AS10-AR10-AO10)&lt;0,0,(AS10-AR10-AO10)),0)</f>
        <v>24838235</v>
      </c>
      <c r="AU10" s="95" cm="1">
        <f t="array" ref="AU10">ROUND(IF($F10=10%,ROUND(AS10*10%,0),0),0)</f>
        <v>0</v>
      </c>
      <c r="AV10" s="95" cm="1">
        <f t="array" ref="AV10">ROUND(IF(AU10&gt;0,0,IF(AT10&lt;5000000,AT10*5%,IF(AT10&lt;10000000,250000+(AT10-5000000)*10%,IF(AT10&lt;18000000,750000+(AT10-10000000)*15%,IF(AT10&lt;32000000,1950000+(AT10-18000000)*20%,IF(AT10&lt;52000000,4750000+(AT10-32000000)*25%,IF(AT10&lt;80000000,9750000+(AT10-52000000)*30%,IF(AT10&lt;400000000,18150000+(AT10-80000000)*35%,0)))))))),0)</f>
        <v>3317647</v>
      </c>
      <c r="AW10" s="89" cm="1">
        <f t="array" ref="AW10">AM10-AO10-AV10-AU10</f>
        <v>47850588</v>
      </c>
      <c r="AX10" s="92"/>
      <c r="AY10" s="92"/>
      <c r="AZ10" s="98" cm="1">
        <f t="array" ref="AZ10">ROUND(AW10-AX10+AY10,0)</f>
        <v>47850588</v>
      </c>
      <c r="BA10" s="95" cm="1">
        <f t="array" ref="BA10">AM10+AP10</f>
        <v>53088235</v>
      </c>
      <c r="BB10" t="s" s="75">
        <v>93</v>
      </c>
      <c r="BC10" s="105"/>
      <c r="BD10" s="64"/>
      <c r="BE10" s="64"/>
      <c r="BF10" s="64"/>
      <c r="BG10" s="64"/>
      <c r="BH10" s="64"/>
      <c r="BI10" t="s" s="106">
        <v>94</v>
      </c>
      <c r="BJ10" s="34"/>
      <c r="BK10" s="34"/>
      <c r="BL10" s="34"/>
      <c r="BM10" t="s" s="103">
        <v>95</v>
      </c>
      <c r="BN10" s="18" cm="1">
        <f t="array" ref="BN10">SUM(BA9:BA33)</f>
      </c>
    </row>
    <row r="11" ht="22.5" customHeight="1">
      <c r="A11" s="85">
        <v>3</v>
      </c>
      <c r="B11" t="s" s="86">
        <v>96</v>
      </c>
      <c r="C11" t="s" s="87">
        <v>97</v>
      </c>
      <c r="D11" t="s" s="87">
        <v>98</v>
      </c>
      <c r="E11" t="s" s="87">
        <v>92</v>
      </c>
      <c r="F11" s="88"/>
      <c r="G11" t="s" s="86">
        <v>85</v>
      </c>
      <c r="H11" s="93"/>
      <c r="I11" s="93"/>
      <c r="J11" s="93"/>
      <c r="K11" s="93"/>
      <c r="L11" s="93"/>
      <c r="M11" s="90" cm="1">
        <f t="array" ref="M11">36728000+H38</f>
        <v>40728000</v>
      </c>
      <c r="N11" s="91" cm="1">
        <f t="array" ref="N11">M11</f>
        <v>40728000</v>
      </c>
      <c r="O11" s="89">
        <v>5100000</v>
      </c>
      <c r="P11" s="89" cm="1">
        <f t="array" ref="P11">N11-(O11+Q11+R11+S11+T11)</f>
        <v>33248000</v>
      </c>
      <c r="Q11" s="89">
        <v>250000</v>
      </c>
      <c r="R11" s="89">
        <v>400000</v>
      </c>
      <c r="S11" s="89">
        <v>1000000</v>
      </c>
      <c r="T11" s="89">
        <v>730000</v>
      </c>
      <c r="U11" s="92" cm="1">
        <f t="array" ref="U11">SUM(W11:Y11)</f>
        <v>20</v>
      </c>
      <c r="V11" s="92">
        <v>20</v>
      </c>
      <c r="W11" s="93"/>
      <c r="X11" s="93"/>
      <c r="Y11" s="94">
        <v>20</v>
      </c>
      <c r="Z11" s="94"/>
      <c r="AA11" s="89" cm="1">
        <f t="array" ref="AA11">SUM(AB11:AD11)</f>
        <v>40728000</v>
      </c>
      <c r="AB11" s="89" cm="1">
        <f t="array" ref="AB11">ROUND($H11/V11*W11,0)</f>
        <v>0</v>
      </c>
      <c r="AC11" s="89" cm="1">
        <f t="array" ref="AC11">ROUND(J11/V11*X11,0)</f>
        <v>0</v>
      </c>
      <c r="AD11" s="89" cm="1">
        <f t="array" ref="AD11">ROUND($N11/V11*Y11,0)</f>
        <v>40728000</v>
      </c>
      <c r="AE11" s="89"/>
      <c r="AF11" s="89" cm="1">
        <f t="array" ref="AF11">SUM(AG11:AL11)</f>
        <v>0</v>
      </c>
      <c r="AG11" s="93"/>
      <c r="AH11" s="93"/>
      <c r="AI11" s="93"/>
      <c r="AJ11" s="93"/>
      <c r="AK11" s="93"/>
      <c r="AL11" s="95"/>
      <c r="AM11" s="89" cm="1">
        <f t="array" ref="AM11">AA11+AF11</f>
        <v>40728000</v>
      </c>
      <c r="AN11" s="89">
        <v>5100000</v>
      </c>
      <c r="AO11" s="89" cm="1">
        <f t="array" ref="AO11">$AN11*$AO$1</f>
        <v>535500</v>
      </c>
      <c r="AP11" s="89" cm="1">
        <f t="array" ref="AP11">$AN11*$AP$1</f>
        <v>1096500</v>
      </c>
      <c r="AQ11" s="93"/>
      <c r="AR11" s="95" cm="1">
        <f t="array" ref="AR11">IF($F11=10%,0,(AQ11*$AR$1+$AR$2))</f>
        <v>11000000</v>
      </c>
      <c r="AS11" s="95" cm="1">
        <f t="array" ref="AS11">AM11-R11-S11-T11</f>
        <v>38598000</v>
      </c>
      <c r="AT11" s="89" cm="1">
        <f t="array" ref="AT11">ROUND(IF((AS11-AR11-AO11)&lt;0,0,(AS11-AR11-AO11)),0)</f>
        <v>27062500</v>
      </c>
      <c r="AU11" s="95" cm="1">
        <f t="array" ref="AU11">ROUND(IF($F11=10%,ROUND(AS11*10%,0),0),0)</f>
        <v>0</v>
      </c>
      <c r="AV11" s="95" cm="1">
        <f t="array" ref="AV11">ROUND(IF(AU11&gt;0,0,IF(AT11&lt;5000000,AT11*5%,IF(AT11&lt;10000000,250000+(AT11-5000000)*10%,IF(AT11&lt;18000000,750000+(AT11-10000000)*15%,IF(AT11&lt;32000000,1950000+(AT11-18000000)*20%,IF(AT11&lt;52000000,4750000+(AT11-32000000)*25%,IF(AT11&lt;80000000,9750000+(AT11-52000000)*30%,IF(AT11&lt;400000000,18150000+(AT11-80000000)*35%,0)))))))),0)</f>
        <v>3762500</v>
      </c>
      <c r="AW11" s="89" cm="1">
        <f t="array" ref="AW11">AM11-AO11-AV11-AU11</f>
        <v>36430000</v>
      </c>
      <c r="AX11" s="93"/>
      <c r="AY11" s="93"/>
      <c r="AZ11" s="98" cm="1">
        <f t="array" ref="AZ11">ROUND(AW11-AX11+AY11,0)</f>
        <v>36430000</v>
      </c>
      <c r="BA11" s="95" cm="1">
        <f t="array" ref="BA11">AM11+AP11</f>
        <v>41824500</v>
      </c>
      <c r="BB11" t="s" s="75">
        <v>93</v>
      </c>
      <c r="BC11" s="105"/>
      <c r="BD11" s="64"/>
      <c r="BE11" s="64"/>
      <c r="BF11" s="64"/>
      <c r="BG11" s="64"/>
      <c r="BH11" s="64"/>
      <c r="BI11" s="102"/>
      <c r="BJ11" s="34"/>
      <c r="BK11" s="34"/>
      <c r="BL11" s="34"/>
      <c r="BM11" t="s" s="103">
        <v>99</v>
      </c>
      <c r="BN11" s="34" cm="1">
        <f t="array" ref="BN11">SUM(BN9:BN10)</f>
      </c>
    </row>
    <row r="12" ht="18" customHeight="1">
      <c r="A12" s="85">
        <v>4</v>
      </c>
      <c r="B12" t="s" s="86">
        <v>100</v>
      </c>
      <c r="C12" t="s" s="87">
        <v>101</v>
      </c>
      <c r="D12" t="s" s="87">
        <v>102</v>
      </c>
      <c r="E12" t="s" s="87">
        <v>92</v>
      </c>
      <c r="F12" s="88"/>
      <c r="G12" t="s" s="86">
        <v>85</v>
      </c>
      <c r="H12" s="93"/>
      <c r="I12" s="93"/>
      <c r="J12" s="93"/>
      <c r="K12" s="93"/>
      <c r="L12" s="93"/>
      <c r="M12" s="90" cm="1">
        <f t="array" ref="M12">31000000+H39</f>
        <v>32000000</v>
      </c>
      <c r="N12" s="91" cm="1">
        <f t="array" ref="N12">M12</f>
        <v>32000000</v>
      </c>
      <c r="O12" s="89">
        <v>5100000</v>
      </c>
      <c r="P12" s="89" cm="1">
        <f t="array" ref="P12">N12-(O12+Q12+R12+S12+T12)</f>
        <v>25020000</v>
      </c>
      <c r="Q12" s="89">
        <v>250000</v>
      </c>
      <c r="R12" s="89">
        <v>400000</v>
      </c>
      <c r="S12" s="89">
        <v>500000</v>
      </c>
      <c r="T12" s="89">
        <v>730000</v>
      </c>
      <c r="U12" s="92" cm="1">
        <f t="array" ref="U12">SUM(W12:Y12)</f>
        <v>20</v>
      </c>
      <c r="V12" s="92">
        <v>20</v>
      </c>
      <c r="W12" s="93"/>
      <c r="X12" s="93"/>
      <c r="Y12" s="94">
        <v>20</v>
      </c>
      <c r="Z12" s="94"/>
      <c r="AA12" s="89" cm="1">
        <f t="array" ref="AA12">SUM(AB12:AD12)</f>
        <v>32000000</v>
      </c>
      <c r="AB12" s="89" cm="1">
        <f t="array" ref="AB12">ROUND($H12/V12*W12,0)</f>
        <v>0</v>
      </c>
      <c r="AC12" s="89" cm="1">
        <f t="array" ref="AC12">ROUND(J12/V12*X12,0)</f>
        <v>0</v>
      </c>
      <c r="AD12" s="89" cm="1">
        <f t="array" ref="AD12">ROUND($N12/V12*Y12,0)</f>
        <v>32000000</v>
      </c>
      <c r="AE12" s="89"/>
      <c r="AF12" s="89" cm="1">
        <f t="array" ref="AF12">SUM(AG12:AL12)</f>
        <v>0</v>
      </c>
      <c r="AG12" s="93"/>
      <c r="AH12" s="93"/>
      <c r="AI12" s="93"/>
      <c r="AJ12" s="93"/>
      <c r="AK12" s="93"/>
      <c r="AL12" s="95"/>
      <c r="AM12" s="89" cm="1">
        <f t="array" ref="AM12">AA12+AF12</f>
        <v>32000000</v>
      </c>
      <c r="AN12" s="89">
        <v>5100000</v>
      </c>
      <c r="AO12" s="89" cm="1">
        <f t="array" ref="AO12">$AN12*$AO$1</f>
        <v>535500</v>
      </c>
      <c r="AP12" s="89" cm="1">
        <f t="array" ref="AP12">$AN12*$AP$1</f>
        <v>1096500</v>
      </c>
      <c r="AQ12" s="93"/>
      <c r="AR12" s="95" cm="1">
        <f t="array" ref="AR12">IF($F12=10%,0,(AQ12*$AR$1+$AR$2))</f>
        <v>11000000</v>
      </c>
      <c r="AS12" s="95" cm="1">
        <f t="array" ref="AS12">AM12-R12-S12-T12</f>
        <v>30370000</v>
      </c>
      <c r="AT12" s="89" cm="1">
        <f t="array" ref="AT12">ROUND(IF((AS12-AR12-AO12)&lt;0,0,(AS12-AR12-AO12)),0)</f>
        <v>18834500</v>
      </c>
      <c r="AU12" s="95" cm="1">
        <f t="array" ref="AU12">ROUND(IF($F12=10%,ROUND(AS12*10%,0),0),0)</f>
        <v>0</v>
      </c>
      <c r="AV12" s="95" cm="1">
        <f t="array" ref="AV12">ROUND(IF(AU12&gt;0,0,IF(AT12&lt;5000000,AT12*5%,IF(AT12&lt;10000000,250000+(AT12-5000000)*10%,IF(AT12&lt;18000000,750000+(AT12-10000000)*15%,IF(AT12&lt;32000000,1950000+(AT12-18000000)*20%,IF(AT12&lt;52000000,4750000+(AT12-32000000)*25%,IF(AT12&lt;80000000,9750000+(AT12-52000000)*30%,IF(AT12&lt;400000000,18150000+(AT12-80000000)*35%,0)))))))),0)</f>
        <v>2116900</v>
      </c>
      <c r="AW12" s="89" cm="1">
        <f t="array" ref="AW12">AM12-AO12-AV12-AU12</f>
        <v>29347600</v>
      </c>
      <c r="AX12" s="93"/>
      <c r="AY12" s="93"/>
      <c r="AZ12" s="98" cm="1">
        <f t="array" ref="AZ12">ROUND(AW12-AX12+AY12,0)</f>
        <v>29347600</v>
      </c>
      <c r="BA12" s="95" cm="1">
        <f t="array" ref="BA12">AM12+AP12</f>
        <v>33096500</v>
      </c>
      <c r="BB12" s="107"/>
      <c r="BC12" s="105"/>
      <c r="BD12" s="64"/>
      <c r="BE12" s="64"/>
      <c r="BF12" s="64"/>
      <c r="BG12" s="64"/>
      <c r="BH12" s="64"/>
      <c r="BI12" s="102"/>
      <c r="BJ12" s="34"/>
      <c r="BK12" s="34"/>
      <c r="BL12" s="34"/>
      <c r="BM12" s="5"/>
      <c r="BN12" s="5"/>
    </row>
    <row r="13" ht="18" customHeight="1">
      <c r="A13" s="85">
        <v>5</v>
      </c>
      <c r="B13" t="s" s="86">
        <v>103</v>
      </c>
      <c r="C13" t="s" s="87">
        <v>104</v>
      </c>
      <c r="D13" t="s" s="87">
        <v>105</v>
      </c>
      <c r="E13" t="s" s="87">
        <v>106</v>
      </c>
      <c r="F13" s="88"/>
      <c r="G13" t="s" s="86">
        <v>85</v>
      </c>
      <c r="H13" s="93"/>
      <c r="I13" s="93"/>
      <c r="J13" s="93"/>
      <c r="K13" s="93"/>
      <c r="L13" s="93"/>
      <c r="M13" s="90" cm="1">
        <f t="array" ref="M13">18000000+H40</f>
        <v>19000000</v>
      </c>
      <c r="N13" s="91" cm="1">
        <f t="array" ref="N13">M13</f>
        <v>19000000</v>
      </c>
      <c r="O13" s="89">
        <v>5100000</v>
      </c>
      <c r="P13" s="89" cm="1">
        <f t="array" ref="P13">N13-(O13+Q13+R13+S13+T13)</f>
        <v>12020000</v>
      </c>
      <c r="Q13" s="89">
        <v>250000</v>
      </c>
      <c r="R13" s="89">
        <v>400000</v>
      </c>
      <c r="S13" s="89">
        <v>500000</v>
      </c>
      <c r="T13" s="89">
        <v>730000</v>
      </c>
      <c r="U13" s="92" cm="1">
        <f t="array" ref="U13">SUM(W13:Y13)</f>
        <v>20</v>
      </c>
      <c r="V13" s="92">
        <v>20</v>
      </c>
      <c r="W13" s="93"/>
      <c r="X13" s="93"/>
      <c r="Y13" s="94">
        <v>20</v>
      </c>
      <c r="Z13" s="94"/>
      <c r="AA13" s="89" cm="1">
        <f t="array" ref="AA13">SUM(AB13:AD13)</f>
        <v>19000000</v>
      </c>
      <c r="AB13" s="89" cm="1">
        <f t="array" ref="AB13">ROUND($H13/V13*W13,0)</f>
        <v>0</v>
      </c>
      <c r="AC13" s="89" cm="1">
        <f t="array" ref="AC13">ROUND(J13/V13*X13,0)</f>
        <v>0</v>
      </c>
      <c r="AD13" s="89" cm="1">
        <f t="array" ref="AD13">ROUND($N13/V13*Y13,0)</f>
        <v>19000000</v>
      </c>
      <c r="AE13" s="89"/>
      <c r="AF13" s="89" cm="1">
        <f t="array" ref="AF13">SUM(AG13:AL13)</f>
        <v>0</v>
      </c>
      <c r="AG13" s="93"/>
      <c r="AH13" s="93"/>
      <c r="AI13" s="93"/>
      <c r="AJ13" s="93"/>
      <c r="AK13" s="93"/>
      <c r="AL13" s="95"/>
      <c r="AM13" s="89" cm="1">
        <f t="array" ref="AM13">AA13+AF13</f>
        <v>19000000</v>
      </c>
      <c r="AN13" s="89">
        <v>5100000</v>
      </c>
      <c r="AO13" s="89" cm="1">
        <f t="array" ref="AO13">$AN13*$AO$1</f>
        <v>535500</v>
      </c>
      <c r="AP13" s="89" cm="1">
        <f t="array" ref="AP13">$AN13*$AP$1</f>
        <v>1096500</v>
      </c>
      <c r="AQ13" s="93"/>
      <c r="AR13" s="95" cm="1">
        <f t="array" ref="AR13">IF($F13=10%,0,(AQ13*$AR$1+$AR$2))</f>
        <v>11000000</v>
      </c>
      <c r="AS13" s="95" cm="1">
        <f t="array" ref="AS13">AM13-R13-S13-T13</f>
        <v>17370000</v>
      </c>
      <c r="AT13" s="89" cm="1">
        <f t="array" ref="AT13">ROUND(IF((AS13-AR13-AO13)&lt;0,0,(AS13-AR13-AO13)),0)</f>
        <v>5834500</v>
      </c>
      <c r="AU13" s="95" cm="1">
        <f t="array" ref="AU13">ROUND(IF($F13=10%,ROUND(AS13*10%,0),0),0)</f>
        <v>0</v>
      </c>
      <c r="AV13" s="95" cm="1">
        <f t="array" ref="AV13">ROUND(IF(AU13&gt;0,0,IF(AT13&lt;5000000,AT13*5%,IF(AT13&lt;10000000,250000+(AT13-5000000)*10%,IF(AT13&lt;18000000,750000+(AT13-10000000)*15%,IF(AT13&lt;32000000,1950000+(AT13-18000000)*20%,IF(AT13&lt;52000000,4750000+(AT13-32000000)*25%,IF(AT13&lt;80000000,9750000+(AT13-52000000)*30%,IF(AT13&lt;400000000,18150000+(AT13-80000000)*35%,0)))))))),0)</f>
        <v>333450</v>
      </c>
      <c r="AW13" s="89" cm="1">
        <f t="array" ref="AW13">AM13-AO13-AV13-AU13</f>
        <v>18131050</v>
      </c>
      <c r="AX13" s="93"/>
      <c r="AY13" s="93"/>
      <c r="AZ13" s="98" cm="1">
        <f t="array" ref="AZ13">ROUND(AW13-AX13+AY13,0)</f>
        <v>18131050</v>
      </c>
      <c r="BA13" s="95" cm="1">
        <f t="array" ref="BA13">AM13+AP13</f>
        <v>20096500</v>
      </c>
      <c r="BB13" s="107"/>
      <c r="BC13" s="105"/>
      <c r="BD13" s="64"/>
      <c r="BE13" s="64"/>
      <c r="BF13" s="64"/>
      <c r="BG13" s="64"/>
      <c r="BH13" s="64"/>
      <c r="BI13" s="102"/>
      <c r="BJ13" s="34"/>
      <c r="BK13" s="34"/>
      <c r="BL13" s="34"/>
      <c r="BM13" s="5"/>
      <c r="BN13" s="5"/>
    </row>
    <row r="14" ht="18" customHeight="1">
      <c r="A14" s="108">
        <v>6</v>
      </c>
      <c r="B14" t="s" s="109">
        <v>107</v>
      </c>
      <c r="C14" t="s" s="87">
        <v>108</v>
      </c>
      <c r="D14" t="s" s="87">
        <v>109</v>
      </c>
      <c r="E14" t="s" s="87">
        <v>92</v>
      </c>
      <c r="F14" s="88"/>
      <c r="G14" t="s" s="86">
        <v>85</v>
      </c>
      <c r="H14" s="93"/>
      <c r="I14" s="93"/>
      <c r="J14" s="93"/>
      <c r="K14" s="93"/>
      <c r="L14" s="93"/>
      <c r="M14" s="90" cm="1">
        <f t="array" ref="M14">26215500+H41</f>
        <v>29715500</v>
      </c>
      <c r="N14" s="110" cm="1">
        <f t="array" ref="N14">M14</f>
        <v>29715500</v>
      </c>
      <c r="O14" s="89">
        <v>5100000</v>
      </c>
      <c r="P14" s="89" cm="1">
        <f t="array" ref="P14">N14-(O14+Q14+R14+S14+T14)</f>
        <v>22735500</v>
      </c>
      <c r="Q14" s="89">
        <v>250000</v>
      </c>
      <c r="R14" s="89">
        <v>400000</v>
      </c>
      <c r="S14" s="89">
        <v>500000</v>
      </c>
      <c r="T14" s="89">
        <v>730000</v>
      </c>
      <c r="U14" s="92" cm="1">
        <f t="array" ref="U14">SUM(W14:Y14)</f>
        <v>20</v>
      </c>
      <c r="V14" s="92">
        <v>20</v>
      </c>
      <c r="W14" s="93"/>
      <c r="X14" s="93"/>
      <c r="Y14" s="94">
        <v>20</v>
      </c>
      <c r="Z14" s="94"/>
      <c r="AA14" s="89" cm="1">
        <f t="array" ref="AA14">SUM(AB14:AD14)</f>
        <v>29715500</v>
      </c>
      <c r="AB14" s="89" cm="1">
        <f t="array" ref="AB14">ROUND($H14/V14*W14,0)</f>
        <v>0</v>
      </c>
      <c r="AC14" s="89" cm="1">
        <f t="array" ref="AC14">ROUND(J14/V14*X14,0)</f>
        <v>0</v>
      </c>
      <c r="AD14" s="89" cm="1">
        <f t="array" ref="AD14">ROUND($N14/V14*Y14,0)</f>
        <v>29715500</v>
      </c>
      <c r="AE14" s="89"/>
      <c r="AF14" s="89" cm="1">
        <f t="array" ref="AF14">SUM(AG14:AL14)</f>
        <v>0</v>
      </c>
      <c r="AG14" s="93"/>
      <c r="AH14" s="93"/>
      <c r="AI14" s="93"/>
      <c r="AJ14" s="93"/>
      <c r="AK14" s="93"/>
      <c r="AL14" s="95"/>
      <c r="AM14" s="89" cm="1">
        <f t="array" ref="AM14">AA14+AF14</f>
        <v>29715500</v>
      </c>
      <c r="AN14" s="89">
        <v>5100000</v>
      </c>
      <c r="AO14" s="89" cm="1">
        <f t="array" ref="AO14">$AN14*$AO$1</f>
        <v>535500</v>
      </c>
      <c r="AP14" s="89" cm="1">
        <f t="array" ref="AP14">$AN14*$AP$1</f>
        <v>1096500</v>
      </c>
      <c r="AQ14" s="104">
        <v>1</v>
      </c>
      <c r="AR14" s="95" cm="1">
        <f t="array" ref="AR14">IF($F14=10%,0,(AQ14*$AR$1+$AR$2))</f>
        <v>15400000</v>
      </c>
      <c r="AS14" s="95" cm="1">
        <f t="array" ref="AS14">AM14-R14-S14-T14</f>
        <v>28085500</v>
      </c>
      <c r="AT14" s="89" cm="1">
        <f t="array" ref="AT14">ROUND(IF((AS14-AR14-AO14)&lt;0,0,(AS14-AR14-AO14)),0)</f>
        <v>12150000</v>
      </c>
      <c r="AU14" s="95" cm="1">
        <f t="array" ref="AU14">ROUND(IF($F14=10%,ROUND(AS14*10%,0),0),0)</f>
        <v>0</v>
      </c>
      <c r="AV14" s="95" cm="1">
        <f t="array" ref="AV14">ROUND(IF(AU14&gt;0,0,IF(AT14&lt;5000000,AT14*5%,IF(AT14&lt;10000000,250000+(AT14-5000000)*10%,IF(AT14&lt;18000000,750000+(AT14-10000000)*15%,IF(AT14&lt;32000000,1950000+(AT14-18000000)*20%,IF(AT14&lt;52000000,4750000+(AT14-32000000)*25%,IF(AT14&lt;80000000,9750000+(AT14-52000000)*30%,IF(AT14&lt;400000000,18150000+(AT14-80000000)*35%,0)))))))),0)</f>
        <v>1072500</v>
      </c>
      <c r="AW14" s="89" cm="1">
        <f t="array" ref="AW14">AM14-AO14-AV14-AU14</f>
        <v>28107500</v>
      </c>
      <c r="AX14" s="93"/>
      <c r="AY14" s="93"/>
      <c r="AZ14" s="98" cm="1">
        <f t="array" ref="AZ14">ROUND(AW14-AX14+AY14,0)</f>
        <v>28107500</v>
      </c>
      <c r="BA14" s="95" cm="1">
        <f t="array" ref="BA14">AM14+AP14</f>
        <v>30812000</v>
      </c>
      <c r="BB14" s="107"/>
      <c r="BC14" s="105"/>
      <c r="BD14" s="64"/>
      <c r="BE14" s="64"/>
      <c r="BF14" s="64"/>
      <c r="BG14" s="64"/>
      <c r="BH14" s="64"/>
      <c r="BI14" s="102"/>
      <c r="BJ14" s="34"/>
      <c r="BK14" s="34"/>
      <c r="BL14" s="34"/>
      <c r="BM14" s="5"/>
      <c r="BN14" s="5"/>
    </row>
    <row r="15" ht="18" customHeight="1">
      <c r="A15" s="85">
        <v>7</v>
      </c>
      <c r="B15" t="s" s="86">
        <v>110</v>
      </c>
      <c r="C15" t="s" s="87">
        <v>111</v>
      </c>
      <c r="D15" t="s" s="87">
        <v>112</v>
      </c>
      <c r="E15" t="s" s="87">
        <v>113</v>
      </c>
      <c r="F15" s="111"/>
      <c r="G15" t="s" s="86">
        <v>85</v>
      </c>
      <c r="H15" s="93"/>
      <c r="I15" s="93"/>
      <c r="J15" s="95"/>
      <c r="K15" s="93"/>
      <c r="L15" s="93"/>
      <c r="M15" s="90" cm="1">
        <f t="array" ref="M15">18000000+H42</f>
        <v>21000000</v>
      </c>
      <c r="N15" s="91" cm="1">
        <f t="array" ref="N15">M15</f>
        <v>21000000</v>
      </c>
      <c r="O15" s="89">
        <v>5100000</v>
      </c>
      <c r="P15" s="89" cm="1">
        <f t="array" ref="P15">N15-(O15+Q15+R15+S15+T15)</f>
        <v>14020000</v>
      </c>
      <c r="Q15" s="89">
        <v>250000</v>
      </c>
      <c r="R15" s="89">
        <v>400000</v>
      </c>
      <c r="S15" s="89">
        <v>500000</v>
      </c>
      <c r="T15" s="89">
        <v>730000</v>
      </c>
      <c r="U15" s="92" cm="1">
        <f t="array" ref="U15">SUM(W15:Y15)</f>
        <v>20</v>
      </c>
      <c r="V15" s="92">
        <v>20</v>
      </c>
      <c r="W15" s="93"/>
      <c r="X15" s="92"/>
      <c r="Y15" s="94">
        <v>20</v>
      </c>
      <c r="Z15" s="94"/>
      <c r="AA15" s="89" cm="1">
        <f t="array" ref="AA15">SUM(AB15:AD15)</f>
        <v>21000000</v>
      </c>
      <c r="AB15" s="89" cm="1">
        <f t="array" ref="AB15">ROUND($H15/V15*W15,0)</f>
        <v>0</v>
      </c>
      <c r="AC15" s="89" cm="1">
        <f t="array" ref="AC15">ROUND(J15/V15*X15,0)</f>
        <v>0</v>
      </c>
      <c r="AD15" s="89" cm="1">
        <f t="array" ref="AD15">ROUND($N15/V15*Y15,0)</f>
        <v>21000000</v>
      </c>
      <c r="AE15" s="89"/>
      <c r="AF15" s="89" cm="1">
        <f t="array" ref="AF15">SUM(AG15:AL15)</f>
        <v>0</v>
      </c>
      <c r="AG15" s="93"/>
      <c r="AH15" s="93"/>
      <c r="AI15" s="93"/>
      <c r="AJ15" s="93"/>
      <c r="AK15" s="93"/>
      <c r="AL15" s="95"/>
      <c r="AM15" s="89" cm="1">
        <f t="array" ref="AM15">AA15+AF15</f>
        <v>21000000</v>
      </c>
      <c r="AN15" s="89">
        <v>5100000</v>
      </c>
      <c r="AO15" s="89" cm="1">
        <f t="array" ref="AO15">$AN15*$AO$1</f>
        <v>535500</v>
      </c>
      <c r="AP15" s="89" cm="1">
        <f t="array" ref="AP15">$AN15*$AP$1</f>
        <v>1096500</v>
      </c>
      <c r="AQ15" s="93"/>
      <c r="AR15" s="95" cm="1">
        <f t="array" ref="AR15">IF($F15=10%,0,(AQ15*$AR$1+$AR$2))</f>
        <v>11000000</v>
      </c>
      <c r="AS15" s="95" cm="1">
        <f t="array" ref="AS15">AM15-R15-S15-T15</f>
        <v>19370000</v>
      </c>
      <c r="AT15" s="89" cm="1">
        <f t="array" ref="AT15">ROUND(IF((AS15-AR15-AO15)&lt;0,0,(AS15-AR15-AO15)),0)</f>
        <v>7834500</v>
      </c>
      <c r="AU15" s="95" cm="1">
        <f t="array" ref="AU15">ROUND(IF($F15=10%,ROUND(AS15*10%,0),0),0)</f>
        <v>0</v>
      </c>
      <c r="AV15" s="95" cm="1">
        <f t="array" ref="AV15">ROUND(IF(AU15&gt;0,0,IF(AT15&lt;5000000,AT15*5%,IF(AT15&lt;10000000,250000+(AT15-5000000)*10%,IF(AT15&lt;18000000,750000+(AT15-10000000)*15%,IF(AT15&lt;32000000,1950000+(AT15-18000000)*20%,IF(AT15&lt;52000000,4750000+(AT15-32000000)*25%,IF(AT15&lt;80000000,9750000+(AT15-52000000)*30%,IF(AT15&lt;400000000,18150000+(AT15-80000000)*35%,0)))))))),0)</f>
        <v>533450</v>
      </c>
      <c r="AW15" s="89" cm="1">
        <f t="array" ref="AW15">AM15-AO15-AV15-AU15</f>
        <v>19931050</v>
      </c>
      <c r="AX15" s="93"/>
      <c r="AY15" s="93"/>
      <c r="AZ15" s="98" cm="1">
        <f t="array" ref="AZ15">ROUND(AW15-AX15+AY15,0)</f>
        <v>19931050</v>
      </c>
      <c r="BA15" s="95" cm="1">
        <f t="array" ref="BA15">AM15+AP15</f>
        <v>22096500</v>
      </c>
      <c r="BB15" s="107"/>
      <c r="BC15" s="105"/>
      <c r="BD15" s="64"/>
      <c r="BE15" s="64"/>
      <c r="BF15" s="64"/>
      <c r="BG15" s="64"/>
      <c r="BH15" s="64"/>
      <c r="BI15" s="102"/>
      <c r="BJ15" s="34"/>
      <c r="BK15" s="34"/>
      <c r="BL15" s="34"/>
      <c r="BM15" s="5"/>
      <c r="BN15" s="5"/>
    </row>
    <row r="16" ht="18" customHeight="1">
      <c r="A16" s="85">
        <v>8</v>
      </c>
      <c r="B16" t="s" s="86">
        <v>114</v>
      </c>
      <c r="C16" t="s" s="87">
        <v>115</v>
      </c>
      <c r="D16" t="s" s="87">
        <v>116</v>
      </c>
      <c r="E16" t="s" s="87">
        <v>117</v>
      </c>
      <c r="F16" s="111"/>
      <c r="G16" t="s" s="86">
        <v>85</v>
      </c>
      <c r="H16" s="95"/>
      <c r="I16" s="95"/>
      <c r="J16" s="112"/>
      <c r="K16" s="93"/>
      <c r="L16" s="93"/>
      <c r="M16" s="90" cm="1">
        <f t="array" ref="M16">23000000+H43</f>
        <v>24000000</v>
      </c>
      <c r="N16" s="91" cm="1">
        <f t="array" ref="N16">M16</f>
        <v>24000000</v>
      </c>
      <c r="O16" s="89">
        <v>5100000</v>
      </c>
      <c r="P16" s="89" cm="1">
        <f t="array" ref="P16">N16-(O16+Q16+R16+S16+T16)</f>
        <v>17020000</v>
      </c>
      <c r="Q16" s="89">
        <v>250000</v>
      </c>
      <c r="R16" s="89">
        <v>400000</v>
      </c>
      <c r="S16" s="89">
        <v>500000</v>
      </c>
      <c r="T16" s="89">
        <v>730000</v>
      </c>
      <c r="U16" s="92" cm="1">
        <f t="array" ref="U16">SUM(W16:Y16)</f>
        <v>20</v>
      </c>
      <c r="V16" s="92">
        <v>20</v>
      </c>
      <c r="W16" s="92"/>
      <c r="X16" s="113"/>
      <c r="Y16" s="94">
        <v>20</v>
      </c>
      <c r="Z16" s="94"/>
      <c r="AA16" s="89" cm="1">
        <f t="array" ref="AA16">SUM(AB16:AD16)</f>
        <v>24000000</v>
      </c>
      <c r="AB16" s="89" cm="1">
        <f t="array" ref="AB16">ROUND($H16/V16*W16,0)</f>
        <v>0</v>
      </c>
      <c r="AC16" s="89" cm="1">
        <f t="array" ref="AC16">ROUND(J16/V16*X16,0)</f>
        <v>0</v>
      </c>
      <c r="AD16" s="89" cm="1">
        <f t="array" ref="AD16">ROUND($N16/V16*Y16,0)</f>
        <v>24000000</v>
      </c>
      <c r="AE16" s="89"/>
      <c r="AF16" s="89" cm="1">
        <f t="array" ref="AF16">SUM(AG16:AL16)</f>
        <v>0</v>
      </c>
      <c r="AG16" s="93"/>
      <c r="AH16" s="93"/>
      <c r="AI16" s="93"/>
      <c r="AJ16" s="93"/>
      <c r="AK16" s="93"/>
      <c r="AL16" s="95"/>
      <c r="AM16" s="89" cm="1">
        <f t="array" ref="AM16">AA16+AF16</f>
        <v>24000000</v>
      </c>
      <c r="AN16" s="89">
        <v>5100000</v>
      </c>
      <c r="AO16" s="89" cm="1">
        <f t="array" ref="AO16">$AN16*$AO$1</f>
        <v>535500</v>
      </c>
      <c r="AP16" s="89" cm="1">
        <f t="array" ref="AP16">$AN16*$AP$1</f>
        <v>1096500</v>
      </c>
      <c r="AQ16" s="93"/>
      <c r="AR16" s="95" cm="1">
        <f t="array" ref="AR16">IF($F16=10%,0,(AQ16*$AR$1+$AR$2))</f>
        <v>11000000</v>
      </c>
      <c r="AS16" s="95" cm="1">
        <f t="array" ref="AS16">AM16-R16-S16-T16</f>
        <v>22370000</v>
      </c>
      <c r="AT16" s="89" cm="1">
        <f t="array" ref="AT16">ROUND(IF((AS16-AR16-AO16)&lt;0,0,(AS16-AR16-AO16)),0)</f>
        <v>10834500</v>
      </c>
      <c r="AU16" s="95" cm="1">
        <f t="array" ref="AU16">ROUND(IF($F16=10%,ROUND(AS16*10%,0),0),0)</f>
        <v>0</v>
      </c>
      <c r="AV16" s="95" cm="1">
        <f t="array" ref="AV16">ROUND(IF(AU16&gt;0,0,IF(AT16&lt;5000000,AT16*5%,IF(AT16&lt;10000000,250000+(AT16-5000000)*10%,IF(AT16&lt;18000000,750000+(AT16-10000000)*15%,IF(AT16&lt;32000000,1950000+(AT16-18000000)*20%,IF(AT16&lt;52000000,4750000+(AT16-32000000)*25%,IF(AT16&lt;80000000,9750000+(AT16-52000000)*30%,IF(AT16&lt;400000000,18150000+(AT16-80000000)*35%,0)))))))),0)</f>
        <v>875175</v>
      </c>
      <c r="AW16" s="89" cm="1">
        <f t="array" ref="AW16">AM16-AO16-AV16-AU16</f>
        <v>22589325</v>
      </c>
      <c r="AX16" s="93"/>
      <c r="AY16" s="93"/>
      <c r="AZ16" s="98" cm="1">
        <f t="array" ref="AZ16">ROUND(AW16-AX16+AY16,0)</f>
        <v>22589325</v>
      </c>
      <c r="BA16" s="95" cm="1">
        <f t="array" ref="BA16">AM16+AP16</f>
        <v>25096500</v>
      </c>
      <c r="BB16" s="107"/>
      <c r="BC16" s="105"/>
      <c r="BD16" s="64"/>
      <c r="BE16" s="64"/>
      <c r="BF16" s="64"/>
      <c r="BG16" s="64"/>
      <c r="BH16" s="64"/>
      <c r="BI16" s="102"/>
      <c r="BJ16" s="34"/>
      <c r="BK16" s="34"/>
      <c r="BL16" s="34"/>
      <c r="BM16" s="5"/>
      <c r="BN16" s="5"/>
    </row>
    <row r="17" ht="18" customHeight="1">
      <c r="A17" s="85">
        <v>9</v>
      </c>
      <c r="B17" t="s" s="86">
        <v>118</v>
      </c>
      <c r="C17" t="s" s="69">
        <v>119</v>
      </c>
      <c r="D17" t="s" s="69">
        <v>120</v>
      </c>
      <c r="E17" t="s" s="87">
        <v>117</v>
      </c>
      <c r="F17" s="111"/>
      <c r="G17" t="s" s="86">
        <v>85</v>
      </c>
      <c r="H17" s="89"/>
      <c r="I17" s="89"/>
      <c r="J17" s="112"/>
      <c r="K17" s="93"/>
      <c r="L17" s="93"/>
      <c r="M17" s="91">
        <v>8535500</v>
      </c>
      <c r="N17" s="91" cm="1">
        <f t="array" ref="N17">M17</f>
        <v>8535500</v>
      </c>
      <c r="O17" s="89">
        <v>5100000</v>
      </c>
      <c r="P17" s="89" cm="1">
        <f t="array" ref="P17">N17-(O17+Q17+R17+S17+T17)</f>
        <v>1555500</v>
      </c>
      <c r="Q17" s="89">
        <v>250000</v>
      </c>
      <c r="R17" s="89">
        <v>400000</v>
      </c>
      <c r="S17" s="89">
        <v>500000</v>
      </c>
      <c r="T17" s="89">
        <v>730000</v>
      </c>
      <c r="U17" s="92" cm="1">
        <f t="array" ref="U17">SUM(W17:Y17)</f>
        <v>20</v>
      </c>
      <c r="V17" s="92">
        <v>20</v>
      </c>
      <c r="W17" s="92"/>
      <c r="X17" s="92"/>
      <c r="Y17" s="94">
        <v>20</v>
      </c>
      <c r="Z17" s="94"/>
      <c r="AA17" s="89" cm="1">
        <f t="array" ref="AA17">SUM(AB17:AD17)</f>
        <v>8535500</v>
      </c>
      <c r="AB17" s="89" cm="1">
        <f t="array" ref="AB17">ROUND($H17/V17*W17,0)</f>
        <v>0</v>
      </c>
      <c r="AC17" s="89" cm="1">
        <f t="array" ref="AC17">ROUND(J17/V17*X17,0)</f>
        <v>0</v>
      </c>
      <c r="AD17" s="89" cm="1">
        <f t="array" ref="AD17">ROUND($N17/V17*Y17,0)</f>
        <v>8535500</v>
      </c>
      <c r="AE17" s="89"/>
      <c r="AF17" s="89" cm="1">
        <f t="array" ref="AF17">SUM(AG17:AL17)</f>
        <v>0</v>
      </c>
      <c r="AG17" s="95"/>
      <c r="AH17" s="93"/>
      <c r="AI17" s="93"/>
      <c r="AJ17" s="93"/>
      <c r="AK17" s="93"/>
      <c r="AL17" s="95"/>
      <c r="AM17" s="89" cm="1">
        <f t="array" ref="AM17">AA17+AF17</f>
        <v>8535500</v>
      </c>
      <c r="AN17" s="89">
        <v>5100000</v>
      </c>
      <c r="AO17" s="89" cm="1">
        <f t="array" ref="AO17">$AN17*$AO$1</f>
        <v>535500</v>
      </c>
      <c r="AP17" s="89" cm="1">
        <f t="array" ref="AP17">$AN17*$AP$1</f>
        <v>1096500</v>
      </c>
      <c r="AQ17" s="93"/>
      <c r="AR17" s="95" cm="1">
        <f t="array" ref="AR17">IF($F17=10%,0,(AQ17*$AR$1+$AR$2))</f>
        <v>11000000</v>
      </c>
      <c r="AS17" s="95" cm="1">
        <f t="array" ref="AS17">AM17-R17-S17-T17</f>
        <v>6905500</v>
      </c>
      <c r="AT17" s="89" cm="1">
        <f t="array" ref="AT17">ROUND(IF((AS17-AR17-AO17)&lt;0,0,(AS17-AR17-AO17)),0)</f>
        <v>0</v>
      </c>
      <c r="AU17" s="95" cm="1">
        <f t="array" ref="AU17">ROUND(IF($F17=10%,ROUND(AS17*10%,0),0),0)</f>
        <v>0</v>
      </c>
      <c r="AV17" s="95" cm="1">
        <f t="array" ref="AV17">ROUND(IF(AU17&gt;0,0,IF(AT17&lt;5000000,AT17*5%,IF(AT17&lt;10000000,250000+(AT17-5000000)*10%,IF(AT17&lt;18000000,750000+(AT17-10000000)*15%,IF(AT17&lt;32000000,1950000+(AT17-18000000)*20%,IF(AT17&lt;52000000,4750000+(AT17-32000000)*25%,IF(AT17&lt;80000000,9750000+(AT17-52000000)*30%,IF(AT17&lt;400000000,18150000+(AT17-80000000)*35%,0)))))))),0)</f>
        <v>0</v>
      </c>
      <c r="AW17" s="89" cm="1">
        <f t="array" ref="AW17">AM17-AO17-AV17-AU17</f>
        <v>8000000</v>
      </c>
      <c r="AX17" s="95"/>
      <c r="AY17" s="95"/>
      <c r="AZ17" s="98" cm="1">
        <f t="array" ref="AZ17">ROUND(AW17-AX17+AY17,0)</f>
        <v>8000000</v>
      </c>
      <c r="BA17" s="95" cm="1">
        <f t="array" ref="BA17">AM17+AP17</f>
        <v>9632000</v>
      </c>
      <c r="BB17" s="107"/>
      <c r="BC17" s="105"/>
      <c r="BD17" s="64"/>
      <c r="BE17" s="64"/>
      <c r="BF17" s="64"/>
      <c r="BG17" s="64"/>
      <c r="BH17" s="64"/>
      <c r="BI17" s="102"/>
      <c r="BJ17" s="34"/>
      <c r="BK17" s="34"/>
      <c r="BL17" s="34"/>
      <c r="BM17" s="5"/>
      <c r="BN17" s="5"/>
    </row>
    <row r="18" ht="18" customHeight="1">
      <c r="A18" s="85">
        <v>10</v>
      </c>
      <c r="B18" t="s" s="86">
        <v>121</v>
      </c>
      <c r="C18" t="s" s="87">
        <v>122</v>
      </c>
      <c r="D18" t="s" s="87">
        <v>123</v>
      </c>
      <c r="E18" t="s" s="87">
        <v>92</v>
      </c>
      <c r="F18" s="111"/>
      <c r="G18" t="s" s="86">
        <v>85</v>
      </c>
      <c r="H18" s="95"/>
      <c r="I18" s="95"/>
      <c r="J18" s="112"/>
      <c r="K18" s="93"/>
      <c r="L18" s="93"/>
      <c r="M18" s="90" cm="1">
        <f t="array" ref="M18">61423333+H44+150000</f>
        <v>63573333</v>
      </c>
      <c r="N18" s="91" cm="1">
        <f t="array" ref="N18">M18</f>
        <v>63573333</v>
      </c>
      <c r="O18" s="89">
        <v>20000000</v>
      </c>
      <c r="P18" s="89" cm="1">
        <f t="array" ref="P18">N18-(O18+Q18+R18+S18+T18)</f>
        <v>41443333</v>
      </c>
      <c r="Q18" s="89">
        <v>500000</v>
      </c>
      <c r="R18" s="89">
        <v>400000</v>
      </c>
      <c r="S18" s="89">
        <v>500000</v>
      </c>
      <c r="T18" s="89">
        <v>730000</v>
      </c>
      <c r="U18" s="92" cm="1">
        <f t="array" ref="U18">SUM(W18:Y18)</f>
        <v>20</v>
      </c>
      <c r="V18" s="92">
        <v>20</v>
      </c>
      <c r="W18" s="92"/>
      <c r="X18" s="94"/>
      <c r="Y18" s="94">
        <v>20</v>
      </c>
      <c r="Z18" s="94"/>
      <c r="AA18" s="89" cm="1">
        <f t="array" ref="AA18">SUM(AB18:AD18)</f>
        <v>63573333</v>
      </c>
      <c r="AB18" s="89" cm="1">
        <f t="array" ref="AB18">ROUND($H18/V18*W18,0)</f>
        <v>0</v>
      </c>
      <c r="AC18" s="89" cm="1">
        <f t="array" ref="AC18">ROUND(J18/V18*X18,0)</f>
        <v>0</v>
      </c>
      <c r="AD18" s="89" cm="1">
        <f t="array" ref="AD18">ROUND($N18/V18*Y18,0)</f>
        <v>63573333</v>
      </c>
      <c r="AE18" s="89"/>
      <c r="AF18" s="89" cm="1">
        <f t="array" ref="AF18">SUM(AG18:AL18)</f>
        <v>0</v>
      </c>
      <c r="AG18" s="93"/>
      <c r="AH18" s="93"/>
      <c r="AI18" s="93"/>
      <c r="AJ18" s="93"/>
      <c r="AK18" s="93"/>
      <c r="AL18" s="95"/>
      <c r="AM18" s="89" cm="1">
        <f t="array" ref="AM18">AA18+AF18</f>
        <v>63573333</v>
      </c>
      <c r="AN18" s="89">
        <v>20000000</v>
      </c>
      <c r="AO18" s="89" cm="1">
        <f t="array" ref="AO18">$AN18*$AO$1</f>
        <v>2100000</v>
      </c>
      <c r="AP18" s="89" cm="1">
        <f t="array" ref="AP18">$AN18*$AP$1</f>
        <v>4300000</v>
      </c>
      <c r="AQ18" s="104">
        <v>2</v>
      </c>
      <c r="AR18" s="95" cm="1">
        <f t="array" ref="AR18">IF($F18=10%,0,(AQ18*$AR$1+$AR$2))</f>
        <v>19800000</v>
      </c>
      <c r="AS18" s="95" cm="1">
        <f t="array" ref="AS18">AM18-R18-S18-T18</f>
        <v>61943333</v>
      </c>
      <c r="AT18" s="89" cm="1">
        <f t="array" ref="AT18">ROUND(IF((AS18-AR18-AO18)&lt;0,0,(AS18-AR18-AO18)),0)</f>
        <v>40043333</v>
      </c>
      <c r="AU18" s="95" cm="1">
        <f t="array" ref="AU18">ROUND(IF($F18=10%,ROUND(AS18*10%,0),0),0)</f>
        <v>0</v>
      </c>
      <c r="AV18" s="95" cm="1">
        <f t="array" ref="AV18">ROUND(IF(AU18&gt;0,0,IF(AT18&lt;5000000,AT18*5%,IF(AT18&lt;10000000,250000+(AT18-5000000)*10%,IF(AT18&lt;18000000,750000+(AT18-10000000)*15%,IF(AT18&lt;32000000,1950000+(AT18-18000000)*20%,IF(AT18&lt;52000000,4750000+(AT18-32000000)*25%,IF(AT18&lt;80000000,9750000+(AT18-52000000)*30%,IF(AT18&lt;400000000,18150000+(AT18-80000000)*35%,0)))))))),0)</f>
        <v>6760833</v>
      </c>
      <c r="AW18" s="89" cm="1">
        <f t="array" ref="AW18">AM18-AO18-AV18-AU18</f>
        <v>54712500</v>
      </c>
      <c r="AX18" s="93"/>
      <c r="AY18" s="93"/>
      <c r="AZ18" s="98" cm="1">
        <f t="array" ref="AZ18">ROUND(AW18-AX18+AY18,0)</f>
        <v>54712500</v>
      </c>
      <c r="BA18" s="95" cm="1">
        <f t="array" ref="BA18">AM18+AP18</f>
        <v>67873333</v>
      </c>
      <c r="BB18" s="107"/>
      <c r="BC18" s="105"/>
      <c r="BD18" s="64"/>
      <c r="BE18" s="64"/>
      <c r="BF18" s="64"/>
      <c r="BG18" s="64"/>
      <c r="BH18" s="64"/>
      <c r="BI18" t="s" s="106">
        <v>124</v>
      </c>
      <c r="BJ18" s="34"/>
      <c r="BK18" s="34"/>
      <c r="BL18" s="34"/>
      <c r="BM18" s="5"/>
      <c r="BN18" s="5"/>
    </row>
    <row r="19" ht="18" customHeight="1">
      <c r="A19" s="85">
        <v>11</v>
      </c>
      <c r="B19" s="80"/>
      <c r="C19" t="s" s="87">
        <v>125</v>
      </c>
      <c r="D19" t="s" s="87">
        <v>126</v>
      </c>
      <c r="E19" t="s" s="87">
        <v>127</v>
      </c>
      <c r="F19" s="111"/>
      <c r="G19" t="s" s="86">
        <v>85</v>
      </c>
      <c r="H19" s="95"/>
      <c r="I19" s="95"/>
      <c r="J19" s="95"/>
      <c r="K19" s="93"/>
      <c r="L19" s="93"/>
      <c r="M19" s="91">
        <v>98630000</v>
      </c>
      <c r="N19" s="91" cm="1">
        <f t="array" ref="N19">M19</f>
        <v>98630000</v>
      </c>
      <c r="O19" s="89">
        <v>20000000</v>
      </c>
      <c r="P19" s="89" cm="1">
        <f t="array" ref="P19">N19-(O19+Q19+R19+S19+T19)</f>
        <v>76250000</v>
      </c>
      <c r="Q19" s="89">
        <v>250000</v>
      </c>
      <c r="R19" s="89">
        <v>400000</v>
      </c>
      <c r="S19" s="89">
        <v>1000000</v>
      </c>
      <c r="T19" s="89">
        <v>730000</v>
      </c>
      <c r="U19" s="92" cm="1">
        <f t="array" ref="U19">SUM(W19:Y19)</f>
        <v>20</v>
      </c>
      <c r="V19" s="92">
        <v>20</v>
      </c>
      <c r="W19" s="92"/>
      <c r="X19" s="94"/>
      <c r="Y19" s="94">
        <v>20</v>
      </c>
      <c r="Z19" s="94"/>
      <c r="AA19" s="89" cm="1">
        <f t="array" ref="AA19">SUM(AB19:AD19)</f>
        <v>98630000</v>
      </c>
      <c r="AB19" s="89" cm="1">
        <f t="array" ref="AB19">ROUND($H19/V19*W19,0)</f>
        <v>0</v>
      </c>
      <c r="AC19" s="89" cm="1">
        <f t="array" ref="AC19">ROUND(J19/V19*X19,0)</f>
        <v>0</v>
      </c>
      <c r="AD19" s="89" cm="1">
        <f t="array" ref="AD19">ROUND($N19/V19*Y19,0)</f>
        <v>98630000</v>
      </c>
      <c r="AE19" s="89"/>
      <c r="AF19" s="89" cm="1">
        <f t="array" ref="AF19">SUM(AG19:AL19)</f>
        <v>0</v>
      </c>
      <c r="AG19" s="93"/>
      <c r="AH19" s="93"/>
      <c r="AI19" s="93"/>
      <c r="AJ19" s="93"/>
      <c r="AK19" s="93"/>
      <c r="AL19" s="95"/>
      <c r="AM19" s="89" cm="1">
        <f t="array" ref="AM19">AA19+AF19</f>
        <v>98630000</v>
      </c>
      <c r="AN19" s="89">
        <v>20000000</v>
      </c>
      <c r="AO19" s="89" cm="1">
        <f t="array" ref="AO19">$AN19*$AO$1</f>
        <v>2100000</v>
      </c>
      <c r="AP19" s="89" cm="1">
        <f t="array" ref="AP19">$AN19*$AP$1</f>
        <v>4300000</v>
      </c>
      <c r="AQ19" s="104">
        <v>2</v>
      </c>
      <c r="AR19" s="95" cm="1">
        <f t="array" ref="AR19">IF($F19=10%,0,(AQ19*$AR$1+$AR$2))</f>
        <v>19800000</v>
      </c>
      <c r="AS19" s="95" cm="1">
        <f t="array" ref="AS19">AM19-R19-S19-T19</f>
        <v>96500000</v>
      </c>
      <c r="AT19" s="89" cm="1">
        <f t="array" ref="AT19">ROUND(IF((AS19-AR19-AO19)&lt;0,0,(AS19-AR19-AO19)),0)</f>
        <v>74600000</v>
      </c>
      <c r="AU19" s="95" cm="1">
        <f t="array" ref="AU19">ROUND(IF($F19=10%,ROUND(AS19*10%,0),0),0)</f>
        <v>0</v>
      </c>
      <c r="AV19" s="95" cm="1">
        <f t="array" ref="AV19">ROUND(IF(AU19&gt;0,0,IF(AT19&lt;5000000,AT19*5%,IF(AT19&lt;10000000,250000+(AT19-5000000)*10%,IF(AT19&lt;18000000,750000+(AT19-10000000)*15%,IF(AT19&lt;32000000,1950000+(AT19-18000000)*20%,IF(AT19&lt;52000000,4750000+(AT19-32000000)*25%,IF(AT19&lt;80000000,9750000+(AT19-52000000)*30%,IF(AT19&lt;400000000,18150000+(AT19-80000000)*35%,0)))))))),0)</f>
        <v>16530000</v>
      </c>
      <c r="AW19" s="89" cm="1">
        <f t="array" ref="AW19">AM19-AO19-AV19-AU19</f>
        <v>80000000</v>
      </c>
      <c r="AX19" s="93"/>
      <c r="AY19" s="93"/>
      <c r="AZ19" s="89" cm="1">
        <f t="array" ref="AZ19">ROUND(AW19-AX19+AY19,0)</f>
        <v>80000000</v>
      </c>
      <c r="BA19" s="95" cm="1">
        <f t="array" ref="BA19">AM19+AP19</f>
        <v>102930000</v>
      </c>
      <c r="BB19" s="107"/>
      <c r="BC19" s="105"/>
      <c r="BD19" s="64"/>
      <c r="BE19" s="64"/>
      <c r="BF19" s="64"/>
      <c r="BG19" s="64"/>
      <c r="BH19" s="64"/>
      <c r="BI19" s="102"/>
      <c r="BJ19" s="34"/>
      <c r="BK19" s="34"/>
      <c r="BL19" s="34"/>
      <c r="BM19" s="5"/>
      <c r="BN19" s="5"/>
    </row>
    <row r="20" ht="18" customHeight="1">
      <c r="A20" s="85">
        <v>12</v>
      </c>
      <c r="B20" s="80"/>
      <c r="C20" t="s" s="114">
        <v>128</v>
      </c>
      <c r="D20" t="s" s="116">
        <v>129</v>
      </c>
      <c r="E20" t="s" s="116">
        <v>130</v>
      </c>
      <c r="F20" s="111"/>
      <c r="G20" t="s" s="86">
        <v>85</v>
      </c>
      <c r="H20" s="95"/>
      <c r="I20" s="95"/>
      <c r="J20" s="95"/>
      <c r="K20" s="93"/>
      <c r="L20" s="93"/>
      <c r="M20" s="91">
        <v>14000000</v>
      </c>
      <c r="N20" s="91" cm="1">
        <f t="array" ref="N20">M20</f>
        <v>14000000</v>
      </c>
      <c r="O20" s="89">
        <v>9000000</v>
      </c>
      <c r="P20" s="89" cm="1">
        <f t="array" ref="P20">N20-(O20+Q20+R20+S20+T20)</f>
        <v>3120000</v>
      </c>
      <c r="Q20" s="89">
        <v>250000</v>
      </c>
      <c r="R20" s="89">
        <v>400000</v>
      </c>
      <c r="S20" s="89">
        <v>500000</v>
      </c>
      <c r="T20" s="89">
        <v>730000</v>
      </c>
      <c r="U20" s="92" cm="1">
        <f t="array" ref="U20">SUM(W20:Y20)</f>
        <v>13</v>
      </c>
      <c r="V20" s="92">
        <v>20</v>
      </c>
      <c r="W20" s="92"/>
      <c r="X20" s="94"/>
      <c r="Y20" s="94">
        <v>13</v>
      </c>
      <c r="Z20" s="94"/>
      <c r="AA20" s="89" cm="1">
        <f t="array" ref="AA20">SUM(AB20:AD20)</f>
        <v>9100000</v>
      </c>
      <c r="AB20" s="89" cm="1">
        <f t="array" ref="AB20">ROUND($H20/V20*W20,0)</f>
        <v>0</v>
      </c>
      <c r="AC20" s="89" cm="1">
        <f t="array" ref="AC20">ROUND(J20/V20*X20,0)</f>
        <v>0</v>
      </c>
      <c r="AD20" s="89" cm="1">
        <f t="array" ref="AD20">ROUND($N20/V20*Y20,0)</f>
        <v>9100000</v>
      </c>
      <c r="AE20" s="89"/>
      <c r="AF20" s="89"/>
      <c r="AG20" s="93"/>
      <c r="AH20" s="93"/>
      <c r="AI20" s="93"/>
      <c r="AJ20" s="93"/>
      <c r="AK20" s="93"/>
      <c r="AL20" s="95"/>
      <c r="AM20" s="89" cm="1">
        <f t="array" ref="AM20">AA20+AF20</f>
        <v>9100000</v>
      </c>
      <c r="AN20" s="89">
        <v>9000000</v>
      </c>
      <c r="AO20" s="89" cm="1">
        <f t="array" ref="AO20">$AN20*$AO$1</f>
        <v>945000</v>
      </c>
      <c r="AP20" s="89" cm="1">
        <f t="array" ref="AP20">$AN20*$AP$1</f>
        <v>1935000</v>
      </c>
      <c r="AQ20" s="104">
        <v>1</v>
      </c>
      <c r="AR20" s="95" cm="1">
        <f t="array" ref="AR20">IF($F20=10%,0,(AQ20*$AR$1+$AR$2))</f>
        <v>15400000</v>
      </c>
      <c r="AS20" s="95" cm="1">
        <f t="array" ref="AS20">AM20-R20-S20-T20</f>
        <v>7470000</v>
      </c>
      <c r="AT20" s="89" cm="1">
        <f t="array" ref="AT20">ROUND(IF((AS20-AR20-AO20)&lt;0,0,(AS20-AR20-AO20)),0)</f>
        <v>0</v>
      </c>
      <c r="AU20" s="95" cm="1">
        <f t="array" ref="AU20">ROUND(IF($F20=10%,ROUND(AS20*10%,0),0),0)</f>
        <v>0</v>
      </c>
      <c r="AV20" s="95" cm="1">
        <f t="array" ref="AV20">ROUND(IF(AU20&gt;0,0,IF(AT20&lt;5000000,AT20*5%,IF(AT20&lt;10000000,250000+(AT20-5000000)*10%,IF(AT20&lt;18000000,750000+(AT20-10000000)*15%,IF(AT20&lt;32000000,1950000+(AT20-18000000)*20%,IF(AT20&lt;52000000,4750000+(AT20-32000000)*25%,IF(AT20&lt;80000000,9750000+(AT20-52000000)*30%,IF(AT20&lt;400000000,18150000+(AT20-80000000)*35%,0)))))))),0)</f>
        <v>0</v>
      </c>
      <c r="AW20" s="89" cm="1">
        <f t="array" ref="AW20">AM20-AO20-AV20-AU20</f>
        <v>8155000</v>
      </c>
      <c r="AX20" s="93"/>
      <c r="AY20" s="93"/>
      <c r="AZ20" s="98" cm="1">
        <f t="array" ref="AZ20">ROUND(AW20-AX20+AY20,0)</f>
        <v>8155000</v>
      </c>
      <c r="BA20" s="95" cm="1">
        <f t="array" ref="BA20">AM20+AP20</f>
        <v>11035000</v>
      </c>
      <c r="BB20" s="107"/>
      <c r="BC20" s="105"/>
      <c r="BD20" s="64"/>
      <c r="BE20" s="64"/>
      <c r="BF20" s="64"/>
      <c r="BG20" s="64"/>
      <c r="BH20" s="64"/>
      <c r="BI20" s="102"/>
      <c r="BJ20" s="34"/>
      <c r="BK20" s="34"/>
      <c r="BL20" s="34"/>
      <c r="BM20" s="5"/>
      <c r="BN20" s="5"/>
    </row>
    <row r="21" ht="18" customHeight="1">
      <c r="A21" s="85">
        <v>13</v>
      </c>
      <c r="B21" t="s" s="117">
        <v>131</v>
      </c>
      <c r="C21" t="s" s="115">
        <v>132</v>
      </c>
      <c r="D21" t="s" s="115">
        <v>133</v>
      </c>
      <c r="E21" t="s" s="116">
        <v>134</v>
      </c>
      <c r="F21" s="111">
        <v>0.1</v>
      </c>
      <c r="G21" t="s" s="86">
        <v>135</v>
      </c>
      <c r="H21" s="95"/>
      <c r="I21" s="95"/>
      <c r="J21" s="95" cm="1">
        <f t="array" ref="J21">M21*85%</f>
        <v>23611111.1111111</v>
      </c>
      <c r="K21" s="93"/>
      <c r="L21" s="93"/>
      <c r="M21" s="91" cm="1">
        <f t="array" ref="M21">25000000/0.9</f>
        <v>27777777.7777778</v>
      </c>
      <c r="N21" s="91" cm="1">
        <f t="array" ref="N21">M21</f>
        <v>27777777.7777778</v>
      </c>
      <c r="O21" s="118"/>
      <c r="P21" s="118"/>
      <c r="Q21" s="118"/>
      <c r="R21" s="118"/>
      <c r="S21" s="118"/>
      <c r="T21" s="118"/>
      <c r="U21" s="92" cm="1">
        <f t="array" ref="U21">SUM(W21:Y21)</f>
        <v>20</v>
      </c>
      <c r="V21" s="92">
        <v>20</v>
      </c>
      <c r="W21" s="119"/>
      <c r="X21" s="120">
        <v>20</v>
      </c>
      <c r="Y21" t="s" s="121">
        <v>136</v>
      </c>
      <c r="Z21" s="120"/>
      <c r="AA21" s="118" cm="1">
        <f t="array" ref="AA21">SUM(AB21:AD21)</f>
      </c>
      <c r="AB21" s="118" cm="1">
        <f t="array" ref="AB21">ROUND($H21/V21*W21,0)</f>
        <v>0</v>
      </c>
      <c r="AC21" s="118" cm="1">
        <f t="array" ref="AC21">ROUND(J21/V21*X21,0)</f>
        <v>23611111</v>
      </c>
      <c r="AD21" s="118" cm="1">
        <f t="array" ref="AD21">ROUND($N21/V21*Y21,0)</f>
      </c>
      <c r="AE21" s="118"/>
      <c r="AF21" s="118" cm="1">
        <f t="array" ref="AF21">SUM(AG21:AL21)</f>
        <v>0</v>
      </c>
      <c r="AG21" s="122"/>
      <c r="AH21" s="122"/>
      <c r="AI21" s="122"/>
      <c r="AJ21" s="122"/>
      <c r="AK21" s="122"/>
      <c r="AL21" s="123"/>
      <c r="AM21" s="118" cm="1">
        <f t="array" ref="AM21">AA21+AF21</f>
      </c>
      <c r="AN21" s="118">
        <v>0</v>
      </c>
      <c r="AO21" s="89" cm="1">
        <f t="array" ref="AO21">$AN21*$AO$1</f>
        <v>0</v>
      </c>
      <c r="AP21" s="89" cm="1">
        <f t="array" ref="AP21">$AN21*$AP$1</f>
        <v>0</v>
      </c>
      <c r="AQ21" s="122"/>
      <c r="AR21" s="123" cm="1">
        <f t="array" ref="AR21">IF($F21=10%,0,(AQ21*$AR$1+$AR$2))</f>
        <v>0</v>
      </c>
      <c r="AS21" s="95" cm="1">
        <f t="array" ref="AS21">AM21-R21-S21-T21</f>
      </c>
      <c r="AT21" s="89" cm="1">
        <f t="array" ref="AT21">ROUND(IF((AS21-AR21-AO21)&lt;0,0,(AS21-AR21-AO21)),0)</f>
      </c>
      <c r="AU21" s="123" cm="1">
        <f t="array" ref="AU21">ROUND(IF($F21=10%,ROUND(AS21*10%,0),0),0)</f>
      </c>
      <c r="AV21" s="123" cm="1">
        <f t="array" ref="AV21">ROUND(IF(AU21&gt;0,0,IF(AT21&lt;5000000,AT21*5%,IF(AT21&lt;10000000,250000+(AT21-5000000)*10%,IF(AT21&lt;18000000,750000+(AT21-10000000)*15%,IF(AT21&lt;32000000,1950000+(AT21-18000000)*20%,IF(AT21&lt;52000000,4750000+(AT21-32000000)*25%,IF(AT21&lt;80000000,9750000+(AT21-52000000)*30%,IF(AT21&lt;400000000,18150000+(AT21-80000000)*35%,0)))))))),0)</f>
      </c>
      <c r="AW21" s="118" cm="1">
        <f t="array" ref="AW21">AM21-AO21-AV21-AU21</f>
      </c>
      <c r="AX21" s="122"/>
      <c r="AY21" s="122"/>
      <c r="AZ21" s="118" cm="1">
        <f t="array" ref="AZ21">ROUND(AW21-AX21+AY21,0)</f>
      </c>
      <c r="BA21" s="123" cm="1">
        <f t="array" ref="BA21">AM21+AP21</f>
      </c>
      <c r="BB21" t="s" s="124">
        <v>137</v>
      </c>
      <c r="BC21" s="125"/>
      <c r="BD21" s="64"/>
      <c r="BE21" s="64"/>
      <c r="BF21" s="64"/>
      <c r="BG21" s="64"/>
      <c r="BH21" s="64"/>
      <c r="BI21" s="102"/>
      <c r="BJ21" s="34"/>
      <c r="BK21" s="34"/>
      <c r="BL21" s="34"/>
      <c r="BM21" s="5"/>
      <c r="BN21" s="5"/>
    </row>
    <row r="22" ht="18" customHeight="1">
      <c r="A22" s="85">
        <v>14</v>
      </c>
      <c r="B22" t="s" s="117">
        <v>138</v>
      </c>
      <c r="C22" t="s" s="115">
        <v>139</v>
      </c>
      <c r="D22" t="s" s="115">
        <v>140</v>
      </c>
      <c r="E22" t="s" s="116">
        <v>141</v>
      </c>
      <c r="F22" s="111">
        <v>0.1</v>
      </c>
      <c r="G22" t="s" s="86">
        <v>135</v>
      </c>
      <c r="H22" s="95"/>
      <c r="I22" s="95"/>
      <c r="J22" s="95" cm="1">
        <f t="array" ref="J22">M22*100%</f>
        <v>27777777.7777778</v>
      </c>
      <c r="K22" s="93"/>
      <c r="L22" s="93"/>
      <c r="M22" s="91" cm="1">
        <f t="array" ref="M22">25000000/0.9</f>
        <v>27777777.7777778</v>
      </c>
      <c r="N22" s="91" cm="1">
        <f t="array" ref="N22">M22</f>
        <v>27777777.7777778</v>
      </c>
      <c r="O22" s="118"/>
      <c r="P22" s="118"/>
      <c r="Q22" s="118"/>
      <c r="R22" s="118"/>
      <c r="S22" s="118"/>
      <c r="T22" s="118"/>
      <c r="U22" s="92" cm="1">
        <f t="array" ref="U22">SUM(W22:Y22)</f>
        <v>18</v>
      </c>
      <c r="V22" s="92">
        <v>20</v>
      </c>
      <c r="W22" s="119"/>
      <c r="X22" s="120">
        <v>18</v>
      </c>
      <c r="Y22" t="s" s="121">
        <v>136</v>
      </c>
      <c r="Z22" s="120"/>
      <c r="AA22" s="118" cm="1">
        <f t="array" ref="AA22">SUM(AB22:AD22)</f>
      </c>
      <c r="AB22" s="118" cm="1">
        <f t="array" ref="AB22">ROUND($H22/V22*W22,0)</f>
        <v>0</v>
      </c>
      <c r="AC22" s="118" cm="1">
        <f t="array" ref="AC22">ROUND(J22/V22*X22,0)</f>
        <v>25000000</v>
      </c>
      <c r="AD22" s="118" cm="1">
        <f t="array" ref="AD22">ROUND($N22/V22*Y22,0)</f>
      </c>
      <c r="AE22" s="118"/>
      <c r="AF22" s="118" cm="1">
        <f t="array" ref="AF22">SUM(AG22:AL22)</f>
        <v>0</v>
      </c>
      <c r="AG22" s="122"/>
      <c r="AH22" s="122"/>
      <c r="AI22" s="122"/>
      <c r="AJ22" s="122"/>
      <c r="AK22" s="122"/>
      <c r="AL22" s="123"/>
      <c r="AM22" s="118" cm="1">
        <f t="array" ref="AM22">AA22+AF22</f>
      </c>
      <c r="AN22" s="118"/>
      <c r="AO22" s="118" cm="1">
        <f t="array" ref="AO22">$AN22*$AO$1</f>
        <v>0</v>
      </c>
      <c r="AP22" s="118" cm="1">
        <f t="array" ref="AP22">$AN22*$AP$1</f>
        <v>0</v>
      </c>
      <c r="AQ22" s="122"/>
      <c r="AR22" s="123" cm="1">
        <f t="array" ref="AR22">IF($F22=10%,0,(AQ22*$AR$1+$AR$2))</f>
        <v>0</v>
      </c>
      <c r="AS22" s="95" cm="1">
        <f t="array" ref="AS22">AM22-R22-S22-T22</f>
      </c>
      <c r="AT22" s="89" cm="1">
        <f t="array" ref="AT22">ROUND(IF((AS22-AR22-AO22)&lt;0,0,(AS22-AR22-AO22)),0)</f>
      </c>
      <c r="AU22" s="123" cm="1">
        <f t="array" ref="AU22">ROUND(IF($F22=10%,ROUND(AS22*10%,0),0),0)</f>
      </c>
      <c r="AV22" s="123" cm="1">
        <f t="array" ref="AV22">ROUND(IF(AU22&gt;0,0,IF(AT22&lt;5000000,AT22*5%,IF(AT22&lt;10000000,250000+(AT22-5000000)*10%,IF(AT22&lt;18000000,750000+(AT22-10000000)*15%,IF(AT22&lt;32000000,1950000+(AT22-18000000)*20%,IF(AT22&lt;52000000,4750000+(AT22-32000000)*25%,IF(AT22&lt;80000000,9750000+(AT22-52000000)*30%,IF(AT22&lt;400000000,18150000+(AT22-80000000)*35%,0)))))))),0)</f>
      </c>
      <c r="AW22" s="118" cm="1">
        <f t="array" ref="AW22">AM22-AO22-AV22-AU22</f>
      </c>
      <c r="AX22" s="122"/>
      <c r="AY22" s="122"/>
      <c r="AZ22" s="118" cm="1">
        <f t="array" ref="AZ22">ROUND(AW22-AX22+AY22,0)</f>
      </c>
      <c r="BA22" s="123" cm="1">
        <f t="array" ref="BA22">AM22+AP22</f>
      </c>
      <c r="BB22" t="s" s="124">
        <v>137</v>
      </c>
      <c r="BC22" s="125"/>
      <c r="BD22" s="64"/>
      <c r="BE22" s="64"/>
      <c r="BF22" s="64"/>
      <c r="BG22" s="64"/>
      <c r="BH22" s="64"/>
      <c r="BI22" s="102"/>
      <c r="BJ22" s="34"/>
      <c r="BK22" s="34"/>
      <c r="BL22" s="34"/>
      <c r="BM22" s="5"/>
      <c r="BN22" s="5"/>
    </row>
    <row r="23" ht="18" customHeight="1">
      <c r="A23" s="85">
        <v>15</v>
      </c>
      <c r="B23" s="88"/>
      <c r="C23" t="s" s="114">
        <v>142</v>
      </c>
      <c r="D23" t="s" s="126">
        <v>143</v>
      </c>
      <c r="E23" t="s" s="87">
        <v>144</v>
      </c>
      <c r="F23" s="127">
        <v>0.1</v>
      </c>
      <c r="G23" t="s" s="128">
        <v>135</v>
      </c>
      <c r="H23" s="89"/>
      <c r="I23" s="89"/>
      <c r="J23" s="123" cm="1">
        <f t="array" ref="J23">M23*85%</f>
        <v>11333333.3333333</v>
      </c>
      <c r="K23" s="93"/>
      <c r="L23" s="93"/>
      <c r="M23" s="129" cm="1">
        <f t="array" ref="M23">12000000/0.9</f>
        <v>13333333.3333333</v>
      </c>
      <c r="N23" s="91" cm="1">
        <f t="array" ref="N23">M23</f>
        <v>13333333.3333333</v>
      </c>
      <c r="O23" s="89"/>
      <c r="P23" s="89"/>
      <c r="Q23" s="89"/>
      <c r="R23" s="89"/>
      <c r="S23" s="89"/>
      <c r="T23" s="89"/>
      <c r="U23" s="92" cm="1">
        <f t="array" ref="U23">SUM(W23:Y23)</f>
        <v>20</v>
      </c>
      <c r="V23" s="92">
        <v>20</v>
      </c>
      <c r="W23" s="92"/>
      <c r="X23" s="120">
        <v>20</v>
      </c>
      <c r="Y23" s="120">
        <v>0</v>
      </c>
      <c r="Z23" s="94"/>
      <c r="AA23" s="118" cm="1">
        <f t="array" ref="AA23">SUM(AB23:AD23)</f>
        <v>11333333</v>
      </c>
      <c r="AB23" s="118" cm="1">
        <f t="array" ref="AB23">ROUND($H23/V23*W23,0)</f>
        <v>0</v>
      </c>
      <c r="AC23" s="118" cm="1">
        <f t="array" ref="AC23">ROUND(J23/V23*X23,0)</f>
        <v>11333333</v>
      </c>
      <c r="AD23" s="118" cm="1">
        <f t="array" ref="AD23">ROUND($N23/V23*Y23,0)</f>
        <v>0</v>
      </c>
      <c r="AE23" s="89"/>
      <c r="AF23" s="89"/>
      <c r="AG23" s="93"/>
      <c r="AH23" s="93"/>
      <c r="AI23" s="93"/>
      <c r="AJ23" s="93"/>
      <c r="AK23" s="93"/>
      <c r="AL23" s="95"/>
      <c r="AM23" s="118" cm="1">
        <f t="array" ref="AM23">AA23+AF23</f>
        <v>11333333</v>
      </c>
      <c r="AN23" s="118"/>
      <c r="AO23" s="118" cm="1">
        <f t="array" ref="AO23">$AN23*$AO$1</f>
        <v>0</v>
      </c>
      <c r="AP23" s="118" cm="1">
        <f t="array" ref="AP23">$AN23*$AP$1</f>
        <v>0</v>
      </c>
      <c r="AQ23" s="122"/>
      <c r="AR23" s="123" cm="1">
        <f t="array" ref="AR23">IF($F23=10%,0,(AQ23*$AR$1+$AR$2))</f>
        <v>0</v>
      </c>
      <c r="AS23" s="95" cm="1">
        <f t="array" ref="AS23">AM23-R23-S23-T23</f>
        <v>11333333</v>
      </c>
      <c r="AT23" s="89" cm="1">
        <f t="array" ref="AT23">ROUND(IF((AS23-AR23-AO23)&lt;0,0,(AS23-AR23-AO23)),0)</f>
        <v>11333333</v>
      </c>
      <c r="AU23" s="123" cm="1">
        <f t="array" ref="AU23">ROUND(IF($F23=10%,ROUND(AS23*10%,0),0),0)</f>
        <v>1133333</v>
      </c>
      <c r="AV23" s="123" cm="1">
        <f t="array" ref="AV23">ROUND(IF(AU23&gt;0,0,IF(AT23&lt;5000000,AT23*5%,IF(AT23&lt;10000000,250000+(AT23-5000000)*10%,IF(AT23&lt;18000000,750000+(AT23-10000000)*15%,IF(AT23&lt;32000000,1950000+(AT23-18000000)*20%,IF(AT23&lt;52000000,4750000+(AT23-32000000)*25%,IF(AT23&lt;80000000,9750000+(AT23-52000000)*30%,IF(AT23&lt;400000000,18150000+(AT23-80000000)*35%,0)))))))),0)</f>
        <v>0</v>
      </c>
      <c r="AW23" s="118" cm="1">
        <f t="array" ref="AW23">AM23-AO23-AV23-AU23</f>
        <v>10200000</v>
      </c>
      <c r="AX23" s="95"/>
      <c r="AY23" s="93"/>
      <c r="AZ23" s="118" cm="1">
        <f t="array" ref="AZ23">ROUND(AW23-AX23+AY23,0)</f>
        <v>10200000</v>
      </c>
      <c r="BA23" s="123" cm="1">
        <f t="array" ref="BA23">AM23+AP23</f>
        <v>11333333</v>
      </c>
      <c r="BB23" t="s" s="124">
        <v>137</v>
      </c>
      <c r="BC23" s="105"/>
      <c r="BD23" s="64"/>
      <c r="BE23" s="64"/>
      <c r="BF23" s="64"/>
      <c r="BG23" s="64"/>
      <c r="BH23" s="64"/>
      <c r="BI23" s="102"/>
      <c r="BJ23" s="34"/>
      <c r="BK23" s="34"/>
      <c r="BL23" s="34"/>
      <c r="BM23" s="5"/>
      <c r="BN23" s="5"/>
    </row>
    <row r="24" ht="18" customHeight="1">
      <c r="A24" s="85">
        <v>16</v>
      </c>
      <c r="B24" s="88"/>
      <c r="C24" t="s" s="124">
        <v>145</v>
      </c>
      <c r="D24" t="s" s="124">
        <v>146</v>
      </c>
      <c r="E24" t="s" s="87">
        <v>147</v>
      </c>
      <c r="F24" s="127">
        <v>0.1</v>
      </c>
      <c r="G24" t="s" s="128">
        <v>135</v>
      </c>
      <c r="H24" s="89"/>
      <c r="I24" s="89"/>
      <c r="J24" s="123" cm="1">
        <f t="array" ref="J24">M24*100%</f>
        <v>10000000</v>
      </c>
      <c r="K24" s="93"/>
      <c r="L24" s="93"/>
      <c r="M24" s="129">
        <v>10000000</v>
      </c>
      <c r="N24" s="91" cm="1">
        <f t="array" ref="N24">M24</f>
        <v>10000000</v>
      </c>
      <c r="O24" s="89"/>
      <c r="P24" s="89"/>
      <c r="Q24" s="89"/>
      <c r="R24" s="89"/>
      <c r="S24" s="89"/>
      <c r="T24" s="89"/>
      <c r="U24" s="92" cm="1">
        <f t="array" ref="U24">SUM(W24:Y24)</f>
        <v>20</v>
      </c>
      <c r="V24" s="92">
        <v>20</v>
      </c>
      <c r="W24" s="92"/>
      <c r="X24" s="120">
        <v>20</v>
      </c>
      <c r="Y24" s="120">
        <v>0</v>
      </c>
      <c r="Z24" s="94"/>
      <c r="AA24" s="118" cm="1">
        <f t="array" ref="AA24">SUM(AB24:AD24)</f>
        <v>10000000</v>
      </c>
      <c r="AB24" s="118" cm="1">
        <f t="array" ref="AB24">ROUND($H24/V24*W24,0)</f>
        <v>0</v>
      </c>
      <c r="AC24" s="118" cm="1">
        <f t="array" ref="AC24">ROUND(J24/V24*X24,0)</f>
        <v>10000000</v>
      </c>
      <c r="AD24" s="118" cm="1">
        <f t="array" ref="AD24">ROUND($N24/V24*Y24,0)</f>
        <v>0</v>
      </c>
      <c r="AE24" s="89"/>
      <c r="AF24" s="89"/>
      <c r="AG24" s="93"/>
      <c r="AH24" s="93"/>
      <c r="AI24" s="93"/>
      <c r="AJ24" s="93"/>
      <c r="AK24" s="93"/>
      <c r="AL24" s="95"/>
      <c r="AM24" s="118" cm="1">
        <f t="array" ref="AM24">AA24+AF24</f>
        <v>10000000</v>
      </c>
      <c r="AN24" s="118"/>
      <c r="AO24" s="118" cm="1">
        <f t="array" ref="AO24">$AN24*$AO$1</f>
        <v>0</v>
      </c>
      <c r="AP24" s="118" cm="1">
        <f t="array" ref="AP24">$AN24*$AP$1</f>
        <v>0</v>
      </c>
      <c r="AQ24" s="122"/>
      <c r="AR24" s="123" cm="1">
        <f t="array" ref="AR24">IF($F24=10%,0,(AQ24*$AR$1+$AR$2))</f>
        <v>0</v>
      </c>
      <c r="AS24" s="95" cm="1">
        <f t="array" ref="AS24">AM24-R24-S24-T24</f>
        <v>10000000</v>
      </c>
      <c r="AT24" s="89" cm="1">
        <f t="array" ref="AT24">ROUND(IF((AS24-AR24-AO24)&lt;0,0,(AS24-AR24-AO24)),0)</f>
        <v>10000000</v>
      </c>
      <c r="AU24" s="123" cm="1">
        <f t="array" ref="AU24">ROUND(IF($F24=10%,ROUND(AS24*10%,0),0),0)</f>
        <v>1000000</v>
      </c>
      <c r="AV24" s="123" cm="1">
        <f t="array" ref="AV24">ROUND(IF(AU24&gt;0,0,IF(AT24&lt;5000000,AT24*5%,IF(AT24&lt;10000000,250000+(AT24-5000000)*10%,IF(AT24&lt;18000000,750000+(AT24-10000000)*15%,IF(AT24&lt;32000000,1950000+(AT24-18000000)*20%,IF(AT24&lt;52000000,4750000+(AT24-32000000)*25%,IF(AT24&lt;80000000,9750000+(AT24-52000000)*30%,IF(AT24&lt;400000000,18150000+(AT24-80000000)*35%,0)))))))),0)</f>
        <v>0</v>
      </c>
      <c r="AW24" s="118" cm="1">
        <f t="array" ref="AW24">AM24-AO24-AV24-AU24</f>
        <v>9000000</v>
      </c>
      <c r="AX24" s="95"/>
      <c r="AY24" s="93"/>
      <c r="AZ24" s="118" cm="1">
        <f t="array" ref="AZ24">ROUND(AW24-AX24+AY24,0)</f>
        <v>9000000</v>
      </c>
      <c r="BA24" s="123" cm="1">
        <f t="array" ref="BA24">AM24+AP24</f>
        <v>10000000</v>
      </c>
      <c r="BB24" t="s" s="124">
        <v>137</v>
      </c>
      <c r="BC24" s="105"/>
      <c r="BD24" s="64"/>
      <c r="BE24" s="64"/>
      <c r="BF24" s="64"/>
      <c r="BG24" s="64"/>
      <c r="BH24" s="64"/>
      <c r="BI24" s="102"/>
      <c r="BJ24" s="34"/>
      <c r="BK24" s="34"/>
      <c r="BL24" s="34"/>
      <c r="BM24" s="5"/>
      <c r="BN24" s="5"/>
    </row>
    <row r="25" ht="18" customHeight="1">
      <c r="A25" s="85">
        <v>17</v>
      </c>
      <c r="B25" s="88"/>
      <c r="C25" t="s" s="124">
        <v>148</v>
      </c>
      <c r="D25" t="s" s="124">
        <v>149</v>
      </c>
      <c r="E25" t="s" s="87">
        <v>150</v>
      </c>
      <c r="F25" s="127">
        <v>0.1</v>
      </c>
      <c r="G25" t="s" s="128">
        <v>135</v>
      </c>
      <c r="H25" s="89"/>
      <c r="I25" s="89"/>
      <c r="J25" s="123" cm="1">
        <f t="array" ref="J25">M25*100%</f>
        <v>20000000</v>
      </c>
      <c r="K25" s="93"/>
      <c r="L25" s="93"/>
      <c r="M25" s="129" cm="1">
        <f t="array" ref="M25">18000000/0.9</f>
        <v>20000000</v>
      </c>
      <c r="N25" s="91" cm="1">
        <f t="array" ref="N25">M25</f>
        <v>20000000</v>
      </c>
      <c r="O25" s="89"/>
      <c r="P25" s="89"/>
      <c r="Q25" s="89"/>
      <c r="R25" s="89"/>
      <c r="S25" s="89"/>
      <c r="T25" s="89"/>
      <c r="U25" s="92" cm="1">
        <f t="array" ref="U25">SUM(W25:Y25)</f>
        <v>9</v>
      </c>
      <c r="V25" s="92">
        <v>20</v>
      </c>
      <c r="W25" s="92"/>
      <c r="X25" s="120">
        <v>9</v>
      </c>
      <c r="Y25" s="120">
        <v>0</v>
      </c>
      <c r="Z25" s="94"/>
      <c r="AA25" s="118" cm="1">
        <f t="array" ref="AA25">SUM(AB25:AD25)</f>
        <v>9000000</v>
      </c>
      <c r="AB25" s="118" cm="1">
        <f t="array" ref="AB25">ROUND($H25/V25*W25,0)</f>
        <v>0</v>
      </c>
      <c r="AC25" s="118" cm="1">
        <f t="array" ref="AC25">ROUND(J25/V25*X25,0)</f>
        <v>9000000</v>
      </c>
      <c r="AD25" s="118" cm="1">
        <f t="array" ref="AD25">ROUND($N25/V25*Y25,0)</f>
        <v>0</v>
      </c>
      <c r="AE25" s="89"/>
      <c r="AF25" s="89"/>
      <c r="AG25" s="93"/>
      <c r="AH25" s="93"/>
      <c r="AI25" s="93"/>
      <c r="AJ25" s="93"/>
      <c r="AK25" s="93"/>
      <c r="AL25" s="95"/>
      <c r="AM25" s="118" cm="1">
        <f t="array" ref="AM25">AA25+AF25</f>
        <v>9000000</v>
      </c>
      <c r="AN25" s="118"/>
      <c r="AO25" s="118" cm="1">
        <f t="array" ref="AO25">$AN25*$AO$1</f>
        <v>0</v>
      </c>
      <c r="AP25" s="118" cm="1">
        <f t="array" ref="AP25">$AN25*$AP$1</f>
        <v>0</v>
      </c>
      <c r="AQ25" s="122"/>
      <c r="AR25" s="123" cm="1">
        <f t="array" ref="AR25">IF($F25=10%,0,(AQ25*$AR$1+$AR$2))</f>
        <v>0</v>
      </c>
      <c r="AS25" s="95" cm="1">
        <f t="array" ref="AS25">AM25-R25-S25-T25</f>
        <v>9000000</v>
      </c>
      <c r="AT25" s="89" cm="1">
        <f t="array" ref="AT25">ROUND(IF((AS25-AR25-AO25)&lt;0,0,(AS25-AR25-AO25)),0)</f>
        <v>9000000</v>
      </c>
      <c r="AU25" s="123" cm="1">
        <f t="array" ref="AU25">ROUND(IF($F25=10%,ROUND(AS25*10%,0),0),0)</f>
        <v>900000</v>
      </c>
      <c r="AV25" s="123" cm="1">
        <f t="array" ref="AV25">ROUND(IF(AU25&gt;0,0,IF(AT25&lt;5000000,AT25*5%,IF(AT25&lt;10000000,250000+(AT25-5000000)*10%,IF(AT25&lt;18000000,750000+(AT25-10000000)*15%,IF(AT25&lt;32000000,1950000+(AT25-18000000)*20%,IF(AT25&lt;52000000,4750000+(AT25-32000000)*25%,IF(AT25&lt;80000000,9750000+(AT25-52000000)*30%,IF(AT25&lt;400000000,18150000+(AT25-80000000)*35%,0)))))))),0)</f>
        <v>0</v>
      </c>
      <c r="AW25" s="118" cm="1">
        <f t="array" ref="AW25">AM25-AO25-AV25-AU25</f>
        <v>8100000</v>
      </c>
      <c r="AX25" s="95"/>
      <c r="AY25" s="93"/>
      <c r="AZ25" s="118" cm="1">
        <f t="array" ref="AZ25">ROUND(AW25-AX25+AY25,0)</f>
        <v>8100000</v>
      </c>
      <c r="BA25" s="123" cm="1">
        <f t="array" ref="BA25">AM25+AP25</f>
        <v>9000000</v>
      </c>
      <c r="BB25" t="s" s="124">
        <v>137</v>
      </c>
      <c r="BC25" s="105"/>
      <c r="BD25" s="64"/>
      <c r="BE25" s="64"/>
      <c r="BF25" s="64"/>
      <c r="BG25" s="64"/>
      <c r="BH25" s="64"/>
      <c r="BI25" s="102"/>
      <c r="BJ25" s="34"/>
      <c r="BK25" s="34"/>
      <c r="BL25" s="34"/>
      <c r="BM25" s="5"/>
      <c r="BN25" s="5"/>
    </row>
    <row r="26" ht="18" customHeight="1">
      <c r="A26" s="85">
        <v>18</v>
      </c>
      <c r="B26" t="s" s="86">
        <v>151</v>
      </c>
      <c r="C26" t="s" s="130">
        <v>152</v>
      </c>
      <c r="D26" t="s" s="69">
        <v>153</v>
      </c>
      <c r="E26" t="s" s="87">
        <v>154</v>
      </c>
      <c r="F26" s="127">
        <v>0.1</v>
      </c>
      <c r="G26" t="s" s="86">
        <v>85</v>
      </c>
      <c r="H26" s="89">
        <v>11000000</v>
      </c>
      <c r="I26" s="89"/>
      <c r="J26" s="95"/>
      <c r="K26" s="93"/>
      <c r="L26" s="93"/>
      <c r="M26" s="91" cm="1">
        <f t="array" ref="M26">H26</f>
        <v>11000000</v>
      </c>
      <c r="N26" s="91"/>
      <c r="O26" s="89"/>
      <c r="P26" s="89"/>
      <c r="Q26" s="89"/>
      <c r="R26" s="89"/>
      <c r="S26" s="89"/>
      <c r="T26" s="89"/>
      <c r="U26" s="92" cm="1">
        <f t="array" ref="U26">SUM(W26:Y26)</f>
        <v>20</v>
      </c>
      <c r="V26" s="92">
        <v>20</v>
      </c>
      <c r="W26" s="92">
        <v>20</v>
      </c>
      <c r="X26" s="92"/>
      <c r="Y26" s="94"/>
      <c r="Z26" s="94"/>
      <c r="AA26" s="89" cm="1">
        <f t="array" ref="AA26">SUM(AB26:AD26)</f>
        <v>11000000</v>
      </c>
      <c r="AB26" s="89" cm="1">
        <f t="array" ref="AB26">ROUND($H26/V26*W26,0)</f>
        <v>11000000</v>
      </c>
      <c r="AC26" s="89" cm="1">
        <f t="array" ref="AC26">ROUND(J26/V26*X26,0)</f>
        <v>0</v>
      </c>
      <c r="AD26" s="89" cm="1">
        <f t="array" ref="AD26">ROUND($N26/V26*Y26,0)</f>
        <v>0</v>
      </c>
      <c r="AE26" s="89"/>
      <c r="AF26" s="89" cm="1">
        <f t="array" ref="AF26">SUM(AG26:AL26)</f>
        <v>0</v>
      </c>
      <c r="AG26" s="93"/>
      <c r="AH26" s="93"/>
      <c r="AI26" s="93"/>
      <c r="AJ26" s="93"/>
      <c r="AK26" s="93"/>
      <c r="AL26" s="95"/>
      <c r="AM26" s="89" cm="1">
        <f t="array" ref="AM26">AA26+AF26</f>
        <v>11000000</v>
      </c>
      <c r="AN26" s="93"/>
      <c r="AO26" s="89"/>
      <c r="AP26" s="89"/>
      <c r="AQ26" s="93"/>
      <c r="AR26" s="95"/>
      <c r="AS26" s="95" cm="1">
        <f t="array" ref="AS26">AM26-R26-S26-T26</f>
        <v>11000000</v>
      </c>
      <c r="AT26" s="89" cm="1">
        <f t="array" ref="AT26">ROUND(IF((AS26-AR26-AO26)&lt;0,0,(AS26-AR26-AO26)),0)</f>
        <v>11000000</v>
      </c>
      <c r="AU26" s="123" cm="1">
        <f t="array" ref="AU26">ROUND(IF($F26=10%,ROUND(AS26*10%,0),0),0)</f>
        <v>1100000</v>
      </c>
      <c r="AV26" s="95"/>
      <c r="AW26" s="89" cm="1">
        <f t="array" ref="AW26">AM26-AO26-AV26-AU26</f>
        <v>9900000</v>
      </c>
      <c r="AX26" s="95">
        <v>0</v>
      </c>
      <c r="AY26" s="93"/>
      <c r="AZ26" s="89" cm="1">
        <f t="array" ref="AZ26">ROUND(AW26-AX26+AY26,0)</f>
        <v>9900000</v>
      </c>
      <c r="BA26" s="95" cm="1">
        <f t="array" ref="BA26">AM26+AP26</f>
        <v>11000000</v>
      </c>
      <c r="BB26" t="s" s="131">
        <v>155</v>
      </c>
      <c r="BC26" s="105"/>
      <c r="BD26" s="64"/>
      <c r="BE26" s="64"/>
      <c r="BF26" s="64"/>
      <c r="BG26" s="64"/>
      <c r="BH26" s="64"/>
      <c r="BI26" s="102"/>
      <c r="BJ26" s="34"/>
      <c r="BK26" s="34"/>
      <c r="BL26" s="34"/>
      <c r="BM26" s="5"/>
      <c r="BN26" s="5"/>
    </row>
    <row r="27" ht="18" customHeight="1">
      <c r="A27" s="85">
        <v>19</v>
      </c>
      <c r="B27" t="s" s="86">
        <v>156</v>
      </c>
      <c r="C27" t="s" s="69">
        <v>157</v>
      </c>
      <c r="D27" t="s" s="69">
        <v>158</v>
      </c>
      <c r="E27" t="s" s="87">
        <v>154</v>
      </c>
      <c r="F27" s="127">
        <v>0.1</v>
      </c>
      <c r="G27" t="s" s="86">
        <v>85</v>
      </c>
      <c r="H27" s="89" cm="1">
        <f t="array" ref="H27">5000000/0.9</f>
        <v>5555555.55555556</v>
      </c>
      <c r="I27" s="89"/>
      <c r="J27" s="95"/>
      <c r="K27" s="93"/>
      <c r="L27" s="93"/>
      <c r="M27" s="91" cm="1">
        <f t="array" ref="M27">H27</f>
        <v>5555555.55555556</v>
      </c>
      <c r="N27" s="91"/>
      <c r="O27" s="89"/>
      <c r="P27" s="89"/>
      <c r="Q27" s="89"/>
      <c r="R27" s="89"/>
      <c r="S27" s="89"/>
      <c r="T27" s="89"/>
      <c r="U27" s="92" cm="1">
        <f t="array" ref="U27">SUM(W27:Y27)</f>
        <v>20</v>
      </c>
      <c r="V27" s="92">
        <v>20</v>
      </c>
      <c r="W27" s="92">
        <v>20</v>
      </c>
      <c r="X27" s="92"/>
      <c r="Y27" s="94"/>
      <c r="Z27" s="94"/>
      <c r="AA27" s="89" cm="1">
        <f t="array" ref="AA27">SUM(AB27:AE27)</f>
        <v>5555556</v>
      </c>
      <c r="AB27" s="89" cm="1">
        <f t="array" ref="AB27">ROUND($H27/V27*W27,0)</f>
        <v>5555556</v>
      </c>
      <c r="AC27" s="89" cm="1">
        <f t="array" ref="AC27">ROUND(J27/V27*X27,0)</f>
        <v>0</v>
      </c>
      <c r="AD27" s="89" cm="1">
        <f t="array" ref="AD27">ROUND($N27/V27*Y27,0)</f>
        <v>0</v>
      </c>
      <c r="AE27" s="89"/>
      <c r="AF27" s="89" cm="1">
        <f t="array" ref="AF27">SUM(AG27:AL27)</f>
        <v>0</v>
      </c>
      <c r="AG27" s="93"/>
      <c r="AH27" s="93"/>
      <c r="AI27" s="93"/>
      <c r="AJ27" s="93"/>
      <c r="AK27" s="93"/>
      <c r="AL27" s="95"/>
      <c r="AM27" s="89" cm="1">
        <f t="array" ref="AM27">AA27+AF27</f>
        <v>5555556</v>
      </c>
      <c r="AN27" s="93"/>
      <c r="AO27" s="89"/>
      <c r="AP27" s="89"/>
      <c r="AQ27" s="93"/>
      <c r="AR27" s="95"/>
      <c r="AS27" s="95" cm="1">
        <f t="array" ref="AS27">AM27-R27-S27-T27</f>
        <v>5555556</v>
      </c>
      <c r="AT27" s="89" cm="1">
        <f t="array" ref="AT27">ROUND(IF((AS27-AR27-AO27)&lt;0,0,(AS27-AR27-AO27)),0)</f>
        <v>5555556</v>
      </c>
      <c r="AU27" s="123" cm="1">
        <f t="array" ref="AU27">ROUND(IF($F27=10%,ROUND(AS27*10%,0),0),0)</f>
        <v>555556</v>
      </c>
      <c r="AV27" s="95"/>
      <c r="AW27" s="89" cm="1">
        <f t="array" ref="AW27">AM27-AO27-AV27-AU27</f>
        <v>5000000</v>
      </c>
      <c r="AX27" s="95">
        <v>0</v>
      </c>
      <c r="AY27" s="93"/>
      <c r="AZ27" s="89" cm="1">
        <f t="array" ref="AZ27">ROUND(AW27-AX27+AY27,0)</f>
        <v>5000000</v>
      </c>
      <c r="BA27" s="95" cm="1">
        <f t="array" ref="BA27">AM27+AP27</f>
        <v>5555556</v>
      </c>
      <c r="BB27" t="s" s="131">
        <v>155</v>
      </c>
      <c r="BC27" s="105"/>
      <c r="BD27" s="64"/>
      <c r="BE27" s="64"/>
      <c r="BF27" s="64"/>
      <c r="BG27" s="64"/>
      <c r="BH27" s="64"/>
      <c r="BI27" t="s" s="106">
        <v>159</v>
      </c>
      <c r="BJ27" s="34"/>
      <c r="BK27" s="34"/>
      <c r="BL27" s="34"/>
      <c r="BM27" s="5"/>
      <c r="BN27" s="5"/>
    </row>
    <row r="28" ht="18" customHeight="1">
      <c r="A28" s="85">
        <v>20</v>
      </c>
      <c r="B28" t="s" s="86">
        <v>160</v>
      </c>
      <c r="C28" t="s" s="69">
        <v>161</v>
      </c>
      <c r="D28" t="s" s="115">
        <v>162</v>
      </c>
      <c r="E28" t="s" s="87">
        <v>154</v>
      </c>
      <c r="F28" s="127">
        <v>0.1</v>
      </c>
      <c r="G28" t="s" s="86">
        <v>85</v>
      </c>
      <c r="H28" s="89" cm="1">
        <f t="array" ref="H28">6000000/0.9</f>
        <v>6666666.66666667</v>
      </c>
      <c r="I28" s="89"/>
      <c r="J28" s="95"/>
      <c r="K28" s="93"/>
      <c r="L28" s="93"/>
      <c r="M28" s="91" cm="1">
        <f t="array" ref="M28">H28</f>
        <v>6666666.66666667</v>
      </c>
      <c r="N28" s="91"/>
      <c r="O28" s="89"/>
      <c r="P28" s="89"/>
      <c r="Q28" s="89"/>
      <c r="R28" s="89"/>
      <c r="S28" s="89"/>
      <c r="T28" s="89"/>
      <c r="U28" s="92" cm="1">
        <f t="array" ref="U28">SUM(W28:Y28)</f>
        <v>20</v>
      </c>
      <c r="V28" s="92">
        <v>20</v>
      </c>
      <c r="W28" s="92">
        <v>20</v>
      </c>
      <c r="X28" s="92"/>
      <c r="Y28" s="94"/>
      <c r="Z28" s="94"/>
      <c r="AA28" s="89" cm="1">
        <f t="array" ref="AA28">SUM(AB28:AE28)</f>
        <v>6666667</v>
      </c>
      <c r="AB28" s="89" cm="1">
        <f t="array" ref="AB28">ROUND($H28/V28*W28,0)</f>
        <v>6666667</v>
      </c>
      <c r="AC28" s="89" cm="1">
        <f t="array" ref="AC28">ROUND(J28/V28*X28,0)</f>
        <v>0</v>
      </c>
      <c r="AD28" s="89" cm="1">
        <f t="array" ref="AD28">ROUND($N28/V28*Y28,0)</f>
        <v>0</v>
      </c>
      <c r="AE28" s="89"/>
      <c r="AF28" s="89" cm="1">
        <f t="array" ref="AF28">SUM(AG28:AL28)</f>
        <v>0</v>
      </c>
      <c r="AG28" s="93"/>
      <c r="AH28" s="93"/>
      <c r="AI28" s="93"/>
      <c r="AJ28" s="93"/>
      <c r="AK28" s="93"/>
      <c r="AL28" s="95"/>
      <c r="AM28" s="89" cm="1">
        <f t="array" ref="AM28">AA28+AF28</f>
        <v>6666667</v>
      </c>
      <c r="AN28" s="93"/>
      <c r="AO28" s="89"/>
      <c r="AP28" s="89"/>
      <c r="AQ28" s="93"/>
      <c r="AR28" s="95"/>
      <c r="AS28" s="95" cm="1">
        <f t="array" ref="AS28">AM28-R28-S28-T28</f>
        <v>6666667</v>
      </c>
      <c r="AT28" s="89" cm="1">
        <f t="array" ref="AT28">ROUND(IF((AS28-AR28-AO28)&lt;0,0,(AS28-AR28-AO28)),0)</f>
        <v>6666667</v>
      </c>
      <c r="AU28" s="123" cm="1">
        <f t="array" ref="AU28">ROUND(IF($F28=10%,ROUND(AS28*10%,0),0),0)</f>
        <v>666667</v>
      </c>
      <c r="AV28" s="95"/>
      <c r="AW28" s="89" cm="1">
        <f t="array" ref="AW28">AM28-AO28-AV28-AU28</f>
        <v>6000000</v>
      </c>
      <c r="AX28" s="95">
        <v>0</v>
      </c>
      <c r="AY28" s="93"/>
      <c r="AZ28" s="89" cm="1">
        <f t="array" ref="AZ28">ROUND(AW28-AX28+AY28,0)</f>
        <v>6000000</v>
      </c>
      <c r="BA28" s="95" cm="1">
        <f t="array" ref="BA28">AM28+AP28</f>
        <v>6666667</v>
      </c>
      <c r="BB28" t="s" s="131">
        <v>155</v>
      </c>
      <c r="BC28" s="105"/>
      <c r="BD28" s="64"/>
      <c r="BE28" s="64"/>
      <c r="BF28" s="64"/>
      <c r="BG28" s="64"/>
      <c r="BH28" s="64"/>
      <c r="BI28" t="s" s="106">
        <v>159</v>
      </c>
      <c r="BJ28" s="34"/>
      <c r="BK28" s="34"/>
      <c r="BL28" s="34"/>
      <c r="BM28" s="5"/>
      <c r="BN28" s="5"/>
    </row>
    <row r="29" ht="18" customHeight="1">
      <c r="A29" s="85">
        <v>21</v>
      </c>
      <c r="B29" t="s" s="117">
        <v>163</v>
      </c>
      <c r="C29" t="s" s="115">
        <v>164</v>
      </c>
      <c r="D29" t="s" s="115">
        <v>165</v>
      </c>
      <c r="E29" t="s" s="121">
        <v>154</v>
      </c>
      <c r="F29" s="127">
        <v>0.1</v>
      </c>
      <c r="G29" t="s" s="128">
        <v>135</v>
      </c>
      <c r="H29" s="118" cm="1">
        <f t="array" ref="H29">4000000/0.9</f>
        <v>4444444.44444444</v>
      </c>
      <c r="I29" s="118"/>
      <c r="J29" s="123"/>
      <c r="K29" s="122"/>
      <c r="L29" s="122"/>
      <c r="M29" s="91" cm="1">
        <f t="array" ref="M29">H29</f>
        <v>4444444.44444444</v>
      </c>
      <c r="N29" s="129"/>
      <c r="O29" s="118"/>
      <c r="P29" s="118"/>
      <c r="Q29" s="118"/>
      <c r="R29" s="118"/>
      <c r="S29" s="118"/>
      <c r="T29" s="118"/>
      <c r="U29" s="119" cm="1">
        <f t="array" ref="U29">SUM(W29:Y29)</f>
        <v>19</v>
      </c>
      <c r="V29" s="92">
        <v>20</v>
      </c>
      <c r="W29" s="92">
        <v>19</v>
      </c>
      <c r="X29" s="119"/>
      <c r="Y29" s="120"/>
      <c r="Z29" s="120"/>
      <c r="AA29" s="118" cm="1">
        <f t="array" ref="AA29">SUM(AB29:AE29)</f>
        <v>4222222</v>
      </c>
      <c r="AB29" s="118" cm="1">
        <f t="array" ref="AB29">ROUND($H29/V29*W29,0)</f>
        <v>4222222</v>
      </c>
      <c r="AC29" s="118" cm="1">
        <f t="array" ref="AC29">ROUND(J29/V29*X29,0)</f>
        <v>0</v>
      </c>
      <c r="AD29" s="118" cm="1">
        <f t="array" ref="AD29">ROUND($N29/V29*Y29,0)</f>
        <v>0</v>
      </c>
      <c r="AE29" s="118"/>
      <c r="AF29" s="118" cm="1">
        <f t="array" ref="AF29">SUM(AG29:AL29)</f>
        <v>0</v>
      </c>
      <c r="AG29" s="122"/>
      <c r="AH29" s="122"/>
      <c r="AI29" s="122"/>
      <c r="AJ29" s="122"/>
      <c r="AK29" s="122"/>
      <c r="AL29" s="123"/>
      <c r="AM29" s="89" cm="1">
        <f t="array" ref="AM29">AA29+AF29</f>
        <v>4222222</v>
      </c>
      <c r="AN29" s="122"/>
      <c r="AO29" s="118"/>
      <c r="AP29" s="118"/>
      <c r="AQ29" s="122"/>
      <c r="AR29" s="123"/>
      <c r="AS29" s="95" cm="1">
        <f t="array" ref="AS29">AM29-R29-S29-T29</f>
        <v>4222222</v>
      </c>
      <c r="AT29" s="89" cm="1">
        <f t="array" ref="AT29">ROUND(IF((AS29-AR29-AO29)&lt;0,0,(AS29-AR29-AO29)),0)</f>
        <v>4222222</v>
      </c>
      <c r="AU29" s="123" cm="1">
        <f t="array" ref="AU29">ROUND(IF($F29=10%,ROUND(AS29*10%,0),0),0)</f>
        <v>422222</v>
      </c>
      <c r="AV29" s="123"/>
      <c r="AW29" s="118" cm="1">
        <f t="array" ref="AW29">AM29-AO29-AV29-AU29</f>
        <v>3800000</v>
      </c>
      <c r="AX29" s="95">
        <v>0</v>
      </c>
      <c r="AY29" s="122"/>
      <c r="AZ29" s="89" cm="1">
        <f t="array" ref="AZ29">ROUND(AW29-AX29+AY29,0)</f>
        <v>3800000</v>
      </c>
      <c r="BA29" s="123" cm="1">
        <f t="array" ref="BA29">AM29+AP29</f>
        <v>4222222</v>
      </c>
      <c r="BB29" t="s" s="131">
        <v>155</v>
      </c>
      <c r="BC29" s="125"/>
      <c r="BD29" s="64"/>
      <c r="BE29" s="64"/>
      <c r="BF29" s="64"/>
      <c r="BG29" s="64"/>
      <c r="BH29" s="64"/>
      <c r="BI29" t="s" s="106">
        <v>159</v>
      </c>
      <c r="BJ29" s="34"/>
      <c r="BK29" s="34"/>
      <c r="BL29" s="34"/>
      <c r="BM29" s="5"/>
      <c r="BN29" s="5"/>
    </row>
    <row r="30" ht="18" customHeight="1">
      <c r="A30" s="85">
        <v>22</v>
      </c>
      <c r="B30" t="s" s="117">
        <v>166</v>
      </c>
      <c r="C30" t="s" s="115">
        <v>167</v>
      </c>
      <c r="D30" s="107"/>
      <c r="E30" t="s" s="121">
        <v>154</v>
      </c>
      <c r="F30" s="127">
        <v>0.1</v>
      </c>
      <c r="G30" t="s" s="128">
        <v>135</v>
      </c>
      <c r="H30" s="118" cm="1">
        <f t="array" ref="H30">5000000/0.9</f>
        <v>5555555.55555556</v>
      </c>
      <c r="I30" s="118"/>
      <c r="J30" s="123"/>
      <c r="K30" s="122"/>
      <c r="L30" s="122"/>
      <c r="M30" s="91" cm="1">
        <f t="array" ref="M30">H30</f>
        <v>5555555.55555556</v>
      </c>
      <c r="N30" s="129"/>
      <c r="O30" s="118"/>
      <c r="P30" s="118"/>
      <c r="Q30" s="118"/>
      <c r="R30" s="118"/>
      <c r="S30" s="118"/>
      <c r="T30" s="118"/>
      <c r="U30" s="119" cm="1">
        <f t="array" ref="U30">SUM(W30:Y30)</f>
        <v>19</v>
      </c>
      <c r="V30" s="92">
        <v>20</v>
      </c>
      <c r="W30" s="92">
        <v>19</v>
      </c>
      <c r="X30" s="119"/>
      <c r="Y30" s="120"/>
      <c r="Z30" s="120"/>
      <c r="AA30" s="118" cm="1">
        <f t="array" ref="AA30">SUM(AB30:AE30)</f>
        <v>5277778</v>
      </c>
      <c r="AB30" s="118" cm="1">
        <f t="array" ref="AB30">ROUND($H30/V30*W30,0)</f>
        <v>5277778</v>
      </c>
      <c r="AC30" s="118" cm="1">
        <f t="array" ref="AC30">ROUND(J30/V30*X30,0)</f>
        <v>0</v>
      </c>
      <c r="AD30" s="118" cm="1">
        <f t="array" ref="AD30">ROUND($N30/V30*Y30,0)</f>
        <v>0</v>
      </c>
      <c r="AE30" s="118"/>
      <c r="AF30" s="118" cm="1">
        <f t="array" ref="AF30">SUM(AG30:AL30)</f>
        <v>0</v>
      </c>
      <c r="AG30" s="122"/>
      <c r="AH30" s="122"/>
      <c r="AI30" s="122"/>
      <c r="AJ30" s="122"/>
      <c r="AK30" s="122"/>
      <c r="AL30" s="123"/>
      <c r="AM30" s="89" cm="1">
        <f t="array" ref="AM30">AA30+AF30</f>
        <v>5277778</v>
      </c>
      <c r="AN30" s="122"/>
      <c r="AO30" s="118"/>
      <c r="AP30" s="118"/>
      <c r="AQ30" s="122"/>
      <c r="AR30" s="123"/>
      <c r="AS30" s="95" cm="1">
        <f t="array" ref="AS30">AM30-R30-S30-T30</f>
        <v>5277778</v>
      </c>
      <c r="AT30" s="89" cm="1">
        <f t="array" ref="AT30">ROUND(IF((AS30-AR30-AO30)&lt;0,0,(AS30-AR30-AO30)),0)</f>
        <v>5277778</v>
      </c>
      <c r="AU30" s="123" cm="1">
        <f t="array" ref="AU30">ROUND(IF($F30=10%,ROUND(AS30*10%,0),0),0)</f>
        <v>527778</v>
      </c>
      <c r="AV30" s="123"/>
      <c r="AW30" s="118" cm="1">
        <f t="array" ref="AW30">AM30-AO30-AV30-AU30</f>
        <v>4750000</v>
      </c>
      <c r="AX30" s="95">
        <v>0</v>
      </c>
      <c r="AY30" s="122"/>
      <c r="AZ30" s="89" cm="1">
        <f t="array" ref="AZ30">ROUND(AW30-AX30+AY30,0)</f>
        <v>4750000</v>
      </c>
      <c r="BA30" s="123" cm="1">
        <f t="array" ref="BA30">AM30+AP30</f>
        <v>5277778</v>
      </c>
      <c r="BB30" t="s" s="131">
        <v>155</v>
      </c>
      <c r="BC30" s="125"/>
      <c r="BD30" s="64"/>
      <c r="BE30" s="64"/>
      <c r="BF30" s="64"/>
      <c r="BG30" s="64"/>
      <c r="BH30" s="64"/>
      <c r="BI30" t="s" s="106">
        <v>159</v>
      </c>
      <c r="BJ30" s="34"/>
      <c r="BK30" s="34"/>
      <c r="BL30" s="34"/>
      <c r="BM30" s="5"/>
      <c r="BN30" s="5"/>
    </row>
    <row r="31" ht="18" customHeight="1">
      <c r="A31" s="85">
        <v>23</v>
      </c>
      <c r="B31" s="132"/>
      <c r="C31" t="s" s="69">
        <v>168</v>
      </c>
      <c r="D31" t="s" s="69">
        <v>169</v>
      </c>
      <c r="E31" t="s" s="87">
        <v>170</v>
      </c>
      <c r="F31" s="127">
        <v>0.1</v>
      </c>
      <c r="G31" t="s" s="86">
        <v>85</v>
      </c>
      <c r="H31" s="133">
        <v>5000000</v>
      </c>
      <c r="I31" s="89"/>
      <c r="J31" s="95"/>
      <c r="K31" s="88"/>
      <c r="L31" s="134"/>
      <c r="M31" s="91" cm="1">
        <f t="array" ref="M31">H31</f>
        <v>5000000</v>
      </c>
      <c r="N31" s="91"/>
      <c r="O31" s="89"/>
      <c r="P31" s="89"/>
      <c r="Q31" s="89"/>
      <c r="R31" s="89"/>
      <c r="S31" s="89"/>
      <c r="T31" s="89"/>
      <c r="U31" s="119" cm="1">
        <f t="array" ref="U31">SUM(W31:Y31)</f>
        <v>11.5</v>
      </c>
      <c r="V31" s="92">
        <v>20</v>
      </c>
      <c r="W31" s="92">
        <v>11.5</v>
      </c>
      <c r="X31" s="92"/>
      <c r="Y31" s="94"/>
      <c r="Z31" s="94"/>
      <c r="AA31" s="118" cm="1">
        <f t="array" ref="AA31">SUM(AB31:AE31)</f>
        <v>2875000</v>
      </c>
      <c r="AB31" s="118" cm="1">
        <f t="array" ref="AB31">ROUND($H31/V31*W31,0)</f>
        <v>2875000</v>
      </c>
      <c r="AC31" s="118" cm="1">
        <f t="array" ref="AC31">ROUND(J31/V31*X31,0)</f>
        <v>0</v>
      </c>
      <c r="AD31" s="118" cm="1">
        <f t="array" ref="AD31">ROUND($N31/V31*Y31,0)</f>
        <v>0</v>
      </c>
      <c r="AE31" s="89"/>
      <c r="AF31" s="118" cm="1">
        <f t="array" ref="AF31">SUM(AG31:AL31)</f>
        <v>0</v>
      </c>
      <c r="AG31" s="93"/>
      <c r="AH31" s="93"/>
      <c r="AI31" s="93"/>
      <c r="AJ31" s="93"/>
      <c r="AK31" s="95"/>
      <c r="AL31" s="89"/>
      <c r="AM31" s="89" cm="1">
        <f t="array" ref="AM31">AA31+AF31</f>
        <v>2875000</v>
      </c>
      <c r="AN31" s="89"/>
      <c r="AO31" s="89"/>
      <c r="AP31" s="93"/>
      <c r="AQ31" s="95"/>
      <c r="AR31" s="95"/>
      <c r="AS31" s="95" cm="1">
        <f t="array" ref="AS31">AM31-R31-S31-T31</f>
        <v>2875000</v>
      </c>
      <c r="AT31" s="89" cm="1">
        <f t="array" ref="AT31">ROUND(IF((AS31-AR31-AO31)&lt;0,0,(AS31-AR31-AO31)),0)</f>
        <v>2875000</v>
      </c>
      <c r="AU31" s="123" cm="1">
        <f t="array" ref="AU31">ROUND(IF($F31=10%,ROUND(AS31*10%,0),0),0)</f>
        <v>287500</v>
      </c>
      <c r="AV31" s="89"/>
      <c r="AW31" s="118" cm="1">
        <f t="array" ref="AW31">AM31-AO31-AV31-AU31</f>
        <v>2587500</v>
      </c>
      <c r="AX31" s="95">
        <v>0</v>
      </c>
      <c r="AY31" s="89"/>
      <c r="AZ31" s="89" cm="1">
        <f t="array" ref="AZ31">ROUND(AW31-AX31+AY31,0)</f>
        <v>2587500</v>
      </c>
      <c r="BA31" s="123" cm="1">
        <f t="array" ref="BA31">AM31+AP31</f>
        <v>2875000</v>
      </c>
      <c r="BB31" t="s" s="131">
        <v>155</v>
      </c>
      <c r="BC31" s="105"/>
      <c r="BD31" s="64"/>
      <c r="BE31" s="64"/>
      <c r="BF31" s="64"/>
      <c r="BG31" s="64"/>
      <c r="BH31" s="64"/>
      <c r="BI31" s="102"/>
      <c r="BJ31" s="34"/>
      <c r="BK31" s="34"/>
      <c r="BL31" s="34"/>
      <c r="BM31" s="5"/>
      <c r="BN31" s="5"/>
    </row>
    <row r="32" ht="18" customHeight="1">
      <c r="A32" s="85">
        <v>24</v>
      </c>
      <c r="B32" s="132"/>
      <c r="C32" t="s" s="124">
        <v>171</v>
      </c>
      <c r="D32" t="s" s="124">
        <v>172</v>
      </c>
      <c r="E32" t="s" s="87">
        <v>170</v>
      </c>
      <c r="F32" s="127"/>
      <c r="G32" t="s" s="128">
        <v>135</v>
      </c>
      <c r="H32" s="118">
        <v>3000000</v>
      </c>
      <c r="I32" s="89"/>
      <c r="J32" s="95"/>
      <c r="K32" s="88"/>
      <c r="L32" s="134"/>
      <c r="M32" s="91" cm="1">
        <f t="array" ref="M32">H32</f>
        <v>3000000</v>
      </c>
      <c r="N32" s="91"/>
      <c r="O32" s="89"/>
      <c r="P32" s="89"/>
      <c r="Q32" s="89"/>
      <c r="R32" s="89"/>
      <c r="S32" s="89"/>
      <c r="T32" s="89"/>
      <c r="U32" s="119" cm="1">
        <f t="array" ref="U32">SUM(W32:Y32)</f>
        <v>7</v>
      </c>
      <c r="V32" s="92">
        <v>20</v>
      </c>
      <c r="W32" s="92">
        <v>7</v>
      </c>
      <c r="X32" s="92"/>
      <c r="Y32" s="94"/>
      <c r="Z32" s="94"/>
      <c r="AA32" s="118" cm="1">
        <f t="array" ref="AA32">SUM(AB32:AE32)</f>
        <v>1050000</v>
      </c>
      <c r="AB32" s="118" cm="1">
        <f t="array" ref="AB32">ROUND($H32/V32*W32,0)</f>
        <v>1050000</v>
      </c>
      <c r="AC32" s="118" cm="1">
        <f t="array" ref="AC32">ROUND(J32/V32*X32,0)</f>
        <v>0</v>
      </c>
      <c r="AD32" s="118" cm="1">
        <f t="array" ref="AD32">ROUND($N32/V32*Y32,0)</f>
        <v>0</v>
      </c>
      <c r="AE32" s="89"/>
      <c r="AF32" s="118" cm="1">
        <f t="array" ref="AF32">SUM(AG32:AL32)</f>
        <v>0</v>
      </c>
      <c r="AG32" s="93"/>
      <c r="AH32" s="93"/>
      <c r="AI32" s="93"/>
      <c r="AJ32" s="93"/>
      <c r="AK32" s="95"/>
      <c r="AL32" s="89"/>
      <c r="AM32" s="89" cm="1">
        <f t="array" ref="AM32">AA32+AF32</f>
        <v>1050000</v>
      </c>
      <c r="AN32" s="89"/>
      <c r="AO32" s="89"/>
      <c r="AP32" s="93"/>
      <c r="AQ32" s="95"/>
      <c r="AR32" s="95"/>
      <c r="AS32" s="95" cm="1">
        <f t="array" ref="AS32">AM32-R32-S32-T32</f>
        <v>1050000</v>
      </c>
      <c r="AT32" s="89" cm="1">
        <f t="array" ref="AT32">ROUND(IF((AS32-AR32-AO32)&lt;0,0,(AS32-AR32-AO32)),0)</f>
        <v>1050000</v>
      </c>
      <c r="AU32" s="123" cm="1">
        <f t="array" ref="AU32">ROUND(IF($F32=10%,ROUND(AS32*10%,0),0),0)</f>
        <v>0</v>
      </c>
      <c r="AV32" s="89"/>
      <c r="AW32" s="118" cm="1">
        <f t="array" ref="AW32">AM32-AO32-AV32-AU32</f>
        <v>1050000</v>
      </c>
      <c r="AX32" s="95">
        <v>0</v>
      </c>
      <c r="AY32" s="89"/>
      <c r="AZ32" s="89" cm="1">
        <f t="array" ref="AZ32">ROUND(AW32-AX32+AY32,0)</f>
        <v>1050000</v>
      </c>
      <c r="BA32" s="123" cm="1">
        <f t="array" ref="BA32">AM32+AP32</f>
        <v>1050000</v>
      </c>
      <c r="BB32" t="s" s="131">
        <v>155</v>
      </c>
      <c r="BC32" s="105"/>
      <c r="BD32" s="64"/>
      <c r="BE32" s="64"/>
      <c r="BF32" s="64"/>
      <c r="BG32" s="64"/>
      <c r="BH32" s="64"/>
      <c r="BI32" t="s" s="106">
        <v>159</v>
      </c>
      <c r="BJ32" s="34"/>
      <c r="BK32" s="34"/>
      <c r="BL32" s="34"/>
      <c r="BM32" s="5"/>
      <c r="BN32" s="5"/>
    </row>
    <row r="33" ht="18" customHeight="1">
      <c r="A33" s="85">
        <v>25</v>
      </c>
      <c r="B33" s="132"/>
      <c r="C33" t="s" s="69">
        <v>173</v>
      </c>
      <c r="D33" t="s" s="69">
        <v>174</v>
      </c>
      <c r="E33" t="s" s="87">
        <v>175</v>
      </c>
      <c r="F33" s="127"/>
      <c r="G33" s="88"/>
      <c r="H33" s="118">
        <v>2500000</v>
      </c>
      <c r="I33" s="89"/>
      <c r="J33" s="95"/>
      <c r="K33" s="88"/>
      <c r="L33" s="134"/>
      <c r="M33" s="91" cm="1">
        <f t="array" ref="M33">H33</f>
        <v>2500000</v>
      </c>
      <c r="N33" s="91"/>
      <c r="O33" s="89"/>
      <c r="P33" s="89"/>
      <c r="Q33" s="89"/>
      <c r="R33" s="89"/>
      <c r="S33" s="89"/>
      <c r="T33" s="89"/>
      <c r="U33" s="119" cm="1">
        <f t="array" ref="U33">SUM(W33:Y33)</f>
        <v>13</v>
      </c>
      <c r="V33" s="92">
        <v>20</v>
      </c>
      <c r="W33" s="92">
        <v>13</v>
      </c>
      <c r="X33" s="92"/>
      <c r="Y33" s="94"/>
      <c r="Z33" s="94"/>
      <c r="AA33" s="118" cm="1">
        <f t="array" ref="AA33">SUM(AB33:AE33)</f>
        <v>1625000</v>
      </c>
      <c r="AB33" s="118" cm="1">
        <f t="array" ref="AB33">ROUND($H33/V33*W33,0)</f>
        <v>1625000</v>
      </c>
      <c r="AC33" s="118" cm="1">
        <f t="array" ref="AC33">ROUND(J33/V33*X33,0)</f>
        <v>0</v>
      </c>
      <c r="AD33" s="118" cm="1">
        <f t="array" ref="AD33">ROUND($N33/V33*Y33,0)</f>
        <v>0</v>
      </c>
      <c r="AE33" s="89"/>
      <c r="AF33" s="118" cm="1">
        <f t="array" ref="AF33">SUM(AG33:AL33)</f>
        <v>0</v>
      </c>
      <c r="AG33" s="93"/>
      <c r="AH33" s="93"/>
      <c r="AI33" s="93"/>
      <c r="AJ33" s="93"/>
      <c r="AK33" s="95"/>
      <c r="AL33" s="89"/>
      <c r="AM33" s="89" cm="1">
        <f t="array" ref="AM33">AA33+AF33</f>
        <v>1625000</v>
      </c>
      <c r="AN33" s="89"/>
      <c r="AO33" s="89"/>
      <c r="AP33" s="93"/>
      <c r="AQ33" s="95"/>
      <c r="AR33" s="95"/>
      <c r="AS33" s="95" cm="1">
        <f t="array" ref="AS33">AM33-R33-S33-T33</f>
        <v>1625000</v>
      </c>
      <c r="AT33" s="89" cm="1">
        <f t="array" ref="AT33">ROUND(IF((AS33-AR33-AO33)&lt;0,0,(AS33-AR33-AO33)),0)</f>
        <v>1625000</v>
      </c>
      <c r="AU33" s="123" cm="1">
        <f t="array" ref="AU33">ROUND(IF($F33=10%,ROUND(AS33*10%,0),0),0)</f>
        <v>0</v>
      </c>
      <c r="AV33" s="89"/>
      <c r="AW33" s="118" cm="1">
        <f t="array" ref="AW33">AM33-AO33-AV33-AU33</f>
        <v>1625000</v>
      </c>
      <c r="AX33" s="93"/>
      <c r="AY33" s="89"/>
      <c r="AZ33" s="89" cm="1">
        <f t="array" ref="AZ33">ROUND(AW33-AX33+AY33,0)</f>
        <v>1625000</v>
      </c>
      <c r="BA33" s="123" cm="1">
        <f t="array" ref="BA33">AM33+AP33</f>
        <v>1625000</v>
      </c>
      <c r="BB33" t="s" s="69">
        <v>176</v>
      </c>
      <c r="BC33" s="105"/>
      <c r="BD33" s="64"/>
      <c r="BE33" s="64"/>
      <c r="BF33" s="64"/>
      <c r="BG33" s="64"/>
      <c r="BH33" s="64"/>
      <c r="BI33" s="102"/>
      <c r="BJ33" s="34"/>
      <c r="BK33" s="34"/>
      <c r="BL33" s="34"/>
      <c r="BM33" s="5"/>
      <c r="BN33" s="5"/>
    </row>
    <row r="34" ht="18" customHeight="1">
      <c r="A34" s="88"/>
      <c r="B34" t="s" s="135">
        <v>177</v>
      </c>
      <c r="C34" s="107"/>
      <c r="D34" s="107"/>
      <c r="E34" s="93"/>
      <c r="F34" s="111"/>
      <c r="G34" s="88"/>
      <c r="H34" s="89"/>
      <c r="I34" s="89"/>
      <c r="J34" s="95"/>
      <c r="K34" s="88"/>
      <c r="L34" s="136"/>
      <c r="M34" s="137"/>
      <c r="N34" s="91"/>
      <c r="O34" s="89"/>
      <c r="P34" s="89"/>
      <c r="Q34" s="89"/>
      <c r="R34" s="89"/>
      <c r="S34" s="89"/>
      <c r="T34" s="89"/>
      <c r="U34" s="92"/>
      <c r="V34" s="92"/>
      <c r="W34" s="92"/>
      <c r="X34" s="92"/>
      <c r="Y34" s="94"/>
      <c r="Z34" s="94"/>
      <c r="AA34" s="89"/>
      <c r="AB34" s="89"/>
      <c r="AC34" s="89"/>
      <c r="AD34" s="89"/>
      <c r="AE34" s="89"/>
      <c r="AF34" s="93"/>
      <c r="AG34" s="93"/>
      <c r="AH34" s="93"/>
      <c r="AI34" s="93"/>
      <c r="AJ34" s="93"/>
      <c r="AK34" s="95"/>
      <c r="AL34" s="89"/>
      <c r="AM34" s="93"/>
      <c r="AN34" s="89"/>
      <c r="AO34" s="89"/>
      <c r="AP34" s="93"/>
      <c r="AQ34" s="95"/>
      <c r="AR34" s="95"/>
      <c r="AS34" s="89"/>
      <c r="AT34" s="95"/>
      <c r="AU34" s="95"/>
      <c r="AV34" s="89"/>
      <c r="AW34" s="118" cm="1">
        <f t="array" ref="AW34">AM34-AO34-AV34-AU34</f>
        <v>0</v>
      </c>
      <c r="AX34" s="93"/>
      <c r="AY34" s="89"/>
      <c r="AZ34" s="95"/>
      <c r="BA34" s="107"/>
      <c r="BB34" s="107"/>
      <c r="BC34" s="105"/>
      <c r="BD34" s="64"/>
      <c r="BE34" s="64"/>
      <c r="BF34" s="64"/>
      <c r="BG34" s="64"/>
      <c r="BH34" s="64"/>
      <c r="BI34" s="72"/>
      <c r="BJ34" s="5"/>
      <c r="BK34" s="5"/>
      <c r="BL34" s="5"/>
      <c r="BM34" s="5"/>
      <c r="BN34" s="5"/>
    </row>
    <row r="35" ht="18" customHeight="1">
      <c r="A35" s="85">
        <v>1</v>
      </c>
      <c r="B35" s="88"/>
      <c r="C35" t="s" s="69">
        <v>173</v>
      </c>
      <c r="D35" s="138"/>
      <c r="E35" t="s" s="87">
        <v>150</v>
      </c>
      <c r="F35" s="111"/>
      <c r="G35" s="88"/>
      <c r="H35" s="89">
        <v>2500000</v>
      </c>
      <c r="I35" s="89"/>
      <c r="J35" s="95"/>
      <c r="K35" s="88"/>
      <c r="L35" s="136"/>
      <c r="M35" s="137"/>
      <c r="N35" s="91"/>
      <c r="O35" s="89"/>
      <c r="P35" s="89"/>
      <c r="Q35" s="89"/>
      <c r="R35" s="89"/>
      <c r="S35" s="89"/>
      <c r="T35" s="89"/>
      <c r="U35" s="92">
        <v>23</v>
      </c>
      <c r="V35" s="92">
        <v>23</v>
      </c>
      <c r="W35" s="92"/>
      <c r="X35" s="92"/>
      <c r="Y35" s="94"/>
      <c r="Z35" s="94"/>
      <c r="AA35" s="95" cm="1">
        <f t="array" ref="AA35">_xlfn.IFERROR(ROUND(H35/V35*U35,0),0)</f>
        <v>2500000</v>
      </c>
      <c r="AB35" s="89"/>
      <c r="AC35" s="89"/>
      <c r="AD35" s="89"/>
      <c r="AE35" s="89">
        <v>0</v>
      </c>
      <c r="AF35" s="93"/>
      <c r="AG35" s="93"/>
      <c r="AH35" s="93"/>
      <c r="AI35" s="93"/>
      <c r="AJ35" s="93"/>
      <c r="AK35" s="95"/>
      <c r="AL35" s="89"/>
      <c r="AM35" s="89" cm="1">
        <f t="array" ref="AM35">AA35+AF35</f>
        <v>2500000</v>
      </c>
      <c r="AN35" s="89"/>
      <c r="AO35" s="89"/>
      <c r="AP35" s="93"/>
      <c r="AQ35" s="95"/>
      <c r="AR35" s="95"/>
      <c r="AS35" s="89"/>
      <c r="AT35" s="95"/>
      <c r="AU35" s="95"/>
      <c r="AV35" s="89"/>
      <c r="AW35" s="89"/>
      <c r="AX35" s="93"/>
      <c r="AY35" s="89"/>
      <c r="AZ35" s="95"/>
      <c r="BA35" s="95"/>
      <c r="BB35" s="93"/>
      <c r="BC35" s="105"/>
      <c r="BD35" s="64"/>
      <c r="BE35" s="64"/>
      <c r="BF35" s="64"/>
      <c r="BG35" s="64"/>
      <c r="BH35" s="64"/>
      <c r="BI35" s="72"/>
      <c r="BJ35" s="5"/>
      <c r="BK35" s="5"/>
      <c r="BL35" s="5"/>
      <c r="BM35" s="5"/>
      <c r="BN35" s="5"/>
    </row>
    <row r="36" ht="18" customHeight="1">
      <c r="A36" s="85" cm="1">
        <f t="array" ref="A36">A35+1</f>
        <v>2</v>
      </c>
      <c r="B36" t="s" s="86">
        <v>89</v>
      </c>
      <c r="C36" t="s" s="69">
        <v>90</v>
      </c>
      <c r="D36" s="107"/>
      <c r="E36" t="s" s="87">
        <v>92</v>
      </c>
      <c r="F36" s="111"/>
      <c r="G36" s="88"/>
      <c r="H36" s="89">
        <v>23500000</v>
      </c>
      <c r="I36" s="89"/>
      <c r="J36" s="95"/>
      <c r="K36" s="88"/>
      <c r="L36" s="136"/>
      <c r="M36" s="137"/>
      <c r="N36" s="91"/>
      <c r="O36" s="89"/>
      <c r="P36" s="89"/>
      <c r="Q36" s="89"/>
      <c r="R36" s="89"/>
      <c r="S36" s="89"/>
      <c r="T36" s="89"/>
      <c r="U36" s="92" cm="1">
        <f t="array" ref="U36">_xlfn.IFERROR(VLOOKUP(C36,$C$9:$U$27,19,0),0)</f>
        <v>20</v>
      </c>
      <c r="V36" s="92" cm="1">
        <f t="array" ref="V36">_xlfn.IFERROR(VLOOKUP(C36,$C$9:$V$27,20,0),0)</f>
        <v>20</v>
      </c>
      <c r="W36" s="92"/>
      <c r="X36" s="92"/>
      <c r="Y36" s="94"/>
      <c r="Z36" s="94"/>
      <c r="AA36" s="95" cm="1">
        <f t="array" ref="AA36">_xlfn.IFERROR(ROUND(H36/V36*U36,0),0)</f>
        <v>23500000</v>
      </c>
      <c r="AB36" s="89"/>
      <c r="AC36" s="89"/>
      <c r="AD36" s="89"/>
      <c r="AE36" s="89">
        <v>0</v>
      </c>
      <c r="AF36" s="93"/>
      <c r="AG36" s="93"/>
      <c r="AH36" s="93"/>
      <c r="AI36" s="93"/>
      <c r="AJ36" s="93"/>
      <c r="AK36" s="95"/>
      <c r="AL36" s="89"/>
      <c r="AM36" s="89" cm="1">
        <f t="array" ref="AM36">AA36+AF36</f>
        <v>23500000</v>
      </c>
      <c r="AN36" s="89"/>
      <c r="AO36" s="89"/>
      <c r="AP36" s="93"/>
      <c r="AQ36" s="95"/>
      <c r="AR36" s="95"/>
      <c r="AS36" s="89"/>
      <c r="AT36" s="95"/>
      <c r="AU36" s="95"/>
      <c r="AV36" s="89"/>
      <c r="AW36" s="89" cm="1">
        <f t="array" ref="AW36">AM36-AO36-AV36-AU36</f>
        <v>23500000</v>
      </c>
      <c r="AX36" s="93"/>
      <c r="AY36" s="89"/>
      <c r="AZ36" s="95" cm="1">
        <f t="array" ref="AZ36">ROUND(AW36-AX36+AY36,0)</f>
        <v>23500000</v>
      </c>
      <c r="BA36" s="95" cm="1">
        <f t="array" ref="BA36">AM36+AP36</f>
        <v>23500000</v>
      </c>
      <c r="BB36" t="s" s="87">
        <v>178</v>
      </c>
      <c r="BC36" s="105"/>
      <c r="BD36" s="64"/>
      <c r="BE36" s="64"/>
      <c r="BF36" s="64"/>
      <c r="BG36" s="64"/>
      <c r="BH36" s="64"/>
      <c r="BI36" s="72"/>
      <c r="BJ36" s="5"/>
      <c r="BK36" s="5"/>
      <c r="BL36" s="5"/>
      <c r="BM36" s="5"/>
      <c r="BN36" s="5"/>
    </row>
    <row r="37" ht="18" customHeight="1">
      <c r="A37" s="85" cm="1">
        <f t="array" ref="A37">A36+1</f>
        <v>3</v>
      </c>
      <c r="B37" t="s" s="86">
        <v>81</v>
      </c>
      <c r="C37" t="s" s="69">
        <v>82</v>
      </c>
      <c r="D37" s="107"/>
      <c r="E37" s="93"/>
      <c r="F37" s="111"/>
      <c r="G37" s="88"/>
      <c r="H37" s="89">
        <v>1000000</v>
      </c>
      <c r="I37" s="89"/>
      <c r="J37" s="95"/>
      <c r="K37" s="88"/>
      <c r="L37" s="136"/>
      <c r="M37" s="137"/>
      <c r="N37" s="91"/>
      <c r="O37" s="89"/>
      <c r="P37" s="89"/>
      <c r="Q37" s="89"/>
      <c r="R37" s="89"/>
      <c r="S37" s="89"/>
      <c r="T37" s="89"/>
      <c r="U37" s="92" cm="1">
        <f t="array" ref="U37">_xlfn.IFERROR(VLOOKUP(C37,$C$9:$U$27,19,0),0)</f>
        <v>10</v>
      </c>
      <c r="V37" s="92" cm="1">
        <f t="array" ref="V37">_xlfn.IFERROR(VLOOKUP(C37,$C$9:$V$27,20,0),0)</f>
        <v>20</v>
      </c>
      <c r="W37" s="92"/>
      <c r="X37" s="92"/>
      <c r="Y37" s="94"/>
      <c r="Z37" s="94"/>
      <c r="AA37" s="95" cm="1">
        <f t="array" ref="AA37">_xlfn.IFERROR(ROUND(H37/V37*U37,0),0)</f>
        <v>500000</v>
      </c>
      <c r="AB37" s="89"/>
      <c r="AC37" s="89"/>
      <c r="AD37" s="89"/>
      <c r="AE37" s="89">
        <v>0</v>
      </c>
      <c r="AF37" s="93"/>
      <c r="AG37" s="93"/>
      <c r="AH37" s="93"/>
      <c r="AI37" s="93"/>
      <c r="AJ37" s="93"/>
      <c r="AK37" s="95"/>
      <c r="AL37" s="89"/>
      <c r="AM37" s="89" cm="1">
        <f t="array" ref="AM37">AA37+AF37</f>
        <v>500000</v>
      </c>
      <c r="AN37" s="89"/>
      <c r="AO37" s="89"/>
      <c r="AP37" s="93"/>
      <c r="AQ37" s="95"/>
      <c r="AR37" s="95"/>
      <c r="AS37" s="89"/>
      <c r="AT37" s="95"/>
      <c r="AU37" s="95"/>
      <c r="AV37" s="89"/>
      <c r="AW37" s="89" cm="1">
        <f t="array" ref="AW37">AM37-AO37-AV37-AU37</f>
        <v>500000</v>
      </c>
      <c r="AX37" s="93"/>
      <c r="AY37" s="89"/>
      <c r="AZ37" s="95" cm="1">
        <f t="array" ref="AZ37">ROUND(AW37-AX37+AY37,0)</f>
        <v>500000</v>
      </c>
      <c r="BA37" s="95" cm="1">
        <f t="array" ref="BA37">AM37+AP37</f>
        <v>500000</v>
      </c>
      <c r="BB37" t="s" s="87">
        <v>178</v>
      </c>
      <c r="BC37" s="105"/>
      <c r="BD37" s="64"/>
      <c r="BE37" s="64"/>
      <c r="BF37" s="64"/>
      <c r="BG37" s="64"/>
      <c r="BH37" s="64"/>
      <c r="BI37" s="72"/>
      <c r="BJ37" s="5"/>
      <c r="BK37" s="5"/>
      <c r="BL37" s="5"/>
      <c r="BM37" s="5"/>
      <c r="BN37" s="5"/>
    </row>
    <row r="38" ht="18" customHeight="1">
      <c r="A38" s="85" cm="1">
        <f t="array" ref="A38">A37+1</f>
        <v>4</v>
      </c>
      <c r="B38" t="s" s="86">
        <v>96</v>
      </c>
      <c r="C38" t="s" s="69">
        <v>97</v>
      </c>
      <c r="D38" s="107"/>
      <c r="E38" s="93"/>
      <c r="F38" s="111"/>
      <c r="G38" s="88"/>
      <c r="H38" s="89">
        <v>4000000</v>
      </c>
      <c r="I38" s="89"/>
      <c r="J38" s="95"/>
      <c r="K38" s="88"/>
      <c r="L38" s="136"/>
      <c r="M38" s="137"/>
      <c r="N38" s="91"/>
      <c r="O38" s="89"/>
      <c r="P38" s="89"/>
      <c r="Q38" s="89"/>
      <c r="R38" s="89"/>
      <c r="S38" s="89"/>
      <c r="T38" s="89"/>
      <c r="U38" s="92" cm="1">
        <f t="array" ref="U38">_xlfn.IFERROR(VLOOKUP(C38,$C$9:$U$27,19,0),0)</f>
        <v>20</v>
      </c>
      <c r="V38" s="92" cm="1">
        <f t="array" ref="V38">_xlfn.IFERROR(VLOOKUP(C38,$C$9:$V$27,20,0),0)</f>
        <v>20</v>
      </c>
      <c r="W38" s="92"/>
      <c r="X38" s="92"/>
      <c r="Y38" s="94"/>
      <c r="Z38" s="94"/>
      <c r="AA38" s="95" cm="1">
        <f t="array" ref="AA38">_xlfn.IFERROR(ROUND(H38/V38*U38,0),0)</f>
        <v>4000000</v>
      </c>
      <c r="AB38" s="89"/>
      <c r="AC38" s="89"/>
      <c r="AD38" s="89"/>
      <c r="AE38" s="89">
        <v>0</v>
      </c>
      <c r="AF38" s="93"/>
      <c r="AG38" s="93"/>
      <c r="AH38" s="93"/>
      <c r="AI38" s="93"/>
      <c r="AJ38" s="93"/>
      <c r="AK38" s="95"/>
      <c r="AL38" s="89"/>
      <c r="AM38" s="89" cm="1">
        <f t="array" ref="AM38">AA38+AF38</f>
        <v>4000000</v>
      </c>
      <c r="AN38" s="89"/>
      <c r="AO38" s="89"/>
      <c r="AP38" s="93"/>
      <c r="AQ38" s="95"/>
      <c r="AR38" s="95"/>
      <c r="AS38" s="89"/>
      <c r="AT38" s="95"/>
      <c r="AU38" s="95"/>
      <c r="AV38" s="89"/>
      <c r="AW38" s="89" cm="1">
        <f t="array" ref="AW38">AM38-AO38-AV38-AU38</f>
        <v>4000000</v>
      </c>
      <c r="AX38" s="93"/>
      <c r="AY38" s="89"/>
      <c r="AZ38" s="95" cm="1">
        <f t="array" ref="AZ38">ROUND(AW38-AX38+AY38,0)</f>
        <v>4000000</v>
      </c>
      <c r="BA38" s="95" cm="1">
        <f t="array" ref="BA38">AM38+AP38</f>
        <v>4000000</v>
      </c>
      <c r="BB38" t="s" s="87">
        <v>178</v>
      </c>
      <c r="BC38" s="105"/>
      <c r="BD38" s="64"/>
      <c r="BE38" s="64"/>
      <c r="BF38" s="64"/>
      <c r="BG38" s="64"/>
      <c r="BH38" s="64"/>
      <c r="BI38" s="72"/>
      <c r="BJ38" s="5"/>
      <c r="BK38" s="5"/>
      <c r="BL38" s="5"/>
      <c r="BM38" s="5"/>
      <c r="BN38" s="5"/>
    </row>
    <row r="39" ht="18" customHeight="1">
      <c r="A39" s="85" cm="1">
        <f t="array" ref="A39">A38+1</f>
        <v>5</v>
      </c>
      <c r="B39" t="s" s="86">
        <v>100</v>
      </c>
      <c r="C39" t="s" s="69">
        <v>101</v>
      </c>
      <c r="D39" s="107"/>
      <c r="E39" s="93"/>
      <c r="F39" s="111"/>
      <c r="G39" s="88"/>
      <c r="H39" s="89">
        <v>1000000</v>
      </c>
      <c r="I39" s="89"/>
      <c r="J39" s="95"/>
      <c r="K39" s="139"/>
      <c r="L39" s="140"/>
      <c r="M39" s="137"/>
      <c r="N39" s="91"/>
      <c r="O39" s="89"/>
      <c r="P39" s="89"/>
      <c r="Q39" s="89"/>
      <c r="R39" s="89"/>
      <c r="S39" s="89"/>
      <c r="T39" s="89"/>
      <c r="U39" s="92" cm="1">
        <f t="array" ref="U39">_xlfn.IFERROR(VLOOKUP(C39,$C$9:$U$27,19,0),0)</f>
        <v>20</v>
      </c>
      <c r="V39" s="92" cm="1">
        <f t="array" ref="V39">_xlfn.IFERROR(VLOOKUP(C39,$C$9:$V$27,20,0),0)</f>
        <v>20</v>
      </c>
      <c r="W39" s="92"/>
      <c r="X39" s="92"/>
      <c r="Y39" s="94"/>
      <c r="Z39" s="94"/>
      <c r="AA39" s="95" cm="1">
        <f t="array" ref="AA39">_xlfn.IFERROR(ROUND(H39/V39*U39,0),0)</f>
        <v>1000000</v>
      </c>
      <c r="AB39" s="89"/>
      <c r="AC39" s="89"/>
      <c r="AD39" s="89"/>
      <c r="AE39" s="89">
        <v>0</v>
      </c>
      <c r="AF39" s="93"/>
      <c r="AG39" s="93"/>
      <c r="AH39" s="93"/>
      <c r="AI39" s="93"/>
      <c r="AJ39" s="93"/>
      <c r="AK39" s="95"/>
      <c r="AL39" s="89"/>
      <c r="AM39" s="89" cm="1">
        <f t="array" ref="AM39">AA39+AF39</f>
        <v>1000000</v>
      </c>
      <c r="AN39" s="89"/>
      <c r="AO39" s="89"/>
      <c r="AP39" s="93"/>
      <c r="AQ39" s="95"/>
      <c r="AR39" s="95"/>
      <c r="AS39" s="89"/>
      <c r="AT39" s="95"/>
      <c r="AU39" s="95"/>
      <c r="AV39" s="89"/>
      <c r="AW39" s="89" cm="1">
        <f t="array" ref="AW39">AM39-AO39-AV39-AU39</f>
        <v>1000000</v>
      </c>
      <c r="AX39" s="93"/>
      <c r="AY39" s="89"/>
      <c r="AZ39" s="95" cm="1">
        <f t="array" ref="AZ39">ROUND(AW39-AX39+AY39,0)</f>
        <v>1000000</v>
      </c>
      <c r="BA39" s="95" cm="1">
        <f t="array" ref="BA39">AM39+AP39</f>
        <v>1000000</v>
      </c>
      <c r="BB39" t="s" s="87">
        <v>178</v>
      </c>
      <c r="BC39" s="105"/>
      <c r="BD39" s="64"/>
      <c r="BE39" s="64"/>
      <c r="BF39" s="64"/>
      <c r="BG39" s="64"/>
      <c r="BH39" s="64"/>
      <c r="BI39" s="72"/>
      <c r="BJ39" s="5"/>
      <c r="BK39" s="5"/>
      <c r="BL39" s="5"/>
      <c r="BM39" s="5"/>
      <c r="BN39" s="5"/>
    </row>
    <row r="40" ht="18" customHeight="1">
      <c r="A40" s="85" cm="1">
        <f t="array" ref="A40">A39+1</f>
        <v>6</v>
      </c>
      <c r="B40" t="s" s="86">
        <v>103</v>
      </c>
      <c r="C40" t="s" s="69">
        <v>104</v>
      </c>
      <c r="D40" s="107"/>
      <c r="E40" s="93"/>
      <c r="F40" s="111"/>
      <c r="G40" s="88"/>
      <c r="H40" s="89">
        <v>1000000</v>
      </c>
      <c r="I40" s="89"/>
      <c r="J40" s="95"/>
      <c r="K40" s="88"/>
      <c r="L40" s="136"/>
      <c r="M40" s="137"/>
      <c r="N40" s="91"/>
      <c r="O40" s="89"/>
      <c r="P40" s="89"/>
      <c r="Q40" s="89"/>
      <c r="R40" s="89"/>
      <c r="S40" s="89"/>
      <c r="T40" s="89"/>
      <c r="U40" s="92" cm="1">
        <f t="array" ref="U40">_xlfn.IFERROR(VLOOKUP(C40,$C$9:$U$27,19,0),0)</f>
        <v>20</v>
      </c>
      <c r="V40" s="92" cm="1">
        <f t="array" ref="V40">_xlfn.IFERROR(VLOOKUP(C40,$C$9:$V$27,20,0),0)</f>
        <v>20</v>
      </c>
      <c r="W40" s="92"/>
      <c r="X40" s="92"/>
      <c r="Y40" s="94"/>
      <c r="Z40" s="94"/>
      <c r="AA40" s="95" cm="1">
        <f t="array" ref="AA40">_xlfn.IFERROR(ROUND(H40/V40*U40,0),0)</f>
        <v>1000000</v>
      </c>
      <c r="AB40" s="89"/>
      <c r="AC40" s="89"/>
      <c r="AD40" s="89"/>
      <c r="AE40" s="89">
        <v>0</v>
      </c>
      <c r="AF40" s="93"/>
      <c r="AG40" s="93"/>
      <c r="AH40" s="93"/>
      <c r="AI40" s="93"/>
      <c r="AJ40" s="93"/>
      <c r="AK40" s="95"/>
      <c r="AL40" s="89"/>
      <c r="AM40" s="89" cm="1">
        <f t="array" ref="AM40">AA40+AF40</f>
        <v>1000000</v>
      </c>
      <c r="AN40" s="89"/>
      <c r="AO40" s="89"/>
      <c r="AP40" s="93"/>
      <c r="AQ40" s="95"/>
      <c r="AR40" s="95"/>
      <c r="AS40" s="89"/>
      <c r="AT40" s="95"/>
      <c r="AU40" s="95"/>
      <c r="AV40" s="89"/>
      <c r="AW40" s="89" cm="1">
        <f t="array" ref="AW40">AM40-AO40-AV40-AU40</f>
        <v>1000000</v>
      </c>
      <c r="AX40" s="93"/>
      <c r="AY40" s="89"/>
      <c r="AZ40" s="95" cm="1">
        <f t="array" ref="AZ40">ROUND(AW40-AX40+AY40,0)</f>
        <v>1000000</v>
      </c>
      <c r="BA40" s="95" cm="1">
        <f t="array" ref="BA40">AM40+AP40</f>
        <v>1000000</v>
      </c>
      <c r="BB40" t="s" s="87">
        <v>178</v>
      </c>
      <c r="BC40" s="105"/>
      <c r="BD40" s="64"/>
      <c r="BE40" s="64"/>
      <c r="BF40" s="64"/>
      <c r="BG40" s="64"/>
      <c r="BH40" s="64"/>
      <c r="BI40" s="72"/>
      <c r="BJ40" s="5"/>
      <c r="BK40" s="5"/>
      <c r="BL40" s="5"/>
      <c r="BM40" s="5"/>
      <c r="BN40" s="5"/>
    </row>
    <row r="41" ht="18" customHeight="1">
      <c r="A41" s="85" cm="1">
        <f t="array" ref="A41">A40+1</f>
        <v>7</v>
      </c>
      <c r="B41" t="s" s="86">
        <v>107</v>
      </c>
      <c r="C41" t="s" s="69">
        <v>108</v>
      </c>
      <c r="D41" s="107"/>
      <c r="E41" s="93"/>
      <c r="F41" s="111"/>
      <c r="G41" s="88"/>
      <c r="H41" s="89">
        <v>3500000</v>
      </c>
      <c r="I41" s="89"/>
      <c r="J41" s="95"/>
      <c r="K41" s="88"/>
      <c r="L41" s="136"/>
      <c r="M41" s="137"/>
      <c r="N41" s="91"/>
      <c r="O41" s="89"/>
      <c r="P41" s="89"/>
      <c r="Q41" s="89"/>
      <c r="R41" s="89"/>
      <c r="S41" s="89"/>
      <c r="T41" s="89"/>
      <c r="U41" s="92" cm="1">
        <f t="array" ref="U41">_xlfn.IFERROR(VLOOKUP(C41,$C$9:$U$27,19,0),0)</f>
        <v>20</v>
      </c>
      <c r="V41" s="92" cm="1">
        <f t="array" ref="V41">_xlfn.IFERROR(VLOOKUP(C41,$C$9:$V$27,20,0),0)</f>
        <v>20</v>
      </c>
      <c r="W41" s="92"/>
      <c r="X41" s="92"/>
      <c r="Y41" s="94"/>
      <c r="Z41" s="94"/>
      <c r="AA41" s="95" cm="1">
        <f t="array" ref="AA41">_xlfn.IFERROR(ROUND(H41/V41*U41,0),0)</f>
        <v>3500000</v>
      </c>
      <c r="AB41" s="89"/>
      <c r="AC41" s="89"/>
      <c r="AD41" s="89"/>
      <c r="AE41" s="89">
        <v>0</v>
      </c>
      <c r="AF41" s="93"/>
      <c r="AG41" s="93"/>
      <c r="AH41" s="93"/>
      <c r="AI41" s="93"/>
      <c r="AJ41" s="93"/>
      <c r="AK41" s="95"/>
      <c r="AL41" s="89"/>
      <c r="AM41" s="89" cm="1">
        <f t="array" ref="AM41">AA41+AF41</f>
        <v>3500000</v>
      </c>
      <c r="AN41" s="89"/>
      <c r="AO41" s="89"/>
      <c r="AP41" s="93"/>
      <c r="AQ41" s="95"/>
      <c r="AR41" s="95"/>
      <c r="AS41" s="89"/>
      <c r="AT41" s="95"/>
      <c r="AU41" s="95"/>
      <c r="AV41" s="89"/>
      <c r="AW41" s="89" cm="1">
        <f t="array" ref="AW41">AM41-AO41-AV41-AU41</f>
        <v>3500000</v>
      </c>
      <c r="AX41" s="93"/>
      <c r="AY41" s="89"/>
      <c r="AZ41" s="95" cm="1">
        <f t="array" ref="AZ41">ROUND(AW41-AX41+AY41,0)</f>
        <v>3500000</v>
      </c>
      <c r="BA41" s="95" cm="1">
        <f t="array" ref="BA41">AM41+AP41</f>
        <v>3500000</v>
      </c>
      <c r="BB41" t="s" s="87">
        <v>178</v>
      </c>
      <c r="BC41" s="105"/>
      <c r="BD41" s="64"/>
      <c r="BE41" s="64"/>
      <c r="BF41" s="64"/>
      <c r="BG41" s="64"/>
      <c r="BH41" s="64"/>
      <c r="BI41" s="72"/>
      <c r="BJ41" s="5"/>
      <c r="BK41" s="5"/>
      <c r="BL41" s="5"/>
      <c r="BM41" s="5"/>
      <c r="BN41" s="5"/>
    </row>
    <row r="42" ht="18" customHeight="1">
      <c r="A42" s="85" cm="1">
        <f t="array" ref="A42">A41+1</f>
        <v>8</v>
      </c>
      <c r="B42" t="s" s="86">
        <v>110</v>
      </c>
      <c r="C42" t="s" s="69">
        <v>111</v>
      </c>
      <c r="D42" s="107"/>
      <c r="E42" s="93"/>
      <c r="F42" s="111"/>
      <c r="G42" s="88"/>
      <c r="H42" s="89">
        <v>3000000</v>
      </c>
      <c r="I42" s="89"/>
      <c r="J42" s="95"/>
      <c r="K42" s="88"/>
      <c r="L42" s="88"/>
      <c r="M42" s="107"/>
      <c r="N42" s="91"/>
      <c r="O42" s="89"/>
      <c r="P42" s="89"/>
      <c r="Q42" s="89"/>
      <c r="R42" s="89"/>
      <c r="S42" s="89"/>
      <c r="T42" s="89"/>
      <c r="U42" s="92" cm="1">
        <f t="array" ref="U42">_xlfn.IFERROR(VLOOKUP(C42,$C$9:$U$27,19,0),0)</f>
        <v>20</v>
      </c>
      <c r="V42" s="92" cm="1">
        <f t="array" ref="V42">_xlfn.IFERROR(VLOOKUP(C42,$C$9:$V$27,20,0),0)</f>
        <v>20</v>
      </c>
      <c r="W42" s="92"/>
      <c r="X42" s="92"/>
      <c r="Y42" s="94"/>
      <c r="Z42" s="94"/>
      <c r="AA42" s="95" cm="1">
        <f t="array" ref="AA42">_xlfn.IFERROR(ROUND(H42/V42*U42,0),0)</f>
        <v>3000000</v>
      </c>
      <c r="AB42" s="89"/>
      <c r="AC42" s="89"/>
      <c r="AD42" s="89"/>
      <c r="AE42" s="89">
        <v>0</v>
      </c>
      <c r="AF42" s="93"/>
      <c r="AG42" s="93"/>
      <c r="AH42" s="93"/>
      <c r="AI42" s="93"/>
      <c r="AJ42" s="93"/>
      <c r="AK42" s="95"/>
      <c r="AL42" s="89"/>
      <c r="AM42" s="89" cm="1">
        <f t="array" ref="AM42">AA42+AF42</f>
        <v>3000000</v>
      </c>
      <c r="AN42" s="89"/>
      <c r="AO42" s="89"/>
      <c r="AP42" s="93"/>
      <c r="AQ42" s="95"/>
      <c r="AR42" s="95"/>
      <c r="AS42" s="89"/>
      <c r="AT42" s="95"/>
      <c r="AU42" s="95"/>
      <c r="AV42" s="89"/>
      <c r="AW42" s="89" cm="1">
        <f t="array" ref="AW42">AM42-AO42-AV42-AU42</f>
        <v>3000000</v>
      </c>
      <c r="AX42" s="93"/>
      <c r="AY42" s="89"/>
      <c r="AZ42" s="95" cm="1">
        <f t="array" ref="AZ42">ROUND(AW42-AX42+AY42,0)</f>
        <v>3000000</v>
      </c>
      <c r="BA42" s="95" cm="1">
        <f t="array" ref="BA42">AM42+AP42</f>
        <v>3000000</v>
      </c>
      <c r="BB42" t="s" s="87">
        <v>178</v>
      </c>
      <c r="BC42" s="105"/>
      <c r="BD42" s="64"/>
      <c r="BE42" s="64"/>
      <c r="BF42" s="64"/>
      <c r="BG42" s="64"/>
      <c r="BH42" s="64"/>
      <c r="BI42" s="72"/>
      <c r="BJ42" s="5"/>
      <c r="BK42" s="5"/>
      <c r="BL42" s="5"/>
      <c r="BM42" s="5"/>
      <c r="BN42" s="5"/>
    </row>
    <row r="43" ht="18" customHeight="1">
      <c r="A43" s="85" cm="1">
        <f t="array" ref="A43">A42+1</f>
        <v>9</v>
      </c>
      <c r="B43" t="s" s="86">
        <v>114</v>
      </c>
      <c r="C43" t="s" s="69">
        <v>115</v>
      </c>
      <c r="D43" s="107"/>
      <c r="E43" s="93"/>
      <c r="F43" s="111"/>
      <c r="G43" s="88"/>
      <c r="H43" s="89">
        <v>1000000</v>
      </c>
      <c r="I43" s="89"/>
      <c r="J43" s="95"/>
      <c r="K43" s="88"/>
      <c r="L43" s="136"/>
      <c r="M43" s="141"/>
      <c r="N43" s="91"/>
      <c r="O43" s="89"/>
      <c r="P43" s="89"/>
      <c r="Q43" s="89"/>
      <c r="R43" s="89"/>
      <c r="S43" s="89"/>
      <c r="T43" s="89"/>
      <c r="U43" s="92" cm="1">
        <f t="array" ref="U43">_xlfn.IFERROR(VLOOKUP(C43,$C$9:$U$27,19,0),0)</f>
        <v>20</v>
      </c>
      <c r="V43" s="92" cm="1">
        <f t="array" ref="V43">_xlfn.IFERROR(VLOOKUP(C43,$C$9:$V$27,20,0),0)</f>
        <v>20</v>
      </c>
      <c r="W43" s="92"/>
      <c r="X43" s="92"/>
      <c r="Y43" s="94"/>
      <c r="Z43" s="94"/>
      <c r="AA43" s="95" cm="1">
        <f t="array" ref="AA43">_xlfn.IFERROR(ROUND(H43/V43*U43,0),0)</f>
        <v>1000000</v>
      </c>
      <c r="AB43" s="89"/>
      <c r="AC43" s="89"/>
      <c r="AD43" s="89"/>
      <c r="AE43" s="89">
        <v>0</v>
      </c>
      <c r="AF43" s="93"/>
      <c r="AG43" s="93"/>
      <c r="AH43" s="93"/>
      <c r="AI43" s="93"/>
      <c r="AJ43" s="93"/>
      <c r="AK43" s="95"/>
      <c r="AL43" s="89"/>
      <c r="AM43" s="89" cm="1">
        <f t="array" ref="AM43">AA43+AF43</f>
        <v>1000000</v>
      </c>
      <c r="AN43" s="89"/>
      <c r="AO43" s="89"/>
      <c r="AP43" s="93"/>
      <c r="AQ43" s="95"/>
      <c r="AR43" s="95"/>
      <c r="AS43" s="89"/>
      <c r="AT43" s="95"/>
      <c r="AU43" s="95"/>
      <c r="AV43" s="89"/>
      <c r="AW43" s="89" cm="1">
        <f t="array" ref="AW43">AM43-AO43-AV43-AU43</f>
        <v>1000000</v>
      </c>
      <c r="AX43" s="93"/>
      <c r="AY43" s="89"/>
      <c r="AZ43" s="95" cm="1">
        <f t="array" ref="AZ43">ROUND(AW43-AX43+AY43,0)</f>
        <v>1000000</v>
      </c>
      <c r="BA43" s="95" cm="1">
        <f t="array" ref="BA43">AM43+AP43</f>
        <v>1000000</v>
      </c>
      <c r="BB43" t="s" s="87">
        <v>178</v>
      </c>
      <c r="BC43" s="105"/>
      <c r="BD43" s="64"/>
      <c r="BE43" s="64"/>
      <c r="BF43" s="64"/>
      <c r="BG43" s="64"/>
      <c r="BH43" s="64"/>
      <c r="BI43" s="72"/>
      <c r="BJ43" s="5"/>
      <c r="BK43" s="5"/>
      <c r="BL43" s="5"/>
      <c r="BM43" s="5"/>
      <c r="BN43" s="5"/>
    </row>
    <row r="44" ht="18" customHeight="1">
      <c r="A44" s="85" cm="1">
        <f t="array" ref="A44">A43+1</f>
        <v>10</v>
      </c>
      <c r="B44" t="s" s="86">
        <v>121</v>
      </c>
      <c r="C44" t="s" s="69">
        <v>122</v>
      </c>
      <c r="D44" s="107"/>
      <c r="E44" t="s" s="87">
        <v>92</v>
      </c>
      <c r="F44" s="111"/>
      <c r="G44" s="88"/>
      <c r="H44" s="89">
        <v>2000000</v>
      </c>
      <c r="I44" s="89"/>
      <c r="J44" s="95"/>
      <c r="K44" s="142"/>
      <c r="L44" s="143"/>
      <c r="M44" s="143"/>
      <c r="N44" s="91"/>
      <c r="O44" s="89"/>
      <c r="P44" s="89"/>
      <c r="Q44" s="89"/>
      <c r="R44" s="89"/>
      <c r="S44" s="89"/>
      <c r="T44" s="89"/>
      <c r="U44" s="92" cm="1">
        <f t="array" ref="U44">_xlfn.IFERROR(VLOOKUP(C44,$C$9:$U$27,19,0),0)</f>
        <v>20</v>
      </c>
      <c r="V44" s="92" cm="1">
        <f t="array" ref="V44">_xlfn.IFERROR(VLOOKUP(C44,$C$9:$V$27,20,0),0)</f>
        <v>20</v>
      </c>
      <c r="W44" s="92"/>
      <c r="X44" s="92"/>
      <c r="Y44" s="94"/>
      <c r="Z44" s="94"/>
      <c r="AA44" s="95" cm="1">
        <f t="array" ref="AA44">_xlfn.IFERROR(ROUND(H44/V44*U44,0),0)</f>
        <v>2000000</v>
      </c>
      <c r="AB44" s="89"/>
      <c r="AC44" s="89"/>
      <c r="AD44" s="89"/>
      <c r="AE44" s="89">
        <v>0</v>
      </c>
      <c r="AF44" s="93"/>
      <c r="AG44" s="93"/>
      <c r="AH44" s="93"/>
      <c r="AI44" s="93"/>
      <c r="AJ44" s="93"/>
      <c r="AK44" s="95"/>
      <c r="AL44" s="89"/>
      <c r="AM44" s="89" cm="1">
        <f t="array" ref="AM44">AA44+AF44</f>
        <v>2000000</v>
      </c>
      <c r="AN44" s="89"/>
      <c r="AO44" s="89"/>
      <c r="AP44" s="93"/>
      <c r="AQ44" s="95"/>
      <c r="AR44" s="95"/>
      <c r="AS44" s="89"/>
      <c r="AT44" s="95"/>
      <c r="AU44" s="95"/>
      <c r="AV44" s="89"/>
      <c r="AW44" s="89" cm="1">
        <f t="array" ref="AW44">AM44-AO44-AV44-AU44</f>
        <v>2000000</v>
      </c>
      <c r="AX44" s="93"/>
      <c r="AY44" s="89"/>
      <c r="AZ44" s="95" cm="1">
        <f t="array" ref="AZ44">ROUND(AW44-AX44+AY44,0)</f>
        <v>2000000</v>
      </c>
      <c r="BA44" s="95" cm="1">
        <f t="array" ref="BA44">AM44+AP44</f>
        <v>2000000</v>
      </c>
      <c r="BB44" t="s" s="87">
        <v>179</v>
      </c>
      <c r="BC44" s="144"/>
      <c r="BD44" s="145"/>
      <c r="BE44" s="145"/>
      <c r="BF44" s="145"/>
      <c r="BG44" s="145"/>
      <c r="BH44" s="145"/>
      <c r="BI44" s="72"/>
      <c r="BJ44" s="5"/>
      <c r="BK44" s="5"/>
      <c r="BL44" s="5"/>
      <c r="BM44" s="5"/>
      <c r="BN44" s="5"/>
    </row>
    <row r="45" ht="15" customHeight="1">
      <c r="A45" s="38"/>
      <c r="B45" s="38"/>
      <c r="C45" t="s" s="146">
        <v>180</v>
      </c>
      <c r="D45" s="147"/>
      <c r="E45" s="148"/>
      <c r="F45" s="38"/>
      <c r="G45" s="38"/>
      <c r="H45" s="112" cm="1">
        <f t="array" ref="H45">SUM(H9:H44)</f>
        <v>86222222.22222219</v>
      </c>
      <c r="I45" s="112" cm="1">
        <f t="array" ref="I45">SUM(I9:I44)</f>
        <v>0</v>
      </c>
      <c r="J45" s="112" cm="1">
        <f t="array" ref="J45">SUM(J9:J44)</f>
        <v>92722222.22222219</v>
      </c>
      <c r="K45" s="129" cm="1">
        <f t="array" ref="K45">SUM(K9:K44)</f>
        <v>0</v>
      </c>
      <c r="L45" s="149" cm="1">
        <f t="array" ref="L45">SUM(L9:L44)</f>
        <v>0</v>
      </c>
      <c r="M45" s="149" cm="1">
        <f t="array" ref="M45">SUM(M9:M44)</f>
        <v>573542473.111111</v>
      </c>
      <c r="N45" s="150" cm="1">
        <f t="array" ref="N45">SUM(N9:N44)</f>
        <v>529820250.888889</v>
      </c>
      <c r="O45" s="150" cm="1">
        <f t="array" ref="O45">SUM(O9:O44)</f>
        <v>98800000</v>
      </c>
      <c r="P45" s="150" cm="1">
        <f t="array" ref="P45">SUM(P9:P44)</f>
        <v>307571362</v>
      </c>
      <c r="Q45" s="150"/>
      <c r="R45" s="150" cm="1">
        <f t="array" ref="R45">SUM(R9:R44)</f>
        <v>4800000</v>
      </c>
      <c r="S45" s="150" cm="1">
        <f t="array" ref="S45">SUM(S9:S44)</f>
        <v>7500000</v>
      </c>
      <c r="T45" s="150" cm="1">
        <f t="array" ref="T45">SUM(T9:T44)</f>
        <v>8760000</v>
      </c>
      <c r="U45" s="150" cm="1">
        <f t="array" ref="U45">SUM(U9:U44)</f>
        <v>632.5</v>
      </c>
      <c r="V45" s="150" cm="1">
        <f t="array" ref="V45">SUM(V9:V44)</f>
        <v>703</v>
      </c>
      <c r="W45" s="150" cm="1">
        <f t="array" ref="W45">SUM(W9:W44)</f>
        <v>129.5</v>
      </c>
      <c r="X45" s="150" cm="1">
        <f t="array" ref="X45">SUM(X9:X44)</f>
        <v>87</v>
      </c>
      <c r="Y45" s="150" cm="1">
        <f t="array" ref="Y45">SUM(Y9:Y44)</f>
        <v>223</v>
      </c>
      <c r="Z45" s="150" cm="1">
        <f t="array" ref="Z45">SUM(Z9:Z44)</f>
        <v>0</v>
      </c>
      <c r="AA45" s="150" cm="1">
        <f t="array" ref="AA45">SUM(AA9:AA44)</f>
      </c>
      <c r="AB45" s="150" cm="1">
        <f t="array" ref="AB45">SUM(AB9:AB44)</f>
        <v>38272223</v>
      </c>
      <c r="AC45" s="150" cm="1">
        <f t="array" ref="AC45">SUM(AC9:AC44)</f>
        <v>78944444</v>
      </c>
      <c r="AD45" s="150" cm="1">
        <f t="array" ref="AD45">SUM(AD9:AD44)</f>
      </c>
      <c r="AE45" s="150" cm="1">
        <f t="array" ref="AE45">SUM(AE9:AE44)</f>
        <v>0</v>
      </c>
      <c r="AF45" s="150" cm="1">
        <f t="array" ref="AF45">SUM(AF9:AF44)</f>
        <v>0</v>
      </c>
      <c r="AG45" s="150" cm="1">
        <f t="array" ref="AG45">SUM(AG9:AG44)</f>
        <v>0</v>
      </c>
      <c r="AH45" s="150" cm="1">
        <f t="array" ref="AH45">SUM(AH9:AH44)</f>
        <v>0</v>
      </c>
      <c r="AI45" s="150" cm="1">
        <f t="array" ref="AI45">SUM(AI9:AI44)</f>
        <v>0</v>
      </c>
      <c r="AJ45" s="150" cm="1">
        <f t="array" ref="AJ45">SUM(AJ9:AJ44)</f>
        <v>0</v>
      </c>
      <c r="AK45" s="150" cm="1">
        <f t="array" ref="AK45">SUM(AK9:AK44)</f>
        <v>0</v>
      </c>
      <c r="AL45" s="150" cm="1">
        <f t="array" ref="AL45">SUM(AL9:AL44)</f>
        <v>0</v>
      </c>
      <c r="AM45" s="150" cm="1">
        <f t="array" ref="AM45">SUM(AM9:AM44)</f>
      </c>
      <c r="AN45" s="150" cm="1">
        <f t="array" ref="AN45">SUM(AN9:AN44)</f>
        <v>95800000</v>
      </c>
      <c r="AO45" s="150" cm="1">
        <f t="array" ref="AO45">SUM(AO9:AO44)</f>
        <v>10059000</v>
      </c>
      <c r="AP45" s="150" cm="1">
        <f t="array" ref="AP45">SUM(AP9:AP44)</f>
        <v>20597000</v>
      </c>
      <c r="AQ45" s="150" cm="1">
        <f t="array" ref="AQ45">SUM(AQ9:AQ44)</f>
        <v>9</v>
      </c>
      <c r="AR45" s="150" cm="1">
        <f t="array" ref="AR45">SUM(AR9:AR44)</f>
        <v>171600000</v>
      </c>
      <c r="AS45" s="150" cm="1">
        <f t="array" ref="AS45">SUM(AS9:AS44)</f>
      </c>
      <c r="AT45" s="150" cm="1">
        <f t="array" ref="AT45">SUM(AT9:AT44)</f>
      </c>
      <c r="AU45" s="150" cm="1">
        <f t="array" ref="AU45">SUM(AU9:AU44)</f>
      </c>
      <c r="AV45" s="150" cm="1">
        <f t="array" ref="AV45">SUM(AV9:AV44)</f>
      </c>
      <c r="AW45" s="150" cm="1">
        <f t="array" ref="AW45">SUM(AW9:AW44)</f>
      </c>
      <c r="AX45" s="150" cm="1">
        <f t="array" ref="AX45">SUM(AX9:AX44)</f>
        <v>0</v>
      </c>
      <c r="AY45" s="150" cm="1">
        <f t="array" ref="AY45">SUM(AY9:AY44)</f>
        <v>0</v>
      </c>
      <c r="AZ45" s="150" cm="1">
        <f t="array" ref="AZ45">SUM(AZ9:AZ44)</f>
      </c>
      <c r="BA45" s="150" cm="1">
        <f t="array" ref="BA45">SUM(BA9:BA44)</f>
      </c>
      <c r="BB45" s="150" cm="1">
        <f t="array" ref="BB45">SUM(BB9:BB30)</f>
        <v>0</v>
      </c>
      <c r="BC45" s="150" cm="1">
        <f t="array" ref="BC45">SUM(BC9:BC22)</f>
        <v>0</v>
      </c>
      <c r="BD45" s="150" cm="1">
        <f t="array" ref="BD45">SUM(BD9:BD22)</f>
        <v>0</v>
      </c>
      <c r="BE45" s="150" cm="1">
        <f t="array" ref="BE45">SUM(BE9:BE22)</f>
        <v>0</v>
      </c>
      <c r="BF45" s="150" cm="1">
        <f t="array" ref="BF45">SUM(BF9:BF22)</f>
        <v>0</v>
      </c>
      <c r="BG45" s="150" cm="1">
        <f t="array" ref="BG45">SUM(BG9:BG22)</f>
        <v>0</v>
      </c>
      <c r="BH45" s="150" cm="1">
        <f t="array" ref="BH45">SUM(BH9:BH22)</f>
        <v>0</v>
      </c>
      <c r="BI45" s="72"/>
      <c r="BJ45" s="5"/>
      <c r="BK45" s="5"/>
      <c r="BL45" s="5"/>
      <c r="BM45" s="5"/>
      <c r="BN45" s="5"/>
    </row>
    <row r="46" ht="15" customHeight="1">
      <c r="A46" s="151"/>
      <c r="B46" s="152"/>
      <c r="C46" s="151"/>
      <c r="D46" s="151"/>
      <c r="E46" s="151"/>
      <c r="F46" s="151"/>
      <c r="G46" s="151"/>
      <c r="H46" s="151"/>
      <c r="I46" s="151"/>
      <c r="J46" s="153"/>
      <c r="K46" s="88"/>
      <c r="L46" s="88"/>
      <c r="M46" t="s" s="154">
        <v>136</v>
      </c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5" cm="1">
        <f t="array" ref="AP46">AP45+AO45</f>
        <v>30656000</v>
      </c>
      <c r="AQ46" s="151"/>
      <c r="AR46" s="151"/>
      <c r="AS46" s="151"/>
      <c r="AT46" s="151"/>
      <c r="AU46" s="151"/>
      <c r="AV46" s="151"/>
      <c r="AW46" s="151"/>
      <c r="AX46" s="156"/>
      <c r="AY46" s="151"/>
      <c r="AZ46" s="157"/>
      <c r="BA46" s="151"/>
      <c r="BB46" s="158" cm="1">
        <f t="array" ref="BB46">SUM(BA35:BA44)</f>
        <v>39500000</v>
      </c>
      <c r="BC46" s="151"/>
      <c r="BD46" s="151"/>
      <c r="BE46" s="151"/>
      <c r="BF46" s="151"/>
      <c r="BG46" s="151"/>
      <c r="BH46" s="151"/>
      <c r="BI46" s="5"/>
      <c r="BJ46" s="5"/>
      <c r="BK46" s="5"/>
      <c r="BL46" s="5"/>
      <c r="BM46" s="5"/>
      <c r="BN46" s="5"/>
    </row>
    <row r="47" ht="18.75" customHeight="1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60"/>
      <c r="L47" s="160"/>
      <c r="M47" s="160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159"/>
      <c r="AH47" s="159"/>
      <c r="AI47" s="159"/>
      <c r="AJ47" s="159"/>
      <c r="AK47" s="159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</row>
    <row r="48" ht="18.75" customHeight="1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  <c r="AA48" s="159"/>
      <c r="AB48" s="159"/>
      <c r="AC48" s="159"/>
      <c r="AD48" s="159"/>
      <c r="AE48" s="159"/>
      <c r="AF48" s="159"/>
      <c r="AG48" s="159"/>
      <c r="AH48" s="159"/>
      <c r="AI48" s="159"/>
      <c r="AJ48" s="159"/>
      <c r="AK48" s="159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159"/>
      <c r="BH48" s="159"/>
      <c r="BI48" s="159"/>
      <c r="BJ48" s="159"/>
      <c r="BK48" s="159"/>
      <c r="BL48" s="159"/>
      <c r="BM48" s="159"/>
      <c r="BN48" s="159"/>
    </row>
    <row r="49" ht="18.75" customHeight="1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59"/>
      <c r="AJ49" s="159"/>
      <c r="AK49" s="159"/>
      <c r="AL49" s="159"/>
      <c r="AM49" s="159"/>
      <c r="AN49" s="159"/>
      <c r="AO49" s="159"/>
      <c r="AP49" s="159"/>
      <c r="AQ49" s="159"/>
      <c r="AR49" s="159"/>
      <c r="AS49" s="159"/>
      <c r="AT49" s="159"/>
      <c r="AU49" s="159"/>
      <c r="AV49" s="159"/>
      <c r="AW49" s="159"/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</row>
    <row r="50" ht="18.75" customHeight="1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59"/>
      <c r="BK50" s="159"/>
      <c r="BL50" s="159"/>
      <c r="BM50" s="159"/>
      <c r="BN50" s="159"/>
    </row>
    <row r="51" ht="18.75" customHeight="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</row>
    <row r="52" ht="18.75" customHeight="1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9"/>
      <c r="AB52" s="159"/>
      <c r="AC52" s="159"/>
      <c r="AD52" s="159"/>
      <c r="AE52" s="159"/>
      <c r="AF52" s="159"/>
      <c r="AG52" s="159"/>
      <c r="AH52" s="159"/>
      <c r="AI52" s="159"/>
      <c r="AJ52" s="159"/>
      <c r="AK52" s="159"/>
      <c r="AL52" s="159"/>
      <c r="AM52" s="159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59"/>
      <c r="BK52" s="159"/>
      <c r="BL52" s="159"/>
      <c r="BM52" s="159"/>
      <c r="BN52" s="159"/>
    </row>
    <row r="53" ht="18.75" customHeight="1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9"/>
      <c r="AB53" s="159"/>
      <c r="AC53" s="159"/>
      <c r="AD53" s="159"/>
      <c r="AE53" s="159"/>
      <c r="AF53" s="159"/>
      <c r="AG53" s="159"/>
      <c r="AH53" s="159"/>
      <c r="AI53" s="159"/>
      <c r="AJ53" s="159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59"/>
      <c r="BK53" s="159"/>
      <c r="BL53" s="159"/>
      <c r="BM53" s="159"/>
      <c r="BN53" s="159"/>
    </row>
    <row r="54" ht="18.75" customHeight="1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59"/>
      <c r="BK54" s="159"/>
      <c r="BL54" s="159"/>
      <c r="BM54" s="159"/>
      <c r="BN54" s="159"/>
    </row>
    <row r="55" ht="18.75" customHeight="1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</row>
    <row r="56" ht="18.75" customHeight="1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159"/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59"/>
      <c r="BK56" s="159"/>
      <c r="BL56" s="159"/>
      <c r="BM56" s="159"/>
      <c r="BN56" s="159"/>
    </row>
    <row r="57" ht="18.75" customHeight="1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  <c r="AK57" s="159"/>
      <c r="AL57" s="159"/>
      <c r="AM57" s="159"/>
      <c r="AN57" s="159"/>
      <c r="AO57" s="159"/>
      <c r="AP57" s="159"/>
      <c r="AQ57" s="159"/>
      <c r="AR57" s="159"/>
      <c r="AS57" s="159"/>
      <c r="AT57" s="159"/>
      <c r="AU57" s="159"/>
      <c r="AV57" s="159"/>
      <c r="AW57" s="159"/>
      <c r="AX57" s="159"/>
      <c r="AY57" s="159"/>
      <c r="AZ57" s="159"/>
      <c r="BA57" s="159"/>
      <c r="BB57" s="159"/>
      <c r="BC57" s="159"/>
      <c r="BD57" s="159"/>
      <c r="BE57" s="159"/>
      <c r="BF57" s="159"/>
      <c r="BG57" s="159"/>
      <c r="BH57" s="159"/>
      <c r="BI57" s="159"/>
      <c r="BJ57" s="159"/>
      <c r="BK57" s="159"/>
      <c r="BL57" s="159"/>
      <c r="BM57" s="159"/>
      <c r="BN57" s="159"/>
    </row>
    <row r="58" ht="18.75" customHeight="1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9"/>
      <c r="AV58" s="159"/>
      <c r="AW58" s="159"/>
      <c r="AX58" s="159"/>
      <c r="AY58" s="159"/>
      <c r="AZ58" s="159"/>
      <c r="BA58" s="159"/>
      <c r="BB58" s="159"/>
      <c r="BC58" s="159"/>
      <c r="BD58" s="159"/>
      <c r="BE58" s="159"/>
      <c r="BF58" s="159"/>
      <c r="BG58" s="159"/>
      <c r="BH58" s="159"/>
      <c r="BI58" s="159"/>
      <c r="BJ58" s="159"/>
      <c r="BK58" s="159"/>
      <c r="BL58" s="159"/>
      <c r="BM58" s="159"/>
      <c r="BN58" s="159"/>
    </row>
    <row r="59" ht="18.75" customHeight="1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/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9"/>
      <c r="AV59" s="159"/>
      <c r="AW59" s="159"/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</row>
    <row r="60" ht="18.75" customHeight="1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  <c r="AK60" s="159"/>
      <c r="AL60" s="159"/>
      <c r="AM60" s="159"/>
      <c r="AN60" s="159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59"/>
      <c r="BG60" s="159"/>
      <c r="BH60" s="159"/>
      <c r="BI60" s="159"/>
      <c r="BJ60" s="159"/>
      <c r="BK60" s="159"/>
      <c r="BL60" s="159"/>
      <c r="BM60" s="159"/>
      <c r="BN60" s="159"/>
    </row>
    <row r="61" ht="18.75" customHeight="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</row>
    <row r="62" ht="18.75" customHeight="1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59"/>
      <c r="BK62" s="159"/>
      <c r="BL62" s="159"/>
      <c r="BM62" s="159"/>
      <c r="BN62" s="159"/>
    </row>
    <row r="63" ht="18.75" customHeight="1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  <c r="AK63" s="159"/>
      <c r="AL63" s="159"/>
      <c r="AM63" s="159"/>
      <c r="AN63" s="159"/>
      <c r="AO63" s="159"/>
      <c r="AP63" s="159"/>
      <c r="AQ63" s="159"/>
      <c r="AR63" s="159"/>
      <c r="AS63" s="159"/>
      <c r="AT63" s="159"/>
      <c r="AU63" s="159"/>
      <c r="AV63" s="159"/>
      <c r="AW63" s="159"/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</row>
    <row r="64" ht="18.75" customHeight="1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  <c r="AK64" s="159"/>
      <c r="AL64" s="159"/>
      <c r="AM64" s="159"/>
      <c r="AN64" s="159"/>
      <c r="AO64" s="159"/>
      <c r="AP64" s="159"/>
      <c r="AQ64" s="159"/>
      <c r="AR64" s="159"/>
      <c r="AS64" s="159"/>
      <c r="AT64" s="159"/>
      <c r="AU64" s="159"/>
      <c r="AV64" s="159"/>
      <c r="AW64" s="159"/>
      <c r="AX64" s="159"/>
      <c r="AY64" s="159"/>
      <c r="AZ64" s="159"/>
      <c r="BA64" s="159"/>
      <c r="BB64" s="159"/>
      <c r="BC64" s="159"/>
      <c r="BD64" s="159"/>
      <c r="BE64" s="159"/>
      <c r="BF64" s="159"/>
      <c r="BG64" s="159"/>
      <c r="BH64" s="159"/>
      <c r="BI64" s="159"/>
      <c r="BJ64" s="159"/>
      <c r="BK64" s="159"/>
      <c r="BL64" s="159"/>
      <c r="BM64" s="159"/>
      <c r="BN64" s="159"/>
    </row>
    <row r="65" ht="18.75" customHeight="1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  <c r="AK65" s="159"/>
      <c r="AL65" s="159"/>
      <c r="AM65" s="159"/>
      <c r="AN65" s="159"/>
      <c r="AO65" s="159"/>
      <c r="AP65" s="159"/>
      <c r="AQ65" s="159"/>
      <c r="AR65" s="159"/>
      <c r="AS65" s="159"/>
      <c r="AT65" s="159"/>
      <c r="AU65" s="159"/>
      <c r="AV65" s="159"/>
      <c r="AW65" s="159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</row>
    <row r="66" ht="18.75" customHeight="1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  <c r="AK66" s="159"/>
      <c r="AL66" s="159"/>
      <c r="AM66" s="159"/>
      <c r="AN66" s="159"/>
      <c r="AO66" s="159"/>
      <c r="AP66" s="159"/>
      <c r="AQ66" s="159"/>
      <c r="AR66" s="159"/>
      <c r="AS66" s="159"/>
      <c r="AT66" s="159"/>
      <c r="AU66" s="159"/>
      <c r="AV66" s="159"/>
      <c r="AW66" s="159"/>
      <c r="AX66" s="159"/>
      <c r="AY66" s="159"/>
      <c r="AZ66" s="159"/>
      <c r="BA66" s="159"/>
      <c r="BB66" s="159"/>
      <c r="BC66" s="159"/>
      <c r="BD66" s="159"/>
      <c r="BE66" s="159"/>
      <c r="BF66" s="159"/>
      <c r="BG66" s="159"/>
      <c r="BH66" s="159"/>
      <c r="BI66" s="159"/>
      <c r="BJ66" s="159"/>
      <c r="BK66" s="159"/>
      <c r="BL66" s="159"/>
      <c r="BM66" s="159"/>
      <c r="BN66" s="159"/>
    </row>
    <row r="67" ht="18.75" customHeight="1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  <c r="AK67" s="159"/>
      <c r="AL67" s="159"/>
      <c r="AM67" s="159"/>
      <c r="AN67" s="159"/>
      <c r="AO67" s="159"/>
      <c r="AP67" s="159"/>
      <c r="AQ67" s="159"/>
      <c r="AR67" s="159"/>
      <c r="AS67" s="159"/>
      <c r="AT67" s="159"/>
      <c r="AU67" s="159"/>
      <c r="AV67" s="159"/>
      <c r="AW67" s="159"/>
      <c r="AX67" s="159"/>
      <c r="AY67" s="159"/>
      <c r="AZ67" s="159"/>
      <c r="BA67" s="159"/>
      <c r="BB67" s="159"/>
      <c r="BC67" s="159"/>
      <c r="BD67" s="159"/>
      <c r="BE67" s="159"/>
      <c r="BF67" s="159"/>
      <c r="BG67" s="159"/>
      <c r="BH67" s="159"/>
      <c r="BI67" s="159"/>
      <c r="BJ67" s="159"/>
      <c r="BK67" s="159"/>
      <c r="BL67" s="159"/>
      <c r="BM67" s="159"/>
      <c r="BN67" s="159"/>
    </row>
    <row r="68" ht="18.75" customHeight="1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  <c r="AK68" s="159"/>
      <c r="AL68" s="159"/>
      <c r="AM68" s="159"/>
      <c r="AN68" s="159"/>
      <c r="AO68" s="159"/>
      <c r="AP68" s="159"/>
      <c r="AQ68" s="159"/>
      <c r="AR68" s="159"/>
      <c r="AS68" s="159"/>
      <c r="AT68" s="159"/>
      <c r="AU68" s="159"/>
      <c r="AV68" s="159"/>
      <c r="AW68" s="159"/>
      <c r="AX68" s="159"/>
      <c r="AY68" s="159"/>
      <c r="AZ68" s="159"/>
      <c r="BA68" s="159"/>
      <c r="BB68" s="159"/>
      <c r="BC68" s="159"/>
      <c r="BD68" s="159"/>
      <c r="BE68" s="159"/>
      <c r="BF68" s="159"/>
      <c r="BG68" s="159"/>
      <c r="BH68" s="159"/>
      <c r="BI68" s="159"/>
      <c r="BJ68" s="159"/>
      <c r="BK68" s="159"/>
      <c r="BL68" s="159"/>
      <c r="BM68" s="159"/>
      <c r="BN68" s="159"/>
    </row>
    <row r="69" ht="18.75" customHeight="1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59"/>
      <c r="AJ69" s="159"/>
      <c r="AK69" s="159"/>
      <c r="AL69" s="159"/>
      <c r="AM69" s="159"/>
      <c r="AN69" s="159"/>
      <c r="AO69" s="159"/>
      <c r="AP69" s="159"/>
      <c r="AQ69" s="159"/>
      <c r="AR69" s="159"/>
      <c r="AS69" s="159"/>
      <c r="AT69" s="159"/>
      <c r="AU69" s="159"/>
      <c r="AV69" s="159"/>
      <c r="AW69" s="159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</row>
    <row r="70" ht="18.75" customHeight="1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/>
      <c r="AK70" s="159"/>
      <c r="AL70" s="159"/>
      <c r="AM70" s="159"/>
      <c r="AN70" s="159"/>
      <c r="AO70" s="159"/>
      <c r="AP70" s="159"/>
      <c r="AQ70" s="159"/>
      <c r="AR70" s="159"/>
      <c r="AS70" s="159"/>
      <c r="AT70" s="159"/>
      <c r="AU70" s="159"/>
      <c r="AV70" s="159"/>
      <c r="AW70" s="159"/>
      <c r="AX70" s="159"/>
      <c r="AY70" s="159"/>
      <c r="AZ70" s="159"/>
      <c r="BA70" s="159"/>
      <c r="BB70" s="159"/>
      <c r="BC70" s="159"/>
      <c r="BD70" s="159"/>
      <c r="BE70" s="159"/>
      <c r="BF70" s="159"/>
      <c r="BG70" s="159"/>
      <c r="BH70" s="159"/>
      <c r="BI70" s="159"/>
      <c r="BJ70" s="159"/>
      <c r="BK70" s="159"/>
      <c r="BL70" s="159"/>
      <c r="BM70" s="159"/>
      <c r="BN70" s="159"/>
    </row>
    <row r="71" ht="18.75" customHeight="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  <c r="AK71" s="159"/>
      <c r="AL71" s="159"/>
      <c r="AM71" s="159"/>
      <c r="AN71" s="159"/>
      <c r="AO71" s="159"/>
      <c r="AP71" s="159"/>
      <c r="AQ71" s="159"/>
      <c r="AR71" s="159"/>
      <c r="AS71" s="159"/>
      <c r="AT71" s="159"/>
      <c r="AU71" s="159"/>
      <c r="AV71" s="159"/>
      <c r="AW71" s="159"/>
      <c r="AX71" s="159"/>
      <c r="AY71" s="159"/>
      <c r="AZ71" s="159"/>
      <c r="BA71" s="159"/>
      <c r="BB71" s="159"/>
      <c r="BC71" s="159"/>
      <c r="BD71" s="159"/>
      <c r="BE71" s="159"/>
      <c r="BF71" s="159"/>
      <c r="BG71" s="159"/>
      <c r="BH71" s="159"/>
      <c r="BI71" s="159"/>
      <c r="BJ71" s="159"/>
      <c r="BK71" s="159"/>
      <c r="BL71" s="159"/>
      <c r="BM71" s="159"/>
      <c r="BN71" s="159"/>
    </row>
    <row r="72" ht="18.75" customHeight="1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  <c r="AK72" s="159"/>
      <c r="AL72" s="159"/>
      <c r="AM72" s="159"/>
      <c r="AN72" s="159"/>
      <c r="AO72" s="159"/>
      <c r="AP72" s="159"/>
      <c r="AQ72" s="159"/>
      <c r="AR72" s="159"/>
      <c r="AS72" s="159"/>
      <c r="AT72" s="159"/>
      <c r="AU72" s="159"/>
      <c r="AV72" s="159"/>
      <c r="AW72" s="159"/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</row>
    <row r="73" ht="18.75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9"/>
      <c r="AB73" s="159"/>
      <c r="AC73" s="159"/>
      <c r="AD73" s="159"/>
      <c r="AE73" s="159"/>
      <c r="AF73" s="159"/>
      <c r="AG73" s="159"/>
      <c r="AH73" s="159"/>
      <c r="AI73" s="159"/>
      <c r="AJ73" s="159"/>
      <c r="AK73" s="159"/>
      <c r="AL73" s="159"/>
      <c r="AM73" s="159"/>
      <c r="AN73" s="159"/>
      <c r="AO73" s="159"/>
      <c r="AP73" s="159"/>
      <c r="AQ73" s="159"/>
      <c r="AR73" s="159"/>
      <c r="AS73" s="159"/>
      <c r="AT73" s="159"/>
      <c r="AU73" s="159"/>
      <c r="AV73" s="159"/>
      <c r="AW73" s="159"/>
      <c r="AX73" s="159"/>
      <c r="AY73" s="159"/>
      <c r="AZ73" s="159"/>
      <c r="BA73" s="159"/>
      <c r="BB73" s="159"/>
      <c r="BC73" s="159"/>
      <c r="BD73" s="159"/>
      <c r="BE73" s="159"/>
      <c r="BF73" s="159"/>
      <c r="BG73" s="159"/>
      <c r="BH73" s="159"/>
      <c r="BI73" s="159"/>
      <c r="BJ73" s="159"/>
      <c r="BK73" s="159"/>
      <c r="BL73" s="159"/>
      <c r="BM73" s="159"/>
      <c r="BN73" s="159"/>
    </row>
    <row r="74" ht="18.75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9"/>
      <c r="AB74" s="159"/>
      <c r="AC74" s="159"/>
      <c r="AD74" s="159"/>
      <c r="AE74" s="159"/>
      <c r="AF74" s="159"/>
      <c r="AG74" s="159"/>
      <c r="AH74" s="159"/>
      <c r="AI74" s="159"/>
      <c r="AJ74" s="159"/>
      <c r="AK74" s="159"/>
      <c r="AL74" s="159"/>
      <c r="AM74" s="159"/>
      <c r="AN74" s="159"/>
      <c r="AO74" s="159"/>
      <c r="AP74" s="159"/>
      <c r="AQ74" s="159"/>
      <c r="AR74" s="159"/>
      <c r="AS74" s="159"/>
      <c r="AT74" s="159"/>
      <c r="AU74" s="159"/>
      <c r="AV74" s="159"/>
      <c r="AW74" s="159"/>
      <c r="AX74" s="159"/>
      <c r="AY74" s="159"/>
      <c r="AZ74" s="159"/>
      <c r="BA74" s="159"/>
      <c r="BB74" s="159"/>
      <c r="BC74" s="159"/>
      <c r="BD74" s="159"/>
      <c r="BE74" s="159"/>
      <c r="BF74" s="159"/>
      <c r="BG74" s="159"/>
      <c r="BH74" s="159"/>
      <c r="BI74" s="159"/>
      <c r="BJ74" s="159"/>
      <c r="BK74" s="159"/>
      <c r="BL74" s="159"/>
      <c r="BM74" s="159"/>
      <c r="BN74" s="159"/>
    </row>
    <row r="75" ht="18.75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  <c r="AJ75" s="159"/>
      <c r="AK75" s="159"/>
      <c r="AL75" s="159"/>
      <c r="AM75" s="159"/>
      <c r="AN75" s="159"/>
      <c r="AO75" s="159"/>
      <c r="AP75" s="159"/>
      <c r="AQ75" s="159"/>
      <c r="AR75" s="159"/>
      <c r="AS75" s="159"/>
      <c r="AT75" s="159"/>
      <c r="AU75" s="159"/>
      <c r="AV75" s="159"/>
      <c r="AW75" s="159"/>
      <c r="AX75" s="159"/>
      <c r="AY75" s="159"/>
      <c r="AZ75" s="159"/>
      <c r="BA75" s="159"/>
      <c r="BB75" s="159"/>
      <c r="BC75" s="159"/>
      <c r="BD75" s="159"/>
      <c r="BE75" s="159"/>
      <c r="BF75" s="159"/>
      <c r="BG75" s="159"/>
      <c r="BH75" s="159"/>
      <c r="BI75" s="159"/>
      <c r="BJ75" s="159"/>
      <c r="BK75" s="159"/>
      <c r="BL75" s="159"/>
      <c r="BM75" s="159"/>
      <c r="BN75" s="159"/>
    </row>
    <row r="76" ht="18.75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  <c r="AJ76" s="159"/>
      <c r="AK76" s="159"/>
      <c r="AL76" s="159"/>
      <c r="AM76" s="159"/>
      <c r="AN76" s="159"/>
      <c r="AO76" s="159"/>
      <c r="AP76" s="159"/>
      <c r="AQ76" s="159"/>
      <c r="AR76" s="159"/>
      <c r="AS76" s="159"/>
      <c r="AT76" s="159"/>
      <c r="AU76" s="159"/>
      <c r="AV76" s="159"/>
      <c r="AW76" s="159"/>
      <c r="AX76" s="159"/>
      <c r="AY76" s="159"/>
      <c r="AZ76" s="159"/>
      <c r="BA76" s="159"/>
      <c r="BB76" s="159"/>
      <c r="BC76" s="159"/>
      <c r="BD76" s="159"/>
      <c r="BE76" s="159"/>
      <c r="BF76" s="159"/>
      <c r="BG76" s="159"/>
      <c r="BH76" s="159"/>
      <c r="BI76" s="159"/>
      <c r="BJ76" s="159"/>
      <c r="BK76" s="159"/>
      <c r="BL76" s="159"/>
      <c r="BM76" s="159"/>
      <c r="BN76" s="159"/>
    </row>
    <row r="77" ht="18.75" customHeight="1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59"/>
      <c r="AX77" s="159"/>
      <c r="AY77" s="159"/>
      <c r="AZ77" s="159"/>
      <c r="BA77" s="159"/>
      <c r="BB77" s="159"/>
      <c r="BC77" s="159"/>
      <c r="BD77" s="159"/>
      <c r="BE77" s="159"/>
      <c r="BF77" s="159"/>
      <c r="BG77" s="159"/>
      <c r="BH77" s="159"/>
      <c r="BI77" s="159"/>
      <c r="BJ77" s="159"/>
      <c r="BK77" s="159"/>
      <c r="BL77" s="159"/>
      <c r="BM77" s="159"/>
      <c r="BN77" s="159"/>
    </row>
    <row r="78" ht="18.75" customHeight="1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/>
      <c r="BF78" s="159"/>
      <c r="BG78" s="159"/>
      <c r="BH78" s="159"/>
      <c r="BI78" s="159"/>
      <c r="BJ78" s="159"/>
      <c r="BK78" s="159"/>
      <c r="BL78" s="159"/>
      <c r="BM78" s="159"/>
      <c r="BN78" s="159"/>
    </row>
    <row r="79" ht="18.75" customHeight="1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</row>
    <row r="80" ht="18.75" customHeight="1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159"/>
      <c r="AY80" s="159"/>
      <c r="AZ80" s="159"/>
      <c r="BA80" s="159"/>
      <c r="BB80" s="159"/>
      <c r="BC80" s="159"/>
      <c r="BD80" s="159"/>
      <c r="BE80" s="159"/>
      <c r="BF80" s="159"/>
      <c r="BG80" s="159"/>
      <c r="BH80" s="159"/>
      <c r="BI80" s="159"/>
      <c r="BJ80" s="159"/>
      <c r="BK80" s="159"/>
      <c r="BL80" s="159"/>
      <c r="BM80" s="159"/>
      <c r="BN80" s="159"/>
    </row>
    <row r="81" ht="18.75" customHeight="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59"/>
      <c r="BF81" s="159"/>
      <c r="BG81" s="159"/>
      <c r="BH81" s="159"/>
      <c r="BI81" s="159"/>
      <c r="BJ81" s="159"/>
      <c r="BK81" s="159"/>
      <c r="BL81" s="159"/>
      <c r="BM81" s="159"/>
      <c r="BN81" s="159"/>
    </row>
    <row r="82" ht="18.75" customHeight="1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/>
      <c r="BF82" s="159"/>
      <c r="BG82" s="159"/>
      <c r="BH82" s="159"/>
      <c r="BI82" s="159"/>
      <c r="BJ82" s="159"/>
      <c r="BK82" s="159"/>
      <c r="BL82" s="159"/>
      <c r="BM82" s="159"/>
      <c r="BN82" s="159"/>
    </row>
    <row r="83" ht="18.75" customHeight="1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</row>
    <row r="84" ht="18.75" customHeight="1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159"/>
      <c r="AY84" s="159"/>
      <c r="AZ84" s="159"/>
      <c r="BA84" s="159"/>
      <c r="BB84" s="159"/>
      <c r="BC84" s="159"/>
      <c r="BD84" s="159"/>
      <c r="BE84" s="159"/>
      <c r="BF84" s="159"/>
      <c r="BG84" s="159"/>
      <c r="BH84" s="159"/>
      <c r="BI84" s="159"/>
      <c r="BJ84" s="159"/>
      <c r="BK84" s="159"/>
      <c r="BL84" s="159"/>
      <c r="BM84" s="159"/>
      <c r="BN84" s="159"/>
    </row>
    <row r="85" ht="18.75" customHeight="1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</row>
    <row r="86" ht="18.75" customHeight="1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159"/>
      <c r="AY86" s="159"/>
      <c r="AZ86" s="159"/>
      <c r="BA86" s="159"/>
      <c r="BB86" s="159"/>
      <c r="BC86" s="159"/>
      <c r="BD86" s="159"/>
      <c r="BE86" s="159"/>
      <c r="BF86" s="159"/>
      <c r="BG86" s="159"/>
      <c r="BH86" s="159"/>
      <c r="BI86" s="159"/>
      <c r="BJ86" s="159"/>
      <c r="BK86" s="159"/>
      <c r="BL86" s="159"/>
      <c r="BM86" s="159"/>
      <c r="BN86" s="159"/>
    </row>
    <row r="87" ht="18.75" customHeight="1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159"/>
      <c r="BH87" s="159"/>
      <c r="BI87" s="159"/>
      <c r="BJ87" s="159"/>
      <c r="BK87" s="159"/>
      <c r="BL87" s="159"/>
      <c r="BM87" s="159"/>
      <c r="BN87" s="159"/>
    </row>
    <row r="88" ht="18.75" customHeight="1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159"/>
      <c r="BH88" s="159"/>
      <c r="BI88" s="159"/>
      <c r="BJ88" s="159"/>
      <c r="BK88" s="159"/>
      <c r="BL88" s="159"/>
      <c r="BM88" s="159"/>
      <c r="BN88" s="159"/>
    </row>
    <row r="89" ht="18.75" customHeight="1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159"/>
      <c r="BH89" s="159"/>
      <c r="BI89" s="159"/>
      <c r="BJ89" s="159"/>
      <c r="BK89" s="159"/>
      <c r="BL89" s="159"/>
      <c r="BM89" s="159"/>
      <c r="BN89" s="159"/>
    </row>
    <row r="90" ht="18.75" customHeight="1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</row>
    <row r="91" ht="18.75" customHeight="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159"/>
      <c r="AY91" s="159"/>
      <c r="AZ91" s="159"/>
      <c r="BA91" s="159"/>
      <c r="BB91" s="159"/>
      <c r="BC91" s="159"/>
      <c r="BD91" s="159"/>
      <c r="BE91" s="159"/>
      <c r="BF91" s="159"/>
      <c r="BG91" s="159"/>
      <c r="BH91" s="159"/>
      <c r="BI91" s="159"/>
      <c r="BJ91" s="159"/>
      <c r="BK91" s="159"/>
      <c r="BL91" s="159"/>
      <c r="BM91" s="159"/>
      <c r="BN91" s="159"/>
    </row>
    <row r="92" ht="18.75" customHeight="1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</row>
    <row r="93" ht="18.75" customHeight="1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159"/>
      <c r="BH93" s="159"/>
      <c r="BI93" s="159"/>
      <c r="BJ93" s="159"/>
      <c r="BK93" s="159"/>
      <c r="BL93" s="159"/>
      <c r="BM93" s="159"/>
      <c r="BN93" s="159"/>
    </row>
    <row r="94" ht="18.75" customHeight="1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159"/>
      <c r="BH94" s="159"/>
      <c r="BI94" s="159"/>
      <c r="BJ94" s="159"/>
      <c r="BK94" s="159"/>
      <c r="BL94" s="159"/>
      <c r="BM94" s="159"/>
      <c r="BN94" s="159"/>
    </row>
    <row r="95" ht="18.75" customHeight="1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59"/>
      <c r="BF95" s="159"/>
      <c r="BG95" s="159"/>
      <c r="BH95" s="159"/>
      <c r="BI95" s="159"/>
      <c r="BJ95" s="159"/>
      <c r="BK95" s="159"/>
      <c r="BL95" s="159"/>
      <c r="BM95" s="159"/>
      <c r="BN95" s="159"/>
    </row>
    <row r="96" ht="18.75" customHeight="1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159"/>
      <c r="AY96" s="159"/>
      <c r="AZ96" s="159"/>
      <c r="BA96" s="159"/>
      <c r="BB96" s="159"/>
      <c r="BC96" s="159"/>
      <c r="BD96" s="159"/>
      <c r="BE96" s="159"/>
      <c r="BF96" s="159"/>
      <c r="BG96" s="159"/>
      <c r="BH96" s="159"/>
      <c r="BI96" s="159"/>
      <c r="BJ96" s="159"/>
      <c r="BK96" s="159"/>
      <c r="BL96" s="159"/>
      <c r="BM96" s="159"/>
      <c r="BN96" s="159"/>
    </row>
    <row r="97" ht="18.75" customHeight="1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  <c r="BL97" s="159"/>
      <c r="BM97" s="159"/>
      <c r="BN97" s="159"/>
    </row>
    <row r="98" ht="18.75" customHeight="1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159"/>
      <c r="AY98" s="159"/>
      <c r="AZ98" s="159"/>
      <c r="BA98" s="159"/>
      <c r="BB98" s="159"/>
      <c r="BC98" s="159"/>
      <c r="BD98" s="159"/>
      <c r="BE98" s="159"/>
      <c r="BF98" s="159"/>
      <c r="BG98" s="159"/>
      <c r="BH98" s="159"/>
      <c r="BI98" s="159"/>
      <c r="BJ98" s="159"/>
      <c r="BK98" s="159"/>
      <c r="BL98" s="159"/>
      <c r="BM98" s="159"/>
      <c r="BN98" s="159"/>
    </row>
    <row r="99" ht="18.75" customHeight="1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59"/>
      <c r="BF99" s="159"/>
      <c r="BG99" s="159"/>
      <c r="BH99" s="159"/>
      <c r="BI99" s="159"/>
      <c r="BJ99" s="159"/>
      <c r="BK99" s="159"/>
      <c r="BL99" s="159"/>
      <c r="BM99" s="159"/>
      <c r="BN99" s="159"/>
    </row>
    <row r="100" ht="18.75" customHeight="1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159"/>
      <c r="AY100" s="159"/>
      <c r="AZ100" s="159"/>
      <c r="BA100" s="159"/>
      <c r="BB100" s="159"/>
      <c r="BC100" s="159"/>
      <c r="BD100" s="159"/>
      <c r="BE100" s="159"/>
      <c r="BF100" s="159"/>
      <c r="BG100" s="159"/>
      <c r="BH100" s="159"/>
      <c r="BI100" s="159"/>
      <c r="BJ100" s="159"/>
      <c r="BK100" s="159"/>
      <c r="BL100" s="159"/>
      <c r="BM100" s="159"/>
      <c r="BN100" s="159"/>
    </row>
    <row r="101" ht="18.75" customHeight="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59"/>
      <c r="BF101" s="159"/>
      <c r="BG101" s="159"/>
      <c r="BH101" s="159"/>
      <c r="BI101" s="159"/>
      <c r="BJ101" s="159"/>
      <c r="BK101" s="159"/>
      <c r="BL101" s="159"/>
      <c r="BM101" s="159"/>
      <c r="BN101" s="159"/>
    </row>
    <row r="102" ht="18.75" customHeight="1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159"/>
      <c r="AY102" s="159"/>
      <c r="AZ102" s="159"/>
      <c r="BA102" s="159"/>
      <c r="BB102" s="159"/>
      <c r="BC102" s="159"/>
      <c r="BD102" s="159"/>
      <c r="BE102" s="159"/>
      <c r="BF102" s="159"/>
      <c r="BG102" s="159"/>
      <c r="BH102" s="159"/>
      <c r="BI102" s="159"/>
      <c r="BJ102" s="159"/>
      <c r="BK102" s="159"/>
      <c r="BL102" s="159"/>
      <c r="BM102" s="159"/>
      <c r="BN102" s="159"/>
    </row>
    <row r="103" ht="18.75" customHeight="1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59"/>
      <c r="BF103" s="159"/>
      <c r="BG103" s="159"/>
      <c r="BH103" s="159"/>
      <c r="BI103" s="159"/>
      <c r="BJ103" s="159"/>
      <c r="BK103" s="159"/>
      <c r="BL103" s="159"/>
      <c r="BM103" s="159"/>
      <c r="BN103" s="159"/>
    </row>
    <row r="104" ht="18.75" customHeight="1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159"/>
      <c r="AY104" s="159"/>
      <c r="AZ104" s="159"/>
      <c r="BA104" s="159"/>
      <c r="BB104" s="159"/>
      <c r="BC104" s="159"/>
      <c r="BD104" s="159"/>
      <c r="BE104" s="159"/>
      <c r="BF104" s="159"/>
      <c r="BG104" s="159"/>
      <c r="BH104" s="159"/>
      <c r="BI104" s="159"/>
      <c r="BJ104" s="159"/>
      <c r="BK104" s="159"/>
      <c r="BL104" s="159"/>
      <c r="BM104" s="159"/>
      <c r="BN104" s="159"/>
    </row>
    <row r="105" ht="18.75" customHeight="1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159"/>
      <c r="AY105" s="159"/>
      <c r="AZ105" s="159"/>
      <c r="BA105" s="159"/>
      <c r="BB105" s="159"/>
      <c r="BC105" s="159"/>
      <c r="BD105" s="159"/>
      <c r="BE105" s="159"/>
      <c r="BF105" s="159"/>
      <c r="BG105" s="159"/>
      <c r="BH105" s="159"/>
      <c r="BI105" s="159"/>
      <c r="BJ105" s="159"/>
      <c r="BK105" s="159"/>
      <c r="BL105" s="159"/>
      <c r="BM105" s="159"/>
      <c r="BN105" s="159"/>
    </row>
    <row r="106" ht="18.75" customHeight="1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159"/>
      <c r="AY106" s="159"/>
      <c r="AZ106" s="159"/>
      <c r="BA106" s="159"/>
      <c r="BB106" s="159"/>
      <c r="BC106" s="159"/>
      <c r="BD106" s="159"/>
      <c r="BE106" s="159"/>
      <c r="BF106" s="159"/>
      <c r="BG106" s="159"/>
      <c r="BH106" s="159"/>
      <c r="BI106" s="159"/>
      <c r="BJ106" s="159"/>
      <c r="BK106" s="159"/>
      <c r="BL106" s="159"/>
      <c r="BM106" s="159"/>
      <c r="BN106" s="159"/>
    </row>
    <row r="107" ht="18.75" customHeight="1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59"/>
      <c r="BF107" s="159"/>
      <c r="BG107" s="159"/>
      <c r="BH107" s="159"/>
      <c r="BI107" s="159"/>
      <c r="BJ107" s="159"/>
      <c r="BK107" s="159"/>
      <c r="BL107" s="159"/>
      <c r="BM107" s="159"/>
      <c r="BN107" s="159"/>
    </row>
    <row r="108" ht="18.75" customHeight="1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159"/>
      <c r="AY108" s="159"/>
      <c r="AZ108" s="159"/>
      <c r="BA108" s="159"/>
      <c r="BB108" s="159"/>
      <c r="BC108" s="159"/>
      <c r="BD108" s="159"/>
      <c r="BE108" s="159"/>
      <c r="BF108" s="159"/>
      <c r="BG108" s="159"/>
      <c r="BH108" s="159"/>
      <c r="BI108" s="159"/>
      <c r="BJ108" s="159"/>
      <c r="BK108" s="159"/>
      <c r="BL108" s="159"/>
      <c r="BM108" s="159"/>
      <c r="BN108" s="159"/>
    </row>
    <row r="109" ht="18.75" customHeight="1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59"/>
      <c r="BF109" s="159"/>
      <c r="BG109" s="159"/>
      <c r="BH109" s="159"/>
      <c r="BI109" s="159"/>
      <c r="BJ109" s="159"/>
      <c r="BK109" s="159"/>
      <c r="BL109" s="159"/>
      <c r="BM109" s="159"/>
      <c r="BN109" s="159"/>
    </row>
    <row r="110" ht="18.75" customHeight="1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159"/>
      <c r="BH110" s="159"/>
      <c r="BI110" s="159"/>
      <c r="BJ110" s="159"/>
      <c r="BK110" s="159"/>
      <c r="BL110" s="159"/>
      <c r="BM110" s="159"/>
      <c r="BN110" s="159"/>
    </row>
    <row r="111" ht="18.75" customHeight="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59"/>
      <c r="BF111" s="159"/>
      <c r="BG111" s="159"/>
      <c r="BH111" s="159"/>
      <c r="BI111" s="159"/>
      <c r="BJ111" s="159"/>
      <c r="BK111" s="159"/>
      <c r="BL111" s="159"/>
      <c r="BM111" s="159"/>
      <c r="BN111" s="159"/>
    </row>
    <row r="112" ht="18.75" customHeight="1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159"/>
      <c r="BH112" s="159"/>
      <c r="BI112" s="159"/>
      <c r="BJ112" s="159"/>
      <c r="BK112" s="159"/>
      <c r="BL112" s="159"/>
      <c r="BM112" s="159"/>
      <c r="BN112" s="159"/>
    </row>
    <row r="113" ht="18.75" customHeight="1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159"/>
      <c r="BH113" s="159"/>
      <c r="BI113" s="159"/>
      <c r="BJ113" s="159"/>
      <c r="BK113" s="159"/>
      <c r="BL113" s="159"/>
      <c r="BM113" s="159"/>
      <c r="BN113" s="159"/>
    </row>
    <row r="114" ht="18.75" customHeight="1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159"/>
      <c r="BH114" s="159"/>
      <c r="BI114" s="159"/>
      <c r="BJ114" s="159"/>
      <c r="BK114" s="159"/>
      <c r="BL114" s="159"/>
      <c r="BM114" s="159"/>
      <c r="BN114" s="159"/>
    </row>
    <row r="115" ht="18.75" customHeight="1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159"/>
      <c r="AY115" s="159"/>
      <c r="AZ115" s="159"/>
      <c r="BA115" s="159"/>
      <c r="BB115" s="159"/>
      <c r="BC115" s="159"/>
      <c r="BD115" s="159"/>
      <c r="BE115" s="159"/>
      <c r="BF115" s="159"/>
      <c r="BG115" s="159"/>
      <c r="BH115" s="159"/>
      <c r="BI115" s="159"/>
      <c r="BJ115" s="159"/>
      <c r="BK115" s="159"/>
      <c r="BL115" s="159"/>
      <c r="BM115" s="159"/>
      <c r="BN115" s="159"/>
    </row>
    <row r="116" ht="18.75" customHeight="1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159"/>
      <c r="BH116" s="159"/>
      <c r="BI116" s="159"/>
      <c r="BJ116" s="159"/>
      <c r="BK116" s="159"/>
      <c r="BL116" s="159"/>
      <c r="BM116" s="159"/>
      <c r="BN116" s="159"/>
    </row>
    <row r="117" ht="18.75" customHeight="1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59"/>
      <c r="BF117" s="159"/>
      <c r="BG117" s="159"/>
      <c r="BH117" s="159"/>
      <c r="BI117" s="159"/>
      <c r="BJ117" s="159"/>
      <c r="BK117" s="159"/>
      <c r="BL117" s="159"/>
      <c r="BM117" s="159"/>
      <c r="BN117" s="159"/>
    </row>
    <row r="118" ht="18.75" customHeight="1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159"/>
      <c r="AY118" s="159"/>
      <c r="AZ118" s="159"/>
      <c r="BA118" s="159"/>
      <c r="BB118" s="159"/>
      <c r="BC118" s="159"/>
      <c r="BD118" s="159"/>
      <c r="BE118" s="159"/>
      <c r="BF118" s="159"/>
      <c r="BG118" s="159"/>
      <c r="BH118" s="159"/>
      <c r="BI118" s="159"/>
      <c r="BJ118" s="159"/>
      <c r="BK118" s="159"/>
      <c r="BL118" s="159"/>
      <c r="BM118" s="159"/>
      <c r="BN118" s="159"/>
    </row>
    <row r="119" ht="18.75" customHeight="1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159"/>
      <c r="AY119" s="159"/>
      <c r="AZ119" s="159"/>
      <c r="BA119" s="159"/>
      <c r="BB119" s="159"/>
      <c r="BC119" s="159"/>
      <c r="BD119" s="159"/>
      <c r="BE119" s="159"/>
      <c r="BF119" s="159"/>
      <c r="BG119" s="159"/>
      <c r="BH119" s="159"/>
      <c r="BI119" s="159"/>
      <c r="BJ119" s="159"/>
      <c r="BK119" s="159"/>
      <c r="BL119" s="159"/>
      <c r="BM119" s="159"/>
      <c r="BN119" s="159"/>
    </row>
    <row r="120" ht="18.75" customHeight="1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159"/>
      <c r="AY120" s="159"/>
      <c r="AZ120" s="159"/>
      <c r="BA120" s="159"/>
      <c r="BB120" s="159"/>
      <c r="BC120" s="159"/>
      <c r="BD120" s="159"/>
      <c r="BE120" s="159"/>
      <c r="BF120" s="159"/>
      <c r="BG120" s="159"/>
      <c r="BH120" s="159"/>
      <c r="BI120" s="159"/>
      <c r="BJ120" s="159"/>
      <c r="BK120" s="159"/>
      <c r="BL120" s="159"/>
      <c r="BM120" s="159"/>
      <c r="BN120" s="159"/>
    </row>
    <row r="121" ht="18.75" customHeight="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59"/>
      <c r="BF121" s="159"/>
      <c r="BG121" s="159"/>
      <c r="BH121" s="159"/>
      <c r="BI121" s="159"/>
      <c r="BJ121" s="159"/>
      <c r="BK121" s="159"/>
      <c r="BL121" s="159"/>
      <c r="BM121" s="159"/>
      <c r="BN121" s="159"/>
    </row>
    <row r="122" ht="18.75" customHeight="1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159"/>
      <c r="AY122" s="159"/>
      <c r="AZ122" s="159"/>
      <c r="BA122" s="159"/>
      <c r="BB122" s="159"/>
      <c r="BC122" s="159"/>
      <c r="BD122" s="159"/>
      <c r="BE122" s="159"/>
      <c r="BF122" s="159"/>
      <c r="BG122" s="159"/>
      <c r="BH122" s="159"/>
      <c r="BI122" s="159"/>
      <c r="BJ122" s="159"/>
      <c r="BK122" s="159"/>
      <c r="BL122" s="159"/>
      <c r="BM122" s="159"/>
      <c r="BN122" s="159"/>
    </row>
    <row r="123" ht="18.75" customHeight="1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59"/>
      <c r="BF123" s="159"/>
      <c r="BG123" s="159"/>
      <c r="BH123" s="159"/>
      <c r="BI123" s="159"/>
      <c r="BJ123" s="159"/>
      <c r="BK123" s="159"/>
      <c r="BL123" s="159"/>
      <c r="BM123" s="159"/>
      <c r="BN123" s="159"/>
    </row>
    <row r="124" ht="18.75" customHeight="1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159"/>
      <c r="AY124" s="159"/>
      <c r="AZ124" s="159"/>
      <c r="BA124" s="159"/>
      <c r="BB124" s="159"/>
      <c r="BC124" s="159"/>
      <c r="BD124" s="159"/>
      <c r="BE124" s="159"/>
      <c r="BF124" s="159"/>
      <c r="BG124" s="159"/>
      <c r="BH124" s="159"/>
      <c r="BI124" s="159"/>
      <c r="BJ124" s="159"/>
      <c r="BK124" s="159"/>
      <c r="BL124" s="159"/>
      <c r="BM124" s="159"/>
      <c r="BN124" s="159"/>
    </row>
    <row r="125" ht="18.75" customHeight="1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159"/>
      <c r="AY125" s="159"/>
      <c r="AZ125" s="159"/>
      <c r="BA125" s="159"/>
      <c r="BB125" s="159"/>
      <c r="BC125" s="159"/>
      <c r="BD125" s="159"/>
      <c r="BE125" s="159"/>
      <c r="BF125" s="159"/>
      <c r="BG125" s="159"/>
      <c r="BH125" s="159"/>
      <c r="BI125" s="159"/>
      <c r="BJ125" s="159"/>
      <c r="BK125" s="159"/>
      <c r="BL125" s="159"/>
      <c r="BM125" s="159"/>
      <c r="BN125" s="159"/>
    </row>
    <row r="126" ht="18.75" customHeight="1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159"/>
      <c r="AY126" s="159"/>
      <c r="AZ126" s="159"/>
      <c r="BA126" s="159"/>
      <c r="BB126" s="159"/>
      <c r="BC126" s="159"/>
      <c r="BD126" s="159"/>
      <c r="BE126" s="159"/>
      <c r="BF126" s="159"/>
      <c r="BG126" s="159"/>
      <c r="BH126" s="159"/>
      <c r="BI126" s="159"/>
      <c r="BJ126" s="159"/>
      <c r="BK126" s="159"/>
      <c r="BL126" s="159"/>
      <c r="BM126" s="159"/>
      <c r="BN126" s="159"/>
    </row>
    <row r="127" ht="18.75" customHeight="1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59"/>
      <c r="AY127" s="159"/>
      <c r="AZ127" s="159"/>
      <c r="BA127" s="159"/>
      <c r="BB127" s="159"/>
      <c r="BC127" s="159"/>
      <c r="BD127" s="159"/>
      <c r="BE127" s="159"/>
      <c r="BF127" s="159"/>
      <c r="BG127" s="159"/>
      <c r="BH127" s="159"/>
      <c r="BI127" s="159"/>
      <c r="BJ127" s="159"/>
      <c r="BK127" s="159"/>
      <c r="BL127" s="159"/>
      <c r="BM127" s="159"/>
      <c r="BN127" s="159"/>
    </row>
    <row r="128" ht="18.75" customHeight="1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159"/>
      <c r="AY128" s="159"/>
      <c r="AZ128" s="159"/>
      <c r="BA128" s="159"/>
      <c r="BB128" s="159"/>
      <c r="BC128" s="159"/>
      <c r="BD128" s="159"/>
      <c r="BE128" s="159"/>
      <c r="BF128" s="159"/>
      <c r="BG128" s="159"/>
      <c r="BH128" s="159"/>
      <c r="BI128" s="159"/>
      <c r="BJ128" s="159"/>
      <c r="BK128" s="159"/>
      <c r="BL128" s="159"/>
      <c r="BM128" s="159"/>
      <c r="BN128" s="159"/>
    </row>
    <row r="129" ht="18.75" customHeight="1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59"/>
      <c r="BF129" s="159"/>
      <c r="BG129" s="159"/>
      <c r="BH129" s="159"/>
      <c r="BI129" s="159"/>
      <c r="BJ129" s="159"/>
      <c r="BK129" s="159"/>
      <c r="BL129" s="159"/>
      <c r="BM129" s="159"/>
      <c r="BN129" s="159"/>
    </row>
    <row r="130" ht="18.75" customHeight="1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159"/>
      <c r="AY130" s="159"/>
      <c r="AZ130" s="159"/>
      <c r="BA130" s="159"/>
      <c r="BB130" s="159"/>
      <c r="BC130" s="159"/>
      <c r="BD130" s="159"/>
      <c r="BE130" s="159"/>
      <c r="BF130" s="159"/>
      <c r="BG130" s="159"/>
      <c r="BH130" s="159"/>
      <c r="BI130" s="159"/>
      <c r="BJ130" s="159"/>
      <c r="BK130" s="159"/>
      <c r="BL130" s="159"/>
      <c r="BM130" s="159"/>
      <c r="BN130" s="159"/>
    </row>
    <row r="131" ht="18.75" customHeight="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159"/>
      <c r="AY131" s="159"/>
      <c r="AZ131" s="159"/>
      <c r="BA131" s="159"/>
      <c r="BB131" s="159"/>
      <c r="BC131" s="159"/>
      <c r="BD131" s="159"/>
      <c r="BE131" s="159"/>
      <c r="BF131" s="159"/>
      <c r="BG131" s="159"/>
      <c r="BH131" s="159"/>
      <c r="BI131" s="159"/>
      <c r="BJ131" s="159"/>
      <c r="BK131" s="159"/>
      <c r="BL131" s="159"/>
      <c r="BM131" s="159"/>
      <c r="BN131" s="159"/>
    </row>
    <row r="132" ht="18.75" customHeight="1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159"/>
      <c r="AY132" s="159"/>
      <c r="AZ132" s="159"/>
      <c r="BA132" s="159"/>
      <c r="BB132" s="159"/>
      <c r="BC132" s="159"/>
      <c r="BD132" s="159"/>
      <c r="BE132" s="159"/>
      <c r="BF132" s="159"/>
      <c r="BG132" s="159"/>
      <c r="BH132" s="159"/>
      <c r="BI132" s="159"/>
      <c r="BJ132" s="159"/>
      <c r="BK132" s="159"/>
      <c r="BL132" s="159"/>
      <c r="BM132" s="159"/>
      <c r="BN132" s="159"/>
    </row>
    <row r="133" ht="18.75" customHeight="1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159"/>
      <c r="AY133" s="159"/>
      <c r="AZ133" s="159"/>
      <c r="BA133" s="159"/>
      <c r="BB133" s="159"/>
      <c r="BC133" s="159"/>
      <c r="BD133" s="159"/>
      <c r="BE133" s="159"/>
      <c r="BF133" s="159"/>
      <c r="BG133" s="159"/>
      <c r="BH133" s="159"/>
      <c r="BI133" s="159"/>
      <c r="BJ133" s="159"/>
      <c r="BK133" s="159"/>
      <c r="BL133" s="159"/>
      <c r="BM133" s="159"/>
      <c r="BN133" s="159"/>
    </row>
    <row r="134" ht="18.75" customHeight="1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159"/>
      <c r="AY134" s="159"/>
      <c r="AZ134" s="159"/>
      <c r="BA134" s="159"/>
      <c r="BB134" s="159"/>
      <c r="BC134" s="159"/>
      <c r="BD134" s="159"/>
      <c r="BE134" s="159"/>
      <c r="BF134" s="159"/>
      <c r="BG134" s="159"/>
      <c r="BH134" s="159"/>
      <c r="BI134" s="159"/>
      <c r="BJ134" s="159"/>
      <c r="BK134" s="159"/>
      <c r="BL134" s="159"/>
      <c r="BM134" s="159"/>
      <c r="BN134" s="159"/>
    </row>
    <row r="135" ht="18.75" customHeight="1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159"/>
      <c r="BF135" s="159"/>
      <c r="BG135" s="159"/>
      <c r="BH135" s="159"/>
      <c r="BI135" s="159"/>
      <c r="BJ135" s="159"/>
      <c r="BK135" s="159"/>
      <c r="BL135" s="159"/>
      <c r="BM135" s="159"/>
      <c r="BN135" s="159"/>
    </row>
    <row r="136" ht="18.75" customHeight="1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159"/>
      <c r="AY136" s="159"/>
      <c r="AZ136" s="159"/>
      <c r="BA136" s="159"/>
      <c r="BB136" s="159"/>
      <c r="BC136" s="159"/>
      <c r="BD136" s="159"/>
      <c r="BE136" s="159"/>
      <c r="BF136" s="159"/>
      <c r="BG136" s="159"/>
      <c r="BH136" s="159"/>
      <c r="BI136" s="159"/>
      <c r="BJ136" s="159"/>
      <c r="BK136" s="159"/>
      <c r="BL136" s="159"/>
      <c r="BM136" s="159"/>
      <c r="BN136" s="159"/>
    </row>
    <row r="137" ht="18.75" customHeight="1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/>
      <c r="BB137" s="159"/>
      <c r="BC137" s="159"/>
      <c r="BD137" s="159"/>
      <c r="BE137" s="159"/>
      <c r="BF137" s="159"/>
      <c r="BG137" s="159"/>
      <c r="BH137" s="159"/>
      <c r="BI137" s="159"/>
      <c r="BJ137" s="159"/>
      <c r="BK137" s="159"/>
      <c r="BL137" s="159"/>
      <c r="BM137" s="159"/>
      <c r="BN137" s="159"/>
    </row>
    <row r="138" ht="18.75" customHeight="1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159"/>
      <c r="AY138" s="159"/>
      <c r="AZ138" s="159"/>
      <c r="BA138" s="159"/>
      <c r="BB138" s="159"/>
      <c r="BC138" s="159"/>
      <c r="BD138" s="159"/>
      <c r="BE138" s="159"/>
      <c r="BF138" s="159"/>
      <c r="BG138" s="159"/>
      <c r="BH138" s="159"/>
      <c r="BI138" s="159"/>
      <c r="BJ138" s="159"/>
      <c r="BK138" s="159"/>
      <c r="BL138" s="159"/>
      <c r="BM138" s="159"/>
      <c r="BN138" s="159"/>
    </row>
    <row r="139" ht="18.75" customHeight="1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159"/>
      <c r="AY139" s="159"/>
      <c r="AZ139" s="159"/>
      <c r="BA139" s="159"/>
      <c r="BB139" s="159"/>
      <c r="BC139" s="159"/>
      <c r="BD139" s="159"/>
      <c r="BE139" s="159"/>
      <c r="BF139" s="159"/>
      <c r="BG139" s="159"/>
      <c r="BH139" s="159"/>
      <c r="BI139" s="159"/>
      <c r="BJ139" s="159"/>
      <c r="BK139" s="159"/>
      <c r="BL139" s="159"/>
      <c r="BM139" s="159"/>
      <c r="BN139" s="159"/>
    </row>
    <row r="140" ht="18.75" customHeight="1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159"/>
      <c r="AY140" s="159"/>
      <c r="AZ140" s="159"/>
      <c r="BA140" s="159"/>
      <c r="BB140" s="159"/>
      <c r="BC140" s="159"/>
      <c r="BD140" s="159"/>
      <c r="BE140" s="159"/>
      <c r="BF140" s="159"/>
      <c r="BG140" s="159"/>
      <c r="BH140" s="159"/>
      <c r="BI140" s="159"/>
      <c r="BJ140" s="159"/>
      <c r="BK140" s="159"/>
      <c r="BL140" s="159"/>
      <c r="BM140" s="159"/>
      <c r="BN140" s="159"/>
    </row>
    <row r="141" ht="18.75" customHeight="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/>
      <c r="BB141" s="159"/>
      <c r="BC141" s="159"/>
      <c r="BD141" s="159"/>
      <c r="BE141" s="159"/>
      <c r="BF141" s="159"/>
      <c r="BG141" s="159"/>
      <c r="BH141" s="159"/>
      <c r="BI141" s="159"/>
      <c r="BJ141" s="159"/>
      <c r="BK141" s="159"/>
      <c r="BL141" s="159"/>
      <c r="BM141" s="159"/>
      <c r="BN141" s="159"/>
    </row>
    <row r="142" ht="18.75" customHeight="1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159"/>
      <c r="AY142" s="159"/>
      <c r="AZ142" s="159"/>
      <c r="BA142" s="159"/>
      <c r="BB142" s="159"/>
      <c r="BC142" s="159"/>
      <c r="BD142" s="159"/>
      <c r="BE142" s="159"/>
      <c r="BF142" s="159"/>
      <c r="BG142" s="159"/>
      <c r="BH142" s="159"/>
      <c r="BI142" s="159"/>
      <c r="BJ142" s="159"/>
      <c r="BK142" s="159"/>
      <c r="BL142" s="159"/>
      <c r="BM142" s="159"/>
      <c r="BN142" s="159"/>
    </row>
    <row r="143" ht="18.75" customHeight="1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159"/>
      <c r="BH143" s="159"/>
      <c r="BI143" s="159"/>
      <c r="BJ143" s="159"/>
      <c r="BK143" s="159"/>
      <c r="BL143" s="159"/>
      <c r="BM143" s="159"/>
      <c r="BN143" s="159"/>
    </row>
    <row r="144" ht="18.75" customHeight="1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159"/>
      <c r="AY144" s="159"/>
      <c r="AZ144" s="159"/>
      <c r="BA144" s="159"/>
      <c r="BB144" s="159"/>
      <c r="BC144" s="159"/>
      <c r="BD144" s="159"/>
      <c r="BE144" s="159"/>
      <c r="BF144" s="159"/>
      <c r="BG144" s="159"/>
      <c r="BH144" s="159"/>
      <c r="BI144" s="159"/>
      <c r="BJ144" s="159"/>
      <c r="BK144" s="159"/>
      <c r="BL144" s="159"/>
      <c r="BM144" s="159"/>
      <c r="BN144" s="159"/>
    </row>
    <row r="145" ht="18.75" customHeight="1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159"/>
      <c r="BB145" s="159"/>
      <c r="BC145" s="159"/>
      <c r="BD145" s="159"/>
      <c r="BE145" s="159"/>
      <c r="BF145" s="159"/>
      <c r="BG145" s="159"/>
      <c r="BH145" s="159"/>
      <c r="BI145" s="159"/>
      <c r="BJ145" s="159"/>
      <c r="BK145" s="159"/>
      <c r="BL145" s="159"/>
      <c r="BM145" s="159"/>
      <c r="BN145" s="159"/>
    </row>
    <row r="146" ht="18.75" customHeight="1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159"/>
      <c r="AY146" s="159"/>
      <c r="AZ146" s="159"/>
      <c r="BA146" s="159"/>
      <c r="BB146" s="159"/>
      <c r="BC146" s="159"/>
      <c r="BD146" s="159"/>
      <c r="BE146" s="159"/>
      <c r="BF146" s="159"/>
      <c r="BG146" s="159"/>
      <c r="BH146" s="159"/>
      <c r="BI146" s="159"/>
      <c r="BJ146" s="159"/>
      <c r="BK146" s="159"/>
      <c r="BL146" s="159"/>
      <c r="BM146" s="159"/>
      <c r="BN146" s="159"/>
    </row>
    <row r="147" ht="18.75" customHeight="1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/>
      <c r="BC147" s="159"/>
      <c r="BD147" s="159"/>
      <c r="BE147" s="159"/>
      <c r="BF147" s="159"/>
      <c r="BG147" s="159"/>
      <c r="BH147" s="159"/>
      <c r="BI147" s="159"/>
      <c r="BJ147" s="159"/>
      <c r="BK147" s="159"/>
      <c r="BL147" s="159"/>
      <c r="BM147" s="159"/>
      <c r="BN147" s="159"/>
    </row>
    <row r="148" ht="18.75" customHeight="1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159"/>
      <c r="AY148" s="159"/>
      <c r="AZ148" s="159"/>
      <c r="BA148" s="159"/>
      <c r="BB148" s="159"/>
      <c r="BC148" s="159"/>
      <c r="BD148" s="159"/>
      <c r="BE148" s="159"/>
      <c r="BF148" s="159"/>
      <c r="BG148" s="159"/>
      <c r="BH148" s="159"/>
      <c r="BI148" s="159"/>
      <c r="BJ148" s="159"/>
      <c r="BK148" s="159"/>
      <c r="BL148" s="159"/>
      <c r="BM148" s="159"/>
      <c r="BN148" s="159"/>
    </row>
    <row r="149" ht="18.75" customHeight="1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159"/>
      <c r="AY149" s="159"/>
      <c r="AZ149" s="159"/>
      <c r="BA149" s="159"/>
      <c r="BB149" s="159"/>
      <c r="BC149" s="159"/>
      <c r="BD149" s="159"/>
      <c r="BE149" s="159"/>
      <c r="BF149" s="159"/>
      <c r="BG149" s="159"/>
      <c r="BH149" s="159"/>
      <c r="BI149" s="159"/>
      <c r="BJ149" s="159"/>
      <c r="BK149" s="159"/>
      <c r="BL149" s="159"/>
      <c r="BM149" s="159"/>
      <c r="BN149" s="159"/>
    </row>
    <row r="150" ht="18.75" customHeight="1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159"/>
      <c r="AY150" s="159"/>
      <c r="AZ150" s="159"/>
      <c r="BA150" s="159"/>
      <c r="BB150" s="159"/>
      <c r="BC150" s="159"/>
      <c r="BD150" s="159"/>
      <c r="BE150" s="159"/>
      <c r="BF150" s="159"/>
      <c r="BG150" s="159"/>
      <c r="BH150" s="159"/>
      <c r="BI150" s="159"/>
      <c r="BJ150" s="159"/>
      <c r="BK150" s="159"/>
      <c r="BL150" s="159"/>
      <c r="BM150" s="159"/>
      <c r="BN150" s="159"/>
    </row>
    <row r="151" ht="18.75" customHeight="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159"/>
      <c r="AY151" s="159"/>
      <c r="AZ151" s="159"/>
      <c r="BA151" s="159"/>
      <c r="BB151" s="159"/>
      <c r="BC151" s="159"/>
      <c r="BD151" s="159"/>
      <c r="BE151" s="159"/>
      <c r="BF151" s="159"/>
      <c r="BG151" s="159"/>
      <c r="BH151" s="159"/>
      <c r="BI151" s="159"/>
      <c r="BJ151" s="159"/>
      <c r="BK151" s="159"/>
      <c r="BL151" s="159"/>
      <c r="BM151" s="159"/>
      <c r="BN151" s="159"/>
    </row>
    <row r="152" ht="18.75" customHeight="1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159"/>
      <c r="AY152" s="159"/>
      <c r="AZ152" s="159"/>
      <c r="BA152" s="159"/>
      <c r="BB152" s="159"/>
      <c r="BC152" s="159"/>
      <c r="BD152" s="159"/>
      <c r="BE152" s="159"/>
      <c r="BF152" s="159"/>
      <c r="BG152" s="159"/>
      <c r="BH152" s="159"/>
      <c r="BI152" s="159"/>
      <c r="BJ152" s="159"/>
      <c r="BK152" s="159"/>
      <c r="BL152" s="159"/>
      <c r="BM152" s="159"/>
      <c r="BN152" s="159"/>
    </row>
    <row r="153" ht="18.75" customHeight="1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159"/>
      <c r="BF153" s="159"/>
      <c r="BG153" s="159"/>
      <c r="BH153" s="159"/>
      <c r="BI153" s="159"/>
      <c r="BJ153" s="159"/>
      <c r="BK153" s="159"/>
      <c r="BL153" s="159"/>
      <c r="BM153" s="159"/>
      <c r="BN153" s="159"/>
    </row>
    <row r="154" ht="18.75" customHeight="1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159"/>
      <c r="AY154" s="159"/>
      <c r="AZ154" s="159"/>
      <c r="BA154" s="159"/>
      <c r="BB154" s="159"/>
      <c r="BC154" s="159"/>
      <c r="BD154" s="159"/>
      <c r="BE154" s="159"/>
      <c r="BF154" s="159"/>
      <c r="BG154" s="159"/>
      <c r="BH154" s="159"/>
      <c r="BI154" s="159"/>
      <c r="BJ154" s="159"/>
      <c r="BK154" s="159"/>
      <c r="BL154" s="159"/>
      <c r="BM154" s="159"/>
      <c r="BN154" s="159"/>
    </row>
    <row r="155" ht="18.75" customHeight="1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159"/>
      <c r="AY155" s="159"/>
      <c r="AZ155" s="159"/>
      <c r="BA155" s="159"/>
      <c r="BB155" s="159"/>
      <c r="BC155" s="159"/>
      <c r="BD155" s="159"/>
      <c r="BE155" s="159"/>
      <c r="BF155" s="159"/>
      <c r="BG155" s="159"/>
      <c r="BH155" s="159"/>
      <c r="BI155" s="159"/>
      <c r="BJ155" s="159"/>
      <c r="BK155" s="159"/>
      <c r="BL155" s="159"/>
      <c r="BM155" s="159"/>
      <c r="BN155" s="159"/>
    </row>
    <row r="156" ht="18.75" customHeight="1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159"/>
      <c r="AY156" s="159"/>
      <c r="AZ156" s="159"/>
      <c r="BA156" s="159"/>
      <c r="BB156" s="159"/>
      <c r="BC156" s="159"/>
      <c r="BD156" s="159"/>
      <c r="BE156" s="159"/>
      <c r="BF156" s="159"/>
      <c r="BG156" s="159"/>
      <c r="BH156" s="159"/>
      <c r="BI156" s="159"/>
      <c r="BJ156" s="159"/>
      <c r="BK156" s="159"/>
      <c r="BL156" s="159"/>
      <c r="BM156" s="159"/>
      <c r="BN156" s="159"/>
    </row>
    <row r="157" ht="18.75" customHeight="1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159"/>
      <c r="BF157" s="159"/>
      <c r="BG157" s="159"/>
      <c r="BH157" s="159"/>
      <c r="BI157" s="159"/>
      <c r="BJ157" s="159"/>
      <c r="BK157" s="159"/>
      <c r="BL157" s="159"/>
      <c r="BM157" s="159"/>
      <c r="BN157" s="159"/>
    </row>
    <row r="158" ht="18.75" customHeight="1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159"/>
      <c r="AY158" s="159"/>
      <c r="AZ158" s="159"/>
      <c r="BA158" s="159"/>
      <c r="BB158" s="159"/>
      <c r="BC158" s="159"/>
      <c r="BD158" s="159"/>
      <c r="BE158" s="159"/>
      <c r="BF158" s="159"/>
      <c r="BG158" s="159"/>
      <c r="BH158" s="159"/>
      <c r="BI158" s="159"/>
      <c r="BJ158" s="159"/>
      <c r="BK158" s="159"/>
      <c r="BL158" s="159"/>
      <c r="BM158" s="159"/>
      <c r="BN158" s="159"/>
    </row>
    <row r="159" ht="18.75" customHeight="1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159"/>
      <c r="AY159" s="159"/>
      <c r="AZ159" s="159"/>
      <c r="BA159" s="159"/>
      <c r="BB159" s="159"/>
      <c r="BC159" s="159"/>
      <c r="BD159" s="159"/>
      <c r="BE159" s="159"/>
      <c r="BF159" s="159"/>
      <c r="BG159" s="159"/>
      <c r="BH159" s="159"/>
      <c r="BI159" s="159"/>
      <c r="BJ159" s="159"/>
      <c r="BK159" s="159"/>
      <c r="BL159" s="159"/>
      <c r="BM159" s="159"/>
      <c r="BN159" s="159"/>
    </row>
    <row r="160" ht="18.75" customHeight="1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159"/>
      <c r="AY160" s="159"/>
      <c r="AZ160" s="159"/>
      <c r="BA160" s="159"/>
      <c r="BB160" s="159"/>
      <c r="BC160" s="159"/>
      <c r="BD160" s="159"/>
      <c r="BE160" s="159"/>
      <c r="BF160" s="159"/>
      <c r="BG160" s="159"/>
      <c r="BH160" s="159"/>
      <c r="BI160" s="159"/>
      <c r="BJ160" s="159"/>
      <c r="BK160" s="159"/>
      <c r="BL160" s="159"/>
      <c r="BM160" s="159"/>
      <c r="BN160" s="159"/>
    </row>
    <row r="161" ht="18.75" customHeight="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159"/>
      <c r="AY161" s="159"/>
      <c r="AZ161" s="159"/>
      <c r="BA161" s="159"/>
      <c r="BB161" s="159"/>
      <c r="BC161" s="159"/>
      <c r="BD161" s="159"/>
      <c r="BE161" s="159"/>
      <c r="BF161" s="159"/>
      <c r="BG161" s="159"/>
      <c r="BH161" s="159"/>
      <c r="BI161" s="159"/>
      <c r="BJ161" s="159"/>
      <c r="BK161" s="159"/>
      <c r="BL161" s="159"/>
      <c r="BM161" s="159"/>
      <c r="BN161" s="159"/>
    </row>
    <row r="162" ht="18.75" customHeight="1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159"/>
      <c r="AY162" s="159"/>
      <c r="AZ162" s="159"/>
      <c r="BA162" s="159"/>
      <c r="BB162" s="159"/>
      <c r="BC162" s="159"/>
      <c r="BD162" s="159"/>
      <c r="BE162" s="159"/>
      <c r="BF162" s="159"/>
      <c r="BG162" s="159"/>
      <c r="BH162" s="159"/>
      <c r="BI162" s="159"/>
      <c r="BJ162" s="159"/>
      <c r="BK162" s="159"/>
      <c r="BL162" s="159"/>
      <c r="BM162" s="159"/>
      <c r="BN162" s="159"/>
    </row>
    <row r="163" ht="18.75" customHeight="1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159"/>
      <c r="BF163" s="159"/>
      <c r="BG163" s="159"/>
      <c r="BH163" s="159"/>
      <c r="BI163" s="159"/>
      <c r="BJ163" s="159"/>
      <c r="BK163" s="159"/>
      <c r="BL163" s="159"/>
      <c r="BM163" s="159"/>
      <c r="BN163" s="159"/>
    </row>
    <row r="164" ht="18.75" customHeight="1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159"/>
      <c r="AY164" s="159"/>
      <c r="AZ164" s="159"/>
      <c r="BA164" s="159"/>
      <c r="BB164" s="159"/>
      <c r="BC164" s="159"/>
      <c r="BD164" s="159"/>
      <c r="BE164" s="159"/>
      <c r="BF164" s="159"/>
      <c r="BG164" s="159"/>
      <c r="BH164" s="159"/>
      <c r="BI164" s="159"/>
      <c r="BJ164" s="159"/>
      <c r="BK164" s="159"/>
      <c r="BL164" s="159"/>
      <c r="BM164" s="159"/>
      <c r="BN164" s="159"/>
    </row>
    <row r="165" ht="18.75" customHeight="1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159"/>
      <c r="BF165" s="159"/>
      <c r="BG165" s="159"/>
      <c r="BH165" s="159"/>
      <c r="BI165" s="159"/>
      <c r="BJ165" s="159"/>
      <c r="BK165" s="159"/>
      <c r="BL165" s="159"/>
      <c r="BM165" s="159"/>
      <c r="BN165" s="159"/>
    </row>
    <row r="166" ht="18.75" customHeight="1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159"/>
      <c r="AY166" s="159"/>
      <c r="AZ166" s="159"/>
      <c r="BA166" s="159"/>
      <c r="BB166" s="159"/>
      <c r="BC166" s="159"/>
      <c r="BD166" s="159"/>
      <c r="BE166" s="159"/>
      <c r="BF166" s="159"/>
      <c r="BG166" s="159"/>
      <c r="BH166" s="159"/>
      <c r="BI166" s="159"/>
      <c r="BJ166" s="159"/>
      <c r="BK166" s="159"/>
      <c r="BL166" s="159"/>
      <c r="BM166" s="159"/>
      <c r="BN166" s="159"/>
    </row>
    <row r="167" ht="18.75" customHeight="1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159"/>
      <c r="AY167" s="159"/>
      <c r="AZ167" s="159"/>
      <c r="BA167" s="159"/>
      <c r="BB167" s="159"/>
      <c r="BC167" s="159"/>
      <c r="BD167" s="159"/>
      <c r="BE167" s="159"/>
      <c r="BF167" s="159"/>
      <c r="BG167" s="159"/>
      <c r="BH167" s="159"/>
      <c r="BI167" s="159"/>
      <c r="BJ167" s="159"/>
      <c r="BK167" s="159"/>
      <c r="BL167" s="159"/>
      <c r="BM167" s="159"/>
      <c r="BN167" s="159"/>
    </row>
    <row r="168" ht="18.75" customHeight="1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159"/>
      <c r="AY168" s="159"/>
      <c r="AZ168" s="159"/>
      <c r="BA168" s="159"/>
      <c r="BB168" s="159"/>
      <c r="BC168" s="159"/>
      <c r="BD168" s="159"/>
      <c r="BE168" s="159"/>
      <c r="BF168" s="159"/>
      <c r="BG168" s="159"/>
      <c r="BH168" s="159"/>
      <c r="BI168" s="159"/>
      <c r="BJ168" s="159"/>
      <c r="BK168" s="159"/>
      <c r="BL168" s="159"/>
      <c r="BM168" s="159"/>
      <c r="BN168" s="159"/>
    </row>
    <row r="169" ht="18.75" customHeight="1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/>
      <c r="BB169" s="159"/>
      <c r="BC169" s="159"/>
      <c r="BD169" s="159"/>
      <c r="BE169" s="159"/>
      <c r="BF169" s="159"/>
      <c r="BG169" s="159"/>
      <c r="BH169" s="159"/>
      <c r="BI169" s="159"/>
      <c r="BJ169" s="159"/>
      <c r="BK169" s="159"/>
      <c r="BL169" s="159"/>
      <c r="BM169" s="159"/>
      <c r="BN169" s="159"/>
    </row>
    <row r="170" ht="18.75" customHeight="1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159"/>
      <c r="AY170" s="159"/>
      <c r="AZ170" s="159"/>
      <c r="BA170" s="159"/>
      <c r="BB170" s="159"/>
      <c r="BC170" s="159"/>
      <c r="BD170" s="159"/>
      <c r="BE170" s="159"/>
      <c r="BF170" s="159"/>
      <c r="BG170" s="159"/>
      <c r="BH170" s="159"/>
      <c r="BI170" s="159"/>
      <c r="BJ170" s="159"/>
      <c r="BK170" s="159"/>
      <c r="BL170" s="159"/>
      <c r="BM170" s="159"/>
      <c r="BN170" s="159"/>
    </row>
    <row r="171" ht="18.75" customHeight="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159"/>
      <c r="BH171" s="159"/>
      <c r="BI171" s="159"/>
      <c r="BJ171" s="159"/>
      <c r="BK171" s="159"/>
      <c r="BL171" s="159"/>
      <c r="BM171" s="159"/>
      <c r="BN171" s="159"/>
    </row>
    <row r="172" ht="18.75" customHeight="1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159"/>
      <c r="AY172" s="159"/>
      <c r="AZ172" s="159"/>
      <c r="BA172" s="159"/>
      <c r="BB172" s="159"/>
      <c r="BC172" s="159"/>
      <c r="BD172" s="159"/>
      <c r="BE172" s="159"/>
      <c r="BF172" s="159"/>
      <c r="BG172" s="159"/>
      <c r="BH172" s="159"/>
      <c r="BI172" s="159"/>
      <c r="BJ172" s="159"/>
      <c r="BK172" s="159"/>
      <c r="BL172" s="159"/>
      <c r="BM172" s="159"/>
      <c r="BN172" s="159"/>
    </row>
    <row r="173" ht="18.75" customHeight="1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159"/>
      <c r="BB173" s="159"/>
      <c r="BC173" s="159"/>
      <c r="BD173" s="159"/>
      <c r="BE173" s="159"/>
      <c r="BF173" s="159"/>
      <c r="BG173" s="159"/>
      <c r="BH173" s="159"/>
      <c r="BI173" s="159"/>
      <c r="BJ173" s="159"/>
      <c r="BK173" s="159"/>
      <c r="BL173" s="159"/>
      <c r="BM173" s="159"/>
      <c r="BN173" s="159"/>
    </row>
    <row r="174" ht="18.75" customHeight="1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159"/>
      <c r="AY174" s="159"/>
      <c r="AZ174" s="159"/>
      <c r="BA174" s="159"/>
      <c r="BB174" s="159"/>
      <c r="BC174" s="159"/>
      <c r="BD174" s="159"/>
      <c r="BE174" s="159"/>
      <c r="BF174" s="159"/>
      <c r="BG174" s="159"/>
      <c r="BH174" s="159"/>
      <c r="BI174" s="159"/>
      <c r="BJ174" s="159"/>
      <c r="BK174" s="159"/>
      <c r="BL174" s="159"/>
      <c r="BM174" s="159"/>
      <c r="BN174" s="159"/>
    </row>
    <row r="175" ht="18.75" customHeight="1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159"/>
      <c r="AY175" s="159"/>
      <c r="AZ175" s="159"/>
      <c r="BA175" s="159"/>
      <c r="BB175" s="159"/>
      <c r="BC175" s="159"/>
      <c r="BD175" s="159"/>
      <c r="BE175" s="159"/>
      <c r="BF175" s="159"/>
      <c r="BG175" s="159"/>
      <c r="BH175" s="159"/>
      <c r="BI175" s="159"/>
      <c r="BJ175" s="159"/>
      <c r="BK175" s="159"/>
      <c r="BL175" s="159"/>
      <c r="BM175" s="159"/>
      <c r="BN175" s="159"/>
    </row>
    <row r="176" ht="18.75" customHeight="1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159"/>
      <c r="AY176" s="159"/>
      <c r="AZ176" s="159"/>
      <c r="BA176" s="159"/>
      <c r="BB176" s="159"/>
      <c r="BC176" s="159"/>
      <c r="BD176" s="159"/>
      <c r="BE176" s="159"/>
      <c r="BF176" s="159"/>
      <c r="BG176" s="159"/>
      <c r="BH176" s="159"/>
      <c r="BI176" s="159"/>
      <c r="BJ176" s="159"/>
      <c r="BK176" s="159"/>
      <c r="BL176" s="159"/>
      <c r="BM176" s="159"/>
      <c r="BN176" s="159"/>
    </row>
    <row r="177" ht="18.75" customHeight="1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159"/>
      <c r="BB177" s="159"/>
      <c r="BC177" s="159"/>
      <c r="BD177" s="159"/>
      <c r="BE177" s="159"/>
      <c r="BF177" s="159"/>
      <c r="BG177" s="159"/>
      <c r="BH177" s="159"/>
      <c r="BI177" s="159"/>
      <c r="BJ177" s="159"/>
      <c r="BK177" s="159"/>
      <c r="BL177" s="159"/>
      <c r="BM177" s="159"/>
      <c r="BN177" s="159"/>
    </row>
    <row r="178" ht="18.75" customHeight="1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159"/>
      <c r="AY178" s="159"/>
      <c r="AZ178" s="159"/>
      <c r="BA178" s="159"/>
      <c r="BB178" s="159"/>
      <c r="BC178" s="159"/>
      <c r="BD178" s="159"/>
      <c r="BE178" s="159"/>
      <c r="BF178" s="159"/>
      <c r="BG178" s="159"/>
      <c r="BH178" s="159"/>
      <c r="BI178" s="159"/>
      <c r="BJ178" s="159"/>
      <c r="BK178" s="159"/>
      <c r="BL178" s="159"/>
      <c r="BM178" s="159"/>
      <c r="BN178" s="159"/>
    </row>
    <row r="179" ht="18.75" customHeight="1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159"/>
      <c r="BB179" s="159"/>
      <c r="BC179" s="159"/>
      <c r="BD179" s="159"/>
      <c r="BE179" s="159"/>
      <c r="BF179" s="159"/>
      <c r="BG179" s="159"/>
      <c r="BH179" s="159"/>
      <c r="BI179" s="159"/>
      <c r="BJ179" s="159"/>
      <c r="BK179" s="159"/>
      <c r="BL179" s="159"/>
      <c r="BM179" s="159"/>
      <c r="BN179" s="159"/>
    </row>
    <row r="180" ht="18.75" customHeight="1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159"/>
      <c r="AY180" s="159"/>
      <c r="AZ180" s="159"/>
      <c r="BA180" s="159"/>
      <c r="BB180" s="159"/>
      <c r="BC180" s="159"/>
      <c r="BD180" s="159"/>
      <c r="BE180" s="159"/>
      <c r="BF180" s="159"/>
      <c r="BG180" s="159"/>
      <c r="BH180" s="159"/>
      <c r="BI180" s="159"/>
      <c r="BJ180" s="159"/>
      <c r="BK180" s="159"/>
      <c r="BL180" s="159"/>
      <c r="BM180" s="159"/>
      <c r="BN180" s="159"/>
    </row>
    <row r="181" ht="18.75" customHeight="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159"/>
      <c r="BB181" s="159"/>
      <c r="BC181" s="159"/>
      <c r="BD181" s="159"/>
      <c r="BE181" s="159"/>
      <c r="BF181" s="159"/>
      <c r="BG181" s="159"/>
      <c r="BH181" s="159"/>
      <c r="BI181" s="159"/>
      <c r="BJ181" s="159"/>
      <c r="BK181" s="159"/>
      <c r="BL181" s="159"/>
      <c r="BM181" s="159"/>
      <c r="BN181" s="159"/>
    </row>
    <row r="182" ht="18.75" customHeight="1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159"/>
      <c r="AY182" s="159"/>
      <c r="AZ182" s="159"/>
      <c r="BA182" s="159"/>
      <c r="BB182" s="159"/>
      <c r="BC182" s="159"/>
      <c r="BD182" s="159"/>
      <c r="BE182" s="159"/>
      <c r="BF182" s="159"/>
      <c r="BG182" s="159"/>
      <c r="BH182" s="159"/>
      <c r="BI182" s="159"/>
      <c r="BJ182" s="159"/>
      <c r="BK182" s="159"/>
      <c r="BL182" s="159"/>
      <c r="BM182" s="159"/>
      <c r="BN182" s="159"/>
    </row>
    <row r="183" ht="18.75" customHeight="1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159"/>
      <c r="AY183" s="159"/>
      <c r="AZ183" s="159"/>
      <c r="BA183" s="159"/>
      <c r="BB183" s="159"/>
      <c r="BC183" s="159"/>
      <c r="BD183" s="159"/>
      <c r="BE183" s="159"/>
      <c r="BF183" s="159"/>
      <c r="BG183" s="159"/>
      <c r="BH183" s="159"/>
      <c r="BI183" s="159"/>
      <c r="BJ183" s="159"/>
      <c r="BK183" s="159"/>
      <c r="BL183" s="159"/>
      <c r="BM183" s="159"/>
      <c r="BN183" s="159"/>
    </row>
    <row r="184" ht="18.75" customHeight="1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159"/>
      <c r="AY184" s="159"/>
      <c r="AZ184" s="159"/>
      <c r="BA184" s="159"/>
      <c r="BB184" s="159"/>
      <c r="BC184" s="159"/>
      <c r="BD184" s="159"/>
      <c r="BE184" s="159"/>
      <c r="BF184" s="159"/>
      <c r="BG184" s="159"/>
      <c r="BH184" s="159"/>
      <c r="BI184" s="159"/>
      <c r="BJ184" s="159"/>
      <c r="BK184" s="159"/>
      <c r="BL184" s="159"/>
      <c r="BM184" s="159"/>
      <c r="BN184" s="159"/>
    </row>
    <row r="185" ht="18.75" customHeight="1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159"/>
      <c r="BL185" s="159"/>
      <c r="BM185" s="159"/>
      <c r="BN185" s="159"/>
    </row>
    <row r="186" ht="18.75" customHeight="1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159"/>
      <c r="BL186" s="159"/>
      <c r="BM186" s="159"/>
      <c r="BN186" s="159"/>
    </row>
    <row r="187" ht="18.75" customHeight="1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159"/>
      <c r="BF187" s="159"/>
      <c r="BG187" s="159"/>
      <c r="BH187" s="159"/>
      <c r="BI187" s="159"/>
      <c r="BJ187" s="159"/>
      <c r="BK187" s="159"/>
      <c r="BL187" s="159"/>
      <c r="BM187" s="159"/>
      <c r="BN187" s="159"/>
    </row>
    <row r="188" ht="18.75" customHeight="1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159"/>
      <c r="BL188" s="159"/>
      <c r="BM188" s="159"/>
      <c r="BN188" s="159"/>
    </row>
    <row r="189" ht="18.75" customHeight="1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159"/>
      <c r="BL189" s="159"/>
      <c r="BM189" s="159"/>
      <c r="BN189" s="159"/>
    </row>
    <row r="190" ht="18.75" customHeight="1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159"/>
      <c r="AY190" s="159"/>
      <c r="AZ190" s="159"/>
      <c r="BA190" s="159"/>
      <c r="BB190" s="159"/>
      <c r="BC190" s="159"/>
      <c r="BD190" s="159"/>
      <c r="BE190" s="159"/>
      <c r="BF190" s="159"/>
      <c r="BG190" s="159"/>
      <c r="BH190" s="159"/>
      <c r="BI190" s="159"/>
      <c r="BJ190" s="159"/>
      <c r="BK190" s="159"/>
      <c r="BL190" s="159"/>
      <c r="BM190" s="159"/>
      <c r="BN190" s="159"/>
    </row>
    <row r="191" ht="18.75" customHeight="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159"/>
      <c r="AY191" s="159"/>
      <c r="AZ191" s="159"/>
      <c r="BA191" s="159"/>
      <c r="BB191" s="159"/>
      <c r="BC191" s="159"/>
      <c r="BD191" s="159"/>
      <c r="BE191" s="159"/>
      <c r="BF191" s="159"/>
      <c r="BG191" s="159"/>
      <c r="BH191" s="159"/>
      <c r="BI191" s="159"/>
      <c r="BJ191" s="159"/>
      <c r="BK191" s="159"/>
      <c r="BL191" s="159"/>
      <c r="BM191" s="159"/>
      <c r="BN191" s="159"/>
    </row>
    <row r="192" ht="18.75" customHeight="1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159"/>
      <c r="AY192" s="159"/>
      <c r="AZ192" s="159"/>
      <c r="BA192" s="159"/>
      <c r="BB192" s="159"/>
      <c r="BC192" s="159"/>
      <c r="BD192" s="159"/>
      <c r="BE192" s="159"/>
      <c r="BF192" s="159"/>
      <c r="BG192" s="159"/>
      <c r="BH192" s="159"/>
      <c r="BI192" s="159"/>
      <c r="BJ192" s="159"/>
      <c r="BK192" s="159"/>
      <c r="BL192" s="159"/>
      <c r="BM192" s="159"/>
      <c r="BN192" s="159"/>
    </row>
    <row r="193" ht="18.75" customHeight="1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159"/>
      <c r="BF193" s="159"/>
      <c r="BG193" s="159"/>
      <c r="BH193" s="159"/>
      <c r="BI193" s="159"/>
      <c r="BJ193" s="159"/>
      <c r="BK193" s="159"/>
      <c r="BL193" s="159"/>
      <c r="BM193" s="159"/>
      <c r="BN193" s="159"/>
    </row>
    <row r="194" ht="18.75" customHeight="1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159"/>
      <c r="AY194" s="159"/>
      <c r="AZ194" s="159"/>
      <c r="BA194" s="159"/>
      <c r="BB194" s="159"/>
      <c r="BC194" s="159"/>
      <c r="BD194" s="159"/>
      <c r="BE194" s="159"/>
      <c r="BF194" s="159"/>
      <c r="BG194" s="159"/>
      <c r="BH194" s="159"/>
      <c r="BI194" s="159"/>
      <c r="BJ194" s="159"/>
      <c r="BK194" s="159"/>
      <c r="BL194" s="159"/>
      <c r="BM194" s="159"/>
      <c r="BN194" s="159"/>
    </row>
    <row r="195" ht="18.75" customHeight="1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159"/>
      <c r="AY195" s="159"/>
      <c r="AZ195" s="159"/>
      <c r="BA195" s="159"/>
      <c r="BB195" s="159"/>
      <c r="BC195" s="159"/>
      <c r="BD195" s="159"/>
      <c r="BE195" s="159"/>
      <c r="BF195" s="159"/>
      <c r="BG195" s="159"/>
      <c r="BH195" s="159"/>
      <c r="BI195" s="159"/>
      <c r="BJ195" s="159"/>
      <c r="BK195" s="159"/>
      <c r="BL195" s="159"/>
      <c r="BM195" s="159"/>
      <c r="BN195" s="159"/>
    </row>
    <row r="196" ht="18.75" customHeight="1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159"/>
      <c r="AY196" s="159"/>
      <c r="AZ196" s="159"/>
      <c r="BA196" s="159"/>
      <c r="BB196" s="159"/>
      <c r="BC196" s="159"/>
      <c r="BD196" s="159"/>
      <c r="BE196" s="159"/>
      <c r="BF196" s="159"/>
      <c r="BG196" s="159"/>
      <c r="BH196" s="159"/>
      <c r="BI196" s="159"/>
      <c r="BJ196" s="159"/>
      <c r="BK196" s="159"/>
      <c r="BL196" s="159"/>
      <c r="BM196" s="159"/>
      <c r="BN196" s="159"/>
    </row>
    <row r="197" ht="18.75" customHeight="1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159"/>
      <c r="BH197" s="159"/>
      <c r="BI197" s="159"/>
      <c r="BJ197" s="159"/>
      <c r="BK197" s="159"/>
      <c r="BL197" s="159"/>
      <c r="BM197" s="159"/>
      <c r="BN197" s="159"/>
    </row>
    <row r="198" ht="18.75" customHeight="1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159"/>
      <c r="BH198" s="159"/>
      <c r="BI198" s="159"/>
      <c r="BJ198" s="159"/>
      <c r="BK198" s="159"/>
      <c r="BL198" s="159"/>
      <c r="BM198" s="159"/>
      <c r="BN198" s="159"/>
    </row>
    <row r="199" ht="18.75" customHeight="1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159"/>
      <c r="BF199" s="159"/>
      <c r="BG199" s="159"/>
      <c r="BH199" s="159"/>
      <c r="BI199" s="159"/>
      <c r="BJ199" s="159"/>
      <c r="BK199" s="159"/>
      <c r="BL199" s="159"/>
      <c r="BM199" s="159"/>
      <c r="BN199" s="159"/>
    </row>
    <row r="200" ht="18.75" customHeight="1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159"/>
      <c r="AY200" s="159"/>
      <c r="AZ200" s="159"/>
      <c r="BA200" s="159"/>
      <c r="BB200" s="159"/>
      <c r="BC200" s="159"/>
      <c r="BD200" s="159"/>
      <c r="BE200" s="159"/>
      <c r="BF200" s="159"/>
      <c r="BG200" s="159"/>
      <c r="BH200" s="159"/>
      <c r="BI200" s="159"/>
      <c r="BJ200" s="159"/>
      <c r="BK200" s="159"/>
      <c r="BL200" s="159"/>
      <c r="BM200" s="159"/>
      <c r="BN200" s="159"/>
    </row>
    <row r="201" ht="18.75" customHeight="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159"/>
      <c r="BF201" s="159"/>
      <c r="BG201" s="159"/>
      <c r="BH201" s="159"/>
      <c r="BI201" s="159"/>
      <c r="BJ201" s="159"/>
      <c r="BK201" s="159"/>
      <c r="BL201" s="159"/>
      <c r="BM201" s="159"/>
      <c r="BN201" s="159"/>
    </row>
    <row r="202" ht="18.75" customHeight="1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159"/>
      <c r="AY202" s="159"/>
      <c r="AZ202" s="159"/>
      <c r="BA202" s="159"/>
      <c r="BB202" s="159"/>
      <c r="BC202" s="159"/>
      <c r="BD202" s="159"/>
      <c r="BE202" s="159"/>
      <c r="BF202" s="159"/>
      <c r="BG202" s="159"/>
      <c r="BH202" s="159"/>
      <c r="BI202" s="159"/>
      <c r="BJ202" s="159"/>
      <c r="BK202" s="159"/>
      <c r="BL202" s="159"/>
      <c r="BM202" s="159"/>
      <c r="BN202" s="159"/>
    </row>
    <row r="203" ht="18.75" customHeight="1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159"/>
      <c r="BH203" s="159"/>
      <c r="BI203" s="159"/>
      <c r="BJ203" s="159"/>
      <c r="BK203" s="159"/>
      <c r="BL203" s="159"/>
      <c r="BM203" s="159"/>
      <c r="BN203" s="159"/>
    </row>
    <row r="204" ht="18.75" customHeight="1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159"/>
      <c r="AY204" s="159"/>
      <c r="AZ204" s="159"/>
      <c r="BA204" s="159"/>
      <c r="BB204" s="159"/>
      <c r="BC204" s="159"/>
      <c r="BD204" s="159"/>
      <c r="BE204" s="159"/>
      <c r="BF204" s="159"/>
      <c r="BG204" s="159"/>
      <c r="BH204" s="159"/>
      <c r="BI204" s="159"/>
      <c r="BJ204" s="159"/>
      <c r="BK204" s="159"/>
      <c r="BL204" s="159"/>
      <c r="BM204" s="159"/>
      <c r="BN204" s="159"/>
    </row>
    <row r="205" ht="18.75" customHeight="1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159"/>
      <c r="BH205" s="159"/>
      <c r="BI205" s="159"/>
      <c r="BJ205" s="159"/>
      <c r="BK205" s="159"/>
      <c r="BL205" s="159"/>
      <c r="BM205" s="159"/>
      <c r="BN205" s="159"/>
    </row>
    <row r="206" ht="18.75" customHeight="1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159"/>
      <c r="AY206" s="159"/>
      <c r="AZ206" s="159"/>
      <c r="BA206" s="159"/>
      <c r="BB206" s="159"/>
      <c r="BC206" s="159"/>
      <c r="BD206" s="159"/>
      <c r="BE206" s="159"/>
      <c r="BF206" s="159"/>
      <c r="BG206" s="159"/>
      <c r="BH206" s="159"/>
      <c r="BI206" s="159"/>
      <c r="BJ206" s="159"/>
      <c r="BK206" s="159"/>
      <c r="BL206" s="159"/>
      <c r="BM206" s="159"/>
      <c r="BN206" s="159"/>
    </row>
    <row r="207" ht="18.75" customHeight="1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  <c r="AG207" s="15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59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159"/>
      <c r="BF207" s="159"/>
      <c r="BG207" s="159"/>
      <c r="BH207" s="159"/>
      <c r="BI207" s="159"/>
      <c r="BJ207" s="159"/>
      <c r="BK207" s="159"/>
      <c r="BL207" s="159"/>
      <c r="BM207" s="159"/>
      <c r="BN207" s="159"/>
    </row>
    <row r="208" ht="18.75" customHeight="1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59"/>
      <c r="AT208" s="159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159"/>
      <c r="BH208" s="159"/>
      <c r="BI208" s="159"/>
      <c r="BJ208" s="159"/>
      <c r="BK208" s="159"/>
      <c r="BL208" s="159"/>
      <c r="BM208" s="159"/>
      <c r="BN208" s="159"/>
    </row>
    <row r="209" ht="18.75" customHeight="1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  <c r="AG209" s="15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59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159"/>
      <c r="BF209" s="159"/>
      <c r="BG209" s="159"/>
      <c r="BH209" s="159"/>
      <c r="BI209" s="159"/>
      <c r="BJ209" s="159"/>
      <c r="BK209" s="159"/>
      <c r="BL209" s="159"/>
      <c r="BM209" s="159"/>
      <c r="BN209" s="159"/>
    </row>
    <row r="210" ht="18.75" customHeight="1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  <c r="AG210" s="159"/>
      <c r="AH210" s="159"/>
      <c r="AI210" s="159"/>
      <c r="AJ210" s="159"/>
      <c r="AK210" s="159"/>
      <c r="AL210" s="159"/>
      <c r="AM210" s="159"/>
      <c r="AN210" s="159"/>
      <c r="AO210" s="159"/>
      <c r="AP210" s="159"/>
      <c r="AQ210" s="159"/>
      <c r="AR210" s="159"/>
      <c r="AS210" s="159"/>
      <c r="AT210" s="159"/>
      <c r="AU210" s="159"/>
      <c r="AV210" s="159"/>
      <c r="AW210" s="159"/>
      <c r="AX210" s="159"/>
      <c r="AY210" s="159"/>
      <c r="AZ210" s="159"/>
      <c r="BA210" s="159"/>
      <c r="BB210" s="159"/>
      <c r="BC210" s="159"/>
      <c r="BD210" s="159"/>
      <c r="BE210" s="159"/>
      <c r="BF210" s="159"/>
      <c r="BG210" s="159"/>
      <c r="BH210" s="159"/>
      <c r="BI210" s="159"/>
      <c r="BJ210" s="159"/>
      <c r="BK210" s="159"/>
      <c r="BL210" s="159"/>
      <c r="BM210" s="159"/>
      <c r="BN210" s="159"/>
    </row>
    <row r="211" ht="18.75" customHeight="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159"/>
      <c r="BH211" s="159"/>
      <c r="BI211" s="159"/>
      <c r="BJ211" s="159"/>
      <c r="BK211" s="159"/>
      <c r="BL211" s="159"/>
      <c r="BM211" s="159"/>
      <c r="BN211" s="159"/>
    </row>
    <row r="212" ht="18.75" customHeight="1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  <c r="AG212" s="159"/>
      <c r="AH212" s="159"/>
      <c r="AI212" s="159"/>
      <c r="AJ212" s="159"/>
      <c r="AK212" s="159"/>
      <c r="AL212" s="159"/>
      <c r="AM212" s="159"/>
      <c r="AN212" s="159"/>
      <c r="AO212" s="159"/>
      <c r="AP212" s="159"/>
      <c r="AQ212" s="159"/>
      <c r="AR212" s="159"/>
      <c r="AS212" s="159"/>
      <c r="AT212" s="159"/>
      <c r="AU212" s="159"/>
      <c r="AV212" s="159"/>
      <c r="AW212" s="159"/>
      <c r="AX212" s="159"/>
      <c r="AY212" s="159"/>
      <c r="AZ212" s="159"/>
      <c r="BA212" s="159"/>
      <c r="BB212" s="159"/>
      <c r="BC212" s="159"/>
      <c r="BD212" s="159"/>
      <c r="BE212" s="159"/>
      <c r="BF212" s="159"/>
      <c r="BG212" s="159"/>
      <c r="BH212" s="159"/>
      <c r="BI212" s="159"/>
      <c r="BJ212" s="159"/>
      <c r="BK212" s="159"/>
      <c r="BL212" s="159"/>
      <c r="BM212" s="159"/>
      <c r="BN212" s="159"/>
    </row>
    <row r="213" ht="18.75" customHeight="1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  <c r="AG213" s="15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59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159"/>
      <c r="BF213" s="159"/>
      <c r="BG213" s="159"/>
      <c r="BH213" s="159"/>
      <c r="BI213" s="159"/>
      <c r="BJ213" s="159"/>
      <c r="BK213" s="159"/>
      <c r="BL213" s="159"/>
      <c r="BM213" s="159"/>
      <c r="BN213" s="159"/>
    </row>
    <row r="214" ht="18.75" customHeight="1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59"/>
      <c r="AT214" s="159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159"/>
      <c r="BH214" s="159"/>
      <c r="BI214" s="159"/>
      <c r="BJ214" s="159"/>
      <c r="BK214" s="159"/>
      <c r="BL214" s="159"/>
      <c r="BM214" s="159"/>
      <c r="BN214" s="159"/>
    </row>
    <row r="215" ht="18.75" customHeight="1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  <c r="AG215" s="15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59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159"/>
      <c r="BF215" s="159"/>
      <c r="BG215" s="159"/>
      <c r="BH215" s="159"/>
      <c r="BI215" s="159"/>
      <c r="BJ215" s="159"/>
      <c r="BK215" s="159"/>
      <c r="BL215" s="159"/>
      <c r="BM215" s="159"/>
      <c r="BN215" s="159"/>
    </row>
    <row r="216" ht="18.75" customHeight="1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59"/>
      <c r="AY216" s="159"/>
      <c r="AZ216" s="159"/>
      <c r="BA216" s="159"/>
      <c r="BB216" s="159"/>
      <c r="BC216" s="159"/>
      <c r="BD216" s="159"/>
      <c r="BE216" s="159"/>
      <c r="BF216" s="159"/>
      <c r="BG216" s="159"/>
      <c r="BH216" s="159"/>
      <c r="BI216" s="159"/>
      <c r="BJ216" s="159"/>
      <c r="BK216" s="159"/>
      <c r="BL216" s="159"/>
      <c r="BM216" s="159"/>
      <c r="BN216" s="159"/>
    </row>
    <row r="217" ht="18.75" customHeight="1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159"/>
      <c r="BH217" s="159"/>
      <c r="BI217" s="159"/>
      <c r="BJ217" s="159"/>
      <c r="BK217" s="159"/>
      <c r="BL217" s="159"/>
      <c r="BM217" s="159"/>
      <c r="BN217" s="159"/>
    </row>
    <row r="218" ht="18.75" customHeight="1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  <c r="AG218" s="159"/>
      <c r="AH218" s="159"/>
      <c r="AI218" s="159"/>
      <c r="AJ218" s="159"/>
      <c r="AK218" s="159"/>
      <c r="AL218" s="159"/>
      <c r="AM218" s="159"/>
      <c r="AN218" s="159"/>
      <c r="AO218" s="159"/>
      <c r="AP218" s="159"/>
      <c r="AQ218" s="159"/>
      <c r="AR218" s="159"/>
      <c r="AS218" s="159"/>
      <c r="AT218" s="159"/>
      <c r="AU218" s="159"/>
      <c r="AV218" s="159"/>
      <c r="AW218" s="159"/>
      <c r="AX218" s="159"/>
      <c r="AY218" s="159"/>
      <c r="AZ218" s="159"/>
      <c r="BA218" s="159"/>
      <c r="BB218" s="159"/>
      <c r="BC218" s="159"/>
      <c r="BD218" s="159"/>
      <c r="BE218" s="159"/>
      <c r="BF218" s="159"/>
      <c r="BG218" s="159"/>
      <c r="BH218" s="159"/>
      <c r="BI218" s="159"/>
      <c r="BJ218" s="159"/>
      <c r="BK218" s="159"/>
      <c r="BL218" s="159"/>
      <c r="BM218" s="159"/>
      <c r="BN218" s="159"/>
    </row>
    <row r="219" ht="18.75" customHeight="1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  <c r="AG219" s="15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59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159"/>
      <c r="BF219" s="159"/>
      <c r="BG219" s="159"/>
      <c r="BH219" s="159"/>
      <c r="BI219" s="159"/>
      <c r="BJ219" s="159"/>
      <c r="BK219" s="159"/>
      <c r="BL219" s="159"/>
      <c r="BM219" s="159"/>
      <c r="BN219" s="159"/>
    </row>
    <row r="220" ht="18.75" customHeight="1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59"/>
      <c r="AT220" s="159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159"/>
      <c r="BH220" s="159"/>
      <c r="BI220" s="159"/>
      <c r="BJ220" s="159"/>
      <c r="BK220" s="159"/>
      <c r="BL220" s="159"/>
      <c r="BM220" s="159"/>
      <c r="BN220" s="159"/>
    </row>
    <row r="221" ht="18.75" customHeight="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159"/>
      <c r="BH221" s="159"/>
      <c r="BI221" s="159"/>
      <c r="BJ221" s="159"/>
      <c r="BK221" s="159"/>
      <c r="BL221" s="159"/>
      <c r="BM221" s="159"/>
      <c r="BN221" s="159"/>
    </row>
    <row r="222" ht="18.75" customHeight="1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  <c r="AG222" s="159"/>
      <c r="AH222" s="159"/>
      <c r="AI222" s="159"/>
      <c r="AJ222" s="159"/>
      <c r="AK222" s="159"/>
      <c r="AL222" s="159"/>
      <c r="AM222" s="159"/>
      <c r="AN222" s="159"/>
      <c r="AO222" s="159"/>
      <c r="AP222" s="159"/>
      <c r="AQ222" s="159"/>
      <c r="AR222" s="159"/>
      <c r="AS222" s="159"/>
      <c r="AT222" s="159"/>
      <c r="AU222" s="159"/>
      <c r="AV222" s="159"/>
      <c r="AW222" s="159"/>
      <c r="AX222" s="159"/>
      <c r="AY222" s="159"/>
      <c r="AZ222" s="159"/>
      <c r="BA222" s="159"/>
      <c r="BB222" s="159"/>
      <c r="BC222" s="159"/>
      <c r="BD222" s="159"/>
      <c r="BE222" s="159"/>
      <c r="BF222" s="159"/>
      <c r="BG222" s="159"/>
      <c r="BH222" s="159"/>
      <c r="BI222" s="159"/>
      <c r="BJ222" s="159"/>
      <c r="BK222" s="159"/>
      <c r="BL222" s="159"/>
      <c r="BM222" s="159"/>
      <c r="BN222" s="159"/>
    </row>
    <row r="223" ht="18.75" customHeight="1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  <c r="AG223" s="15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59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159"/>
      <c r="BF223" s="159"/>
      <c r="BG223" s="159"/>
      <c r="BH223" s="159"/>
      <c r="BI223" s="159"/>
      <c r="BJ223" s="159"/>
      <c r="BK223" s="159"/>
      <c r="BL223" s="159"/>
      <c r="BM223" s="159"/>
      <c r="BN223" s="159"/>
    </row>
    <row r="224" ht="18.75" customHeight="1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159"/>
      <c r="BH224" s="159"/>
      <c r="BI224" s="159"/>
      <c r="BJ224" s="159"/>
      <c r="BK224" s="159"/>
      <c r="BL224" s="159"/>
      <c r="BM224" s="159"/>
      <c r="BN224" s="159"/>
    </row>
    <row r="225" ht="18.75" customHeight="1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  <c r="AG225" s="15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59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159"/>
      <c r="BF225" s="159"/>
      <c r="BG225" s="159"/>
      <c r="BH225" s="159"/>
      <c r="BI225" s="159"/>
      <c r="BJ225" s="159"/>
      <c r="BK225" s="159"/>
      <c r="BL225" s="159"/>
      <c r="BM225" s="159"/>
      <c r="BN225" s="159"/>
    </row>
    <row r="226" ht="18.75" customHeight="1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159"/>
      <c r="BH226" s="159"/>
      <c r="BI226" s="159"/>
      <c r="BJ226" s="159"/>
      <c r="BK226" s="159"/>
      <c r="BL226" s="159"/>
      <c r="BM226" s="159"/>
      <c r="BN226" s="159"/>
    </row>
    <row r="227" ht="18.75" customHeight="1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159"/>
      <c r="BH227" s="159"/>
      <c r="BI227" s="159"/>
      <c r="BJ227" s="159"/>
      <c r="BK227" s="159"/>
      <c r="BL227" s="159"/>
      <c r="BM227" s="159"/>
      <c r="BN227" s="159"/>
    </row>
    <row r="228" ht="18.75" customHeight="1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159"/>
      <c r="BH228" s="159"/>
      <c r="BI228" s="159"/>
      <c r="BJ228" s="159"/>
      <c r="BK228" s="159"/>
      <c r="BL228" s="159"/>
      <c r="BM228" s="159"/>
      <c r="BN228" s="159"/>
    </row>
    <row r="229" ht="18.75" customHeight="1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  <c r="AG229" s="15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59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159"/>
      <c r="BF229" s="159"/>
      <c r="BG229" s="159"/>
      <c r="BH229" s="159"/>
      <c r="BI229" s="159"/>
      <c r="BJ229" s="159"/>
      <c r="BK229" s="159"/>
      <c r="BL229" s="159"/>
      <c r="BM229" s="159"/>
      <c r="BN229" s="159"/>
    </row>
    <row r="230" ht="18.75" customHeight="1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  <c r="AG230" s="159"/>
      <c r="AH230" s="159"/>
      <c r="AI230" s="159"/>
      <c r="AJ230" s="159"/>
      <c r="AK230" s="159"/>
      <c r="AL230" s="159"/>
      <c r="AM230" s="159"/>
      <c r="AN230" s="159"/>
      <c r="AO230" s="159"/>
      <c r="AP230" s="159"/>
      <c r="AQ230" s="159"/>
      <c r="AR230" s="159"/>
      <c r="AS230" s="159"/>
      <c r="AT230" s="159"/>
      <c r="AU230" s="159"/>
      <c r="AV230" s="159"/>
      <c r="AW230" s="159"/>
      <c r="AX230" s="159"/>
      <c r="AY230" s="159"/>
      <c r="AZ230" s="159"/>
      <c r="BA230" s="159"/>
      <c r="BB230" s="159"/>
      <c r="BC230" s="159"/>
      <c r="BD230" s="159"/>
      <c r="BE230" s="159"/>
      <c r="BF230" s="159"/>
      <c r="BG230" s="159"/>
      <c r="BH230" s="159"/>
      <c r="BI230" s="159"/>
      <c r="BJ230" s="159"/>
      <c r="BK230" s="159"/>
      <c r="BL230" s="159"/>
      <c r="BM230" s="159"/>
      <c r="BN230" s="159"/>
    </row>
    <row r="231" ht="18.75" customHeight="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59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159"/>
      <c r="BF231" s="159"/>
      <c r="BG231" s="159"/>
      <c r="BH231" s="159"/>
      <c r="BI231" s="159"/>
      <c r="BJ231" s="159"/>
      <c r="BK231" s="159"/>
      <c r="BL231" s="159"/>
      <c r="BM231" s="159"/>
      <c r="BN231" s="159"/>
    </row>
    <row r="232" ht="18.75" customHeight="1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  <c r="AG232" s="159"/>
      <c r="AH232" s="159"/>
      <c r="AI232" s="159"/>
      <c r="AJ232" s="159"/>
      <c r="AK232" s="159"/>
      <c r="AL232" s="159"/>
      <c r="AM232" s="159"/>
      <c r="AN232" s="159"/>
      <c r="AO232" s="159"/>
      <c r="AP232" s="159"/>
      <c r="AQ232" s="159"/>
      <c r="AR232" s="159"/>
      <c r="AS232" s="159"/>
      <c r="AT232" s="159"/>
      <c r="AU232" s="159"/>
      <c r="AV232" s="159"/>
      <c r="AW232" s="159"/>
      <c r="AX232" s="159"/>
      <c r="AY232" s="159"/>
      <c r="AZ232" s="159"/>
      <c r="BA232" s="159"/>
      <c r="BB232" s="159"/>
      <c r="BC232" s="159"/>
      <c r="BD232" s="159"/>
      <c r="BE232" s="159"/>
      <c r="BF232" s="159"/>
      <c r="BG232" s="159"/>
      <c r="BH232" s="159"/>
      <c r="BI232" s="159"/>
      <c r="BJ232" s="159"/>
      <c r="BK232" s="159"/>
      <c r="BL232" s="159"/>
      <c r="BM232" s="159"/>
      <c r="BN232" s="159"/>
    </row>
    <row r="233" ht="18.75" customHeight="1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  <c r="AG233" s="15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59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159"/>
      <c r="BF233" s="159"/>
      <c r="BG233" s="159"/>
      <c r="BH233" s="159"/>
      <c r="BI233" s="159"/>
      <c r="BJ233" s="159"/>
      <c r="BK233" s="159"/>
      <c r="BL233" s="159"/>
      <c r="BM233" s="159"/>
      <c r="BN233" s="159"/>
    </row>
    <row r="234" ht="18.75" customHeight="1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  <c r="AG234" s="159"/>
      <c r="AH234" s="159"/>
      <c r="AI234" s="159"/>
      <c r="AJ234" s="159"/>
      <c r="AK234" s="159"/>
      <c r="AL234" s="159"/>
      <c r="AM234" s="159"/>
      <c r="AN234" s="159"/>
      <c r="AO234" s="159"/>
      <c r="AP234" s="159"/>
      <c r="AQ234" s="159"/>
      <c r="AR234" s="159"/>
      <c r="AS234" s="159"/>
      <c r="AT234" s="159"/>
      <c r="AU234" s="159"/>
      <c r="AV234" s="159"/>
      <c r="AW234" s="159"/>
      <c r="AX234" s="159"/>
      <c r="AY234" s="159"/>
      <c r="AZ234" s="159"/>
      <c r="BA234" s="159"/>
      <c r="BB234" s="159"/>
      <c r="BC234" s="159"/>
      <c r="BD234" s="159"/>
      <c r="BE234" s="159"/>
      <c r="BF234" s="159"/>
      <c r="BG234" s="159"/>
      <c r="BH234" s="159"/>
      <c r="BI234" s="159"/>
      <c r="BJ234" s="159"/>
      <c r="BK234" s="159"/>
      <c r="BL234" s="159"/>
      <c r="BM234" s="159"/>
      <c r="BN234" s="159"/>
    </row>
    <row r="235" ht="18.75" customHeight="1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  <c r="AD235" s="159"/>
      <c r="AE235" s="159"/>
      <c r="AF235" s="159"/>
      <c r="AG235" s="159"/>
      <c r="AH235" s="159"/>
      <c r="AI235" s="159"/>
      <c r="AJ235" s="159"/>
      <c r="AK235" s="159"/>
      <c r="AL235" s="159"/>
      <c r="AM235" s="159"/>
      <c r="AN235" s="159"/>
      <c r="AO235" s="159"/>
      <c r="AP235" s="159"/>
      <c r="AQ235" s="159"/>
      <c r="AR235" s="159"/>
      <c r="AS235" s="159"/>
      <c r="AT235" s="159"/>
      <c r="AU235" s="159"/>
      <c r="AV235" s="159"/>
      <c r="AW235" s="159"/>
      <c r="AX235" s="159"/>
      <c r="AY235" s="159"/>
      <c r="AZ235" s="159"/>
      <c r="BA235" s="159"/>
      <c r="BB235" s="159"/>
      <c r="BC235" s="159"/>
      <c r="BD235" s="159"/>
      <c r="BE235" s="159"/>
      <c r="BF235" s="159"/>
      <c r="BG235" s="159"/>
      <c r="BH235" s="159"/>
      <c r="BI235" s="159"/>
      <c r="BJ235" s="159"/>
      <c r="BK235" s="159"/>
      <c r="BL235" s="159"/>
      <c r="BM235" s="159"/>
      <c r="BN235" s="159"/>
    </row>
    <row r="236" ht="18.75" customHeight="1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  <c r="AD236" s="159"/>
      <c r="AE236" s="159"/>
      <c r="AF236" s="159"/>
      <c r="AG236" s="159"/>
      <c r="AH236" s="159"/>
      <c r="AI236" s="159"/>
      <c r="AJ236" s="159"/>
      <c r="AK236" s="159"/>
      <c r="AL236" s="159"/>
      <c r="AM236" s="159"/>
      <c r="AN236" s="159"/>
      <c r="AO236" s="159"/>
      <c r="AP236" s="159"/>
      <c r="AQ236" s="159"/>
      <c r="AR236" s="159"/>
      <c r="AS236" s="159"/>
      <c r="AT236" s="159"/>
      <c r="AU236" s="159"/>
      <c r="AV236" s="159"/>
      <c r="AW236" s="159"/>
      <c r="AX236" s="159"/>
      <c r="AY236" s="159"/>
      <c r="AZ236" s="159"/>
      <c r="BA236" s="159"/>
      <c r="BB236" s="159"/>
      <c r="BC236" s="159"/>
      <c r="BD236" s="159"/>
      <c r="BE236" s="159"/>
      <c r="BF236" s="159"/>
      <c r="BG236" s="159"/>
      <c r="BH236" s="159"/>
      <c r="BI236" s="159"/>
      <c r="BJ236" s="159"/>
      <c r="BK236" s="159"/>
      <c r="BL236" s="159"/>
      <c r="BM236" s="159"/>
      <c r="BN236" s="159"/>
    </row>
    <row r="237" ht="18.75" customHeight="1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  <c r="AD237" s="159"/>
      <c r="AE237" s="159"/>
      <c r="AF237" s="159"/>
      <c r="AG237" s="159"/>
      <c r="AH237" s="159"/>
      <c r="AI237" s="159"/>
      <c r="AJ237" s="159"/>
      <c r="AK237" s="159"/>
      <c r="AL237" s="159"/>
      <c r="AM237" s="159"/>
      <c r="AN237" s="159"/>
      <c r="AO237" s="159"/>
      <c r="AP237" s="159"/>
      <c r="AQ237" s="159"/>
      <c r="AR237" s="159"/>
      <c r="AS237" s="159"/>
      <c r="AT237" s="159"/>
      <c r="AU237" s="159"/>
      <c r="AV237" s="159"/>
      <c r="AW237" s="159"/>
      <c r="AX237" s="159"/>
      <c r="AY237" s="159"/>
      <c r="AZ237" s="159"/>
      <c r="BA237" s="159"/>
      <c r="BB237" s="159"/>
      <c r="BC237" s="159"/>
      <c r="BD237" s="159"/>
      <c r="BE237" s="159"/>
      <c r="BF237" s="159"/>
      <c r="BG237" s="159"/>
      <c r="BH237" s="159"/>
      <c r="BI237" s="159"/>
      <c r="BJ237" s="159"/>
      <c r="BK237" s="159"/>
      <c r="BL237" s="159"/>
      <c r="BM237" s="159"/>
      <c r="BN237" s="159"/>
    </row>
    <row r="238" ht="18.75" customHeight="1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  <c r="AD238" s="159"/>
      <c r="AE238" s="159"/>
      <c r="AF238" s="159"/>
      <c r="AG238" s="159"/>
      <c r="AH238" s="159"/>
      <c r="AI238" s="159"/>
      <c r="AJ238" s="159"/>
      <c r="AK238" s="159"/>
      <c r="AL238" s="159"/>
      <c r="AM238" s="159"/>
      <c r="AN238" s="159"/>
      <c r="AO238" s="159"/>
      <c r="AP238" s="159"/>
      <c r="AQ238" s="159"/>
      <c r="AR238" s="159"/>
      <c r="AS238" s="159"/>
      <c r="AT238" s="159"/>
      <c r="AU238" s="159"/>
      <c r="AV238" s="159"/>
      <c r="AW238" s="159"/>
      <c r="AX238" s="159"/>
      <c r="AY238" s="159"/>
      <c r="AZ238" s="159"/>
      <c r="BA238" s="159"/>
      <c r="BB238" s="159"/>
      <c r="BC238" s="159"/>
      <c r="BD238" s="159"/>
      <c r="BE238" s="159"/>
      <c r="BF238" s="159"/>
      <c r="BG238" s="159"/>
      <c r="BH238" s="159"/>
      <c r="BI238" s="159"/>
      <c r="BJ238" s="159"/>
      <c r="BK238" s="159"/>
      <c r="BL238" s="159"/>
      <c r="BM238" s="159"/>
      <c r="BN238" s="159"/>
    </row>
    <row r="239" ht="18.75" customHeight="1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  <c r="AD239" s="159"/>
      <c r="AE239" s="159"/>
      <c r="AF239" s="159"/>
      <c r="AG239" s="159"/>
      <c r="AH239" s="159"/>
      <c r="AI239" s="159"/>
      <c r="AJ239" s="159"/>
      <c r="AK239" s="159"/>
      <c r="AL239" s="159"/>
      <c r="AM239" s="159"/>
      <c r="AN239" s="159"/>
      <c r="AO239" s="159"/>
      <c r="AP239" s="159"/>
      <c r="AQ239" s="159"/>
      <c r="AR239" s="159"/>
      <c r="AS239" s="159"/>
      <c r="AT239" s="159"/>
      <c r="AU239" s="159"/>
      <c r="AV239" s="159"/>
      <c r="AW239" s="159"/>
      <c r="AX239" s="159"/>
      <c r="AY239" s="159"/>
      <c r="AZ239" s="159"/>
      <c r="BA239" s="159"/>
      <c r="BB239" s="159"/>
      <c r="BC239" s="159"/>
      <c r="BD239" s="159"/>
      <c r="BE239" s="159"/>
      <c r="BF239" s="159"/>
      <c r="BG239" s="159"/>
      <c r="BH239" s="159"/>
      <c r="BI239" s="159"/>
      <c r="BJ239" s="159"/>
      <c r="BK239" s="159"/>
      <c r="BL239" s="159"/>
      <c r="BM239" s="159"/>
      <c r="BN239" s="159"/>
    </row>
    <row r="240" ht="18.75" customHeight="1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  <c r="AD240" s="159"/>
      <c r="AE240" s="159"/>
      <c r="AF240" s="159"/>
      <c r="AG240" s="159"/>
      <c r="AH240" s="159"/>
      <c r="AI240" s="159"/>
      <c r="AJ240" s="159"/>
      <c r="AK240" s="159"/>
      <c r="AL240" s="159"/>
      <c r="AM240" s="159"/>
      <c r="AN240" s="159"/>
      <c r="AO240" s="159"/>
      <c r="AP240" s="159"/>
      <c r="AQ240" s="159"/>
      <c r="AR240" s="159"/>
      <c r="AS240" s="159"/>
      <c r="AT240" s="159"/>
      <c r="AU240" s="159"/>
      <c r="AV240" s="159"/>
      <c r="AW240" s="159"/>
      <c r="AX240" s="159"/>
      <c r="AY240" s="159"/>
      <c r="AZ240" s="159"/>
      <c r="BA240" s="159"/>
      <c r="BB240" s="159"/>
      <c r="BC240" s="159"/>
      <c r="BD240" s="159"/>
      <c r="BE240" s="159"/>
      <c r="BF240" s="159"/>
      <c r="BG240" s="159"/>
      <c r="BH240" s="159"/>
      <c r="BI240" s="159"/>
      <c r="BJ240" s="159"/>
      <c r="BK240" s="159"/>
      <c r="BL240" s="159"/>
      <c r="BM240" s="159"/>
      <c r="BN240" s="159"/>
    </row>
    <row r="241" ht="18.75" customHeight="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  <c r="AG241" s="15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59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159"/>
      <c r="BF241" s="159"/>
      <c r="BG241" s="159"/>
      <c r="BH241" s="159"/>
      <c r="BI241" s="159"/>
      <c r="BJ241" s="159"/>
      <c r="BK241" s="159"/>
      <c r="BL241" s="159"/>
      <c r="BM241" s="159"/>
      <c r="BN241" s="159"/>
    </row>
    <row r="242" ht="18.75" customHeight="1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  <c r="AD242" s="159"/>
      <c r="AE242" s="159"/>
      <c r="AF242" s="159"/>
      <c r="AG242" s="159"/>
      <c r="AH242" s="159"/>
      <c r="AI242" s="159"/>
      <c r="AJ242" s="159"/>
      <c r="AK242" s="159"/>
      <c r="AL242" s="159"/>
      <c r="AM242" s="159"/>
      <c r="AN242" s="159"/>
      <c r="AO242" s="159"/>
      <c r="AP242" s="159"/>
      <c r="AQ242" s="159"/>
      <c r="AR242" s="159"/>
      <c r="AS242" s="159"/>
      <c r="AT242" s="159"/>
      <c r="AU242" s="159"/>
      <c r="AV242" s="159"/>
      <c r="AW242" s="159"/>
      <c r="AX242" s="159"/>
      <c r="AY242" s="159"/>
      <c r="AZ242" s="159"/>
      <c r="BA242" s="159"/>
      <c r="BB242" s="159"/>
      <c r="BC242" s="159"/>
      <c r="BD242" s="159"/>
      <c r="BE242" s="159"/>
      <c r="BF242" s="159"/>
      <c r="BG242" s="159"/>
      <c r="BH242" s="159"/>
      <c r="BI242" s="159"/>
      <c r="BJ242" s="159"/>
      <c r="BK242" s="159"/>
      <c r="BL242" s="159"/>
      <c r="BM242" s="159"/>
      <c r="BN242" s="159"/>
    </row>
    <row r="243" ht="18.75" customHeight="1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  <c r="AD243" s="159"/>
      <c r="AE243" s="159"/>
      <c r="AF243" s="159"/>
      <c r="AG243" s="159"/>
      <c r="AH243" s="159"/>
      <c r="AI243" s="159"/>
      <c r="AJ243" s="159"/>
      <c r="AK243" s="159"/>
      <c r="AL243" s="159"/>
      <c r="AM243" s="159"/>
      <c r="AN243" s="159"/>
      <c r="AO243" s="159"/>
      <c r="AP243" s="159"/>
      <c r="AQ243" s="159"/>
      <c r="AR243" s="159"/>
      <c r="AS243" s="159"/>
      <c r="AT243" s="159"/>
      <c r="AU243" s="159"/>
      <c r="AV243" s="159"/>
      <c r="AW243" s="159"/>
      <c r="AX243" s="159"/>
      <c r="AY243" s="159"/>
      <c r="AZ243" s="159"/>
      <c r="BA243" s="159"/>
      <c r="BB243" s="159"/>
      <c r="BC243" s="159"/>
      <c r="BD243" s="159"/>
      <c r="BE243" s="159"/>
      <c r="BF243" s="159"/>
      <c r="BG243" s="159"/>
      <c r="BH243" s="159"/>
      <c r="BI243" s="159"/>
      <c r="BJ243" s="159"/>
      <c r="BK243" s="159"/>
      <c r="BL243" s="159"/>
      <c r="BM243" s="159"/>
      <c r="BN243" s="159"/>
    </row>
    <row r="244" ht="18.75" customHeight="1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  <c r="AD244" s="159"/>
      <c r="AE244" s="159"/>
      <c r="AF244" s="159"/>
      <c r="AG244" s="159"/>
      <c r="AH244" s="159"/>
      <c r="AI244" s="159"/>
      <c r="AJ244" s="159"/>
      <c r="AK244" s="159"/>
      <c r="AL244" s="159"/>
      <c r="AM244" s="159"/>
      <c r="AN244" s="159"/>
      <c r="AO244" s="159"/>
      <c r="AP244" s="159"/>
      <c r="AQ244" s="159"/>
      <c r="AR244" s="159"/>
      <c r="AS244" s="159"/>
      <c r="AT244" s="159"/>
      <c r="AU244" s="159"/>
      <c r="AV244" s="159"/>
      <c r="AW244" s="159"/>
      <c r="AX244" s="159"/>
      <c r="AY244" s="159"/>
      <c r="AZ244" s="159"/>
      <c r="BA244" s="159"/>
      <c r="BB244" s="159"/>
      <c r="BC244" s="159"/>
      <c r="BD244" s="159"/>
      <c r="BE244" s="159"/>
      <c r="BF244" s="159"/>
      <c r="BG244" s="159"/>
      <c r="BH244" s="159"/>
      <c r="BI244" s="159"/>
      <c r="BJ244" s="159"/>
      <c r="BK244" s="159"/>
      <c r="BL244" s="159"/>
      <c r="BM244" s="159"/>
      <c r="BN244" s="159"/>
    </row>
    <row r="245" ht="18.75" customHeight="1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  <c r="AD245" s="159"/>
      <c r="AE245" s="159"/>
      <c r="AF245" s="159"/>
      <c r="AG245" s="159"/>
      <c r="AH245" s="159"/>
      <c r="AI245" s="159"/>
      <c r="AJ245" s="159"/>
      <c r="AK245" s="159"/>
      <c r="AL245" s="159"/>
      <c r="AM245" s="159"/>
      <c r="AN245" s="159"/>
      <c r="AO245" s="159"/>
      <c r="AP245" s="159"/>
      <c r="AQ245" s="159"/>
      <c r="AR245" s="159"/>
      <c r="AS245" s="159"/>
      <c r="AT245" s="159"/>
      <c r="AU245" s="159"/>
      <c r="AV245" s="159"/>
      <c r="AW245" s="159"/>
      <c r="AX245" s="159"/>
      <c r="AY245" s="159"/>
      <c r="AZ245" s="159"/>
      <c r="BA245" s="159"/>
      <c r="BB245" s="159"/>
      <c r="BC245" s="159"/>
      <c r="BD245" s="159"/>
      <c r="BE245" s="159"/>
      <c r="BF245" s="159"/>
      <c r="BG245" s="159"/>
      <c r="BH245" s="159"/>
      <c r="BI245" s="159"/>
      <c r="BJ245" s="159"/>
      <c r="BK245" s="159"/>
      <c r="BL245" s="159"/>
      <c r="BM245" s="159"/>
      <c r="BN245" s="159"/>
    </row>
  </sheetData>
  <mergeCells count="54">
    <mergeCell ref="N5:T5"/>
    <mergeCell ref="U5:U6"/>
    <mergeCell ref="AX5:AX6"/>
    <mergeCell ref="AY5:AY6"/>
    <mergeCell ref="BJ2:BK2"/>
    <mergeCell ref="A3:BA3"/>
    <mergeCell ref="A4:C4"/>
    <mergeCell ref="H4:T4"/>
    <mergeCell ref="U4:Y4"/>
    <mergeCell ref="AA4:AD4"/>
    <mergeCell ref="AM4:AM6"/>
    <mergeCell ref="AZ5:AZ6"/>
    <mergeCell ref="AF4:AL4"/>
    <mergeCell ref="AN4:AP4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BA4:BA6"/>
    <mergeCell ref="BB4:BB6"/>
    <mergeCell ref="A5:A6"/>
    <mergeCell ref="B5:B6"/>
    <mergeCell ref="C5:C6"/>
    <mergeCell ref="D5:D6"/>
    <mergeCell ref="E5:E6"/>
    <mergeCell ref="F5:F6"/>
    <mergeCell ref="G5:G6"/>
    <mergeCell ref="H5:I5"/>
    <mergeCell ref="J5:L5"/>
    <mergeCell ref="M5:M6"/>
    <mergeCell ref="AH5:AH6"/>
    <mergeCell ref="AI5:AI6"/>
    <mergeCell ref="AU5:AV5"/>
    <mergeCell ref="AW5:AW6"/>
    <mergeCell ref="AJ5:AJ6"/>
    <mergeCell ref="AK5:AK6"/>
    <mergeCell ref="AL5:AL6"/>
    <mergeCell ref="AQ4:AV4"/>
    <mergeCell ref="AW4:AZ4"/>
    <mergeCell ref="AN5:AN6"/>
    <mergeCell ref="AO5:AO6"/>
    <mergeCell ref="AP5:AP6"/>
    <mergeCell ref="AQ5:AQ6"/>
    <mergeCell ref="AR5:AR6"/>
    <mergeCell ref="AS5:AS6"/>
    <mergeCell ref="AT5:AT6"/>
  </mergeCell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BX1898"/>
  <sheetViews>
    <sheetView workbookViewId="0" defaultGridColor="0" colorId="9"/>
  </sheetViews>
  <sheetFormatPr defaultColWidth="14.4" defaultRowHeight="15" customHeight="1" outlineLevelRow="0" outlineLevelCol="0"/>
  <cols>
    <col min="1" max="1" width="8" style="162" customWidth="1"/>
    <col min="2" max="2" width="23.2109" style="162" customWidth="1"/>
    <col min="3" max="3" width="24.8125" style="162" customWidth="1"/>
    <col min="4" max="4" width="17" style="162" customWidth="1"/>
    <col min="5" max="5" width="7" style="162" customWidth="1"/>
    <col min="6" max="6" width="8" style="162" customWidth="1"/>
    <col min="7" max="8" width="16" style="162" customWidth="1"/>
    <col min="9" max="9" width="14" style="162" customWidth="1"/>
    <col min="10" max="12" width="15" style="162" customWidth="1"/>
    <col min="13" max="13" width="16" style="162" customWidth="1"/>
    <col min="14" max="14" width="15" style="162" customWidth="1"/>
    <col min="15" max="15" width="17" style="162" customWidth="1"/>
    <col min="16" max="17" width="15.4219" style="162" customWidth="1"/>
    <col min="18" max="21" width="13" style="162" customWidth="1"/>
    <col min="22" max="23" width="10" style="162" customWidth="1"/>
    <col min="24" max="24" width="11" style="162" customWidth="1"/>
    <col min="25" max="25" width="10" style="162" customWidth="1"/>
    <col min="26" max="26" width="12.6016" style="162" customWidth="1"/>
    <col min="27" max="27" width="17.4219" style="162" customWidth="1"/>
    <col min="28" max="28" width="15" style="162" customWidth="1"/>
    <col min="29" max="29" width="13" style="162" customWidth="1"/>
    <col min="30" max="30" width="16" style="162" customWidth="1"/>
    <col min="31" max="31" width="16" style="163" customWidth="1"/>
    <col min="32" max="32" width="16" style="164" customWidth="1"/>
    <col min="33" max="33" width="14" style="162" customWidth="1"/>
    <col min="34" max="34" width="13" style="162" customWidth="1"/>
    <col min="35" max="35" width="12" style="162" customWidth="1"/>
    <col min="36" max="36" width="15" style="162" customWidth="1"/>
    <col min="37" max="37" width="12" style="162" customWidth="1"/>
    <col min="38" max="38" width="14" style="162" customWidth="1"/>
    <col min="39" max="39" width="18" style="162" customWidth="1"/>
    <col min="40" max="40" width="15" style="162" customWidth="1"/>
    <col min="41" max="42" width="14" style="162" customWidth="1"/>
    <col min="43" max="43" width="10" style="162" customWidth="1"/>
    <col min="44" max="44" width="14" style="162" customWidth="1"/>
    <col min="45" max="46" width="17" style="162" customWidth="1"/>
    <col min="47" max="47" width="14.4219" style="162" customWidth="1"/>
    <col min="48" max="48" width="14" style="162" customWidth="1"/>
    <col min="49" max="49" width="15" style="162" customWidth="1"/>
    <col min="50" max="50" width="14.6016" style="165" customWidth="1"/>
    <col min="51" max="51" width="18.4219" style="165" customWidth="1"/>
    <col min="52" max="52" width="18.4219" style="162" customWidth="1"/>
    <col min="53" max="53" width="21" style="162" customWidth="1"/>
    <col min="54" max="54" width="10.4219" style="162" customWidth="1"/>
    <col min="55" max="55" width="8.60156" style="162" customWidth="1"/>
    <col min="56" max="56" width="12.6016" style="162" customWidth="1"/>
    <col min="57" max="57" width="14.6016" style="162" customWidth="1"/>
    <col min="58" max="59" width="16" style="162" customWidth="1"/>
    <col min="60" max="60" width="13.2109" style="162" customWidth="1"/>
    <col min="61" max="61" width="19" style="166" customWidth="1"/>
    <col min="62" max="62" width="41.2109" style="166" customWidth="1"/>
    <col min="63" max="63" width="21.8125" style="162" customWidth="1"/>
    <col min="64" max="64" width="31.4219" style="162" customWidth="1"/>
    <col min="65" max="65" width="23.6016" style="165" customWidth="1"/>
    <col min="66" max="68" width="19.4219" style="162" customWidth="1"/>
    <col min="69" max="69" width="14" style="162" customWidth="1"/>
    <col min="70" max="70" width="14.4219" style="167" customWidth="1"/>
    <col min="71" max="76" width="14.4219" style="162" customWidth="1"/>
    <col min="77" max="16384" width="14.4219" style="161" customWidth="1"/>
  </cols>
  <sheetData>
    <row r="1" s="162" customFormat="1" ht="18" customHeight="1">
      <c r="A1" t="s" s="168">
        <v>181</v>
      </c>
      <c r="B1" s="169"/>
      <c r="C1" s="169"/>
      <c r="D1" s="170"/>
      <c r="E1" s="169"/>
      <c r="F1" s="169"/>
      <c r="G1" s="171"/>
      <c r="H1" s="172"/>
      <c r="I1" s="171"/>
      <c r="J1" s="173"/>
      <c r="K1" s="171"/>
      <c r="L1" s="171"/>
      <c r="M1" s="174"/>
      <c r="N1" s="169"/>
      <c r="O1" s="171"/>
      <c r="P1" s="174"/>
      <c r="Q1" s="174"/>
      <c r="R1" s="171"/>
      <c r="S1" s="171"/>
      <c r="T1" s="172"/>
      <c r="U1" s="171"/>
      <c r="V1" s="171"/>
      <c r="W1" s="175"/>
      <c r="X1" s="175"/>
      <c r="Y1" s="171"/>
      <c r="Z1" s="171"/>
      <c r="AA1" s="172"/>
      <c r="AB1" s="171"/>
      <c r="AC1" s="171"/>
      <c r="AD1" s="175"/>
      <c r="AE1" s="176"/>
      <c r="AF1" s="177"/>
      <c r="AG1" s="171"/>
      <c r="AH1" s="171"/>
      <c r="AI1" s="171"/>
      <c r="AJ1" s="171"/>
      <c r="AK1" s="171"/>
      <c r="AL1" s="175"/>
      <c r="AM1" s="171"/>
      <c r="AN1" s="171"/>
      <c r="AO1" s="171"/>
      <c r="AP1" s="171"/>
      <c r="AQ1" s="171"/>
      <c r="AR1" s="171"/>
      <c r="AS1" s="171"/>
      <c r="AT1" s="171"/>
      <c r="AU1" s="171"/>
      <c r="AV1" s="175"/>
      <c r="AW1" s="171"/>
      <c r="AX1" s="178"/>
      <c r="AY1" s="178"/>
      <c r="AZ1" s="172">
        <v>142000</v>
      </c>
      <c r="BA1" s="179"/>
      <c r="BB1" s="180"/>
      <c r="BC1" s="180"/>
      <c r="BD1" s="180"/>
      <c r="BE1" s="180"/>
      <c r="BF1" s="171"/>
      <c r="BG1" s="181"/>
      <c r="BH1" s="182"/>
      <c r="BI1" s="183"/>
      <c r="BJ1" s="184"/>
      <c r="BK1" s="185"/>
      <c r="BL1" s="171"/>
      <c r="BM1" s="186"/>
      <c r="BN1" s="171"/>
      <c r="BO1" s="171"/>
      <c r="BP1" s="171"/>
      <c r="BQ1" s="187"/>
    </row>
    <row r="2" s="162" customFormat="1" ht="15.75" customHeight="1">
      <c r="A2" s="174"/>
      <c r="C2" s="188"/>
      <c r="D2" s="189"/>
      <c r="E2" s="188"/>
      <c r="F2" s="169"/>
      <c r="G2" s="172"/>
      <c r="H2" s="172"/>
      <c r="I2" s="174"/>
      <c r="J2" s="173"/>
      <c r="K2" s="171"/>
      <c r="L2" s="171"/>
      <c r="M2" s="174"/>
      <c r="N2" s="174"/>
      <c r="O2" s="174"/>
      <c r="P2" s="174"/>
      <c r="Q2" s="174"/>
      <c r="R2" s="174"/>
      <c r="S2" s="174"/>
      <c r="T2" s="174"/>
      <c r="V2" s="174"/>
      <c r="W2" s="174"/>
      <c r="X2" s="190"/>
      <c r="Y2" s="174"/>
      <c r="Z2" s="174"/>
      <c r="AA2" s="191"/>
      <c r="AB2" s="191"/>
      <c r="AC2" s="174"/>
      <c r="AD2" s="192"/>
      <c r="AE2" s="193"/>
      <c r="AF2" s="177"/>
      <c r="AG2" s="171"/>
      <c r="AH2" s="172"/>
      <c r="AI2" s="172"/>
      <c r="AJ2" s="175"/>
      <c r="AK2" s="171"/>
      <c r="AL2" s="175"/>
      <c r="AM2" s="194" cm="1">
        <f t="array" ref="AM2">AM24-1630000</f>
        <v>10370000</v>
      </c>
      <c r="AN2" s="194"/>
      <c r="AO2" s="194"/>
      <c r="AP2" s="194"/>
      <c r="AQ2" s="194"/>
      <c r="AR2" s="194"/>
      <c r="AS2" s="194"/>
      <c r="AT2" s="172"/>
      <c r="AU2" s="172"/>
      <c r="AV2" s="175"/>
      <c r="AW2" s="172"/>
      <c r="AX2" s="178"/>
      <c r="AY2" s="178"/>
      <c r="AZ2" s="195">
        <v>558000</v>
      </c>
      <c r="BA2" s="175"/>
      <c r="BB2" s="180"/>
      <c r="BC2" s="180"/>
      <c r="BD2" s="180"/>
      <c r="BE2" s="180"/>
      <c r="BF2" s="171"/>
      <c r="BG2" s="181"/>
      <c r="BH2" s="182"/>
      <c r="BI2" s="196"/>
      <c r="BJ2" s="197"/>
      <c r="BK2" s="198"/>
      <c r="BL2" t="s" s="199">
        <v>0</v>
      </c>
      <c r="BM2" s="186"/>
      <c r="BO2" s="171"/>
      <c r="BP2" s="172">
        <v>13358652</v>
      </c>
      <c r="BQ2" s="187"/>
    </row>
    <row r="3" s="162" customFormat="1" ht="22.5" customHeight="1">
      <c r="A3" t="s" s="200">
        <v>182</v>
      </c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  <c r="AA3" s="201"/>
      <c r="AB3" s="201"/>
      <c r="AC3" s="201"/>
      <c r="AD3" s="201"/>
      <c r="AE3" s="202"/>
      <c r="AF3" s="203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  <c r="AU3" s="201"/>
      <c r="AV3" s="201"/>
      <c r="AW3" s="201"/>
      <c r="AX3" s="202"/>
      <c r="AY3" s="202"/>
      <c r="AZ3" s="201"/>
      <c r="BA3" s="201"/>
      <c r="BB3" s="204"/>
      <c r="BC3" s="171"/>
      <c r="BD3" s="171"/>
      <c r="BE3" s="171"/>
      <c r="BF3" s="171"/>
      <c r="BG3" s="205"/>
      <c r="BH3" s="182"/>
      <c r="BI3" s="196"/>
      <c r="BJ3" s="197"/>
      <c r="BK3" s="206"/>
      <c r="BL3" t="s" s="207">
        <v>2</v>
      </c>
      <c r="BM3" s="208"/>
      <c r="BN3" s="191" cm="1">
        <f t="array" ref="BN3">SUM(AZ9:AZ37)</f>
        <v>-228196000</v>
      </c>
      <c r="BO3" s="175" cm="1">
        <f t="array" ref="BO3">BN3+BN4</f>
        <v>177028213</v>
      </c>
      <c r="BP3" s="172">
        <v>472375765</v>
      </c>
      <c r="BQ3" s="187"/>
    </row>
    <row r="4" s="162" customFormat="1" ht="24.75" customHeight="1">
      <c r="A4" t="s" s="209">
        <v>3</v>
      </c>
      <c r="C4" s="210"/>
      <c r="D4" s="210"/>
      <c r="E4" s="210"/>
      <c r="F4" s="210"/>
      <c r="G4" t="s" s="211">
        <v>4</v>
      </c>
      <c r="T4" s="212"/>
      <c r="U4" t="s" s="213">
        <v>5</v>
      </c>
      <c r="Z4" s="210"/>
      <c r="AA4" t="s" s="214">
        <v>6</v>
      </c>
      <c r="AE4" s="215"/>
      <c r="AF4" t="s" s="216">
        <v>7</v>
      </c>
      <c r="AM4" t="s" s="217">
        <v>8</v>
      </c>
      <c r="AN4" t="s" s="218">
        <v>9</v>
      </c>
      <c r="AQ4" t="s" s="219">
        <v>10</v>
      </c>
      <c r="AW4" t="s" s="220">
        <v>11</v>
      </c>
      <c r="BA4" t="s" s="221">
        <v>12</v>
      </c>
      <c r="BB4" t="s" s="222">
        <v>13</v>
      </c>
      <c r="BC4" s="223"/>
      <c r="BD4" s="189"/>
      <c r="BE4" s="189"/>
      <c r="BF4" s="171"/>
      <c r="BG4" s="181"/>
      <c r="BH4" s="182"/>
      <c r="BI4" s="196"/>
      <c r="BJ4" s="197"/>
      <c r="BK4" s="224"/>
      <c r="BL4" t="s" s="225">
        <v>14</v>
      </c>
      <c r="BM4" s="224"/>
      <c r="BN4" s="226" cm="1">
        <f t="array" ref="BN4">SUM(BA9:BA37)</f>
        <v>405224213</v>
      </c>
      <c r="BO4" s="171"/>
      <c r="BP4" s="171"/>
      <c r="BQ4" s="187"/>
    </row>
    <row r="5" s="162" customFormat="1" ht="21" customHeight="1">
      <c r="A5" t="s" s="222">
        <v>15</v>
      </c>
      <c r="B5" t="s" s="222">
        <v>17</v>
      </c>
      <c r="C5" t="s" s="222">
        <v>18</v>
      </c>
      <c r="D5" t="s" s="222">
        <v>19</v>
      </c>
      <c r="E5" t="s" s="222">
        <v>20</v>
      </c>
      <c r="F5" t="s" s="222">
        <v>21</v>
      </c>
      <c r="G5" t="s" s="211">
        <v>22</v>
      </c>
      <c r="I5" t="s" s="211">
        <v>23</v>
      </c>
      <c r="L5" t="s" s="222">
        <v>24</v>
      </c>
      <c r="M5" t="s" s="211">
        <v>25</v>
      </c>
      <c r="T5" s="227"/>
      <c r="U5" t="s" s="228">
        <v>26</v>
      </c>
      <c r="V5" t="s" s="228">
        <v>27</v>
      </c>
      <c r="W5" t="s" s="228">
        <v>28</v>
      </c>
      <c r="X5" t="s" s="228">
        <v>29</v>
      </c>
      <c r="Y5" t="s" s="228">
        <v>30</v>
      </c>
      <c r="Z5" t="s" s="222">
        <v>31</v>
      </c>
      <c r="AA5" t="s" s="228">
        <v>32</v>
      </c>
      <c r="AB5" t="s" s="229">
        <v>33</v>
      </c>
      <c r="AC5" t="s" s="229">
        <v>34</v>
      </c>
      <c r="AD5" t="s" s="229">
        <v>35</v>
      </c>
      <c r="AE5" t="s" s="230">
        <v>36</v>
      </c>
      <c r="AF5" t="s" s="222">
        <v>37</v>
      </c>
      <c r="AG5" t="s" s="231">
        <v>183</v>
      </c>
      <c r="AH5" t="s" s="231">
        <v>38</v>
      </c>
      <c r="AI5" t="s" s="231">
        <v>40</v>
      </c>
      <c r="AJ5" t="s" s="231">
        <v>184</v>
      </c>
      <c r="AK5" t="s" s="231">
        <v>185</v>
      </c>
      <c r="AL5" t="s" s="231">
        <v>43</v>
      </c>
      <c r="AN5" t="s" s="229">
        <v>44</v>
      </c>
      <c r="AO5" t="s" s="229">
        <v>45</v>
      </c>
      <c r="AP5" t="s" s="229">
        <v>46</v>
      </c>
      <c r="AQ5" t="s" s="228">
        <v>47</v>
      </c>
      <c r="AR5" t="s" s="228">
        <v>186</v>
      </c>
      <c r="AS5" t="s" s="228">
        <v>49</v>
      </c>
      <c r="AT5" t="s" s="228">
        <v>50</v>
      </c>
      <c r="AU5" t="s" s="232">
        <v>51</v>
      </c>
      <c r="AW5" t="s" s="222">
        <v>52</v>
      </c>
      <c r="AX5" t="s" s="222">
        <v>53</v>
      </c>
      <c r="AY5" t="s" s="222">
        <v>187</v>
      </c>
      <c r="AZ5" t="s" s="222">
        <v>55</v>
      </c>
      <c r="BC5" s="223"/>
      <c r="BD5" s="233"/>
      <c r="BE5" s="233"/>
      <c r="BF5" s="171"/>
      <c r="BG5" s="181"/>
      <c r="BH5" s="182"/>
      <c r="BI5" s="196"/>
      <c r="BJ5" s="197"/>
      <c r="BK5" t="s" s="234">
        <v>56</v>
      </c>
      <c r="BL5" s="235"/>
      <c r="BM5" s="236"/>
      <c r="BN5" s="171"/>
      <c r="BO5" s="171"/>
      <c r="BP5" s="171"/>
      <c r="BQ5" s="237">
        <v>549869632</v>
      </c>
    </row>
    <row r="6" s="162" customFormat="1" ht="37.5" customHeight="1">
      <c r="G6" t="s" s="238">
        <v>57</v>
      </c>
      <c r="H6" t="s" s="238">
        <v>58</v>
      </c>
      <c r="I6" t="s" s="239">
        <v>59</v>
      </c>
      <c r="J6" t="s" s="240">
        <v>60</v>
      </c>
      <c r="K6" t="s" s="241">
        <v>61</v>
      </c>
      <c r="M6" t="s" s="238">
        <v>62</v>
      </c>
      <c r="N6" t="s" s="241">
        <v>63</v>
      </c>
      <c r="O6" t="s" s="241">
        <v>64</v>
      </c>
      <c r="P6" t="s" s="241">
        <v>65</v>
      </c>
      <c r="Q6" t="s" s="241">
        <v>66</v>
      </c>
      <c r="R6" t="s" s="241">
        <v>67</v>
      </c>
      <c r="S6" t="s" s="241">
        <v>61</v>
      </c>
      <c r="T6" t="s" s="239">
        <v>188</v>
      </c>
      <c r="AF6" s="242"/>
      <c r="AG6" s="243"/>
      <c r="AH6" s="243"/>
      <c r="AI6" s="243"/>
      <c r="AJ6" s="243"/>
      <c r="AK6" s="243"/>
      <c r="AL6" s="243"/>
      <c r="AU6" t="s" s="238">
        <v>68</v>
      </c>
      <c r="AV6" t="s" s="238">
        <v>69</v>
      </c>
      <c r="AW6" s="243"/>
      <c r="AX6" s="244"/>
      <c r="AY6" s="244"/>
      <c r="AZ6" s="243"/>
      <c r="BC6" t="s" s="245">
        <v>189</v>
      </c>
      <c r="BD6" t="s" s="246">
        <v>190</v>
      </c>
      <c r="BE6" t="s" s="246">
        <v>191</v>
      </c>
      <c r="BF6" t="s" s="247">
        <v>192</v>
      </c>
      <c r="BG6" t="s" s="248">
        <v>193</v>
      </c>
      <c r="BH6" t="s" s="249">
        <v>194</v>
      </c>
      <c r="BI6" t="s" s="250">
        <v>195</v>
      </c>
      <c r="BJ6" t="s" s="251">
        <v>196</v>
      </c>
      <c r="BK6" s="252"/>
      <c r="BL6" t="s" s="253">
        <v>197</v>
      </c>
      <c r="BM6" s="186"/>
      <c r="BN6" t="s" s="253">
        <v>198</v>
      </c>
      <c r="BO6" s="171"/>
      <c r="BP6" s="171"/>
      <c r="BQ6" s="237" cm="1">
        <f t="array" ref="BQ6">BQ5-BN4</f>
        <v>144645419</v>
      </c>
    </row>
    <row r="7" s="162" customFormat="1" ht="23.25" customHeight="1">
      <c r="A7" s="254"/>
      <c r="B7" s="254"/>
      <c r="C7" s="254"/>
      <c r="D7" s="254"/>
      <c r="E7" s="254"/>
      <c r="F7" s="254"/>
      <c r="G7" t="s" s="255">
        <v>77</v>
      </c>
      <c r="H7" t="s" s="255">
        <v>77</v>
      </c>
      <c r="I7" t="s" s="255">
        <v>77</v>
      </c>
      <c r="J7" t="s" s="256">
        <v>77</v>
      </c>
      <c r="K7" t="s" s="255">
        <v>77</v>
      </c>
      <c r="L7" t="s" s="255">
        <v>77</v>
      </c>
      <c r="M7" t="s" s="255">
        <v>77</v>
      </c>
      <c r="N7" t="s" s="255">
        <v>77</v>
      </c>
      <c r="O7" t="s" s="255">
        <v>77</v>
      </c>
      <c r="P7" t="s" s="255">
        <v>77</v>
      </c>
      <c r="Q7" t="s" s="255">
        <v>77</v>
      </c>
      <c r="R7" t="s" s="255">
        <v>77</v>
      </c>
      <c r="S7" t="s" s="255">
        <v>77</v>
      </c>
      <c r="T7" t="s" s="255">
        <v>77</v>
      </c>
      <c r="U7" t="s" s="255">
        <v>78</v>
      </c>
      <c r="V7" t="s" s="255">
        <v>78</v>
      </c>
      <c r="W7" t="s" s="255">
        <v>78</v>
      </c>
      <c r="X7" t="s" s="255">
        <v>78</v>
      </c>
      <c r="Y7" t="s" s="255">
        <v>78</v>
      </c>
      <c r="Z7" s="254"/>
      <c r="AA7" t="s" s="255">
        <v>77</v>
      </c>
      <c r="AB7" t="s" s="255">
        <v>77</v>
      </c>
      <c r="AC7" t="s" s="255">
        <v>77</v>
      </c>
      <c r="AD7" t="s" s="255">
        <v>77</v>
      </c>
      <c r="AE7" s="257"/>
      <c r="AF7" t="s" s="238">
        <v>77</v>
      </c>
      <c r="AG7" t="s" s="255">
        <v>77</v>
      </c>
      <c r="AH7" t="s" s="255">
        <v>77</v>
      </c>
      <c r="AI7" t="s" s="255">
        <v>77</v>
      </c>
      <c r="AJ7" t="s" s="255">
        <v>77</v>
      </c>
      <c r="AK7" s="254"/>
      <c r="AL7" t="s" s="255">
        <v>77</v>
      </c>
      <c r="AM7" t="s" s="255">
        <v>77</v>
      </c>
      <c r="AN7" t="s" s="255">
        <v>77</v>
      </c>
      <c r="AO7" t="s" s="255">
        <v>77</v>
      </c>
      <c r="AP7" t="s" s="255">
        <v>77</v>
      </c>
      <c r="AQ7" t="s" s="255">
        <v>79</v>
      </c>
      <c r="AR7" t="s" s="255">
        <v>80</v>
      </c>
      <c r="AS7" t="s" s="255">
        <v>80</v>
      </c>
      <c r="AT7" t="s" s="255">
        <v>80</v>
      </c>
      <c r="AU7" s="254"/>
      <c r="AV7" t="s" s="255">
        <v>80</v>
      </c>
      <c r="AW7" t="s" s="255">
        <v>80</v>
      </c>
      <c r="AX7" t="s" s="255">
        <v>80</v>
      </c>
      <c r="AY7" t="s" s="255">
        <v>80</v>
      </c>
      <c r="AZ7" t="s" s="255">
        <v>80</v>
      </c>
      <c r="BA7" t="s" s="255">
        <v>80</v>
      </c>
      <c r="BB7" s="258"/>
      <c r="BC7" t="s" s="259">
        <v>199</v>
      </c>
      <c r="BD7" s="260"/>
      <c r="BE7" s="260"/>
      <c r="BF7" s="169"/>
      <c r="BG7" s="261"/>
      <c r="BH7" t="s" s="262">
        <v>200</v>
      </c>
      <c r="BI7" s="263"/>
      <c r="BJ7" s="264"/>
      <c r="BK7" s="265"/>
      <c r="BL7" s="169"/>
      <c r="BM7" s="266"/>
      <c r="BN7" s="169"/>
      <c r="BO7" s="169"/>
      <c r="BP7" s="169"/>
      <c r="BQ7" s="267"/>
    </row>
    <row r="8" s="162" customFormat="1" ht="21" customHeight="1">
      <c r="A8" s="268"/>
      <c r="B8" s="268"/>
      <c r="C8" s="268"/>
      <c r="D8" s="258"/>
      <c r="E8" s="268"/>
      <c r="F8" s="268"/>
      <c r="G8" s="269">
        <v>1</v>
      </c>
      <c r="H8" s="270"/>
      <c r="I8" s="269">
        <v>2</v>
      </c>
      <c r="J8" s="271">
        <v>3</v>
      </c>
      <c r="K8" s="269">
        <v>4</v>
      </c>
      <c r="L8" s="269">
        <v>5</v>
      </c>
      <c r="M8" s="269">
        <v>5</v>
      </c>
      <c r="N8" s="269">
        <v>6</v>
      </c>
      <c r="O8" s="269">
        <v>7</v>
      </c>
      <c r="P8" s="270"/>
      <c r="Q8" s="269">
        <v>8</v>
      </c>
      <c r="R8" s="269">
        <v>9</v>
      </c>
      <c r="S8" s="269">
        <v>10</v>
      </c>
      <c r="T8" s="270"/>
      <c r="U8" s="269">
        <v>11</v>
      </c>
      <c r="V8" s="269">
        <v>12</v>
      </c>
      <c r="W8" s="269">
        <v>13</v>
      </c>
      <c r="X8" s="269">
        <v>14</v>
      </c>
      <c r="Y8" s="269">
        <v>15</v>
      </c>
      <c r="Z8" s="270"/>
      <c r="AA8" s="269">
        <v>16</v>
      </c>
      <c r="AB8" s="269">
        <v>17</v>
      </c>
      <c r="AC8" s="269">
        <v>18</v>
      </c>
      <c r="AD8" s="269">
        <v>19</v>
      </c>
      <c r="AE8" s="272"/>
      <c r="AF8" s="273">
        <v>23</v>
      </c>
      <c r="AG8" s="269">
        <v>24</v>
      </c>
      <c r="AH8" s="269">
        <v>26</v>
      </c>
      <c r="AI8" s="269">
        <v>27</v>
      </c>
      <c r="AJ8" s="269">
        <v>28</v>
      </c>
      <c r="AK8" s="269">
        <v>29</v>
      </c>
      <c r="AL8" s="269">
        <v>30</v>
      </c>
      <c r="AM8" s="269">
        <v>31</v>
      </c>
      <c r="AN8" s="269">
        <v>32</v>
      </c>
      <c r="AO8" s="269">
        <v>33</v>
      </c>
      <c r="AP8" s="269">
        <v>34</v>
      </c>
      <c r="AQ8" s="269">
        <v>35</v>
      </c>
      <c r="AR8" s="269">
        <v>36</v>
      </c>
      <c r="AS8" s="269">
        <v>37</v>
      </c>
      <c r="AT8" s="269">
        <v>38</v>
      </c>
      <c r="AU8" s="269">
        <v>39</v>
      </c>
      <c r="AV8" s="269">
        <v>40</v>
      </c>
      <c r="AW8" s="269">
        <v>41</v>
      </c>
      <c r="AX8" s="274">
        <v>42</v>
      </c>
      <c r="AY8" s="274">
        <v>43</v>
      </c>
      <c r="AZ8" s="269">
        <v>44</v>
      </c>
      <c r="BA8" s="269">
        <v>47</v>
      </c>
      <c r="BB8" s="270"/>
      <c r="BC8" s="275"/>
      <c r="BD8" s="260"/>
      <c r="BE8" s="260"/>
      <c r="BF8" s="276"/>
      <c r="BG8" s="277"/>
      <c r="BH8" s="278"/>
      <c r="BI8" s="196"/>
      <c r="BJ8" s="197"/>
      <c r="BK8" s="252"/>
      <c r="BL8" s="171"/>
      <c r="BM8" t="s" s="279">
        <v>201</v>
      </c>
      <c r="BN8" t="s" s="280">
        <v>202</v>
      </c>
      <c r="BO8" t="s" s="280">
        <v>203</v>
      </c>
      <c r="BP8" t="s" s="281">
        <v>204</v>
      </c>
      <c r="BQ8" s="187"/>
      <c r="BR8" t="s" s="282">
        <v>205</v>
      </c>
      <c r="BT8" t="s" s="283">
        <v>206</v>
      </c>
      <c r="BU8" t="s" s="283">
        <v>185</v>
      </c>
    </row>
    <row r="9" s="165" customFormat="1" ht="24.75" customHeight="1">
      <c r="A9" t="s" s="284">
        <v>207</v>
      </c>
      <c r="B9" t="s" s="285">
        <v>90</v>
      </c>
      <c r="C9" t="s" s="285">
        <v>91</v>
      </c>
      <c r="D9" t="s" s="285">
        <v>208</v>
      </c>
      <c r="E9" s="286"/>
      <c r="F9" t="s" s="287">
        <v>85</v>
      </c>
      <c r="G9" s="288"/>
      <c r="H9" s="288"/>
      <c r="I9" s="288"/>
      <c r="J9" s="289"/>
      <c r="K9" s="289"/>
      <c r="L9" s="290">
        <v>20000000</v>
      </c>
      <c r="M9" s="290" cm="1">
        <f t="array" ref="M9">L9</f>
        <v>20000000</v>
      </c>
      <c r="N9" s="291" cm="1">
        <f t="array" ref="N9">VLOOKUP(B9,'BHXH'!$E$7:$F$20,2,0)</f>
        <v>5310000</v>
      </c>
      <c r="O9" s="291" cm="1">
        <f t="array" ref="O9">M9-(N9+P9+Q9+R9+S9)</f>
        <v>12060000</v>
      </c>
      <c r="P9" s="291">
        <v>500000</v>
      </c>
      <c r="Q9" s="291">
        <v>400000</v>
      </c>
      <c r="R9" s="291">
        <v>1000000</v>
      </c>
      <c r="S9" s="291">
        <v>730000</v>
      </c>
      <c r="T9" s="291" cm="1">
        <f t="array" ref="T9">SUM(Q9:S9)</f>
        <v>2130000</v>
      </c>
      <c r="U9" s="292" cm="1">
        <f t="array" ref="U9">SUM(W9:Y9)</f>
        <v>22</v>
      </c>
      <c r="V9" s="292">
        <v>22</v>
      </c>
      <c r="W9" s="288"/>
      <c r="X9" s="292"/>
      <c r="Y9" s="293">
        <v>22</v>
      </c>
      <c r="Z9" s="291"/>
      <c r="AA9" s="290" cm="1">
        <f t="array" ref="AA9">SUM(AB9:AD9)</f>
        <v>20000000</v>
      </c>
      <c r="AB9" s="291" cm="1">
        <f t="array" ref="AB9">ROUND($G9/V9*W9,0)</f>
        <v>0</v>
      </c>
      <c r="AC9" s="291" cm="1">
        <f t="array" ref="AC9">ROUND(I9/V9*X9,0)</f>
        <v>0</v>
      </c>
      <c r="AD9" s="291" cm="1">
        <f t="array" ref="AD9">ROUND($M9/V9*Y9,0)</f>
        <v>20000000</v>
      </c>
      <c r="AE9" s="294"/>
      <c r="AF9" s="295" cm="1">
        <f t="array" ref="AF9">SUM(AG9:AL9)</f>
        <v>0</v>
      </c>
      <c r="AG9" s="296">
        <v>0</v>
      </c>
      <c r="AH9" s="296"/>
      <c r="AI9" s="292"/>
      <c r="AJ9" s="291">
        <v>0</v>
      </c>
      <c r="AK9" s="292"/>
      <c r="AL9" s="292"/>
      <c r="AM9" s="290" cm="1">
        <f t="array" ref="AM9">AA9+AF9</f>
        <v>20000000</v>
      </c>
      <c r="AN9" s="291" cm="1">
        <f t="array" ref="AN9">VLOOKUP(B9,'BHXH'!$E$7:$F$17,2,0)</f>
        <v>5310000</v>
      </c>
      <c r="AO9" s="291" cm="1">
        <f t="array" ref="AO9">$AN9*10.5%</f>
        <v>557550</v>
      </c>
      <c r="AP9" s="291" cm="1">
        <f t="array" ref="AP9">$AN9*21.5%</f>
        <v>1141650</v>
      </c>
      <c r="AQ9" s="297">
        <v>3</v>
      </c>
      <c r="AR9" s="296" cm="1">
        <f t="array" ref="AR9">IF($E9=10%,0,(AQ9*6200000+15500000))</f>
        <v>34100000</v>
      </c>
      <c r="AS9" s="296" cm="1">
        <f t="array" ref="AS9">AM9-(Q9+R9+S9)/V9*U9-AG9</f>
        <v>17870000</v>
      </c>
      <c r="AT9" s="291" cm="1">
        <f t="array" ref="AT9">ROUND(IF((AS9-AR9-AO9)&lt;0,0,(AS9-AR9-AO9)),0)</f>
        <v>0</v>
      </c>
      <c r="AU9" s="296"/>
      <c r="AV9" s="296" cm="1">
        <f t="array" ref="AV9">IF(AT9&lt;=0,0,IF(AT9&lt;=10000000,AT9*5%,IF(AT9&lt;=30000000,AT9*10%-500000,IF(AT9&lt;=60000000,AT9*20%-3500000,IF(AT9&lt;=100000000,AT9*30%-9500000,AT9*35%-14500000)))))</f>
        <v>0</v>
      </c>
      <c r="AW9" s="291" cm="1">
        <f t="array" ref="AW9">ROUND((AM9-AO9-AV9-AU9),-3)</f>
        <v>19442000</v>
      </c>
      <c r="AX9" s="298">
        <v>55000000</v>
      </c>
      <c r="AY9" s="298"/>
      <c r="AZ9" s="291" cm="1">
        <f t="array" ref="AZ9">ROUND(AW9-AX9+AY9,0)</f>
        <v>-35558000</v>
      </c>
      <c r="BA9" s="296" cm="1">
        <f t="array" ref="BA9">AM9+AP9</f>
        <v>21141650</v>
      </c>
      <c r="BB9" s="254"/>
      <c r="BC9" s="299" cm="1">
        <f t="array" ref="BC9">(U9-V9)</f>
        <v>0</v>
      </c>
      <c r="BD9" s="300" cm="1">
        <f t="array" ref="BD9">AF9</f>
        <v>0</v>
      </c>
      <c r="BE9" s="172">
        <v>0</v>
      </c>
      <c r="BF9" s="172" cm="1">
        <f t="array" ref="BF9">T9</f>
        <v>2130000</v>
      </c>
      <c r="BG9" s="172">
        <v>55000000</v>
      </c>
      <c r="BH9" s="237">
        <v>0</v>
      </c>
      <c r="BI9" s="301" cm="1">
        <f t="array" ref="BI9">AW9-BG9</f>
        <v>-35558000</v>
      </c>
      <c r="BJ9" s="197"/>
      <c r="BK9" t="s" s="302">
        <v>90</v>
      </c>
      <c r="BL9" t="s" s="303">
        <v>209</v>
      </c>
      <c r="BM9" t="s" s="304">
        <v>210</v>
      </c>
      <c r="BN9" t="s" s="304">
        <v>211</v>
      </c>
      <c r="BO9" t="s" s="305">
        <v>212</v>
      </c>
      <c r="BP9" t="s" s="306">
        <v>213</v>
      </c>
      <c r="BQ9" t="s" s="307">
        <v>90</v>
      </c>
      <c r="BR9" t="s" s="308">
        <v>207</v>
      </c>
      <c r="BS9" t="s" s="309">
        <v>90</v>
      </c>
      <c r="BT9" s="310"/>
      <c r="BU9" s="310"/>
      <c r="BV9" s="311"/>
      <c r="BW9" s="162">
        <v>57475000</v>
      </c>
      <c r="BX9" s="310" cm="1">
        <f t="array" ref="BX9">L9-BW9</f>
        <v>-37475000</v>
      </c>
    </row>
    <row r="10" s="165" customFormat="1" ht="33" customHeight="1">
      <c r="A10" t="s" s="284">
        <v>207</v>
      </c>
      <c r="B10" t="s" s="285">
        <v>97</v>
      </c>
      <c r="C10" t="s" s="285">
        <v>98</v>
      </c>
      <c r="D10" t="s" s="285">
        <v>92</v>
      </c>
      <c r="E10" s="286"/>
      <c r="F10" t="s" s="287">
        <v>85</v>
      </c>
      <c r="G10" s="288"/>
      <c r="H10" s="288"/>
      <c r="I10" s="288"/>
      <c r="J10" s="289"/>
      <c r="K10" s="289"/>
      <c r="L10" s="290" cm="1">
        <f t="array" ref="L10">L9-1000000</f>
        <v>19000000</v>
      </c>
      <c r="M10" s="290" cm="1">
        <f t="array" ref="M10">L10</f>
        <v>19000000</v>
      </c>
      <c r="N10" s="291" cm="1">
        <f t="array" ref="N10">VLOOKUP(B10,'BHXH'!$E$7:$F$20,2,0)</f>
        <v>5310000</v>
      </c>
      <c r="O10" s="291" cm="1">
        <f t="array" ref="O10">M10-(N10+P10+Q10+R10+S10)</f>
        <v>11310000</v>
      </c>
      <c r="P10" s="291">
        <v>250000</v>
      </c>
      <c r="Q10" s="291">
        <v>400000</v>
      </c>
      <c r="R10" s="291">
        <v>1000000</v>
      </c>
      <c r="S10" s="291">
        <v>730000</v>
      </c>
      <c r="T10" s="291" cm="1">
        <f t="array" ref="T10">SUM(Q10:S10)</f>
        <v>2130000</v>
      </c>
      <c r="U10" s="292" cm="1">
        <f t="array" ref="U10">SUM(W10:Y10)</f>
        <v>22</v>
      </c>
      <c r="V10" s="292">
        <v>22</v>
      </c>
      <c r="W10" s="288"/>
      <c r="X10" s="288"/>
      <c r="Y10" s="293">
        <v>22</v>
      </c>
      <c r="Z10" s="291"/>
      <c r="AA10" s="290" cm="1">
        <f t="array" ref="AA10">SUM(AB10:AD10)</f>
        <v>19000000</v>
      </c>
      <c r="AB10" s="291" cm="1">
        <f t="array" ref="AB10">ROUND($G10/V10*W10,0)</f>
        <v>0</v>
      </c>
      <c r="AC10" s="291" cm="1">
        <f t="array" ref="AC10">ROUND(I10/V10*X10,0)</f>
        <v>0</v>
      </c>
      <c r="AD10" s="291" cm="1">
        <f t="array" ref="AD10">ROUND($M10/V10*Y10,0)</f>
        <v>19000000</v>
      </c>
      <c r="AE10" s="294"/>
      <c r="AF10" s="295" cm="1">
        <f t="array" ref="AF10">SUM(AG10:AL10)</f>
        <v>130000</v>
      </c>
      <c r="AG10" s="296">
        <v>10000</v>
      </c>
      <c r="AH10" s="296">
        <v>20000</v>
      </c>
      <c r="AI10" s="297">
        <v>30000</v>
      </c>
      <c r="AJ10" s="291">
        <v>-40000</v>
      </c>
      <c r="AK10" s="292">
        <v>50000</v>
      </c>
      <c r="AL10" s="296">
        <v>60000</v>
      </c>
      <c r="AM10" s="290" cm="1">
        <f t="array" ref="AM10">AA10+AF10</f>
        <v>19130000</v>
      </c>
      <c r="AN10" s="291" cm="1">
        <f t="array" ref="AN10">VLOOKUP(B10,'BHXH'!$E$7:$F$17,2,0)</f>
        <v>5310000</v>
      </c>
      <c r="AO10" s="291" cm="1">
        <f t="array" ref="AO10">$AN10*10.5%</f>
        <v>557550</v>
      </c>
      <c r="AP10" s="291" cm="1">
        <f t="array" ref="AP10">$AN10*21.5%</f>
        <v>1141650</v>
      </c>
      <c r="AQ10" s="297">
        <v>0</v>
      </c>
      <c r="AR10" s="296" cm="1">
        <f t="array" ref="AR10">IF($E10=10%,0,(AQ10*6200000+15500000))</f>
        <v>15500000</v>
      </c>
      <c r="AS10" s="296" cm="1">
        <f t="array" ref="AS10">AM10-(Q10+R10+S10)/V10*U10-AG10</f>
        <v>16990000</v>
      </c>
      <c r="AT10" s="291" cm="1">
        <f t="array" ref="AT10">ROUND(IF((AS10-AR10-AO10)&lt;0,0,(AS10-AR10-AO10)),0)</f>
        <v>932450</v>
      </c>
      <c r="AU10" s="296">
        <v>128080</v>
      </c>
      <c r="AV10" s="296" cm="1">
        <f t="array" ref="AV10">IF(AT10&lt;=0,0,IF(AT10&lt;=10000000,AT10*5%,IF(AT10&lt;=30000000,AT10*10%-500000,IF(AT10&lt;=60000000,AT10*20%-3500000,IF(AT10&lt;=100000000,AT10*30%-9500000,AT10*35%-14500000)))))</f>
        <v>46622.5</v>
      </c>
      <c r="AW10" s="291" cm="1">
        <f t="array" ref="AW10">ROUND((AM10-AO10-AV10-AU10),-3)</f>
        <v>18398000</v>
      </c>
      <c r="AX10" s="298">
        <v>10000000</v>
      </c>
      <c r="AY10" s="298">
        <v>503000</v>
      </c>
      <c r="AZ10" s="291" cm="1">
        <f t="array" ref="AZ10">ROUND(AW10-AX10+AY10,0)</f>
        <v>8901000</v>
      </c>
      <c r="BA10" s="296" cm="1">
        <f t="array" ref="BA10">AM10+AP10</f>
        <v>20271650</v>
      </c>
      <c r="BB10" s="254"/>
      <c r="BC10" s="299" cm="1">
        <f t="array" ref="BC10">(U10-V10)</f>
        <v>0</v>
      </c>
      <c r="BD10" s="300" cm="1">
        <f t="array" ref="BD10">AF10</f>
        <v>130000</v>
      </c>
      <c r="BE10" s="172">
        <v>0</v>
      </c>
      <c r="BF10" s="172" cm="1">
        <f t="array" ref="BF10">T10</f>
        <v>2130000</v>
      </c>
      <c r="BG10" s="172">
        <v>38000000</v>
      </c>
      <c r="BH10" s="237">
        <v>0</v>
      </c>
      <c r="BI10" s="301" cm="1">
        <f t="array" ref="BI10">AW10-BG10</f>
        <v>-19602000</v>
      </c>
      <c r="BJ10" s="312"/>
      <c r="BK10" t="s" s="313">
        <v>97</v>
      </c>
      <c r="BL10" t="s" s="314">
        <v>214</v>
      </c>
      <c r="BM10" t="s" s="315">
        <v>215</v>
      </c>
      <c r="BN10" t="s" s="315">
        <v>213</v>
      </c>
      <c r="BO10" t="s" s="316">
        <v>215</v>
      </c>
      <c r="BP10" t="s" s="306">
        <v>213</v>
      </c>
      <c r="BQ10" t="s" s="307">
        <v>97</v>
      </c>
      <c r="BR10" t="s" s="308">
        <v>207</v>
      </c>
      <c r="BS10" t="s" s="309">
        <v>97</v>
      </c>
      <c r="BW10" s="317">
        <v>40265328</v>
      </c>
      <c r="BX10" s="310" cm="1">
        <f t="array" ref="BX10">L10-BW10</f>
        <v>-21265328</v>
      </c>
    </row>
    <row r="11" s="163" customFormat="1" ht="24.75" customHeight="1">
      <c r="A11" t="s" s="318">
        <v>207</v>
      </c>
      <c r="B11" t="s" s="319">
        <v>115</v>
      </c>
      <c r="C11" t="s" s="319">
        <v>116</v>
      </c>
      <c r="D11" t="s" s="319">
        <v>117</v>
      </c>
      <c r="E11" s="320"/>
      <c r="F11" t="s" s="321">
        <v>85</v>
      </c>
      <c r="G11" s="322"/>
      <c r="H11" s="322"/>
      <c r="I11" s="323"/>
      <c r="J11" s="323"/>
      <c r="K11" s="323"/>
      <c r="L11" s="290" cm="1">
        <f t="array" ref="L11">L10-1000000</f>
        <v>18000000</v>
      </c>
      <c r="M11" s="290" cm="1">
        <f t="array" ref="M11">L11</f>
        <v>18000000</v>
      </c>
      <c r="N11" s="324" cm="1">
        <f t="array" ref="N11">VLOOKUP(B11,'BHXH'!$E$7:$F$20,2,0)</f>
        <v>5310000</v>
      </c>
      <c r="O11" s="324" cm="1">
        <f t="array" ref="O11">M11-(N11+P11+Q11+R11+S11)</f>
        <v>10810000</v>
      </c>
      <c r="P11" s="324">
        <v>250000</v>
      </c>
      <c r="Q11" s="324">
        <v>400000</v>
      </c>
      <c r="R11" s="324">
        <v>500000</v>
      </c>
      <c r="S11" s="324">
        <v>730000</v>
      </c>
      <c r="T11" s="324" cm="1">
        <f t="array" ref="T11">SUM(Q11:S11)</f>
        <v>1630000</v>
      </c>
      <c r="U11" s="325" cm="1">
        <f t="array" ref="U11">SUM(W11:Y11)</f>
        <v>10</v>
      </c>
      <c r="V11" s="325">
        <v>22</v>
      </c>
      <c r="W11" s="325"/>
      <c r="X11" s="326"/>
      <c r="Y11" s="327">
        <v>10</v>
      </c>
      <c r="Z11" s="324"/>
      <c r="AA11" s="328" cm="1">
        <f t="array" ref="AA11">SUM(AB11:AD11)</f>
        <v>8181818</v>
      </c>
      <c r="AB11" s="324" cm="1">
        <f t="array" ref="AB11">ROUND($G11/V11*W11,0)</f>
        <v>0</v>
      </c>
      <c r="AC11" s="324" cm="1">
        <f t="array" ref="AC11">ROUND(I11/V11*X11,0)</f>
        <v>0</v>
      </c>
      <c r="AD11" s="324" cm="1">
        <f t="array" ref="AD11">ROUND($M11/V11*Y11,0)</f>
        <v>8181818</v>
      </c>
      <c r="AE11" s="294"/>
      <c r="AF11" s="294" cm="1">
        <f t="array" ref="AF11">SUM(AG11:AL11)</f>
        <v>-225000</v>
      </c>
      <c r="AG11" s="322">
        <v>0</v>
      </c>
      <c r="AH11" s="322"/>
      <c r="AI11" s="329"/>
      <c r="AJ11" s="291">
        <v>-225000</v>
      </c>
      <c r="AK11" s="325"/>
      <c r="AL11" s="322"/>
      <c r="AM11" s="328" cm="1">
        <f t="array" ref="AM11">AA11+AF11</f>
        <v>7956818</v>
      </c>
      <c r="AN11" s="324" cm="1">
        <f t="array" ref="AN11">VLOOKUP(B11,'BHXH'!$E$7:$F$17,2,0)</f>
        <v>5310000</v>
      </c>
      <c r="AO11" s="324" cm="1">
        <f t="array" ref="AO11">$AN11*10.5%</f>
        <v>557550</v>
      </c>
      <c r="AP11" s="324" cm="1">
        <f t="array" ref="AP11">$AN11*21.5%</f>
        <v>1141650</v>
      </c>
      <c r="AQ11" s="330">
        <v>0</v>
      </c>
      <c r="AR11" s="322" cm="1">
        <f t="array" ref="AR11">IF($E11=10%,0,(AQ11*6200000+15500000))</f>
        <v>15500000</v>
      </c>
      <c r="AS11" s="322" cm="1">
        <f t="array" ref="AS11">AM11-(Q11+R11+S11)/V11*U11-AG11</f>
        <v>7215908.90909091</v>
      </c>
      <c r="AT11" s="324" cm="1">
        <f t="array" ref="AT11">ROUND(IF((AS11-AR11-AO11)&lt;0,0,(AS11-AR11-AO11)),0)</f>
        <v>0</v>
      </c>
      <c r="AU11" s="322"/>
      <c r="AV11" s="322" cm="1">
        <f t="array" ref="AV11">IF(AT11&lt;=0,0,IF(AT11&lt;=10000000,AT11*5%,IF(AT11&lt;=30000000,AT11*10%-500000,IF(AT11&lt;=60000000,AT11*20%-3500000,IF(AT11&lt;=100000000,AT11*30%-9500000,AT11*35%-14500000)))))</f>
        <v>0</v>
      </c>
      <c r="AW11" s="324" cm="1">
        <f t="array" ref="AW11">ROUND((AM11-AO11-AV11-AU11),-3)</f>
        <v>7399000</v>
      </c>
      <c r="AX11" s="331"/>
      <c r="AY11" s="331"/>
      <c r="AZ11" s="324" cm="1">
        <f t="array" ref="AZ11">ROUND(AW11-AX11+AY11,0)</f>
        <v>7399000</v>
      </c>
      <c r="BA11" s="322" cm="1">
        <f t="array" ref="BA11">AM11+AP11</f>
        <v>9098468</v>
      </c>
      <c r="BB11" s="332"/>
      <c r="BC11" s="333" cm="1">
        <f t="array" ref="BC11">(U11-V11)</f>
        <v>-12</v>
      </c>
      <c r="BD11" s="334" cm="1">
        <f t="array" ref="BD11">AF11</f>
        <v>-225000</v>
      </c>
      <c r="BE11" s="335">
        <v>-450000</v>
      </c>
      <c r="BF11" s="335" cm="1">
        <f t="array" ref="BF11">T11</f>
        <v>1630000</v>
      </c>
      <c r="BG11" s="172">
        <v>23710000</v>
      </c>
      <c r="BH11" s="336">
        <v>0</v>
      </c>
      <c r="BI11" s="337" cm="1">
        <f t="array" ref="BI11">AW11-BG11</f>
        <v>-16311000</v>
      </c>
      <c r="BJ11" t="s" s="338">
        <v>216</v>
      </c>
      <c r="BK11" t="s" s="339">
        <v>115</v>
      </c>
      <c r="BL11" t="s" s="340">
        <v>217</v>
      </c>
      <c r="BM11" t="s" s="341">
        <v>218</v>
      </c>
      <c r="BN11" t="s" s="341">
        <v>211</v>
      </c>
      <c r="BO11" t="s" s="340">
        <v>218</v>
      </c>
      <c r="BP11" t="s" s="341">
        <v>211</v>
      </c>
      <c r="BQ11" t="s" s="342">
        <v>115</v>
      </c>
      <c r="BR11" t="s" s="308">
        <v>219</v>
      </c>
      <c r="BS11" t="s" s="309">
        <v>115</v>
      </c>
      <c r="BW11" s="343">
        <v>24913865.7894737</v>
      </c>
      <c r="BX11" s="344" cm="1">
        <f t="array" ref="BX11">L11-BW11</f>
        <v>-6913865.7894737</v>
      </c>
    </row>
    <row r="12" s="165" customFormat="1" ht="26.25" customHeight="1">
      <c r="A12" t="s" s="284">
        <v>207</v>
      </c>
      <c r="B12" t="s" s="285">
        <v>220</v>
      </c>
      <c r="C12" t="s" s="285">
        <v>126</v>
      </c>
      <c r="D12" t="s" s="285">
        <v>221</v>
      </c>
      <c r="E12" s="345"/>
      <c r="F12" t="s" s="287">
        <v>85</v>
      </c>
      <c r="G12" s="296"/>
      <c r="H12" s="296"/>
      <c r="I12" s="296"/>
      <c r="J12" s="289"/>
      <c r="K12" s="289"/>
      <c r="L12" s="290" cm="1">
        <f t="array" ref="L12">L11-1000000</f>
        <v>17000000</v>
      </c>
      <c r="M12" s="290" cm="1">
        <f t="array" ref="M12">L12</f>
        <v>17000000</v>
      </c>
      <c r="N12" s="291" cm="1">
        <f t="array" ref="N12">VLOOKUP(B12,'BHXH'!$E$7:$F$20,2,0)</f>
        <v>5310000</v>
      </c>
      <c r="O12" s="291" cm="1">
        <f t="array" ref="O12">M12-(N12+P12+Q12+R12+S12)</f>
        <v>9310000</v>
      </c>
      <c r="P12" s="291">
        <v>250000</v>
      </c>
      <c r="Q12" s="291">
        <v>400000</v>
      </c>
      <c r="R12" s="291">
        <v>1000000</v>
      </c>
      <c r="S12" s="291">
        <v>730000</v>
      </c>
      <c r="T12" s="291" cm="1">
        <f t="array" ref="T12">SUM(Q12:S12)</f>
        <v>2130000</v>
      </c>
      <c r="U12" s="292" cm="1">
        <f t="array" ref="U12">SUM(W12:Y12)</f>
        <v>22</v>
      </c>
      <c r="V12" s="292">
        <v>22</v>
      </c>
      <c r="W12" s="292"/>
      <c r="X12" s="346"/>
      <c r="Y12" s="293">
        <v>22</v>
      </c>
      <c r="Z12" s="291"/>
      <c r="AA12" s="290" cm="1">
        <f t="array" ref="AA12">SUM(AB12:AD12)</f>
        <v>17000000</v>
      </c>
      <c r="AB12" s="291" cm="1">
        <f t="array" ref="AB12">ROUND($G12/V12*W12,0)</f>
        <v>0</v>
      </c>
      <c r="AC12" s="291" cm="1">
        <f t="array" ref="AC12">ROUND(I12/V12*X12,0)</f>
        <v>0</v>
      </c>
      <c r="AD12" s="291" cm="1">
        <f t="array" ref="AD12">ROUND($M12/V12*Y12,0)</f>
        <v>17000000</v>
      </c>
      <c r="AE12" s="294"/>
      <c r="AF12" s="295" cm="1">
        <f t="array" ref="AF12">SUM(AG12:AL12)</f>
        <v>0</v>
      </c>
      <c r="AG12" s="296">
        <v>0</v>
      </c>
      <c r="AH12" s="296"/>
      <c r="AI12" s="288"/>
      <c r="AJ12" s="291">
        <v>0</v>
      </c>
      <c r="AK12" s="292"/>
      <c r="AL12" s="296"/>
      <c r="AM12" s="290" cm="1">
        <f t="array" ref="AM12">AA12+AF12</f>
        <v>17000000</v>
      </c>
      <c r="AN12" s="291" cm="1">
        <f t="array" ref="AN12">VLOOKUP(B12,'BHXH'!$E$7:$F$17,2,0)</f>
        <v>5310000</v>
      </c>
      <c r="AO12" s="291" cm="1">
        <f t="array" ref="AO12">$AN12*10.5%</f>
        <v>557550</v>
      </c>
      <c r="AP12" s="291" cm="1">
        <f t="array" ref="AP12">$AN12*21.5%</f>
        <v>1141650</v>
      </c>
      <c r="AQ12" s="297">
        <v>2</v>
      </c>
      <c r="AR12" s="296" cm="1">
        <f t="array" ref="AR12">IF($E12=10%,0,(AQ12*6200000+15500000))</f>
        <v>27900000</v>
      </c>
      <c r="AS12" s="296" cm="1">
        <f t="array" ref="AS12">AM12-(Q12+R12+S12)/V12*U12-AG12</f>
        <v>14870000</v>
      </c>
      <c r="AT12" s="291" cm="1">
        <f t="array" ref="AT12">ROUND(IF((AS12-AR12-AO12)&lt;0,0,(AS12-AR12-AO12)),0)</f>
        <v>0</v>
      </c>
      <c r="AU12" s="296" cm="1">
        <f t="array" ref="AU12">AS12*10%</f>
        <v>1487000</v>
      </c>
      <c r="AV12" s="296"/>
      <c r="AW12" s="291" cm="1">
        <f t="array" ref="AW12">ROUND((AM12-AO12-AV12-AU12),-3)</f>
        <v>14955000</v>
      </c>
      <c r="AX12" s="298">
        <v>80000000</v>
      </c>
      <c r="AY12" s="298"/>
      <c r="AZ12" s="291" cm="1">
        <f t="array" ref="AZ12">ROUND(AW12-AX12+AY12,0)</f>
        <v>-65045000</v>
      </c>
      <c r="BA12" s="296" cm="1">
        <f t="array" ref="BA12">AM12+AP12</f>
        <v>18141650</v>
      </c>
      <c r="BB12" s="347"/>
      <c r="BC12" s="299" cm="1">
        <f t="array" ref="BC12">(U12-V12)</f>
        <v>0</v>
      </c>
      <c r="BD12" s="300" cm="1">
        <f t="array" ref="BD12">AF12</f>
        <v>0</v>
      </c>
      <c r="BE12" s="172">
        <v>0</v>
      </c>
      <c r="BF12" s="172" cm="1">
        <f t="array" ref="BF12">T12</f>
        <v>2130000</v>
      </c>
      <c r="BG12" s="172">
        <v>80000000</v>
      </c>
      <c r="BH12" s="237">
        <v>0</v>
      </c>
      <c r="BI12" s="301" cm="1">
        <f t="array" ref="BI12">AW12-BG12</f>
        <v>-65045000</v>
      </c>
      <c r="BJ12" s="197"/>
      <c r="BK12" t="s" s="313">
        <v>220</v>
      </c>
      <c r="BL12" t="s" s="314">
        <v>222</v>
      </c>
      <c r="BM12" t="s" s="315">
        <v>223</v>
      </c>
      <c r="BN12" t="s" s="315">
        <v>213</v>
      </c>
      <c r="BO12" t="s" s="348">
        <v>223</v>
      </c>
      <c r="BP12" t="s" s="306">
        <v>213</v>
      </c>
      <c r="BQ12" t="s" s="307">
        <v>220</v>
      </c>
      <c r="BR12" t="s" s="308">
        <v>207</v>
      </c>
      <c r="BS12" t="s" s="309">
        <v>220</v>
      </c>
      <c r="BW12" s="349">
        <v>90217500</v>
      </c>
      <c r="BX12" s="310" cm="1">
        <f t="array" ref="BX12">L12-BW12</f>
        <v>-73217500</v>
      </c>
    </row>
    <row r="13" s="165" customFormat="1" ht="26.25" customHeight="1">
      <c r="A13" s="350">
        <v>5</v>
      </c>
      <c r="B13" t="s" s="351">
        <v>224</v>
      </c>
      <c r="C13" t="s" s="352">
        <v>129</v>
      </c>
      <c r="D13" t="s" s="352">
        <v>225</v>
      </c>
      <c r="E13" s="345"/>
      <c r="F13" t="s" s="287">
        <v>85</v>
      </c>
      <c r="G13" s="296"/>
      <c r="H13" s="296"/>
      <c r="I13" s="296"/>
      <c r="J13" s="289"/>
      <c r="K13" s="289"/>
      <c r="L13" s="290" cm="1">
        <f t="array" ref="L13">L12-1000000</f>
        <v>16000000</v>
      </c>
      <c r="M13" s="290" cm="1">
        <f t="array" ref="M13">L13</f>
        <v>16000000</v>
      </c>
      <c r="N13" s="291" cm="1">
        <f t="array" ref="N13">VLOOKUP(B13,'BHXH'!$E$7:$F$20,2,0)</f>
        <v>5310000</v>
      </c>
      <c r="O13" s="291" cm="1">
        <f t="array" ref="O13">M13-(N13+P13+Q13+R13+S13)</f>
        <v>8810000</v>
      </c>
      <c r="P13" s="291">
        <v>250000</v>
      </c>
      <c r="Q13" s="291">
        <v>400000</v>
      </c>
      <c r="R13" s="291">
        <v>500000</v>
      </c>
      <c r="S13" s="291">
        <v>730000</v>
      </c>
      <c r="T13" s="291" cm="1">
        <f t="array" ref="T13">SUM(Q13:S13)</f>
        <v>1630000</v>
      </c>
      <c r="U13" s="292" cm="1">
        <f t="array" ref="U13">SUM(W13:Y13)</f>
        <v>22</v>
      </c>
      <c r="V13" s="292">
        <v>22</v>
      </c>
      <c r="W13" s="292"/>
      <c r="X13" s="346"/>
      <c r="Y13" s="293">
        <v>22</v>
      </c>
      <c r="Z13" s="291"/>
      <c r="AA13" s="290" cm="1">
        <f t="array" ref="AA13">SUM(AB13:AD13)</f>
        <v>16000000</v>
      </c>
      <c r="AB13" s="291" cm="1">
        <f t="array" ref="AB13">ROUND($G13/V13*W13,0)</f>
        <v>0</v>
      </c>
      <c r="AC13" s="291" cm="1">
        <f t="array" ref="AC13">ROUND(I13/V13*X13,0)</f>
        <v>0</v>
      </c>
      <c r="AD13" s="291" cm="1">
        <f t="array" ref="AD13">ROUND($M13/V13*Y13,0)</f>
        <v>16000000</v>
      </c>
      <c r="AE13" s="294"/>
      <c r="AF13" s="295" cm="1">
        <f t="array" ref="AF13">SUM(AG13:AL13)</f>
        <v>0</v>
      </c>
      <c r="AG13" s="296">
        <v>0</v>
      </c>
      <c r="AH13" s="296"/>
      <c r="AI13" s="288"/>
      <c r="AJ13" s="291">
        <v>0</v>
      </c>
      <c r="AK13" s="292"/>
      <c r="AL13" s="296"/>
      <c r="AM13" s="290" cm="1">
        <f t="array" ref="AM13">AA13+AF13</f>
        <v>16000000</v>
      </c>
      <c r="AN13" s="291" cm="1">
        <f t="array" ref="AN13">VLOOKUP(B13,'BHXH'!$E$7:$F$17,2,0)</f>
        <v>5310000</v>
      </c>
      <c r="AO13" s="291" cm="1">
        <f t="array" ref="AO13">$AN13*10.5%</f>
        <v>557550</v>
      </c>
      <c r="AP13" s="291" cm="1">
        <f t="array" ref="AP13">$AN13*21.5%</f>
        <v>1141650</v>
      </c>
      <c r="AQ13" s="297">
        <v>0</v>
      </c>
      <c r="AR13" s="296" cm="1">
        <f t="array" ref="AR13">IF($E13=10%,0,(AQ13*6200000+15500000))</f>
        <v>15500000</v>
      </c>
      <c r="AS13" s="296" cm="1">
        <f t="array" ref="AS13">AM13-(Q13+R13+S13)/V13*U13-AG13</f>
        <v>14370000</v>
      </c>
      <c r="AT13" s="291" cm="1">
        <f t="array" ref="AT13">ROUND(IF((AS13-AR13-AO13)&lt;0,0,(AS13-AR13-AO13)),0)</f>
        <v>0</v>
      </c>
      <c r="AU13" s="296" cm="1">
        <f t="array" ref="AU13">AS13*10%</f>
        <v>1437000</v>
      </c>
      <c r="AV13" s="296" cm="1">
        <f t="array" ref="AV13">IF(AT13&lt;=0,0,IF(AT13&lt;=10000000,AT13*5%,IF(AT13&lt;=30000000,AT13*10%-500000,IF(AT13&lt;=60000000,AT13*20%-3500000,IF(AT13&lt;=100000000,AT13*30%-9500000,AT13*35%-14500000)))))</f>
        <v>0</v>
      </c>
      <c r="AW13" s="291" cm="1">
        <f t="array" ref="AW13">ROUND((AM13-AO13-AV13-AU13),-3)</f>
        <v>14005000</v>
      </c>
      <c r="AX13" s="298">
        <v>13055000</v>
      </c>
      <c r="AY13" s="298"/>
      <c r="AZ13" s="291" cm="1">
        <f t="array" ref="AZ13">ROUND(AW13-AX13+AY13,0)</f>
        <v>950000</v>
      </c>
      <c r="BA13" s="296" cm="1">
        <f t="array" ref="BA13">AM13+AP13</f>
        <v>17141650</v>
      </c>
      <c r="BB13" s="347"/>
      <c r="BC13" s="299" cm="1">
        <f t="array" ref="BC13">(U13-V13)</f>
        <v>0</v>
      </c>
      <c r="BD13" s="300" cm="1">
        <f t="array" ref="BD13">AF13</f>
        <v>0</v>
      </c>
      <c r="BE13" s="172">
        <v>0</v>
      </c>
      <c r="BF13" s="172" cm="1">
        <f t="array" ref="BF13">T13</f>
        <v>1630000</v>
      </c>
      <c r="BG13" s="172">
        <v>12830000</v>
      </c>
      <c r="BH13" s="237">
        <v>0</v>
      </c>
      <c r="BI13" s="337" cm="1">
        <f t="array" ref="BI13">AW13-BG13</f>
        <v>1175000</v>
      </c>
      <c r="BJ13" t="s" s="353">
        <v>226</v>
      </c>
      <c r="BK13" t="s" s="354">
        <v>224</v>
      </c>
      <c r="BL13" t="s" s="304">
        <v>227</v>
      </c>
      <c r="BM13" t="s" s="355">
        <v>228</v>
      </c>
      <c r="BN13" t="s" s="355">
        <v>229</v>
      </c>
      <c r="BO13" t="s" s="304">
        <v>228</v>
      </c>
      <c r="BP13" t="s" s="356">
        <v>229</v>
      </c>
      <c r="BQ13" t="s" s="357">
        <v>224</v>
      </c>
      <c r="BR13" t="s" s="308">
        <v>219</v>
      </c>
      <c r="BS13" t="s" s="309">
        <v>224</v>
      </c>
      <c r="BW13" s="162">
        <v>14000000</v>
      </c>
      <c r="BX13" s="310" cm="1">
        <f t="array" ref="BX13">L13-BW13</f>
        <v>2000000</v>
      </c>
    </row>
    <row r="14" s="163" customFormat="1" ht="24.75" customHeight="1">
      <c r="A14" s="358" cm="1">
        <f t="array" ref="A14">A13+1</f>
        <v>6</v>
      </c>
      <c r="B14" t="s" s="359">
        <v>230</v>
      </c>
      <c r="C14" t="s" s="359">
        <v>231</v>
      </c>
      <c r="D14" t="s" s="319">
        <v>92</v>
      </c>
      <c r="E14" s="320"/>
      <c r="F14" t="s" s="321">
        <v>85</v>
      </c>
      <c r="G14" s="324"/>
      <c r="H14" s="324"/>
      <c r="I14" s="322"/>
      <c r="J14" s="323"/>
      <c r="K14" s="323"/>
      <c r="L14" s="290" cm="1">
        <f t="array" ref="L14">L13-1000000</f>
        <v>15000000</v>
      </c>
      <c r="M14" s="290" cm="1">
        <f t="array" ref="M14">L14</f>
        <v>15000000</v>
      </c>
      <c r="N14" s="324" cm="1">
        <f t="array" ref="N14">VLOOKUP(B14,'BHXH'!$E$7:$F$20,2,0)</f>
        <v>5310000</v>
      </c>
      <c r="O14" s="324" cm="1">
        <f t="array" ref="O14">M14-(N14+P14+Q14+R14+S14)</f>
        <v>7810000</v>
      </c>
      <c r="P14" s="324">
        <v>250000</v>
      </c>
      <c r="Q14" s="324">
        <v>400000</v>
      </c>
      <c r="R14" s="324">
        <v>500000</v>
      </c>
      <c r="S14" s="324">
        <v>730000</v>
      </c>
      <c r="T14" s="324" cm="1">
        <f t="array" ref="T14">SUM(Q14:S14)</f>
        <v>1630000</v>
      </c>
      <c r="U14" s="325" cm="1">
        <f t="array" ref="U14">SUM(W14:Y14)</f>
        <v>22</v>
      </c>
      <c r="V14" s="325">
        <v>22</v>
      </c>
      <c r="W14" s="325"/>
      <c r="X14" s="325"/>
      <c r="Y14" s="327">
        <v>22</v>
      </c>
      <c r="Z14" s="324"/>
      <c r="AA14" s="328" cm="1">
        <f t="array" ref="AA14">SUM(AB14:AD14)</f>
        <v>15000000</v>
      </c>
      <c r="AB14" s="324" cm="1">
        <f t="array" ref="AB14">ROUND($G14/V14*W14,0)</f>
        <v>0</v>
      </c>
      <c r="AC14" s="324" cm="1">
        <f t="array" ref="AC14">ROUND(I14/V14*X14,0)</f>
        <v>0</v>
      </c>
      <c r="AD14" s="324" cm="1">
        <f t="array" ref="AD14">ROUND($M14/V14*Y14,0)</f>
        <v>15000000</v>
      </c>
      <c r="AE14" s="294"/>
      <c r="AF14" s="360" cm="1">
        <f t="array" ref="AF14">SUM(AG14:AL14)</f>
        <v>-450000</v>
      </c>
      <c r="AG14" s="322">
        <v>0</v>
      </c>
      <c r="AH14" s="322"/>
      <c r="AI14" s="329"/>
      <c r="AJ14" s="291">
        <v>-450000</v>
      </c>
      <c r="AK14" s="325"/>
      <c r="AL14" s="322"/>
      <c r="AM14" s="328" cm="1">
        <f t="array" ref="AM14">AA14+AF14</f>
        <v>14550000</v>
      </c>
      <c r="AN14" s="324" cm="1">
        <f t="array" ref="AN14">VLOOKUP(B14,'BHXH'!$E$7:$F$17,2,0)</f>
        <v>5310000</v>
      </c>
      <c r="AO14" s="324" cm="1">
        <f t="array" ref="AO14">$AN14*10.5%</f>
        <v>557550</v>
      </c>
      <c r="AP14" s="324" cm="1">
        <f t="array" ref="AP14">$AN14*21.5%</f>
        <v>1141650</v>
      </c>
      <c r="AQ14" s="330">
        <v>0</v>
      </c>
      <c r="AR14" s="322" cm="1">
        <f t="array" ref="AR14">IF($E14=10%,0,(AQ14*6200000+15500000))</f>
        <v>15500000</v>
      </c>
      <c r="AS14" s="322" cm="1">
        <f t="array" ref="AS14">AM14-(Q14+R14+S14)/V14*U14-AG14</f>
        <v>12920000</v>
      </c>
      <c r="AT14" s="324" cm="1">
        <f t="array" ref="AT14">ROUND(IF((AS14-AR14-AO14)&lt;0,0,(AS14-AR14-AO14)),0)</f>
        <v>0</v>
      </c>
      <c r="AU14" s="296" cm="1">
        <f t="array" ref="AU14">AS14*10%</f>
        <v>1292000</v>
      </c>
      <c r="AV14" s="322" cm="1">
        <f t="array" ref="AV14">IF(AT14&lt;=0,0,IF(AT14&lt;=10000000,AT14*5%,IF(AT14&lt;=30000000,AT14*10%-500000,IF(AT14&lt;=60000000,AT14*20%-3500000,IF(AT14&lt;=100000000,AT14*30%-9500000,AT14*35%-14500000)))))</f>
        <v>0</v>
      </c>
      <c r="AW14" s="324" cm="1">
        <f t="array" ref="AW14">ROUND((AM14-AO14-AV14-AU14),-3)</f>
        <v>12700000</v>
      </c>
      <c r="AX14" s="331">
        <v>15992000</v>
      </c>
      <c r="AY14" s="331"/>
      <c r="AZ14" s="324" cm="1">
        <f t="array" ref="AZ14">ROUND(AW14-AX14+AY14,0)</f>
        <v>-3292000</v>
      </c>
      <c r="BA14" s="322" cm="1">
        <f t="array" ref="BA14">AM14+AP14</f>
        <v>15691650</v>
      </c>
      <c r="BB14" s="332"/>
      <c r="BC14" s="333" cm="1">
        <f t="array" ref="BC14">(U14-V14)</f>
        <v>0</v>
      </c>
      <c r="BD14" s="334" cm="1">
        <f t="array" ref="BD14">AF14</f>
        <v>-450000</v>
      </c>
      <c r="BE14" s="335">
        <v>450500</v>
      </c>
      <c r="BF14" s="335" cm="1">
        <f t="array" ref="BF14">T14</f>
        <v>1630000</v>
      </c>
      <c r="BG14" s="172">
        <v>16067000</v>
      </c>
      <c r="BH14" s="336">
        <v>0</v>
      </c>
      <c r="BI14" s="337" cm="1">
        <f t="array" ref="BI14">AW14-BG14</f>
        <v>-3367000</v>
      </c>
      <c r="BJ14" t="s" s="353">
        <v>226</v>
      </c>
      <c r="BK14" t="s" s="361">
        <v>232</v>
      </c>
      <c r="BL14" t="s" s="362">
        <v>233</v>
      </c>
      <c r="BM14" t="s" s="363">
        <v>234</v>
      </c>
      <c r="BN14" t="s" s="364">
        <v>211</v>
      </c>
      <c r="BO14" t="s" s="362">
        <v>235</v>
      </c>
      <c r="BP14" t="s" s="362">
        <v>229</v>
      </c>
      <c r="BQ14" t="s" s="365">
        <v>230</v>
      </c>
      <c r="BR14" t="s" s="308">
        <v>219</v>
      </c>
      <c r="BS14" t="s" s="309">
        <v>232</v>
      </c>
      <c r="BT14" s="310">
        <v>15415000</v>
      </c>
      <c r="BU14" s="310">
        <v>1500000</v>
      </c>
      <c r="BV14" s="310" cm="1">
        <f t="array" ref="BV14">AW14-BT14-BU14</f>
        <v>-4215000</v>
      </c>
      <c r="BW14" s="162">
        <v>17000000</v>
      </c>
      <c r="BX14" s="310" cm="1">
        <f t="array" ref="BX14">L14-BW14</f>
        <v>-2000000</v>
      </c>
    </row>
    <row r="15" s="163" customFormat="1" ht="24" customHeight="1">
      <c r="A15" t="s" s="318">
        <v>207</v>
      </c>
      <c r="B15" t="s" s="366">
        <v>139</v>
      </c>
      <c r="C15" t="s" s="366">
        <v>140</v>
      </c>
      <c r="D15" t="s" s="319">
        <v>236</v>
      </c>
      <c r="E15" s="320"/>
      <c r="F15" t="s" s="321">
        <v>85</v>
      </c>
      <c r="G15" s="322"/>
      <c r="H15" s="322"/>
      <c r="I15" s="322"/>
      <c r="J15" s="323"/>
      <c r="K15" s="323"/>
      <c r="L15" s="290" cm="1">
        <f t="array" ref="L15">L14-1000000</f>
        <v>14000000</v>
      </c>
      <c r="M15" s="290" cm="1">
        <f t="array" ref="M15">L15</f>
        <v>14000000</v>
      </c>
      <c r="N15" s="324" cm="1">
        <f t="array" ref="N15">VLOOKUP(B15,'BHXH'!$E$7:$F$20,2,0)</f>
        <v>5310000</v>
      </c>
      <c r="O15" s="324" cm="1">
        <f t="array" ref="O15">M15-(N15+P15+Q15+R15+S15)</f>
        <v>6810000</v>
      </c>
      <c r="P15" s="324">
        <v>250000</v>
      </c>
      <c r="Q15" s="324">
        <v>400000</v>
      </c>
      <c r="R15" s="324">
        <v>500000</v>
      </c>
      <c r="S15" s="324">
        <v>730000</v>
      </c>
      <c r="T15" s="324" cm="1">
        <f t="array" ref="T15">SUM(Q15:S15)</f>
        <v>1630000</v>
      </c>
      <c r="U15" s="325" cm="1">
        <f t="array" ref="U15">SUM(W15:Y15)</f>
        <v>22</v>
      </c>
      <c r="V15" s="325">
        <v>22</v>
      </c>
      <c r="W15" s="325"/>
      <c r="X15" s="367"/>
      <c r="Y15" s="327">
        <v>22</v>
      </c>
      <c r="Z15" s="324"/>
      <c r="AA15" s="328" cm="1">
        <f t="array" ref="AA15">SUM(AB15:AD15)</f>
        <v>14000000</v>
      </c>
      <c r="AB15" s="324" cm="1">
        <f t="array" ref="AB15">ROUND($G15/V15*W15,0)</f>
        <v>0</v>
      </c>
      <c r="AC15" s="324" cm="1">
        <f t="array" ref="AC15">ROUND(I15/V15*X15,0)</f>
        <v>0</v>
      </c>
      <c r="AD15" s="324" cm="1">
        <f t="array" ref="AD15">ROUND($M15/V15*Y15,0)</f>
        <v>14000000</v>
      </c>
      <c r="AE15" s="294"/>
      <c r="AF15" s="294" cm="1">
        <f t="array" ref="AF15">SUM(AG15:AL15)</f>
        <v>-50000</v>
      </c>
      <c r="AG15" s="322">
        <v>0</v>
      </c>
      <c r="AH15" s="322"/>
      <c r="AI15" s="329"/>
      <c r="AJ15" s="291">
        <v>-50000</v>
      </c>
      <c r="AK15" s="325"/>
      <c r="AL15" s="322"/>
      <c r="AM15" s="328" cm="1">
        <f t="array" ref="AM15">AA15+AF15</f>
        <v>13950000</v>
      </c>
      <c r="AN15" s="324" cm="1">
        <f t="array" ref="AN15">VLOOKUP(B15,'BHXH'!$E$7:$F$17,2,0)</f>
        <v>5310000</v>
      </c>
      <c r="AO15" s="324" cm="1">
        <f t="array" ref="AO15">$AN15*10.5%</f>
        <v>557550</v>
      </c>
      <c r="AP15" s="324" cm="1">
        <f t="array" ref="AP15">$AN15*21.5%</f>
        <v>1141650</v>
      </c>
      <c r="AQ15" s="330">
        <v>0</v>
      </c>
      <c r="AR15" s="322" cm="1">
        <f t="array" ref="AR15">IF($E15=10%,0,(AQ15*6200000+15500000))</f>
        <v>15500000</v>
      </c>
      <c r="AS15" s="322" cm="1">
        <f t="array" ref="AS15">AM15-(Q15+R15+S15)/V15*U15-AG15</f>
        <v>12320000</v>
      </c>
      <c r="AT15" s="324" cm="1">
        <f t="array" ref="AT15">ROUND(IF((AS15-AR15-AO15)&lt;0,0,(AS15-AR15-AO15)),0)</f>
        <v>0</v>
      </c>
      <c r="AU15" s="296" cm="1">
        <f t="array" ref="AU15">AS15*10%</f>
        <v>1232000</v>
      </c>
      <c r="AV15" s="322" cm="1">
        <f t="array" ref="AV15">IF(AT15&lt;=0,0,IF(AT15&lt;=10000000,AT15*5%,IF(AT15&lt;=30000000,AT15*10%-500000,IF(AT15&lt;=60000000,AT15*20%-3500000,IF(AT15&lt;=100000000,AT15*30%-9500000,AT15*35%-14500000)))))</f>
        <v>0</v>
      </c>
      <c r="AW15" s="324" cm="1">
        <f t="array" ref="AW15">ROUND((AM15-AO15-AV15-AU15),-3)</f>
        <v>12160000</v>
      </c>
      <c r="AX15" s="331"/>
      <c r="AY15" s="331"/>
      <c r="AZ15" s="324" cm="1">
        <f t="array" ref="AZ15">ROUND(AW15-AX15+AY15,0)</f>
        <v>12160000</v>
      </c>
      <c r="BA15" s="322" cm="1">
        <f t="array" ref="BA15">AM15+AP15</f>
        <v>15091650</v>
      </c>
      <c r="BB15" s="332"/>
      <c r="BC15" s="333" cm="1">
        <f t="array" ref="BC15">(U15-V15)</f>
        <v>0</v>
      </c>
      <c r="BD15" s="334" cm="1">
        <f t="array" ref="BD15">AF15</f>
        <v>-50000</v>
      </c>
      <c r="BE15" s="335">
        <v>0</v>
      </c>
      <c r="BF15" s="335" cm="1">
        <f t="array" ref="BF15">T15</f>
        <v>1630000</v>
      </c>
      <c r="BG15" s="172">
        <v>30000000</v>
      </c>
      <c r="BH15" s="336">
        <v>0</v>
      </c>
      <c r="BI15" s="301" cm="1">
        <f t="array" ref="BI15">AW15-BG15</f>
        <v>-17840000</v>
      </c>
      <c r="BJ15" s="197"/>
      <c r="BK15" t="s" s="361">
        <v>139</v>
      </c>
      <c r="BL15" t="s" s="362">
        <v>237</v>
      </c>
      <c r="BM15" t="s" s="363">
        <v>238</v>
      </c>
      <c r="BN15" t="s" s="364">
        <v>211</v>
      </c>
      <c r="BO15" t="s" s="362">
        <v>239</v>
      </c>
      <c r="BP15" t="s" s="362">
        <v>240</v>
      </c>
      <c r="BQ15" t="s" s="365">
        <v>139</v>
      </c>
      <c r="BR15" t="s" s="308">
        <v>207</v>
      </c>
      <c r="BS15" t="s" s="309">
        <v>139</v>
      </c>
      <c r="BT15" s="310"/>
      <c r="BU15" s="310"/>
      <c r="BV15" s="310"/>
      <c r="BW15" s="162">
        <v>31431994</v>
      </c>
      <c r="BX15" s="310" cm="1">
        <f t="array" ref="BX15">L15-BW15</f>
        <v>-17431994</v>
      </c>
    </row>
    <row r="16" s="165" customFormat="1" ht="28.5" customHeight="1">
      <c r="A16" s="350">
        <v>8</v>
      </c>
      <c r="B16" t="s" s="351">
        <v>142</v>
      </c>
      <c r="C16" t="s" s="285">
        <v>143</v>
      </c>
      <c r="D16" t="s" s="285">
        <v>144</v>
      </c>
      <c r="E16" s="345"/>
      <c r="F16" t="s" s="287">
        <v>85</v>
      </c>
      <c r="G16" s="291"/>
      <c r="H16" s="291"/>
      <c r="I16" s="296"/>
      <c r="J16" s="289"/>
      <c r="K16" s="289"/>
      <c r="L16" s="290" cm="1">
        <f t="array" ref="L16">L15-1000000</f>
        <v>13000000</v>
      </c>
      <c r="M16" s="290" cm="1">
        <f t="array" ref="M16">L16</f>
        <v>13000000</v>
      </c>
      <c r="N16" s="291" cm="1">
        <f t="array" ref="N16">VLOOKUP(B16,'BHXH'!$E$7:$F$20,2,0)</f>
        <v>5310000</v>
      </c>
      <c r="O16" s="291" cm="1">
        <f t="array" ref="O16">M16-(N16+P16+Q16+R16+S16)</f>
        <v>5810000</v>
      </c>
      <c r="P16" s="291">
        <v>250000</v>
      </c>
      <c r="Q16" s="291">
        <v>400000</v>
      </c>
      <c r="R16" s="291">
        <v>500000</v>
      </c>
      <c r="S16" s="291">
        <v>730000</v>
      </c>
      <c r="T16" s="291" cm="1">
        <f t="array" ref="T16">SUM(Q16:S16)</f>
        <v>1630000</v>
      </c>
      <c r="U16" s="292" cm="1">
        <f t="array" ref="U16">SUM(W16:Y16)</f>
        <v>22</v>
      </c>
      <c r="V16" s="292">
        <v>22</v>
      </c>
      <c r="W16" s="292"/>
      <c r="X16" s="346"/>
      <c r="Y16" s="293">
        <v>22</v>
      </c>
      <c r="Z16" s="291"/>
      <c r="AA16" s="290" cm="1">
        <f t="array" ref="AA16">SUM(AB16:AD16)</f>
        <v>13000000</v>
      </c>
      <c r="AB16" s="291" cm="1">
        <f t="array" ref="AB16">ROUND($G16/V16*W16,0)</f>
        <v>0</v>
      </c>
      <c r="AC16" s="291" cm="1">
        <f t="array" ref="AC16">ROUND(I16/V16*X16,0)</f>
        <v>0</v>
      </c>
      <c r="AD16" s="291" cm="1">
        <f t="array" ref="AD16">ROUND($M16/V16*Y16,0)</f>
        <v>13000000</v>
      </c>
      <c r="AE16" s="294"/>
      <c r="AF16" s="295" cm="1">
        <f t="array" ref="AF16">SUM(AG16:AL16)</f>
        <v>0</v>
      </c>
      <c r="AG16" s="296">
        <v>0</v>
      </c>
      <c r="AH16" s="296"/>
      <c r="AI16" s="288"/>
      <c r="AJ16" s="291">
        <v>0</v>
      </c>
      <c r="AK16" s="292"/>
      <c r="AL16" s="368"/>
      <c r="AM16" s="290" cm="1">
        <f t="array" ref="AM16">AA16+AF16</f>
        <v>13000000</v>
      </c>
      <c r="AN16" s="291" cm="1">
        <f t="array" ref="AN16">VLOOKUP(B16,'BHXH'!$E$7:$F$17,2,0)</f>
        <v>5310000</v>
      </c>
      <c r="AO16" s="291" cm="1">
        <f t="array" ref="AO16">$AN16*10.5%</f>
        <v>557550</v>
      </c>
      <c r="AP16" s="291" cm="1">
        <f t="array" ref="AP16">$AN16*21.5%</f>
        <v>1141650</v>
      </c>
      <c r="AQ16" s="297">
        <v>0</v>
      </c>
      <c r="AR16" s="296" cm="1">
        <f t="array" ref="AR16">IF($E16=10%,0,(AQ16*6200000+15500000))</f>
        <v>15500000</v>
      </c>
      <c r="AS16" s="296" cm="1">
        <f t="array" ref="AS16">AM16-(Q16+R16+S16)/V16*U16-AG16</f>
        <v>11370000</v>
      </c>
      <c r="AT16" s="291" cm="1">
        <f t="array" ref="AT16">ROUND(IF((AS16-AR16-AO16)&lt;0,0,(AS16-AR16-AO16)),0)</f>
        <v>0</v>
      </c>
      <c r="AU16" s="296" cm="1">
        <f t="array" ref="AU16">AS16*10%</f>
        <v>1137000</v>
      </c>
      <c r="AV16" s="296" cm="1">
        <f t="array" ref="AV16">IF(AT16&lt;=0,0,IF(AT16&lt;=10000000,AT16*5%,IF(AT16&lt;=30000000,AT16*10%-500000,IF(AT16&lt;=60000000,AT16*20%-3500000,IF(AT16&lt;=100000000,AT16*30%-9500000,AT16*35%-14500000)))))</f>
        <v>0</v>
      </c>
      <c r="AW16" s="291" cm="1">
        <f t="array" ref="AW16">ROUND((AM16-AO16-AV16-AU16),-3)</f>
        <v>11305000</v>
      </c>
      <c r="AX16" s="298">
        <v>16092000</v>
      </c>
      <c r="AY16" s="298">
        <v>150000</v>
      </c>
      <c r="AZ16" s="291" cm="1">
        <f t="array" ref="AZ16">ROUND(AW16-AX16+AY16,0)</f>
        <v>-4637000</v>
      </c>
      <c r="BA16" s="296" cm="1">
        <f t="array" ref="BA16">AM16+AP16</f>
        <v>14141650</v>
      </c>
      <c r="BB16" s="347"/>
      <c r="BC16" s="299" cm="1">
        <f t="array" ref="BC16">(U16-V16)</f>
        <v>0</v>
      </c>
      <c r="BD16" s="300" cm="1">
        <f t="array" ref="BD16">AF16</f>
        <v>0</v>
      </c>
      <c r="BE16" s="172">
        <v>1055000</v>
      </c>
      <c r="BF16" s="172" cm="1">
        <f t="array" ref="BF16">T16</f>
        <v>1630000</v>
      </c>
      <c r="BG16" s="172">
        <v>14892000</v>
      </c>
      <c r="BH16" s="237">
        <v>0</v>
      </c>
      <c r="BI16" s="337" cm="1">
        <f t="array" ref="BI16">AW16-BG16</f>
        <v>-3587000</v>
      </c>
      <c r="BJ16" t="s" s="338">
        <v>241</v>
      </c>
      <c r="BK16" t="s" s="369">
        <v>142</v>
      </c>
      <c r="BL16" t="s" s="306">
        <v>242</v>
      </c>
      <c r="BM16" t="s" s="370">
        <v>243</v>
      </c>
      <c r="BN16" t="s" s="314">
        <v>211</v>
      </c>
      <c r="BO16" t="s" s="306">
        <v>243</v>
      </c>
      <c r="BP16" t="s" s="306">
        <v>211</v>
      </c>
      <c r="BQ16" t="s" s="307">
        <v>142</v>
      </c>
      <c r="BR16" t="s" s="308">
        <v>219</v>
      </c>
      <c r="BS16" t="s" s="309">
        <v>142</v>
      </c>
      <c r="BW16" s="162">
        <v>16500000</v>
      </c>
      <c r="BX16" s="310" cm="1">
        <f t="array" ref="BX16">L16-BW16</f>
        <v>-3500000</v>
      </c>
    </row>
    <row r="17" s="165" customFormat="1" ht="27" customHeight="1">
      <c r="A17" s="371" cm="1">
        <f t="array" ref="A17">A16+1</f>
        <v>9</v>
      </c>
      <c r="B17" t="s" s="241">
        <v>244</v>
      </c>
      <c r="C17" t="s" s="241">
        <v>245</v>
      </c>
      <c r="D17" t="s" s="285">
        <v>246</v>
      </c>
      <c r="E17" s="345"/>
      <c r="F17" t="s" s="287">
        <v>85</v>
      </c>
      <c r="G17" s="291"/>
      <c r="H17" s="291"/>
      <c r="I17" s="372"/>
      <c r="J17" s="289"/>
      <c r="K17" s="289"/>
      <c r="L17" s="290">
        <v>12000000</v>
      </c>
      <c r="M17" s="290" cm="1">
        <f t="array" ref="M17">L17</f>
        <v>12000000</v>
      </c>
      <c r="N17" s="291" cm="1">
        <f t="array" ref="N17">VLOOKUP(B17,'BHXH'!$E$7:$F$20,2,0)</f>
        <v>5310000</v>
      </c>
      <c r="O17" s="291" cm="1">
        <f t="array" ref="O17">M17-(N17+P17+Q17+R17+S17)</f>
        <v>4060000</v>
      </c>
      <c r="P17" s="291">
        <v>500000</v>
      </c>
      <c r="Q17" s="291">
        <v>400000</v>
      </c>
      <c r="R17" s="291">
        <v>1000000</v>
      </c>
      <c r="S17" s="291">
        <v>730000</v>
      </c>
      <c r="T17" s="291" cm="1">
        <f t="array" ref="T17">SUM(Q17:S17)</f>
        <v>2130000</v>
      </c>
      <c r="U17" s="373" cm="1">
        <f t="array" ref="U17">SUM(W17:Y17)</f>
        <v>22</v>
      </c>
      <c r="V17" s="292">
        <v>22</v>
      </c>
      <c r="W17" s="292"/>
      <c r="X17" s="293"/>
      <c r="Y17" s="293">
        <v>22</v>
      </c>
      <c r="Z17" s="291"/>
      <c r="AA17" s="290" cm="1">
        <f t="array" ref="AA17">SUM(AB17:AD17)</f>
        <v>12000000</v>
      </c>
      <c r="AB17" s="291" cm="1">
        <f t="array" ref="AB17">ROUND($G17/V17*W17,0)</f>
        <v>0</v>
      </c>
      <c r="AC17" s="374" cm="1">
        <f t="array" ref="AC17">ROUND(I17/V17*X17,0)</f>
        <v>0</v>
      </c>
      <c r="AD17" s="291" cm="1">
        <f t="array" ref="AD17">ROUND($M17/V17*Y17,0)</f>
        <v>12000000</v>
      </c>
      <c r="AE17" s="294"/>
      <c r="AF17" s="375" cm="1">
        <f t="array" ref="AF17">SUM(AG17:AL17)</f>
        <v>0</v>
      </c>
      <c r="AG17" s="296">
        <v>0</v>
      </c>
      <c r="AH17" s="296"/>
      <c r="AI17" s="288"/>
      <c r="AJ17" s="291">
        <v>0</v>
      </c>
      <c r="AK17" s="292"/>
      <c r="AL17" s="296"/>
      <c r="AM17" s="290" cm="1">
        <f t="array" ref="AM17">AA17+AF17</f>
        <v>12000000</v>
      </c>
      <c r="AN17" s="291" cm="1">
        <f t="array" ref="AN17">VLOOKUP(B17,'BHXH'!$E$7:$F$17,2,0)</f>
        <v>5310000</v>
      </c>
      <c r="AO17" s="291" cm="1">
        <f t="array" ref="AO17">$AN17*10.5%</f>
        <v>557550</v>
      </c>
      <c r="AP17" s="291" cm="1">
        <f t="array" ref="AP17">$AN17*21.5%</f>
        <v>1141650</v>
      </c>
      <c r="AQ17" s="297">
        <v>0</v>
      </c>
      <c r="AR17" s="296" cm="1">
        <f t="array" ref="AR17">IF($E17=10%,0,(AQ17*6200000+15500000))</f>
        <v>15500000</v>
      </c>
      <c r="AS17" s="296" cm="1">
        <f t="array" ref="AS17">AM17-(Q17+R17+S17)/V17*U17-AG17</f>
        <v>9870000</v>
      </c>
      <c r="AT17" s="291" cm="1">
        <f t="array" ref="AT17">ROUND(IF((AS17-AR17-AO17)&lt;0,0,(AS17-AR17-AO17)),0)</f>
        <v>0</v>
      </c>
      <c r="AU17" s="296" cm="1">
        <f t="array" ref="AU17">AS17*10%</f>
        <v>987000</v>
      </c>
      <c r="AV17" s="296" cm="1">
        <f t="array" ref="AV17">IF(AT17&lt;=0,0,IF(AT17&lt;=10000000,AT17*5%,IF(AT17&lt;=30000000,AT17*10%-500000,IF(AT17&lt;=60000000,AT17*20%-3500000,IF(AT17&lt;=100000000,AT17*30%-9500000,AT17*35%-14500000)))))</f>
        <v>0</v>
      </c>
      <c r="AW17" s="291" cm="1">
        <f t="array" ref="AW17">ROUND((AM17-AO17-AV17-AU17),-3)</f>
        <v>10455000</v>
      </c>
      <c r="AX17" s="298">
        <v>43713000</v>
      </c>
      <c r="AY17" s="298"/>
      <c r="AZ17" s="374" cm="1">
        <f t="array" ref="AZ17">ROUND(AW17-AX17+AY17,0)</f>
        <v>-33258000</v>
      </c>
      <c r="BA17" s="372" cm="1">
        <f t="array" ref="BA17">AM17+AP17</f>
        <v>13141650</v>
      </c>
      <c r="BB17" s="347"/>
      <c r="BC17" s="299" cm="1">
        <f t="array" ref="BC17">(U17-V17)</f>
        <v>0</v>
      </c>
      <c r="BD17" s="300" cm="1">
        <f t="array" ref="BD17">AF17</f>
        <v>0</v>
      </c>
      <c r="BE17" s="172">
        <v>0</v>
      </c>
      <c r="BF17" s="172" cm="1">
        <f t="array" ref="BF17">T17</f>
        <v>2130000</v>
      </c>
      <c r="BG17" s="172">
        <v>43713000</v>
      </c>
      <c r="BH17" s="237">
        <v>0</v>
      </c>
      <c r="BI17" s="301" cm="1">
        <f t="array" ref="BI17">AW17-BG17</f>
        <v>-33258000</v>
      </c>
      <c r="BJ17" s="197"/>
      <c r="BK17" t="s" s="376">
        <v>247</v>
      </c>
      <c r="BL17" t="s" s="306">
        <v>248</v>
      </c>
      <c r="BM17" t="s" s="377">
        <v>249</v>
      </c>
      <c r="BN17" t="s" s="378">
        <v>211</v>
      </c>
      <c r="BO17" t="s" s="379">
        <v>250</v>
      </c>
      <c r="BP17" t="s" s="306">
        <v>213</v>
      </c>
      <c r="BQ17" t="s" s="307">
        <v>244</v>
      </c>
      <c r="BR17" t="s" s="308">
        <v>219</v>
      </c>
      <c r="BS17" t="s" s="309">
        <v>247</v>
      </c>
      <c r="BW17" s="162">
        <v>47000000</v>
      </c>
      <c r="BX17" s="310" cm="1">
        <f t="array" ref="BX17">L17-BW17</f>
        <v>-35000000</v>
      </c>
    </row>
    <row r="18" s="165" customFormat="1" ht="28.8" customHeight="1">
      <c r="A18" t="s" s="284">
        <v>207</v>
      </c>
      <c r="B18" t="s" s="241">
        <v>251</v>
      </c>
      <c r="C18" t="s" s="241">
        <v>252</v>
      </c>
      <c r="D18" t="s" s="285">
        <v>144</v>
      </c>
      <c r="E18" s="345"/>
      <c r="F18" t="s" s="287">
        <v>85</v>
      </c>
      <c r="G18" s="291"/>
      <c r="H18" s="291"/>
      <c r="I18" s="296"/>
      <c r="J18" s="289"/>
      <c r="K18" s="289"/>
      <c r="L18" s="290">
        <v>12000000</v>
      </c>
      <c r="M18" s="290" cm="1">
        <f t="array" ref="M18">L18</f>
        <v>12000000</v>
      </c>
      <c r="N18" s="291" cm="1">
        <f t="array" ref="N18">VLOOKUP(B18,'BHXH'!$E$7:$F$20,2,0)</f>
        <v>5310000</v>
      </c>
      <c r="O18" s="291" cm="1">
        <f t="array" ref="O18">M18-(N18+P18+Q18+R18+S18)</f>
        <v>4810000</v>
      </c>
      <c r="P18" s="291">
        <v>250000</v>
      </c>
      <c r="Q18" s="291">
        <v>400000</v>
      </c>
      <c r="R18" s="291">
        <v>500000</v>
      </c>
      <c r="S18" s="291">
        <v>730000</v>
      </c>
      <c r="T18" s="291" cm="1">
        <f t="array" ref="T18">SUM(Q18:S18)</f>
        <v>1630000</v>
      </c>
      <c r="U18" s="292" cm="1">
        <f t="array" ref="U18">SUM(W18:Y18)</f>
        <v>22</v>
      </c>
      <c r="V18" s="292">
        <v>22</v>
      </c>
      <c r="W18" s="292"/>
      <c r="X18" s="346"/>
      <c r="Y18" s="293">
        <v>22</v>
      </c>
      <c r="Z18" s="291"/>
      <c r="AA18" s="290" cm="1">
        <f t="array" ref="AA18">SUM(AB18:AD18)</f>
        <v>12000000</v>
      </c>
      <c r="AB18" s="291" cm="1">
        <f t="array" ref="AB18">ROUND($G18/V18*W18,0)</f>
        <v>0</v>
      </c>
      <c r="AC18" s="291" cm="1">
        <f t="array" ref="AC18">ROUND(I18/V18*X18,0)</f>
        <v>0</v>
      </c>
      <c r="AD18" s="291" cm="1">
        <f t="array" ref="AD18">ROUND($M18/V18*Y18,0)</f>
        <v>12000000</v>
      </c>
      <c r="AE18" s="294"/>
      <c r="AF18" s="375" cm="1">
        <f t="array" ref="AF18">SUM(AG18:AL18)</f>
        <v>0</v>
      </c>
      <c r="AG18" s="296">
        <v>0</v>
      </c>
      <c r="AH18" s="296"/>
      <c r="AI18" s="288"/>
      <c r="AJ18" s="291">
        <v>0</v>
      </c>
      <c r="AK18" s="292"/>
      <c r="AL18" s="296"/>
      <c r="AM18" s="290" cm="1">
        <f t="array" ref="AM18">AA18+AF18</f>
        <v>12000000</v>
      </c>
      <c r="AN18" s="291" cm="1">
        <f t="array" ref="AN18">VLOOKUP(B18,'BHXH'!$E$7:$F$17,2,0)</f>
        <v>5310000</v>
      </c>
      <c r="AO18" s="291" cm="1">
        <f t="array" ref="AO18">$AN18*10.5%</f>
        <v>557550</v>
      </c>
      <c r="AP18" s="291" cm="1">
        <f t="array" ref="AP18">$AN18*21.5%</f>
        <v>1141650</v>
      </c>
      <c r="AQ18" s="297">
        <v>1</v>
      </c>
      <c r="AR18" s="296" cm="1">
        <f t="array" ref="AR18">IF($E18=10%,0,(AQ18*6200000+15500000))</f>
        <v>21700000</v>
      </c>
      <c r="AS18" s="296" cm="1">
        <f t="array" ref="AS18">AM18-(Q18+R18+S18)/V18*U18-AG18</f>
        <v>10370000</v>
      </c>
      <c r="AT18" s="291" cm="1">
        <f t="array" ref="AT18">ROUND(IF((AS18-AR18-AO18)&lt;0,0,(AS18-AR18-AO18)),0)</f>
        <v>0</v>
      </c>
      <c r="AU18" s="296" cm="1">
        <f t="array" ref="AU18">AS18*10%</f>
        <v>1037000</v>
      </c>
      <c r="AV18" s="296" cm="1">
        <f t="array" ref="AV18">IF(AT18&lt;=0,0,IF(AT18&lt;=10000000,AT18*5%,IF(AT18&lt;=30000000,AT18*10%-500000,IF(AT18&lt;=60000000,AT18*20%-3500000,IF(AT18&lt;=100000000,AT18*30%-9500000,AT18*35%-14500000)))))</f>
        <v>0</v>
      </c>
      <c r="AW18" s="291" cm="1">
        <f t="array" ref="AW18">ROUND((AM18-AO18-AV18-AU18),-3)</f>
        <v>10405000</v>
      </c>
      <c r="AX18" s="298">
        <v>17000000</v>
      </c>
      <c r="AY18" s="298"/>
      <c r="AZ18" s="291" cm="1">
        <f t="array" ref="AZ18">ROUND(AW18-AX18+AY18,0)</f>
        <v>-6595000</v>
      </c>
      <c r="BA18" s="296" cm="1">
        <f t="array" ref="BA18">AM18+AP18</f>
        <v>13141650</v>
      </c>
      <c r="BB18" s="347"/>
      <c r="BC18" s="299" cm="1">
        <f t="array" ref="BC18">(U18-V18)</f>
        <v>0</v>
      </c>
      <c r="BD18" s="300" cm="1">
        <f t="array" ref="BD18">AF18</f>
        <v>0</v>
      </c>
      <c r="BE18" s="172">
        <v>-75000</v>
      </c>
      <c r="BF18" s="172" cm="1">
        <f t="array" ref="BF18">T18</f>
        <v>1630000</v>
      </c>
      <c r="BG18" s="172">
        <v>17000000</v>
      </c>
      <c r="BH18" s="237">
        <v>0</v>
      </c>
      <c r="BI18" s="301" cm="1">
        <f t="array" ref="BI18">AW18-BG18</f>
        <v>-6595000</v>
      </c>
      <c r="BJ18" s="197"/>
      <c r="BK18" t="s" s="380">
        <v>253</v>
      </c>
      <c r="BL18" t="s" s="381">
        <v>254</v>
      </c>
      <c r="BM18" t="s" s="315">
        <v>255</v>
      </c>
      <c r="BN18" t="s" s="315">
        <v>213</v>
      </c>
      <c r="BO18" t="s" s="382">
        <v>255</v>
      </c>
      <c r="BP18" t="s" s="306">
        <v>213</v>
      </c>
      <c r="BQ18" t="s" s="307">
        <v>251</v>
      </c>
      <c r="BR18" t="s" s="308">
        <v>207</v>
      </c>
      <c r="BS18" t="s" s="309">
        <v>253</v>
      </c>
      <c r="BW18" s="162">
        <v>17557550</v>
      </c>
      <c r="BX18" s="310" cm="1">
        <f t="array" ref="BX18">L18-BW18</f>
        <v>-5557550</v>
      </c>
    </row>
    <row r="19" s="162" customFormat="1" ht="27" customHeight="1">
      <c r="A19" s="350">
        <v>11</v>
      </c>
      <c r="B19" t="s" s="383">
        <v>256</v>
      </c>
      <c r="C19" t="s" s="241">
        <v>257</v>
      </c>
      <c r="D19" t="s" s="285">
        <v>258</v>
      </c>
      <c r="E19" s="345"/>
      <c r="F19" t="s" s="287">
        <v>85</v>
      </c>
      <c r="G19" s="291"/>
      <c r="H19" s="291"/>
      <c r="I19" s="296"/>
      <c r="J19" s="289"/>
      <c r="K19" s="289"/>
      <c r="L19" s="290">
        <v>12000000</v>
      </c>
      <c r="M19" s="290" cm="1">
        <f t="array" ref="M19">L19</f>
        <v>12000000</v>
      </c>
      <c r="N19" s="291" cm="1">
        <f t="array" ref="N19">VLOOKUP(B19,'BHXH'!$E$7:$F$20,2,0)</f>
        <v>5310000</v>
      </c>
      <c r="O19" s="291" cm="1">
        <f t="array" ref="O19">M19-(N19+P19+Q19+R19+S19)</f>
        <v>4810000</v>
      </c>
      <c r="P19" s="291">
        <v>250000</v>
      </c>
      <c r="Q19" s="291">
        <v>400000</v>
      </c>
      <c r="R19" s="291">
        <v>500000</v>
      </c>
      <c r="S19" s="291">
        <v>730000</v>
      </c>
      <c r="T19" s="291" cm="1">
        <f t="array" ref="T19">SUM(Q19:S19)</f>
        <v>1630000</v>
      </c>
      <c r="U19" s="292" cm="1">
        <f t="array" ref="U19">SUM(W19:Y19)</f>
        <v>22</v>
      </c>
      <c r="V19" s="292">
        <v>22</v>
      </c>
      <c r="W19" s="292"/>
      <c r="X19" s="293"/>
      <c r="Y19" s="293">
        <v>22</v>
      </c>
      <c r="Z19" s="291"/>
      <c r="AA19" s="290" cm="1">
        <f t="array" ref="AA19">SUM(AB19:AD19)</f>
        <v>12000000</v>
      </c>
      <c r="AB19" s="291" cm="1">
        <f t="array" ref="AB19">ROUND($G19/V19*W19,0)</f>
        <v>0</v>
      </c>
      <c r="AC19" s="291" cm="1">
        <f t="array" ref="AC19">ROUND(I19/V19*X19,0)</f>
        <v>0</v>
      </c>
      <c r="AD19" s="291" cm="1">
        <f t="array" ref="AD19">ROUND($M19/V19*Y19,0)</f>
        <v>12000000</v>
      </c>
      <c r="AE19" s="294"/>
      <c r="AF19" s="375" cm="1">
        <f t="array" ref="AF19">SUM(AG19:AL19)</f>
        <v>0</v>
      </c>
      <c r="AG19" s="296">
        <v>0</v>
      </c>
      <c r="AH19" s="384"/>
      <c r="AI19" s="288"/>
      <c r="AJ19" s="291">
        <v>0</v>
      </c>
      <c r="AK19" s="292"/>
      <c r="AL19" s="296"/>
      <c r="AM19" s="290" cm="1">
        <f t="array" ref="AM19">AA19+AF19</f>
        <v>12000000</v>
      </c>
      <c r="AN19" s="291" cm="1">
        <f t="array" ref="AN19">VLOOKUP(B19,'BHXH'!$E$7:$F$17,2,0)</f>
        <v>5310000</v>
      </c>
      <c r="AO19" s="291" cm="1">
        <f t="array" ref="AO19">$AN19*10.5%</f>
        <v>557550</v>
      </c>
      <c r="AP19" s="291" cm="1">
        <f t="array" ref="AP19">$AN19*21.5%</f>
        <v>1141650</v>
      </c>
      <c r="AQ19" s="297">
        <v>1</v>
      </c>
      <c r="AR19" s="296" cm="1">
        <f t="array" ref="AR19">IF($E19=10%,0,(AQ19*6200000+15500000))</f>
        <v>21700000</v>
      </c>
      <c r="AS19" s="296" cm="1">
        <f t="array" ref="AS19">AM19-(Q19+R19+S19)/V19*U19-AG19</f>
        <v>10370000</v>
      </c>
      <c r="AT19" s="291" cm="1">
        <f t="array" ref="AT19">ROUND(IF((AS19-AR19-AO19)&lt;0,0,(AS19-AR19-AO19)),0)</f>
        <v>0</v>
      </c>
      <c r="AU19" s="372">
        <v>0</v>
      </c>
      <c r="AV19" s="296" cm="1">
        <f t="array" ref="AV19">IF(AT19&lt;=0,0,IF(AT19&lt;=10000000,AT19*5%,IF(AT19&lt;=30000000,AT19*10%-500000,IF(AT19&lt;=60000000,AT19*20%-3500000,IF(AT19&lt;=100000000,AT19*30%-9500000,AT19*35%-14500000)))))</f>
        <v>0</v>
      </c>
      <c r="AW19" s="291" cm="1">
        <f t="array" ref="AW19">ROUND((AM19-AO19-AV19-AU19),-3)</f>
        <v>11442000</v>
      </c>
      <c r="AX19" s="298">
        <v>33483000</v>
      </c>
      <c r="AY19" s="298"/>
      <c r="AZ19" s="291" cm="1">
        <f t="array" ref="AZ19">ROUND(AW19-AX19+AY19,0)</f>
        <v>-22041000</v>
      </c>
      <c r="BA19" s="322" cm="1">
        <f t="array" ref="BA19">AM19+AP19</f>
        <v>13141650</v>
      </c>
      <c r="BB19" s="347"/>
      <c r="BC19" s="299" cm="1">
        <f t="array" ref="BC19">(U19-V19)</f>
        <v>0</v>
      </c>
      <c r="BD19" s="300" cm="1">
        <f t="array" ref="BD19">AF19</f>
        <v>0</v>
      </c>
      <c r="BE19" s="172">
        <v>0</v>
      </c>
      <c r="BF19" s="172" cm="1">
        <f t="array" ref="BF19">T19</f>
        <v>1630000</v>
      </c>
      <c r="BG19" s="172">
        <v>40514000</v>
      </c>
      <c r="BH19" s="237">
        <v>0</v>
      </c>
      <c r="BI19" s="337" cm="1">
        <f t="array" ref="BI19">AW19-BG19</f>
        <v>-29072000</v>
      </c>
      <c r="BJ19" t="s" s="353">
        <v>259</v>
      </c>
      <c r="BK19" t="s" s="313">
        <v>256</v>
      </c>
      <c r="BL19" t="s" s="314">
        <v>260</v>
      </c>
      <c r="BM19" t="s" s="315">
        <v>261</v>
      </c>
      <c r="BN19" t="s" s="315">
        <v>213</v>
      </c>
      <c r="BO19" t="s" s="348">
        <v>261</v>
      </c>
      <c r="BP19" t="s" s="306">
        <v>213</v>
      </c>
      <c r="BQ19" t="s" s="307">
        <v>256</v>
      </c>
      <c r="BR19" t="s" s="308">
        <v>219</v>
      </c>
      <c r="BS19" t="s" s="309">
        <v>256</v>
      </c>
      <c r="BT19" s="310"/>
      <c r="BU19" s="310"/>
      <c r="BW19" s="162">
        <v>27500000</v>
      </c>
      <c r="BX19" s="310" cm="1">
        <f t="array" ref="BX19">L19-BW19</f>
        <v>-15500000</v>
      </c>
    </row>
    <row r="20" s="163" customFormat="1" ht="27" customHeight="1">
      <c r="A20" s="371" cm="1">
        <f t="array" ref="A20">A19+1</f>
        <v>12</v>
      </c>
      <c r="B20" t="s" s="359">
        <v>157</v>
      </c>
      <c r="C20" t="s" s="359">
        <v>158</v>
      </c>
      <c r="D20" t="s" s="319">
        <v>262</v>
      </c>
      <c r="E20" s="320"/>
      <c r="F20" t="s" s="321">
        <v>85</v>
      </c>
      <c r="G20" s="324"/>
      <c r="H20" s="324"/>
      <c r="I20" s="322"/>
      <c r="J20" s="323"/>
      <c r="K20" s="323"/>
      <c r="L20" s="290">
        <v>12000000</v>
      </c>
      <c r="M20" s="290" cm="1">
        <f t="array" ref="M20">L20</f>
        <v>12000000</v>
      </c>
      <c r="N20" s="324" cm="1">
        <f t="array" ref="N20">VLOOKUP(B20,'BHXH'!$E$7:$F$20,2,0)</f>
        <v>5310000</v>
      </c>
      <c r="O20" s="324" cm="1">
        <f t="array" ref="O20">M20-(N20+P20+Q20+R20+S20)</f>
        <v>4810000</v>
      </c>
      <c r="P20" s="324">
        <v>250000</v>
      </c>
      <c r="Q20" s="324">
        <v>400000</v>
      </c>
      <c r="R20" s="324">
        <v>500000</v>
      </c>
      <c r="S20" s="324">
        <v>730000</v>
      </c>
      <c r="T20" s="324" cm="1">
        <f t="array" ref="T20">SUM(Q20:S20)</f>
        <v>1630000</v>
      </c>
      <c r="U20" s="325" cm="1">
        <f t="array" ref="U20">SUM(W20:Y20)</f>
        <v>22</v>
      </c>
      <c r="V20" s="325">
        <v>22</v>
      </c>
      <c r="W20" s="327"/>
      <c r="X20" s="325"/>
      <c r="Y20" s="327">
        <v>22</v>
      </c>
      <c r="Z20" s="324"/>
      <c r="AA20" s="328" cm="1">
        <f t="array" ref="AA20">SUM(AB20:AD20)</f>
        <v>12000000</v>
      </c>
      <c r="AB20" s="324" cm="1">
        <f t="array" ref="AB20">ROUND($G20/V20*W20,0)</f>
        <v>0</v>
      </c>
      <c r="AC20" s="324" cm="1">
        <f t="array" ref="AC20">ROUND(I20/V20*X20,0)</f>
        <v>0</v>
      </c>
      <c r="AD20" s="324" cm="1">
        <f t="array" ref="AD20">ROUND($M20/V20*Y20,0)</f>
        <v>12000000</v>
      </c>
      <c r="AE20" s="294"/>
      <c r="AF20" s="385" cm="1">
        <f t="array" ref="AF20">SUM(AG20:AL20)</f>
        <v>0</v>
      </c>
      <c r="AG20" s="322">
        <v>0</v>
      </c>
      <c r="AH20" s="322"/>
      <c r="AI20" s="329"/>
      <c r="AJ20" s="291">
        <v>0</v>
      </c>
      <c r="AK20" s="325"/>
      <c r="AL20" s="322"/>
      <c r="AM20" s="328" cm="1">
        <f t="array" ref="AM20">AA20+AF20</f>
        <v>12000000</v>
      </c>
      <c r="AN20" s="324" cm="1">
        <f t="array" ref="AN20">VLOOKUP(B20,'BHXH'!$E$7:$F$18,2,0)</f>
        <v>5310000</v>
      </c>
      <c r="AO20" s="324" cm="1">
        <f t="array" ref="AO20">$AN20*10.5%</f>
        <v>557550</v>
      </c>
      <c r="AP20" s="324" cm="1">
        <f t="array" ref="AP20">$AN20*21.5%</f>
        <v>1141650</v>
      </c>
      <c r="AQ20" s="329"/>
      <c r="AR20" s="322" cm="1">
        <f t="array" ref="AR20">IF($E20=10%,0,(AQ20*6200000+15500000))</f>
        <v>15500000</v>
      </c>
      <c r="AS20" s="322" cm="1">
        <f t="array" ref="AS20">AM20-(Q20+R20+S20)/V20*U20-AG20</f>
        <v>10370000</v>
      </c>
      <c r="AT20" s="324" cm="1">
        <f t="array" ref="AT20">ROUND(IF((AS20-AR20-AO20)&lt;0,0,(AS20-AR20-AO20)),0)</f>
        <v>0</v>
      </c>
      <c r="AU20" s="322" cm="1">
        <f t="array" ref="AU20">IF(AT20&lt;2000000,0,(AT20*10%))</f>
        <v>0</v>
      </c>
      <c r="AV20" s="322" cm="1">
        <f t="array" ref="AV20">IF(AT20&lt;=0,0,IF(AT20&lt;=10000000,AT20*5%,IF(AT20&lt;=30000000,AT20*10%-500000,IF(AT20&lt;=60000000,AT20*20%-3500000,IF(AT20&lt;=100000000,AT20*30%-9500000,AT20*35%-14500000)))))</f>
        <v>0</v>
      </c>
      <c r="AW20" s="324" cm="1">
        <f t="array" ref="AW20">ROUND((AM20-AO20-AV20-AU20),-3)</f>
        <v>11442000</v>
      </c>
      <c r="AX20" s="331">
        <v>13442000</v>
      </c>
      <c r="AY20" s="331"/>
      <c r="AZ20" s="324" cm="1">
        <f t="array" ref="AZ20">ROUND(AW20-AX20+AY20,0)</f>
        <v>-2000000</v>
      </c>
      <c r="BA20" s="322" cm="1">
        <f t="array" ref="BA20">AM20+AP20</f>
        <v>13141650</v>
      </c>
      <c r="BB20" s="332"/>
      <c r="BC20" s="333" cm="1">
        <f t="array" ref="BC20">(U20-V20)</f>
        <v>0</v>
      </c>
      <c r="BD20" s="334" cm="1">
        <f t="array" ref="BD20">AF20</f>
        <v>0</v>
      </c>
      <c r="BE20" s="335">
        <v>925500</v>
      </c>
      <c r="BF20" s="335" cm="1">
        <f t="array" ref="BF20">T20</f>
        <v>1630000</v>
      </c>
      <c r="BG20" s="172">
        <v>12517000</v>
      </c>
      <c r="BH20" s="336">
        <v>0</v>
      </c>
      <c r="BI20" s="337" cm="1">
        <f t="array" ref="BI20">AW20-BG20</f>
        <v>-1075000</v>
      </c>
      <c r="BJ20" t="s" s="353">
        <v>263</v>
      </c>
      <c r="BK20" t="s" s="339">
        <v>157</v>
      </c>
      <c r="BL20" t="s" s="340">
        <v>264</v>
      </c>
      <c r="BM20" t="s" s="386">
        <v>265</v>
      </c>
      <c r="BN20" t="s" s="386">
        <v>266</v>
      </c>
      <c r="BO20" t="s" s="340">
        <v>265</v>
      </c>
      <c r="BP20" t="s" s="341">
        <v>266</v>
      </c>
      <c r="BQ20" t="s" s="342">
        <v>157</v>
      </c>
      <c r="BR20" t="s" s="308">
        <v>207</v>
      </c>
      <c r="BS20" t="s" s="309">
        <v>157</v>
      </c>
      <c r="BT20" s="310">
        <v>13390000</v>
      </c>
      <c r="BU20" s="310">
        <v>1000000</v>
      </c>
      <c r="BV20" s="310" cm="1">
        <f t="array" ref="BV20">AW20-BT20-BU20</f>
        <v>-2948000</v>
      </c>
      <c r="BW20" s="162">
        <v>14000000</v>
      </c>
      <c r="BX20" s="310" cm="1">
        <f t="array" ref="BX20">L20-BW20</f>
        <v>-2000000</v>
      </c>
    </row>
    <row r="21" s="165" customFormat="1" ht="27" customHeight="1">
      <c r="A21" t="s" s="284">
        <v>207</v>
      </c>
      <c r="B21" t="s" s="241">
        <v>267</v>
      </c>
      <c r="C21" s="387">
        <v>45758</v>
      </c>
      <c r="D21" t="s" s="285">
        <v>147</v>
      </c>
      <c r="E21" s="388"/>
      <c r="F21" t="s" s="287">
        <v>85</v>
      </c>
      <c r="G21" s="291"/>
      <c r="H21" s="291"/>
      <c r="I21" s="389"/>
      <c r="J21" s="390"/>
      <c r="K21" s="390"/>
      <c r="L21" s="290">
        <v>12000000</v>
      </c>
      <c r="M21" s="290" cm="1">
        <f t="array" ref="M21">L21</f>
        <v>12000000</v>
      </c>
      <c r="N21" s="291" cm="1">
        <f t="array" ref="N21">VLOOKUP(B21,'BHXH'!$E$7:$F$20,2,0)</f>
        <v>5310000</v>
      </c>
      <c r="O21" s="291" cm="1">
        <f t="array" ref="O21">M21-(N21+P21+Q21+R21+S21)</f>
        <v>4810000</v>
      </c>
      <c r="P21" s="291">
        <v>250000</v>
      </c>
      <c r="Q21" s="291">
        <v>400000</v>
      </c>
      <c r="R21" s="291">
        <v>500000</v>
      </c>
      <c r="S21" s="291">
        <v>730000</v>
      </c>
      <c r="T21" s="291" cm="1">
        <f t="array" ref="T21">SUM(Q21:S21)</f>
        <v>1630000</v>
      </c>
      <c r="U21" s="292" cm="1">
        <f t="array" ref="U21">SUM(W21:Y21)</f>
        <v>22</v>
      </c>
      <c r="V21" s="292">
        <v>22</v>
      </c>
      <c r="W21" s="292"/>
      <c r="X21" s="293"/>
      <c r="Y21" s="293">
        <v>22</v>
      </c>
      <c r="Z21" s="291"/>
      <c r="AA21" s="290" cm="1">
        <f t="array" ref="AA21">SUM(AB21:AD21)</f>
        <v>12000000</v>
      </c>
      <c r="AB21" s="291" cm="1">
        <f t="array" ref="AB21">ROUND($G21/V21*W21,0)</f>
        <v>0</v>
      </c>
      <c r="AC21" s="291" cm="1">
        <f t="array" ref="AC21">ROUND(I21/V21*X21,0)</f>
        <v>0</v>
      </c>
      <c r="AD21" s="291" cm="1">
        <f t="array" ref="AD21">ROUND($M21/V21*Y21,0)</f>
        <v>12000000</v>
      </c>
      <c r="AE21" s="294"/>
      <c r="AF21" s="375" cm="1">
        <f t="array" ref="AF21">SUM(AG21:AL21)</f>
        <v>0</v>
      </c>
      <c r="AG21" s="296">
        <v>0</v>
      </c>
      <c r="AH21" s="296"/>
      <c r="AI21" s="288"/>
      <c r="AJ21" s="291">
        <v>0</v>
      </c>
      <c r="AK21" s="292"/>
      <c r="AL21" s="296"/>
      <c r="AM21" s="290" cm="1">
        <f t="array" ref="AM21">AA21+AF21</f>
        <v>12000000</v>
      </c>
      <c r="AN21" s="291" cm="1">
        <f t="array" ref="AN21">VLOOKUP(B21,'BHXH'!$E$7:$F$40,2,0)</f>
        <v>5310000</v>
      </c>
      <c r="AO21" s="291" cm="1">
        <f t="array" ref="AO21">$AN21*10.5%</f>
        <v>557550</v>
      </c>
      <c r="AP21" s="291" cm="1">
        <f t="array" ref="AP21">$AN21*21.5%</f>
        <v>1141650</v>
      </c>
      <c r="AQ21" s="288"/>
      <c r="AR21" s="296" cm="1">
        <f t="array" ref="AR21">IF($E21=10%,0,(AQ21*6200000+15500000))</f>
        <v>15500000</v>
      </c>
      <c r="AS21" s="296" cm="1">
        <f t="array" ref="AS21">AM21-(Q21+R21+S21)/V21*U21-AG21</f>
        <v>10370000</v>
      </c>
      <c r="AT21" s="291" cm="1">
        <f t="array" ref="AT21">ROUND(IF((AS21-AR21-AO21)&lt;0,0,(AS21-AR21-AO21)),0)</f>
        <v>0</v>
      </c>
      <c r="AU21" s="322" cm="1">
        <f t="array" ref="AU21">IF(AT21&lt;2000000,0,(AT21*10%))</f>
        <v>0</v>
      </c>
      <c r="AV21" s="296" cm="1">
        <f t="array" ref="AV21">IF(AT21&lt;=0,0,IF(AT21&lt;=10000000,AT21*5%,IF(AT21&lt;=30000000,AT21*10%-500000,IF(AT21&lt;=60000000,AT21*20%-3500000,IF(AT21&lt;=100000000,AT21*30%-9500000,AT21*35%-14500000)))))</f>
        <v>0</v>
      </c>
      <c r="AW21" s="291" cm="1">
        <f t="array" ref="AW21">ROUND((AM21-AO21-AV21-AU21),-3)</f>
        <v>11442000</v>
      </c>
      <c r="AX21" s="298">
        <v>13000000</v>
      </c>
      <c r="AY21" s="298"/>
      <c r="AZ21" s="291" cm="1">
        <f t="array" ref="AZ21">ROUND(AW21-AX21+AY21,0)</f>
        <v>-1558000</v>
      </c>
      <c r="BA21" s="322" cm="1">
        <f t="array" ref="BA21">AM21+AP21</f>
        <v>13141650</v>
      </c>
      <c r="BB21" s="347"/>
      <c r="BC21" s="299" cm="1">
        <f t="array" ref="BC21">(U21-V21)</f>
        <v>0</v>
      </c>
      <c r="BD21" s="300" cm="1">
        <f t="array" ref="BD21">AF21</f>
        <v>0</v>
      </c>
      <c r="BE21" s="172">
        <v>0</v>
      </c>
      <c r="BF21" s="172" cm="1">
        <f t="array" ref="BF21">T21</f>
        <v>1630000</v>
      </c>
      <c r="BG21" s="172">
        <v>13000000</v>
      </c>
      <c r="BH21" s="237">
        <v>0</v>
      </c>
      <c r="BI21" s="301" cm="1">
        <f t="array" ref="BI21">AW21-BG21</f>
        <v>-1558000</v>
      </c>
      <c r="BJ21" s="197"/>
      <c r="BK21" t="s" s="313">
        <v>267</v>
      </c>
      <c r="BL21" t="s" s="391">
        <v>268</v>
      </c>
      <c r="BM21" t="s" s="303">
        <v>269</v>
      </c>
      <c r="BN21" t="s" s="303">
        <v>229</v>
      </c>
      <c r="BO21" t="s" s="392">
        <v>269</v>
      </c>
      <c r="BP21" t="s" s="306">
        <v>229</v>
      </c>
      <c r="BQ21" t="s" s="307">
        <v>267</v>
      </c>
      <c r="BR21" t="s" s="308">
        <v>219</v>
      </c>
      <c r="BS21" t="s" s="309">
        <v>267</v>
      </c>
      <c r="BW21" s="162">
        <v>13557550</v>
      </c>
      <c r="BX21" s="310" cm="1">
        <f t="array" ref="BX21">L21-BW21</f>
        <v>-1557550</v>
      </c>
    </row>
    <row r="22" s="163" customFormat="1" ht="27" customHeight="1">
      <c r="A22" t="s" s="318">
        <v>207</v>
      </c>
      <c r="B22" t="s" s="359">
        <v>270</v>
      </c>
      <c r="C22" s="332"/>
      <c r="D22" t="s" s="319">
        <v>271</v>
      </c>
      <c r="E22" s="320"/>
      <c r="F22" t="s" s="321">
        <v>85</v>
      </c>
      <c r="G22" s="324"/>
      <c r="H22" s="324"/>
      <c r="I22" s="322"/>
      <c r="J22" s="323"/>
      <c r="K22" s="323"/>
      <c r="L22" s="290">
        <v>12000000</v>
      </c>
      <c r="M22" s="290" cm="1">
        <f t="array" ref="M22">L22</f>
        <v>12000000</v>
      </c>
      <c r="N22" s="324" cm="1">
        <f t="array" ref="N22">VLOOKUP(B22,'BHXH'!$E$7:$F$20,2,0)</f>
        <v>5310000</v>
      </c>
      <c r="O22" s="324" cm="1">
        <f t="array" ref="O22">M22-(N22+P22+Q22+R22+S22)</f>
        <v>4810000</v>
      </c>
      <c r="P22" s="324">
        <v>250000</v>
      </c>
      <c r="Q22" s="324">
        <v>400000</v>
      </c>
      <c r="R22" s="324">
        <v>500000</v>
      </c>
      <c r="S22" s="324">
        <v>730000</v>
      </c>
      <c r="T22" s="324" cm="1">
        <f t="array" ref="T22">SUM(Q22:S22)</f>
        <v>1630000</v>
      </c>
      <c r="U22" s="325" cm="1">
        <f t="array" ref="U22">SUM(W22:Y22)</f>
        <v>21</v>
      </c>
      <c r="V22" s="325">
        <v>22</v>
      </c>
      <c r="W22" s="325"/>
      <c r="X22" s="325"/>
      <c r="Y22" s="327">
        <v>21</v>
      </c>
      <c r="Z22" s="324"/>
      <c r="AA22" s="328" cm="1">
        <f t="array" ref="AA22">SUM(AB22:AD22)</f>
        <v>11454545</v>
      </c>
      <c r="AB22" s="324" cm="1">
        <f t="array" ref="AB22">ROUND($G22/V22*W22,0)</f>
        <v>0</v>
      </c>
      <c r="AC22" s="324" cm="1">
        <f t="array" ref="AC22">ROUND(I22/V22*X22,0)</f>
        <v>0</v>
      </c>
      <c r="AD22" s="324" cm="1">
        <f t="array" ref="AD22">ROUND($M22/V22*Y22,0)</f>
        <v>11454545</v>
      </c>
      <c r="AE22" s="294"/>
      <c r="AF22" s="385" cm="1">
        <f t="array" ref="AF22">SUM(AG22:AL22)</f>
        <v>-450000</v>
      </c>
      <c r="AG22" s="322">
        <v>0</v>
      </c>
      <c r="AH22" s="322"/>
      <c r="AI22" s="329"/>
      <c r="AJ22" s="291">
        <v>-450000</v>
      </c>
      <c r="AK22" s="325"/>
      <c r="AL22" s="322"/>
      <c r="AM22" s="328" cm="1">
        <f t="array" ref="AM22">AA22+AF22</f>
        <v>11004545</v>
      </c>
      <c r="AN22" s="324" cm="1">
        <f t="array" ref="AN22">VLOOKUP(B22,'BHXH'!$E$7:$F$40,2,0)</f>
        <v>5310000</v>
      </c>
      <c r="AO22" s="324" cm="1">
        <f t="array" ref="AO22">$AN22*10.5%</f>
        <v>557550</v>
      </c>
      <c r="AP22" s="324" cm="1">
        <f t="array" ref="AP22">$AN22*21.5%</f>
        <v>1141650</v>
      </c>
      <c r="AQ22" s="329"/>
      <c r="AR22" s="322" cm="1">
        <f t="array" ref="AR22">IF($E22=10%,0,(AQ22*6200000+15500000))</f>
        <v>15500000</v>
      </c>
      <c r="AS22" s="322" cm="1">
        <f t="array" ref="AS22">AM22-(Q22+R22+S22)/V22*U22-AG22</f>
        <v>9448635.90909091</v>
      </c>
      <c r="AT22" s="324" cm="1">
        <f t="array" ref="AT22">ROUND(IF((AS22-AR22-AO22)&lt;0,0,(AS22-AR22-AO22)),0)</f>
        <v>0</v>
      </c>
      <c r="AU22" s="322"/>
      <c r="AV22" s="322" cm="1">
        <f t="array" ref="AV22">IF(AT22&lt;=0,0,IF(AT22&lt;=10000000,AT22*5%,IF(AT22&lt;=30000000,AT22*10%-500000,IF(AT22&lt;=60000000,AT22*20%-3500000,IF(AT22&lt;=100000000,AT22*30%-9500000,AT22*35%-14500000)))))</f>
        <v>0</v>
      </c>
      <c r="AW22" s="324" cm="1">
        <f t="array" ref="AW22">ROUND((AM22-AO22-AV22-AU22),-3)</f>
        <v>10447000</v>
      </c>
      <c r="AX22" s="331">
        <v>15275000</v>
      </c>
      <c r="AY22" s="331"/>
      <c r="AZ22" s="324" cm="1">
        <f t="array" ref="AZ22">ROUND(AW22-AX22+AY22,0)</f>
        <v>-4828000</v>
      </c>
      <c r="BA22" s="322" cm="1">
        <f t="array" ref="BA22">AM22+AP22</f>
        <v>12146195</v>
      </c>
      <c r="BB22" s="332"/>
      <c r="BC22" s="333" cm="1">
        <f t="array" ref="BC22">(U22-V22)</f>
        <v>-1</v>
      </c>
      <c r="BD22" s="334" cm="1">
        <f t="array" ref="BD22">AF22</f>
        <v>-450000</v>
      </c>
      <c r="BE22" s="335">
        <v>993157.894736841</v>
      </c>
      <c r="BF22" s="335" cm="1">
        <f t="array" ref="BF22">T22</f>
        <v>1630000</v>
      </c>
      <c r="BG22" s="172">
        <v>15197000</v>
      </c>
      <c r="BH22" s="336">
        <v>0</v>
      </c>
      <c r="BI22" s="337" cm="1">
        <f t="array" ref="BI22">AW22-BG22</f>
        <v>-4750000</v>
      </c>
      <c r="BJ22" t="s" s="353">
        <v>272</v>
      </c>
      <c r="BK22" t="s" s="339">
        <v>270</v>
      </c>
      <c r="BL22" t="s" s="393">
        <v>273</v>
      </c>
      <c r="BM22" t="s" s="340">
        <v>274</v>
      </c>
      <c r="BN22" t="s" s="340">
        <v>211</v>
      </c>
      <c r="BO22" t="s" s="394">
        <v>275</v>
      </c>
      <c r="BP22" t="s" s="395">
        <v>276</v>
      </c>
      <c r="BQ22" t="s" s="342">
        <v>270</v>
      </c>
      <c r="BR22" t="s" s="308">
        <v>219</v>
      </c>
      <c r="BS22" t="s" s="309">
        <v>270</v>
      </c>
      <c r="BT22" s="310">
        <v>15975000</v>
      </c>
      <c r="BU22" s="310">
        <v>1500000</v>
      </c>
      <c r="BV22" s="310" cm="1">
        <f t="array" ref="BV22">AW22-BT22-BU22</f>
        <v>-7028000</v>
      </c>
      <c r="BW22" s="162">
        <v>17057550</v>
      </c>
      <c r="BX22" s="310" cm="1">
        <f t="array" ref="BX22">L22-BW22</f>
        <v>-5057550</v>
      </c>
    </row>
    <row r="23" s="165" customFormat="1" ht="27" customHeight="1">
      <c r="A23" s="350">
        <v>15</v>
      </c>
      <c r="B23" t="s" s="396">
        <v>277</v>
      </c>
      <c r="C23" s="397">
        <v>45825</v>
      </c>
      <c r="D23" t="s" s="398">
        <v>278</v>
      </c>
      <c r="E23" s="320"/>
      <c r="F23" t="s" s="287">
        <v>85</v>
      </c>
      <c r="G23" s="399"/>
      <c r="H23" s="399"/>
      <c r="I23" s="400"/>
      <c r="J23" s="289"/>
      <c r="K23" s="289"/>
      <c r="L23" s="290">
        <v>12000000</v>
      </c>
      <c r="M23" s="290" cm="1">
        <f t="array" ref="M23">L23</f>
        <v>12000000</v>
      </c>
      <c r="N23" s="291" cm="1">
        <f t="array" ref="N23">VLOOKUP(B23,'BHXH'!$E$7:$F$40,2,0)</f>
        <v>5310000</v>
      </c>
      <c r="O23" s="291" cm="1">
        <f t="array" ref="O23">M23-(N23+P23+Q23+R23+S23)</f>
        <v>4810000</v>
      </c>
      <c r="P23" s="291">
        <v>250000</v>
      </c>
      <c r="Q23" s="291">
        <v>400000</v>
      </c>
      <c r="R23" s="291">
        <v>500000</v>
      </c>
      <c r="S23" s="291">
        <v>730000</v>
      </c>
      <c r="T23" s="291" cm="1">
        <f t="array" ref="T23">SUM(Q23:S23)</f>
        <v>1630000</v>
      </c>
      <c r="U23" s="292" cm="1">
        <f t="array" ref="U23">SUM(W23:Y23)</f>
        <v>22</v>
      </c>
      <c r="V23" s="292">
        <v>22</v>
      </c>
      <c r="W23" s="292"/>
      <c r="X23" s="293"/>
      <c r="Y23" s="293">
        <v>22</v>
      </c>
      <c r="Z23" s="291"/>
      <c r="AA23" s="290" cm="1">
        <f t="array" ref="AA23">SUM(AB23:AD23)</f>
        <v>12000000</v>
      </c>
      <c r="AB23" s="291" cm="1">
        <f t="array" ref="AB23">ROUND($G23/V23*W23,0)</f>
        <v>0</v>
      </c>
      <c r="AC23" s="291" cm="1">
        <f t="array" ref="AC23">ROUND(I23/V23*X23,0)</f>
        <v>0</v>
      </c>
      <c r="AD23" s="291" cm="1">
        <f t="array" ref="AD23">ROUND($M23/V23*Y23,0)</f>
        <v>12000000</v>
      </c>
      <c r="AE23" s="294"/>
      <c r="AF23" s="375" cm="1">
        <f t="array" ref="AF23">SUM(AG23:AL23)</f>
        <v>0</v>
      </c>
      <c r="AG23" s="296">
        <v>0</v>
      </c>
      <c r="AH23" s="296"/>
      <c r="AI23" s="288"/>
      <c r="AJ23" s="291">
        <v>0</v>
      </c>
      <c r="AK23" s="292"/>
      <c r="AL23" s="296"/>
      <c r="AM23" s="290" cm="1">
        <f t="array" ref="AM23">AA23+AF23</f>
        <v>12000000</v>
      </c>
      <c r="AN23" s="291" cm="1">
        <f t="array" ref="AN23">VLOOKUP(B23,'BHXH'!$E$7:$F$40,2,0)</f>
        <v>5310000</v>
      </c>
      <c r="AO23" s="291" cm="1">
        <f t="array" ref="AO23">$AN23*10.5%</f>
        <v>557550</v>
      </c>
      <c r="AP23" s="291" cm="1">
        <f t="array" ref="AP23">$AN23*21.5%</f>
        <v>1141650</v>
      </c>
      <c r="AQ23" s="288"/>
      <c r="AR23" s="296" cm="1">
        <f t="array" ref="AR23">IF($E23=10%,0,(AQ23*6200000+15500000))</f>
        <v>15500000</v>
      </c>
      <c r="AS23" s="296" cm="1">
        <f t="array" ref="AS23">AM23-(Q23+R23+S23)/V23*U23-AG23</f>
        <v>10370000</v>
      </c>
      <c r="AT23" s="291" cm="1">
        <f t="array" ref="AT23">ROUND(IF((AS23-AR23-AO23)&lt;0,0,(AS23-AR23-AO23)),0)</f>
        <v>0</v>
      </c>
      <c r="AU23" s="322"/>
      <c r="AV23" s="296" cm="1">
        <f t="array" ref="AV23">IF(AT23&lt;=0,0,IF(AT23&lt;=10000000,AT23*5%,IF(AT23&lt;=30000000,AT23*10%-500000,IF(AT23&lt;=60000000,AT23*20%-3500000,IF(AT23&lt;=100000000,AT23*30%-9500000,AT23*35%-14500000)))))</f>
        <v>0</v>
      </c>
      <c r="AW23" s="291" cm="1">
        <f t="array" ref="AW23">ROUND((AM23-AO23-AV23-AU23),-3)</f>
        <v>11442000</v>
      </c>
      <c r="AX23" s="298">
        <v>17427000</v>
      </c>
      <c r="AY23" s="298"/>
      <c r="AZ23" s="291" cm="1">
        <f t="array" ref="AZ23">ROUND(AW23-AX23+AY23,0)</f>
        <v>-5985000</v>
      </c>
      <c r="BA23" s="296" cm="1">
        <f t="array" ref="BA23">AM23+AP23</f>
        <v>13141650</v>
      </c>
      <c r="BB23" s="332"/>
      <c r="BC23" s="299" cm="1">
        <f t="array" ref="BC23">(U23-V23)</f>
        <v>0</v>
      </c>
      <c r="BD23" s="300" cm="1">
        <f t="array" ref="BD23">AF23</f>
        <v>0</v>
      </c>
      <c r="BE23" s="172">
        <v>-75000</v>
      </c>
      <c r="BF23" s="172" cm="1">
        <f t="array" ref="BF23">T23</f>
        <v>1630000</v>
      </c>
      <c r="BG23" s="172">
        <v>17284000</v>
      </c>
      <c r="BH23" s="237">
        <v>0</v>
      </c>
      <c r="BI23" s="337" cm="1">
        <f t="array" ref="BI23">AW23-BG23</f>
        <v>-5842000</v>
      </c>
      <c r="BJ23" t="s" s="353">
        <v>226</v>
      </c>
      <c r="BK23" t="s" s="401">
        <v>277</v>
      </c>
      <c r="BL23" t="s" s="391">
        <v>279</v>
      </c>
      <c r="BM23" t="s" s="303">
        <v>280</v>
      </c>
      <c r="BN23" t="s" s="303">
        <v>211</v>
      </c>
      <c r="BO23" t="s" s="402">
        <v>280</v>
      </c>
      <c r="BP23" t="s" s="403">
        <v>281</v>
      </c>
      <c r="BQ23" t="s" s="357">
        <v>277</v>
      </c>
      <c r="BR23" t="s" s="308">
        <v>219</v>
      </c>
      <c r="BS23" t="s" s="309">
        <v>282</v>
      </c>
      <c r="BW23" s="162">
        <v>18000000</v>
      </c>
      <c r="BX23" s="310" cm="1">
        <f t="array" ref="BX23">L23-BW23</f>
        <v>-6000000</v>
      </c>
    </row>
    <row r="24" s="165" customFormat="1" ht="27" customHeight="1">
      <c r="A24" s="371" cm="1">
        <f t="array" ref="A24">A23+1</f>
        <v>16</v>
      </c>
      <c r="B24" t="s" s="396">
        <v>283</v>
      </c>
      <c r="C24" s="397">
        <v>45859</v>
      </c>
      <c r="D24" t="s" s="398">
        <v>284</v>
      </c>
      <c r="E24" s="320"/>
      <c r="F24" t="s" s="287">
        <v>85</v>
      </c>
      <c r="G24" s="399"/>
      <c r="H24" s="399"/>
      <c r="I24" s="400"/>
      <c r="J24" s="289"/>
      <c r="K24" s="289"/>
      <c r="L24" s="290">
        <v>12000000</v>
      </c>
      <c r="M24" s="290" cm="1">
        <f t="array" ref="M24">L24</f>
        <v>12000000</v>
      </c>
      <c r="N24" s="291" cm="1">
        <f t="array" ref="N24">VLOOKUP(B24,'BHXH'!$E$7:$F$40,2,0)</f>
        <v>5310000</v>
      </c>
      <c r="O24" s="291" cm="1">
        <f t="array" ref="O24">M24-(N24+P24+Q24+R24+S24)</f>
        <v>4810000</v>
      </c>
      <c r="P24" s="291">
        <v>250000</v>
      </c>
      <c r="Q24" s="291">
        <v>400000</v>
      </c>
      <c r="R24" s="291">
        <v>500000</v>
      </c>
      <c r="S24" s="291">
        <v>730000</v>
      </c>
      <c r="T24" s="291" cm="1">
        <f t="array" ref="T24">SUM(Q24:S24)</f>
        <v>1630000</v>
      </c>
      <c r="U24" s="292" cm="1">
        <f t="array" ref="U24">SUM(W24:Y24)</f>
        <v>22</v>
      </c>
      <c r="V24" s="292">
        <v>22</v>
      </c>
      <c r="W24" s="292"/>
      <c r="X24" s="293"/>
      <c r="Y24" s="293">
        <v>22</v>
      </c>
      <c r="Z24" s="291"/>
      <c r="AA24" s="290" cm="1">
        <f t="array" ref="AA24">SUM(AB24:AD24)</f>
        <v>12000000</v>
      </c>
      <c r="AB24" s="291" cm="1">
        <f t="array" ref="AB24">ROUND($G24/V24*W24,0)</f>
        <v>0</v>
      </c>
      <c r="AC24" s="291" cm="1">
        <f t="array" ref="AC24">ROUND(I24/V24*X24,0)</f>
        <v>0</v>
      </c>
      <c r="AD24" s="291" cm="1">
        <f t="array" ref="AD24">ROUND($M24/V24*Y24,0)</f>
        <v>12000000</v>
      </c>
      <c r="AE24" s="294"/>
      <c r="AF24" s="375" cm="1">
        <f t="array" ref="AF24">SUM(AG24:AL24)</f>
        <v>0</v>
      </c>
      <c r="AG24" s="296">
        <v>0</v>
      </c>
      <c r="AH24" s="296"/>
      <c r="AI24" s="288"/>
      <c r="AJ24" s="291">
        <v>0</v>
      </c>
      <c r="AK24" s="292"/>
      <c r="AL24" s="296"/>
      <c r="AM24" s="290" cm="1">
        <f t="array" ref="AM24">AA24+AF24</f>
        <v>12000000</v>
      </c>
      <c r="AN24" s="291" cm="1">
        <f t="array" ref="AN24">VLOOKUP(B24,'BHXH'!$E$7:$F$40,2,0)</f>
        <v>5310000</v>
      </c>
      <c r="AO24" s="291" cm="1">
        <f t="array" ref="AO24">$AN24*10.5%</f>
        <v>557550</v>
      </c>
      <c r="AP24" s="291" cm="1">
        <f t="array" ref="AP24">$AN24*21.5%</f>
        <v>1141650</v>
      </c>
      <c r="AQ24" s="297">
        <v>1</v>
      </c>
      <c r="AR24" s="296" cm="1">
        <f t="array" ref="AR24">IF($E24=10%,0,(AQ24*6200000+15500000))</f>
        <v>21700000</v>
      </c>
      <c r="AS24" s="296" cm="1">
        <f t="array" ref="AS24">AM24-(Q24+R24+S24)/V24*U24-AG24</f>
        <v>10370000</v>
      </c>
      <c r="AT24" s="291" cm="1">
        <f t="array" ref="AT24">ROUND(IF((AS24-AR24-AO24)&lt;0,0,(AS24-AR24-AO24)),0)</f>
        <v>0</v>
      </c>
      <c r="AU24" s="322"/>
      <c r="AV24" s="296" cm="1">
        <f t="array" ref="AV24">IF(AT24&lt;=0,0,IF(AT24&lt;=10000000,AT24*5%,IF(AT24&lt;=30000000,AT24*10%-500000,IF(AT24&lt;=60000000,AT24*20%-3500000,IF(AT24&lt;=100000000,AT24*30%-9500000,AT24*35%-14500000)))))</f>
        <v>0</v>
      </c>
      <c r="AW24" s="291" cm="1">
        <f t="array" ref="AW24">ROUND((AM24-AO24-AV24-AU24),-3)</f>
        <v>11442000</v>
      </c>
      <c r="AX24" s="298">
        <v>28968000</v>
      </c>
      <c r="AY24" s="298"/>
      <c r="AZ24" s="291" cm="1">
        <f t="array" ref="AZ24">ROUND(AW24-AX24+AY24,0)</f>
        <v>-17526000</v>
      </c>
      <c r="BA24" s="322" cm="1">
        <f t="array" ref="BA24">AM24+AP24</f>
        <v>13141650</v>
      </c>
      <c r="BB24" s="332"/>
      <c r="BC24" s="299" cm="1">
        <f t="array" ref="BC24">(U24-V24)</f>
        <v>0</v>
      </c>
      <c r="BD24" s="300" cm="1">
        <f t="array" ref="BD24">AF24</f>
        <v>0</v>
      </c>
      <c r="BE24" s="172">
        <v>0</v>
      </c>
      <c r="BF24" s="172" cm="1">
        <f t="array" ref="BF24">T24</f>
        <v>1630000</v>
      </c>
      <c r="BG24" s="172">
        <v>28968000</v>
      </c>
      <c r="BH24" s="237">
        <v>0</v>
      </c>
      <c r="BI24" s="301" cm="1">
        <f t="array" ref="BI24">AW24-BG24</f>
        <v>-17526000</v>
      </c>
      <c r="BJ24" s="197"/>
      <c r="BK24" t="s" s="404">
        <v>283</v>
      </c>
      <c r="BL24" t="s" s="391">
        <v>285</v>
      </c>
      <c r="BM24" t="s" s="303">
        <v>286</v>
      </c>
      <c r="BN24" t="s" s="303">
        <v>276</v>
      </c>
      <c r="BO24" t="s" s="405">
        <v>286</v>
      </c>
      <c r="BP24" t="s" s="406">
        <v>287</v>
      </c>
      <c r="BQ24" s="407"/>
      <c r="BR24" t="s" s="308">
        <v>219</v>
      </c>
      <c r="BS24" t="s" s="408">
        <v>288</v>
      </c>
      <c r="BW24" s="162">
        <v>30000000</v>
      </c>
      <c r="BX24" s="310" cm="1">
        <f t="array" ref="BX24">L24-BW24</f>
        <v>-18000000</v>
      </c>
    </row>
    <row r="25" s="165" customFormat="1" ht="27" customHeight="1">
      <c r="A25" t="s" s="284">
        <v>207</v>
      </c>
      <c r="B25" t="s" s="396">
        <v>289</v>
      </c>
      <c r="C25" s="397">
        <v>45992</v>
      </c>
      <c r="D25" t="s" s="398">
        <v>290</v>
      </c>
      <c r="E25" s="320"/>
      <c r="F25" t="s" s="287">
        <v>85</v>
      </c>
      <c r="G25" s="399"/>
      <c r="H25" s="399"/>
      <c r="I25" s="400"/>
      <c r="J25" s="289"/>
      <c r="K25" s="289"/>
      <c r="L25" s="290">
        <v>12000000</v>
      </c>
      <c r="M25" s="290" cm="1">
        <f t="array" ref="M25">L25</f>
        <v>12000000</v>
      </c>
      <c r="N25" s="291" cm="1">
        <f t="array" ref="N25">VLOOKUP(B25,'BHXH'!$E$7:$F$40,2,0)</f>
        <v>5310000</v>
      </c>
      <c r="O25" s="291" cm="1">
        <f t="array" ref="O25">M25-(N25+P25+Q25+R25+S25)</f>
        <v>4810000</v>
      </c>
      <c r="P25" s="291">
        <v>250000</v>
      </c>
      <c r="Q25" s="291">
        <v>400000</v>
      </c>
      <c r="R25" s="291">
        <v>500000</v>
      </c>
      <c r="S25" s="291">
        <v>730000</v>
      </c>
      <c r="T25" s="291" cm="1">
        <f t="array" ref="T25">SUM(Q25:S25)</f>
        <v>1630000</v>
      </c>
      <c r="U25" s="292" cm="1">
        <f t="array" ref="U25">SUM(W25:Y25)</f>
        <v>22</v>
      </c>
      <c r="V25" s="292">
        <v>22</v>
      </c>
      <c r="W25" s="292"/>
      <c r="X25" s="293"/>
      <c r="Y25" s="293">
        <v>22</v>
      </c>
      <c r="Z25" s="291"/>
      <c r="AA25" s="290" cm="1">
        <f t="array" ref="AA25">SUM(AB25:AD25)</f>
        <v>12000000</v>
      </c>
      <c r="AB25" s="291" cm="1">
        <f t="array" ref="AB25">ROUND($G25/V25*W25,0)</f>
        <v>0</v>
      </c>
      <c r="AC25" s="291" cm="1">
        <f t="array" ref="AC25">ROUND(I25/V25*X25,0)</f>
        <v>0</v>
      </c>
      <c r="AD25" s="291" cm="1">
        <f t="array" ref="AD25">ROUND($M25/V25*Y25,0)</f>
        <v>12000000</v>
      </c>
      <c r="AE25" s="294"/>
      <c r="AF25" s="375" cm="1">
        <f t="array" ref="AF25">SUM(AG25:AL25)</f>
        <v>0</v>
      </c>
      <c r="AG25" s="296">
        <v>0</v>
      </c>
      <c r="AH25" s="296"/>
      <c r="AI25" s="288"/>
      <c r="AJ25" s="291">
        <v>0</v>
      </c>
      <c r="AK25" s="292"/>
      <c r="AL25" s="296"/>
      <c r="AM25" s="290" cm="1">
        <f t="array" ref="AM25">AA25+AF25</f>
        <v>12000000</v>
      </c>
      <c r="AN25" s="291" cm="1">
        <f t="array" ref="AN25">VLOOKUP(B25,'BHXH'!$E$7:$F$40,2,0)</f>
        <v>5310000</v>
      </c>
      <c r="AO25" s="291" cm="1">
        <f t="array" ref="AO25">$AN25*10.5%</f>
        <v>557550</v>
      </c>
      <c r="AP25" s="291" cm="1">
        <f t="array" ref="AP25">$AN25*21.5%</f>
        <v>1141650</v>
      </c>
      <c r="AQ25" s="297">
        <v>2</v>
      </c>
      <c r="AR25" s="296" cm="1">
        <f t="array" ref="AR25">IF($E25=10%,0,(AQ25*6200000+15500000))</f>
        <v>27900000</v>
      </c>
      <c r="AS25" s="296" cm="1">
        <f t="array" ref="AS25">AM25-(Q25+R25+S25)/V25*U25-AG25</f>
        <v>10370000</v>
      </c>
      <c r="AT25" s="291" cm="1">
        <f t="array" ref="AT25">ROUND(IF((AS25-AR25-AO25)&lt;0,0,(AS25-AR25-AO25)),0)</f>
        <v>0</v>
      </c>
      <c r="AU25" s="322"/>
      <c r="AV25" s="296" cm="1">
        <f t="array" ref="AV25">IF(AT25&lt;=0,0,IF(AT25&lt;=10000000,AT25*5%,IF(AT25&lt;=30000000,AT25*10%-500000,IF(AT25&lt;=60000000,AT25*20%-3500000,IF(AT25&lt;=100000000,AT25*30%-9500000,AT25*35%-14500000)))))</f>
        <v>0</v>
      </c>
      <c r="AW25" s="291" cm="1">
        <f t="array" ref="AW25">ROUND((AM25-AO25-AV25-AU25),-3)</f>
        <v>11442000</v>
      </c>
      <c r="AX25" s="298">
        <v>25075000</v>
      </c>
      <c r="AY25" s="298">
        <v>75000</v>
      </c>
      <c r="AZ25" s="291" cm="1">
        <f t="array" ref="AZ25">ROUND(AW25-AX25+AY25,0)</f>
        <v>-13558000</v>
      </c>
      <c r="BA25" s="322" cm="1">
        <f t="array" ref="BA25">AM25+AP25</f>
        <v>13141650</v>
      </c>
      <c r="BB25" s="332"/>
      <c r="BC25" s="299" cm="1">
        <f t="array" ref="BC25">(U25-V25)</f>
        <v>0</v>
      </c>
      <c r="BD25" s="300" cm="1">
        <f t="array" ref="BD25">AF25</f>
        <v>0</v>
      </c>
      <c r="BE25" s="172">
        <v>0</v>
      </c>
      <c r="BF25" s="172" cm="1">
        <f t="array" ref="BF25">T25</f>
        <v>1630000</v>
      </c>
      <c r="BG25" s="172">
        <v>24925000</v>
      </c>
      <c r="BH25" s="237">
        <v>0</v>
      </c>
      <c r="BI25" s="337" cm="1">
        <f t="array" ref="BI25">AW25-BG25</f>
        <v>-13483000</v>
      </c>
      <c r="BJ25" t="s" s="409">
        <v>226</v>
      </c>
      <c r="BK25" t="s" s="410">
        <v>289</v>
      </c>
      <c r="BL25" t="s" s="411">
        <v>291</v>
      </c>
      <c r="BM25" t="s" s="303">
        <v>292</v>
      </c>
      <c r="BN25" t="s" s="303">
        <v>276</v>
      </c>
      <c r="BO25" t="s" s="412">
        <v>292</v>
      </c>
      <c r="BP25" t="s" s="413">
        <v>276</v>
      </c>
      <c r="BQ25" s="414"/>
      <c r="BR25" s="415"/>
      <c r="BS25" s="415"/>
      <c r="BW25" s="162">
        <v>25892500</v>
      </c>
      <c r="BX25" s="310" cm="1">
        <f t="array" ref="BX25">L25-BW25</f>
        <v>-13892500</v>
      </c>
    </row>
    <row r="26" s="165" customFormat="1" ht="27" customHeight="1">
      <c r="A26" s="350">
        <v>18</v>
      </c>
      <c r="B26" t="s" s="396">
        <v>293</v>
      </c>
      <c r="C26" s="397">
        <v>45992</v>
      </c>
      <c r="D26" t="s" s="398">
        <v>294</v>
      </c>
      <c r="E26" s="320"/>
      <c r="F26" t="s" s="287">
        <v>85</v>
      </c>
      <c r="G26" s="399"/>
      <c r="H26" s="399"/>
      <c r="I26" s="400"/>
      <c r="J26" s="289"/>
      <c r="K26" s="289"/>
      <c r="L26" s="290">
        <v>12000000</v>
      </c>
      <c r="M26" s="290" cm="1">
        <f t="array" ref="M26">L26</f>
        <v>12000000</v>
      </c>
      <c r="N26" s="291" cm="1">
        <f t="array" ref="N26">VLOOKUP(B26,'BHXH'!$E$7:$F$40,2,0)</f>
        <v>5310000</v>
      </c>
      <c r="O26" s="291" cm="1">
        <f t="array" ref="O26">M26-(N26+P26+Q26+R26+S26)</f>
        <v>4810000</v>
      </c>
      <c r="P26" s="291">
        <v>250000</v>
      </c>
      <c r="Q26" s="291">
        <v>400000</v>
      </c>
      <c r="R26" s="291">
        <v>500000</v>
      </c>
      <c r="S26" s="291">
        <v>730000</v>
      </c>
      <c r="T26" s="291" cm="1">
        <f t="array" ref="T26">SUM(Q26:S26)</f>
        <v>1630000</v>
      </c>
      <c r="U26" s="292" cm="1">
        <f t="array" ref="U26">SUM(W26:Y26)</f>
        <v>22</v>
      </c>
      <c r="V26" s="292">
        <v>22</v>
      </c>
      <c r="W26" s="292"/>
      <c r="X26" s="293"/>
      <c r="Y26" s="293">
        <v>22</v>
      </c>
      <c r="Z26" s="291"/>
      <c r="AA26" s="290" cm="1">
        <f t="array" ref="AA26">SUM(AB26:AD26)</f>
        <v>12000000</v>
      </c>
      <c r="AB26" s="291" cm="1">
        <f t="array" ref="AB26">ROUND($G26/V26*W26,0)</f>
        <v>0</v>
      </c>
      <c r="AC26" s="291" cm="1">
        <f t="array" ref="AC26">ROUND(I26/V26*X26,0)</f>
        <v>0</v>
      </c>
      <c r="AD26" s="291" cm="1">
        <f t="array" ref="AD26">ROUND($M26/V26*Y26,0)</f>
        <v>12000000</v>
      </c>
      <c r="AE26" s="294"/>
      <c r="AF26" s="416" cm="1">
        <f t="array" ref="AF26">SUM(AG26:AL26)</f>
        <v>0</v>
      </c>
      <c r="AG26" s="296">
        <v>0</v>
      </c>
      <c r="AH26" s="384"/>
      <c r="AI26" s="288"/>
      <c r="AJ26" s="291">
        <v>0</v>
      </c>
      <c r="AK26" s="292"/>
      <c r="AL26" s="296"/>
      <c r="AM26" s="290" cm="1">
        <f t="array" ref="AM26">AA26+AF26</f>
        <v>12000000</v>
      </c>
      <c r="AN26" s="291" cm="1">
        <f t="array" ref="AN26">VLOOKUP(B26,'BHXH'!$E$7:$F$40,2,0)</f>
        <v>5310000</v>
      </c>
      <c r="AO26" s="291" cm="1">
        <f t="array" ref="AO26">$AN26*10.5%</f>
        <v>557550</v>
      </c>
      <c r="AP26" s="291" cm="1">
        <f t="array" ref="AP26">$AN26*21.5%</f>
        <v>1141650</v>
      </c>
      <c r="AQ26" s="297">
        <v>0</v>
      </c>
      <c r="AR26" s="296" cm="1">
        <f t="array" ref="AR26">IF($E26=10%,0,(AQ26*6200000+15500000))</f>
        <v>15500000</v>
      </c>
      <c r="AS26" s="296" cm="1">
        <f t="array" ref="AS26">AM26-(Q26+R26+S26)/V26*U26-AG26</f>
        <v>10370000</v>
      </c>
      <c r="AT26" s="291" cm="1">
        <f t="array" ref="AT26">ROUND(IF((AS26-AR26-AO26)&lt;0,0,(AS26-AR26-AO26)),0)</f>
        <v>0</v>
      </c>
      <c r="AU26" s="322"/>
      <c r="AV26" s="296" cm="1">
        <f t="array" ref="AV26">IF(AT26&lt;=0,0,IF(AT26&lt;=10000000,AT26*5%,IF(AT26&lt;=30000000,AT26*10%-500000,IF(AT26&lt;=60000000,AT26*20%-3500000,IF(AT26&lt;=100000000,AT26*30%-9500000,AT26*35%-14500000)))))</f>
        <v>0</v>
      </c>
      <c r="AW26" s="291" cm="1">
        <f t="array" ref="AW26">ROUND((AM26-AO26-AV26-AU26),-3)</f>
        <v>11442000</v>
      </c>
      <c r="AX26" s="298">
        <v>10442000</v>
      </c>
      <c r="AY26" s="298"/>
      <c r="AZ26" s="291" cm="1">
        <f t="array" ref="AZ26">ROUND(AW26-AX26+AY26,0)</f>
        <v>1000000</v>
      </c>
      <c r="BA26" s="322" cm="1">
        <f t="array" ref="BA26">AM26+AP26</f>
        <v>13141650</v>
      </c>
      <c r="BB26" s="332"/>
      <c r="BC26" s="299" cm="1">
        <f t="array" ref="BC26">(U26-V26)</f>
        <v>0</v>
      </c>
      <c r="BD26" s="300" cm="1">
        <f t="array" ref="BD26">AF26</f>
        <v>0</v>
      </c>
      <c r="BE26" s="172">
        <v>555500</v>
      </c>
      <c r="BF26" s="172" cm="1">
        <f t="array" ref="BF26">T26</f>
        <v>1630000</v>
      </c>
      <c r="BG26" s="172">
        <v>10442000</v>
      </c>
      <c r="BH26" s="237">
        <v>0</v>
      </c>
      <c r="BI26" s="301" cm="1">
        <f t="array" ref="BI26">AW26-BG26</f>
        <v>1000000</v>
      </c>
      <c r="BJ26" s="417"/>
      <c r="BK26" t="s" s="410">
        <v>293</v>
      </c>
      <c r="BL26" t="s" s="411">
        <v>295</v>
      </c>
      <c r="BM26" t="s" s="303">
        <v>296</v>
      </c>
      <c r="BN26" t="s" s="303">
        <v>297</v>
      </c>
      <c r="BO26" t="s" s="412">
        <v>296</v>
      </c>
      <c r="BP26" t="s" s="418">
        <v>297</v>
      </c>
      <c r="BQ26" s="414"/>
      <c r="BR26" s="415"/>
      <c r="BS26" s="415"/>
      <c r="BT26" s="419">
        <v>8520000</v>
      </c>
      <c r="BU26" s="311">
        <v>500000</v>
      </c>
      <c r="BV26" s="310" cm="1">
        <f t="array" ref="BV26">AW26-BT26-BU26</f>
        <v>2422000</v>
      </c>
      <c r="BW26" s="162">
        <v>11000000</v>
      </c>
      <c r="BX26" s="310" cm="1">
        <f t="array" ref="BX26">L26-BW26</f>
        <v>1000000</v>
      </c>
    </row>
    <row r="27" s="165" customFormat="1" ht="27" customHeight="1">
      <c r="A27" t="s" s="284">
        <v>207</v>
      </c>
      <c r="B27" t="s" s="396">
        <v>298</v>
      </c>
      <c r="C27" s="397">
        <v>45992</v>
      </c>
      <c r="D27" t="s" s="398">
        <v>299</v>
      </c>
      <c r="E27" s="320"/>
      <c r="F27" t="s" s="287">
        <v>85</v>
      </c>
      <c r="G27" s="399"/>
      <c r="H27" s="399"/>
      <c r="I27" s="400"/>
      <c r="J27" s="289"/>
      <c r="K27" s="289"/>
      <c r="L27" s="290">
        <v>12000000</v>
      </c>
      <c r="M27" s="290" cm="1">
        <f t="array" ref="M27">L27</f>
        <v>12000000</v>
      </c>
      <c r="N27" s="291" cm="1">
        <f t="array" ref="N27">VLOOKUP(B27,'BHXH'!$E$7:$F$40,2,0)</f>
        <v>5310000</v>
      </c>
      <c r="O27" s="291" cm="1">
        <f t="array" ref="O27">M27-(N27+P27+Q27+R27+S27)</f>
        <v>4810000</v>
      </c>
      <c r="P27" s="291">
        <v>250000</v>
      </c>
      <c r="Q27" s="291">
        <v>400000</v>
      </c>
      <c r="R27" s="291">
        <v>500000</v>
      </c>
      <c r="S27" s="291">
        <v>730000</v>
      </c>
      <c r="T27" s="291" cm="1">
        <f t="array" ref="T27">SUM(Q27:S27)</f>
        <v>1630000</v>
      </c>
      <c r="U27" s="292" cm="1">
        <f t="array" ref="U27">SUM(W27:Y27)</f>
        <v>22</v>
      </c>
      <c r="V27" s="292">
        <v>22</v>
      </c>
      <c r="W27" s="292"/>
      <c r="X27" s="293"/>
      <c r="Y27" s="293">
        <v>22</v>
      </c>
      <c r="Z27" s="291"/>
      <c r="AA27" s="290" cm="1">
        <f t="array" ref="AA27">SUM(AB27:AD27)</f>
        <v>12000000</v>
      </c>
      <c r="AB27" s="291" cm="1">
        <f t="array" ref="AB27">ROUND($G27/V27*W27,0)</f>
        <v>0</v>
      </c>
      <c r="AC27" s="291" cm="1">
        <f t="array" ref="AC27">ROUND(I27/V27*X27,0)</f>
        <v>0</v>
      </c>
      <c r="AD27" s="291" cm="1">
        <f t="array" ref="AD27">ROUND($M27/V27*Y27,0)</f>
        <v>12000000</v>
      </c>
      <c r="AE27" s="294"/>
      <c r="AF27" s="375" cm="1">
        <f t="array" ref="AF27">SUM(AG27:AL27)</f>
        <v>-50000</v>
      </c>
      <c r="AG27" s="296">
        <v>0</v>
      </c>
      <c r="AH27" s="384"/>
      <c r="AI27" s="288"/>
      <c r="AJ27" s="291">
        <v>-50000</v>
      </c>
      <c r="AK27" s="292"/>
      <c r="AL27" s="296"/>
      <c r="AM27" s="290" cm="1">
        <f t="array" ref="AM27">AA27+AF27</f>
        <v>11950000</v>
      </c>
      <c r="AN27" s="291" cm="1">
        <f t="array" ref="AN27">VLOOKUP(B27,'BHXH'!$E$7:$F$40,2,0)</f>
        <v>5310000</v>
      </c>
      <c r="AO27" s="291" cm="1">
        <f t="array" ref="AO27">$AN27*10.5%</f>
        <v>557550</v>
      </c>
      <c r="AP27" s="291" cm="1">
        <f t="array" ref="AP27">$AN27*21.5%</f>
        <v>1141650</v>
      </c>
      <c r="AQ27" s="297">
        <v>0</v>
      </c>
      <c r="AR27" s="296" cm="1">
        <f t="array" ref="AR27">IF($E27=10%,0,(AQ27*6200000+15500000))</f>
        <v>15500000</v>
      </c>
      <c r="AS27" s="296" cm="1">
        <f t="array" ref="AS27">AM27-(Q27+R27+S27)/V27*U27-AG27</f>
        <v>10320000</v>
      </c>
      <c r="AT27" s="291" cm="1">
        <f t="array" ref="AT27">ROUND(IF((AS27-AR27-AO27)&lt;0,0,(AS27-AR27-AO27)),0)</f>
        <v>0</v>
      </c>
      <c r="AU27" s="322"/>
      <c r="AV27" s="296" cm="1">
        <f t="array" ref="AV27">IF(AT27&lt;=0,0,IF(AT27&lt;=10000000,AT27*5%,IF(AT27&lt;=30000000,AT27*10%-500000,IF(AT27&lt;=60000000,AT27*20%-3500000,IF(AT27&lt;=100000000,AT27*30%-9500000,AT27*35%-14500000)))))</f>
        <v>0</v>
      </c>
      <c r="AW27" s="291" cm="1">
        <f t="array" ref="AW27">ROUND((AM27-AO27-AV27-AU27),-3)</f>
        <v>11392000</v>
      </c>
      <c r="AX27" s="298">
        <v>36628000</v>
      </c>
      <c r="AY27" s="298">
        <v>1673000</v>
      </c>
      <c r="AZ27" s="291" cm="1">
        <f t="array" ref="AZ27">ROUND(AW27-AX27+AY27,0)</f>
        <v>-23563000</v>
      </c>
      <c r="BA27" s="322" cm="1">
        <f t="array" ref="BA27">AM27+AP27</f>
        <v>13091650</v>
      </c>
      <c r="BB27" s="332"/>
      <c r="BC27" s="299" cm="1">
        <f t="array" ref="BC27">(U27-V27)</f>
        <v>0</v>
      </c>
      <c r="BD27" s="300" cm="1">
        <f t="array" ref="BD27">AF27</f>
        <v>-50000</v>
      </c>
      <c r="BE27" s="172">
        <v>0</v>
      </c>
      <c r="BF27" s="172" cm="1">
        <f t="array" ref="BF27">T27</f>
        <v>1630000</v>
      </c>
      <c r="BG27" s="172">
        <v>33327000</v>
      </c>
      <c r="BH27" s="237">
        <v>0</v>
      </c>
      <c r="BI27" s="337" cm="1">
        <f t="array" ref="BI27">AW27-BG27</f>
        <v>-21935000</v>
      </c>
      <c r="BJ27" t="s" s="409">
        <v>300</v>
      </c>
      <c r="BK27" t="s" s="410">
        <v>298</v>
      </c>
      <c r="BL27" t="s" s="411">
        <v>301</v>
      </c>
      <c r="BM27" t="s" s="303">
        <v>302</v>
      </c>
      <c r="BN27" t="s" s="303">
        <v>266</v>
      </c>
      <c r="BO27" t="s" s="412">
        <v>302</v>
      </c>
      <c r="BP27" t="s" s="418">
        <v>266</v>
      </c>
      <c r="BQ27" s="414"/>
      <c r="BR27" s="415"/>
      <c r="BS27" s="415"/>
      <c r="BW27" s="162">
        <v>36987550</v>
      </c>
      <c r="BX27" s="310" cm="1">
        <f t="array" ref="BX27">L27-BW27</f>
        <v>-24987550</v>
      </c>
    </row>
    <row r="28" s="163" customFormat="1" ht="27" customHeight="1">
      <c r="A28" t="s" s="318">
        <v>207</v>
      </c>
      <c r="B28" t="s" s="420">
        <v>303</v>
      </c>
      <c r="C28" s="421">
        <v>45992</v>
      </c>
      <c r="D28" t="s" s="422">
        <v>299</v>
      </c>
      <c r="E28" s="320"/>
      <c r="F28" t="s" s="321">
        <v>85</v>
      </c>
      <c r="G28" s="423"/>
      <c r="H28" s="423"/>
      <c r="I28" s="424"/>
      <c r="J28" s="323"/>
      <c r="K28" s="323"/>
      <c r="L28" s="290">
        <v>12000000</v>
      </c>
      <c r="M28" s="290" cm="1">
        <f t="array" ref="M28">L28</f>
        <v>12000000</v>
      </c>
      <c r="N28" s="324" cm="1">
        <f t="array" ref="N28">VLOOKUP(B28,'BHXH'!$E$7:$F$40,2,0)</f>
        <v>5310000</v>
      </c>
      <c r="O28" s="324" cm="1">
        <f t="array" ref="O28">M28-(N28+P28+Q28+R28+S28)</f>
        <v>4810000</v>
      </c>
      <c r="P28" s="324">
        <v>250000</v>
      </c>
      <c r="Q28" s="324">
        <v>400000</v>
      </c>
      <c r="R28" s="324">
        <v>500000</v>
      </c>
      <c r="S28" s="324">
        <v>730000</v>
      </c>
      <c r="T28" s="324" cm="1">
        <f t="array" ref="T28">SUM(Q28:S28)</f>
        <v>1630000</v>
      </c>
      <c r="U28" s="325" cm="1">
        <f t="array" ref="U28">SUM(W28:Y28)</f>
        <v>22</v>
      </c>
      <c r="V28" s="325">
        <v>22</v>
      </c>
      <c r="W28" s="325"/>
      <c r="X28" s="327"/>
      <c r="Y28" s="327">
        <v>22</v>
      </c>
      <c r="Z28" s="324"/>
      <c r="AA28" s="328" cm="1">
        <f t="array" ref="AA28">SUM(AB28:AD28)</f>
        <v>12000000</v>
      </c>
      <c r="AB28" s="324" cm="1">
        <f t="array" ref="AB28">ROUND($G28/V28*W28,0)</f>
        <v>0</v>
      </c>
      <c r="AC28" s="324" cm="1">
        <f t="array" ref="AC28">ROUND(I28/V28*X28,0)</f>
        <v>0</v>
      </c>
      <c r="AD28" s="324" cm="1">
        <f t="array" ref="AD28">ROUND($M28/V28*Y28,0)</f>
        <v>12000000</v>
      </c>
      <c r="AE28" s="294"/>
      <c r="AF28" s="425" cm="1">
        <f t="array" ref="AF28">SUM(AG28:AL28)</f>
        <v>-50000</v>
      </c>
      <c r="AG28" s="322">
        <v>0</v>
      </c>
      <c r="AH28" s="426"/>
      <c r="AI28" s="329"/>
      <c r="AJ28" s="324">
        <v>-50000</v>
      </c>
      <c r="AK28" s="325"/>
      <c r="AL28" s="322"/>
      <c r="AM28" s="328" cm="1">
        <f t="array" ref="AM28">AA28+AF28</f>
        <v>11950000</v>
      </c>
      <c r="AN28" s="324" cm="1">
        <f t="array" ref="AN28">VLOOKUP(B28,'BHXH'!$E$7:$F$40,2,0)</f>
        <v>5310000</v>
      </c>
      <c r="AO28" s="324" cm="1">
        <f t="array" ref="AO28">$AN28*10.5%</f>
        <v>557550</v>
      </c>
      <c r="AP28" s="324" cm="1">
        <f t="array" ref="AP28">$AN28*21.5%</f>
        <v>1141650</v>
      </c>
      <c r="AQ28" s="330">
        <v>0</v>
      </c>
      <c r="AR28" s="322" cm="1">
        <f t="array" ref="AR28">IF($E28=10%,0,(AQ28*6200000+15500000))</f>
        <v>15500000</v>
      </c>
      <c r="AS28" s="322" cm="1">
        <f t="array" ref="AS28">AM28-(Q28+R28+S28)/V28*U28-AG28</f>
        <v>10320000</v>
      </c>
      <c r="AT28" s="324" cm="1">
        <f t="array" ref="AT28">ROUND(IF((AS28-AR28-AO28)&lt;0,0,(AS28-AR28-AO28)),0)</f>
        <v>0</v>
      </c>
      <c r="AU28" s="322"/>
      <c r="AV28" s="322" cm="1">
        <f t="array" ref="AV28">IF(AT28&lt;=0,0,IF(AT28&lt;=10000000,AT28*5%,IF(AT28&lt;=30000000,AT28*10%-500000,IF(AT28&lt;=60000000,AT28*20%-3500000,IF(AT28&lt;=100000000,AT28*30%-9500000,AT28*35%-14500000)))))</f>
        <v>0</v>
      </c>
      <c r="AW28" s="324" cm="1">
        <f t="array" ref="AW28">ROUND((AM28-AO28-AV28-AU28),-3)</f>
        <v>11392000</v>
      </c>
      <c r="AX28" s="331"/>
      <c r="AY28" s="331"/>
      <c r="AZ28" s="324" cm="1">
        <f t="array" ref="AZ28">ROUND(AW28-AX28+AY28,0)</f>
        <v>11392000</v>
      </c>
      <c r="BA28" s="322" cm="1">
        <f t="array" ref="BA28">AM28+AP28</f>
        <v>13091650</v>
      </c>
      <c r="BB28" s="332"/>
      <c r="BC28" s="333" cm="1">
        <f t="array" ref="BC28">(U28-V28)</f>
        <v>0</v>
      </c>
      <c r="BD28" s="334" cm="1">
        <f t="array" ref="BD28">AF28</f>
        <v>-50000</v>
      </c>
      <c r="BE28" s="335">
        <v>110000</v>
      </c>
      <c r="BF28" s="335" cm="1">
        <f t="array" ref="BF28">T28</f>
        <v>1630000</v>
      </c>
      <c r="BG28" s="335">
        <v>16619000</v>
      </c>
      <c r="BH28" s="336">
        <v>0</v>
      </c>
      <c r="BI28" s="301" cm="1">
        <f t="array" ref="BI28">AW28-BG28</f>
        <v>-5227000</v>
      </c>
      <c r="BJ28" t="s" s="427">
        <v>226</v>
      </c>
      <c r="BK28" t="s" s="428">
        <v>303</v>
      </c>
      <c r="BL28" t="s" s="429">
        <v>304</v>
      </c>
      <c r="BM28" t="s" s="430">
        <v>305</v>
      </c>
      <c r="BN28" t="s" s="340">
        <v>229</v>
      </c>
      <c r="BO28" t="s" s="431">
        <v>305</v>
      </c>
      <c r="BP28" t="s" s="432">
        <v>229</v>
      </c>
      <c r="BQ28" s="433"/>
      <c r="BR28" s="415"/>
      <c r="BS28" s="415"/>
      <c r="BW28" s="162">
        <v>18077023.6842105</v>
      </c>
      <c r="BX28" s="310" cm="1">
        <f t="array" ref="BX28">L28-BW28</f>
        <v>-6077023.6842105</v>
      </c>
    </row>
    <row r="29" s="165" customFormat="1" ht="27" customHeight="1">
      <c r="A29" s="350">
        <v>21</v>
      </c>
      <c r="B29" t="s" s="396">
        <v>306</v>
      </c>
      <c r="C29" t="s" s="434">
        <v>307</v>
      </c>
      <c r="D29" t="s" s="398">
        <v>299</v>
      </c>
      <c r="E29" s="320"/>
      <c r="F29" t="s" s="287">
        <v>85</v>
      </c>
      <c r="G29" s="399"/>
      <c r="H29" s="399"/>
      <c r="I29" s="400"/>
      <c r="J29" s="289"/>
      <c r="K29" s="289"/>
      <c r="L29" s="290">
        <v>12000000</v>
      </c>
      <c r="M29" s="290" cm="1">
        <f t="array" ref="M29">L29</f>
        <v>12000000</v>
      </c>
      <c r="N29" s="291" cm="1">
        <f t="array" ref="N29">VLOOKUP(B29,'BHXH'!$E$7:$F$40,2,0)</f>
        <v>5310000</v>
      </c>
      <c r="O29" s="291" cm="1">
        <f t="array" ref="O29">M29-(N29+P29+Q29+R29+S29)</f>
        <v>4810000</v>
      </c>
      <c r="P29" s="291">
        <v>250000</v>
      </c>
      <c r="Q29" s="291">
        <v>400000</v>
      </c>
      <c r="R29" s="291">
        <v>500000</v>
      </c>
      <c r="S29" s="291">
        <v>730000</v>
      </c>
      <c r="T29" s="291" cm="1">
        <f t="array" ref="T29">SUM(Q29:S29)</f>
        <v>1630000</v>
      </c>
      <c r="U29" s="292" cm="1">
        <f t="array" ref="U29">SUM(W29:Y29)</f>
        <v>22</v>
      </c>
      <c r="V29" s="292">
        <v>22</v>
      </c>
      <c r="W29" s="292"/>
      <c r="X29" s="293"/>
      <c r="Y29" s="293">
        <v>22</v>
      </c>
      <c r="Z29" s="291"/>
      <c r="AA29" s="290" cm="1">
        <f t="array" ref="AA29">SUM(AB29:AD29)</f>
        <v>12000000</v>
      </c>
      <c r="AB29" s="291" cm="1">
        <f t="array" ref="AB29">ROUND($G29/V29*W29,0)</f>
        <v>0</v>
      </c>
      <c r="AC29" s="291" cm="1">
        <f t="array" ref="AC29">ROUND(I29/V29*X29,0)</f>
        <v>0</v>
      </c>
      <c r="AD29" s="291" cm="1">
        <f t="array" ref="AD29">ROUND($M29/V29*Y29,0)</f>
        <v>12000000</v>
      </c>
      <c r="AE29" s="294"/>
      <c r="AF29" s="416" cm="1">
        <f t="array" ref="AF29">SUM(AG29:AL29)</f>
        <v>0</v>
      </c>
      <c r="AG29" s="296">
        <v>0</v>
      </c>
      <c r="AH29" s="384"/>
      <c r="AI29" s="288"/>
      <c r="AJ29" s="291">
        <v>0</v>
      </c>
      <c r="AK29" s="292"/>
      <c r="AL29" s="296"/>
      <c r="AM29" s="290" cm="1">
        <f t="array" ref="AM29">AA29+AF29</f>
        <v>12000000</v>
      </c>
      <c r="AN29" s="291" cm="1">
        <f t="array" ref="AN29">VLOOKUP(B29,'BHXH'!$E$7:$F$40,2,0)</f>
        <v>5310000</v>
      </c>
      <c r="AO29" s="291" cm="1">
        <f t="array" ref="AO29">$AN29*10.5%</f>
        <v>557550</v>
      </c>
      <c r="AP29" s="291" cm="1">
        <f t="array" ref="AP29">$AN29*21.5%</f>
        <v>1141650</v>
      </c>
      <c r="AQ29" s="297">
        <v>2</v>
      </c>
      <c r="AR29" s="296" cm="1">
        <f t="array" ref="AR29">IF($E29=10%,0,(AQ29*6200000+15500000))</f>
        <v>27900000</v>
      </c>
      <c r="AS29" s="296" cm="1">
        <f t="array" ref="AS29">AM29-(Q29+R29+S29)/V29*U29-AG29</f>
        <v>10370000</v>
      </c>
      <c r="AT29" s="291" cm="1">
        <f t="array" ref="AT29">ROUND(IF((AS29-AR29-AO29)&lt;0,0,(AS29-AR29-AO29)),0)</f>
        <v>0</v>
      </c>
      <c r="AU29" s="322"/>
      <c r="AV29" s="296" cm="1">
        <f t="array" ref="AV29">IF(AT29&lt;=0,0,IF(AT29&lt;=10000000,AT29*5%,IF(AT29&lt;=30000000,AT29*10%-500000,IF(AT29&lt;=60000000,AT29*20%-3500000,IF(AT29&lt;=100000000,AT29*30%-9500000,AT29*35%-14500000)))))</f>
        <v>0</v>
      </c>
      <c r="AW29" s="291" cm="1">
        <f t="array" ref="AW29">ROUND((AM29-AO29-AV29-AU29),-3)</f>
        <v>11442000</v>
      </c>
      <c r="AX29" s="298">
        <v>20288000</v>
      </c>
      <c r="AY29" s="298">
        <v>75000</v>
      </c>
      <c r="AZ29" s="291" cm="1">
        <f t="array" ref="AZ29">ROUND(AW29-AX29+AY29,0)</f>
        <v>-8771000</v>
      </c>
      <c r="BA29" s="322" cm="1">
        <f t="array" ref="BA29">AM29+AP29</f>
        <v>13141650</v>
      </c>
      <c r="BB29" s="332"/>
      <c r="BC29" s="299" cm="1">
        <f t="array" ref="BC29">(U29-V29)</f>
        <v>0</v>
      </c>
      <c r="BD29" s="300" cm="1">
        <f t="array" ref="BD29">AF29</f>
        <v>0</v>
      </c>
      <c r="BE29" s="172">
        <v>0</v>
      </c>
      <c r="BF29" s="172" cm="1">
        <f t="array" ref="BF29">T29</f>
        <v>1630000</v>
      </c>
      <c r="BG29" s="172">
        <v>20063000</v>
      </c>
      <c r="BH29" s="237">
        <v>0</v>
      </c>
      <c r="BI29" s="337" cm="1">
        <f t="array" ref="BI29">AW29-BG29</f>
        <v>-8621000</v>
      </c>
      <c r="BJ29" t="s" s="435">
        <v>226</v>
      </c>
      <c r="BK29" t="s" s="436">
        <v>306</v>
      </c>
      <c r="BL29" t="s" s="436">
        <v>308</v>
      </c>
      <c r="BM29" t="s" s="437">
        <v>309</v>
      </c>
      <c r="BN29" t="s" s="438">
        <v>229</v>
      </c>
      <c r="BO29" t="s" s="437">
        <v>309</v>
      </c>
      <c r="BP29" t="s" s="406">
        <v>310</v>
      </c>
      <c r="BQ29" s="439"/>
      <c r="BR29" s="414"/>
      <c r="BS29" s="415"/>
      <c r="BT29" s="415"/>
      <c r="BW29" s="162">
        <v>21000000</v>
      </c>
      <c r="BX29" s="310" cm="1">
        <f t="array" ref="BX29">L29-BW29</f>
        <v>-9000000</v>
      </c>
    </row>
    <row r="30" s="163" customFormat="1" ht="27" customHeight="1">
      <c r="A30" s="358" cm="1">
        <f t="array" ref="A30">A29+1</f>
        <v>22</v>
      </c>
      <c r="B30" t="s" s="420">
        <v>311</v>
      </c>
      <c r="C30" t="s" s="440">
        <v>307</v>
      </c>
      <c r="D30" t="s" s="422">
        <v>299</v>
      </c>
      <c r="E30" s="320"/>
      <c r="F30" t="s" s="321">
        <v>85</v>
      </c>
      <c r="G30" s="423"/>
      <c r="H30" s="423"/>
      <c r="I30" s="424"/>
      <c r="J30" s="323"/>
      <c r="K30" s="323"/>
      <c r="L30" s="290">
        <v>12000000</v>
      </c>
      <c r="M30" s="290" cm="1">
        <f t="array" ref="M30">L30</f>
        <v>12000000</v>
      </c>
      <c r="N30" s="324" cm="1">
        <f t="array" ref="N30">VLOOKUP(B30,'BHXH'!$E$7:$F$40,2,0)</f>
        <v>5310000</v>
      </c>
      <c r="O30" s="324" cm="1">
        <f t="array" ref="O30">M30-(N30+P30+Q30+R30+S30)</f>
        <v>4810000</v>
      </c>
      <c r="P30" s="324">
        <v>250000</v>
      </c>
      <c r="Q30" s="324">
        <v>400000</v>
      </c>
      <c r="R30" s="324">
        <v>500000</v>
      </c>
      <c r="S30" s="324">
        <v>730000</v>
      </c>
      <c r="T30" s="324" cm="1">
        <f t="array" ref="T30">SUM(Q30:S30)</f>
        <v>1630000</v>
      </c>
      <c r="U30" s="325" cm="1">
        <f t="array" ref="U30">SUM(W30:Y30)</f>
        <v>22</v>
      </c>
      <c r="V30" s="325">
        <v>22</v>
      </c>
      <c r="W30" s="325"/>
      <c r="X30" s="327"/>
      <c r="Y30" s="327">
        <v>22</v>
      </c>
      <c r="Z30" s="324"/>
      <c r="AA30" s="328" cm="1">
        <f t="array" ref="AA30">SUM(AB30:AD30)</f>
        <v>12000000</v>
      </c>
      <c r="AB30" s="324" cm="1">
        <f t="array" ref="AB30">ROUND($G30/V30*W30,0)</f>
        <v>0</v>
      </c>
      <c r="AC30" s="324" cm="1">
        <f t="array" ref="AC30">ROUND(I30/V30*X30,0)</f>
        <v>0</v>
      </c>
      <c r="AD30" s="324" cm="1">
        <f t="array" ref="AD30">ROUND($M30/V30*Y30,0)</f>
        <v>12000000</v>
      </c>
      <c r="AE30" s="294"/>
      <c r="AF30" s="385" cm="1">
        <f t="array" ref="AF30">SUM(AG30:AL30)</f>
        <v>-125000</v>
      </c>
      <c r="AG30" s="322">
        <v>0</v>
      </c>
      <c r="AH30" s="426"/>
      <c r="AI30" s="329"/>
      <c r="AJ30" s="291">
        <v>-125000</v>
      </c>
      <c r="AK30" s="325"/>
      <c r="AL30" s="296"/>
      <c r="AM30" s="328" cm="1">
        <f t="array" ref="AM30">AA30+AF30</f>
        <v>11875000</v>
      </c>
      <c r="AN30" s="324" cm="1">
        <f t="array" ref="AN30">VLOOKUP(B30,'BHXH'!$E$7:$F$40,2,0)</f>
        <v>5310000</v>
      </c>
      <c r="AO30" s="324" cm="1">
        <f t="array" ref="AO30">$AN30*10.5%</f>
        <v>557550</v>
      </c>
      <c r="AP30" s="324" cm="1">
        <f t="array" ref="AP30">$AN30*21.5%</f>
        <v>1141650</v>
      </c>
      <c r="AQ30" s="330">
        <v>2</v>
      </c>
      <c r="AR30" s="322" cm="1">
        <f t="array" ref="AR30">IF($E30=10%,0,(AQ30*6200000+15500000))</f>
        <v>27900000</v>
      </c>
      <c r="AS30" s="322" cm="1">
        <f t="array" ref="AS30">AM30-(Q30+R30+S30)/V30*U30-AG30</f>
        <v>10245000</v>
      </c>
      <c r="AT30" s="324" cm="1">
        <f t="array" ref="AT30">ROUND(IF((AS30-AR30-AO30)&lt;0,0,(AS30-AR30-AO30)),0)</f>
        <v>0</v>
      </c>
      <c r="AU30" s="322"/>
      <c r="AV30" s="322" cm="1">
        <f t="array" ref="AV30">IF(AT30&lt;=0,0,IF(AT30&lt;=10000000,AT30*5%,IF(AT30&lt;=30000000,AT30*10%-500000,IF(AT30&lt;=60000000,AT30*20%-3500000,IF(AT30&lt;=100000000,AT30*30%-9500000,AT30*35%-14500000)))))</f>
        <v>0</v>
      </c>
      <c r="AW30" s="324" cm="1">
        <f t="array" ref="AW30">ROUND((AM30-AO30-AV30-AU30),-3)</f>
        <v>11317000</v>
      </c>
      <c r="AX30" s="298"/>
      <c r="AY30" s="331"/>
      <c r="AZ30" s="324" cm="1">
        <f t="array" ref="AZ30">ROUND(AW30-AX30+AY30,0)</f>
        <v>11317000</v>
      </c>
      <c r="BA30" s="322" cm="1">
        <f t="array" ref="BA30">AM30+AP30</f>
        <v>13016650</v>
      </c>
      <c r="BB30" s="332"/>
      <c r="BC30" s="333" cm="1">
        <f t="array" ref="BC30">(U30-V30)</f>
        <v>0</v>
      </c>
      <c r="BD30" s="334" cm="1">
        <f t="array" ref="BD30">AF30</f>
        <v>-125000</v>
      </c>
      <c r="BE30" s="335">
        <v>0</v>
      </c>
      <c r="BF30" s="335" cm="1">
        <f t="array" ref="BF30">T30</f>
        <v>1630000</v>
      </c>
      <c r="BG30" s="172">
        <v>32838000</v>
      </c>
      <c r="BH30" s="336">
        <v>0</v>
      </c>
      <c r="BI30" s="337" cm="1">
        <f t="array" ref="BI30">AW30-BG30</f>
        <v>-21521000</v>
      </c>
      <c r="BJ30" t="s" s="435">
        <v>312</v>
      </c>
      <c r="BK30" t="s" s="441">
        <v>313</v>
      </c>
      <c r="BL30" t="s" s="441">
        <v>314</v>
      </c>
      <c r="BM30" t="s" s="442">
        <v>315</v>
      </c>
      <c r="BN30" t="s" s="443">
        <v>316</v>
      </c>
      <c r="BO30" t="s" s="442">
        <v>315</v>
      </c>
      <c r="BP30" t="s" s="443">
        <v>316</v>
      </c>
      <c r="BQ30" s="444"/>
      <c r="BR30" s="433"/>
      <c r="BS30" s="415"/>
      <c r="BT30" s="415"/>
      <c r="BW30" s="162">
        <v>35000000</v>
      </c>
      <c r="BX30" s="310" cm="1">
        <f t="array" ref="BX30">L30-BW30</f>
        <v>-23000000</v>
      </c>
    </row>
    <row r="31" s="165" customFormat="1" ht="27" customHeight="1">
      <c r="A31" s="371" cm="1">
        <f t="array" ref="A31">A30+1</f>
        <v>23</v>
      </c>
      <c r="B31" t="s" s="396">
        <v>317</v>
      </c>
      <c r="C31" t="s" s="434">
        <v>307</v>
      </c>
      <c r="D31" t="s" s="398">
        <v>294</v>
      </c>
      <c r="E31" s="320"/>
      <c r="F31" t="s" s="287">
        <v>85</v>
      </c>
      <c r="G31" s="399"/>
      <c r="H31" s="399"/>
      <c r="I31" s="400"/>
      <c r="J31" s="289"/>
      <c r="K31" s="289"/>
      <c r="L31" s="290">
        <v>12000000</v>
      </c>
      <c r="M31" s="290" cm="1">
        <f t="array" ref="M31">L31</f>
        <v>12000000</v>
      </c>
      <c r="N31" s="291" cm="1">
        <f t="array" ref="N31">VLOOKUP(B31,'BHXH'!$E$7:$F$40,2,0)</f>
        <v>5310000</v>
      </c>
      <c r="O31" s="291" cm="1">
        <f t="array" ref="O31">M31-(N31+P31+Q31+R31+S31)</f>
        <v>4810000</v>
      </c>
      <c r="P31" s="291">
        <v>250000</v>
      </c>
      <c r="Q31" s="291">
        <v>400000</v>
      </c>
      <c r="R31" s="291">
        <v>500000</v>
      </c>
      <c r="S31" s="291">
        <v>730000</v>
      </c>
      <c r="T31" s="291" cm="1">
        <f t="array" ref="T31">SUM(Q31:S31)</f>
        <v>1630000</v>
      </c>
      <c r="U31" s="292" cm="1">
        <f t="array" ref="U31">SUM(W31:Y31)</f>
        <v>22</v>
      </c>
      <c r="V31" s="292">
        <v>22</v>
      </c>
      <c r="W31" s="292"/>
      <c r="X31" s="293"/>
      <c r="Y31" s="293">
        <v>22</v>
      </c>
      <c r="Z31" s="291"/>
      <c r="AA31" s="290" cm="1">
        <f t="array" ref="AA31">SUM(AB31:AD31)</f>
        <v>12000000</v>
      </c>
      <c r="AB31" s="291" cm="1">
        <f t="array" ref="AB31">ROUND($G31/V31*W31,0)</f>
        <v>0</v>
      </c>
      <c r="AC31" s="291" cm="1">
        <f t="array" ref="AC31">ROUND(I31/V31*X31,0)</f>
        <v>0</v>
      </c>
      <c r="AD31" s="291" cm="1">
        <f t="array" ref="AD31">ROUND($M31/V31*Y31,0)</f>
        <v>12000000</v>
      </c>
      <c r="AE31" s="294"/>
      <c r="AF31" s="416" cm="1">
        <f t="array" ref="AF31">SUM(AG31:AL31)</f>
        <v>0</v>
      </c>
      <c r="AG31" s="296">
        <v>0</v>
      </c>
      <c r="AH31" s="384"/>
      <c r="AI31" s="288"/>
      <c r="AJ31" s="291">
        <v>0</v>
      </c>
      <c r="AK31" s="292"/>
      <c r="AL31" s="296"/>
      <c r="AM31" s="290" cm="1">
        <f t="array" ref="AM31">AA31+AF31</f>
        <v>12000000</v>
      </c>
      <c r="AN31" s="291" cm="1">
        <f t="array" ref="AN31">VLOOKUP(B31,'BHXH'!$E$7:$F$40,2,0)</f>
        <v>5310000</v>
      </c>
      <c r="AO31" s="291" cm="1">
        <f t="array" ref="AO31">$AN31*10.5%</f>
        <v>557550</v>
      </c>
      <c r="AP31" s="291" cm="1">
        <f t="array" ref="AP31">$AN31*21.5%</f>
        <v>1141650</v>
      </c>
      <c r="AQ31" s="297">
        <v>0</v>
      </c>
      <c r="AR31" s="296" cm="1">
        <f t="array" ref="AR31">IF($E31=10%,0,(AQ31*6200000+15500000))</f>
        <v>15500000</v>
      </c>
      <c r="AS31" s="296" cm="1">
        <f t="array" ref="AS31">AM31-(Q31+R31+S31)/V31*U31-AG31</f>
        <v>10370000</v>
      </c>
      <c r="AT31" s="291" cm="1">
        <f t="array" ref="AT31">ROUND(IF((AS31-AR31-AO31)&lt;0,0,(AS31-AR31-AO31)),0)</f>
        <v>0</v>
      </c>
      <c r="AU31" s="322"/>
      <c r="AV31" s="296" cm="1">
        <f t="array" ref="AV31">IF(AT31&lt;=0,0,IF(AT31&lt;=10000000,AT31*5%,IF(AT31&lt;=30000000,AT31*10%-500000,IF(AT31&lt;=60000000,AT31*20%-3500000,IF(AT31&lt;=100000000,AT31*30%-9500000,AT31*35%-14500000)))))</f>
        <v>0</v>
      </c>
      <c r="AW31" s="291" cm="1">
        <f t="array" ref="AW31">ROUND((AM31-AO31-AV31-AU31),-3)</f>
        <v>11442000</v>
      </c>
      <c r="AX31" s="298">
        <v>10442000</v>
      </c>
      <c r="AY31" s="298"/>
      <c r="AZ31" s="291" cm="1">
        <f t="array" ref="AZ31">ROUND(AW31-AX31+AY31,0)</f>
        <v>1000000</v>
      </c>
      <c r="BA31" s="322" cm="1">
        <f t="array" ref="BA31">AM31+AP31</f>
        <v>13141650</v>
      </c>
      <c r="BB31" s="332"/>
      <c r="BC31" s="299" cm="1">
        <f t="array" ref="BC31">(U31-V31)</f>
        <v>0</v>
      </c>
      <c r="BD31" s="300" cm="1">
        <f t="array" ref="BD31">AF31</f>
        <v>0</v>
      </c>
      <c r="BE31" s="172">
        <v>0</v>
      </c>
      <c r="BF31" s="172" cm="1">
        <f t="array" ref="BF31">T31</f>
        <v>1630000</v>
      </c>
      <c r="BG31" s="172">
        <v>10367000</v>
      </c>
      <c r="BH31" s="237">
        <v>0</v>
      </c>
      <c r="BI31" s="337" cm="1">
        <f t="array" ref="BI31">AW31-BG31</f>
        <v>1075000</v>
      </c>
      <c r="BJ31" t="s" s="435">
        <v>226</v>
      </c>
      <c r="BK31" t="s" s="445">
        <v>318</v>
      </c>
      <c r="BL31" t="s" s="445">
        <v>319</v>
      </c>
      <c r="BM31" t="s" s="437">
        <v>320</v>
      </c>
      <c r="BN31" t="s" s="406">
        <v>321</v>
      </c>
      <c r="BO31" t="s" s="437">
        <v>320</v>
      </c>
      <c r="BP31" t="s" s="406">
        <v>321</v>
      </c>
      <c r="BQ31" s="446"/>
      <c r="BR31" s="414"/>
      <c r="BS31" s="415"/>
      <c r="BT31" s="415"/>
      <c r="BW31" s="162">
        <v>11000000</v>
      </c>
      <c r="BX31" s="310" cm="1">
        <f t="array" ref="BX31">L31-BW31</f>
        <v>1000000</v>
      </c>
    </row>
    <row r="32" s="165" customFormat="1" ht="27" customHeight="1">
      <c r="A32" s="371" cm="1">
        <f t="array" ref="A32">A31+1</f>
        <v>24</v>
      </c>
      <c r="B32" t="s" s="396">
        <v>322</v>
      </c>
      <c r="C32" t="s" s="434">
        <v>307</v>
      </c>
      <c r="D32" t="s" s="398">
        <v>294</v>
      </c>
      <c r="E32" s="320"/>
      <c r="F32" t="s" s="287">
        <v>85</v>
      </c>
      <c r="G32" s="399"/>
      <c r="H32" s="399"/>
      <c r="I32" s="400"/>
      <c r="J32" s="289"/>
      <c r="K32" s="289"/>
      <c r="L32" s="290">
        <v>12000000</v>
      </c>
      <c r="M32" s="290" cm="1">
        <f t="array" ref="M32">L32</f>
        <v>12000000</v>
      </c>
      <c r="N32" s="291" cm="1">
        <f t="array" ref="N32">VLOOKUP(B32,'BHXH'!$E$7:$F$40,2,0)</f>
        <v>5310000</v>
      </c>
      <c r="O32" s="291" cm="1">
        <f t="array" ref="O32">M32-(N32+P32+Q32+R32+S32)</f>
        <v>4810000</v>
      </c>
      <c r="P32" s="291">
        <v>250000</v>
      </c>
      <c r="Q32" s="291">
        <v>400000</v>
      </c>
      <c r="R32" s="291">
        <v>500000</v>
      </c>
      <c r="S32" s="291">
        <v>730000</v>
      </c>
      <c r="T32" s="291" cm="1">
        <f t="array" ref="T32">SUM(Q32:S32)</f>
        <v>1630000</v>
      </c>
      <c r="U32" s="292" cm="1">
        <f t="array" ref="U32">SUM(W32:Y32)</f>
        <v>22</v>
      </c>
      <c r="V32" s="292">
        <v>22</v>
      </c>
      <c r="W32" s="292"/>
      <c r="X32" s="293"/>
      <c r="Y32" s="293">
        <v>22</v>
      </c>
      <c r="Z32" s="291"/>
      <c r="AA32" s="290" cm="1">
        <f t="array" ref="AA32">SUM(AB32:AD32)</f>
        <v>12000000</v>
      </c>
      <c r="AB32" s="291" cm="1">
        <f t="array" ref="AB32">ROUND($G32/V32*W32,0)</f>
        <v>0</v>
      </c>
      <c r="AC32" s="291" cm="1">
        <f t="array" ref="AC32">ROUND(I32/V32*X32,0)</f>
        <v>0</v>
      </c>
      <c r="AD32" s="291" cm="1">
        <f t="array" ref="AD32">ROUND($M32/V32*Y32,0)</f>
        <v>12000000</v>
      </c>
      <c r="AE32" s="294"/>
      <c r="AF32" s="416" cm="1">
        <f t="array" ref="AF32">SUM(AG32:AL32)</f>
        <v>0</v>
      </c>
      <c r="AG32" s="296">
        <v>0</v>
      </c>
      <c r="AH32" s="384"/>
      <c r="AI32" s="288"/>
      <c r="AJ32" s="291">
        <v>0</v>
      </c>
      <c r="AK32" s="292"/>
      <c r="AL32" s="296"/>
      <c r="AM32" s="290" cm="1">
        <f t="array" ref="AM32">AA32+AF32</f>
        <v>12000000</v>
      </c>
      <c r="AN32" s="291" cm="1">
        <f t="array" ref="AN32">VLOOKUP(B32,'BHXH'!$E$7:$F$40,2,0)</f>
        <v>5310000</v>
      </c>
      <c r="AO32" s="291" cm="1">
        <f t="array" ref="AO32">$AN32*10.5%</f>
        <v>557550</v>
      </c>
      <c r="AP32" s="291" cm="1">
        <f t="array" ref="AP32">$AN32*21.5%</f>
        <v>1141650</v>
      </c>
      <c r="AQ32" s="297">
        <v>0</v>
      </c>
      <c r="AR32" s="296" cm="1">
        <f t="array" ref="AR32">IF($E32=10%,0,(AQ32*6200000+15500000))</f>
        <v>15500000</v>
      </c>
      <c r="AS32" s="296" cm="1">
        <f t="array" ref="AS32">AM32-(Q32+R32+S32)/V32*U32-AG32</f>
        <v>10370000</v>
      </c>
      <c r="AT32" s="291" cm="1">
        <f t="array" ref="AT32">ROUND(IF((AS32-AR32-AO32)&lt;0,0,(AS32-AR32-AO32)),0)</f>
        <v>0</v>
      </c>
      <c r="AU32" s="322"/>
      <c r="AV32" s="296" cm="1">
        <f t="array" ref="AV32">IF(AT32&lt;=0,0,IF(AT32&lt;=10000000,AT32*5%,IF(AT32&lt;=30000000,AT32*10%-500000,IF(AT32&lt;=60000000,AT32*20%-3500000,IF(AT32&lt;=100000000,AT32*30%-9500000,AT32*35%-14500000)))))</f>
        <v>0</v>
      </c>
      <c r="AW32" s="291" cm="1">
        <f t="array" ref="AW32">ROUND((AM32-AO32-AV32-AU32),-3)</f>
        <v>11442000</v>
      </c>
      <c r="AX32" s="298">
        <v>9942000</v>
      </c>
      <c r="AY32" s="298">
        <v>500000</v>
      </c>
      <c r="AZ32" s="291" cm="1">
        <f t="array" ref="AZ32">ROUND(AW32-AX32+AY32,0)</f>
        <v>2000000</v>
      </c>
      <c r="BA32" s="322" cm="1">
        <f t="array" ref="BA32">AM32+AP32</f>
        <v>13141650</v>
      </c>
      <c r="BB32" s="332"/>
      <c r="BC32" s="299" cm="1">
        <f t="array" ref="BC32">(U32-V32)</f>
        <v>0</v>
      </c>
      <c r="BD32" s="300" cm="1">
        <f t="array" ref="BD32">AF32</f>
        <v>0</v>
      </c>
      <c r="BE32" s="172">
        <v>0</v>
      </c>
      <c r="BF32" s="172" cm="1">
        <f t="array" ref="BF32">T32</f>
        <v>1630000</v>
      </c>
      <c r="BG32" s="172">
        <v>8867000</v>
      </c>
      <c r="BH32" s="237">
        <v>0</v>
      </c>
      <c r="BI32" s="337" cm="1">
        <f t="array" ref="BI32">AW32-BG32</f>
        <v>2575000</v>
      </c>
      <c r="BJ32" t="s" s="435">
        <v>323</v>
      </c>
      <c r="BK32" t="s" s="445">
        <v>324</v>
      </c>
      <c r="BL32" t="s" s="445">
        <v>325</v>
      </c>
      <c r="BM32" t="s" s="437">
        <v>326</v>
      </c>
      <c r="BN32" t="s" s="406">
        <v>327</v>
      </c>
      <c r="BO32" t="s" s="437">
        <v>326</v>
      </c>
      <c r="BP32" t="s" s="406">
        <v>327</v>
      </c>
      <c r="BQ32" s="446"/>
      <c r="BR32" s="414"/>
      <c r="BS32" s="415"/>
      <c r="BT32" s="415"/>
      <c r="BW32" s="162">
        <v>10000000</v>
      </c>
      <c r="BX32" s="310" cm="1">
        <f t="array" ref="BX32">L32-BW32</f>
        <v>2000000</v>
      </c>
    </row>
    <row r="33" s="163" customFormat="1" ht="27" customHeight="1">
      <c r="A33" s="358" cm="1">
        <f t="array" ref="A33">A32+1</f>
        <v>25</v>
      </c>
      <c r="B33" t="s" s="420">
        <v>328</v>
      </c>
      <c r="C33" t="s" s="440">
        <v>307</v>
      </c>
      <c r="D33" t="s" s="422">
        <v>329</v>
      </c>
      <c r="E33" s="320"/>
      <c r="F33" t="s" s="321">
        <v>85</v>
      </c>
      <c r="G33" s="423"/>
      <c r="H33" s="423"/>
      <c r="I33" s="424"/>
      <c r="J33" s="323"/>
      <c r="K33" s="323"/>
      <c r="L33" s="290">
        <v>12000000</v>
      </c>
      <c r="M33" s="290" cm="1">
        <f t="array" ref="M33">L33</f>
        <v>12000000</v>
      </c>
      <c r="N33" s="324" cm="1">
        <f t="array" ref="N33">VLOOKUP(B33,'BHXH'!$E$7:$F$40,2,0)</f>
        <v>5310000</v>
      </c>
      <c r="O33" s="324" cm="1">
        <f t="array" ref="O33">M33-(N33+P33+Q33+R33+S33)</f>
        <v>4810000</v>
      </c>
      <c r="P33" s="324">
        <v>250000</v>
      </c>
      <c r="Q33" s="324">
        <v>400000</v>
      </c>
      <c r="R33" s="324">
        <v>500000</v>
      </c>
      <c r="S33" s="324">
        <v>730000</v>
      </c>
      <c r="T33" s="324" cm="1">
        <f t="array" ref="T33">SUM(Q33:S33)</f>
        <v>1630000</v>
      </c>
      <c r="U33" s="325" cm="1">
        <f t="array" ref="U33">SUM(W33:Y33)</f>
        <v>22</v>
      </c>
      <c r="V33" s="325">
        <v>22</v>
      </c>
      <c r="W33" s="325"/>
      <c r="X33" s="327"/>
      <c r="Y33" s="327">
        <v>22</v>
      </c>
      <c r="Z33" s="324"/>
      <c r="AA33" s="328" cm="1">
        <f t="array" ref="AA33">SUM(AB33:AD33)</f>
        <v>12000000</v>
      </c>
      <c r="AB33" s="324" cm="1">
        <f t="array" ref="AB33">ROUND($G33/V33*W33,0)</f>
        <v>0</v>
      </c>
      <c r="AC33" s="324" cm="1">
        <f t="array" ref="AC33">ROUND(I33/V33*X33,0)</f>
        <v>0</v>
      </c>
      <c r="AD33" s="324" cm="1">
        <f t="array" ref="AD33">ROUND($M33/V33*Y33,0)</f>
        <v>12000000</v>
      </c>
      <c r="AE33" s="294"/>
      <c r="AF33" s="385" cm="1">
        <f t="array" ref="AF33">SUM(AG33:AL33)</f>
        <v>0</v>
      </c>
      <c r="AG33" s="322">
        <v>0</v>
      </c>
      <c r="AH33" s="426"/>
      <c r="AI33" s="329"/>
      <c r="AJ33" s="291">
        <v>0</v>
      </c>
      <c r="AK33" s="325"/>
      <c r="AL33" s="296"/>
      <c r="AM33" s="328" cm="1">
        <f t="array" ref="AM33">AA33+AF33</f>
        <v>12000000</v>
      </c>
      <c r="AN33" s="324" cm="1">
        <f t="array" ref="AN33">VLOOKUP(B33,'BHXH'!$E$7:$F$40,2,0)</f>
        <v>5310000</v>
      </c>
      <c r="AO33" s="324" cm="1">
        <f t="array" ref="AO33">$AN33*10.5%</f>
        <v>557550</v>
      </c>
      <c r="AP33" s="324" cm="1">
        <f t="array" ref="AP33">$AN33*21.5%</f>
        <v>1141650</v>
      </c>
      <c r="AQ33" s="330">
        <v>2</v>
      </c>
      <c r="AR33" s="322" cm="1">
        <f t="array" ref="AR33">IF($E33=10%,0,(AQ33*6200000+15500000))</f>
        <v>27900000</v>
      </c>
      <c r="AS33" s="322" cm="1">
        <f t="array" ref="AS33">AM33-(Q33+R33+S33)/V33*U33-AG33</f>
        <v>10370000</v>
      </c>
      <c r="AT33" s="324" cm="1">
        <f t="array" ref="AT33">ROUND(IF((AS33-AR33-AO33)&lt;0,0,(AS33-AR33-AO33)),0)</f>
        <v>0</v>
      </c>
      <c r="AU33" s="322"/>
      <c r="AV33" s="322" cm="1">
        <f t="array" ref="AV33">IF(AT33&lt;=0,0,IF(AT33&lt;=10000000,AT33*5%,IF(AT33&lt;=30000000,AT33*10%-500000,IF(AT33&lt;=60000000,AT33*20%-3500000,IF(AT33&lt;=100000000,AT33*30%-9500000,AT33*35%-14500000)))))</f>
        <v>0</v>
      </c>
      <c r="AW33" s="324" cm="1">
        <f t="array" ref="AW33">ROUND((AM33-AO33-AV33-AU33),-3)</f>
        <v>11442000</v>
      </c>
      <c r="AX33" s="298">
        <v>40285000</v>
      </c>
      <c r="AY33" s="331">
        <v>3106000</v>
      </c>
      <c r="AZ33" s="324" cm="1">
        <f t="array" ref="AZ33">ROUND(AW33-AX33+AY33,0)</f>
        <v>-25737000</v>
      </c>
      <c r="BA33" s="322" cm="1">
        <f t="array" ref="BA33">AM33+AP33</f>
        <v>13141650</v>
      </c>
      <c r="BB33" s="332"/>
      <c r="BC33" s="333" cm="1">
        <f t="array" ref="BC33">(U33-V33)</f>
        <v>0</v>
      </c>
      <c r="BD33" s="334" cm="1">
        <f t="array" ref="BD33">AF33</f>
        <v>0</v>
      </c>
      <c r="BE33" s="335">
        <v>1000000</v>
      </c>
      <c r="BF33" s="335" cm="1">
        <f t="array" ref="BF33">T33</f>
        <v>1630000</v>
      </c>
      <c r="BG33" s="172">
        <v>33859000</v>
      </c>
      <c r="BH33" s="336">
        <v>-23</v>
      </c>
      <c r="BI33" s="337" cm="1">
        <f t="array" ref="BI33">AW33-BG33</f>
        <v>-22417000</v>
      </c>
      <c r="BJ33" t="s" s="435">
        <v>323</v>
      </c>
      <c r="BK33" t="s" s="441">
        <v>328</v>
      </c>
      <c r="BL33" t="s" s="441">
        <v>330</v>
      </c>
      <c r="BM33" t="s" s="442">
        <v>331</v>
      </c>
      <c r="BN33" t="s" s="443">
        <v>229</v>
      </c>
      <c r="BO33" t="s" s="442">
        <v>331</v>
      </c>
      <c r="BP33" t="s" s="443">
        <v>310</v>
      </c>
      <c r="BQ33" s="444"/>
      <c r="BR33" s="415"/>
      <c r="BS33" s="415"/>
      <c r="BW33" s="162">
        <v>38500000</v>
      </c>
      <c r="BX33" s="310" cm="1">
        <f t="array" ref="BX33">L33-BW33</f>
        <v>-26500000</v>
      </c>
    </row>
    <row r="34" s="165" customFormat="1" ht="27" customHeight="1">
      <c r="A34" s="371" cm="1">
        <f t="array" ref="A34">A33+1</f>
        <v>26</v>
      </c>
      <c r="B34" t="s" s="396">
        <v>332</v>
      </c>
      <c r="C34" t="s" s="434">
        <v>333</v>
      </c>
      <c r="D34" t="s" s="398">
        <v>334</v>
      </c>
      <c r="E34" s="320"/>
      <c r="F34" t="s" s="287">
        <v>85</v>
      </c>
      <c r="G34" s="399"/>
      <c r="H34" s="399"/>
      <c r="I34" s="400"/>
      <c r="J34" s="289"/>
      <c r="K34" s="289"/>
      <c r="L34" s="290">
        <v>12000000</v>
      </c>
      <c r="M34" s="290" cm="1">
        <f t="array" ref="M34">L34</f>
        <v>12000000</v>
      </c>
      <c r="N34" s="291" cm="1">
        <f t="array" ref="N34">VLOOKUP(B34,'BHXH'!$E$7:$F$40,2,0)</f>
        <v>5310000</v>
      </c>
      <c r="O34" s="291" cm="1">
        <f t="array" ref="O34">M34-(N34+P34+Q34+R34+S34)</f>
        <v>4310000</v>
      </c>
      <c r="P34" s="291">
        <v>250000</v>
      </c>
      <c r="Q34" s="291">
        <v>400000</v>
      </c>
      <c r="R34" s="291">
        <v>1000000</v>
      </c>
      <c r="S34" s="291">
        <v>730000</v>
      </c>
      <c r="T34" s="291" cm="1">
        <f t="array" ref="T34">SUM(Q34:S34)</f>
        <v>2130000</v>
      </c>
      <c r="U34" s="292" cm="1">
        <f t="array" ref="U34">SUM(W34:Y34)</f>
        <v>22</v>
      </c>
      <c r="V34" s="292">
        <v>22</v>
      </c>
      <c r="W34" s="292"/>
      <c r="X34" s="293"/>
      <c r="Y34" s="293">
        <v>22</v>
      </c>
      <c r="Z34" s="291"/>
      <c r="AA34" s="290" cm="1">
        <f t="array" ref="AA34">SUM(AB34:AD34)</f>
        <v>12000000</v>
      </c>
      <c r="AB34" s="291" cm="1">
        <f t="array" ref="AB34">ROUND($G34/V34*W34,0)</f>
        <v>0</v>
      </c>
      <c r="AC34" s="291" cm="1">
        <f t="array" ref="AC34">ROUND(I34/V34*X34,0)</f>
        <v>0</v>
      </c>
      <c r="AD34" s="291" cm="1">
        <f t="array" ref="AD34">ROUND($M34/V34*Y34,0)</f>
        <v>12000000</v>
      </c>
      <c r="AE34" s="294"/>
      <c r="AF34" s="416" cm="1">
        <f t="array" ref="AF34">SUM(AG34:AL34)</f>
        <v>0</v>
      </c>
      <c r="AG34" s="296">
        <v>0</v>
      </c>
      <c r="AH34" s="384"/>
      <c r="AI34" s="288"/>
      <c r="AJ34" s="291">
        <v>0</v>
      </c>
      <c r="AK34" s="292"/>
      <c r="AL34" s="296"/>
      <c r="AM34" s="290" cm="1">
        <f t="array" ref="AM34">AA34+AF34</f>
        <v>12000000</v>
      </c>
      <c r="AN34" s="291" cm="1">
        <f t="array" ref="AN34">VLOOKUP(B34,'BHXH'!$E$7:$F$40,2,0)</f>
        <v>5310000</v>
      </c>
      <c r="AO34" s="291" cm="1">
        <f t="array" ref="AO34">$AN34*10.5%</f>
        <v>557550</v>
      </c>
      <c r="AP34" s="291" cm="1">
        <f t="array" ref="AP34">$AN34*21.5%</f>
        <v>1141650</v>
      </c>
      <c r="AQ34" s="297">
        <v>0</v>
      </c>
      <c r="AR34" s="296" cm="1">
        <f t="array" ref="AR34">IF($E34=10%,0,(AQ34*6200000+15500000))</f>
        <v>15500000</v>
      </c>
      <c r="AS34" s="296" cm="1">
        <f t="array" ref="AS34">AM34-(Q34+R34+S34)/V34*U34-AG34</f>
        <v>9870000</v>
      </c>
      <c r="AT34" s="291" cm="1">
        <f t="array" ref="AT34">ROUND(IF((AS34-AR34-AO34)&lt;0,0,(AS34-AR34-AO34)),0)</f>
        <v>0</v>
      </c>
      <c r="AU34" s="322"/>
      <c r="AV34" s="296" cm="1">
        <f t="array" ref="AV34">IF(AT34&lt;=0,0,IF(AT34&lt;=10000000,AT34*5%,IF(AT34&lt;=30000000,AT34*10%-500000,IF(AT34&lt;=60000000,AT34*20%-3500000,IF(AT34&lt;=100000000,AT34*30%-9500000,AT34*35%-14500000)))))</f>
        <v>0</v>
      </c>
      <c r="AW34" s="291" cm="1">
        <f t="array" ref="AW34">ROUND((AM34-AO34-AV34-AU34),-3)</f>
        <v>11442000</v>
      </c>
      <c r="AX34" s="298"/>
      <c r="AY34" s="298"/>
      <c r="AZ34" s="291" cm="1">
        <f t="array" ref="AZ34">ROUND(AW34-AX34+AY34,0)</f>
        <v>11442000</v>
      </c>
      <c r="BA34" s="322" cm="1">
        <f t="array" ref="BA34">AM34+AP34</f>
        <v>13141650</v>
      </c>
      <c r="BB34" s="332"/>
      <c r="BC34" s="299" cm="1">
        <f t="array" ref="BC34">(U34-V34)</f>
        <v>0</v>
      </c>
      <c r="BD34" s="300" cm="1">
        <f t="array" ref="BD34">AF34</f>
        <v>0</v>
      </c>
      <c r="BE34" s="172">
        <v>0</v>
      </c>
      <c r="BF34" s="172" cm="1">
        <f t="array" ref="BF34">T34</f>
        <v>2130000</v>
      </c>
      <c r="BG34" s="172">
        <v>27373000</v>
      </c>
      <c r="BH34" s="237">
        <v>0</v>
      </c>
      <c r="BI34" s="301" cm="1">
        <f t="array" ref="BI34">AW34-BG34</f>
        <v>-15931000</v>
      </c>
      <c r="BJ34" s="447"/>
      <c r="BK34" t="s" s="445">
        <v>332</v>
      </c>
      <c r="BL34" t="s" s="445">
        <v>335</v>
      </c>
      <c r="BM34" t="s" s="437">
        <v>336</v>
      </c>
      <c r="BN34" t="s" s="406">
        <v>337</v>
      </c>
      <c r="BO34" t="s" s="437">
        <v>336</v>
      </c>
      <c r="BP34" t="s" s="406">
        <v>337</v>
      </c>
      <c r="BQ34" s="446"/>
      <c r="BR34" s="414"/>
      <c r="BS34" s="415"/>
      <c r="BT34" s="415"/>
      <c r="BW34" s="162">
        <v>30000000</v>
      </c>
      <c r="BX34" s="310" cm="1">
        <f t="array" ref="BX34">L34-BW34</f>
        <v>-18000000</v>
      </c>
    </row>
    <row r="35" s="165" customFormat="1" ht="27" customHeight="1">
      <c r="A35" s="371" cm="1">
        <f t="array" ref="A35">A34+1</f>
        <v>27</v>
      </c>
      <c r="B35" t="s" s="396">
        <v>338</v>
      </c>
      <c r="C35" s="397">
        <v>45985</v>
      </c>
      <c r="D35" t="s" s="448">
        <v>339</v>
      </c>
      <c r="E35" s="320"/>
      <c r="F35" t="s" s="287">
        <v>85</v>
      </c>
      <c r="G35" s="399"/>
      <c r="H35" s="399"/>
      <c r="I35" s="400"/>
      <c r="J35" s="289"/>
      <c r="K35" s="289"/>
      <c r="L35" s="290">
        <v>12000000</v>
      </c>
      <c r="M35" s="290" cm="1">
        <f t="array" ref="M35">L35</f>
        <v>12000000</v>
      </c>
      <c r="N35" s="291" cm="1">
        <f t="array" ref="N35">VLOOKUP(B35,'BHXH'!$E$7:$F$40,2,0)</f>
        <v>5310000</v>
      </c>
      <c r="O35" s="291" cm="1">
        <f t="array" ref="O35">M35-(N35+P35+Q35+R35+S35)</f>
        <v>4810000</v>
      </c>
      <c r="P35" s="291">
        <v>250000</v>
      </c>
      <c r="Q35" s="291">
        <v>400000</v>
      </c>
      <c r="R35" s="291">
        <v>500000</v>
      </c>
      <c r="S35" s="291">
        <v>730000</v>
      </c>
      <c r="T35" s="291" cm="1">
        <f t="array" ref="T35">SUM(Q35:S35)</f>
        <v>1630000</v>
      </c>
      <c r="U35" s="449" cm="1">
        <f t="array" ref="U35">SUM(W35:Y35)</f>
        <v>22</v>
      </c>
      <c r="V35" s="292">
        <v>22</v>
      </c>
      <c r="W35" s="292"/>
      <c r="X35" s="293"/>
      <c r="Y35" s="293">
        <v>22</v>
      </c>
      <c r="Z35" s="291"/>
      <c r="AA35" s="290" cm="1">
        <f t="array" ref="AA35">SUM(AB35:AD35)</f>
        <v>12000000</v>
      </c>
      <c r="AB35" s="291" cm="1">
        <f t="array" ref="AB35">ROUND($G35/V35*W35,0)</f>
        <v>0</v>
      </c>
      <c r="AC35" s="291" cm="1">
        <f t="array" ref="AC35">ROUND(I35/V35*X35,0)</f>
        <v>0</v>
      </c>
      <c r="AD35" s="291" cm="1">
        <f t="array" ref="AD35">ROUND($M35/V35*Y35,0)</f>
        <v>12000000</v>
      </c>
      <c r="AE35" s="294"/>
      <c r="AF35" s="375" cm="1">
        <f t="array" ref="AF35">SUM(AG35:AL35)</f>
        <v>-200000</v>
      </c>
      <c r="AG35" s="296">
        <v>0</v>
      </c>
      <c r="AH35" s="296"/>
      <c r="AI35" s="288"/>
      <c r="AJ35" s="291">
        <v>-200000</v>
      </c>
      <c r="AK35" s="292"/>
      <c r="AL35" s="296"/>
      <c r="AM35" s="290" cm="1">
        <f t="array" ref="AM35">AA35+AF35</f>
        <v>11800000</v>
      </c>
      <c r="AN35" s="291" cm="1">
        <f t="array" ref="AN35">VLOOKUP(B35,'BHXH'!$E$7:$F$40,2,0)</f>
        <v>5310000</v>
      </c>
      <c r="AO35" s="291" cm="1">
        <f t="array" ref="AO35">$AN35*10.5%</f>
        <v>557550</v>
      </c>
      <c r="AP35" s="291" cm="1">
        <f t="array" ref="AP35">$AN35*21.5%</f>
        <v>1141650</v>
      </c>
      <c r="AQ35" s="297">
        <v>2</v>
      </c>
      <c r="AR35" s="296" cm="1">
        <f t="array" ref="AR35">IF($E35=10%,0,(AQ35*6200000+15500000))</f>
        <v>27900000</v>
      </c>
      <c r="AS35" s="296" cm="1">
        <f t="array" ref="AS35">AM35-(Q35+R35+S35)/V35*U35-AG35</f>
        <v>10170000</v>
      </c>
      <c r="AT35" s="291" cm="1">
        <f t="array" ref="AT35">ROUND(IF((AS35-AR35-AO35)&lt;0,0,(AS35-AR35-AO35)),0)</f>
        <v>0</v>
      </c>
      <c r="AU35" s="322"/>
      <c r="AV35" s="296" cm="1">
        <f t="array" ref="AV35">IF(AT35&lt;=0,0,IF(AT35&lt;=10000000,AT35*5%,IF(AT35&lt;=30000000,AT35*10%-500000,IF(AT35&lt;=60000000,AT35*20%-3500000,IF(AT35&lt;=100000000,AT35*30%-9500000,AT35*35%-14500000)))))</f>
        <v>0</v>
      </c>
      <c r="AW35" s="291" cm="1">
        <f t="array" ref="AW35">ROUND((AM35-AO35-AV35-AU35),-3)</f>
        <v>11242000</v>
      </c>
      <c r="AX35" s="298">
        <v>38956000</v>
      </c>
      <c r="AY35" s="298">
        <v>2467000</v>
      </c>
      <c r="AZ35" s="291" cm="1">
        <f t="array" ref="AZ35">ROUND(AW35-AX35+AY35,0)</f>
        <v>-25247000</v>
      </c>
      <c r="BA35" s="322" cm="1">
        <f t="array" ref="BA35">AM35+AP35</f>
        <v>12941650</v>
      </c>
      <c r="BB35" s="332"/>
      <c r="BC35" s="299" cm="1">
        <f t="array" ref="BC35">(U35-V35)</f>
        <v>0</v>
      </c>
      <c r="BD35" s="300" cm="1">
        <f t="array" ref="BD35">AF35</f>
        <v>-200000</v>
      </c>
      <c r="BE35" s="172">
        <v>0</v>
      </c>
      <c r="BF35" s="172" cm="1">
        <f t="array" ref="BF35">T35</f>
        <v>1630000</v>
      </c>
      <c r="BG35" s="172">
        <v>33998000</v>
      </c>
      <c r="BH35" s="237">
        <v>0</v>
      </c>
      <c r="BI35" s="337" cm="1">
        <f t="array" ref="BI35">AW35-BG35</f>
        <v>-22756000</v>
      </c>
      <c r="BJ35" t="s" s="435">
        <v>340</v>
      </c>
      <c r="BK35" t="s" s="445">
        <v>338</v>
      </c>
      <c r="BL35" t="s" s="445">
        <v>341</v>
      </c>
      <c r="BM35" t="s" s="437">
        <v>342</v>
      </c>
      <c r="BN35" t="s" s="406">
        <v>343</v>
      </c>
      <c r="BO35" t="s" s="437">
        <v>344</v>
      </c>
      <c r="BP35" t="s" s="406">
        <v>345</v>
      </c>
      <c r="BQ35" t="s" s="450">
        <v>338</v>
      </c>
      <c r="BR35" s="451"/>
      <c r="BW35" s="162">
        <v>38000000</v>
      </c>
      <c r="BX35" s="310" cm="1">
        <f t="array" ref="BX35">L35-BW35</f>
        <v>-26000000</v>
      </c>
    </row>
    <row r="36" s="452" customFormat="1" ht="26.25" customHeight="1">
      <c r="A36" t="s" s="453">
        <v>207</v>
      </c>
      <c r="B36" t="s" s="454">
        <v>346</v>
      </c>
      <c r="C36" t="s" s="454">
        <v>347</v>
      </c>
      <c r="D36" t="s" s="454">
        <v>348</v>
      </c>
      <c r="E36" s="455"/>
      <c r="F36" t="s" s="456">
        <v>85</v>
      </c>
      <c r="G36" s="457"/>
      <c r="H36" s="458"/>
      <c r="I36" s="458"/>
      <c r="J36" s="458"/>
      <c r="K36" s="458"/>
      <c r="L36" s="290">
        <v>12000000</v>
      </c>
      <c r="M36" s="290" cm="1">
        <f t="array" ref="M36">L36</f>
        <v>12000000</v>
      </c>
      <c r="N36" s="459" cm="1">
        <f t="array" ref="N36">VLOOKUP(B36,'BHXH'!$E$7:$F$40,2,0)</f>
        <v>5310000</v>
      </c>
      <c r="O36" s="459" cm="1">
        <f t="array" ref="O36">M36-(N36+P36+Q36+R36+S36)</f>
        <v>4810000</v>
      </c>
      <c r="P36" s="459">
        <v>250000</v>
      </c>
      <c r="Q36" s="459">
        <v>400000</v>
      </c>
      <c r="R36" s="459">
        <v>500000</v>
      </c>
      <c r="S36" s="459">
        <v>730000</v>
      </c>
      <c r="T36" s="459" cm="1">
        <f t="array" ref="T36">SUM(Q36:S36)</f>
        <v>1630000</v>
      </c>
      <c r="U36" s="460" cm="1">
        <f t="array" ref="U36">SUM(W36:Y36)</f>
        <v>22</v>
      </c>
      <c r="V36" s="460">
        <v>22</v>
      </c>
      <c r="W36" s="460"/>
      <c r="X36" s="461"/>
      <c r="Y36" s="461">
        <v>22</v>
      </c>
      <c r="Z36" s="459"/>
      <c r="AA36" s="462" cm="1">
        <f t="array" ref="AA36">SUM(AB36:AD36)</f>
        <v>12000000</v>
      </c>
      <c r="AB36" s="459" cm="1">
        <f t="array" ref="AB36">ROUND($G36/V36*W36,0)</f>
        <v>0</v>
      </c>
      <c r="AC36" s="459" cm="1">
        <f t="array" ref="AC36">ROUND(I36/V36*X36,0)</f>
        <v>0</v>
      </c>
      <c r="AD36" s="459" cm="1">
        <f t="array" ref="AD36">ROUND($M36/V36*Y36,0)</f>
        <v>12000000</v>
      </c>
      <c r="AE36" s="463"/>
      <c r="AF36" s="464" cm="1">
        <f t="array" ref="AF36">SUM(AG36:AL36)</f>
        <v>0</v>
      </c>
      <c r="AG36" s="465">
        <v>0</v>
      </c>
      <c r="AH36" s="465"/>
      <c r="AI36" s="462"/>
      <c r="AJ36" s="459">
        <v>0</v>
      </c>
      <c r="AK36" s="460"/>
      <c r="AL36" s="462"/>
      <c r="AM36" s="462" cm="1">
        <f t="array" ref="AM36">AA36+AF36</f>
        <v>12000000</v>
      </c>
      <c r="AN36" s="459" cm="1">
        <f t="array" ref="AN36">VLOOKUP(B36,'BHXH'!$E$7:$F$40,2,0)</f>
        <v>5310000</v>
      </c>
      <c r="AO36" s="459" cm="1">
        <f t="array" ref="AO36">$AN36*10.5%</f>
        <v>557550</v>
      </c>
      <c r="AP36" s="459" cm="1">
        <f t="array" ref="AP36">$AN36*21.5%</f>
        <v>1141650</v>
      </c>
      <c r="AQ36" s="462"/>
      <c r="AR36" s="296" cm="1">
        <f t="array" ref="AR36">IF($E36=10%,0,(AQ36*6200000+15500000))</f>
        <v>15500000</v>
      </c>
      <c r="AS36" s="465" cm="1">
        <f t="array" ref="AS36">AM36-(Q36+R36+S36)/V36*U36-AG36</f>
        <v>10370000</v>
      </c>
      <c r="AT36" s="459" cm="1">
        <f t="array" ref="AT36">ROUND(IF((AS36-AR36-AO36)&lt;0,0,(AS36-AR36-AO36)),0)</f>
        <v>0</v>
      </c>
      <c r="AU36" s="465"/>
      <c r="AV36" s="465" cm="1">
        <f t="array" ref="AV36">IF(AT36&lt;=0,0,IF(AT36&lt;=10000000,AT36*5%,IF(AT36&lt;=30000000,AT36*10%-500000,IF(AT36&lt;=60000000,AT36*20%-3500000,IF(AT36&lt;=100000000,AT36*30%-9500000,AT36*35%-14500000)))))</f>
        <v>0</v>
      </c>
      <c r="AW36" s="459" cm="1">
        <f t="array" ref="AW36">ROUND((AM36-AO36-AV36-AU36),-3)</f>
        <v>11442000</v>
      </c>
      <c r="AX36" s="466">
        <v>10517000</v>
      </c>
      <c r="AY36" s="466">
        <v>75000</v>
      </c>
      <c r="AZ36" s="459" cm="1">
        <f t="array" ref="AZ36">ROUND(AW36-AX36+AY36,0)</f>
        <v>1000000</v>
      </c>
      <c r="BA36" s="465" cm="1">
        <f t="array" ref="BA36">AM36+AP36</f>
        <v>13141650</v>
      </c>
      <c r="BB36" s="467"/>
      <c r="BC36" s="468" cm="1">
        <f t="array" ref="BC36">(U36-V36)</f>
        <v>0</v>
      </c>
      <c r="BD36" s="469" cm="1">
        <f t="array" ref="BD36">AF36</f>
        <v>0</v>
      </c>
      <c r="BE36" s="470">
        <v>0</v>
      </c>
      <c r="BF36" s="470" cm="1">
        <f t="array" ref="BF36">T36</f>
        <v>1630000</v>
      </c>
      <c r="BG36" s="470">
        <v>7925000</v>
      </c>
      <c r="BH36" s="471">
        <v>-2.5</v>
      </c>
      <c r="BI36" s="337" cm="1">
        <f t="array" ref="BI36">AW36-BG36</f>
        <v>3517000</v>
      </c>
      <c r="BJ36" t="s" s="435">
        <v>259</v>
      </c>
      <c r="BK36" t="s" s="472">
        <v>346</v>
      </c>
      <c r="BL36" t="s" s="472">
        <v>349</v>
      </c>
      <c r="BM36" t="s" s="473">
        <v>350</v>
      </c>
      <c r="BN36" t="s" s="474">
        <v>211</v>
      </c>
      <c r="BO36" t="s" s="473">
        <v>351</v>
      </c>
      <c r="BP36" t="s" s="474">
        <v>213</v>
      </c>
      <c r="BQ36" t="s" s="475">
        <v>346</v>
      </c>
      <c r="BR36" t="s" s="308">
        <v>219</v>
      </c>
      <c r="BS36" t="s" s="309">
        <v>164</v>
      </c>
      <c r="BW36" s="162">
        <v>8000000</v>
      </c>
      <c r="BX36" s="310" cm="1">
        <f t="array" ref="BX36">L36-BW36</f>
        <v>4000000</v>
      </c>
    </row>
    <row r="37" s="452" customFormat="1" ht="23.25" customHeight="1">
      <c r="A37" t="s" s="453">
        <v>207</v>
      </c>
      <c r="B37" t="s" s="476">
        <v>352</v>
      </c>
      <c r="C37" t="s" s="477">
        <v>353</v>
      </c>
      <c r="D37" t="s" s="454">
        <v>354</v>
      </c>
      <c r="E37" s="455"/>
      <c r="F37" t="s" s="456">
        <v>85</v>
      </c>
      <c r="G37" s="457"/>
      <c r="H37" s="459"/>
      <c r="I37" s="465"/>
      <c r="J37" s="458"/>
      <c r="K37" s="458"/>
      <c r="L37" s="290">
        <v>12000000</v>
      </c>
      <c r="M37" s="290" cm="1">
        <f t="array" ref="M37">L37</f>
        <v>12000000</v>
      </c>
      <c r="N37" s="459" cm="1">
        <f t="array" ref="N37">VLOOKUP(B37,'BHXH'!$E$7:$F$40,2,0)</f>
        <v>5310000</v>
      </c>
      <c r="O37" s="459" cm="1">
        <f t="array" ref="O37">M37-(N37+P37+Q37+R37+S37)</f>
        <v>4810000</v>
      </c>
      <c r="P37" s="459">
        <v>250000</v>
      </c>
      <c r="Q37" s="459">
        <v>400000</v>
      </c>
      <c r="R37" s="459">
        <v>500000</v>
      </c>
      <c r="S37" s="459">
        <v>730000</v>
      </c>
      <c r="T37" s="459" cm="1">
        <f t="array" ref="T37">SUM(Q37:S37)</f>
        <v>1630000</v>
      </c>
      <c r="U37" s="460" cm="1">
        <f t="array" ref="U37">SUM(W37:Y37)</f>
        <v>22</v>
      </c>
      <c r="V37" s="460">
        <v>22</v>
      </c>
      <c r="W37" s="461"/>
      <c r="X37" s="461"/>
      <c r="Y37" s="461">
        <v>22</v>
      </c>
      <c r="Z37" s="459"/>
      <c r="AA37" s="462" cm="1">
        <f t="array" ref="AA37">SUM(AB37:AD37)</f>
        <v>12000000</v>
      </c>
      <c r="AB37" s="459" cm="1">
        <f t="array" ref="AB37">ROUND($G37/V37*W37,0)</f>
        <v>0</v>
      </c>
      <c r="AC37" s="459" cm="1">
        <f t="array" ref="AC37">ROUND(I37/V37*X37,0)</f>
        <v>0</v>
      </c>
      <c r="AD37" s="459" cm="1">
        <f t="array" ref="AD37">ROUND($M37/V37*Y37,0)</f>
        <v>12000000</v>
      </c>
      <c r="AE37" s="463"/>
      <c r="AF37" s="478" cm="1">
        <f t="array" ref="AF37">SUM(AG37:AL37)</f>
        <v>-50000</v>
      </c>
      <c r="AG37" s="465">
        <v>0</v>
      </c>
      <c r="AH37" s="465"/>
      <c r="AI37" s="479"/>
      <c r="AJ37" s="459">
        <v>-50000</v>
      </c>
      <c r="AK37" s="460"/>
      <c r="AL37" s="465"/>
      <c r="AM37" s="462" cm="1">
        <f t="array" ref="AM37">AA37+AF37</f>
        <v>11950000</v>
      </c>
      <c r="AN37" s="459" cm="1">
        <f t="array" ref="AN37">VLOOKUP(B37,'BHXH'!$E$7:$F$40,2,0)</f>
        <v>5310000</v>
      </c>
      <c r="AO37" s="459" cm="1">
        <f t="array" ref="AO37">$AN37*10.5%</f>
        <v>557550</v>
      </c>
      <c r="AP37" s="459" cm="1">
        <f t="array" ref="AP37">$AN37*21.5%</f>
        <v>1141650</v>
      </c>
      <c r="AQ37" s="479"/>
      <c r="AR37" s="296" cm="1">
        <f t="array" ref="AR37">IF($E37=10%,0,(AQ37*6200000+15500000))</f>
        <v>15500000</v>
      </c>
      <c r="AS37" s="465" cm="1">
        <f t="array" ref="AS37">AM37-(Q37+R37+S37)/V37*U37-AG37</f>
        <v>10320000</v>
      </c>
      <c r="AT37" s="459" cm="1">
        <f t="array" ref="AT37">ROUND(IF((AS37-AR37-AO37)&lt;0,0,(AS37-AR37-AO37)),0)</f>
        <v>0</v>
      </c>
      <c r="AU37" s="465"/>
      <c r="AV37" s="465" cm="1">
        <f t="array" ref="AV37">IF(AT37&lt;=0,0,IF(AT37&lt;=10000000,AT37*5%,IF(AT37&lt;=30000000,AT37*10%-500000,IF(AT37&lt;=60000000,AT37*20%-3500000,IF(AT37&lt;=100000000,AT37*30%-9500000,AT37*35%-14500000)))))</f>
        <v>0</v>
      </c>
      <c r="AW37" s="459" cm="1">
        <f t="array" ref="AW37">ROUND((AM37-AO37-AV37-AU37),-3)</f>
        <v>11392000</v>
      </c>
      <c r="AX37" s="466">
        <v>8950000</v>
      </c>
      <c r="AY37" s="466"/>
      <c r="AZ37" s="459" cm="1">
        <f t="array" ref="AZ37">ROUND(AW37-AX37+AY37,0)</f>
        <v>2442000</v>
      </c>
      <c r="BA37" s="465" cm="1">
        <f t="array" ref="BA37">AM37+AP37</f>
        <v>13091650</v>
      </c>
      <c r="BB37" s="467"/>
      <c r="BC37" s="468" cm="1">
        <f t="array" ref="BC37">(U37-V37)</f>
        <v>0</v>
      </c>
      <c r="BD37" s="469" cm="1">
        <f t="array" ref="BD37">AF37</f>
        <v>-50000</v>
      </c>
      <c r="BE37" s="470">
        <v>1350000</v>
      </c>
      <c r="BF37" s="470" cm="1">
        <f t="array" ref="BF37">T37</f>
        <v>1630000</v>
      </c>
      <c r="BG37" s="470">
        <v>9000000</v>
      </c>
      <c r="BH37" s="471">
        <v>-1</v>
      </c>
      <c r="BI37" s="337" cm="1">
        <f t="array" ref="BI37">AW37-BG37</f>
        <v>2392000</v>
      </c>
      <c r="BJ37" t="s" s="435">
        <v>226</v>
      </c>
      <c r="BK37" t="s" s="472">
        <v>352</v>
      </c>
      <c r="BL37" t="s" s="472">
        <v>355</v>
      </c>
      <c r="BM37" t="s" s="473">
        <v>356</v>
      </c>
      <c r="BN37" t="s" s="474">
        <v>211</v>
      </c>
      <c r="BO37" t="s" s="473">
        <v>357</v>
      </c>
      <c r="BP37" t="s" s="474">
        <v>358</v>
      </c>
      <c r="BQ37" t="s" s="475">
        <v>352</v>
      </c>
      <c r="BR37" t="s" s="308">
        <v>207</v>
      </c>
      <c r="BS37" t="s" s="309">
        <v>352</v>
      </c>
      <c r="BT37" s="310">
        <v>9959000</v>
      </c>
      <c r="BU37" s="310"/>
      <c r="BV37" s="310" cm="1">
        <f t="array" ref="BV37">AW37-BT37-BU37</f>
        <v>1433000</v>
      </c>
      <c r="BW37" s="162">
        <v>9000000</v>
      </c>
      <c r="BX37" s="310" cm="1">
        <f t="array" ref="BX37">L37-BW37</f>
        <v>3000000</v>
      </c>
    </row>
    <row r="38" s="452" customFormat="1" ht="23.25" customHeight="1">
      <c r="A38" s="350">
        <v>30</v>
      </c>
      <c r="B38" t="s" s="476">
        <v>359</v>
      </c>
      <c r="C38" s="480"/>
      <c r="D38" s="479"/>
      <c r="E38" s="481"/>
      <c r="F38" s="482"/>
      <c r="G38" s="457"/>
      <c r="H38" s="459"/>
      <c r="I38" s="465"/>
      <c r="J38" s="458"/>
      <c r="K38" s="458"/>
      <c r="L38" s="290">
        <v>12000000</v>
      </c>
      <c r="M38" s="290" cm="1">
        <f t="array" ref="M38">L38</f>
        <v>12000000</v>
      </c>
      <c r="N38" s="459" cm="1">
        <f t="array" ref="N38">VLOOKUP(B38,'BHXH'!$E$7:$F$40,2,0)</f>
        <v>5310000</v>
      </c>
      <c r="O38" s="459" cm="1">
        <f t="array" ref="O38">M38-(N38+P38+Q38+R38+S38)</f>
        <v>4810000</v>
      </c>
      <c r="P38" s="459">
        <v>250000</v>
      </c>
      <c r="Q38" s="459">
        <v>400000</v>
      </c>
      <c r="R38" s="459">
        <v>500000</v>
      </c>
      <c r="S38" s="459">
        <v>730000</v>
      </c>
      <c r="T38" s="459" cm="1">
        <f t="array" ref="T38">SUM(Q38:S38)</f>
        <v>1630000</v>
      </c>
      <c r="U38" s="460" cm="1">
        <f t="array" ref="U38">SUM(W38:Y38)</f>
        <v>22</v>
      </c>
      <c r="V38" s="460">
        <v>22</v>
      </c>
      <c r="W38" s="461"/>
      <c r="X38" s="461"/>
      <c r="Y38" s="461">
        <v>22</v>
      </c>
      <c r="Z38" s="459"/>
      <c r="AA38" s="462" cm="1">
        <f t="array" ref="AA38">SUM(AB38:AD38)</f>
        <v>12000000</v>
      </c>
      <c r="AB38" s="459" cm="1">
        <f t="array" ref="AB38">ROUND($G38/V38*W38,0)</f>
        <v>0</v>
      </c>
      <c r="AC38" s="459" cm="1">
        <f t="array" ref="AC38">ROUND(I38/V38*X38,0)</f>
        <v>0</v>
      </c>
      <c r="AD38" s="459" cm="1">
        <f t="array" ref="AD38">ROUND($M38/V38*Y38,0)</f>
        <v>12000000</v>
      </c>
      <c r="AE38" s="463"/>
      <c r="AF38" s="478" cm="1">
        <f t="array" ref="AF38">SUM(AG38:AL38)</f>
        <v>0</v>
      </c>
      <c r="AG38" s="465">
        <v>0</v>
      </c>
      <c r="AH38" s="465"/>
      <c r="AI38" s="479"/>
      <c r="AJ38" s="459">
        <v>0</v>
      </c>
      <c r="AK38" s="460"/>
      <c r="AL38" s="465"/>
      <c r="AM38" s="462" cm="1">
        <f t="array" ref="AM38">AA38+AF38</f>
        <v>12000000</v>
      </c>
      <c r="AN38" s="459" cm="1">
        <f t="array" ref="AN38">VLOOKUP(B38,'BHXH'!$E$7:$F$40,2,0)</f>
        <v>5310000</v>
      </c>
      <c r="AO38" s="459" cm="1">
        <f t="array" ref="AO38">$AN38*10.5%</f>
        <v>557550</v>
      </c>
      <c r="AP38" s="459" cm="1">
        <f t="array" ref="AP38">$AN38*21.5%</f>
        <v>1141650</v>
      </c>
      <c r="AQ38" s="479"/>
      <c r="AR38" s="296" cm="1">
        <f t="array" ref="AR38">IF($E38=10%,0,(AQ38*6200000+15500000))</f>
        <v>15500000</v>
      </c>
      <c r="AS38" s="465" cm="1">
        <f t="array" ref="AS38">AM38-(Q38+R38+S38)/V38*U38-AG38</f>
        <v>10370000</v>
      </c>
      <c r="AT38" s="459" cm="1">
        <f t="array" ref="AT38">ROUND(IF((AS38-AR38-AO38)&lt;0,0,(AS38-AR38-AO38)),0)</f>
        <v>0</v>
      </c>
      <c r="AU38" s="465"/>
      <c r="AV38" s="465" cm="1">
        <f t="array" ref="AV38">IF(AT38&lt;=0,0,IF(AT38&lt;=10000000,AT38*5%,IF(AT38&lt;=30000000,AT38*10%-500000,IF(AT38&lt;=60000000,AT38*20%-3500000,IF(AT38&lt;=100000000,AT38*30%-9500000,AT38*35%-14500000)))))</f>
        <v>0</v>
      </c>
      <c r="AW38" s="459" cm="1">
        <f t="array" ref="AW38">ROUND((AM38-AO38-AV38-AU38),-3)</f>
        <v>11442000</v>
      </c>
      <c r="AX38" s="466">
        <v>6000000</v>
      </c>
      <c r="AY38" s="466"/>
      <c r="AZ38" s="459" cm="1">
        <f t="array" ref="AZ38">ROUND(AW38-AX38+AY38,0)</f>
        <v>5442000</v>
      </c>
      <c r="BA38" s="465" cm="1">
        <f t="array" ref="BA38">AM38+AP38</f>
        <v>13141650</v>
      </c>
      <c r="BB38" s="467"/>
      <c r="BC38" s="468"/>
      <c r="BD38" s="469"/>
      <c r="BE38" s="470"/>
      <c r="BF38" s="470"/>
      <c r="BG38" s="470">
        <v>0</v>
      </c>
      <c r="BH38" s="471">
        <v>-1</v>
      </c>
      <c r="BI38" s="337" cm="1">
        <f t="array" ref="BI38">AW38-BG38</f>
        <v>11442000</v>
      </c>
      <c r="BJ38" t="s" s="435">
        <v>360</v>
      </c>
      <c r="BK38" s="483"/>
      <c r="BL38" s="483"/>
      <c r="BM38" s="484"/>
      <c r="BN38" s="485"/>
      <c r="BO38" s="484"/>
      <c r="BP38" s="485"/>
      <c r="BQ38" s="486"/>
      <c r="BR38" s="451"/>
      <c r="BT38" s="310"/>
      <c r="BU38" s="310"/>
      <c r="BV38" s="310"/>
      <c r="BW38" s="162">
        <v>0</v>
      </c>
      <c r="BX38" s="310" cm="1">
        <f t="array" ref="BX38">L38-BW38</f>
        <v>12000000</v>
      </c>
    </row>
    <row r="39" s="165" customFormat="1" ht="23.25" customHeight="1">
      <c r="A39" t="s" s="453">
        <v>207</v>
      </c>
      <c r="B39" t="s" s="410">
        <v>361</v>
      </c>
      <c r="C39" t="s" s="487">
        <v>362</v>
      </c>
      <c r="D39" t="s" s="487">
        <v>363</v>
      </c>
      <c r="E39" s="345">
        <v>0.1</v>
      </c>
      <c r="F39" t="s" s="287">
        <v>176</v>
      </c>
      <c r="G39" s="488">
        <v>4000000</v>
      </c>
      <c r="H39" s="324"/>
      <c r="I39" s="322"/>
      <c r="J39" s="289"/>
      <c r="K39" s="289"/>
      <c r="L39" s="290" cm="1">
        <f t="array" ref="L39">G39</f>
        <v>4000000</v>
      </c>
      <c r="M39" s="290" cm="1">
        <f t="array" ref="M39">L39</f>
        <v>4000000</v>
      </c>
      <c r="N39" s="324"/>
      <c r="O39" s="324"/>
      <c r="P39" s="324"/>
      <c r="Q39" s="324"/>
      <c r="R39" s="324"/>
      <c r="S39" s="324"/>
      <c r="T39" s="292"/>
      <c r="U39" s="292" cm="1">
        <f t="array" ref="U39">SUM(W39:Y39)</f>
        <v>22</v>
      </c>
      <c r="V39" s="292">
        <v>22</v>
      </c>
      <c r="W39" s="293">
        <v>22</v>
      </c>
      <c r="X39" s="325"/>
      <c r="Y39" s="346"/>
      <c r="Z39" s="291"/>
      <c r="AA39" s="290" cm="1">
        <f t="array" ref="AA39">SUM(AB39:AD39)</f>
        <v>4000000</v>
      </c>
      <c r="AB39" s="291" cm="1">
        <f t="array" ref="AB39">ROUND($G39/V39*W39,0)</f>
        <v>4000000</v>
      </c>
      <c r="AC39" s="291" cm="1">
        <f t="array" ref="AC39">ROUND(I39/V39*X39,0)</f>
        <v>0</v>
      </c>
      <c r="AD39" s="291" cm="1">
        <f t="array" ref="AD39">ROUND($M39/V39*Y39,0)</f>
        <v>0</v>
      </c>
      <c r="AE39" s="294"/>
      <c r="AF39" s="375" cm="1">
        <f t="array" ref="AF39">SUM(AG39:AL39)</f>
        <v>0</v>
      </c>
      <c r="AG39" s="296">
        <v>0</v>
      </c>
      <c r="AH39" s="296"/>
      <c r="AI39" s="329"/>
      <c r="AJ39" s="291">
        <v>0</v>
      </c>
      <c r="AK39" s="292"/>
      <c r="AL39" s="322"/>
      <c r="AM39" s="290" cm="1">
        <f t="array" ref="AM39">AA39+AF39</f>
        <v>4000000</v>
      </c>
      <c r="AN39" s="291"/>
      <c r="AO39" s="324"/>
      <c r="AP39" s="324"/>
      <c r="AQ39" s="329"/>
      <c r="AR39" s="296" cm="1">
        <f t="array" ref="AR39">IF($E39=10%,0,(AQ39*4400000+11000000))</f>
        <v>0</v>
      </c>
      <c r="AS39" s="296" cm="1">
        <f t="array" ref="AS39">AM39-(Q39+R39+S39)/V39*U39-AG39</f>
        <v>4000000</v>
      </c>
      <c r="AT39" s="291" cm="1">
        <f t="array" ref="AT39">ROUND(IF((AS39-AR39-AO39)&lt;0,0,(AS39-AR39-AO39)),0)</f>
        <v>4000000</v>
      </c>
      <c r="AU39" s="296" cm="1">
        <f t="array" ref="AU39">IF(AT39&lt;2000000,0,(AT39*10%))</f>
        <v>400000</v>
      </c>
      <c r="AV39" s="296"/>
      <c r="AW39" s="291" cm="1">
        <f t="array" ref="AW39">ROUND((AM39-AO39-AV39-AU39),-3)</f>
        <v>3600000</v>
      </c>
      <c r="AX39" s="298">
        <v>8000000</v>
      </c>
      <c r="AY39" s="298"/>
      <c r="AZ39" s="291" cm="1">
        <f t="array" ref="AZ39">ROUND(AW39-AX39+AY39,0)</f>
        <v>-4400000</v>
      </c>
      <c r="BA39" s="322" cm="1">
        <f t="array" ref="BA39">AM39+AP39</f>
        <v>4000000</v>
      </c>
      <c r="BB39" t="s" s="489">
        <v>155</v>
      </c>
      <c r="BC39" s="299" cm="1">
        <f t="array" ref="BC39">(U39-V39)</f>
        <v>0</v>
      </c>
      <c r="BD39" s="300" cm="1">
        <f t="array" ref="BD39">AF39</f>
        <v>0</v>
      </c>
      <c r="BE39" s="172">
        <v>110000</v>
      </c>
      <c r="BF39" s="172" cm="1">
        <f t="array" ref="BF39">T39</f>
        <v>0</v>
      </c>
      <c r="BG39" s="172">
        <v>0</v>
      </c>
      <c r="BH39" s="237">
        <v>0</v>
      </c>
      <c r="BI39" s="337" cm="1">
        <f t="array" ref="BI39">AW39-BG39</f>
        <v>3600000</v>
      </c>
      <c r="BJ39" t="s" s="435">
        <v>360</v>
      </c>
      <c r="BK39" t="s" s="445">
        <v>364</v>
      </c>
      <c r="BL39" t="s" s="445">
        <v>365</v>
      </c>
      <c r="BM39" t="s" s="437">
        <v>366</v>
      </c>
      <c r="BN39" t="s" s="406">
        <v>276</v>
      </c>
      <c r="BO39" t="s" s="437">
        <v>366</v>
      </c>
      <c r="BP39" t="s" s="406">
        <v>276</v>
      </c>
      <c r="BQ39" t="s" s="450">
        <v>364</v>
      </c>
      <c r="BR39" t="s" s="308">
        <v>207</v>
      </c>
      <c r="BS39" t="s" s="309">
        <v>352</v>
      </c>
      <c r="BW39" s="162">
        <v>0</v>
      </c>
      <c r="BX39" s="310" cm="1">
        <f t="array" ref="BX39">L39-BW39</f>
        <v>4000000</v>
      </c>
    </row>
    <row r="40" s="165" customFormat="1" ht="26.25" customHeight="1">
      <c r="A40" s="350">
        <v>37</v>
      </c>
      <c r="B40" t="s" s="398">
        <v>367</v>
      </c>
      <c r="C40" s="397">
        <v>45967</v>
      </c>
      <c r="D40" t="s" s="490">
        <v>368</v>
      </c>
      <c r="E40" s="388">
        <v>0.1</v>
      </c>
      <c r="F40" t="s" s="491">
        <v>155</v>
      </c>
      <c r="G40" s="488">
        <v>4000000</v>
      </c>
      <c r="H40" s="289"/>
      <c r="I40" s="322"/>
      <c r="J40" s="289"/>
      <c r="K40" s="289"/>
      <c r="L40" s="290">
        <v>4000000</v>
      </c>
      <c r="M40" s="290" cm="1">
        <f t="array" ref="M40">L40</f>
        <v>4000000</v>
      </c>
      <c r="N40" s="290"/>
      <c r="O40" s="290"/>
      <c r="P40" s="290"/>
      <c r="Q40" s="290"/>
      <c r="R40" s="290"/>
      <c r="S40" s="290"/>
      <c r="T40" s="290"/>
      <c r="U40" s="292" cm="1">
        <f t="array" ref="U40">SUM(W40:Y40)</f>
        <v>22</v>
      </c>
      <c r="V40" s="292">
        <v>22</v>
      </c>
      <c r="W40" s="293">
        <v>22</v>
      </c>
      <c r="X40" s="325"/>
      <c r="Y40" s="290"/>
      <c r="Z40" s="291"/>
      <c r="AA40" s="290" cm="1">
        <f t="array" ref="AA40">SUM(AB40:AD40)</f>
        <v>4000000</v>
      </c>
      <c r="AB40" s="291" cm="1">
        <f t="array" ref="AB40">ROUND($G40/V40*W40,0)</f>
        <v>4000000</v>
      </c>
      <c r="AC40" s="291" cm="1">
        <f t="array" ref="AC40">ROUND(I40/V40*X40,0)</f>
        <v>0</v>
      </c>
      <c r="AD40" s="291" cm="1">
        <f t="array" ref="AD40">ROUND($M40/V40*Y40,0)</f>
        <v>0</v>
      </c>
      <c r="AE40" s="294"/>
      <c r="AF40" s="375" cm="1">
        <f t="array" ref="AF40">SUM(AG40:AL40)</f>
        <v>0</v>
      </c>
      <c r="AG40" s="296">
        <v>0</v>
      </c>
      <c r="AH40" s="296"/>
      <c r="AI40" s="290"/>
      <c r="AJ40" s="291">
        <v>0</v>
      </c>
      <c r="AK40" s="292"/>
      <c r="AL40" s="290"/>
      <c r="AM40" s="290" cm="1">
        <f t="array" ref="AM40">AA40+AF40</f>
        <v>4000000</v>
      </c>
      <c r="AN40" s="290"/>
      <c r="AO40" s="290"/>
      <c r="AP40" s="290"/>
      <c r="AQ40" s="290"/>
      <c r="AR40" s="296" cm="1">
        <f t="array" ref="AR40">IF($E40=10%,0,(AQ40*4400000+11000000))</f>
        <v>0</v>
      </c>
      <c r="AS40" s="296" cm="1">
        <f t="array" ref="AS40">AM40-(Q40+R40+S40)/V40*U40-AG40</f>
        <v>4000000</v>
      </c>
      <c r="AT40" s="291" cm="1">
        <f t="array" ref="AT40">ROUND(IF((AS40-AR40-AO40)&lt;0,0,(AS40-AR40-AO40)),0)</f>
        <v>4000000</v>
      </c>
      <c r="AU40" s="492"/>
      <c r="AV40" s="296"/>
      <c r="AW40" s="291" cm="1">
        <f t="array" ref="AW40">ROUND((AM40-AO40-AV40-AU40),-3)</f>
        <v>4000000</v>
      </c>
      <c r="AX40" s="298">
        <v>4000000</v>
      </c>
      <c r="AY40" s="298"/>
      <c r="AZ40" s="291" cm="1">
        <f t="array" ref="AZ40">ROUND(AW40-AX40+AY40,0)</f>
        <v>0</v>
      </c>
      <c r="BA40" s="322" cm="1">
        <f t="array" ref="BA40">AM40+AP40</f>
        <v>4000000</v>
      </c>
      <c r="BB40" t="s" s="489">
        <v>155</v>
      </c>
      <c r="BC40" s="299" cm="1">
        <f t="array" ref="BC40">(U40-V40)</f>
        <v>0</v>
      </c>
      <c r="BD40" s="300" cm="1">
        <f t="array" ref="BD40">AF40</f>
        <v>0</v>
      </c>
      <c r="BE40" s="172">
        <v>55000</v>
      </c>
      <c r="BF40" s="172" cm="1">
        <f t="array" ref="BF40">T40</f>
        <v>0</v>
      </c>
      <c r="BG40" s="172">
        <v>3850000</v>
      </c>
      <c r="BH40" s="237">
        <v>-1</v>
      </c>
      <c r="BI40" s="337" cm="1">
        <f t="array" ref="BI40">AW40-BG40</f>
        <v>150000</v>
      </c>
      <c r="BJ40" t="s" s="435">
        <v>369</v>
      </c>
      <c r="BK40" t="s" s="445">
        <v>367</v>
      </c>
      <c r="BL40" t="s" s="445">
        <v>370</v>
      </c>
      <c r="BM40" t="s" s="437">
        <v>371</v>
      </c>
      <c r="BN40" t="s" s="406">
        <v>229</v>
      </c>
      <c r="BO40" t="s" s="437">
        <v>371</v>
      </c>
      <c r="BP40" t="s" s="406">
        <v>358</v>
      </c>
      <c r="BQ40" s="493"/>
      <c r="BR40" s="451"/>
      <c r="BS40" t="s" s="309">
        <v>372</v>
      </c>
      <c r="BW40" s="162">
        <v>4000000</v>
      </c>
      <c r="BX40" s="310" cm="1">
        <f t="array" ref="BX40">L40-BW40</f>
        <v>0</v>
      </c>
    </row>
    <row r="41" s="165" customFormat="1" ht="23.25" customHeight="1">
      <c r="A41" s="371" cm="1">
        <f t="array" ref="A41">A40+1</f>
        <v>38</v>
      </c>
      <c r="B41" t="s" s="398">
        <v>364</v>
      </c>
      <c r="C41" s="397">
        <v>45992</v>
      </c>
      <c r="D41" t="s" s="285">
        <v>262</v>
      </c>
      <c r="E41" s="345">
        <v>0.1</v>
      </c>
      <c r="F41" t="s" s="491">
        <v>155</v>
      </c>
      <c r="G41" s="488">
        <v>4000000</v>
      </c>
      <c r="H41" s="324"/>
      <c r="I41" s="322"/>
      <c r="J41" s="289"/>
      <c r="K41" s="289"/>
      <c r="L41" s="290" cm="1">
        <f t="array" ref="L41">G41</f>
        <v>4000000</v>
      </c>
      <c r="M41" s="290" cm="1">
        <f t="array" ref="M41">L41</f>
        <v>4000000</v>
      </c>
      <c r="N41" s="324"/>
      <c r="O41" s="324"/>
      <c r="P41" s="324"/>
      <c r="Q41" s="324"/>
      <c r="R41" s="324"/>
      <c r="S41" s="324"/>
      <c r="T41" s="292"/>
      <c r="U41" s="292" cm="1">
        <f t="array" ref="U41">SUM(W41:Y41)</f>
        <v>22</v>
      </c>
      <c r="V41" s="292">
        <v>22</v>
      </c>
      <c r="W41" s="293">
        <v>22</v>
      </c>
      <c r="X41" s="325"/>
      <c r="Y41" s="346"/>
      <c r="Z41" s="291"/>
      <c r="AA41" s="290" cm="1">
        <f t="array" ref="AA41">SUM(AB41:AD41)</f>
        <v>4000000</v>
      </c>
      <c r="AB41" s="291" cm="1">
        <f t="array" ref="AB41">ROUND($G41/V41*W41,0)</f>
        <v>4000000</v>
      </c>
      <c r="AC41" s="291" cm="1">
        <f t="array" ref="AC41">ROUND(I41/V41*X41,0)</f>
        <v>0</v>
      </c>
      <c r="AD41" s="291" cm="1">
        <f t="array" ref="AD41">ROUND($M41/V41*Y41,0)</f>
        <v>0</v>
      </c>
      <c r="AE41" s="294"/>
      <c r="AF41" s="375" cm="1">
        <f t="array" ref="AF41">SUM(AG41:AL41)</f>
        <v>65000</v>
      </c>
      <c r="AG41" s="296">
        <v>65000</v>
      </c>
      <c r="AH41" s="384"/>
      <c r="AI41" s="329"/>
      <c r="AJ41" s="291">
        <v>0</v>
      </c>
      <c r="AK41" s="292"/>
      <c r="AL41" s="322"/>
      <c r="AM41" s="290" cm="1">
        <f t="array" ref="AM41">AA41+AF41</f>
        <v>4065000</v>
      </c>
      <c r="AN41" s="291"/>
      <c r="AO41" s="324"/>
      <c r="AP41" s="324"/>
      <c r="AQ41" s="329"/>
      <c r="AR41" s="296" cm="1">
        <f t="array" ref="AR41">IF($E41=10%,0,(AQ41*4400000+11000000))</f>
        <v>0</v>
      </c>
      <c r="AS41" s="296" cm="1">
        <f t="array" ref="AS41">AM41-(Q41+R41+S41)/V41*U41-AG41</f>
        <v>4000000</v>
      </c>
      <c r="AT41" s="291" cm="1">
        <f t="array" ref="AT41">ROUND(IF((AS41-AR41-AO41)&lt;0,0,(AS41-AR41-AO41)),0)</f>
        <v>4000000</v>
      </c>
      <c r="AU41" s="492"/>
      <c r="AV41" s="296"/>
      <c r="AW41" s="291" cm="1">
        <f t="array" ref="AW41">ROUND((AM41-AO41-AV41-AU41),-3)</f>
        <v>4065000</v>
      </c>
      <c r="AX41" s="298">
        <v>6140000</v>
      </c>
      <c r="AY41" s="298">
        <v>75000</v>
      </c>
      <c r="AZ41" s="291" cm="1">
        <f t="array" ref="AZ41">ROUND(AW41-AX41+AY41,0)</f>
        <v>-2000000</v>
      </c>
      <c r="BA41" s="322" cm="1">
        <f t="array" ref="BA41">AM41+AP41</f>
        <v>4065000</v>
      </c>
      <c r="BB41" t="s" s="489">
        <v>155</v>
      </c>
      <c r="BC41" s="494" cm="1">
        <f t="array" ref="BC41">(U41-V41)</f>
        <v>0</v>
      </c>
      <c r="BD41" s="495" cm="1">
        <f t="array" ref="BD41">AF41</f>
        <v>65000</v>
      </c>
      <c r="BE41" s="496">
        <v>110000</v>
      </c>
      <c r="BF41" s="496" cm="1">
        <f t="array" ref="BF41">T41</f>
        <v>0</v>
      </c>
      <c r="BG41" s="496">
        <v>6000000</v>
      </c>
      <c r="BH41" s="497">
        <v>0</v>
      </c>
      <c r="BI41" s="498" cm="1">
        <f t="array" ref="BI41">AW41-BG41</f>
        <v>-1935000</v>
      </c>
      <c r="BJ41" t="s" s="499">
        <v>373</v>
      </c>
      <c r="BK41" t="s" s="445">
        <v>364</v>
      </c>
      <c r="BL41" t="s" s="445">
        <v>365</v>
      </c>
      <c r="BM41" t="s" s="437">
        <v>366</v>
      </c>
      <c r="BN41" t="s" s="406">
        <v>276</v>
      </c>
      <c r="BO41" t="s" s="437">
        <v>366</v>
      </c>
      <c r="BP41" t="s" s="406">
        <v>276</v>
      </c>
      <c r="BQ41" t="s" s="450">
        <v>364</v>
      </c>
      <c r="BR41" t="s" s="308">
        <v>207</v>
      </c>
      <c r="BS41" t="s" s="309">
        <v>352</v>
      </c>
      <c r="BW41" s="162">
        <v>6000000</v>
      </c>
      <c r="BX41" s="310" cm="1">
        <f t="array" ref="BX41">L41-BW41</f>
        <v>-2000000</v>
      </c>
    </row>
    <row r="42" s="162" customFormat="1" ht="26.25" customHeight="1">
      <c r="A42" s="500"/>
      <c r="B42" t="s" s="501">
        <v>180</v>
      </c>
      <c r="C42" s="502"/>
      <c r="D42" s="503"/>
      <c r="E42" s="500"/>
      <c r="F42" s="500"/>
      <c r="G42" s="289" cm="1">
        <f t="array" ref="G42">SUM(G9:G41)</f>
        <v>12000000</v>
      </c>
      <c r="H42" s="289" cm="1">
        <f t="array" ref="H42">SUM(H9:H41)</f>
        <v>0</v>
      </c>
      <c r="I42" s="289" cm="1">
        <f t="array" ref="I42">SUM(I9:I41)</f>
        <v>0</v>
      </c>
      <c r="J42" s="289" cm="1">
        <f t="array" ref="J42">SUM(J9:J41)</f>
        <v>0</v>
      </c>
      <c r="K42" s="289" cm="1">
        <f t="array" ref="K42">SUM(K9:K41)</f>
        <v>0</v>
      </c>
      <c r="L42" s="289" cm="1">
        <f t="array" ref="L42">SUM(L9:L41)</f>
        <v>408000000</v>
      </c>
      <c r="M42" s="289" cm="1">
        <f t="array" ref="M42">SUM(M9:M41)</f>
        <v>408000000</v>
      </c>
      <c r="N42" s="289" cm="1">
        <f t="array" ref="N42">SUM(N9:N41)</f>
        <v>159300000</v>
      </c>
      <c r="O42" s="289" cm="1">
        <f t="array" ref="O42">SUM(O9:O41)</f>
        <v>177300000</v>
      </c>
      <c r="P42" s="289" cm="1">
        <f t="array" ref="P42">SUM(P9:P41)</f>
        <v>8000000</v>
      </c>
      <c r="Q42" s="289" cm="1">
        <f t="array" ref="Q42">SUM(Q9:Q41)</f>
        <v>12000000</v>
      </c>
      <c r="R42" s="289" cm="1">
        <f t="array" ref="R42">SUM(R9:R41)</f>
        <v>17500000</v>
      </c>
      <c r="S42" s="289" cm="1">
        <f t="array" ref="S42">SUM(S9:S41)</f>
        <v>21900000</v>
      </c>
      <c r="T42" s="289" cm="1">
        <f t="array" ref="T42">SUM(T9:T41)</f>
        <v>51400000</v>
      </c>
      <c r="U42" s="289" cm="1">
        <f t="array" ref="U42">SUM(U9:U41)</f>
        <v>713</v>
      </c>
      <c r="V42" s="289" cm="1">
        <f t="array" ref="V42">SUM(V9:V41)</f>
        <v>726</v>
      </c>
      <c r="W42" s="289" cm="1">
        <f t="array" ref="W42">SUM(W9:W41)</f>
        <v>66</v>
      </c>
      <c r="X42" s="289" cm="1">
        <f t="array" ref="X42">SUM(X9:X41)</f>
        <v>0</v>
      </c>
      <c r="Y42" s="289" cm="1">
        <f t="array" ref="Y42">SUM(Y9:Y41)</f>
        <v>647</v>
      </c>
      <c r="Z42" s="289" cm="1">
        <f t="array" ref="Z42">SUM(Z9:Z41)</f>
        <v>0</v>
      </c>
      <c r="AA42" s="289" cm="1">
        <f t="array" ref="AA42">SUM(AA9:AA41)</f>
        <v>397636363</v>
      </c>
      <c r="AB42" s="289" cm="1">
        <f t="array" ref="AB42">SUM(AB9:AB41)</f>
        <v>12000000</v>
      </c>
      <c r="AC42" s="289" cm="1">
        <f t="array" ref="AC42">SUM(AC9:AC41)</f>
        <v>0</v>
      </c>
      <c r="AD42" s="289" cm="1">
        <f t="array" ref="AD42">SUM(AD9:AD41)</f>
        <v>385636363</v>
      </c>
      <c r="AE42" s="504" cm="1">
        <f t="array" ref="AE42">SUM(AE9:AE41)</f>
        <v>0</v>
      </c>
      <c r="AF42" s="504" cm="1">
        <f t="array" ref="AF42">SUM(AF9:AF41)</f>
        <v>-1455000</v>
      </c>
      <c r="AG42" s="289" cm="1">
        <f t="array" ref="AG42">SUM(AG9:AG41)</f>
        <v>75000</v>
      </c>
      <c r="AH42" s="289" cm="1">
        <f t="array" ref="AH42">SUM(AH9:AH41)</f>
        <v>20000</v>
      </c>
      <c r="AI42" s="289" cm="1">
        <f t="array" ref="AI42">SUM(AI9:AI41)</f>
        <v>30000</v>
      </c>
      <c r="AJ42" s="289" cm="1">
        <f t="array" ref="AJ42">SUM(AJ9:AJ41)</f>
        <v>-1690000</v>
      </c>
      <c r="AK42" s="289" cm="1">
        <f t="array" ref="AK42">SUM(AK9:AK41)</f>
        <v>50000</v>
      </c>
      <c r="AL42" s="289" cm="1">
        <f t="array" ref="AL42">SUM(AL9:AL41)</f>
        <v>60000</v>
      </c>
      <c r="AM42" s="289" cm="1">
        <f t="array" ref="AM42">SUM(AM9:AM41)</f>
        <v>396181363</v>
      </c>
      <c r="AN42" s="289" cm="1">
        <f t="array" ref="AN42">SUM(AN9:AN41)</f>
        <v>159300000</v>
      </c>
      <c r="AO42" s="289" cm="1">
        <f t="array" ref="AO42">SUM(AO9:AO41)</f>
        <v>16726500</v>
      </c>
      <c r="AP42" s="289" cm="1">
        <f t="array" ref="AP42">SUM(AP9:AP41)</f>
        <v>34249500</v>
      </c>
      <c r="AQ42" s="289" cm="1">
        <f t="array" ref="AQ42">SUM(AQ9:AQ41)</f>
        <v>18</v>
      </c>
      <c r="AR42" s="289" cm="1">
        <f t="array" ref="AR42">SUM(AR9:AR41)</f>
        <v>576600000</v>
      </c>
      <c r="AS42" s="289" cm="1">
        <f t="array" ref="AS42">SUM(AS9:AS41)</f>
        <v>345669544.818182</v>
      </c>
      <c r="AT42" s="289" cm="1">
        <f t="array" ref="AT42">SUM(AT9:AT41)</f>
        <v>12932450</v>
      </c>
      <c r="AU42" s="289" cm="1">
        <f t="array" ref="AU42">SUM(AU9:AU41)</f>
        <v>9137080</v>
      </c>
      <c r="AV42" s="289" cm="1">
        <f t="array" ref="AV42">SUM(AV9:AV41)</f>
        <v>46622.5</v>
      </c>
      <c r="AW42" s="289" cm="1">
        <f t="array" ref="AW42">SUM(AW9:AW41)</f>
        <v>370259000</v>
      </c>
      <c r="AX42" s="504" cm="1">
        <f t="array" ref="AX42">SUM(AX9:AX41)</f>
        <v>608112000</v>
      </c>
      <c r="AY42" s="504" cm="1">
        <f t="array" ref="AY42">SUM(AY9:AY41)</f>
        <v>8699000</v>
      </c>
      <c r="AZ42" s="289" cm="1">
        <f t="array" ref="AZ42">SUM(AZ9:AZ41)</f>
        <v>-229154000</v>
      </c>
      <c r="BA42" s="289" cm="1">
        <f t="array" ref="BA42">SUM(BA9:BA41)</f>
        <v>430430863</v>
      </c>
      <c r="BB42" s="289" cm="1">
        <f t="array" ref="BB42">SUM(BB9:BB41)</f>
        <v>0</v>
      </c>
      <c r="BC42" s="289" cm="1">
        <f t="array" ref="BC42">SUM(BC9:BC41)</f>
        <v>-13</v>
      </c>
      <c r="BD42" s="289" cm="1">
        <f t="array" ref="BD42">SUM(BD9:BD41)</f>
        <v>-1455000</v>
      </c>
      <c r="BE42" s="289" cm="1">
        <f t="array" ref="BE42">SUM(BE9:BE41)</f>
        <v>6114657.89473684</v>
      </c>
      <c r="BF42" s="289" cm="1">
        <f t="array" ref="BF42">SUM(BF9:BF41)</f>
        <v>49770000</v>
      </c>
      <c r="BG42" s="289" cm="1">
        <f t="array" ref="BG42">SUM(BG9:BG41)</f>
        <v>738145000</v>
      </c>
      <c r="BH42" s="289" cm="1">
        <f t="array" ref="BH42">SUM(BH9:BH41)</f>
        <v>-28.5</v>
      </c>
      <c r="BI42" s="505" cm="1">
        <f t="array" ref="BI42">SUM(BI9:BI41)</f>
        <v>-367886000</v>
      </c>
      <c r="BJ42" s="506"/>
      <c r="BK42" s="507"/>
      <c r="BL42" s="507"/>
      <c r="BM42" s="507"/>
      <c r="BN42" s="507"/>
      <c r="BO42" s="507"/>
      <c r="BP42" s="507"/>
      <c r="BQ42" s="508"/>
    </row>
    <row r="43" s="165" customFormat="1" ht="37.8" customHeight="1">
      <c r="A43" s="509"/>
      <c r="B43" s="510"/>
      <c r="C43" s="510"/>
      <c r="D43" s="510"/>
      <c r="E43" s="509"/>
      <c r="F43" s="511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/>
      <c r="U43" s="512"/>
      <c r="V43" s="512"/>
      <c r="W43" s="512"/>
      <c r="X43" s="512"/>
      <c r="Y43" s="512"/>
      <c r="Z43" s="512"/>
      <c r="AA43" s="512"/>
      <c r="AB43" s="512"/>
      <c r="AC43" s="512"/>
      <c r="AD43" s="512"/>
      <c r="AE43" s="513"/>
      <c r="AF43" s="513"/>
      <c r="AG43" s="512"/>
      <c r="AH43" s="512"/>
      <c r="AI43" s="512"/>
      <c r="AJ43" s="512"/>
      <c r="AK43" s="512"/>
      <c r="AL43" s="512"/>
      <c r="AM43" s="512"/>
      <c r="AN43" s="512"/>
      <c r="AO43" s="512"/>
      <c r="AP43" s="512"/>
      <c r="AQ43" s="512"/>
      <c r="AR43" s="512"/>
      <c r="AS43" s="512"/>
      <c r="AT43" s="512"/>
      <c r="AU43" s="512"/>
      <c r="AV43" s="512"/>
      <c r="AW43" s="512"/>
      <c r="AX43" s="513"/>
      <c r="AY43" t="s" s="514">
        <v>374</v>
      </c>
      <c r="AZ43" s="512"/>
      <c r="BA43" s="512"/>
      <c r="BB43" s="515"/>
      <c r="BC43" s="509"/>
      <c r="BD43" s="516"/>
      <c r="BE43" s="509"/>
      <c r="BF43" s="516"/>
      <c r="BG43" s="516"/>
      <c r="BH43" s="517"/>
      <c r="BI43" s="518"/>
      <c r="BJ43" s="519"/>
      <c r="BK43" s="507"/>
      <c r="BL43" s="507"/>
      <c r="BM43" s="507"/>
      <c r="BN43" s="507"/>
      <c r="BO43" s="507"/>
      <c r="BP43" s="507"/>
      <c r="BR43" s="520"/>
    </row>
    <row r="44" s="162" customFormat="1" ht="18.75" customHeight="1">
      <c r="A44" s="521"/>
      <c r="B44" s="522"/>
      <c r="C44" s="523"/>
      <c r="D44" s="524"/>
      <c r="E44" s="525"/>
      <c r="F44" s="526"/>
      <c r="G44" s="527"/>
      <c r="H44" s="527"/>
      <c r="I44" s="527"/>
      <c r="J44" s="527"/>
      <c r="K44" s="527"/>
      <c r="L44" s="527"/>
      <c r="M44" s="527"/>
      <c r="N44" s="527"/>
      <c r="O44" s="527"/>
      <c r="P44" s="527"/>
      <c r="Q44" s="527"/>
      <c r="R44" s="527"/>
      <c r="S44" s="527"/>
      <c r="T44" s="527"/>
      <c r="U44" s="527"/>
      <c r="V44" s="527"/>
      <c r="W44" s="527"/>
      <c r="X44" s="527"/>
      <c r="Y44" s="527"/>
      <c r="Z44" s="527"/>
      <c r="AA44" s="527"/>
      <c r="AB44" s="527"/>
      <c r="AC44" s="527"/>
      <c r="AD44" s="527"/>
      <c r="AE44" s="528"/>
      <c r="AF44" s="529"/>
      <c r="AG44" s="527"/>
      <c r="AH44" s="527"/>
      <c r="AI44" s="527"/>
      <c r="AJ44" s="527"/>
      <c r="AK44" s="527"/>
      <c r="AL44" s="527"/>
      <c r="AM44" s="527"/>
      <c r="AN44" s="530"/>
      <c r="AO44" s="530"/>
      <c r="AP44" s="530"/>
      <c r="AQ44" s="527"/>
      <c r="AR44" s="527"/>
      <c r="AS44" s="527"/>
      <c r="AT44" s="527"/>
      <c r="AU44" s="527"/>
      <c r="AV44" s="531"/>
      <c r="AW44" s="532"/>
      <c r="AX44" t="s" s="533">
        <v>375</v>
      </c>
      <c r="AY44" s="534"/>
      <c r="AZ44" s="532"/>
      <c r="BA44" t="s" s="535">
        <v>375</v>
      </c>
      <c r="BB44" s="536"/>
      <c r="BC44" s="526"/>
      <c r="BD44" s="526"/>
      <c r="BE44" s="172"/>
      <c r="BF44" s="526"/>
      <c r="BG44" s="172"/>
      <c r="BH44" s="537"/>
      <c r="BI44" s="538"/>
      <c r="BJ44" s="539"/>
      <c r="BK44" s="507"/>
      <c r="BL44" s="507"/>
      <c r="BM44" s="507"/>
      <c r="BN44" s="507"/>
      <c r="BO44" s="507"/>
      <c r="BP44" s="507"/>
      <c r="BQ44" s="540"/>
    </row>
    <row r="45" s="162" customFormat="1" ht="18.75" customHeight="1">
      <c r="A45" s="159"/>
      <c r="B45" s="160"/>
      <c r="C45" s="160"/>
      <c r="D45" s="160"/>
      <c r="E45" s="159"/>
      <c r="F45" s="159"/>
      <c r="G45" s="541"/>
      <c r="H45" s="159"/>
      <c r="I45" s="159"/>
      <c r="J45" s="542"/>
      <c r="K45" s="526"/>
      <c r="L45" s="541"/>
      <c r="M45" s="526"/>
      <c r="N45" s="526"/>
      <c r="O45" s="526"/>
      <c r="P45" s="526"/>
      <c r="Q45" s="526"/>
      <c r="R45" s="526"/>
      <c r="S45" s="159"/>
      <c r="T45" s="159"/>
      <c r="U45" s="159"/>
      <c r="V45" s="159"/>
      <c r="W45" s="159"/>
      <c r="X45" s="159"/>
      <c r="Y45" s="159"/>
      <c r="Z45" s="159"/>
      <c r="AA45" s="543"/>
      <c r="AB45" s="159"/>
      <c r="AC45" s="159"/>
      <c r="AD45" s="159"/>
      <c r="AE45" s="544"/>
      <c r="AF45" s="545"/>
      <c r="AG45" s="159"/>
      <c r="AH45" s="159"/>
      <c r="AI45" s="159"/>
      <c r="AJ45" s="159"/>
      <c r="AK45" s="159"/>
      <c r="AL45" s="159"/>
      <c r="AM45" s="546"/>
      <c r="AN45" s="547">
        <v>13880000</v>
      </c>
      <c r="AO45" s="547">
        <v>2602500</v>
      </c>
      <c r="AP45" s="547">
        <v>1735000</v>
      </c>
      <c r="AQ45" s="548"/>
      <c r="AR45" s="159"/>
      <c r="AS45" s="159"/>
      <c r="AT45" s="159"/>
      <c r="AU45" s="549"/>
      <c r="AV45" s="159"/>
      <c r="AZ45" s="550"/>
      <c r="BA45" t="s" s="551">
        <v>376</v>
      </c>
      <c r="BB45" s="7"/>
      <c r="BC45" s="159"/>
      <c r="BD45" s="159"/>
      <c r="BE45" s="172"/>
      <c r="BF45" s="526"/>
      <c r="BG45" s="172">
        <v>6000000.12</v>
      </c>
      <c r="BH45" t="s" s="552">
        <v>377</v>
      </c>
      <c r="BI45" s="553"/>
      <c r="BJ45" s="554"/>
      <c r="BK45" s="507"/>
      <c r="BL45" s="507"/>
      <c r="BM45" s="507"/>
      <c r="BN45" s="507"/>
      <c r="BO45" s="507"/>
      <c r="BP45" s="507"/>
      <c r="BQ45" s="555"/>
    </row>
    <row r="46" s="162" customFormat="1" ht="18.75" customHeight="1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526"/>
      <c r="O46" s="526"/>
      <c r="P46" s="526"/>
      <c r="Q46" s="526"/>
      <c r="R46" s="526"/>
      <c r="S46" s="159"/>
      <c r="T46" s="159"/>
      <c r="U46" s="159"/>
      <c r="V46" s="159"/>
      <c r="W46" s="159"/>
      <c r="X46" s="159"/>
      <c r="Y46" s="159"/>
      <c r="Z46" s="159"/>
      <c r="AA46" s="543"/>
      <c r="AB46" s="159"/>
      <c r="AC46" s="159"/>
      <c r="AD46" s="159"/>
      <c r="AE46" s="544"/>
      <c r="AF46" s="556"/>
      <c r="AG46" s="159"/>
      <c r="AH46" s="159"/>
      <c r="AI46" s="159"/>
      <c r="AJ46" s="557" cm="1">
        <f t="array" ref="AJ46">AJ42-AJ22</f>
        <v>-1240000</v>
      </c>
      <c r="AK46" s="159"/>
      <c r="AL46" s="159"/>
      <c r="AM46" s="159"/>
      <c r="AO46" s="558" cm="1">
        <f t="array" ref="AO46">AO42-AN45-AO45-AP45</f>
        <v>-1491000</v>
      </c>
      <c r="AP46" s="558"/>
      <c r="AQ46" s="526"/>
      <c r="AR46" s="159"/>
      <c r="AS46" s="159"/>
      <c r="AT46" s="159"/>
      <c r="AU46" s="557"/>
      <c r="AX46" s="556"/>
      <c r="AZ46" s="559"/>
      <c r="BA46" t="s" s="73">
        <v>378</v>
      </c>
      <c r="BB46" s="7"/>
      <c r="BC46" s="159"/>
      <c r="BD46" s="159"/>
      <c r="BE46" s="560"/>
      <c r="BF46" s="557"/>
      <c r="BG46" s="172">
        <v>1500000</v>
      </c>
      <c r="BH46" t="s" s="561">
        <v>108</v>
      </c>
      <c r="BI46" s="553"/>
      <c r="BJ46" s="554"/>
      <c r="BK46" s="507"/>
      <c r="BL46" s="507"/>
      <c r="BM46" s="507"/>
      <c r="BN46" s="507"/>
      <c r="BO46" s="507"/>
      <c r="BP46" s="507"/>
      <c r="BQ46" s="555"/>
    </row>
    <row r="47" s="162" customFormat="1" ht="18.75" customHeight="1">
      <c r="A47" s="159"/>
      <c r="B47" s="159"/>
      <c r="C47" s="159"/>
      <c r="D47" s="526"/>
      <c r="E47" s="526"/>
      <c r="F47" s="526"/>
      <c r="G47" s="526"/>
      <c r="H47" s="526"/>
      <c r="I47" s="526"/>
      <c r="J47" s="526"/>
      <c r="K47" s="526"/>
      <c r="L47" s="526"/>
      <c r="M47" s="526"/>
      <c r="N47" s="526"/>
      <c r="O47" s="526"/>
      <c r="P47" s="526"/>
      <c r="Q47" s="526"/>
      <c r="R47" s="526"/>
      <c r="S47" s="159"/>
      <c r="T47" s="159"/>
      <c r="U47" s="159"/>
      <c r="V47" s="159"/>
      <c r="W47" s="159"/>
      <c r="X47" s="159"/>
      <c r="Y47" s="159"/>
      <c r="Z47" s="159"/>
      <c r="AA47" s="543"/>
      <c r="AB47" s="159"/>
      <c r="AC47" s="159"/>
      <c r="AD47" s="159"/>
      <c r="AE47" s="544"/>
      <c r="AF47" s="556"/>
      <c r="AG47" s="159"/>
      <c r="AH47" s="159"/>
      <c r="AI47" s="159"/>
      <c r="AJ47" s="159"/>
      <c r="AK47" s="159"/>
      <c r="AL47" s="159"/>
      <c r="AM47" s="159"/>
      <c r="AO47" s="562"/>
      <c r="AP47" s="562"/>
      <c r="AQ47" s="526"/>
      <c r="AR47" s="159"/>
      <c r="AS47" s="159"/>
      <c r="AT47" s="159"/>
      <c r="AU47" s="159"/>
      <c r="AV47" s="159"/>
      <c r="AW47" s="563" cm="1">
        <f t="array" ref="AW47">AW46-AW42</f>
        <v>-370259000</v>
      </c>
      <c r="AZ47" s="536">
        <v>127718000</v>
      </c>
      <c r="BA47" t="s" s="73">
        <v>378</v>
      </c>
      <c r="BC47" s="159"/>
      <c r="BD47" s="159"/>
      <c r="BE47" s="159"/>
      <c r="BF47" s="557"/>
      <c r="BG47" s="172">
        <v>2500000</v>
      </c>
      <c r="BH47" t="s" s="561">
        <v>379</v>
      </c>
      <c r="BI47" s="553"/>
      <c r="BJ47" s="564"/>
      <c r="BK47" s="565"/>
      <c r="BL47" s="566"/>
      <c r="BM47" s="567"/>
      <c r="BN47" s="566"/>
      <c r="BO47" s="566"/>
      <c r="BP47" s="566"/>
      <c r="BQ47" s="546"/>
    </row>
    <row r="48" s="162" customFormat="1" ht="18.75" customHeight="1">
      <c r="A48" s="159"/>
      <c r="B48" s="159"/>
      <c r="C48" s="159"/>
      <c r="D48" s="159"/>
      <c r="E48" s="159"/>
      <c r="F48" s="159"/>
      <c r="G48" s="159"/>
      <c r="H48" s="159"/>
      <c r="I48" s="159"/>
      <c r="J48" s="542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  <c r="AA48" s="159"/>
      <c r="AB48" s="159"/>
      <c r="AC48" s="159"/>
      <c r="AD48" s="159"/>
      <c r="AE48" s="544"/>
      <c r="AF48" s="556"/>
      <c r="AG48" s="159"/>
      <c r="AH48" s="159"/>
      <c r="AI48" s="159"/>
      <c r="AJ48" s="159"/>
      <c r="AK48" s="159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545"/>
      <c r="AY48" s="545"/>
      <c r="AZ48" s="159"/>
      <c r="BA48" s="159"/>
      <c r="BB48" s="159"/>
      <c r="BC48" s="159"/>
      <c r="BD48" s="159"/>
      <c r="BE48" s="159"/>
      <c r="BF48" s="159"/>
      <c r="BG48" s="568"/>
      <c r="BH48" s="537"/>
      <c r="BI48" s="553"/>
      <c r="BJ48" s="564"/>
      <c r="BK48" s="569"/>
      <c r="BL48" s="159"/>
      <c r="BM48" s="556"/>
      <c r="BN48" s="159"/>
      <c r="BO48" s="159"/>
      <c r="BP48" s="159"/>
      <c r="BQ48" s="159"/>
      <c r="BR48" s="570"/>
    </row>
    <row r="49" s="162" customFormat="1" ht="18.75" customHeight="1">
      <c r="A49" s="159"/>
      <c r="B49" s="159"/>
      <c r="C49" s="159"/>
      <c r="D49" s="159"/>
      <c r="E49" s="159"/>
      <c r="F49" s="159"/>
      <c r="G49" s="159"/>
      <c r="H49" s="159"/>
      <c r="I49" s="159"/>
      <c r="J49" s="542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544"/>
      <c r="AF49" s="556"/>
      <c r="AG49" s="159"/>
      <c r="AH49" s="159"/>
      <c r="AI49" s="159"/>
      <c r="AJ49" s="159"/>
      <c r="AK49" s="159"/>
      <c r="AL49" s="159"/>
      <c r="AM49" s="159"/>
      <c r="AN49" s="159"/>
      <c r="AO49" s="159"/>
      <c r="AP49" s="159"/>
      <c r="AQ49" s="159"/>
      <c r="AR49" s="159"/>
      <c r="AS49" s="159"/>
      <c r="AT49" s="159"/>
      <c r="AU49" s="159"/>
      <c r="AV49" s="159"/>
      <c r="AW49" s="159"/>
      <c r="AX49" s="545"/>
      <c r="AY49" s="545"/>
      <c r="AZ49" s="159"/>
      <c r="BA49" s="159"/>
      <c r="BB49" s="159"/>
      <c r="BC49" s="159"/>
      <c r="BD49" s="159"/>
      <c r="BE49" s="159"/>
      <c r="BF49" s="159"/>
      <c r="BG49" s="568"/>
      <c r="BH49" s="537"/>
      <c r="BI49" s="553"/>
      <c r="BJ49" s="564"/>
      <c r="BK49" s="569"/>
      <c r="BL49" s="159"/>
      <c r="BM49" s="556"/>
      <c r="BN49" s="159"/>
      <c r="BO49" s="159"/>
      <c r="BP49" s="159"/>
      <c r="BQ49" s="159"/>
      <c r="BR49" s="570"/>
    </row>
    <row r="50" s="162" customFormat="1" ht="18.75" customHeight="1">
      <c r="A50" s="159"/>
      <c r="B50" s="159"/>
      <c r="C50" s="159"/>
      <c r="D50" s="159"/>
      <c r="E50" s="159"/>
      <c r="F50" s="159"/>
      <c r="G50" s="159"/>
      <c r="H50" s="159"/>
      <c r="I50" s="159"/>
      <c r="J50" s="542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544"/>
      <c r="AF50" s="556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545"/>
      <c r="AY50" s="545"/>
      <c r="AZ50" s="159"/>
      <c r="BA50" s="159"/>
      <c r="BB50" s="159"/>
      <c r="BC50" s="159"/>
      <c r="BD50" s="159"/>
      <c r="BE50" s="159"/>
      <c r="BF50" s="159"/>
      <c r="BG50" s="568"/>
      <c r="BH50" s="537"/>
      <c r="BI50" s="553"/>
      <c r="BJ50" s="564"/>
      <c r="BK50" s="569"/>
      <c r="BL50" s="159"/>
      <c r="BM50" s="556"/>
      <c r="BN50" s="159"/>
      <c r="BO50" s="159"/>
      <c r="BP50" s="159"/>
      <c r="BQ50" s="159"/>
      <c r="BR50" s="570"/>
    </row>
    <row r="51" s="162" customFormat="1" ht="18.75" customHeight="1">
      <c r="A51" s="159"/>
      <c r="B51" s="159"/>
      <c r="C51" s="159"/>
      <c r="D51" s="159"/>
      <c r="E51" s="159"/>
      <c r="F51" s="159"/>
      <c r="G51" s="159"/>
      <c r="H51" s="159"/>
      <c r="I51" s="159"/>
      <c r="J51" s="542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544"/>
      <c r="AF51" s="556"/>
      <c r="AG51" s="159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545"/>
      <c r="AY51" s="545"/>
      <c r="AZ51" s="159"/>
      <c r="BA51" s="159"/>
      <c r="BB51" s="159"/>
      <c r="BC51" s="159"/>
      <c r="BD51" s="159"/>
      <c r="BE51" s="159"/>
      <c r="BF51" s="159"/>
      <c r="BG51" s="568"/>
      <c r="BH51" s="537"/>
      <c r="BI51" s="553"/>
      <c r="BJ51" s="564"/>
      <c r="BK51" s="569"/>
      <c r="BL51" s="159"/>
      <c r="BM51" s="556"/>
      <c r="BN51" s="159"/>
      <c r="BO51" s="159"/>
      <c r="BP51" s="159"/>
      <c r="BQ51" s="159"/>
      <c r="BR51" s="570"/>
    </row>
    <row r="52" s="162" customFormat="1" ht="18.75" customHeight="1">
      <c r="A52" s="159"/>
      <c r="B52" s="159"/>
      <c r="C52" s="159"/>
      <c r="D52" s="159"/>
      <c r="E52" s="159"/>
      <c r="F52" s="159"/>
      <c r="G52" s="159"/>
      <c r="H52" s="159"/>
      <c r="I52" s="159"/>
      <c r="J52" s="542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9"/>
      <c r="AB52" s="159"/>
      <c r="AC52" s="159"/>
      <c r="AD52" s="159"/>
      <c r="AE52" s="544"/>
      <c r="AF52" s="556"/>
      <c r="AG52" s="159"/>
      <c r="AH52" s="159"/>
      <c r="AI52" s="159"/>
      <c r="AJ52" s="159"/>
      <c r="AK52" s="159"/>
      <c r="AL52" s="159"/>
      <c r="AM52" s="159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545"/>
      <c r="AY52" s="545"/>
      <c r="AZ52" s="159"/>
      <c r="BA52" s="159"/>
      <c r="BB52" s="159"/>
      <c r="BC52" s="159"/>
      <c r="BD52" s="159"/>
      <c r="BE52" s="159"/>
      <c r="BF52" s="159"/>
      <c r="BG52" s="568"/>
      <c r="BH52" s="537"/>
      <c r="BI52" s="553"/>
      <c r="BJ52" s="564"/>
      <c r="BK52" s="569"/>
      <c r="BL52" s="159"/>
      <c r="BM52" s="556"/>
      <c r="BN52" s="159"/>
      <c r="BO52" s="159"/>
      <c r="BP52" s="159"/>
      <c r="BQ52" s="159"/>
      <c r="BR52" s="570"/>
    </row>
    <row r="53" s="162" customFormat="1" ht="18.75" customHeight="1">
      <c r="A53" s="159"/>
      <c r="B53" s="159"/>
      <c r="C53" s="159"/>
      <c r="D53" s="159"/>
      <c r="E53" s="159"/>
      <c r="F53" s="159"/>
      <c r="G53" s="159"/>
      <c r="H53" s="159"/>
      <c r="I53" s="159"/>
      <c r="J53" s="542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9"/>
      <c r="AB53" s="159"/>
      <c r="AC53" s="159"/>
      <c r="AD53" s="159"/>
      <c r="AE53" s="544"/>
      <c r="AF53" s="556"/>
      <c r="AG53" s="159"/>
      <c r="AH53" s="159"/>
      <c r="AI53" s="159"/>
      <c r="AJ53" s="159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545"/>
      <c r="AY53" s="545"/>
      <c r="AZ53" s="159"/>
      <c r="BA53" s="159"/>
      <c r="BB53" s="159"/>
      <c r="BC53" s="159"/>
      <c r="BD53" s="159"/>
      <c r="BE53" s="159"/>
      <c r="BF53" s="159"/>
      <c r="BG53" s="568"/>
      <c r="BH53" s="537"/>
      <c r="BI53" s="553"/>
      <c r="BJ53" s="564"/>
      <c r="BK53" s="569"/>
      <c r="BL53" s="159"/>
      <c r="BM53" s="556"/>
      <c r="BN53" s="159"/>
      <c r="BO53" s="159"/>
      <c r="BP53" s="159"/>
      <c r="BQ53" s="159"/>
      <c r="BR53" s="570"/>
    </row>
    <row r="54" s="162" customFormat="1" ht="18.75" customHeight="1">
      <c r="A54" s="159"/>
      <c r="B54" s="159"/>
      <c r="C54" s="159"/>
      <c r="D54" s="159"/>
      <c r="E54" s="159"/>
      <c r="F54" s="159"/>
      <c r="G54" s="159"/>
      <c r="H54" s="159"/>
      <c r="I54" s="159"/>
      <c r="J54" s="542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544"/>
      <c r="AF54" s="556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545"/>
      <c r="AY54" s="545"/>
      <c r="AZ54" s="159"/>
      <c r="BA54" s="159"/>
      <c r="BB54" s="159"/>
      <c r="BC54" s="159"/>
      <c r="BD54" s="159"/>
      <c r="BE54" s="159"/>
      <c r="BF54" s="159"/>
      <c r="BG54" s="568"/>
      <c r="BH54" s="537"/>
      <c r="BI54" s="553"/>
      <c r="BJ54" s="564"/>
      <c r="BK54" s="569"/>
      <c r="BL54" s="159"/>
      <c r="BM54" s="556"/>
      <c r="BN54" s="159"/>
      <c r="BO54" s="159"/>
      <c r="BP54" s="159"/>
      <c r="BQ54" s="159"/>
      <c r="BR54" s="570"/>
    </row>
    <row r="55" s="162" customFormat="1" ht="18.75" customHeight="1">
      <c r="A55" s="159"/>
      <c r="B55" s="159"/>
      <c r="C55" s="159"/>
      <c r="D55" s="159"/>
      <c r="E55" s="159"/>
      <c r="F55" s="159"/>
      <c r="G55" s="159"/>
      <c r="H55" s="159"/>
      <c r="I55" s="159"/>
      <c r="J55" s="542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544"/>
      <c r="AF55" s="556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545"/>
      <c r="AY55" s="545"/>
      <c r="AZ55" s="159"/>
      <c r="BA55" s="159"/>
      <c r="BB55" s="159"/>
      <c r="BC55" s="159"/>
      <c r="BD55" s="159"/>
      <c r="BE55" s="159"/>
      <c r="BF55" s="159"/>
      <c r="BG55" s="568"/>
      <c r="BH55" s="537"/>
      <c r="BI55" s="553"/>
      <c r="BJ55" s="564"/>
      <c r="BK55" s="569"/>
      <c r="BL55" s="159"/>
      <c r="BM55" s="556"/>
      <c r="BN55" s="159"/>
      <c r="BO55" s="159"/>
      <c r="BP55" s="159"/>
      <c r="BQ55" s="159"/>
      <c r="BR55" s="570"/>
    </row>
    <row r="56" s="162" customFormat="1" ht="18.75" customHeight="1">
      <c r="A56" s="159"/>
      <c r="B56" s="159"/>
      <c r="C56" s="159"/>
      <c r="D56" s="159"/>
      <c r="E56" s="159"/>
      <c r="F56" s="159"/>
      <c r="G56" s="159"/>
      <c r="H56" s="159"/>
      <c r="I56" s="159"/>
      <c r="J56" s="542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544"/>
      <c r="AF56" s="556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545"/>
      <c r="AY56" s="545"/>
      <c r="AZ56" s="159"/>
      <c r="BA56" s="159"/>
      <c r="BB56" s="159"/>
      <c r="BC56" s="159"/>
      <c r="BD56" s="159"/>
      <c r="BE56" s="159"/>
      <c r="BF56" s="159"/>
      <c r="BG56" s="568"/>
      <c r="BH56" s="537"/>
      <c r="BI56" s="553"/>
      <c r="BJ56" s="564"/>
      <c r="BK56" s="569"/>
      <c r="BL56" s="159"/>
      <c r="BM56" s="556"/>
      <c r="BN56" s="159"/>
      <c r="BO56" s="159"/>
      <c r="BP56" s="159"/>
      <c r="BQ56" s="159"/>
      <c r="BR56" s="570"/>
    </row>
    <row r="57" s="162" customFormat="1" ht="18.75" customHeight="1">
      <c r="A57" s="159"/>
      <c r="B57" s="159"/>
      <c r="C57" s="159"/>
      <c r="D57" s="159"/>
      <c r="E57" s="159"/>
      <c r="F57" s="159"/>
      <c r="G57" s="159"/>
      <c r="H57" s="159"/>
      <c r="I57" s="159"/>
      <c r="J57" s="542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544"/>
      <c r="AF57" s="556"/>
      <c r="AG57" s="159"/>
      <c r="AH57" s="159"/>
      <c r="AI57" s="159"/>
      <c r="AJ57" s="159"/>
      <c r="AK57" s="159"/>
      <c r="AL57" s="159"/>
      <c r="AM57" s="159"/>
      <c r="AN57" s="159"/>
      <c r="AO57" s="159"/>
      <c r="AP57" s="159"/>
      <c r="AQ57" s="159"/>
      <c r="AR57" s="159"/>
      <c r="AS57" s="159"/>
      <c r="AT57" s="159"/>
      <c r="AU57" s="159"/>
      <c r="AV57" s="159"/>
      <c r="AW57" s="159"/>
      <c r="AX57" s="545"/>
      <c r="AY57" s="545"/>
      <c r="AZ57" s="159"/>
      <c r="BA57" s="159"/>
      <c r="BB57" s="159"/>
      <c r="BC57" s="159"/>
      <c r="BD57" s="159"/>
      <c r="BE57" s="159"/>
      <c r="BF57" s="159"/>
      <c r="BG57" s="568"/>
      <c r="BH57" s="537"/>
      <c r="BI57" s="553"/>
      <c r="BJ57" s="564"/>
      <c r="BK57" s="569"/>
      <c r="BL57" s="159"/>
      <c r="BM57" s="556"/>
      <c r="BN57" s="159"/>
      <c r="BO57" s="159"/>
      <c r="BP57" s="159"/>
      <c r="BQ57" s="159"/>
      <c r="BR57" s="570"/>
    </row>
    <row r="58" s="162" customFormat="1" ht="18.75" customHeight="1">
      <c r="A58" s="159"/>
      <c r="B58" s="159"/>
      <c r="C58" s="159"/>
      <c r="D58" s="159"/>
      <c r="E58" s="159"/>
      <c r="F58" s="159"/>
      <c r="G58" s="159"/>
      <c r="H58" s="159"/>
      <c r="I58" s="159"/>
      <c r="J58" s="542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544"/>
      <c r="AF58" s="556"/>
      <c r="AG58" s="159"/>
      <c r="AH58" s="159"/>
      <c r="AI58" s="159"/>
      <c r="AJ58" s="159"/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9"/>
      <c r="AV58" s="159"/>
      <c r="AW58" s="159"/>
      <c r="AX58" s="545"/>
      <c r="AY58" s="545"/>
      <c r="AZ58" s="159"/>
      <c r="BA58" s="159"/>
      <c r="BB58" s="159"/>
      <c r="BC58" s="159"/>
      <c r="BD58" s="159"/>
      <c r="BE58" s="159"/>
      <c r="BF58" s="159"/>
      <c r="BG58" s="568"/>
      <c r="BH58" s="537"/>
      <c r="BI58" s="553"/>
      <c r="BJ58" s="564"/>
      <c r="BK58" s="569"/>
      <c r="BL58" s="159"/>
      <c r="BM58" s="556"/>
      <c r="BN58" s="159"/>
      <c r="BO58" s="159"/>
      <c r="BP58" s="159"/>
      <c r="BQ58" s="159"/>
      <c r="BR58" s="570"/>
    </row>
    <row r="59" s="162" customFormat="1" ht="18.75" customHeight="1">
      <c r="A59" s="159"/>
      <c r="B59" s="159"/>
      <c r="C59" s="159"/>
      <c r="D59" s="159"/>
      <c r="E59" s="159"/>
      <c r="F59" s="159"/>
      <c r="G59" s="159"/>
      <c r="H59" s="159"/>
      <c r="I59" s="159"/>
      <c r="J59" s="542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544"/>
      <c r="AF59" s="556"/>
      <c r="AG59" s="159"/>
      <c r="AH59" s="159"/>
      <c r="AI59" s="159"/>
      <c r="AJ59" s="159"/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9"/>
      <c r="AV59" s="159"/>
      <c r="AW59" s="159"/>
      <c r="AX59" s="545"/>
      <c r="AY59" s="545"/>
      <c r="AZ59" s="159"/>
      <c r="BA59" s="159"/>
      <c r="BB59" s="159"/>
      <c r="BC59" s="159"/>
      <c r="BD59" s="159"/>
      <c r="BE59" s="159"/>
      <c r="BF59" s="159"/>
      <c r="BG59" s="568"/>
      <c r="BH59" s="537"/>
      <c r="BI59" s="553"/>
      <c r="BJ59" s="564"/>
      <c r="BK59" s="569"/>
      <c r="BL59" s="159"/>
      <c r="BM59" s="556"/>
      <c r="BN59" s="159"/>
      <c r="BO59" s="159"/>
      <c r="BP59" s="159"/>
      <c r="BQ59" s="159"/>
      <c r="BR59" s="570"/>
    </row>
    <row r="60" s="162" customFormat="1" ht="18.75" customHeight="1">
      <c r="A60" s="159"/>
      <c r="B60" s="159"/>
      <c r="C60" s="159"/>
      <c r="D60" s="159"/>
      <c r="E60" s="159"/>
      <c r="F60" s="159"/>
      <c r="G60" s="159"/>
      <c r="H60" s="159"/>
      <c r="I60" s="159"/>
      <c r="J60" s="542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59"/>
      <c r="AE60" s="544"/>
      <c r="AF60" s="556"/>
      <c r="AG60" s="159"/>
      <c r="AH60" s="159"/>
      <c r="AI60" s="159"/>
      <c r="AJ60" s="159"/>
      <c r="AK60" s="159"/>
      <c r="AL60" s="159"/>
      <c r="AM60" s="159"/>
      <c r="AN60" s="159"/>
      <c r="AO60" s="159"/>
      <c r="AP60" s="159"/>
      <c r="AQ60" s="159"/>
      <c r="AR60" s="159"/>
      <c r="AS60" s="159"/>
      <c r="AT60" s="159"/>
      <c r="AU60" s="159"/>
      <c r="AV60" s="159"/>
      <c r="AW60" s="159"/>
      <c r="AX60" s="545"/>
      <c r="AY60" s="545"/>
      <c r="AZ60" s="159"/>
      <c r="BA60" s="159"/>
      <c r="BB60" s="159"/>
      <c r="BC60" s="159"/>
      <c r="BD60" s="159"/>
      <c r="BE60" s="159"/>
      <c r="BF60" s="159"/>
      <c r="BG60" s="568"/>
      <c r="BH60" s="537"/>
      <c r="BI60" s="553"/>
      <c r="BJ60" s="564"/>
      <c r="BK60" s="569"/>
      <c r="BL60" s="159"/>
      <c r="BM60" s="556"/>
      <c r="BN60" s="159"/>
      <c r="BO60" s="159"/>
      <c r="BP60" s="159"/>
      <c r="BQ60" s="159"/>
      <c r="BR60" s="570"/>
    </row>
    <row r="61" s="162" customFormat="1" ht="18.75" customHeight="1">
      <c r="A61" s="159"/>
      <c r="B61" s="159"/>
      <c r="C61" s="159"/>
      <c r="D61" s="159"/>
      <c r="E61" s="159"/>
      <c r="F61" s="159"/>
      <c r="G61" s="159"/>
      <c r="H61" s="159"/>
      <c r="I61" s="159"/>
      <c r="J61" s="542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544"/>
      <c r="AF61" s="556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545"/>
      <c r="AY61" s="545"/>
      <c r="AZ61" s="159"/>
      <c r="BA61" s="159"/>
      <c r="BB61" s="159"/>
      <c r="BC61" s="159"/>
      <c r="BD61" s="159"/>
      <c r="BE61" s="159"/>
      <c r="BF61" s="159"/>
      <c r="BG61" s="568"/>
      <c r="BH61" s="537"/>
      <c r="BI61" s="553"/>
      <c r="BJ61" s="564"/>
      <c r="BK61" s="569"/>
      <c r="BL61" s="159"/>
      <c r="BM61" s="556"/>
      <c r="BN61" s="159"/>
      <c r="BO61" s="159"/>
      <c r="BP61" s="159"/>
      <c r="BQ61" s="159"/>
      <c r="BR61" s="570"/>
    </row>
    <row r="62" s="162" customFormat="1" ht="18.75" customHeight="1">
      <c r="A62" s="159"/>
      <c r="B62" s="159"/>
      <c r="C62" s="159"/>
      <c r="D62" s="159"/>
      <c r="E62" s="159"/>
      <c r="F62" s="159"/>
      <c r="G62" s="159"/>
      <c r="H62" s="159"/>
      <c r="I62" s="159"/>
      <c r="J62" s="542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544"/>
      <c r="AF62" s="556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545"/>
      <c r="AY62" s="545"/>
      <c r="AZ62" s="159"/>
      <c r="BA62" s="159"/>
      <c r="BB62" s="159"/>
      <c r="BC62" s="159"/>
      <c r="BD62" s="159"/>
      <c r="BE62" s="159"/>
      <c r="BF62" s="159"/>
      <c r="BG62" s="568"/>
      <c r="BH62" s="537"/>
      <c r="BI62" s="553"/>
      <c r="BJ62" s="564"/>
      <c r="BK62" s="569"/>
      <c r="BL62" s="159"/>
      <c r="BM62" s="556"/>
      <c r="BN62" s="159"/>
      <c r="BO62" s="159"/>
      <c r="BP62" s="159"/>
      <c r="BQ62" s="159"/>
      <c r="BR62" s="570"/>
    </row>
    <row r="63" s="162" customFormat="1" ht="18.75" customHeight="1">
      <c r="A63" s="159"/>
      <c r="B63" s="159"/>
      <c r="C63" s="159"/>
      <c r="D63" s="159"/>
      <c r="E63" s="159"/>
      <c r="F63" s="159"/>
      <c r="G63" s="159"/>
      <c r="H63" s="159"/>
      <c r="I63" s="159"/>
      <c r="J63" s="542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544"/>
      <c r="AF63" s="556"/>
      <c r="AG63" s="159"/>
      <c r="AH63" s="159"/>
      <c r="AI63" s="159"/>
      <c r="AJ63" s="159"/>
      <c r="AK63" s="159"/>
      <c r="AL63" s="159"/>
      <c r="AM63" s="159"/>
      <c r="AN63" s="159"/>
      <c r="AO63" s="159"/>
      <c r="AP63" s="159"/>
      <c r="AQ63" s="159"/>
      <c r="AR63" s="159"/>
      <c r="AS63" s="159"/>
      <c r="AT63" s="159"/>
      <c r="AU63" s="159"/>
      <c r="AV63" s="159"/>
      <c r="AW63" s="159"/>
      <c r="AX63" s="545"/>
      <c r="AY63" s="545"/>
      <c r="AZ63" s="159"/>
      <c r="BA63" s="159"/>
      <c r="BB63" s="159"/>
      <c r="BC63" s="159"/>
      <c r="BD63" s="159"/>
      <c r="BE63" s="159"/>
      <c r="BF63" s="159"/>
      <c r="BG63" s="568"/>
      <c r="BH63" s="537"/>
      <c r="BI63" s="553"/>
      <c r="BJ63" s="564"/>
      <c r="BK63" s="569"/>
      <c r="BL63" s="159"/>
      <c r="BM63" s="556"/>
      <c r="BN63" s="159"/>
      <c r="BO63" s="159"/>
      <c r="BP63" s="159"/>
      <c r="BQ63" s="159"/>
      <c r="BR63" s="570"/>
    </row>
    <row r="64" s="162" customFormat="1" ht="18.75" customHeight="1">
      <c r="A64" s="159"/>
      <c r="B64" s="159"/>
      <c r="C64" s="159"/>
      <c r="D64" s="159"/>
      <c r="E64" s="159"/>
      <c r="F64" s="159"/>
      <c r="G64" s="159"/>
      <c r="H64" s="159"/>
      <c r="I64" s="159"/>
      <c r="J64" s="542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544"/>
      <c r="AF64" s="556"/>
      <c r="AG64" s="159"/>
      <c r="AH64" s="159"/>
      <c r="AI64" s="159"/>
      <c r="AJ64" s="159"/>
      <c r="AK64" s="159"/>
      <c r="AL64" s="159"/>
      <c r="AM64" s="159"/>
      <c r="AN64" s="159"/>
      <c r="AO64" s="159"/>
      <c r="AP64" s="159"/>
      <c r="AQ64" s="159"/>
      <c r="AR64" s="159"/>
      <c r="AS64" s="159"/>
      <c r="AT64" s="159"/>
      <c r="AU64" s="159"/>
      <c r="AV64" s="159"/>
      <c r="AW64" s="159"/>
      <c r="AX64" s="545"/>
      <c r="AY64" s="545"/>
      <c r="AZ64" s="159"/>
      <c r="BA64" s="159"/>
      <c r="BB64" s="159"/>
      <c r="BC64" s="159"/>
      <c r="BD64" s="159"/>
      <c r="BE64" s="159"/>
      <c r="BF64" s="159"/>
      <c r="BG64" s="568"/>
      <c r="BH64" s="537"/>
      <c r="BI64" s="553"/>
      <c r="BJ64" s="564"/>
      <c r="BK64" s="569"/>
      <c r="BL64" s="159"/>
      <c r="BM64" s="556"/>
      <c r="BN64" s="159"/>
      <c r="BO64" s="159"/>
      <c r="BP64" s="159"/>
      <c r="BQ64" s="159"/>
      <c r="BR64" s="570"/>
    </row>
    <row r="65" s="162" customFormat="1" ht="18.75" customHeight="1">
      <c r="A65" s="159"/>
      <c r="B65" s="159"/>
      <c r="C65" s="159"/>
      <c r="D65" s="159"/>
      <c r="E65" s="159"/>
      <c r="F65" s="159"/>
      <c r="G65" s="159"/>
      <c r="H65" s="159"/>
      <c r="I65" s="159"/>
      <c r="J65" s="542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544"/>
      <c r="AF65" s="556"/>
      <c r="AG65" s="159"/>
      <c r="AH65" s="159"/>
      <c r="AI65" s="159"/>
      <c r="AJ65" s="159"/>
      <c r="AK65" s="159"/>
      <c r="AL65" s="159"/>
      <c r="AM65" s="159"/>
      <c r="AN65" s="159"/>
      <c r="AO65" s="159"/>
      <c r="AP65" s="159"/>
      <c r="AQ65" s="159"/>
      <c r="AR65" s="159"/>
      <c r="AS65" s="159"/>
      <c r="AT65" s="159"/>
      <c r="AU65" s="159"/>
      <c r="AV65" s="159"/>
      <c r="AW65" s="159"/>
      <c r="AX65" s="545"/>
      <c r="AY65" s="545"/>
      <c r="AZ65" s="159"/>
      <c r="BA65" s="159"/>
      <c r="BB65" s="159"/>
      <c r="BC65" s="159"/>
      <c r="BD65" s="159"/>
      <c r="BE65" s="159"/>
      <c r="BF65" s="159"/>
      <c r="BG65" s="568"/>
      <c r="BH65" s="537"/>
      <c r="BI65" s="553"/>
      <c r="BJ65" s="564"/>
      <c r="BK65" s="569"/>
      <c r="BL65" s="159"/>
      <c r="BM65" s="556"/>
      <c r="BN65" s="159"/>
      <c r="BO65" s="159"/>
      <c r="BP65" s="159"/>
      <c r="BQ65" s="159"/>
      <c r="BR65" s="570"/>
    </row>
    <row r="66" s="162" customFormat="1" ht="18.75" customHeight="1">
      <c r="A66" s="159"/>
      <c r="B66" s="159"/>
      <c r="C66" s="159"/>
      <c r="D66" s="159"/>
      <c r="E66" s="159"/>
      <c r="F66" s="159"/>
      <c r="G66" s="159"/>
      <c r="H66" s="159"/>
      <c r="I66" s="159"/>
      <c r="J66" s="542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544"/>
      <c r="AF66" s="556"/>
      <c r="AG66" s="159"/>
      <c r="AH66" s="159"/>
      <c r="AI66" s="159"/>
      <c r="AJ66" s="159"/>
      <c r="AK66" s="159"/>
      <c r="AL66" s="159"/>
      <c r="AM66" s="159"/>
      <c r="AN66" s="159"/>
      <c r="AO66" s="159"/>
      <c r="AP66" s="159"/>
      <c r="AQ66" s="159"/>
      <c r="AR66" s="159"/>
      <c r="AS66" s="159"/>
      <c r="AT66" s="159"/>
      <c r="AU66" s="159"/>
      <c r="AV66" s="159"/>
      <c r="AW66" s="159"/>
      <c r="AX66" s="545"/>
      <c r="AY66" s="545"/>
      <c r="AZ66" s="159"/>
      <c r="BA66" s="159"/>
      <c r="BB66" s="159"/>
      <c r="BC66" s="159"/>
      <c r="BD66" s="159"/>
      <c r="BE66" s="159"/>
      <c r="BF66" s="159"/>
      <c r="BG66" s="568"/>
      <c r="BH66" s="537"/>
      <c r="BI66" s="553"/>
      <c r="BJ66" s="564"/>
      <c r="BK66" s="569"/>
      <c r="BL66" s="159"/>
      <c r="BM66" s="556"/>
      <c r="BN66" s="159"/>
      <c r="BO66" s="159"/>
      <c r="BP66" s="159"/>
      <c r="BQ66" s="159"/>
      <c r="BR66" s="570"/>
    </row>
    <row r="67" s="162" customFormat="1" ht="18.75" customHeight="1">
      <c r="A67" s="159"/>
      <c r="B67" s="159"/>
      <c r="C67" s="159"/>
      <c r="D67" s="159"/>
      <c r="E67" s="159"/>
      <c r="F67" s="159"/>
      <c r="G67" s="159"/>
      <c r="H67" s="159"/>
      <c r="I67" s="159"/>
      <c r="J67" s="542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544"/>
      <c r="AF67" s="556"/>
      <c r="AG67" s="159"/>
      <c r="AH67" s="159"/>
      <c r="AI67" s="159"/>
      <c r="AJ67" s="159"/>
      <c r="AK67" s="159"/>
      <c r="AL67" s="159"/>
      <c r="AM67" s="159"/>
      <c r="AN67" s="159"/>
      <c r="AO67" s="159"/>
      <c r="AP67" s="159"/>
      <c r="AQ67" s="159"/>
      <c r="AR67" s="159"/>
      <c r="AS67" s="159"/>
      <c r="AT67" s="159"/>
      <c r="AU67" s="159"/>
      <c r="AV67" s="159"/>
      <c r="AW67" s="159"/>
      <c r="AX67" s="545"/>
      <c r="AY67" s="545"/>
      <c r="AZ67" s="159"/>
      <c r="BA67" s="159"/>
      <c r="BB67" s="159"/>
      <c r="BC67" s="159"/>
      <c r="BD67" s="159"/>
      <c r="BE67" s="159"/>
      <c r="BF67" s="159"/>
      <c r="BG67" s="568"/>
      <c r="BH67" s="537"/>
      <c r="BI67" s="553"/>
      <c r="BJ67" s="564"/>
      <c r="BK67" s="569"/>
      <c r="BL67" s="159"/>
      <c r="BM67" s="556"/>
      <c r="BN67" s="159"/>
      <c r="BO67" s="159"/>
      <c r="BP67" s="159"/>
      <c r="BQ67" s="159"/>
      <c r="BR67" s="570"/>
    </row>
    <row r="68" s="162" customFormat="1" ht="18.75" customHeight="1">
      <c r="A68" s="159"/>
      <c r="B68" s="159"/>
      <c r="C68" s="159"/>
      <c r="D68" s="159"/>
      <c r="E68" s="159"/>
      <c r="F68" s="159"/>
      <c r="G68" s="159"/>
      <c r="H68" s="159"/>
      <c r="I68" s="159"/>
      <c r="J68" s="542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544"/>
      <c r="AF68" s="556"/>
      <c r="AG68" s="159"/>
      <c r="AH68" s="159"/>
      <c r="AI68" s="159"/>
      <c r="AJ68" s="159"/>
      <c r="AK68" s="159"/>
      <c r="AL68" s="159"/>
      <c r="AM68" s="159"/>
      <c r="AN68" s="159"/>
      <c r="AO68" s="159"/>
      <c r="AP68" s="159"/>
      <c r="AQ68" s="159"/>
      <c r="AR68" s="159"/>
      <c r="AS68" s="159"/>
      <c r="AT68" s="159"/>
      <c r="AU68" s="159"/>
      <c r="AV68" s="159"/>
      <c r="AW68" s="159"/>
      <c r="AX68" s="545"/>
      <c r="AY68" s="545"/>
      <c r="AZ68" s="159"/>
      <c r="BA68" s="159"/>
      <c r="BB68" s="159"/>
      <c r="BC68" s="159"/>
      <c r="BD68" s="159"/>
      <c r="BE68" s="159"/>
      <c r="BF68" s="159"/>
      <c r="BG68" s="568"/>
      <c r="BH68" s="537"/>
      <c r="BI68" s="553"/>
      <c r="BJ68" s="564"/>
      <c r="BK68" s="569"/>
      <c r="BL68" s="159"/>
      <c r="BM68" s="556"/>
      <c r="BN68" s="159"/>
      <c r="BO68" s="159"/>
      <c r="BP68" s="159"/>
      <c r="BQ68" s="159"/>
      <c r="BR68" s="570"/>
    </row>
    <row r="69" s="162" customFormat="1" ht="18.75" customHeight="1">
      <c r="A69" s="159"/>
      <c r="B69" s="159"/>
      <c r="C69" s="159"/>
      <c r="D69" s="159"/>
      <c r="E69" s="159"/>
      <c r="F69" s="159"/>
      <c r="G69" s="159"/>
      <c r="H69" s="159"/>
      <c r="I69" s="159"/>
      <c r="J69" s="542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544"/>
      <c r="AF69" s="556"/>
      <c r="AG69" s="159"/>
      <c r="AH69" s="159"/>
      <c r="AI69" s="159"/>
      <c r="AJ69" s="159"/>
      <c r="AK69" s="159"/>
      <c r="AL69" s="159"/>
      <c r="AM69" s="159"/>
      <c r="AN69" s="159"/>
      <c r="AO69" s="159"/>
      <c r="AP69" s="159"/>
      <c r="AQ69" s="159"/>
      <c r="AR69" s="159"/>
      <c r="AS69" s="159"/>
      <c r="AT69" s="159"/>
      <c r="AU69" s="159"/>
      <c r="AV69" s="159"/>
      <c r="AW69" s="159"/>
      <c r="AX69" s="545"/>
      <c r="AY69" s="545"/>
      <c r="AZ69" s="159"/>
      <c r="BA69" s="159"/>
      <c r="BB69" s="159"/>
      <c r="BC69" s="159"/>
      <c r="BD69" s="159"/>
      <c r="BE69" s="159"/>
      <c r="BF69" s="159"/>
      <c r="BG69" s="568"/>
      <c r="BH69" s="537"/>
      <c r="BI69" s="553"/>
      <c r="BJ69" s="564"/>
      <c r="BK69" s="569"/>
      <c r="BL69" s="159"/>
      <c r="BM69" s="556"/>
      <c r="BN69" s="159"/>
      <c r="BO69" s="159"/>
      <c r="BP69" s="159"/>
      <c r="BQ69" s="159"/>
      <c r="BR69" s="570"/>
    </row>
    <row r="70" s="162" customFormat="1" ht="18.75" customHeight="1">
      <c r="A70" s="159"/>
      <c r="B70" s="159"/>
      <c r="C70" s="159"/>
      <c r="D70" s="159"/>
      <c r="E70" s="159"/>
      <c r="F70" s="159"/>
      <c r="G70" s="159"/>
      <c r="H70" s="159"/>
      <c r="I70" s="159"/>
      <c r="J70" s="542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  <c r="AD70" s="159"/>
      <c r="AE70" s="544"/>
      <c r="AF70" s="556"/>
      <c r="AG70" s="159"/>
      <c r="AH70" s="159"/>
      <c r="AI70" s="159"/>
      <c r="AJ70" s="159"/>
      <c r="AK70" s="159"/>
      <c r="AL70" s="159"/>
      <c r="AM70" s="159"/>
      <c r="AN70" s="159"/>
      <c r="AO70" s="159"/>
      <c r="AP70" s="159"/>
      <c r="AQ70" s="159"/>
      <c r="AR70" s="159"/>
      <c r="AS70" s="159"/>
      <c r="AT70" s="159"/>
      <c r="AU70" s="159"/>
      <c r="AV70" s="159"/>
      <c r="AW70" s="159"/>
      <c r="AX70" s="545"/>
      <c r="AY70" s="545"/>
      <c r="AZ70" s="159"/>
      <c r="BA70" s="159"/>
      <c r="BB70" s="159"/>
      <c r="BC70" s="159"/>
      <c r="BD70" s="159"/>
      <c r="BE70" s="159"/>
      <c r="BF70" s="159"/>
      <c r="BG70" s="568"/>
      <c r="BH70" s="537"/>
      <c r="BI70" s="553"/>
      <c r="BJ70" s="564"/>
      <c r="BK70" s="569"/>
      <c r="BL70" s="159"/>
      <c r="BM70" s="556"/>
      <c r="BN70" s="159"/>
      <c r="BO70" s="159"/>
      <c r="BP70" s="159"/>
      <c r="BQ70" s="159"/>
      <c r="BR70" s="570"/>
    </row>
    <row r="71" s="162" customFormat="1" ht="18.75" customHeight="1">
      <c r="A71" s="159"/>
      <c r="B71" s="159"/>
      <c r="C71" s="159"/>
      <c r="D71" s="159"/>
      <c r="E71" s="159"/>
      <c r="F71" s="159"/>
      <c r="G71" s="159"/>
      <c r="H71" s="159"/>
      <c r="I71" s="159"/>
      <c r="J71" s="542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544"/>
      <c r="AF71" s="556"/>
      <c r="AG71" s="159"/>
      <c r="AH71" s="159"/>
      <c r="AI71" s="159"/>
      <c r="AJ71" s="159"/>
      <c r="AK71" s="159"/>
      <c r="AL71" s="159"/>
      <c r="AM71" s="159"/>
      <c r="AN71" s="159"/>
      <c r="AO71" s="159"/>
      <c r="AP71" s="159"/>
      <c r="AQ71" s="159"/>
      <c r="AR71" s="159"/>
      <c r="AS71" s="159"/>
      <c r="AT71" s="159"/>
      <c r="AU71" s="159"/>
      <c r="AV71" s="159"/>
      <c r="AW71" s="159"/>
      <c r="AX71" s="545"/>
      <c r="AY71" s="545"/>
      <c r="AZ71" s="159"/>
      <c r="BA71" s="159"/>
      <c r="BB71" s="159"/>
      <c r="BC71" s="159"/>
      <c r="BD71" s="159"/>
      <c r="BE71" s="159"/>
      <c r="BF71" s="159"/>
      <c r="BG71" s="568"/>
      <c r="BH71" s="537"/>
      <c r="BI71" s="553"/>
      <c r="BJ71" s="564"/>
      <c r="BK71" s="569"/>
      <c r="BL71" s="159"/>
      <c r="BM71" s="556"/>
      <c r="BN71" s="159"/>
      <c r="BO71" s="159"/>
      <c r="BP71" s="159"/>
      <c r="BQ71" s="159"/>
      <c r="BR71" s="570"/>
    </row>
    <row r="72" s="162" customFormat="1" ht="18.75" customHeight="1">
      <c r="A72" s="159"/>
      <c r="B72" s="159"/>
      <c r="C72" s="159"/>
      <c r="D72" s="159"/>
      <c r="E72" s="159"/>
      <c r="F72" s="159"/>
      <c r="G72" s="159"/>
      <c r="H72" s="159"/>
      <c r="I72" s="159"/>
      <c r="J72" s="542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544"/>
      <c r="AF72" s="571"/>
      <c r="AG72" s="159"/>
      <c r="AH72" s="159"/>
      <c r="AI72" s="159"/>
      <c r="AJ72" s="159"/>
      <c r="AK72" s="159"/>
      <c r="AL72" s="159"/>
      <c r="AM72" s="159"/>
      <c r="AN72" s="159"/>
      <c r="AO72" s="159"/>
      <c r="AP72" s="159"/>
      <c r="AQ72" s="159"/>
      <c r="AR72" s="159"/>
      <c r="AS72" s="159"/>
      <c r="AT72" s="159"/>
      <c r="AU72" s="159"/>
      <c r="AV72" s="159"/>
      <c r="AW72" s="541" cm="1">
        <f t="array" ref="AW72">SUBTOTAL(9,AW11:AW23)</f>
        <v>149599000</v>
      </c>
      <c r="AX72" s="545"/>
      <c r="AY72" s="545"/>
      <c r="AZ72" s="159"/>
      <c r="BA72" s="159"/>
      <c r="BB72" s="159"/>
      <c r="BC72" s="159"/>
      <c r="BD72" s="159"/>
      <c r="BE72" s="159"/>
      <c r="BF72" s="159"/>
      <c r="BG72" s="568"/>
      <c r="BH72" s="537"/>
      <c r="BI72" s="553"/>
      <c r="BJ72" s="564"/>
      <c r="BK72" s="569"/>
      <c r="BL72" s="159"/>
      <c r="BM72" s="556"/>
      <c r="BN72" s="159"/>
      <c r="BO72" s="159"/>
      <c r="BP72" s="159"/>
      <c r="BQ72" s="159"/>
      <c r="BR72" s="570"/>
    </row>
    <row r="73" s="162" customFormat="1" ht="18.75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542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557"/>
      <c r="AB73" s="557"/>
      <c r="AC73" s="159"/>
      <c r="AD73" s="159"/>
      <c r="AE73" s="544"/>
      <c r="AF73" s="571"/>
      <c r="AG73" s="159"/>
      <c r="AH73" s="159"/>
      <c r="AI73" s="159"/>
      <c r="AJ73" s="159"/>
      <c r="AK73" s="159"/>
      <c r="AL73" s="159"/>
      <c r="AM73" s="572">
        <v>854485050</v>
      </c>
      <c r="AN73" s="159"/>
      <c r="AO73" s="541" cm="1">
        <f t="array" ref="AO73">AM18-AO18</f>
        <v>11442450</v>
      </c>
      <c r="AP73" s="159"/>
      <c r="AQ73" s="159"/>
      <c r="AR73" s="159"/>
      <c r="AS73" s="159"/>
      <c r="AT73" s="159"/>
      <c r="AU73" s="159"/>
      <c r="AV73" s="159"/>
      <c r="AW73" s="541" cm="1">
        <f t="array" ref="AW73">AW22-AJ22</f>
        <v>10897000</v>
      </c>
      <c r="AX73" s="545"/>
      <c r="AY73" s="545"/>
      <c r="AZ73" s="159"/>
      <c r="BA73" s="159"/>
      <c r="BB73" s="159"/>
      <c r="BC73" s="159"/>
      <c r="BD73" s="159"/>
      <c r="BE73" s="159"/>
      <c r="BF73" s="159"/>
      <c r="BG73" s="568"/>
      <c r="BH73" s="537"/>
      <c r="BI73" s="553"/>
      <c r="BJ73" s="564"/>
      <c r="BK73" s="569"/>
      <c r="BL73" s="159"/>
      <c r="BM73" s="556"/>
      <c r="BN73" s="159"/>
      <c r="BO73" s="159"/>
      <c r="BP73" s="159"/>
      <c r="BQ73" s="159"/>
      <c r="BR73" s="570"/>
    </row>
    <row r="74" s="162" customFormat="1" ht="18.75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542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557"/>
      <c r="AB74" s="159"/>
      <c r="AC74" s="159"/>
      <c r="AD74" s="159"/>
      <c r="AE74" s="544"/>
      <c r="AF74" s="571"/>
      <c r="AG74" s="159"/>
      <c r="AH74" s="159"/>
      <c r="AI74" s="159"/>
      <c r="AJ74" s="159"/>
      <c r="AK74" s="159"/>
      <c r="AL74" s="159"/>
      <c r="AM74" s="557" cm="1">
        <f t="array" ref="AM74">AM73-AM42</f>
        <v>458303687</v>
      </c>
      <c r="AN74" s="159"/>
      <c r="AO74" s="159"/>
      <c r="AP74" s="159"/>
      <c r="AQ74" s="159"/>
      <c r="AR74" s="159"/>
      <c r="AS74" s="159"/>
      <c r="AT74" s="159"/>
      <c r="AU74" s="159"/>
      <c r="AV74" s="159"/>
      <c r="AW74" s="159"/>
      <c r="AX74" s="545"/>
      <c r="AY74" s="545"/>
      <c r="AZ74" s="159"/>
      <c r="BA74" s="159"/>
      <c r="BB74" s="159"/>
      <c r="BC74" s="159"/>
      <c r="BD74" s="159"/>
      <c r="BE74" s="159"/>
      <c r="BF74" s="159"/>
      <c r="BG74" s="568"/>
      <c r="BH74" s="537"/>
      <c r="BI74" s="553"/>
      <c r="BJ74" s="564"/>
      <c r="BK74" s="569"/>
      <c r="BL74" s="159"/>
      <c r="BM74" s="556"/>
      <c r="BN74" s="159"/>
      <c r="BO74" s="159"/>
      <c r="BP74" s="159"/>
      <c r="BQ74" s="159"/>
      <c r="BR74" s="570"/>
    </row>
    <row r="75" s="162" customFormat="1" ht="18.75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542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9"/>
      <c r="AB75" s="159"/>
      <c r="AC75" s="159"/>
      <c r="AD75" s="159"/>
      <c r="AE75" s="544"/>
      <c r="AF75" s="571"/>
      <c r="AG75" s="159"/>
      <c r="AH75" s="159"/>
      <c r="AI75" s="159"/>
      <c r="AJ75" s="159"/>
      <c r="AK75" s="159"/>
      <c r="AL75" s="159"/>
      <c r="AM75" s="159"/>
      <c r="AN75" s="159"/>
      <c r="AO75" s="159"/>
      <c r="AP75" s="159"/>
      <c r="AQ75" s="159"/>
      <c r="AR75" s="159"/>
      <c r="AS75" s="159"/>
      <c r="AT75" s="159"/>
      <c r="AU75" s="159"/>
      <c r="AV75" s="159"/>
      <c r="AW75" s="541" cm="1">
        <f t="array" ref="AW75">AW19+AV19+AO19</f>
        <v>11999550</v>
      </c>
      <c r="AX75" s="545"/>
      <c r="AY75" s="545"/>
      <c r="AZ75" s="159"/>
      <c r="BA75" s="159"/>
      <c r="BB75" s="159"/>
      <c r="BC75" s="159"/>
      <c r="BD75" s="159"/>
      <c r="BE75" s="159"/>
      <c r="BF75" s="159"/>
      <c r="BG75" s="568"/>
      <c r="BH75" s="537"/>
      <c r="BI75" s="553"/>
      <c r="BJ75" s="564"/>
      <c r="BK75" s="569"/>
      <c r="BL75" s="159"/>
      <c r="BM75" s="556"/>
      <c r="BN75" s="159"/>
      <c r="BO75" s="159"/>
      <c r="BP75" s="159"/>
      <c r="BQ75" s="159"/>
      <c r="BR75" s="570"/>
    </row>
    <row r="76" s="162" customFormat="1" ht="18.75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542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9"/>
      <c r="AB76" s="159"/>
      <c r="AC76" s="159"/>
      <c r="AD76" s="159"/>
      <c r="AE76" s="544"/>
      <c r="AF76" s="571"/>
      <c r="AG76" s="159"/>
      <c r="AH76" s="159"/>
      <c r="AI76" s="159"/>
      <c r="AJ76" s="159"/>
      <c r="AK76" s="159"/>
      <c r="AL76" s="159"/>
      <c r="AM76" s="159"/>
      <c r="AN76" s="159"/>
      <c r="AO76" s="159"/>
      <c r="AP76" s="159"/>
      <c r="AQ76" s="159"/>
      <c r="AR76" s="159"/>
      <c r="AS76" s="159"/>
      <c r="AT76" s="159"/>
      <c r="AU76" s="159"/>
      <c r="AV76" s="159"/>
      <c r="AW76" s="159"/>
      <c r="AX76" s="545"/>
      <c r="AY76" s="545"/>
      <c r="AZ76" s="159"/>
      <c r="BA76" s="159"/>
      <c r="BB76" s="159"/>
      <c r="BC76" s="159"/>
      <c r="BD76" s="159"/>
      <c r="BE76" s="159"/>
      <c r="BF76" s="159"/>
      <c r="BG76" s="568"/>
      <c r="BH76" s="537"/>
      <c r="BI76" s="553"/>
      <c r="BJ76" s="564"/>
      <c r="BK76" s="569"/>
      <c r="BL76" s="159"/>
      <c r="BM76" s="556"/>
      <c r="BN76" s="159"/>
      <c r="BO76" s="159"/>
      <c r="BP76" s="159"/>
      <c r="BQ76" s="159"/>
      <c r="BR76" s="570"/>
    </row>
    <row r="77" s="162" customFormat="1" ht="18.75" customHeight="1">
      <c r="A77" s="159"/>
      <c r="B77" s="159"/>
      <c r="C77" s="159"/>
      <c r="D77" s="159"/>
      <c r="E77" s="159"/>
      <c r="F77" s="159"/>
      <c r="G77" s="159"/>
      <c r="H77" s="159"/>
      <c r="I77" s="159"/>
      <c r="J77" s="542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544"/>
      <c r="AF77" s="571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59"/>
      <c r="AX77" s="545"/>
      <c r="AY77" s="545"/>
      <c r="AZ77" s="159"/>
      <c r="BA77" s="159"/>
      <c r="BB77" s="159"/>
      <c r="BC77" s="159"/>
      <c r="BD77" s="159"/>
      <c r="BE77" s="159"/>
      <c r="BF77" s="159"/>
      <c r="BG77" s="568"/>
      <c r="BH77" s="537"/>
      <c r="BI77" s="553"/>
      <c r="BJ77" s="564"/>
      <c r="BK77" s="569"/>
      <c r="BL77" s="159"/>
      <c r="BM77" s="556"/>
      <c r="BN77" s="159"/>
      <c r="BO77" s="159"/>
      <c r="BP77" s="159"/>
      <c r="BQ77" s="159"/>
      <c r="BR77" s="570"/>
    </row>
    <row r="78" s="162" customFormat="1" ht="18.75" customHeight="1">
      <c r="A78" s="159"/>
      <c r="B78" s="159"/>
      <c r="C78" s="159"/>
      <c r="D78" s="159"/>
      <c r="E78" s="159"/>
      <c r="F78" s="159"/>
      <c r="G78" s="159"/>
      <c r="H78" s="159"/>
      <c r="I78" s="159"/>
      <c r="J78" s="542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544"/>
      <c r="AF78" s="571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545"/>
      <c r="AY78" s="545"/>
      <c r="AZ78" s="159"/>
      <c r="BA78" s="159"/>
      <c r="BB78" s="159"/>
      <c r="BC78" s="159"/>
      <c r="BD78" s="159"/>
      <c r="BE78" s="159"/>
      <c r="BF78" s="159"/>
      <c r="BG78" s="568"/>
      <c r="BH78" s="537"/>
      <c r="BI78" s="553"/>
      <c r="BJ78" s="564"/>
      <c r="BK78" s="569"/>
      <c r="BL78" s="159"/>
      <c r="BM78" s="556"/>
      <c r="BN78" s="159"/>
      <c r="BO78" s="159"/>
      <c r="BP78" s="159"/>
      <c r="BQ78" s="159"/>
      <c r="BR78" s="570"/>
    </row>
    <row r="79" s="162" customFormat="1" ht="18.75" customHeight="1">
      <c r="A79" s="159"/>
      <c r="B79" s="159"/>
      <c r="C79" s="159"/>
      <c r="D79" s="159"/>
      <c r="E79" s="159"/>
      <c r="F79" s="159"/>
      <c r="G79" s="159"/>
      <c r="H79" s="159"/>
      <c r="I79" s="159"/>
      <c r="J79" s="542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544"/>
      <c r="AF79" s="571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545"/>
      <c r="AY79" s="545"/>
      <c r="AZ79" s="159"/>
      <c r="BA79" s="159"/>
      <c r="BB79" s="159"/>
      <c r="BC79" s="159"/>
      <c r="BD79" s="159"/>
      <c r="BE79" s="159"/>
      <c r="BF79" s="159"/>
      <c r="BG79" s="568"/>
      <c r="BH79" s="537"/>
      <c r="BI79" s="553"/>
      <c r="BJ79" s="564"/>
      <c r="BK79" s="569"/>
      <c r="BL79" s="159"/>
      <c r="BM79" s="556"/>
      <c r="BN79" s="159"/>
      <c r="BO79" s="159"/>
      <c r="BP79" s="159"/>
      <c r="BQ79" s="159"/>
      <c r="BR79" s="570"/>
    </row>
    <row r="80" s="162" customFormat="1" ht="18.75" customHeight="1">
      <c r="A80" s="159"/>
      <c r="B80" s="159"/>
      <c r="C80" s="159"/>
      <c r="D80" s="159"/>
      <c r="E80" s="159"/>
      <c r="F80" s="159"/>
      <c r="G80" s="159"/>
      <c r="H80" s="159"/>
      <c r="I80" s="159"/>
      <c r="J80" s="542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544"/>
      <c r="AF80" s="571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545"/>
      <c r="AY80" s="545"/>
      <c r="AZ80" s="159"/>
      <c r="BA80" s="159"/>
      <c r="BB80" s="159"/>
      <c r="BC80" s="159"/>
      <c r="BD80" s="159"/>
      <c r="BE80" s="159"/>
      <c r="BF80" s="159"/>
      <c r="BG80" s="568"/>
      <c r="BH80" s="537"/>
      <c r="BI80" s="553"/>
      <c r="BJ80" s="564"/>
      <c r="BK80" s="569"/>
      <c r="BL80" s="159"/>
      <c r="BM80" s="556"/>
      <c r="BN80" s="159"/>
      <c r="BO80" s="159"/>
      <c r="BP80" s="159"/>
      <c r="BQ80" s="159"/>
      <c r="BR80" s="570"/>
    </row>
    <row r="81" s="162" customFormat="1" ht="18.75" customHeight="1">
      <c r="A81" s="159"/>
      <c r="B81" s="159"/>
      <c r="C81" s="159"/>
      <c r="D81" s="159"/>
      <c r="E81" s="159"/>
      <c r="F81" s="159"/>
      <c r="G81" s="159"/>
      <c r="H81" s="159"/>
      <c r="I81" s="159"/>
      <c r="J81" s="542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544"/>
      <c r="AF81" s="571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545"/>
      <c r="AY81" s="545"/>
      <c r="AZ81" s="159"/>
      <c r="BA81" s="159"/>
      <c r="BB81" s="159"/>
      <c r="BC81" s="159"/>
      <c r="BD81" s="159"/>
      <c r="BE81" s="159"/>
      <c r="BF81" s="159"/>
      <c r="BG81" s="568"/>
      <c r="BH81" s="537"/>
      <c r="BI81" s="553"/>
      <c r="BJ81" s="564"/>
      <c r="BK81" s="569"/>
      <c r="BL81" s="159"/>
      <c r="BM81" s="556"/>
      <c r="BN81" s="159"/>
      <c r="BO81" s="159"/>
      <c r="BP81" s="159"/>
      <c r="BQ81" s="159"/>
      <c r="BR81" s="570"/>
    </row>
    <row r="82" s="162" customFormat="1" ht="18.75" customHeight="1">
      <c r="A82" s="159"/>
      <c r="B82" s="159"/>
      <c r="C82" s="159"/>
      <c r="D82" s="159"/>
      <c r="E82" s="159"/>
      <c r="F82" s="159"/>
      <c r="G82" s="159"/>
      <c r="H82" s="159"/>
      <c r="I82" s="159"/>
      <c r="J82" s="542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544"/>
      <c r="AF82" s="571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545"/>
      <c r="AY82" s="545"/>
      <c r="AZ82" s="159"/>
      <c r="BA82" s="159"/>
      <c r="BB82" s="159"/>
      <c r="BC82" s="159"/>
      <c r="BD82" s="159"/>
      <c r="BE82" s="159"/>
      <c r="BF82" s="159"/>
      <c r="BG82" s="568"/>
      <c r="BH82" s="537"/>
      <c r="BI82" s="553"/>
      <c r="BJ82" s="564"/>
      <c r="BK82" s="569"/>
      <c r="BL82" s="159"/>
      <c r="BM82" s="556"/>
      <c r="BN82" s="159"/>
      <c r="BO82" s="159"/>
      <c r="BP82" s="159"/>
      <c r="BQ82" s="159"/>
      <c r="BR82" s="570"/>
    </row>
    <row r="83" s="162" customFormat="1" ht="18.75" customHeight="1">
      <c r="A83" s="159"/>
      <c r="B83" s="159"/>
      <c r="C83" s="159"/>
      <c r="D83" s="159"/>
      <c r="E83" s="159"/>
      <c r="F83" s="159"/>
      <c r="G83" s="159"/>
      <c r="H83" s="159"/>
      <c r="I83" s="159"/>
      <c r="J83" s="542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544"/>
      <c r="AF83" s="571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545"/>
      <c r="AY83" s="545"/>
      <c r="AZ83" s="159"/>
      <c r="BA83" s="159"/>
      <c r="BB83" s="159"/>
      <c r="BC83" s="159"/>
      <c r="BD83" s="159"/>
      <c r="BE83" s="159"/>
      <c r="BF83" s="159"/>
      <c r="BG83" s="568"/>
      <c r="BH83" s="537"/>
      <c r="BI83" s="553"/>
      <c r="BJ83" s="564"/>
      <c r="BK83" s="569"/>
      <c r="BL83" s="159"/>
      <c r="BM83" s="556"/>
      <c r="BN83" s="159"/>
      <c r="BO83" s="159"/>
      <c r="BP83" s="159"/>
      <c r="BQ83" s="159"/>
      <c r="BR83" s="570"/>
    </row>
    <row r="84" s="162" customFormat="1" ht="18.75" customHeight="1">
      <c r="A84" s="159"/>
      <c r="B84" s="159"/>
      <c r="C84" s="159"/>
      <c r="D84" s="159"/>
      <c r="E84" s="159"/>
      <c r="F84" s="159"/>
      <c r="G84" s="159"/>
      <c r="H84" s="159"/>
      <c r="I84" s="159"/>
      <c r="J84" s="542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544"/>
      <c r="AF84" s="571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545"/>
      <c r="AY84" s="545"/>
      <c r="AZ84" s="159"/>
      <c r="BA84" s="159"/>
      <c r="BB84" s="159"/>
      <c r="BC84" s="159"/>
      <c r="BD84" s="159"/>
      <c r="BE84" s="159"/>
      <c r="BF84" s="159"/>
      <c r="BG84" s="568"/>
      <c r="BH84" s="537"/>
      <c r="BI84" s="553"/>
      <c r="BJ84" s="564"/>
      <c r="BK84" s="569"/>
      <c r="BL84" s="159"/>
      <c r="BM84" s="556"/>
      <c r="BN84" s="159"/>
      <c r="BO84" s="159"/>
      <c r="BP84" s="159"/>
      <c r="BQ84" s="159"/>
      <c r="BR84" s="570"/>
    </row>
    <row r="85" s="162" customFormat="1" ht="18.75" customHeight="1">
      <c r="A85" s="159"/>
      <c r="B85" s="159"/>
      <c r="C85" s="159"/>
      <c r="D85" s="159"/>
      <c r="E85" s="159"/>
      <c r="F85" s="159"/>
      <c r="G85" s="159"/>
      <c r="H85" s="159"/>
      <c r="I85" s="159"/>
      <c r="J85" s="542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544"/>
      <c r="AF85" s="571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545"/>
      <c r="AY85" s="545"/>
      <c r="AZ85" s="159"/>
      <c r="BA85" s="159"/>
      <c r="BB85" s="159"/>
      <c r="BC85" s="159"/>
      <c r="BD85" s="159"/>
      <c r="BE85" s="159"/>
      <c r="BF85" s="159"/>
      <c r="BG85" s="568"/>
      <c r="BH85" s="537"/>
      <c r="BI85" s="553"/>
      <c r="BJ85" s="564"/>
      <c r="BK85" s="569"/>
      <c r="BL85" s="159"/>
      <c r="BM85" s="556"/>
      <c r="BN85" s="159"/>
      <c r="BO85" s="159"/>
      <c r="BP85" s="159"/>
      <c r="BQ85" s="159"/>
      <c r="BR85" s="570"/>
    </row>
    <row r="86" s="162" customFormat="1" ht="18.75" customHeight="1">
      <c r="A86" s="159"/>
      <c r="B86" s="159"/>
      <c r="C86" s="159"/>
      <c r="D86" s="159"/>
      <c r="E86" s="159"/>
      <c r="F86" s="159"/>
      <c r="G86" s="159"/>
      <c r="H86" s="159"/>
      <c r="I86" s="159"/>
      <c r="J86" s="542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544"/>
      <c r="AF86" s="571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545"/>
      <c r="AY86" s="545"/>
      <c r="AZ86" s="159"/>
      <c r="BA86" s="159"/>
      <c r="BB86" s="159"/>
      <c r="BC86" s="159"/>
      <c r="BD86" s="159"/>
      <c r="BE86" s="159"/>
      <c r="BF86" s="159"/>
      <c r="BG86" s="568"/>
      <c r="BH86" s="537"/>
      <c r="BI86" s="553"/>
      <c r="BJ86" s="564"/>
      <c r="BK86" s="569"/>
      <c r="BL86" s="159"/>
      <c r="BM86" s="556"/>
      <c r="BN86" s="159"/>
      <c r="BO86" s="159"/>
      <c r="BP86" s="159"/>
      <c r="BQ86" s="159"/>
      <c r="BR86" s="570"/>
    </row>
    <row r="87" s="162" customFormat="1" ht="18.75" customHeight="1">
      <c r="A87" s="159"/>
      <c r="B87" s="159"/>
      <c r="C87" s="159"/>
      <c r="D87" s="159"/>
      <c r="E87" s="159"/>
      <c r="F87" s="159"/>
      <c r="G87" s="159"/>
      <c r="H87" s="159"/>
      <c r="I87" s="159"/>
      <c r="J87" s="542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544"/>
      <c r="AF87" s="571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545"/>
      <c r="AY87" s="545"/>
      <c r="AZ87" s="159"/>
      <c r="BA87" s="159"/>
      <c r="BB87" s="159"/>
      <c r="BC87" s="159"/>
      <c r="BD87" s="159"/>
      <c r="BE87" s="159"/>
      <c r="BF87" s="159"/>
      <c r="BG87" s="568"/>
      <c r="BH87" s="537"/>
      <c r="BI87" s="553"/>
      <c r="BJ87" s="564"/>
      <c r="BK87" s="569"/>
      <c r="BL87" s="159"/>
      <c r="BM87" s="556"/>
      <c r="BN87" s="159"/>
      <c r="BO87" s="159"/>
      <c r="BP87" s="159"/>
      <c r="BQ87" s="159"/>
      <c r="BR87" s="570"/>
    </row>
    <row r="88" s="162" customFormat="1" ht="18.75" customHeight="1">
      <c r="A88" s="159"/>
      <c r="B88" s="159"/>
      <c r="C88" s="159"/>
      <c r="D88" s="159"/>
      <c r="E88" s="159"/>
      <c r="F88" s="159"/>
      <c r="G88" s="159"/>
      <c r="H88" s="159"/>
      <c r="I88" s="159"/>
      <c r="J88" s="542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544"/>
      <c r="AF88" s="571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545"/>
      <c r="AY88" s="545"/>
      <c r="AZ88" s="159"/>
      <c r="BA88" s="159"/>
      <c r="BB88" s="159"/>
      <c r="BC88" s="159"/>
      <c r="BD88" s="159"/>
      <c r="BE88" s="159"/>
      <c r="BF88" s="159"/>
      <c r="BG88" s="568"/>
      <c r="BH88" s="537"/>
      <c r="BI88" s="553"/>
      <c r="BJ88" s="564"/>
      <c r="BK88" s="569"/>
      <c r="BL88" s="159"/>
      <c r="BM88" s="556"/>
      <c r="BN88" s="159"/>
      <c r="BO88" s="159"/>
      <c r="BP88" s="159"/>
      <c r="BQ88" s="159"/>
      <c r="BR88" s="570"/>
    </row>
    <row r="89" s="162" customFormat="1" ht="18.75" customHeight="1">
      <c r="A89" s="159"/>
      <c r="B89" s="159"/>
      <c r="C89" s="159"/>
      <c r="D89" s="159"/>
      <c r="E89" s="159"/>
      <c r="F89" s="159"/>
      <c r="G89" s="159"/>
      <c r="H89" s="159"/>
      <c r="I89" s="159"/>
      <c r="J89" s="542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544"/>
      <c r="AF89" s="571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545"/>
      <c r="AY89" s="545"/>
      <c r="AZ89" s="159"/>
      <c r="BA89" s="159"/>
      <c r="BB89" s="159"/>
      <c r="BC89" s="159"/>
      <c r="BD89" s="159"/>
      <c r="BE89" s="159"/>
      <c r="BF89" s="159"/>
      <c r="BG89" s="568"/>
      <c r="BH89" s="537"/>
      <c r="BI89" s="553"/>
      <c r="BJ89" s="564"/>
      <c r="BK89" s="569"/>
      <c r="BL89" s="159"/>
      <c r="BM89" s="556"/>
      <c r="BN89" s="159"/>
      <c r="BO89" s="159"/>
      <c r="BP89" s="159"/>
      <c r="BQ89" s="159"/>
      <c r="BR89" s="570"/>
    </row>
    <row r="90" s="162" customFormat="1" ht="18.75" customHeight="1">
      <c r="A90" s="159"/>
      <c r="B90" s="159"/>
      <c r="C90" s="159"/>
      <c r="D90" s="159"/>
      <c r="E90" s="159"/>
      <c r="F90" s="159"/>
      <c r="G90" s="159"/>
      <c r="H90" s="159"/>
      <c r="I90" s="159"/>
      <c r="J90" s="542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544"/>
      <c r="AF90" s="571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545"/>
      <c r="AY90" s="545"/>
      <c r="AZ90" s="159"/>
      <c r="BA90" s="159"/>
      <c r="BB90" s="159"/>
      <c r="BC90" s="159"/>
      <c r="BD90" s="159"/>
      <c r="BE90" s="159"/>
      <c r="BF90" s="159"/>
      <c r="BG90" s="568"/>
      <c r="BH90" s="537"/>
      <c r="BI90" s="553"/>
      <c r="BJ90" s="564"/>
      <c r="BK90" s="569"/>
      <c r="BL90" s="159"/>
      <c r="BM90" s="556"/>
      <c r="BN90" s="159"/>
      <c r="BO90" s="159"/>
      <c r="BP90" s="159"/>
      <c r="BQ90" s="159"/>
      <c r="BR90" s="570"/>
    </row>
    <row r="91" s="162" customFormat="1" ht="18.75" customHeight="1">
      <c r="A91" s="159"/>
      <c r="B91" s="159"/>
      <c r="C91" s="159"/>
      <c r="D91" s="159"/>
      <c r="E91" s="159"/>
      <c r="F91" s="159"/>
      <c r="G91" s="159"/>
      <c r="H91" s="159"/>
      <c r="I91" s="159"/>
      <c r="J91" s="542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544"/>
      <c r="AF91" s="571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545"/>
      <c r="AY91" s="545"/>
      <c r="AZ91" s="159"/>
      <c r="BA91" s="159"/>
      <c r="BB91" s="159"/>
      <c r="BC91" s="159"/>
      <c r="BD91" s="159"/>
      <c r="BE91" s="159"/>
      <c r="BF91" s="159"/>
      <c r="BG91" s="568"/>
      <c r="BH91" s="537"/>
      <c r="BI91" s="553"/>
      <c r="BJ91" s="564"/>
      <c r="BK91" s="569"/>
      <c r="BL91" s="159"/>
      <c r="BM91" s="556"/>
      <c r="BN91" s="159"/>
      <c r="BO91" s="159"/>
      <c r="BP91" s="159"/>
      <c r="BQ91" s="159"/>
      <c r="BR91" s="570"/>
    </row>
    <row r="92" s="162" customFormat="1" ht="18.75" customHeight="1">
      <c r="A92" s="159"/>
      <c r="B92" s="159"/>
      <c r="C92" s="159"/>
      <c r="D92" s="159"/>
      <c r="E92" s="159"/>
      <c r="F92" s="159"/>
      <c r="G92" s="159"/>
      <c r="H92" s="159"/>
      <c r="I92" s="159"/>
      <c r="J92" s="542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544"/>
      <c r="AF92" s="571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545"/>
      <c r="AY92" s="545"/>
      <c r="AZ92" s="159"/>
      <c r="BA92" s="159"/>
      <c r="BB92" s="159"/>
      <c r="BC92" s="159"/>
      <c r="BD92" s="159"/>
      <c r="BE92" s="159"/>
      <c r="BF92" s="159"/>
      <c r="BG92" s="568"/>
      <c r="BH92" s="537"/>
      <c r="BI92" s="553"/>
      <c r="BJ92" s="564"/>
      <c r="BK92" s="569"/>
      <c r="BL92" s="159"/>
      <c r="BM92" s="556"/>
      <c r="BN92" s="159"/>
      <c r="BO92" s="159"/>
      <c r="BP92" s="159"/>
      <c r="BQ92" s="159"/>
      <c r="BR92" s="570"/>
    </row>
    <row r="93" s="162" customFormat="1" ht="18.75" customHeight="1">
      <c r="A93" s="159"/>
      <c r="B93" s="159"/>
      <c r="C93" s="159"/>
      <c r="D93" s="159"/>
      <c r="E93" s="159"/>
      <c r="F93" s="159"/>
      <c r="G93" s="159"/>
      <c r="H93" s="159"/>
      <c r="I93" s="159"/>
      <c r="J93" s="542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544"/>
      <c r="AF93" s="571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545"/>
      <c r="AY93" s="545"/>
      <c r="AZ93" s="159"/>
      <c r="BA93" s="159"/>
      <c r="BB93" s="159"/>
      <c r="BC93" s="159"/>
      <c r="BD93" s="159"/>
      <c r="BE93" s="159"/>
      <c r="BF93" s="159"/>
      <c r="BG93" s="568"/>
      <c r="BH93" s="537"/>
      <c r="BI93" s="553"/>
      <c r="BJ93" s="564"/>
      <c r="BK93" s="569"/>
      <c r="BL93" s="159"/>
      <c r="BM93" s="556"/>
      <c r="BN93" s="159"/>
      <c r="BO93" s="159"/>
      <c r="BP93" s="159"/>
      <c r="BQ93" s="159"/>
      <c r="BR93" s="570"/>
    </row>
    <row r="94" s="162" customFormat="1" ht="18.75" customHeight="1">
      <c r="A94" s="159"/>
      <c r="B94" s="159"/>
      <c r="C94" s="159"/>
      <c r="D94" s="159"/>
      <c r="E94" s="159"/>
      <c r="F94" s="159"/>
      <c r="G94" s="159"/>
      <c r="H94" s="159"/>
      <c r="I94" s="159"/>
      <c r="J94" s="542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544"/>
      <c r="AF94" s="571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545"/>
      <c r="AY94" s="545"/>
      <c r="AZ94" s="159"/>
      <c r="BA94" s="159"/>
      <c r="BB94" s="159"/>
      <c r="BC94" s="159"/>
      <c r="BD94" s="159"/>
      <c r="BE94" s="159"/>
      <c r="BF94" s="159"/>
      <c r="BG94" s="568"/>
      <c r="BH94" s="537"/>
      <c r="BI94" s="553"/>
      <c r="BJ94" s="564"/>
      <c r="BK94" s="569"/>
      <c r="BL94" s="159"/>
      <c r="BM94" s="556"/>
      <c r="BN94" s="159"/>
      <c r="BO94" s="159"/>
      <c r="BP94" s="159"/>
      <c r="BQ94" s="159"/>
      <c r="BR94" s="570"/>
    </row>
    <row r="95" s="162" customFormat="1" ht="18.75" customHeight="1">
      <c r="A95" s="159"/>
      <c r="B95" s="159"/>
      <c r="C95" s="159"/>
      <c r="D95" s="159"/>
      <c r="E95" s="159"/>
      <c r="F95" s="159"/>
      <c r="G95" s="159"/>
      <c r="H95" s="159"/>
      <c r="I95" s="159"/>
      <c r="J95" s="542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544"/>
      <c r="AF95" s="571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545"/>
      <c r="AY95" s="545"/>
      <c r="AZ95" s="159"/>
      <c r="BA95" s="159"/>
      <c r="BB95" s="159"/>
      <c r="BC95" s="159"/>
      <c r="BD95" s="159"/>
      <c r="BE95" s="159"/>
      <c r="BF95" s="159"/>
      <c r="BG95" s="568"/>
      <c r="BH95" s="537"/>
      <c r="BI95" s="553"/>
      <c r="BJ95" s="564"/>
      <c r="BK95" s="569"/>
      <c r="BL95" s="159"/>
      <c r="BM95" s="556"/>
      <c r="BN95" s="159"/>
      <c r="BO95" s="159"/>
      <c r="BP95" s="159"/>
      <c r="BQ95" s="159"/>
      <c r="BR95" s="570"/>
    </row>
    <row r="96" s="162" customFormat="1" ht="18.75" customHeight="1">
      <c r="A96" s="159"/>
      <c r="B96" s="159"/>
      <c r="C96" s="159"/>
      <c r="D96" s="159"/>
      <c r="E96" s="159"/>
      <c r="F96" s="159"/>
      <c r="G96" s="159"/>
      <c r="H96" s="159"/>
      <c r="I96" s="159"/>
      <c r="J96" s="542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544"/>
      <c r="AF96" s="571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545"/>
      <c r="AY96" s="545"/>
      <c r="AZ96" s="159"/>
      <c r="BA96" s="159"/>
      <c r="BB96" s="159"/>
      <c r="BC96" s="159"/>
      <c r="BD96" s="159"/>
      <c r="BE96" s="159"/>
      <c r="BF96" s="159"/>
      <c r="BG96" s="568"/>
      <c r="BH96" s="537"/>
      <c r="BI96" s="553"/>
      <c r="BJ96" s="564"/>
      <c r="BK96" s="569"/>
      <c r="BL96" s="159"/>
      <c r="BM96" s="556"/>
      <c r="BN96" s="159"/>
      <c r="BO96" s="159"/>
      <c r="BP96" s="159"/>
      <c r="BQ96" s="159"/>
      <c r="BR96" s="570"/>
    </row>
    <row r="97" s="162" customFormat="1" ht="18.75" customHeight="1">
      <c r="A97" s="159"/>
      <c r="B97" s="159"/>
      <c r="C97" s="159"/>
      <c r="D97" s="159"/>
      <c r="E97" s="159"/>
      <c r="F97" s="159"/>
      <c r="G97" s="159"/>
      <c r="H97" s="159"/>
      <c r="I97" s="159"/>
      <c r="J97" s="542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544"/>
      <c r="AF97" s="571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545"/>
      <c r="AY97" s="545"/>
      <c r="AZ97" s="159"/>
      <c r="BA97" s="159"/>
      <c r="BB97" s="159"/>
      <c r="BC97" s="159"/>
      <c r="BD97" s="159"/>
      <c r="BE97" s="159"/>
      <c r="BF97" s="159"/>
      <c r="BG97" s="568"/>
      <c r="BH97" s="537"/>
      <c r="BI97" s="553"/>
      <c r="BJ97" s="564"/>
      <c r="BK97" s="569"/>
      <c r="BL97" s="159"/>
      <c r="BM97" s="556"/>
      <c r="BN97" s="159"/>
      <c r="BO97" s="159"/>
      <c r="BP97" s="159"/>
      <c r="BQ97" s="159"/>
      <c r="BR97" s="570"/>
    </row>
    <row r="98" s="162" customFormat="1" ht="18.75" customHeight="1">
      <c r="A98" s="159"/>
      <c r="B98" s="159"/>
      <c r="C98" s="159"/>
      <c r="D98" s="159"/>
      <c r="E98" s="159"/>
      <c r="F98" s="159"/>
      <c r="G98" s="159"/>
      <c r="H98" s="159"/>
      <c r="I98" s="159"/>
      <c r="J98" s="542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544"/>
      <c r="AF98" s="571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545"/>
      <c r="AY98" s="545"/>
      <c r="AZ98" s="159"/>
      <c r="BA98" s="159"/>
      <c r="BB98" s="159"/>
      <c r="BC98" s="159"/>
      <c r="BD98" s="159"/>
      <c r="BE98" s="159"/>
      <c r="BF98" s="159"/>
      <c r="BG98" s="568"/>
      <c r="BH98" s="537"/>
      <c r="BI98" s="553"/>
      <c r="BJ98" s="564"/>
      <c r="BK98" s="569"/>
      <c r="BL98" s="159"/>
      <c r="BM98" s="556"/>
      <c r="BN98" s="159"/>
      <c r="BO98" s="159"/>
      <c r="BP98" s="159"/>
      <c r="BQ98" s="159"/>
      <c r="BR98" s="570"/>
    </row>
    <row r="99" s="162" customFormat="1" ht="18.75" customHeight="1">
      <c r="A99" s="159"/>
      <c r="B99" s="159"/>
      <c r="C99" s="159"/>
      <c r="D99" s="159"/>
      <c r="E99" s="159"/>
      <c r="F99" s="159"/>
      <c r="G99" s="159"/>
      <c r="H99" s="159"/>
      <c r="I99" s="159"/>
      <c r="J99" s="542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544"/>
      <c r="AF99" s="571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545"/>
      <c r="AY99" s="545"/>
      <c r="AZ99" s="159"/>
      <c r="BA99" s="159"/>
      <c r="BB99" s="159"/>
      <c r="BC99" s="159"/>
      <c r="BD99" s="159"/>
      <c r="BE99" s="159"/>
      <c r="BF99" s="159"/>
      <c r="BG99" s="568"/>
      <c r="BH99" s="537"/>
      <c r="BI99" s="553"/>
      <c r="BJ99" s="564"/>
      <c r="BK99" s="569"/>
      <c r="BL99" s="159"/>
      <c r="BM99" s="556"/>
      <c r="BN99" s="159"/>
      <c r="BO99" s="159"/>
      <c r="BP99" s="159"/>
      <c r="BQ99" s="159"/>
      <c r="BR99" s="570"/>
    </row>
    <row r="100" s="162" customFormat="1" ht="18.75" customHeight="1">
      <c r="A100" s="159"/>
      <c r="B100" s="159"/>
      <c r="C100" s="159"/>
      <c r="D100" s="159"/>
      <c r="E100" s="159"/>
      <c r="F100" s="159"/>
      <c r="G100" s="159"/>
      <c r="H100" s="159"/>
      <c r="I100" s="159"/>
      <c r="J100" s="542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544"/>
      <c r="AF100" s="571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545"/>
      <c r="AY100" s="545"/>
      <c r="AZ100" s="159"/>
      <c r="BA100" s="159"/>
      <c r="BB100" s="159"/>
      <c r="BC100" s="159"/>
      <c r="BD100" s="159"/>
      <c r="BE100" s="159"/>
      <c r="BF100" s="159"/>
      <c r="BG100" s="568"/>
      <c r="BH100" s="537"/>
      <c r="BI100" s="553"/>
      <c r="BJ100" s="564"/>
      <c r="BK100" s="569"/>
      <c r="BL100" s="159"/>
      <c r="BM100" s="556"/>
      <c r="BN100" s="159"/>
      <c r="BO100" s="159"/>
      <c r="BP100" s="159"/>
      <c r="BQ100" s="159"/>
      <c r="BR100" s="570"/>
    </row>
    <row r="101" s="162" customFormat="1" ht="18.75" customHeight="1">
      <c r="A101" s="159"/>
      <c r="B101" s="159"/>
      <c r="C101" s="159"/>
      <c r="D101" s="159"/>
      <c r="E101" s="159"/>
      <c r="F101" s="159"/>
      <c r="G101" s="159"/>
      <c r="H101" s="159"/>
      <c r="I101" s="159"/>
      <c r="J101" s="542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544"/>
      <c r="AF101" s="571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545"/>
      <c r="AY101" s="545"/>
      <c r="AZ101" s="159"/>
      <c r="BA101" s="159"/>
      <c r="BB101" s="159"/>
      <c r="BC101" s="159"/>
      <c r="BD101" s="159"/>
      <c r="BE101" s="159"/>
      <c r="BF101" s="159"/>
      <c r="BG101" s="568"/>
      <c r="BH101" s="537"/>
      <c r="BI101" s="553"/>
      <c r="BJ101" s="564"/>
      <c r="BK101" s="569"/>
      <c r="BL101" s="159"/>
      <c r="BM101" s="556"/>
      <c r="BN101" s="159"/>
      <c r="BO101" s="159"/>
      <c r="BP101" s="159"/>
      <c r="BQ101" s="159"/>
      <c r="BR101" s="570"/>
    </row>
    <row r="102" s="162" customFormat="1" ht="18.75" customHeight="1">
      <c r="A102" s="159"/>
      <c r="B102" s="159"/>
      <c r="C102" s="159"/>
      <c r="D102" s="159"/>
      <c r="E102" s="159"/>
      <c r="F102" s="159"/>
      <c r="G102" s="159"/>
      <c r="H102" s="159"/>
      <c r="I102" s="159"/>
      <c r="J102" s="542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544"/>
      <c r="AF102" s="571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545"/>
      <c r="AY102" s="545"/>
      <c r="AZ102" s="159"/>
      <c r="BA102" s="159"/>
      <c r="BB102" s="159"/>
      <c r="BC102" s="159"/>
      <c r="BD102" s="159"/>
      <c r="BE102" s="159"/>
      <c r="BF102" s="159"/>
      <c r="BG102" s="568"/>
      <c r="BH102" s="537"/>
      <c r="BI102" s="553"/>
      <c r="BJ102" s="564"/>
      <c r="BK102" s="569"/>
      <c r="BL102" s="159"/>
      <c r="BM102" s="556"/>
      <c r="BN102" s="159"/>
      <c r="BO102" s="159"/>
      <c r="BP102" s="159"/>
      <c r="BQ102" s="159"/>
      <c r="BR102" s="570"/>
    </row>
    <row r="103" s="162" customFormat="1" ht="18.75" customHeight="1">
      <c r="A103" s="159"/>
      <c r="B103" s="159"/>
      <c r="C103" s="159"/>
      <c r="D103" s="159"/>
      <c r="E103" s="159"/>
      <c r="F103" s="159"/>
      <c r="G103" s="159"/>
      <c r="H103" s="159"/>
      <c r="I103" s="159"/>
      <c r="J103" s="542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544"/>
      <c r="AF103" s="571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545"/>
      <c r="AY103" s="545"/>
      <c r="AZ103" s="159"/>
      <c r="BA103" s="159"/>
      <c r="BB103" s="159"/>
      <c r="BC103" s="159"/>
      <c r="BD103" s="159"/>
      <c r="BE103" s="159"/>
      <c r="BF103" s="159"/>
      <c r="BG103" s="568"/>
      <c r="BH103" s="537"/>
      <c r="BI103" s="553"/>
      <c r="BJ103" s="564"/>
      <c r="BK103" s="569"/>
      <c r="BL103" s="159"/>
      <c r="BM103" s="556"/>
      <c r="BN103" s="159"/>
      <c r="BO103" s="159"/>
      <c r="BP103" s="159"/>
      <c r="BQ103" s="159"/>
      <c r="BR103" s="570"/>
    </row>
    <row r="104" s="162" customFormat="1" ht="18.75" customHeight="1">
      <c r="A104" s="159"/>
      <c r="B104" s="159"/>
      <c r="C104" s="159"/>
      <c r="D104" s="159"/>
      <c r="E104" s="159"/>
      <c r="F104" s="159"/>
      <c r="G104" s="159"/>
      <c r="H104" s="159"/>
      <c r="I104" s="159"/>
      <c r="J104" s="542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544"/>
      <c r="AF104" s="571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545"/>
      <c r="AY104" s="545"/>
      <c r="AZ104" s="159"/>
      <c r="BA104" s="159"/>
      <c r="BB104" s="159"/>
      <c r="BC104" s="159"/>
      <c r="BD104" s="159"/>
      <c r="BE104" s="159"/>
      <c r="BF104" s="159"/>
      <c r="BG104" s="568"/>
      <c r="BH104" s="537"/>
      <c r="BI104" s="553"/>
      <c r="BJ104" s="564"/>
      <c r="BK104" s="569"/>
      <c r="BL104" s="159"/>
      <c r="BM104" s="556"/>
      <c r="BN104" s="159"/>
      <c r="BO104" s="159"/>
      <c r="BP104" s="159"/>
      <c r="BQ104" s="159"/>
      <c r="BR104" s="570"/>
    </row>
    <row r="105" s="162" customFormat="1" ht="18.75" customHeight="1">
      <c r="A105" s="159"/>
      <c r="B105" s="159"/>
      <c r="C105" s="159"/>
      <c r="D105" s="159"/>
      <c r="E105" s="159"/>
      <c r="F105" s="159"/>
      <c r="G105" s="159"/>
      <c r="H105" s="159"/>
      <c r="I105" s="159"/>
      <c r="J105" s="542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544"/>
      <c r="AF105" s="571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545"/>
      <c r="AY105" s="545"/>
      <c r="AZ105" s="159"/>
      <c r="BA105" s="159"/>
      <c r="BB105" s="159"/>
      <c r="BC105" s="159"/>
      <c r="BD105" s="159"/>
      <c r="BE105" s="159"/>
      <c r="BF105" s="159"/>
      <c r="BG105" s="568"/>
      <c r="BH105" s="537"/>
      <c r="BI105" s="553"/>
      <c r="BJ105" s="564"/>
      <c r="BK105" s="569"/>
      <c r="BL105" s="159"/>
      <c r="BM105" s="556"/>
      <c r="BN105" s="159"/>
      <c r="BO105" s="159"/>
      <c r="BP105" s="159"/>
      <c r="BQ105" s="159"/>
      <c r="BR105" s="570"/>
    </row>
    <row r="106" s="162" customFormat="1" ht="18.75" customHeight="1">
      <c r="A106" s="159"/>
      <c r="B106" s="159"/>
      <c r="C106" s="159"/>
      <c r="D106" s="159"/>
      <c r="E106" s="159"/>
      <c r="F106" s="159"/>
      <c r="G106" s="159"/>
      <c r="H106" s="159"/>
      <c r="I106" s="159"/>
      <c r="J106" s="542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544"/>
      <c r="AF106" s="571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545"/>
      <c r="AY106" s="545"/>
      <c r="AZ106" s="159"/>
      <c r="BA106" s="159"/>
      <c r="BB106" s="159"/>
      <c r="BC106" s="159"/>
      <c r="BD106" s="159"/>
      <c r="BE106" s="159"/>
      <c r="BF106" s="159"/>
      <c r="BG106" s="568"/>
      <c r="BH106" s="537"/>
      <c r="BI106" s="553"/>
      <c r="BJ106" s="564"/>
      <c r="BK106" s="569"/>
      <c r="BL106" s="159"/>
      <c r="BM106" s="556"/>
      <c r="BN106" s="159"/>
      <c r="BO106" s="159"/>
      <c r="BP106" s="159"/>
      <c r="BQ106" s="159"/>
      <c r="BR106" s="570"/>
    </row>
    <row r="107" s="162" customFormat="1" ht="18.75" customHeight="1">
      <c r="A107" s="159"/>
      <c r="B107" s="159"/>
      <c r="C107" s="159"/>
      <c r="D107" s="159"/>
      <c r="E107" s="159"/>
      <c r="F107" s="159"/>
      <c r="G107" s="159"/>
      <c r="H107" s="159"/>
      <c r="I107" s="159"/>
      <c r="J107" s="542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544"/>
      <c r="AF107" s="571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545"/>
      <c r="AY107" s="545"/>
      <c r="AZ107" s="159"/>
      <c r="BA107" s="159"/>
      <c r="BB107" s="159"/>
      <c r="BC107" s="159"/>
      <c r="BD107" s="159"/>
      <c r="BE107" s="159"/>
      <c r="BF107" s="159"/>
      <c r="BG107" s="568"/>
      <c r="BH107" s="537"/>
      <c r="BI107" s="553"/>
      <c r="BJ107" s="564"/>
      <c r="BK107" s="569"/>
      <c r="BL107" s="159"/>
      <c r="BM107" s="556"/>
      <c r="BN107" s="159"/>
      <c r="BO107" s="159"/>
      <c r="BP107" s="159"/>
      <c r="BQ107" s="159"/>
      <c r="BR107" s="570"/>
    </row>
    <row r="108" s="162" customFormat="1" ht="18.75" customHeight="1">
      <c r="A108" s="159"/>
      <c r="B108" s="159"/>
      <c r="C108" s="159"/>
      <c r="D108" s="159"/>
      <c r="E108" s="159"/>
      <c r="F108" s="159"/>
      <c r="G108" s="159"/>
      <c r="H108" s="159"/>
      <c r="I108" s="159"/>
      <c r="J108" s="542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544"/>
      <c r="AF108" s="571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545"/>
      <c r="AY108" s="545"/>
      <c r="AZ108" s="159"/>
      <c r="BA108" s="159"/>
      <c r="BB108" s="159"/>
      <c r="BC108" s="159"/>
      <c r="BD108" s="159"/>
      <c r="BE108" s="159"/>
      <c r="BF108" s="159"/>
      <c r="BG108" s="568"/>
      <c r="BH108" s="537"/>
      <c r="BI108" s="553"/>
      <c r="BJ108" s="564"/>
      <c r="BK108" s="569"/>
      <c r="BL108" s="159"/>
      <c r="BM108" s="556"/>
      <c r="BN108" s="159"/>
      <c r="BO108" s="159"/>
      <c r="BP108" s="159"/>
      <c r="BQ108" s="159"/>
      <c r="BR108" s="570"/>
    </row>
    <row r="109" s="162" customFormat="1" ht="18.75" customHeight="1">
      <c r="A109" s="159"/>
      <c r="B109" s="159"/>
      <c r="C109" s="159"/>
      <c r="D109" s="159"/>
      <c r="E109" s="159"/>
      <c r="F109" s="159"/>
      <c r="G109" s="159"/>
      <c r="H109" s="159"/>
      <c r="I109" s="159"/>
      <c r="J109" s="542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544"/>
      <c r="AF109" s="571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545"/>
      <c r="AY109" s="545"/>
      <c r="AZ109" s="159"/>
      <c r="BA109" s="159"/>
      <c r="BB109" s="159"/>
      <c r="BC109" s="159"/>
      <c r="BD109" s="159"/>
      <c r="BE109" s="159"/>
      <c r="BF109" s="159"/>
      <c r="BG109" s="568"/>
      <c r="BH109" s="537"/>
      <c r="BI109" s="553"/>
      <c r="BJ109" s="564"/>
      <c r="BK109" s="569"/>
      <c r="BL109" s="159"/>
      <c r="BM109" s="556"/>
      <c r="BN109" s="159"/>
      <c r="BO109" s="159"/>
      <c r="BP109" s="159"/>
      <c r="BQ109" s="159"/>
      <c r="BR109" s="570"/>
    </row>
    <row r="110" s="162" customFormat="1" ht="18.75" customHeight="1">
      <c r="A110" s="159"/>
      <c r="B110" s="159"/>
      <c r="C110" s="159"/>
      <c r="D110" s="159"/>
      <c r="E110" s="159"/>
      <c r="F110" s="159"/>
      <c r="G110" s="159"/>
      <c r="H110" s="159"/>
      <c r="I110" s="159"/>
      <c r="J110" s="542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544"/>
      <c r="AF110" s="571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545"/>
      <c r="AY110" s="545"/>
      <c r="AZ110" s="159"/>
      <c r="BA110" s="159"/>
      <c r="BB110" s="159"/>
      <c r="BC110" s="159"/>
      <c r="BD110" s="159"/>
      <c r="BE110" s="159"/>
      <c r="BF110" s="159"/>
      <c r="BG110" s="568"/>
      <c r="BH110" s="537"/>
      <c r="BI110" s="553"/>
      <c r="BJ110" s="564"/>
      <c r="BK110" s="569"/>
      <c r="BL110" s="159"/>
      <c r="BM110" s="556"/>
      <c r="BN110" s="159"/>
      <c r="BO110" s="159"/>
      <c r="BP110" s="159"/>
      <c r="BQ110" s="159"/>
      <c r="BR110" s="570"/>
    </row>
    <row r="111" s="162" customFormat="1" ht="18.75" customHeight="1">
      <c r="A111" s="159"/>
      <c r="B111" s="159"/>
      <c r="C111" s="159"/>
      <c r="D111" s="159"/>
      <c r="E111" s="159"/>
      <c r="F111" s="159"/>
      <c r="G111" s="159"/>
      <c r="H111" s="159"/>
      <c r="I111" s="159"/>
      <c r="J111" s="542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544"/>
      <c r="AF111" s="571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545"/>
      <c r="AY111" s="545"/>
      <c r="AZ111" s="159"/>
      <c r="BA111" s="159"/>
      <c r="BB111" s="159"/>
      <c r="BC111" s="159"/>
      <c r="BD111" s="159"/>
      <c r="BE111" s="159"/>
      <c r="BF111" s="159"/>
      <c r="BG111" s="568"/>
      <c r="BH111" s="537"/>
      <c r="BI111" s="553"/>
      <c r="BJ111" s="564"/>
      <c r="BK111" s="569"/>
      <c r="BL111" s="159"/>
      <c r="BM111" s="556"/>
      <c r="BN111" s="159"/>
      <c r="BO111" s="159"/>
      <c r="BP111" s="159"/>
      <c r="BQ111" s="159"/>
      <c r="BR111" s="570"/>
    </row>
    <row r="112" s="162" customFormat="1" ht="18.75" customHeight="1">
      <c r="A112" s="159"/>
      <c r="B112" s="159"/>
      <c r="C112" s="159"/>
      <c r="D112" s="159"/>
      <c r="E112" s="159"/>
      <c r="F112" s="159"/>
      <c r="G112" s="159"/>
      <c r="H112" s="159"/>
      <c r="I112" s="159"/>
      <c r="J112" s="542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544"/>
      <c r="AF112" s="571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545"/>
      <c r="AY112" s="545"/>
      <c r="AZ112" s="159"/>
      <c r="BA112" s="159"/>
      <c r="BB112" s="159"/>
      <c r="BC112" s="159"/>
      <c r="BD112" s="159"/>
      <c r="BE112" s="159"/>
      <c r="BF112" s="159"/>
      <c r="BG112" s="568"/>
      <c r="BH112" s="537"/>
      <c r="BI112" s="553"/>
      <c r="BJ112" s="564"/>
      <c r="BK112" s="569"/>
      <c r="BL112" s="159"/>
      <c r="BM112" s="556"/>
      <c r="BN112" s="159"/>
      <c r="BO112" s="159"/>
      <c r="BP112" s="159"/>
      <c r="BQ112" s="159"/>
      <c r="BR112" s="570"/>
    </row>
    <row r="113" s="162" customFormat="1" ht="18.75" customHeight="1">
      <c r="A113" s="159"/>
      <c r="B113" s="159"/>
      <c r="C113" s="159"/>
      <c r="D113" s="159"/>
      <c r="E113" s="159"/>
      <c r="F113" s="159"/>
      <c r="G113" s="159"/>
      <c r="H113" s="159"/>
      <c r="I113" s="159"/>
      <c r="J113" s="542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544"/>
      <c r="AF113" s="571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545"/>
      <c r="AY113" s="545"/>
      <c r="AZ113" s="159"/>
      <c r="BA113" s="159"/>
      <c r="BB113" s="159"/>
      <c r="BC113" s="159"/>
      <c r="BD113" s="159"/>
      <c r="BE113" s="159"/>
      <c r="BF113" s="159"/>
      <c r="BG113" s="568"/>
      <c r="BH113" s="537"/>
      <c r="BI113" s="553"/>
      <c r="BJ113" s="564"/>
      <c r="BK113" s="569"/>
      <c r="BL113" s="159"/>
      <c r="BM113" s="556"/>
      <c r="BN113" s="159"/>
      <c r="BO113" s="159"/>
      <c r="BP113" s="159"/>
      <c r="BQ113" s="159"/>
      <c r="BR113" s="570"/>
    </row>
    <row r="114" s="162" customFormat="1" ht="18.75" customHeight="1">
      <c r="A114" s="159"/>
      <c r="B114" s="159"/>
      <c r="C114" s="159"/>
      <c r="D114" s="159"/>
      <c r="E114" s="159"/>
      <c r="F114" s="159"/>
      <c r="G114" s="159"/>
      <c r="H114" s="159"/>
      <c r="I114" s="159"/>
      <c r="J114" s="542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544"/>
      <c r="AF114" s="571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545"/>
      <c r="AY114" s="545"/>
      <c r="AZ114" s="159"/>
      <c r="BA114" s="159"/>
      <c r="BB114" s="159"/>
      <c r="BC114" s="159"/>
      <c r="BD114" s="159"/>
      <c r="BE114" s="159"/>
      <c r="BF114" s="159"/>
      <c r="BG114" s="568"/>
      <c r="BH114" s="537"/>
      <c r="BI114" s="553"/>
      <c r="BJ114" s="564"/>
      <c r="BK114" s="569"/>
      <c r="BL114" s="159"/>
      <c r="BM114" s="556"/>
      <c r="BN114" s="159"/>
      <c r="BO114" s="159"/>
      <c r="BP114" s="159"/>
      <c r="BQ114" s="159"/>
      <c r="BR114" s="570"/>
    </row>
    <row r="115" s="162" customFormat="1" ht="18.75" customHeight="1">
      <c r="A115" s="159"/>
      <c r="B115" s="159"/>
      <c r="C115" s="159"/>
      <c r="D115" s="159"/>
      <c r="E115" s="159"/>
      <c r="F115" s="159"/>
      <c r="G115" s="159"/>
      <c r="H115" s="159"/>
      <c r="I115" s="159"/>
      <c r="J115" s="542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544"/>
      <c r="AF115" s="571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545"/>
      <c r="AY115" s="545"/>
      <c r="AZ115" s="159"/>
      <c r="BA115" s="159"/>
      <c r="BB115" s="159"/>
      <c r="BC115" s="159"/>
      <c r="BD115" s="159"/>
      <c r="BE115" s="159"/>
      <c r="BF115" s="159"/>
      <c r="BG115" s="568"/>
      <c r="BH115" s="537"/>
      <c r="BI115" s="553"/>
      <c r="BJ115" s="564"/>
      <c r="BK115" s="569"/>
      <c r="BL115" s="159"/>
      <c r="BM115" s="556"/>
      <c r="BN115" s="159"/>
      <c r="BO115" s="159"/>
      <c r="BP115" s="159"/>
      <c r="BQ115" s="159"/>
      <c r="BR115" s="570"/>
    </row>
    <row r="116" s="162" customFormat="1" ht="18.75" customHeight="1">
      <c r="A116" s="159"/>
      <c r="B116" s="159"/>
      <c r="C116" s="159"/>
      <c r="D116" s="159"/>
      <c r="E116" s="159"/>
      <c r="F116" s="159"/>
      <c r="G116" s="159"/>
      <c r="H116" s="159"/>
      <c r="I116" s="159"/>
      <c r="J116" s="542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544"/>
      <c r="AF116" s="571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545"/>
      <c r="AY116" s="545"/>
      <c r="AZ116" s="159"/>
      <c r="BA116" s="159"/>
      <c r="BB116" s="159"/>
      <c r="BC116" s="159"/>
      <c r="BD116" s="159"/>
      <c r="BE116" s="159"/>
      <c r="BF116" s="159"/>
      <c r="BG116" s="568"/>
      <c r="BH116" s="537"/>
      <c r="BI116" s="553"/>
      <c r="BJ116" s="564"/>
      <c r="BK116" s="569"/>
      <c r="BL116" s="159"/>
      <c r="BM116" s="556"/>
      <c r="BN116" s="159"/>
      <c r="BO116" s="159"/>
      <c r="BP116" s="159"/>
      <c r="BQ116" s="159"/>
      <c r="BR116" s="570"/>
    </row>
    <row r="117" s="162" customFormat="1" ht="18.75" customHeight="1">
      <c r="A117" s="159"/>
      <c r="B117" s="159"/>
      <c r="C117" s="159"/>
      <c r="D117" s="159"/>
      <c r="E117" s="159"/>
      <c r="F117" s="159"/>
      <c r="G117" s="159"/>
      <c r="H117" s="159"/>
      <c r="I117" s="159"/>
      <c r="J117" s="542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544"/>
      <c r="AF117" s="571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545"/>
      <c r="AY117" s="545"/>
      <c r="AZ117" s="159"/>
      <c r="BA117" s="159"/>
      <c r="BB117" s="159"/>
      <c r="BC117" s="159"/>
      <c r="BD117" s="159"/>
      <c r="BE117" s="159"/>
      <c r="BF117" s="159"/>
      <c r="BG117" s="568"/>
      <c r="BH117" s="537"/>
      <c r="BI117" s="553"/>
      <c r="BJ117" s="564"/>
      <c r="BK117" s="569"/>
      <c r="BL117" s="159"/>
      <c r="BM117" s="556"/>
      <c r="BN117" s="159"/>
      <c r="BO117" s="159"/>
      <c r="BP117" s="159"/>
      <c r="BQ117" s="159"/>
      <c r="BR117" s="570"/>
    </row>
    <row r="118" s="162" customFormat="1" ht="18.75" customHeight="1">
      <c r="A118" s="159"/>
      <c r="B118" s="159"/>
      <c r="C118" s="159"/>
      <c r="D118" s="159"/>
      <c r="E118" s="159"/>
      <c r="F118" s="159"/>
      <c r="G118" s="159"/>
      <c r="H118" s="159"/>
      <c r="I118" s="159"/>
      <c r="J118" s="542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544"/>
      <c r="AF118" s="571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545"/>
      <c r="AY118" s="545"/>
      <c r="AZ118" s="159"/>
      <c r="BA118" s="159"/>
      <c r="BB118" s="159"/>
      <c r="BC118" s="159"/>
      <c r="BD118" s="159"/>
      <c r="BE118" s="159"/>
      <c r="BF118" s="159"/>
      <c r="BG118" s="568"/>
      <c r="BH118" s="537"/>
      <c r="BI118" s="553"/>
      <c r="BJ118" s="564"/>
      <c r="BK118" s="569"/>
      <c r="BL118" s="159"/>
      <c r="BM118" s="556"/>
      <c r="BN118" s="159"/>
      <c r="BO118" s="159"/>
      <c r="BP118" s="159"/>
      <c r="BQ118" s="159"/>
      <c r="BR118" s="570"/>
    </row>
    <row r="119" s="162" customFormat="1" ht="18.75" customHeight="1">
      <c r="A119" s="159"/>
      <c r="B119" s="159"/>
      <c r="C119" s="159"/>
      <c r="D119" s="159"/>
      <c r="E119" s="159"/>
      <c r="F119" s="159"/>
      <c r="G119" s="159"/>
      <c r="H119" s="159"/>
      <c r="I119" s="159"/>
      <c r="J119" s="542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544"/>
      <c r="AF119" s="571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545"/>
      <c r="AY119" s="545"/>
      <c r="AZ119" s="159"/>
      <c r="BA119" s="159"/>
      <c r="BB119" s="159"/>
      <c r="BC119" s="159"/>
      <c r="BD119" s="159"/>
      <c r="BE119" s="159"/>
      <c r="BF119" s="159"/>
      <c r="BG119" s="568"/>
      <c r="BH119" s="537"/>
      <c r="BI119" s="553"/>
      <c r="BJ119" s="564"/>
      <c r="BK119" s="569"/>
      <c r="BL119" s="159"/>
      <c r="BM119" s="556"/>
      <c r="BN119" s="159"/>
      <c r="BO119" s="159"/>
      <c r="BP119" s="159"/>
      <c r="BQ119" s="159"/>
      <c r="BR119" s="570"/>
    </row>
    <row r="120" s="162" customFormat="1" ht="18.75" customHeight="1">
      <c r="A120" s="159"/>
      <c r="B120" s="159"/>
      <c r="C120" s="159"/>
      <c r="D120" s="159"/>
      <c r="E120" s="159"/>
      <c r="F120" s="159"/>
      <c r="G120" s="159"/>
      <c r="H120" s="159"/>
      <c r="I120" s="159"/>
      <c r="J120" s="542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544"/>
      <c r="AF120" s="571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545"/>
      <c r="AY120" s="545"/>
      <c r="AZ120" s="159"/>
      <c r="BA120" s="159"/>
      <c r="BB120" s="159"/>
      <c r="BC120" s="159"/>
      <c r="BD120" s="159"/>
      <c r="BE120" s="159"/>
      <c r="BF120" s="159"/>
      <c r="BG120" s="568"/>
      <c r="BH120" s="537"/>
      <c r="BI120" s="553"/>
      <c r="BJ120" s="564"/>
      <c r="BK120" s="569"/>
      <c r="BL120" s="159"/>
      <c r="BM120" s="556"/>
      <c r="BN120" s="159"/>
      <c r="BO120" s="159"/>
      <c r="BP120" s="159"/>
      <c r="BQ120" s="159"/>
      <c r="BR120" s="570"/>
    </row>
    <row r="121" s="162" customFormat="1" ht="18.75" customHeight="1">
      <c r="A121" s="159"/>
      <c r="B121" s="159"/>
      <c r="C121" s="159"/>
      <c r="D121" s="159"/>
      <c r="E121" s="159"/>
      <c r="F121" s="159"/>
      <c r="G121" s="159"/>
      <c r="H121" s="159"/>
      <c r="I121" s="159"/>
      <c r="J121" s="542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544"/>
      <c r="AF121" s="571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545"/>
      <c r="AY121" s="545"/>
      <c r="AZ121" s="159"/>
      <c r="BA121" s="159"/>
      <c r="BB121" s="159"/>
      <c r="BC121" s="159"/>
      <c r="BD121" s="159"/>
      <c r="BE121" s="159"/>
      <c r="BF121" s="159"/>
      <c r="BG121" s="568"/>
      <c r="BH121" s="537"/>
      <c r="BI121" s="553"/>
      <c r="BJ121" s="564"/>
      <c r="BK121" s="569"/>
      <c r="BL121" s="159"/>
      <c r="BM121" s="556"/>
      <c r="BN121" s="159"/>
      <c r="BO121" s="159"/>
      <c r="BP121" s="159"/>
      <c r="BQ121" s="159"/>
      <c r="BR121" s="570"/>
    </row>
    <row r="122" s="162" customFormat="1" ht="18.75" customHeight="1">
      <c r="A122" s="159"/>
      <c r="B122" s="159"/>
      <c r="C122" s="159"/>
      <c r="D122" s="159"/>
      <c r="E122" s="159"/>
      <c r="F122" s="159"/>
      <c r="G122" s="159"/>
      <c r="H122" s="159"/>
      <c r="I122" s="159"/>
      <c r="J122" s="542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544"/>
      <c r="AF122" s="571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545"/>
      <c r="AY122" s="545"/>
      <c r="AZ122" s="159"/>
      <c r="BA122" s="159"/>
      <c r="BB122" s="159"/>
      <c r="BC122" s="159"/>
      <c r="BD122" s="159"/>
      <c r="BE122" s="159"/>
      <c r="BF122" s="159"/>
      <c r="BG122" s="568"/>
      <c r="BH122" s="537"/>
      <c r="BI122" s="553"/>
      <c r="BJ122" s="564"/>
      <c r="BK122" s="569"/>
      <c r="BL122" s="159"/>
      <c r="BM122" s="556"/>
      <c r="BN122" s="159"/>
      <c r="BO122" s="159"/>
      <c r="BP122" s="159"/>
      <c r="BQ122" s="159"/>
      <c r="BR122" s="570"/>
    </row>
    <row r="123" s="162" customFormat="1" ht="18.75" customHeight="1">
      <c r="A123" s="159"/>
      <c r="B123" s="159"/>
      <c r="C123" s="159"/>
      <c r="D123" s="159"/>
      <c r="E123" s="159"/>
      <c r="F123" s="159"/>
      <c r="G123" s="159"/>
      <c r="H123" s="159"/>
      <c r="I123" s="159"/>
      <c r="J123" s="542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544"/>
      <c r="AF123" s="571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545"/>
      <c r="AY123" s="545"/>
      <c r="AZ123" s="159"/>
      <c r="BA123" s="159"/>
      <c r="BB123" s="159"/>
      <c r="BC123" s="159"/>
      <c r="BD123" s="159"/>
      <c r="BE123" s="159"/>
      <c r="BF123" s="159"/>
      <c r="BG123" s="568"/>
      <c r="BH123" s="537"/>
      <c r="BI123" s="553"/>
      <c r="BJ123" s="564"/>
      <c r="BK123" s="569"/>
      <c r="BL123" s="159"/>
      <c r="BM123" s="556"/>
      <c r="BN123" s="159"/>
      <c r="BO123" s="159"/>
      <c r="BP123" s="159"/>
      <c r="BQ123" s="159"/>
      <c r="BR123" s="570"/>
    </row>
    <row r="124" s="162" customFormat="1" ht="18.75" customHeight="1">
      <c r="A124" s="159"/>
      <c r="B124" s="159"/>
      <c r="C124" s="159"/>
      <c r="D124" s="159"/>
      <c r="E124" s="159"/>
      <c r="F124" s="159"/>
      <c r="G124" s="159"/>
      <c r="H124" s="159"/>
      <c r="I124" s="159"/>
      <c r="J124" s="542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544"/>
      <c r="AF124" s="571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545"/>
      <c r="AY124" s="545"/>
      <c r="AZ124" s="159"/>
      <c r="BA124" s="159"/>
      <c r="BB124" s="159"/>
      <c r="BC124" s="159"/>
      <c r="BD124" s="159"/>
      <c r="BE124" s="159"/>
      <c r="BF124" s="159"/>
      <c r="BG124" s="568"/>
      <c r="BH124" s="537"/>
      <c r="BI124" s="553"/>
      <c r="BJ124" s="564"/>
      <c r="BK124" s="569"/>
      <c r="BL124" s="159"/>
      <c r="BM124" s="556"/>
      <c r="BN124" s="159"/>
      <c r="BO124" s="159"/>
      <c r="BP124" s="159"/>
      <c r="BQ124" s="159"/>
      <c r="BR124" s="570"/>
    </row>
    <row r="125" s="162" customFormat="1" ht="18.75" customHeight="1">
      <c r="A125" s="159"/>
      <c r="B125" s="159"/>
      <c r="C125" s="159"/>
      <c r="D125" s="159"/>
      <c r="E125" s="159"/>
      <c r="F125" s="159"/>
      <c r="G125" s="159"/>
      <c r="H125" s="159"/>
      <c r="I125" s="159"/>
      <c r="J125" s="542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544"/>
      <c r="AF125" s="571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545"/>
      <c r="AY125" s="545"/>
      <c r="AZ125" s="159"/>
      <c r="BA125" s="159"/>
      <c r="BB125" s="159"/>
      <c r="BC125" s="159"/>
      <c r="BD125" s="159"/>
      <c r="BE125" s="159"/>
      <c r="BF125" s="159"/>
      <c r="BG125" s="568"/>
      <c r="BH125" s="537"/>
      <c r="BI125" s="553"/>
      <c r="BJ125" s="564"/>
      <c r="BK125" s="569"/>
      <c r="BL125" s="159"/>
      <c r="BM125" s="556"/>
      <c r="BN125" s="159"/>
      <c r="BO125" s="159"/>
      <c r="BP125" s="159"/>
      <c r="BQ125" s="159"/>
      <c r="BR125" s="570"/>
    </row>
    <row r="126" s="162" customFormat="1" ht="18.75" customHeight="1">
      <c r="A126" s="159"/>
      <c r="B126" s="159"/>
      <c r="C126" s="159"/>
      <c r="D126" s="159"/>
      <c r="E126" s="159"/>
      <c r="F126" s="159"/>
      <c r="G126" s="159"/>
      <c r="H126" s="159"/>
      <c r="I126" s="159"/>
      <c r="J126" s="542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544"/>
      <c r="AF126" s="571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545"/>
      <c r="AY126" s="545"/>
      <c r="AZ126" s="159"/>
      <c r="BA126" s="159"/>
      <c r="BB126" s="159"/>
      <c r="BC126" s="159"/>
      <c r="BD126" s="159"/>
      <c r="BE126" s="159"/>
      <c r="BF126" s="159"/>
      <c r="BG126" s="568"/>
      <c r="BH126" s="537"/>
      <c r="BI126" s="553"/>
      <c r="BJ126" s="564"/>
      <c r="BK126" s="569"/>
      <c r="BL126" s="159"/>
      <c r="BM126" s="556"/>
      <c r="BN126" s="159"/>
      <c r="BO126" s="159"/>
      <c r="BP126" s="159"/>
      <c r="BQ126" s="159"/>
      <c r="BR126" s="570"/>
    </row>
    <row r="127" s="162" customFormat="1" ht="18.75" customHeight="1">
      <c r="A127" s="159"/>
      <c r="B127" s="159"/>
      <c r="C127" s="159"/>
      <c r="D127" s="159"/>
      <c r="E127" s="159"/>
      <c r="F127" s="159"/>
      <c r="G127" s="159"/>
      <c r="H127" s="159"/>
      <c r="I127" s="159"/>
      <c r="J127" s="542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544"/>
      <c r="AF127" s="571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545"/>
      <c r="AY127" s="545"/>
      <c r="AZ127" s="159"/>
      <c r="BA127" s="159"/>
      <c r="BB127" s="159"/>
      <c r="BC127" s="159"/>
      <c r="BD127" s="159"/>
      <c r="BE127" s="159"/>
      <c r="BF127" s="159"/>
      <c r="BG127" s="568"/>
      <c r="BH127" s="537"/>
      <c r="BI127" s="553"/>
      <c r="BJ127" s="564"/>
      <c r="BK127" s="569"/>
      <c r="BL127" s="159"/>
      <c r="BM127" s="556"/>
      <c r="BN127" s="159"/>
      <c r="BO127" s="159"/>
      <c r="BP127" s="159"/>
      <c r="BQ127" s="159"/>
      <c r="BR127" s="570"/>
    </row>
    <row r="128" s="162" customFormat="1" ht="18.75" customHeight="1">
      <c r="A128" s="159"/>
      <c r="B128" s="159"/>
      <c r="C128" s="159"/>
      <c r="D128" s="159"/>
      <c r="E128" s="159"/>
      <c r="F128" s="159"/>
      <c r="G128" s="159"/>
      <c r="H128" s="159"/>
      <c r="I128" s="159"/>
      <c r="J128" s="542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544"/>
      <c r="AF128" s="571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545"/>
      <c r="AY128" s="545"/>
      <c r="AZ128" s="159"/>
      <c r="BA128" s="159"/>
      <c r="BB128" s="159"/>
      <c r="BC128" s="159"/>
      <c r="BD128" s="159"/>
      <c r="BE128" s="159"/>
      <c r="BF128" s="159"/>
      <c r="BG128" s="568"/>
      <c r="BH128" s="537"/>
      <c r="BI128" s="553"/>
      <c r="BJ128" s="564"/>
      <c r="BK128" s="569"/>
      <c r="BL128" s="159"/>
      <c r="BM128" s="556"/>
      <c r="BN128" s="159"/>
      <c r="BO128" s="159"/>
      <c r="BP128" s="159"/>
      <c r="BQ128" s="159"/>
      <c r="BR128" s="570"/>
    </row>
    <row r="129" s="162" customFormat="1" ht="18.75" customHeight="1">
      <c r="A129" s="159"/>
      <c r="B129" s="159"/>
      <c r="C129" s="159"/>
      <c r="D129" s="159"/>
      <c r="E129" s="159"/>
      <c r="F129" s="159"/>
      <c r="G129" s="159"/>
      <c r="H129" s="159"/>
      <c r="I129" s="159"/>
      <c r="J129" s="542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544"/>
      <c r="AF129" s="571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545"/>
      <c r="AY129" s="545"/>
      <c r="AZ129" s="159"/>
      <c r="BA129" s="159"/>
      <c r="BB129" s="159"/>
      <c r="BC129" s="159"/>
      <c r="BD129" s="159"/>
      <c r="BE129" s="159"/>
      <c r="BF129" s="159"/>
      <c r="BG129" s="568"/>
      <c r="BH129" s="537"/>
      <c r="BI129" s="553"/>
      <c r="BJ129" s="564"/>
      <c r="BK129" s="569"/>
      <c r="BL129" s="159"/>
      <c r="BM129" s="556"/>
      <c r="BN129" s="159"/>
      <c r="BO129" s="159"/>
      <c r="BP129" s="159"/>
      <c r="BQ129" s="159"/>
      <c r="BR129" s="570"/>
    </row>
    <row r="130" s="162" customFormat="1" ht="18.75" customHeight="1">
      <c r="A130" s="159"/>
      <c r="B130" s="159"/>
      <c r="C130" s="159"/>
      <c r="D130" s="159"/>
      <c r="E130" s="159"/>
      <c r="F130" s="159"/>
      <c r="G130" s="159"/>
      <c r="H130" s="159"/>
      <c r="I130" s="159"/>
      <c r="J130" s="542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544"/>
      <c r="AF130" s="571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545"/>
      <c r="AY130" s="545"/>
      <c r="AZ130" s="159"/>
      <c r="BA130" s="159"/>
      <c r="BB130" s="159"/>
      <c r="BC130" s="159"/>
      <c r="BD130" s="159"/>
      <c r="BE130" s="159"/>
      <c r="BF130" s="159"/>
      <c r="BG130" s="568"/>
      <c r="BH130" s="537"/>
      <c r="BI130" s="553"/>
      <c r="BJ130" s="564"/>
      <c r="BK130" s="569"/>
      <c r="BL130" s="159"/>
      <c r="BM130" s="556"/>
      <c r="BN130" s="159"/>
      <c r="BO130" s="159"/>
      <c r="BP130" s="159"/>
      <c r="BQ130" s="159"/>
      <c r="BR130" s="570"/>
    </row>
    <row r="131" s="162" customFormat="1" ht="18.75" customHeight="1">
      <c r="A131" s="159"/>
      <c r="B131" s="159"/>
      <c r="C131" s="159"/>
      <c r="D131" s="159"/>
      <c r="E131" s="159"/>
      <c r="F131" s="159"/>
      <c r="G131" s="159"/>
      <c r="H131" s="159"/>
      <c r="I131" s="159"/>
      <c r="J131" s="542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544"/>
      <c r="AF131" s="571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545"/>
      <c r="AY131" s="545"/>
      <c r="AZ131" s="159"/>
      <c r="BA131" s="159"/>
      <c r="BB131" s="159"/>
      <c r="BC131" s="159"/>
      <c r="BD131" s="159"/>
      <c r="BE131" s="159"/>
      <c r="BF131" s="159"/>
      <c r="BG131" s="568"/>
      <c r="BH131" s="537"/>
      <c r="BI131" s="553"/>
      <c r="BJ131" s="564"/>
      <c r="BK131" s="569"/>
      <c r="BL131" s="159"/>
      <c r="BM131" s="556"/>
      <c r="BN131" s="159"/>
      <c r="BO131" s="159"/>
      <c r="BP131" s="159"/>
      <c r="BQ131" s="159"/>
      <c r="BR131" s="570"/>
    </row>
    <row r="132" s="162" customFormat="1" ht="18.75" customHeight="1">
      <c r="A132" s="159"/>
      <c r="B132" s="159"/>
      <c r="C132" s="159"/>
      <c r="D132" s="159"/>
      <c r="E132" s="159"/>
      <c r="F132" s="159"/>
      <c r="G132" s="159"/>
      <c r="H132" s="159"/>
      <c r="I132" s="159"/>
      <c r="J132" s="542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544"/>
      <c r="AF132" s="571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545"/>
      <c r="AY132" s="545"/>
      <c r="AZ132" s="159"/>
      <c r="BA132" s="159"/>
      <c r="BB132" s="159"/>
      <c r="BC132" s="159"/>
      <c r="BD132" s="159"/>
      <c r="BE132" s="159"/>
      <c r="BF132" s="159"/>
      <c r="BG132" s="568"/>
      <c r="BH132" s="537"/>
      <c r="BI132" s="553"/>
      <c r="BJ132" s="564"/>
      <c r="BK132" s="569"/>
      <c r="BL132" s="159"/>
      <c r="BM132" s="556"/>
      <c r="BN132" s="159"/>
      <c r="BO132" s="159"/>
      <c r="BP132" s="159"/>
      <c r="BQ132" s="159"/>
      <c r="BR132" s="570"/>
    </row>
    <row r="133" s="162" customFormat="1" ht="18.75" customHeight="1">
      <c r="A133" s="159"/>
      <c r="B133" s="159"/>
      <c r="C133" s="159"/>
      <c r="D133" s="159"/>
      <c r="E133" s="159"/>
      <c r="F133" s="159"/>
      <c r="G133" s="159"/>
      <c r="H133" s="159"/>
      <c r="I133" s="159"/>
      <c r="J133" s="542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544"/>
      <c r="AF133" s="571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545"/>
      <c r="AY133" s="545"/>
      <c r="AZ133" s="159"/>
      <c r="BA133" s="159"/>
      <c r="BB133" s="159"/>
      <c r="BC133" s="159"/>
      <c r="BD133" s="159"/>
      <c r="BE133" s="159"/>
      <c r="BF133" s="159"/>
      <c r="BG133" s="568"/>
      <c r="BH133" s="537"/>
      <c r="BI133" s="553"/>
      <c r="BJ133" s="564"/>
      <c r="BK133" s="569"/>
      <c r="BL133" s="159"/>
      <c r="BM133" s="556"/>
      <c r="BN133" s="159"/>
      <c r="BO133" s="159"/>
      <c r="BP133" s="159"/>
      <c r="BQ133" s="159"/>
      <c r="BR133" s="570"/>
    </row>
    <row r="134" s="162" customFormat="1" ht="18.75" customHeight="1">
      <c r="A134" s="159"/>
      <c r="B134" s="159"/>
      <c r="C134" s="159"/>
      <c r="D134" s="159"/>
      <c r="E134" s="159"/>
      <c r="F134" s="159"/>
      <c r="G134" s="159"/>
      <c r="H134" s="159"/>
      <c r="I134" s="159"/>
      <c r="J134" s="542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544"/>
      <c r="AF134" s="571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545"/>
      <c r="AY134" s="545"/>
      <c r="AZ134" s="159"/>
      <c r="BA134" s="159"/>
      <c r="BB134" s="159"/>
      <c r="BC134" s="159"/>
      <c r="BD134" s="159"/>
      <c r="BE134" s="159"/>
      <c r="BF134" s="159"/>
      <c r="BG134" s="568"/>
      <c r="BH134" s="537"/>
      <c r="BI134" s="553"/>
      <c r="BJ134" s="564"/>
      <c r="BK134" s="569"/>
      <c r="BL134" s="159"/>
      <c r="BM134" s="556"/>
      <c r="BN134" s="159"/>
      <c r="BO134" s="159"/>
      <c r="BP134" s="159"/>
      <c r="BQ134" s="159"/>
      <c r="BR134" s="570"/>
    </row>
    <row r="135" s="162" customFormat="1" ht="18.75" customHeight="1">
      <c r="A135" s="159"/>
      <c r="B135" s="159"/>
      <c r="C135" s="159"/>
      <c r="D135" s="159"/>
      <c r="E135" s="159"/>
      <c r="F135" s="159"/>
      <c r="G135" s="159"/>
      <c r="H135" s="159"/>
      <c r="I135" s="159"/>
      <c r="J135" s="542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544"/>
      <c r="AF135" s="571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545"/>
      <c r="AY135" s="545"/>
      <c r="AZ135" s="159"/>
      <c r="BA135" s="159"/>
      <c r="BB135" s="159"/>
      <c r="BC135" s="159"/>
      <c r="BD135" s="159"/>
      <c r="BE135" s="159"/>
      <c r="BF135" s="159"/>
      <c r="BG135" s="568"/>
      <c r="BH135" s="537"/>
      <c r="BI135" s="553"/>
      <c r="BJ135" s="564"/>
      <c r="BK135" s="569"/>
      <c r="BL135" s="159"/>
      <c r="BM135" s="556"/>
      <c r="BN135" s="159"/>
      <c r="BO135" s="159"/>
      <c r="BP135" s="159"/>
      <c r="BQ135" s="159"/>
      <c r="BR135" s="570"/>
    </row>
    <row r="136" s="162" customFormat="1" ht="18.75" customHeight="1">
      <c r="A136" s="159"/>
      <c r="B136" s="159"/>
      <c r="C136" s="159"/>
      <c r="D136" s="159"/>
      <c r="E136" s="159"/>
      <c r="F136" s="159"/>
      <c r="G136" s="159"/>
      <c r="H136" s="159"/>
      <c r="I136" s="159"/>
      <c r="J136" s="542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544"/>
      <c r="AF136" s="571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545"/>
      <c r="AY136" s="545"/>
      <c r="AZ136" s="159"/>
      <c r="BA136" s="159"/>
      <c r="BB136" s="159"/>
      <c r="BC136" s="159"/>
      <c r="BD136" s="159"/>
      <c r="BE136" s="159"/>
      <c r="BF136" s="159"/>
      <c r="BG136" s="568"/>
      <c r="BH136" s="537"/>
      <c r="BI136" s="553"/>
      <c r="BJ136" s="564"/>
      <c r="BK136" s="569"/>
      <c r="BL136" s="159"/>
      <c r="BM136" s="556"/>
      <c r="BN136" s="159"/>
      <c r="BO136" s="159"/>
      <c r="BP136" s="159"/>
      <c r="BQ136" s="159"/>
      <c r="BR136" s="570"/>
    </row>
    <row r="137" s="162" customFormat="1" ht="18.75" customHeight="1">
      <c r="A137" s="159"/>
      <c r="B137" s="159"/>
      <c r="C137" s="159"/>
      <c r="D137" s="159"/>
      <c r="E137" s="159"/>
      <c r="F137" s="159"/>
      <c r="G137" s="159"/>
      <c r="H137" s="159"/>
      <c r="I137" s="159"/>
      <c r="J137" s="542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544"/>
      <c r="AF137" s="571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545"/>
      <c r="AY137" s="545"/>
      <c r="AZ137" s="159"/>
      <c r="BA137" s="159"/>
      <c r="BB137" s="159"/>
      <c r="BC137" s="159"/>
      <c r="BD137" s="159"/>
      <c r="BE137" s="159"/>
      <c r="BF137" s="159"/>
      <c r="BG137" s="568"/>
      <c r="BH137" s="537"/>
      <c r="BI137" s="553"/>
      <c r="BJ137" s="564"/>
      <c r="BK137" s="569"/>
      <c r="BL137" s="159"/>
      <c r="BM137" s="556"/>
      <c r="BN137" s="159"/>
      <c r="BO137" s="159"/>
      <c r="BP137" s="159"/>
      <c r="BQ137" s="159"/>
      <c r="BR137" s="570"/>
    </row>
    <row r="138" s="162" customFormat="1" ht="18.75" customHeight="1">
      <c r="A138" s="159"/>
      <c r="B138" s="159"/>
      <c r="C138" s="159"/>
      <c r="D138" s="159"/>
      <c r="E138" s="159"/>
      <c r="F138" s="159"/>
      <c r="G138" s="159"/>
      <c r="H138" s="159"/>
      <c r="I138" s="159"/>
      <c r="J138" s="542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544"/>
      <c r="AF138" s="571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545"/>
      <c r="AY138" s="545"/>
      <c r="AZ138" s="159"/>
      <c r="BA138" s="159"/>
      <c r="BB138" s="159"/>
      <c r="BC138" s="159"/>
      <c r="BD138" s="159"/>
      <c r="BE138" s="159"/>
      <c r="BF138" s="159"/>
      <c r="BG138" s="568"/>
      <c r="BH138" s="537"/>
      <c r="BI138" s="553"/>
      <c r="BJ138" s="564"/>
      <c r="BK138" s="569"/>
      <c r="BL138" s="159"/>
      <c r="BM138" s="556"/>
      <c r="BN138" s="159"/>
      <c r="BO138" s="159"/>
      <c r="BP138" s="159"/>
      <c r="BQ138" s="159"/>
      <c r="BR138" s="570"/>
    </row>
    <row r="139" s="162" customFormat="1" ht="18.75" customHeight="1">
      <c r="A139" s="159"/>
      <c r="B139" s="159"/>
      <c r="C139" s="159"/>
      <c r="D139" s="159"/>
      <c r="E139" s="159"/>
      <c r="F139" s="159"/>
      <c r="G139" s="159"/>
      <c r="H139" s="159"/>
      <c r="I139" s="159"/>
      <c r="J139" s="542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544"/>
      <c r="AF139" s="571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545"/>
      <c r="AY139" s="545"/>
      <c r="AZ139" s="159"/>
      <c r="BA139" s="159"/>
      <c r="BB139" s="159"/>
      <c r="BC139" s="159"/>
      <c r="BD139" s="159"/>
      <c r="BE139" s="159"/>
      <c r="BF139" s="159"/>
      <c r="BG139" s="568"/>
      <c r="BH139" s="537"/>
      <c r="BI139" s="553"/>
      <c r="BJ139" s="564"/>
      <c r="BK139" s="569"/>
      <c r="BL139" s="159"/>
      <c r="BM139" s="556"/>
      <c r="BN139" s="159"/>
      <c r="BO139" s="159"/>
      <c r="BP139" s="159"/>
      <c r="BQ139" s="159"/>
      <c r="BR139" s="570"/>
    </row>
    <row r="140" s="162" customFormat="1" ht="18.75" customHeight="1">
      <c r="A140" s="159"/>
      <c r="B140" s="159"/>
      <c r="C140" s="159"/>
      <c r="D140" s="159"/>
      <c r="E140" s="159"/>
      <c r="F140" s="159"/>
      <c r="G140" s="159"/>
      <c r="H140" s="159"/>
      <c r="I140" s="159"/>
      <c r="J140" s="542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544"/>
      <c r="AF140" s="571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545"/>
      <c r="AY140" s="545"/>
      <c r="AZ140" s="159"/>
      <c r="BA140" s="159"/>
      <c r="BB140" s="159"/>
      <c r="BC140" s="159"/>
      <c r="BD140" s="159"/>
      <c r="BE140" s="159"/>
      <c r="BF140" s="159"/>
      <c r="BG140" s="568"/>
      <c r="BH140" s="537"/>
      <c r="BI140" s="553"/>
      <c r="BJ140" s="564"/>
      <c r="BK140" s="569"/>
      <c r="BL140" s="159"/>
      <c r="BM140" s="556"/>
      <c r="BN140" s="159"/>
      <c r="BO140" s="159"/>
      <c r="BP140" s="159"/>
      <c r="BQ140" s="159"/>
      <c r="BR140" s="570"/>
    </row>
    <row r="141" s="162" customFormat="1" ht="18.75" customHeight="1">
      <c r="A141" s="159"/>
      <c r="B141" s="159"/>
      <c r="C141" s="159"/>
      <c r="D141" s="159"/>
      <c r="E141" s="159"/>
      <c r="F141" s="159"/>
      <c r="G141" s="159"/>
      <c r="H141" s="159"/>
      <c r="I141" s="159"/>
      <c r="J141" s="542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544"/>
      <c r="AF141" s="571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545"/>
      <c r="AY141" s="545"/>
      <c r="AZ141" s="159"/>
      <c r="BA141" s="159"/>
      <c r="BB141" s="159"/>
      <c r="BC141" s="159"/>
      <c r="BD141" s="159"/>
      <c r="BE141" s="159"/>
      <c r="BF141" s="159"/>
      <c r="BG141" s="568"/>
      <c r="BH141" s="537"/>
      <c r="BI141" s="553"/>
      <c r="BJ141" s="564"/>
      <c r="BK141" s="569"/>
      <c r="BL141" s="159"/>
      <c r="BM141" s="556"/>
      <c r="BN141" s="159"/>
      <c r="BO141" s="159"/>
      <c r="BP141" s="159"/>
      <c r="BQ141" s="159"/>
      <c r="BR141" s="570"/>
    </row>
    <row r="142" s="162" customFormat="1" ht="18.75" customHeight="1">
      <c r="A142" s="159"/>
      <c r="B142" s="159"/>
      <c r="C142" s="159"/>
      <c r="D142" s="159"/>
      <c r="E142" s="159"/>
      <c r="F142" s="159"/>
      <c r="G142" s="159"/>
      <c r="H142" s="159"/>
      <c r="I142" s="159"/>
      <c r="J142" s="542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544"/>
      <c r="AF142" s="571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545"/>
      <c r="AY142" s="545"/>
      <c r="AZ142" s="159"/>
      <c r="BA142" s="159"/>
      <c r="BB142" s="159"/>
      <c r="BC142" s="159"/>
      <c r="BD142" s="159"/>
      <c r="BE142" s="159"/>
      <c r="BF142" s="159"/>
      <c r="BG142" s="568"/>
      <c r="BH142" s="537"/>
      <c r="BI142" s="553"/>
      <c r="BJ142" s="564"/>
      <c r="BK142" s="569"/>
      <c r="BL142" s="159"/>
      <c r="BM142" s="556"/>
      <c r="BN142" s="159"/>
      <c r="BO142" s="159"/>
      <c r="BP142" s="159"/>
      <c r="BQ142" s="159"/>
      <c r="BR142" s="570"/>
    </row>
    <row r="143" s="162" customFormat="1" ht="18.75" customHeight="1">
      <c r="A143" s="159"/>
      <c r="B143" s="159"/>
      <c r="C143" s="159"/>
      <c r="D143" s="159"/>
      <c r="E143" s="159"/>
      <c r="F143" s="159"/>
      <c r="G143" s="159"/>
      <c r="H143" s="159"/>
      <c r="I143" s="159"/>
      <c r="J143" s="542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544"/>
      <c r="AF143" s="571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545"/>
      <c r="AY143" s="545"/>
      <c r="AZ143" s="159"/>
      <c r="BA143" s="159"/>
      <c r="BB143" s="159"/>
      <c r="BC143" s="159"/>
      <c r="BD143" s="159"/>
      <c r="BE143" s="159"/>
      <c r="BF143" s="159"/>
      <c r="BG143" s="568"/>
      <c r="BH143" s="537"/>
      <c r="BI143" s="553"/>
      <c r="BJ143" s="564"/>
      <c r="BK143" s="569"/>
      <c r="BL143" s="159"/>
      <c r="BM143" s="556"/>
      <c r="BN143" s="159"/>
      <c r="BO143" s="159"/>
      <c r="BP143" s="159"/>
      <c r="BQ143" s="159"/>
      <c r="BR143" s="570"/>
    </row>
    <row r="144" s="162" customFormat="1" ht="18.75" customHeight="1">
      <c r="A144" s="159"/>
      <c r="B144" s="159"/>
      <c r="C144" s="159"/>
      <c r="D144" s="159"/>
      <c r="E144" s="159"/>
      <c r="F144" s="159"/>
      <c r="G144" s="159"/>
      <c r="H144" s="159"/>
      <c r="I144" s="159"/>
      <c r="J144" s="542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544"/>
      <c r="AF144" s="571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545"/>
      <c r="AY144" s="545"/>
      <c r="AZ144" s="159"/>
      <c r="BA144" s="159"/>
      <c r="BB144" s="159"/>
      <c r="BC144" s="159"/>
      <c r="BD144" s="159"/>
      <c r="BE144" s="159"/>
      <c r="BF144" s="159"/>
      <c r="BG144" s="568"/>
      <c r="BH144" s="537"/>
      <c r="BI144" s="553"/>
      <c r="BJ144" s="564"/>
      <c r="BK144" s="569"/>
      <c r="BL144" s="159"/>
      <c r="BM144" s="556"/>
      <c r="BN144" s="159"/>
      <c r="BO144" s="159"/>
      <c r="BP144" s="159"/>
      <c r="BQ144" s="159"/>
      <c r="BR144" s="570"/>
    </row>
    <row r="145" s="162" customFormat="1" ht="18.75" customHeight="1">
      <c r="A145" s="159"/>
      <c r="B145" s="159"/>
      <c r="C145" s="159"/>
      <c r="D145" s="159"/>
      <c r="E145" s="159"/>
      <c r="F145" s="159"/>
      <c r="G145" s="159"/>
      <c r="H145" s="159"/>
      <c r="I145" s="159"/>
      <c r="J145" s="542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544"/>
      <c r="AF145" s="571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545"/>
      <c r="AY145" s="545"/>
      <c r="AZ145" s="159"/>
      <c r="BA145" s="159"/>
      <c r="BB145" s="159"/>
      <c r="BC145" s="159"/>
      <c r="BD145" s="159"/>
      <c r="BE145" s="159"/>
      <c r="BF145" s="159"/>
      <c r="BG145" s="568"/>
      <c r="BH145" s="537"/>
      <c r="BI145" s="553"/>
      <c r="BJ145" s="564"/>
      <c r="BK145" s="569"/>
      <c r="BL145" s="159"/>
      <c r="BM145" s="556"/>
      <c r="BN145" s="159"/>
      <c r="BO145" s="159"/>
      <c r="BP145" s="159"/>
      <c r="BQ145" s="159"/>
      <c r="BR145" s="570"/>
    </row>
    <row r="146" s="162" customFormat="1" ht="18.75" customHeight="1">
      <c r="A146" s="159"/>
      <c r="B146" s="159"/>
      <c r="C146" s="159"/>
      <c r="D146" s="159"/>
      <c r="E146" s="159"/>
      <c r="F146" s="159"/>
      <c r="G146" s="159"/>
      <c r="H146" s="159"/>
      <c r="I146" s="159"/>
      <c r="J146" s="542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544"/>
      <c r="AF146" s="571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545"/>
      <c r="AY146" s="545"/>
      <c r="AZ146" s="159"/>
      <c r="BA146" s="159"/>
      <c r="BB146" s="159"/>
      <c r="BC146" s="159"/>
      <c r="BD146" s="159"/>
      <c r="BE146" s="159"/>
      <c r="BF146" s="159"/>
      <c r="BG146" s="568"/>
      <c r="BH146" s="537"/>
      <c r="BI146" s="553"/>
      <c r="BJ146" s="564"/>
      <c r="BK146" s="569"/>
      <c r="BL146" s="159"/>
      <c r="BM146" s="556"/>
      <c r="BN146" s="159"/>
      <c r="BO146" s="159"/>
      <c r="BP146" s="159"/>
      <c r="BQ146" s="159"/>
      <c r="BR146" s="570"/>
    </row>
    <row r="147" s="162" customFormat="1" ht="18.75" customHeight="1">
      <c r="A147" s="159"/>
      <c r="B147" s="159"/>
      <c r="C147" s="159"/>
      <c r="D147" s="159"/>
      <c r="E147" s="159"/>
      <c r="F147" s="159"/>
      <c r="G147" s="159"/>
      <c r="H147" s="159"/>
      <c r="I147" s="159"/>
      <c r="J147" s="542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544"/>
      <c r="AF147" s="571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545"/>
      <c r="AY147" s="545"/>
      <c r="AZ147" s="159"/>
      <c r="BA147" s="159"/>
      <c r="BB147" s="159"/>
      <c r="BC147" s="159"/>
      <c r="BD147" s="159"/>
      <c r="BE147" s="159"/>
      <c r="BF147" s="159"/>
      <c r="BG147" s="568"/>
      <c r="BH147" s="537"/>
      <c r="BI147" s="553"/>
      <c r="BJ147" s="564"/>
      <c r="BK147" s="569"/>
      <c r="BL147" s="159"/>
      <c r="BM147" s="556"/>
      <c r="BN147" s="159"/>
      <c r="BO147" s="159"/>
      <c r="BP147" s="159"/>
      <c r="BQ147" s="159"/>
      <c r="BR147" s="570"/>
    </row>
    <row r="148" s="162" customFormat="1" ht="18.75" customHeight="1">
      <c r="A148" s="159"/>
      <c r="B148" s="159"/>
      <c r="C148" s="159"/>
      <c r="D148" s="159"/>
      <c r="E148" s="159"/>
      <c r="F148" s="159"/>
      <c r="G148" s="159"/>
      <c r="H148" s="159"/>
      <c r="I148" s="159"/>
      <c r="J148" s="542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544"/>
      <c r="AF148" s="571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545"/>
      <c r="AY148" s="545"/>
      <c r="AZ148" s="159"/>
      <c r="BA148" s="159"/>
      <c r="BB148" s="159"/>
      <c r="BC148" s="159"/>
      <c r="BD148" s="159"/>
      <c r="BE148" s="159"/>
      <c r="BF148" s="159"/>
      <c r="BG148" s="568"/>
      <c r="BH148" s="537"/>
      <c r="BI148" s="553"/>
      <c r="BJ148" s="564"/>
      <c r="BK148" s="569"/>
      <c r="BL148" s="159"/>
      <c r="BM148" s="556"/>
      <c r="BN148" s="159"/>
      <c r="BO148" s="159"/>
      <c r="BP148" s="159"/>
      <c r="BQ148" s="159"/>
      <c r="BR148" s="570"/>
    </row>
    <row r="149" s="162" customFormat="1" ht="18.75" customHeight="1">
      <c r="A149" s="159"/>
      <c r="B149" s="159"/>
      <c r="C149" s="159"/>
      <c r="D149" s="159"/>
      <c r="E149" s="159"/>
      <c r="F149" s="159"/>
      <c r="G149" s="159"/>
      <c r="H149" s="159"/>
      <c r="I149" s="159"/>
      <c r="J149" s="542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544"/>
      <c r="AF149" s="571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545"/>
      <c r="AY149" s="545"/>
      <c r="AZ149" s="159"/>
      <c r="BA149" s="159"/>
      <c r="BB149" s="159"/>
      <c r="BC149" s="159"/>
      <c r="BD149" s="159"/>
      <c r="BE149" s="159"/>
      <c r="BF149" s="159"/>
      <c r="BG149" s="568"/>
      <c r="BH149" s="537"/>
      <c r="BI149" s="553"/>
      <c r="BJ149" s="564"/>
      <c r="BK149" s="569"/>
      <c r="BL149" s="159"/>
      <c r="BM149" s="556"/>
      <c r="BN149" s="159"/>
      <c r="BO149" s="159"/>
      <c r="BP149" s="159"/>
      <c r="BQ149" s="159"/>
      <c r="BR149" s="570"/>
    </row>
    <row r="150" s="162" customFormat="1" ht="18.75" customHeight="1">
      <c r="A150" s="159"/>
      <c r="B150" s="159"/>
      <c r="C150" s="159"/>
      <c r="D150" s="159"/>
      <c r="E150" s="159"/>
      <c r="F150" s="159"/>
      <c r="G150" s="159"/>
      <c r="H150" s="159"/>
      <c r="I150" s="159"/>
      <c r="J150" s="542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544"/>
      <c r="AF150" s="571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545"/>
      <c r="AY150" s="545"/>
      <c r="AZ150" s="159"/>
      <c r="BA150" s="159"/>
      <c r="BB150" s="159"/>
      <c r="BC150" s="159"/>
      <c r="BD150" s="159"/>
      <c r="BE150" s="159"/>
      <c r="BF150" s="159"/>
      <c r="BG150" s="568"/>
      <c r="BH150" s="537"/>
      <c r="BI150" s="553"/>
      <c r="BJ150" s="564"/>
      <c r="BK150" s="569"/>
      <c r="BL150" s="159"/>
      <c r="BM150" s="556"/>
      <c r="BN150" s="159"/>
      <c r="BO150" s="159"/>
      <c r="BP150" s="159"/>
      <c r="BQ150" s="159"/>
      <c r="BR150" s="570"/>
    </row>
    <row r="151" s="162" customFormat="1" ht="18.75" customHeight="1">
      <c r="A151" s="159"/>
      <c r="B151" s="159"/>
      <c r="C151" s="159"/>
      <c r="D151" s="159"/>
      <c r="E151" s="159"/>
      <c r="F151" s="159"/>
      <c r="G151" s="159"/>
      <c r="H151" s="159"/>
      <c r="I151" s="159"/>
      <c r="J151" s="542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544"/>
      <c r="AF151" s="571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545"/>
      <c r="AY151" s="545"/>
      <c r="AZ151" s="159"/>
      <c r="BA151" s="159"/>
      <c r="BB151" s="159"/>
      <c r="BC151" s="159"/>
      <c r="BD151" s="159"/>
      <c r="BE151" s="159"/>
      <c r="BF151" s="159"/>
      <c r="BG151" s="568"/>
      <c r="BH151" s="537"/>
      <c r="BI151" s="553"/>
      <c r="BJ151" s="564"/>
      <c r="BK151" s="569"/>
      <c r="BL151" s="159"/>
      <c r="BM151" s="556"/>
      <c r="BN151" s="159"/>
      <c r="BO151" s="159"/>
      <c r="BP151" s="159"/>
      <c r="BQ151" s="159"/>
      <c r="BR151" s="570"/>
    </row>
    <row r="152" s="162" customFormat="1" ht="18.75" customHeight="1">
      <c r="A152" s="159"/>
      <c r="B152" s="159"/>
      <c r="C152" s="159"/>
      <c r="D152" s="159"/>
      <c r="E152" s="159"/>
      <c r="F152" s="159"/>
      <c r="G152" s="159"/>
      <c r="H152" s="159"/>
      <c r="I152" s="159"/>
      <c r="J152" s="542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544"/>
      <c r="AF152" s="571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545"/>
      <c r="AY152" s="545"/>
      <c r="AZ152" s="159"/>
      <c r="BA152" s="159"/>
      <c r="BB152" s="159"/>
      <c r="BC152" s="159"/>
      <c r="BD152" s="159"/>
      <c r="BE152" s="159"/>
      <c r="BF152" s="159"/>
      <c r="BG152" s="568"/>
      <c r="BH152" s="537"/>
      <c r="BI152" s="553"/>
      <c r="BJ152" s="564"/>
      <c r="BK152" s="569"/>
      <c r="BL152" s="159"/>
      <c r="BM152" s="556"/>
      <c r="BN152" s="159"/>
      <c r="BO152" s="159"/>
      <c r="BP152" s="159"/>
      <c r="BQ152" s="159"/>
      <c r="BR152" s="570"/>
    </row>
    <row r="153" s="162" customFormat="1" ht="18.75" customHeight="1">
      <c r="A153" s="159"/>
      <c r="B153" s="159"/>
      <c r="C153" s="159"/>
      <c r="D153" s="159"/>
      <c r="E153" s="159"/>
      <c r="F153" s="159"/>
      <c r="G153" s="159"/>
      <c r="H153" s="159"/>
      <c r="I153" s="159"/>
      <c r="J153" s="542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544"/>
      <c r="AF153" s="571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545"/>
      <c r="AY153" s="545"/>
      <c r="AZ153" s="159"/>
      <c r="BA153" s="159"/>
      <c r="BB153" s="159"/>
      <c r="BC153" s="159"/>
      <c r="BD153" s="159"/>
      <c r="BE153" s="159"/>
      <c r="BF153" s="159"/>
      <c r="BG153" s="568"/>
      <c r="BH153" s="537"/>
      <c r="BI153" s="553"/>
      <c r="BJ153" s="564"/>
      <c r="BK153" s="569"/>
      <c r="BL153" s="159"/>
      <c r="BM153" s="556"/>
      <c r="BN153" s="159"/>
      <c r="BO153" s="159"/>
      <c r="BP153" s="159"/>
      <c r="BQ153" s="159"/>
      <c r="BR153" s="570"/>
    </row>
    <row r="154" s="162" customFormat="1" ht="18.75" customHeight="1">
      <c r="A154" s="159"/>
      <c r="B154" s="159"/>
      <c r="C154" s="159"/>
      <c r="D154" s="159"/>
      <c r="E154" s="159"/>
      <c r="F154" s="159"/>
      <c r="G154" s="159"/>
      <c r="H154" s="159"/>
      <c r="I154" s="159"/>
      <c r="J154" s="542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544"/>
      <c r="AF154" s="571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545"/>
      <c r="AY154" s="545"/>
      <c r="AZ154" s="159"/>
      <c r="BA154" s="159"/>
      <c r="BB154" s="159"/>
      <c r="BC154" s="159"/>
      <c r="BD154" s="159"/>
      <c r="BE154" s="159"/>
      <c r="BF154" s="159"/>
      <c r="BG154" s="568"/>
      <c r="BH154" s="537"/>
      <c r="BI154" s="553"/>
      <c r="BJ154" s="564"/>
      <c r="BK154" s="569"/>
      <c r="BL154" s="159"/>
      <c r="BM154" s="556"/>
      <c r="BN154" s="159"/>
      <c r="BO154" s="159"/>
      <c r="BP154" s="159"/>
      <c r="BQ154" s="159"/>
      <c r="BR154" s="570"/>
    </row>
    <row r="155" s="162" customFormat="1" ht="18.75" customHeight="1">
      <c r="A155" s="159"/>
      <c r="B155" s="159"/>
      <c r="C155" s="159"/>
      <c r="D155" s="159"/>
      <c r="E155" s="159"/>
      <c r="F155" s="159"/>
      <c r="G155" s="159"/>
      <c r="H155" s="159"/>
      <c r="I155" s="159"/>
      <c r="J155" s="542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544"/>
      <c r="AF155" s="571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545"/>
      <c r="AY155" s="545"/>
      <c r="AZ155" s="159"/>
      <c r="BA155" s="159"/>
      <c r="BB155" s="159"/>
      <c r="BC155" s="159"/>
      <c r="BD155" s="159"/>
      <c r="BE155" s="159"/>
      <c r="BF155" s="159"/>
      <c r="BG155" s="568"/>
      <c r="BH155" s="537"/>
      <c r="BI155" s="553"/>
      <c r="BJ155" s="564"/>
      <c r="BK155" s="569"/>
      <c r="BL155" s="159"/>
      <c r="BM155" s="556"/>
      <c r="BN155" s="159"/>
      <c r="BO155" s="159"/>
      <c r="BP155" s="159"/>
      <c r="BQ155" s="159"/>
      <c r="BR155" s="570"/>
    </row>
    <row r="156" s="162" customFormat="1" ht="18.75" customHeight="1">
      <c r="A156" s="159"/>
      <c r="B156" s="159"/>
      <c r="C156" s="159"/>
      <c r="D156" s="159"/>
      <c r="E156" s="159"/>
      <c r="F156" s="159"/>
      <c r="G156" s="159"/>
      <c r="H156" s="159"/>
      <c r="I156" s="159"/>
      <c r="J156" s="542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544"/>
      <c r="AF156" s="571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545"/>
      <c r="AY156" s="545"/>
      <c r="AZ156" s="159"/>
      <c r="BA156" s="159"/>
      <c r="BB156" s="159"/>
      <c r="BC156" s="159"/>
      <c r="BD156" s="159"/>
      <c r="BE156" s="159"/>
      <c r="BF156" s="159"/>
      <c r="BG156" s="568"/>
      <c r="BH156" s="537"/>
      <c r="BI156" s="553"/>
      <c r="BJ156" s="564"/>
      <c r="BK156" s="569"/>
      <c r="BL156" s="159"/>
      <c r="BM156" s="556"/>
      <c r="BN156" s="159"/>
      <c r="BO156" s="159"/>
      <c r="BP156" s="159"/>
      <c r="BQ156" s="159"/>
      <c r="BR156" s="570"/>
    </row>
    <row r="157" s="162" customFormat="1" ht="18.75" customHeight="1">
      <c r="A157" s="159"/>
      <c r="B157" s="159"/>
      <c r="C157" s="159"/>
      <c r="D157" s="159"/>
      <c r="E157" s="159"/>
      <c r="F157" s="159"/>
      <c r="G157" s="159"/>
      <c r="H157" s="159"/>
      <c r="I157" s="159"/>
      <c r="J157" s="542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544"/>
      <c r="AF157" s="571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545"/>
      <c r="AY157" s="545"/>
      <c r="AZ157" s="159"/>
      <c r="BA157" s="159"/>
      <c r="BB157" s="159"/>
      <c r="BC157" s="159"/>
      <c r="BD157" s="159"/>
      <c r="BE157" s="159"/>
      <c r="BF157" s="159"/>
      <c r="BG157" s="568"/>
      <c r="BH157" s="537"/>
      <c r="BI157" s="553"/>
      <c r="BJ157" s="564"/>
      <c r="BK157" s="569"/>
      <c r="BL157" s="159"/>
      <c r="BM157" s="556"/>
      <c r="BN157" s="159"/>
      <c r="BO157" s="159"/>
      <c r="BP157" s="159"/>
      <c r="BQ157" s="159"/>
      <c r="BR157" s="570"/>
    </row>
    <row r="158" s="162" customFormat="1" ht="18.75" customHeight="1">
      <c r="A158" s="159"/>
      <c r="B158" s="159"/>
      <c r="C158" s="159"/>
      <c r="D158" s="159"/>
      <c r="E158" s="159"/>
      <c r="F158" s="159"/>
      <c r="G158" s="159"/>
      <c r="H158" s="159"/>
      <c r="I158" s="159"/>
      <c r="J158" s="542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544"/>
      <c r="AF158" s="571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545"/>
      <c r="AY158" s="545"/>
      <c r="AZ158" s="159"/>
      <c r="BA158" s="159"/>
      <c r="BB158" s="159"/>
      <c r="BC158" s="159"/>
      <c r="BD158" s="159"/>
      <c r="BE158" s="159"/>
      <c r="BF158" s="159"/>
      <c r="BG158" s="568"/>
      <c r="BH158" s="537"/>
      <c r="BI158" s="553"/>
      <c r="BJ158" s="564"/>
      <c r="BK158" s="569"/>
      <c r="BL158" s="159"/>
      <c r="BM158" s="556"/>
      <c r="BN158" s="159"/>
      <c r="BO158" s="159"/>
      <c r="BP158" s="159"/>
      <c r="BQ158" s="159"/>
      <c r="BR158" s="570"/>
    </row>
    <row r="159" s="162" customFormat="1" ht="18.75" customHeight="1">
      <c r="A159" s="159"/>
      <c r="B159" s="159"/>
      <c r="C159" s="159"/>
      <c r="D159" s="159"/>
      <c r="E159" s="159"/>
      <c r="F159" s="159"/>
      <c r="G159" s="159"/>
      <c r="H159" s="159"/>
      <c r="I159" s="159"/>
      <c r="J159" s="542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544"/>
      <c r="AF159" s="571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545"/>
      <c r="AY159" s="545"/>
      <c r="AZ159" s="159"/>
      <c r="BA159" s="159"/>
      <c r="BB159" s="159"/>
      <c r="BC159" s="159"/>
      <c r="BD159" s="159"/>
      <c r="BE159" s="159"/>
      <c r="BF159" s="159"/>
      <c r="BG159" s="568"/>
      <c r="BH159" s="537"/>
      <c r="BI159" s="553"/>
      <c r="BJ159" s="564"/>
      <c r="BK159" s="569"/>
      <c r="BL159" s="159"/>
      <c r="BM159" s="556"/>
      <c r="BN159" s="159"/>
      <c r="BO159" s="159"/>
      <c r="BP159" s="159"/>
      <c r="BQ159" s="159"/>
      <c r="BR159" s="570"/>
    </row>
    <row r="160" s="162" customFormat="1" ht="18.75" customHeight="1">
      <c r="A160" s="159"/>
      <c r="B160" s="159"/>
      <c r="C160" s="159"/>
      <c r="D160" s="159"/>
      <c r="E160" s="159"/>
      <c r="F160" s="159"/>
      <c r="G160" s="159"/>
      <c r="H160" s="159"/>
      <c r="I160" s="159"/>
      <c r="J160" s="542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544"/>
      <c r="AF160" s="571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545"/>
      <c r="AY160" s="545"/>
      <c r="AZ160" s="159"/>
      <c r="BA160" s="159"/>
      <c r="BB160" s="159"/>
      <c r="BC160" s="159"/>
      <c r="BD160" s="159"/>
      <c r="BE160" s="159"/>
      <c r="BF160" s="159"/>
      <c r="BG160" s="568"/>
      <c r="BH160" s="537"/>
      <c r="BI160" s="553"/>
      <c r="BJ160" s="564"/>
      <c r="BK160" s="569"/>
      <c r="BL160" s="159"/>
      <c r="BM160" s="556"/>
      <c r="BN160" s="159"/>
      <c r="BO160" s="159"/>
      <c r="BP160" s="159"/>
      <c r="BQ160" s="159"/>
      <c r="BR160" s="570"/>
    </row>
    <row r="161" s="162" customFormat="1" ht="18.75" customHeight="1">
      <c r="A161" s="159"/>
      <c r="B161" s="159"/>
      <c r="C161" s="159"/>
      <c r="D161" s="159"/>
      <c r="E161" s="159"/>
      <c r="F161" s="159"/>
      <c r="G161" s="159"/>
      <c r="H161" s="159"/>
      <c r="I161" s="159"/>
      <c r="J161" s="542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544"/>
      <c r="AF161" s="571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545"/>
      <c r="AY161" s="545"/>
      <c r="AZ161" s="159"/>
      <c r="BA161" s="159"/>
      <c r="BB161" s="159"/>
      <c r="BC161" s="159"/>
      <c r="BD161" s="159"/>
      <c r="BE161" s="159"/>
      <c r="BF161" s="159"/>
      <c r="BG161" s="568"/>
      <c r="BH161" s="537"/>
      <c r="BI161" s="553"/>
      <c r="BJ161" s="564"/>
      <c r="BK161" s="569"/>
      <c r="BL161" s="159"/>
      <c r="BM161" s="556"/>
      <c r="BN161" s="159"/>
      <c r="BO161" s="159"/>
      <c r="BP161" s="159"/>
      <c r="BQ161" s="159"/>
      <c r="BR161" s="570"/>
    </row>
    <row r="162" s="162" customFormat="1" ht="18.75" customHeight="1">
      <c r="A162" s="159"/>
      <c r="B162" s="159"/>
      <c r="C162" s="159"/>
      <c r="D162" s="159"/>
      <c r="E162" s="159"/>
      <c r="F162" s="159"/>
      <c r="G162" s="159"/>
      <c r="H162" s="159"/>
      <c r="I162" s="159"/>
      <c r="J162" s="542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544"/>
      <c r="AF162" s="571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545"/>
      <c r="AY162" s="545"/>
      <c r="AZ162" s="159"/>
      <c r="BA162" s="159"/>
      <c r="BB162" s="159"/>
      <c r="BC162" s="159"/>
      <c r="BD162" s="159"/>
      <c r="BE162" s="159"/>
      <c r="BF162" s="159"/>
      <c r="BG162" s="568"/>
      <c r="BH162" s="537"/>
      <c r="BI162" s="553"/>
      <c r="BJ162" s="564"/>
      <c r="BK162" s="569"/>
      <c r="BL162" s="159"/>
      <c r="BM162" s="556"/>
      <c r="BN162" s="159"/>
      <c r="BO162" s="159"/>
      <c r="BP162" s="159"/>
      <c r="BQ162" s="159"/>
      <c r="BR162" s="570"/>
    </row>
    <row r="163" s="162" customFormat="1" ht="18.75" customHeight="1">
      <c r="A163" s="159"/>
      <c r="B163" s="159"/>
      <c r="C163" s="159"/>
      <c r="D163" s="159"/>
      <c r="E163" s="159"/>
      <c r="F163" s="159"/>
      <c r="G163" s="159"/>
      <c r="H163" s="159"/>
      <c r="I163" s="159"/>
      <c r="J163" s="542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544"/>
      <c r="AF163" s="571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545"/>
      <c r="AY163" s="545"/>
      <c r="AZ163" s="159"/>
      <c r="BA163" s="159"/>
      <c r="BB163" s="159"/>
      <c r="BC163" s="159"/>
      <c r="BD163" s="159"/>
      <c r="BE163" s="159"/>
      <c r="BF163" s="159"/>
      <c r="BG163" s="568"/>
      <c r="BH163" s="537"/>
      <c r="BI163" s="553"/>
      <c r="BJ163" s="564"/>
      <c r="BK163" s="569"/>
      <c r="BL163" s="159"/>
      <c r="BM163" s="556"/>
      <c r="BN163" s="159"/>
      <c r="BO163" s="159"/>
      <c r="BP163" s="159"/>
      <c r="BQ163" s="159"/>
      <c r="BR163" s="570"/>
    </row>
    <row r="164" s="162" customFormat="1" ht="18.75" customHeight="1">
      <c r="A164" s="159"/>
      <c r="B164" s="159"/>
      <c r="C164" s="159"/>
      <c r="D164" s="159"/>
      <c r="E164" s="159"/>
      <c r="F164" s="159"/>
      <c r="G164" s="159"/>
      <c r="H164" s="159"/>
      <c r="I164" s="159"/>
      <c r="J164" s="542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544"/>
      <c r="AF164" s="571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545"/>
      <c r="AY164" s="545"/>
      <c r="AZ164" s="159"/>
      <c r="BA164" s="159"/>
      <c r="BB164" s="159"/>
      <c r="BC164" s="159"/>
      <c r="BD164" s="159"/>
      <c r="BE164" s="159"/>
      <c r="BF164" s="159"/>
      <c r="BG164" s="568"/>
      <c r="BH164" s="537"/>
      <c r="BI164" s="553"/>
      <c r="BJ164" s="564"/>
      <c r="BK164" s="569"/>
      <c r="BL164" s="159"/>
      <c r="BM164" s="556"/>
      <c r="BN164" s="159"/>
      <c r="BO164" s="159"/>
      <c r="BP164" s="159"/>
      <c r="BQ164" s="159"/>
      <c r="BR164" s="570"/>
    </row>
    <row r="165" s="162" customFormat="1" ht="18.75" customHeight="1">
      <c r="A165" s="159"/>
      <c r="B165" s="159"/>
      <c r="C165" s="159"/>
      <c r="D165" s="159"/>
      <c r="E165" s="159"/>
      <c r="F165" s="159"/>
      <c r="G165" s="159"/>
      <c r="H165" s="159"/>
      <c r="I165" s="159"/>
      <c r="J165" s="542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544"/>
      <c r="AF165" s="571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545"/>
      <c r="AY165" s="545"/>
      <c r="AZ165" s="159"/>
      <c r="BA165" s="159"/>
      <c r="BB165" s="159"/>
      <c r="BC165" s="159"/>
      <c r="BD165" s="159"/>
      <c r="BE165" s="159"/>
      <c r="BF165" s="159"/>
      <c r="BG165" s="568"/>
      <c r="BH165" s="537"/>
      <c r="BI165" s="553"/>
      <c r="BJ165" s="564"/>
      <c r="BK165" s="569"/>
      <c r="BL165" s="159"/>
      <c r="BM165" s="556"/>
      <c r="BN165" s="159"/>
      <c r="BO165" s="159"/>
      <c r="BP165" s="159"/>
      <c r="BQ165" s="159"/>
      <c r="BR165" s="570"/>
    </row>
    <row r="166" s="162" customFormat="1" ht="18.75" customHeight="1">
      <c r="A166" s="159"/>
      <c r="B166" s="159"/>
      <c r="C166" s="159"/>
      <c r="D166" s="159"/>
      <c r="E166" s="159"/>
      <c r="F166" s="159"/>
      <c r="G166" s="159"/>
      <c r="H166" s="159"/>
      <c r="I166" s="159"/>
      <c r="J166" s="542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544"/>
      <c r="AF166" s="571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545"/>
      <c r="AY166" s="545"/>
      <c r="AZ166" s="159"/>
      <c r="BA166" s="159"/>
      <c r="BB166" s="159"/>
      <c r="BC166" s="159"/>
      <c r="BD166" s="159"/>
      <c r="BE166" s="159"/>
      <c r="BF166" s="159"/>
      <c r="BG166" s="568"/>
      <c r="BH166" s="537"/>
      <c r="BI166" s="553"/>
      <c r="BJ166" s="564"/>
      <c r="BK166" s="569"/>
      <c r="BL166" s="159"/>
      <c r="BM166" s="556"/>
      <c r="BN166" s="159"/>
      <c r="BO166" s="159"/>
      <c r="BP166" s="159"/>
      <c r="BQ166" s="159"/>
      <c r="BR166" s="570"/>
    </row>
    <row r="167" s="162" customFormat="1" ht="18.75" customHeight="1">
      <c r="A167" s="159"/>
      <c r="B167" s="159"/>
      <c r="C167" s="159"/>
      <c r="D167" s="159"/>
      <c r="E167" s="159"/>
      <c r="F167" s="159"/>
      <c r="G167" s="159"/>
      <c r="H167" s="159"/>
      <c r="I167" s="159"/>
      <c r="J167" s="542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544"/>
      <c r="AF167" s="571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545"/>
      <c r="AY167" s="545"/>
      <c r="AZ167" s="159"/>
      <c r="BA167" s="159"/>
      <c r="BB167" s="159"/>
      <c r="BC167" s="159"/>
      <c r="BD167" s="159"/>
      <c r="BE167" s="159"/>
      <c r="BF167" s="159"/>
      <c r="BG167" s="568"/>
      <c r="BH167" s="537"/>
      <c r="BI167" s="553"/>
      <c r="BJ167" s="564"/>
      <c r="BK167" s="569"/>
      <c r="BL167" s="159"/>
      <c r="BM167" s="556"/>
      <c r="BN167" s="159"/>
      <c r="BO167" s="159"/>
      <c r="BP167" s="159"/>
      <c r="BQ167" s="159"/>
      <c r="BR167" s="570"/>
    </row>
    <row r="168" s="162" customFormat="1" ht="18.75" customHeight="1">
      <c r="A168" s="159"/>
      <c r="B168" s="159"/>
      <c r="C168" s="159"/>
      <c r="D168" s="159"/>
      <c r="E168" s="159"/>
      <c r="F168" s="159"/>
      <c r="G168" s="159"/>
      <c r="H168" s="159"/>
      <c r="I168" s="159"/>
      <c r="J168" s="542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544"/>
      <c r="AF168" s="571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545"/>
      <c r="AY168" s="545"/>
      <c r="AZ168" s="159"/>
      <c r="BA168" s="159"/>
      <c r="BB168" s="159"/>
      <c r="BC168" s="159"/>
      <c r="BD168" s="159"/>
      <c r="BE168" s="159"/>
      <c r="BF168" s="159"/>
      <c r="BG168" s="568"/>
      <c r="BH168" s="537"/>
      <c r="BI168" s="553"/>
      <c r="BJ168" s="564"/>
      <c r="BK168" s="569"/>
      <c r="BL168" s="159"/>
      <c r="BM168" s="556"/>
      <c r="BN168" s="159"/>
      <c r="BO168" s="159"/>
      <c r="BP168" s="159"/>
      <c r="BQ168" s="159"/>
      <c r="BR168" s="570"/>
    </row>
    <row r="169" s="162" customFormat="1" ht="18.75" customHeight="1">
      <c r="A169" s="159"/>
      <c r="B169" s="159"/>
      <c r="C169" s="159"/>
      <c r="D169" s="159"/>
      <c r="E169" s="159"/>
      <c r="F169" s="159"/>
      <c r="G169" s="159"/>
      <c r="H169" s="159"/>
      <c r="I169" s="159"/>
      <c r="J169" s="542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544"/>
      <c r="AF169" s="571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545"/>
      <c r="AY169" s="545"/>
      <c r="AZ169" s="159"/>
      <c r="BA169" s="159"/>
      <c r="BB169" s="159"/>
      <c r="BC169" s="159"/>
      <c r="BD169" s="159"/>
      <c r="BE169" s="159"/>
      <c r="BF169" s="159"/>
      <c r="BG169" s="568"/>
      <c r="BH169" s="537"/>
      <c r="BI169" s="553"/>
      <c r="BJ169" s="564"/>
      <c r="BK169" s="569"/>
      <c r="BL169" s="159"/>
      <c r="BM169" s="556"/>
      <c r="BN169" s="159"/>
      <c r="BO169" s="159"/>
      <c r="BP169" s="159"/>
      <c r="BQ169" s="159"/>
      <c r="BR169" s="570"/>
    </row>
    <row r="170" s="162" customFormat="1" ht="18.75" customHeight="1">
      <c r="A170" s="159"/>
      <c r="B170" s="159"/>
      <c r="C170" s="159"/>
      <c r="D170" s="159"/>
      <c r="E170" s="159"/>
      <c r="F170" s="159"/>
      <c r="G170" s="159"/>
      <c r="H170" s="159"/>
      <c r="I170" s="159"/>
      <c r="J170" s="542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544"/>
      <c r="AF170" s="571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545"/>
      <c r="AY170" s="545"/>
      <c r="AZ170" s="159"/>
      <c r="BA170" s="159"/>
      <c r="BB170" s="159"/>
      <c r="BC170" s="159"/>
      <c r="BD170" s="159"/>
      <c r="BE170" s="159"/>
      <c r="BF170" s="159"/>
      <c r="BG170" s="568"/>
      <c r="BH170" s="537"/>
      <c r="BI170" s="553"/>
      <c r="BJ170" s="564"/>
      <c r="BK170" s="569"/>
      <c r="BL170" s="159"/>
      <c r="BM170" s="556"/>
      <c r="BN170" s="159"/>
      <c r="BO170" s="159"/>
      <c r="BP170" s="159"/>
      <c r="BQ170" s="159"/>
      <c r="BR170" s="570"/>
    </row>
    <row r="171" s="162" customFormat="1" ht="18.75" customHeight="1">
      <c r="A171" s="159"/>
      <c r="B171" s="159"/>
      <c r="C171" s="159"/>
      <c r="D171" s="159"/>
      <c r="E171" s="159"/>
      <c r="F171" s="159"/>
      <c r="G171" s="159"/>
      <c r="H171" s="159"/>
      <c r="I171" s="159"/>
      <c r="J171" s="542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544"/>
      <c r="AF171" s="571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545"/>
      <c r="AY171" s="545"/>
      <c r="AZ171" s="159"/>
      <c r="BA171" s="159"/>
      <c r="BB171" s="159"/>
      <c r="BC171" s="159"/>
      <c r="BD171" s="159"/>
      <c r="BE171" s="159"/>
      <c r="BF171" s="159"/>
      <c r="BG171" s="568"/>
      <c r="BH171" s="537"/>
      <c r="BI171" s="553"/>
      <c r="BJ171" s="564"/>
      <c r="BK171" s="569"/>
      <c r="BL171" s="159"/>
      <c r="BM171" s="556"/>
      <c r="BN171" s="159"/>
      <c r="BO171" s="159"/>
      <c r="BP171" s="159"/>
      <c r="BQ171" s="159"/>
      <c r="BR171" s="570"/>
    </row>
    <row r="172" s="162" customFormat="1" ht="18.75" customHeight="1">
      <c r="A172" s="159"/>
      <c r="B172" s="159"/>
      <c r="C172" s="159"/>
      <c r="D172" s="159"/>
      <c r="E172" s="159"/>
      <c r="F172" s="159"/>
      <c r="G172" s="159"/>
      <c r="H172" s="159"/>
      <c r="I172" s="159"/>
      <c r="J172" s="542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544"/>
      <c r="AF172" s="571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545"/>
      <c r="AY172" s="545"/>
      <c r="AZ172" s="159"/>
      <c r="BA172" s="159"/>
      <c r="BB172" s="159"/>
      <c r="BC172" s="159"/>
      <c r="BD172" s="159"/>
      <c r="BE172" s="159"/>
      <c r="BF172" s="159"/>
      <c r="BG172" s="568"/>
      <c r="BH172" s="537"/>
      <c r="BI172" s="553"/>
      <c r="BJ172" s="564"/>
      <c r="BK172" s="569"/>
      <c r="BL172" s="159"/>
      <c r="BM172" s="556"/>
      <c r="BN172" s="159"/>
      <c r="BO172" s="159"/>
      <c r="BP172" s="159"/>
      <c r="BQ172" s="159"/>
      <c r="BR172" s="570"/>
    </row>
    <row r="173" s="162" customFormat="1" ht="18.75" customHeight="1">
      <c r="A173" s="159"/>
      <c r="B173" s="159"/>
      <c r="C173" s="159"/>
      <c r="D173" s="159"/>
      <c r="E173" s="159"/>
      <c r="F173" s="159"/>
      <c r="G173" s="159"/>
      <c r="H173" s="159"/>
      <c r="I173" s="159"/>
      <c r="J173" s="542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544"/>
      <c r="AF173" s="571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545"/>
      <c r="AY173" s="545"/>
      <c r="AZ173" s="159"/>
      <c r="BA173" s="159"/>
      <c r="BB173" s="159"/>
      <c r="BC173" s="159"/>
      <c r="BD173" s="159"/>
      <c r="BE173" s="159"/>
      <c r="BF173" s="159"/>
      <c r="BG173" s="568"/>
      <c r="BH173" s="537"/>
      <c r="BI173" s="553"/>
      <c r="BJ173" s="564"/>
      <c r="BK173" s="569"/>
      <c r="BL173" s="159"/>
      <c r="BM173" s="556"/>
      <c r="BN173" s="159"/>
      <c r="BO173" s="159"/>
      <c r="BP173" s="159"/>
      <c r="BQ173" s="159"/>
      <c r="BR173" s="570"/>
    </row>
    <row r="174" s="162" customFormat="1" ht="18.75" customHeight="1">
      <c r="A174" s="159"/>
      <c r="B174" s="159"/>
      <c r="C174" s="159"/>
      <c r="D174" s="159"/>
      <c r="E174" s="159"/>
      <c r="F174" s="159"/>
      <c r="G174" s="159"/>
      <c r="H174" s="159"/>
      <c r="I174" s="159"/>
      <c r="J174" s="542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544"/>
      <c r="AF174" s="571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545"/>
      <c r="AY174" s="545"/>
      <c r="AZ174" s="159"/>
      <c r="BA174" s="159"/>
      <c r="BB174" s="159"/>
      <c r="BC174" s="159"/>
      <c r="BD174" s="159"/>
      <c r="BE174" s="159"/>
      <c r="BF174" s="159"/>
      <c r="BG174" s="568"/>
      <c r="BH174" s="537"/>
      <c r="BI174" s="553"/>
      <c r="BJ174" s="564"/>
      <c r="BK174" s="569"/>
      <c r="BL174" s="159"/>
      <c r="BM174" s="556"/>
      <c r="BN174" s="159"/>
      <c r="BO174" s="159"/>
      <c r="BP174" s="159"/>
      <c r="BQ174" s="159"/>
      <c r="BR174" s="570"/>
    </row>
    <row r="175" s="162" customFormat="1" ht="18.75" customHeight="1">
      <c r="A175" s="159"/>
      <c r="B175" s="159"/>
      <c r="C175" s="159"/>
      <c r="D175" s="159"/>
      <c r="E175" s="159"/>
      <c r="F175" s="159"/>
      <c r="G175" s="159"/>
      <c r="H175" s="159"/>
      <c r="I175" s="159"/>
      <c r="J175" s="542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544"/>
      <c r="AF175" s="571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545"/>
      <c r="AY175" s="545"/>
      <c r="AZ175" s="159"/>
      <c r="BA175" s="159"/>
      <c r="BB175" s="159"/>
      <c r="BC175" s="159"/>
      <c r="BD175" s="159"/>
      <c r="BE175" s="159"/>
      <c r="BF175" s="159"/>
      <c r="BG175" s="568"/>
      <c r="BH175" s="537"/>
      <c r="BI175" s="553"/>
      <c r="BJ175" s="564"/>
      <c r="BK175" s="569"/>
      <c r="BL175" s="159"/>
      <c r="BM175" s="556"/>
      <c r="BN175" s="159"/>
      <c r="BO175" s="159"/>
      <c r="BP175" s="159"/>
      <c r="BQ175" s="159"/>
      <c r="BR175" s="570"/>
    </row>
    <row r="176" s="162" customFormat="1" ht="18.75" customHeight="1">
      <c r="A176" s="159"/>
      <c r="B176" s="159"/>
      <c r="C176" s="159"/>
      <c r="D176" s="159"/>
      <c r="E176" s="159"/>
      <c r="F176" s="159"/>
      <c r="G176" s="159"/>
      <c r="H176" s="159"/>
      <c r="I176" s="159"/>
      <c r="J176" s="542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544"/>
      <c r="AF176" s="571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545"/>
      <c r="AY176" s="545"/>
      <c r="AZ176" s="159"/>
      <c r="BA176" s="159"/>
      <c r="BB176" s="159"/>
      <c r="BC176" s="159"/>
      <c r="BD176" s="159"/>
      <c r="BE176" s="159"/>
      <c r="BF176" s="159"/>
      <c r="BG176" s="568"/>
      <c r="BH176" s="537"/>
      <c r="BI176" s="553"/>
      <c r="BJ176" s="564"/>
      <c r="BK176" s="569"/>
      <c r="BL176" s="159"/>
      <c r="BM176" s="556"/>
      <c r="BN176" s="159"/>
      <c r="BO176" s="159"/>
      <c r="BP176" s="159"/>
      <c r="BQ176" s="159"/>
      <c r="BR176" s="570"/>
    </row>
    <row r="177" s="162" customFormat="1" ht="18.75" customHeight="1">
      <c r="A177" s="159"/>
      <c r="B177" s="159"/>
      <c r="C177" s="159"/>
      <c r="D177" s="159"/>
      <c r="E177" s="159"/>
      <c r="F177" s="159"/>
      <c r="G177" s="159"/>
      <c r="H177" s="159"/>
      <c r="I177" s="159"/>
      <c r="J177" s="542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544"/>
      <c r="AF177" s="571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545"/>
      <c r="AY177" s="545"/>
      <c r="AZ177" s="159"/>
      <c r="BA177" s="159"/>
      <c r="BB177" s="159"/>
      <c r="BC177" s="159"/>
      <c r="BD177" s="159"/>
      <c r="BE177" s="159"/>
      <c r="BF177" s="159"/>
      <c r="BG177" s="568"/>
      <c r="BH177" s="537"/>
      <c r="BI177" s="553"/>
      <c r="BJ177" s="564"/>
      <c r="BK177" s="569"/>
      <c r="BL177" s="159"/>
      <c r="BM177" s="556"/>
      <c r="BN177" s="159"/>
      <c r="BO177" s="159"/>
      <c r="BP177" s="159"/>
      <c r="BQ177" s="159"/>
      <c r="BR177" s="570"/>
    </row>
    <row r="178" s="162" customFormat="1" ht="18.75" customHeight="1">
      <c r="A178" s="159"/>
      <c r="B178" s="159"/>
      <c r="C178" s="159"/>
      <c r="D178" s="159"/>
      <c r="E178" s="159"/>
      <c r="F178" s="159"/>
      <c r="G178" s="159"/>
      <c r="H178" s="159"/>
      <c r="I178" s="159"/>
      <c r="J178" s="542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544"/>
      <c r="AF178" s="571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545"/>
      <c r="AY178" s="545"/>
      <c r="AZ178" s="159"/>
      <c r="BA178" s="159"/>
      <c r="BB178" s="159"/>
      <c r="BC178" s="159"/>
      <c r="BD178" s="159"/>
      <c r="BE178" s="159"/>
      <c r="BF178" s="159"/>
      <c r="BG178" s="568"/>
      <c r="BH178" s="537"/>
      <c r="BI178" s="553"/>
      <c r="BJ178" s="564"/>
      <c r="BK178" s="569"/>
      <c r="BL178" s="159"/>
      <c r="BM178" s="556"/>
      <c r="BN178" s="159"/>
      <c r="BO178" s="159"/>
      <c r="BP178" s="159"/>
      <c r="BQ178" s="159"/>
      <c r="BR178" s="570"/>
    </row>
    <row r="179" s="162" customFormat="1" ht="18.75" customHeight="1">
      <c r="A179" s="159"/>
      <c r="B179" s="159"/>
      <c r="C179" s="159"/>
      <c r="D179" s="159"/>
      <c r="E179" s="159"/>
      <c r="F179" s="159"/>
      <c r="G179" s="159"/>
      <c r="H179" s="159"/>
      <c r="I179" s="159"/>
      <c r="J179" s="542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544"/>
      <c r="AF179" s="571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545"/>
      <c r="AY179" s="545"/>
      <c r="AZ179" s="159"/>
      <c r="BA179" s="159"/>
      <c r="BB179" s="159"/>
      <c r="BC179" s="159"/>
      <c r="BD179" s="159"/>
      <c r="BE179" s="159"/>
      <c r="BF179" s="159"/>
      <c r="BG179" s="568"/>
      <c r="BH179" s="537"/>
      <c r="BI179" s="553"/>
      <c r="BJ179" s="564"/>
      <c r="BK179" s="569"/>
      <c r="BL179" s="159"/>
      <c r="BM179" s="556"/>
      <c r="BN179" s="159"/>
      <c r="BO179" s="159"/>
      <c r="BP179" s="159"/>
      <c r="BQ179" s="159"/>
      <c r="BR179" s="570"/>
    </row>
    <row r="180" s="162" customFormat="1" ht="18.75" customHeight="1">
      <c r="A180" s="159"/>
      <c r="B180" s="159"/>
      <c r="C180" s="159"/>
      <c r="D180" s="159"/>
      <c r="E180" s="159"/>
      <c r="F180" s="159"/>
      <c r="G180" s="159"/>
      <c r="H180" s="159"/>
      <c r="I180" s="159"/>
      <c r="J180" s="542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544"/>
      <c r="AF180" s="571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545"/>
      <c r="AY180" s="545"/>
      <c r="AZ180" s="159"/>
      <c r="BA180" s="159"/>
      <c r="BB180" s="159"/>
      <c r="BC180" s="159"/>
      <c r="BD180" s="159"/>
      <c r="BE180" s="159"/>
      <c r="BF180" s="159"/>
      <c r="BG180" s="568"/>
      <c r="BH180" s="537"/>
      <c r="BI180" s="553"/>
      <c r="BJ180" s="564"/>
      <c r="BK180" s="569"/>
      <c r="BL180" s="159"/>
      <c r="BM180" s="556"/>
      <c r="BN180" s="159"/>
      <c r="BO180" s="159"/>
      <c r="BP180" s="159"/>
      <c r="BQ180" s="159"/>
      <c r="BR180" s="570"/>
    </row>
    <row r="181" s="162" customFormat="1" ht="18.75" customHeight="1">
      <c r="A181" s="159"/>
      <c r="B181" s="159"/>
      <c r="C181" s="159"/>
      <c r="D181" s="159"/>
      <c r="E181" s="159"/>
      <c r="F181" s="159"/>
      <c r="G181" s="159"/>
      <c r="H181" s="159"/>
      <c r="I181" s="159"/>
      <c r="J181" s="542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544"/>
      <c r="AF181" s="571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545"/>
      <c r="AY181" s="545"/>
      <c r="AZ181" s="159"/>
      <c r="BA181" s="159"/>
      <c r="BB181" s="159"/>
      <c r="BC181" s="159"/>
      <c r="BD181" s="159"/>
      <c r="BE181" s="159"/>
      <c r="BF181" s="159"/>
      <c r="BG181" s="568"/>
      <c r="BH181" s="537"/>
      <c r="BI181" s="553"/>
      <c r="BJ181" s="564"/>
      <c r="BK181" s="569"/>
      <c r="BL181" s="159"/>
      <c r="BM181" s="556"/>
      <c r="BN181" s="159"/>
      <c r="BO181" s="159"/>
      <c r="BP181" s="159"/>
      <c r="BQ181" s="159"/>
      <c r="BR181" s="570"/>
    </row>
    <row r="182" s="162" customFormat="1" ht="18.75" customHeight="1">
      <c r="A182" s="159"/>
      <c r="B182" s="159"/>
      <c r="C182" s="159"/>
      <c r="D182" s="159"/>
      <c r="E182" s="159"/>
      <c r="F182" s="159"/>
      <c r="G182" s="159"/>
      <c r="H182" s="159"/>
      <c r="I182" s="159"/>
      <c r="J182" s="542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544"/>
      <c r="AF182" s="571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545"/>
      <c r="AY182" s="545"/>
      <c r="AZ182" s="159"/>
      <c r="BA182" s="159"/>
      <c r="BB182" s="159"/>
      <c r="BC182" s="159"/>
      <c r="BD182" s="159"/>
      <c r="BE182" s="159"/>
      <c r="BF182" s="159"/>
      <c r="BG182" s="568"/>
      <c r="BH182" s="537"/>
      <c r="BI182" s="553"/>
      <c r="BJ182" s="564"/>
      <c r="BK182" s="569"/>
      <c r="BL182" s="159"/>
      <c r="BM182" s="556"/>
      <c r="BN182" s="159"/>
      <c r="BO182" s="159"/>
      <c r="BP182" s="159"/>
      <c r="BQ182" s="159"/>
      <c r="BR182" s="570"/>
    </row>
    <row r="183" s="162" customFormat="1" ht="18.75" customHeight="1">
      <c r="A183" s="159"/>
      <c r="B183" s="159"/>
      <c r="C183" s="159"/>
      <c r="D183" s="159"/>
      <c r="E183" s="159"/>
      <c r="F183" s="159"/>
      <c r="G183" s="159"/>
      <c r="H183" s="159"/>
      <c r="I183" s="159"/>
      <c r="J183" s="542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544"/>
      <c r="AF183" s="571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545"/>
      <c r="AY183" s="545"/>
      <c r="AZ183" s="159"/>
      <c r="BA183" s="159"/>
      <c r="BB183" s="159"/>
      <c r="BC183" s="159"/>
      <c r="BD183" s="159"/>
      <c r="BE183" s="159"/>
      <c r="BF183" s="159"/>
      <c r="BG183" s="568"/>
      <c r="BH183" s="537"/>
      <c r="BI183" s="553"/>
      <c r="BJ183" s="564"/>
      <c r="BK183" s="569"/>
      <c r="BL183" s="159"/>
      <c r="BM183" s="556"/>
      <c r="BN183" s="159"/>
      <c r="BO183" s="159"/>
      <c r="BP183" s="159"/>
      <c r="BQ183" s="159"/>
      <c r="BR183" s="570"/>
    </row>
    <row r="184" s="162" customFormat="1" ht="18.75" customHeight="1">
      <c r="A184" s="159"/>
      <c r="B184" s="159"/>
      <c r="C184" s="159"/>
      <c r="D184" s="159"/>
      <c r="E184" s="159"/>
      <c r="F184" s="159"/>
      <c r="G184" s="159"/>
      <c r="H184" s="159"/>
      <c r="I184" s="159"/>
      <c r="J184" s="542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544"/>
      <c r="AF184" s="571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545"/>
      <c r="AY184" s="545"/>
      <c r="AZ184" s="159"/>
      <c r="BA184" s="159"/>
      <c r="BB184" s="159"/>
      <c r="BC184" s="159"/>
      <c r="BD184" s="159"/>
      <c r="BE184" s="159"/>
      <c r="BF184" s="159"/>
      <c r="BG184" s="568"/>
      <c r="BH184" s="537"/>
      <c r="BI184" s="553"/>
      <c r="BJ184" s="564"/>
      <c r="BK184" s="569"/>
      <c r="BL184" s="159"/>
      <c r="BM184" s="556"/>
      <c r="BN184" s="159"/>
      <c r="BO184" s="159"/>
      <c r="BP184" s="159"/>
      <c r="BQ184" s="159"/>
      <c r="BR184" s="570"/>
    </row>
    <row r="185" s="162" customFormat="1" ht="18.75" customHeight="1">
      <c r="A185" s="159"/>
      <c r="B185" s="159"/>
      <c r="C185" s="159"/>
      <c r="D185" s="159"/>
      <c r="E185" s="159"/>
      <c r="F185" s="159"/>
      <c r="G185" s="159"/>
      <c r="H185" s="159"/>
      <c r="I185" s="159"/>
      <c r="J185" s="542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544"/>
      <c r="AF185" s="571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545"/>
      <c r="AY185" s="545"/>
      <c r="AZ185" s="159"/>
      <c r="BA185" s="159"/>
      <c r="BB185" s="159"/>
      <c r="BC185" s="159"/>
      <c r="BD185" s="159"/>
      <c r="BE185" s="159"/>
      <c r="BF185" s="159"/>
      <c r="BG185" s="568"/>
      <c r="BH185" s="537"/>
      <c r="BI185" s="553"/>
      <c r="BJ185" s="564"/>
      <c r="BK185" s="569"/>
      <c r="BL185" s="159"/>
      <c r="BM185" s="556"/>
      <c r="BN185" s="159"/>
      <c r="BO185" s="159"/>
      <c r="BP185" s="159"/>
      <c r="BQ185" s="159"/>
      <c r="BR185" s="570"/>
    </row>
    <row r="186" s="162" customFormat="1" ht="18.75" customHeight="1">
      <c r="A186" s="159"/>
      <c r="B186" s="159"/>
      <c r="C186" s="159"/>
      <c r="D186" s="159"/>
      <c r="E186" s="159"/>
      <c r="F186" s="159"/>
      <c r="G186" s="159"/>
      <c r="H186" s="159"/>
      <c r="I186" s="159"/>
      <c r="J186" s="542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544"/>
      <c r="AF186" s="571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545"/>
      <c r="AY186" s="545"/>
      <c r="AZ186" s="159"/>
      <c r="BA186" s="159"/>
      <c r="BB186" s="159"/>
      <c r="BC186" s="159"/>
      <c r="BD186" s="159"/>
      <c r="BE186" s="159"/>
      <c r="BF186" s="159"/>
      <c r="BG186" s="568"/>
      <c r="BH186" s="537"/>
      <c r="BI186" s="553"/>
      <c r="BJ186" s="564"/>
      <c r="BK186" s="569"/>
      <c r="BL186" s="159"/>
      <c r="BM186" s="556"/>
      <c r="BN186" s="159"/>
      <c r="BO186" s="159"/>
      <c r="BP186" s="159"/>
      <c r="BQ186" s="159"/>
      <c r="BR186" s="570"/>
    </row>
    <row r="187" s="162" customFormat="1" ht="18.75" customHeight="1">
      <c r="A187" s="159"/>
      <c r="B187" s="159"/>
      <c r="C187" s="159"/>
      <c r="D187" s="159"/>
      <c r="E187" s="159"/>
      <c r="F187" s="159"/>
      <c r="G187" s="159"/>
      <c r="H187" s="159"/>
      <c r="I187" s="159"/>
      <c r="J187" s="542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544"/>
      <c r="AF187" s="571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545"/>
      <c r="AY187" s="545"/>
      <c r="AZ187" s="159"/>
      <c r="BA187" s="159"/>
      <c r="BB187" s="159"/>
      <c r="BC187" s="159"/>
      <c r="BD187" s="159"/>
      <c r="BE187" s="159"/>
      <c r="BF187" s="159"/>
      <c r="BG187" s="568"/>
      <c r="BH187" s="537"/>
      <c r="BI187" s="553"/>
      <c r="BJ187" s="564"/>
      <c r="BK187" s="569"/>
      <c r="BL187" s="159"/>
      <c r="BM187" s="556"/>
      <c r="BN187" s="159"/>
      <c r="BO187" s="159"/>
      <c r="BP187" s="159"/>
      <c r="BQ187" s="159"/>
      <c r="BR187" s="570"/>
    </row>
    <row r="188" s="162" customFormat="1" ht="18.75" customHeight="1">
      <c r="A188" s="159"/>
      <c r="B188" s="159"/>
      <c r="C188" s="159"/>
      <c r="D188" s="159"/>
      <c r="E188" s="159"/>
      <c r="F188" s="159"/>
      <c r="G188" s="159"/>
      <c r="H188" s="159"/>
      <c r="I188" s="159"/>
      <c r="J188" s="542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544"/>
      <c r="AF188" s="571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545"/>
      <c r="AY188" s="545"/>
      <c r="AZ188" s="159"/>
      <c r="BA188" s="159"/>
      <c r="BB188" s="159"/>
      <c r="BC188" s="159"/>
      <c r="BD188" s="159"/>
      <c r="BE188" s="159"/>
      <c r="BF188" s="159"/>
      <c r="BG188" s="568"/>
      <c r="BH188" s="537"/>
      <c r="BI188" s="553"/>
      <c r="BJ188" s="564"/>
      <c r="BK188" s="569"/>
      <c r="BL188" s="159"/>
      <c r="BM188" s="556"/>
      <c r="BN188" s="159"/>
      <c r="BO188" s="159"/>
      <c r="BP188" s="159"/>
      <c r="BQ188" s="159"/>
      <c r="BR188" s="570"/>
    </row>
    <row r="189" s="162" customFormat="1" ht="18.75" customHeight="1">
      <c r="A189" s="159"/>
      <c r="B189" s="159"/>
      <c r="C189" s="159"/>
      <c r="D189" s="159"/>
      <c r="E189" s="159"/>
      <c r="F189" s="159"/>
      <c r="G189" s="159"/>
      <c r="H189" s="159"/>
      <c r="I189" s="159"/>
      <c r="J189" s="542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544"/>
      <c r="AF189" s="571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545"/>
      <c r="AY189" s="545"/>
      <c r="AZ189" s="159"/>
      <c r="BA189" s="159"/>
      <c r="BB189" s="159"/>
      <c r="BC189" s="159"/>
      <c r="BD189" s="159"/>
      <c r="BE189" s="159"/>
      <c r="BF189" s="159"/>
      <c r="BG189" s="568"/>
      <c r="BH189" s="537"/>
      <c r="BI189" s="553"/>
      <c r="BJ189" s="564"/>
      <c r="BK189" s="569"/>
      <c r="BL189" s="159"/>
      <c r="BM189" s="556"/>
      <c r="BN189" s="159"/>
      <c r="BO189" s="159"/>
      <c r="BP189" s="159"/>
      <c r="BQ189" s="159"/>
      <c r="BR189" s="570"/>
    </row>
    <row r="190" s="162" customFormat="1" ht="18.75" customHeight="1">
      <c r="A190" s="159"/>
      <c r="B190" s="159"/>
      <c r="C190" s="159"/>
      <c r="D190" s="159"/>
      <c r="E190" s="159"/>
      <c r="F190" s="159"/>
      <c r="G190" s="159"/>
      <c r="H190" s="159"/>
      <c r="I190" s="159"/>
      <c r="J190" s="542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544"/>
      <c r="AF190" s="571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545"/>
      <c r="AY190" s="545"/>
      <c r="AZ190" s="159"/>
      <c r="BA190" s="159"/>
      <c r="BB190" s="159"/>
      <c r="BC190" s="159"/>
      <c r="BD190" s="159"/>
      <c r="BE190" s="159"/>
      <c r="BF190" s="159"/>
      <c r="BG190" s="568"/>
      <c r="BH190" s="537"/>
      <c r="BI190" s="553"/>
      <c r="BJ190" s="564"/>
      <c r="BK190" s="569"/>
      <c r="BL190" s="159"/>
      <c r="BM190" s="556"/>
      <c r="BN190" s="159"/>
      <c r="BO190" s="159"/>
      <c r="BP190" s="159"/>
      <c r="BQ190" s="159"/>
      <c r="BR190" s="570"/>
    </row>
    <row r="191" s="162" customFormat="1" ht="18.75" customHeight="1">
      <c r="A191" s="159"/>
      <c r="B191" s="159"/>
      <c r="C191" s="159"/>
      <c r="D191" s="159"/>
      <c r="E191" s="159"/>
      <c r="F191" s="159"/>
      <c r="G191" s="159"/>
      <c r="H191" s="159"/>
      <c r="I191" s="159"/>
      <c r="J191" s="542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544"/>
      <c r="AF191" s="571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545"/>
      <c r="AY191" s="545"/>
      <c r="AZ191" s="159"/>
      <c r="BA191" s="159"/>
      <c r="BB191" s="159"/>
      <c r="BC191" s="159"/>
      <c r="BD191" s="159"/>
      <c r="BE191" s="159"/>
      <c r="BF191" s="159"/>
      <c r="BG191" s="568"/>
      <c r="BH191" s="537"/>
      <c r="BI191" s="553"/>
      <c r="BJ191" s="564"/>
      <c r="BK191" s="569"/>
      <c r="BL191" s="159"/>
      <c r="BM191" s="556"/>
      <c r="BN191" s="159"/>
      <c r="BO191" s="159"/>
      <c r="BP191" s="159"/>
      <c r="BQ191" s="159"/>
      <c r="BR191" s="570"/>
    </row>
    <row r="192" s="162" customFormat="1" ht="18.75" customHeight="1">
      <c r="A192" s="159"/>
      <c r="B192" s="159"/>
      <c r="C192" s="159"/>
      <c r="D192" s="159"/>
      <c r="E192" s="159"/>
      <c r="F192" s="159"/>
      <c r="G192" s="159"/>
      <c r="H192" s="159"/>
      <c r="I192" s="159"/>
      <c r="J192" s="542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544"/>
      <c r="AF192" s="571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545"/>
      <c r="AY192" s="545"/>
      <c r="AZ192" s="159"/>
      <c r="BA192" s="159"/>
      <c r="BB192" s="159"/>
      <c r="BC192" s="159"/>
      <c r="BD192" s="159"/>
      <c r="BE192" s="159"/>
      <c r="BF192" s="159"/>
      <c r="BG192" s="568"/>
      <c r="BH192" s="537"/>
      <c r="BI192" s="553"/>
      <c r="BJ192" s="564"/>
      <c r="BK192" s="569"/>
      <c r="BL192" s="159"/>
      <c r="BM192" s="556"/>
      <c r="BN192" s="159"/>
      <c r="BO192" s="159"/>
      <c r="BP192" s="159"/>
      <c r="BQ192" s="159"/>
      <c r="BR192" s="570"/>
    </row>
    <row r="193" s="162" customFormat="1" ht="18.75" customHeight="1">
      <c r="A193" s="159"/>
      <c r="B193" s="159"/>
      <c r="C193" s="159"/>
      <c r="D193" s="159"/>
      <c r="E193" s="159"/>
      <c r="F193" s="159"/>
      <c r="G193" s="159"/>
      <c r="H193" s="159"/>
      <c r="I193" s="159"/>
      <c r="J193" s="542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544"/>
      <c r="AF193" s="571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545"/>
      <c r="AY193" s="545"/>
      <c r="AZ193" s="159"/>
      <c r="BA193" s="159"/>
      <c r="BB193" s="159"/>
      <c r="BC193" s="159"/>
      <c r="BD193" s="159"/>
      <c r="BE193" s="159"/>
      <c r="BF193" s="159"/>
      <c r="BG193" s="568"/>
      <c r="BH193" s="537"/>
      <c r="BI193" s="553"/>
      <c r="BJ193" s="564"/>
      <c r="BK193" s="569"/>
      <c r="BL193" s="159"/>
      <c r="BM193" s="556"/>
      <c r="BN193" s="159"/>
      <c r="BO193" s="159"/>
      <c r="BP193" s="159"/>
      <c r="BQ193" s="159"/>
      <c r="BR193" s="570"/>
    </row>
    <row r="194" s="162" customFormat="1" ht="18.75" customHeight="1">
      <c r="A194" s="159"/>
      <c r="B194" s="159"/>
      <c r="C194" s="159"/>
      <c r="D194" s="159"/>
      <c r="E194" s="159"/>
      <c r="F194" s="159"/>
      <c r="G194" s="159"/>
      <c r="H194" s="159"/>
      <c r="I194" s="159"/>
      <c r="J194" s="542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544"/>
      <c r="AF194" s="571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545"/>
      <c r="AY194" s="545"/>
      <c r="AZ194" s="159"/>
      <c r="BA194" s="159"/>
      <c r="BB194" s="159"/>
      <c r="BC194" s="159"/>
      <c r="BD194" s="159"/>
      <c r="BE194" s="159"/>
      <c r="BF194" s="159"/>
      <c r="BG194" s="568"/>
      <c r="BH194" s="537"/>
      <c r="BI194" s="553"/>
      <c r="BJ194" s="564"/>
      <c r="BK194" s="569"/>
      <c r="BL194" s="159"/>
      <c r="BM194" s="556"/>
      <c r="BN194" s="159"/>
      <c r="BO194" s="159"/>
      <c r="BP194" s="159"/>
      <c r="BQ194" s="159"/>
      <c r="BR194" s="570"/>
    </row>
    <row r="195" s="162" customFormat="1" ht="18.75" customHeight="1">
      <c r="A195" s="159"/>
      <c r="B195" s="159"/>
      <c r="C195" s="159"/>
      <c r="D195" s="159"/>
      <c r="E195" s="159"/>
      <c r="F195" s="159"/>
      <c r="G195" s="159"/>
      <c r="H195" s="159"/>
      <c r="I195" s="159"/>
      <c r="J195" s="542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544"/>
      <c r="AF195" s="571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545"/>
      <c r="AY195" s="545"/>
      <c r="AZ195" s="159"/>
      <c r="BA195" s="159"/>
      <c r="BB195" s="159"/>
      <c r="BC195" s="159"/>
      <c r="BD195" s="159"/>
      <c r="BE195" s="159"/>
      <c r="BF195" s="159"/>
      <c r="BG195" s="568"/>
      <c r="BH195" s="537"/>
      <c r="BI195" s="553"/>
      <c r="BJ195" s="564"/>
      <c r="BL195" s="159"/>
      <c r="BM195" s="556"/>
      <c r="BN195" s="159"/>
      <c r="BO195" s="159"/>
      <c r="BP195" s="159"/>
      <c r="BQ195" s="159"/>
      <c r="BR195" s="570"/>
    </row>
    <row r="196" s="162" customFormat="1" ht="18.75" customHeight="1">
      <c r="A196" s="159"/>
      <c r="B196" s="159"/>
      <c r="C196" s="159"/>
      <c r="D196" s="159"/>
      <c r="E196" s="159"/>
      <c r="F196" s="159"/>
      <c r="G196" s="159"/>
      <c r="H196" s="159"/>
      <c r="I196" s="159"/>
      <c r="J196" s="542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544"/>
      <c r="AF196" s="571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545"/>
      <c r="AY196" s="545"/>
      <c r="AZ196" s="159"/>
      <c r="BA196" s="159"/>
      <c r="BB196" s="159"/>
      <c r="BC196" s="159"/>
      <c r="BD196" s="159"/>
      <c r="BE196" s="159"/>
      <c r="BF196" s="159"/>
      <c r="BG196" s="568"/>
      <c r="BH196" s="537"/>
      <c r="BI196" s="553"/>
      <c r="BJ196" s="564"/>
      <c r="BL196" s="159"/>
      <c r="BM196" s="556"/>
      <c r="BN196" s="159"/>
      <c r="BO196" s="159"/>
      <c r="BP196" s="159"/>
      <c r="BQ196" s="159"/>
      <c r="BR196" s="570"/>
    </row>
    <row r="197" s="162" customFormat="1" ht="18.75" customHeight="1">
      <c r="A197" s="159"/>
      <c r="B197" s="159"/>
      <c r="C197" s="159"/>
      <c r="D197" s="159"/>
      <c r="E197" s="159"/>
      <c r="F197" s="159"/>
      <c r="G197" s="159"/>
      <c r="H197" s="159"/>
      <c r="I197" s="159"/>
      <c r="J197" s="542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544"/>
      <c r="AF197" s="571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545"/>
      <c r="AY197" s="545"/>
      <c r="AZ197" s="159"/>
      <c r="BA197" s="159"/>
      <c r="BB197" s="159"/>
      <c r="BC197" s="159"/>
      <c r="BD197" s="159"/>
      <c r="BE197" s="159"/>
      <c r="BF197" s="159"/>
      <c r="BG197" s="568"/>
      <c r="BH197" s="537"/>
      <c r="BI197" s="553"/>
      <c r="BJ197" s="564"/>
      <c r="BL197" s="159"/>
      <c r="BM197" s="556"/>
      <c r="BN197" s="159"/>
      <c r="BO197" s="159"/>
      <c r="BP197" s="159"/>
      <c r="BQ197" s="159"/>
      <c r="BR197" s="570"/>
    </row>
    <row r="198" s="162" customFormat="1" ht="18.75" customHeight="1">
      <c r="A198" s="159"/>
      <c r="B198" s="159"/>
      <c r="C198" s="159"/>
      <c r="D198" s="159"/>
      <c r="E198" s="159"/>
      <c r="F198" s="159"/>
      <c r="G198" s="159"/>
      <c r="H198" s="159"/>
      <c r="I198" s="159"/>
      <c r="J198" s="542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544"/>
      <c r="AF198" s="571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545"/>
      <c r="AY198" s="545"/>
      <c r="AZ198" s="159"/>
      <c r="BA198" s="159"/>
      <c r="BB198" s="159"/>
      <c r="BC198" s="159"/>
      <c r="BD198" s="159"/>
      <c r="BE198" s="159"/>
      <c r="BF198" s="159"/>
      <c r="BG198" s="568"/>
      <c r="BH198" s="537"/>
      <c r="BI198" s="553"/>
      <c r="BJ198" s="564"/>
      <c r="BL198" s="159"/>
      <c r="BM198" s="556"/>
      <c r="BN198" s="159"/>
      <c r="BO198" s="159"/>
      <c r="BP198" s="159"/>
      <c r="BQ198" s="159"/>
      <c r="BR198" s="570"/>
    </row>
    <row r="199" s="162" customFormat="1" ht="18.75" customHeight="1">
      <c r="A199" s="159"/>
      <c r="B199" s="159"/>
      <c r="C199" s="159"/>
      <c r="D199" s="159"/>
      <c r="E199" s="159"/>
      <c r="F199" s="159"/>
      <c r="G199" s="159"/>
      <c r="H199" s="159"/>
      <c r="I199" s="159"/>
      <c r="J199" s="542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544"/>
      <c r="AF199" s="571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545"/>
      <c r="AY199" s="545"/>
      <c r="AZ199" s="159"/>
      <c r="BA199" s="159"/>
      <c r="BB199" s="159"/>
      <c r="BC199" s="159"/>
      <c r="BD199" s="159"/>
      <c r="BE199" s="159"/>
      <c r="BF199" s="159"/>
      <c r="BG199" s="568"/>
      <c r="BH199" s="537"/>
      <c r="BI199" s="553"/>
      <c r="BJ199" s="564"/>
      <c r="BL199" s="159"/>
      <c r="BM199" s="556"/>
      <c r="BN199" s="159"/>
      <c r="BO199" s="159"/>
      <c r="BP199" s="159"/>
      <c r="BQ199" s="159"/>
      <c r="BR199" s="570"/>
    </row>
    <row r="200" s="162" customFormat="1" ht="18.75" customHeight="1">
      <c r="A200" s="159"/>
      <c r="B200" s="159"/>
      <c r="C200" s="159"/>
      <c r="D200" s="159"/>
      <c r="E200" s="159"/>
      <c r="F200" s="159"/>
      <c r="G200" s="159"/>
      <c r="H200" s="159"/>
      <c r="I200" s="159"/>
      <c r="J200" s="542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544"/>
      <c r="AF200" s="571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545"/>
      <c r="AY200" s="545"/>
      <c r="AZ200" s="159"/>
      <c r="BA200" s="159"/>
      <c r="BB200" s="159"/>
      <c r="BC200" s="159"/>
      <c r="BD200" s="159"/>
      <c r="BE200" s="159"/>
      <c r="BF200" s="159"/>
      <c r="BG200" s="568"/>
      <c r="BH200" s="537"/>
      <c r="BI200" s="553"/>
      <c r="BJ200" s="564"/>
      <c r="BP200" s="159"/>
      <c r="BQ200" s="159"/>
      <c r="BR200" s="570"/>
    </row>
    <row r="201" s="162" customFormat="1" ht="18.75" customHeight="1">
      <c r="A201" s="159"/>
      <c r="B201" s="159"/>
      <c r="C201" s="159"/>
      <c r="D201" s="159"/>
      <c r="E201" s="159"/>
      <c r="F201" s="159"/>
      <c r="G201" s="159"/>
      <c r="H201" s="159"/>
      <c r="I201" s="159"/>
      <c r="J201" s="542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544"/>
      <c r="AF201" s="571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545"/>
      <c r="AY201" s="545"/>
      <c r="AZ201" s="159"/>
      <c r="BA201" s="159"/>
      <c r="BB201" s="159"/>
      <c r="BC201" s="159"/>
      <c r="BD201" s="159"/>
      <c r="BE201" s="159"/>
      <c r="BF201" s="159"/>
      <c r="BG201" s="568"/>
      <c r="BH201" s="537"/>
      <c r="BI201" s="553"/>
      <c r="BJ201" s="564"/>
      <c r="BP201" s="159"/>
      <c r="BQ201" s="159"/>
      <c r="BR201" s="570"/>
    </row>
    <row r="202" s="162" customFormat="1" ht="18.75" customHeight="1">
      <c r="A202" s="159"/>
      <c r="B202" s="159"/>
      <c r="C202" s="159"/>
      <c r="D202" s="159"/>
      <c r="E202" s="159"/>
      <c r="F202" s="159"/>
      <c r="G202" s="159"/>
      <c r="H202" s="159"/>
      <c r="I202" s="159"/>
      <c r="J202" s="542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544"/>
      <c r="AF202" s="571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545"/>
      <c r="AY202" s="545"/>
      <c r="AZ202" s="159"/>
      <c r="BA202" s="159"/>
      <c r="BB202" s="159"/>
      <c r="BC202" s="159"/>
      <c r="BD202" s="159"/>
      <c r="BE202" s="159"/>
      <c r="BF202" s="159"/>
      <c r="BG202" s="568"/>
      <c r="BH202" s="537"/>
      <c r="BI202" s="553"/>
      <c r="BJ202" s="564"/>
      <c r="BP202" s="159"/>
      <c r="BQ202" s="159"/>
      <c r="BR202" s="570"/>
    </row>
    <row r="203" s="162" customFormat="1" ht="18.75" customHeight="1">
      <c r="A203" s="159"/>
      <c r="B203" s="159"/>
      <c r="C203" s="159"/>
      <c r="D203" s="159"/>
      <c r="E203" s="159"/>
      <c r="F203" s="159"/>
      <c r="G203" s="159"/>
      <c r="H203" s="159"/>
      <c r="I203" s="159"/>
      <c r="J203" s="542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544"/>
      <c r="AF203" s="571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545"/>
      <c r="AY203" s="545"/>
      <c r="AZ203" s="159"/>
      <c r="BA203" s="159"/>
      <c r="BB203" s="159"/>
      <c r="BC203" s="159"/>
      <c r="BD203" s="159"/>
      <c r="BE203" s="159"/>
      <c r="BF203" s="159"/>
      <c r="BG203" s="568"/>
      <c r="BH203" s="537"/>
      <c r="BI203" s="553"/>
      <c r="BJ203" s="564"/>
      <c r="BP203" s="159"/>
      <c r="BQ203" s="159"/>
      <c r="BR203" s="570"/>
    </row>
    <row r="204" s="162" customFormat="1" ht="18.75" customHeight="1">
      <c r="A204" s="159"/>
      <c r="B204" s="159"/>
      <c r="C204" s="159"/>
      <c r="D204" s="159"/>
      <c r="E204" s="159"/>
      <c r="F204" s="159"/>
      <c r="G204" s="159"/>
      <c r="H204" s="159"/>
      <c r="I204" s="159"/>
      <c r="J204" s="542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544"/>
      <c r="AF204" s="571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545"/>
      <c r="AY204" s="545"/>
      <c r="AZ204" s="159"/>
      <c r="BA204" s="159"/>
      <c r="BB204" s="159"/>
      <c r="BC204" s="159"/>
      <c r="BD204" s="159"/>
      <c r="BE204" s="159"/>
      <c r="BF204" s="159"/>
      <c r="BG204" s="568"/>
      <c r="BH204" s="537"/>
      <c r="BI204" s="553"/>
      <c r="BJ204" s="564"/>
      <c r="BP204" s="159"/>
      <c r="BQ204" s="159"/>
      <c r="BR204" s="570"/>
    </row>
    <row r="205" s="162" customFormat="1" ht="18.75" customHeight="1">
      <c r="A205" s="159"/>
      <c r="B205" s="159"/>
      <c r="C205" s="159"/>
      <c r="D205" s="159"/>
      <c r="E205" s="159"/>
      <c r="F205" s="159"/>
      <c r="G205" s="159"/>
      <c r="H205" s="159"/>
      <c r="I205" s="159"/>
      <c r="J205" s="542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544"/>
      <c r="AF205" s="571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545"/>
      <c r="AY205" s="545"/>
      <c r="AZ205" s="159"/>
      <c r="BA205" s="159"/>
      <c r="BB205" s="159"/>
      <c r="BC205" s="159"/>
      <c r="BD205" s="159"/>
      <c r="BE205" s="159"/>
      <c r="BF205" s="159"/>
      <c r="BG205" s="568"/>
      <c r="BH205" s="537"/>
      <c r="BI205" s="553"/>
      <c r="BJ205" s="564"/>
      <c r="BQ205" s="159"/>
      <c r="BR205" s="570"/>
    </row>
    <row r="206" s="162" customFormat="1" ht="18.75" customHeight="1">
      <c r="A206" s="159"/>
      <c r="B206" s="159"/>
      <c r="C206" s="159"/>
      <c r="D206" s="159"/>
      <c r="E206" s="159"/>
      <c r="F206" s="159"/>
      <c r="G206" s="159"/>
      <c r="H206" s="159"/>
      <c r="I206" s="159"/>
      <c r="J206" s="542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544"/>
      <c r="AF206" s="571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545"/>
      <c r="AY206" s="545"/>
      <c r="AZ206" s="159"/>
      <c r="BA206" s="159"/>
      <c r="BB206" s="159"/>
      <c r="BC206" s="159"/>
      <c r="BD206" s="159"/>
      <c r="BE206" s="159"/>
      <c r="BF206" s="159"/>
      <c r="BG206" s="568"/>
      <c r="BH206" s="537"/>
      <c r="BI206" s="553"/>
      <c r="BJ206" s="564"/>
      <c r="BR206" s="570"/>
    </row>
    <row r="207" s="162" customFormat="1" ht="15.75" customHeight="1">
      <c r="J207" s="573"/>
      <c r="AY207" s="545"/>
      <c r="AZ207" s="159"/>
      <c r="BA207" s="159"/>
      <c r="BF207" s="159"/>
      <c r="BG207" s="568"/>
      <c r="BH207" s="537"/>
      <c r="BI207" s="553"/>
      <c r="BJ207" s="574"/>
      <c r="BR207" s="570"/>
    </row>
    <row r="208" s="162" customFormat="1" ht="15.75" customHeight="1">
      <c r="J208" s="573"/>
      <c r="AZ208" s="159"/>
      <c r="BA208" s="159"/>
      <c r="BF208" s="159"/>
      <c r="BG208" s="568"/>
      <c r="BH208" s="537"/>
      <c r="BI208" s="553"/>
      <c r="BJ208" s="574"/>
      <c r="BR208" s="570"/>
    </row>
    <row r="209" s="162" customFormat="1" ht="15.75" customHeight="1">
      <c r="J209" s="573"/>
      <c r="BG209" s="568"/>
      <c r="BH209" s="537"/>
      <c r="BI209" s="553"/>
      <c r="BJ209" s="574"/>
      <c r="BR209" s="570"/>
    </row>
    <row r="210" s="162" customFormat="1" ht="15.75" customHeight="1">
      <c r="J210" s="573"/>
      <c r="BG210" s="568"/>
      <c r="BH210" s="537"/>
      <c r="BI210" s="553"/>
      <c r="BJ210" s="574"/>
      <c r="BR210" s="570"/>
    </row>
    <row r="211" s="162" customFormat="1" ht="15.75" customHeight="1">
      <c r="J211" s="573"/>
      <c r="BG211" s="568"/>
      <c r="BH211" s="537"/>
      <c r="BI211" s="553"/>
      <c r="BJ211" s="574"/>
      <c r="BR211" s="570"/>
    </row>
    <row r="212" s="162" customFormat="1" ht="15.75" customHeight="1">
      <c r="BG212" s="568"/>
      <c r="BH212" s="537"/>
      <c r="BI212" s="575"/>
      <c r="BR212" s="570"/>
    </row>
    <row r="213" s="162" customFormat="1" ht="15.75" customHeight="1">
      <c r="BG213" s="568"/>
      <c r="BH213" s="576"/>
      <c r="BI213" s="575"/>
      <c r="BR213" s="570"/>
    </row>
    <row r="214" s="162" customFormat="1" ht="15.75" customHeight="1">
      <c r="BG214" s="568"/>
      <c r="BH214" s="576"/>
      <c r="BI214" s="575"/>
      <c r="BR214" s="570"/>
    </row>
    <row r="215" s="162" customFormat="1" ht="15.75" customHeight="1">
      <c r="BG215" s="568"/>
      <c r="BH215" s="576"/>
      <c r="BI215" s="575"/>
      <c r="BR215" s="570"/>
    </row>
    <row r="216" s="162" customFormat="1" ht="15.75" customHeight="1">
      <c r="BG216" s="568"/>
      <c r="BH216" s="576"/>
      <c r="BI216" s="575"/>
      <c r="BR216" s="570"/>
    </row>
    <row r="217" s="162" customFormat="1" ht="15.75" customHeight="1">
      <c r="BG217" s="577"/>
      <c r="BH217" s="576"/>
      <c r="BR217" s="570"/>
    </row>
    <row r="218" s="162" customFormat="1" ht="15.75" customHeight="1">
      <c r="BG218" s="577"/>
      <c r="BR218" s="570"/>
    </row>
    <row r="219" s="162" customFormat="1" ht="15.75" customHeight="1">
      <c r="BR219" s="570"/>
    </row>
    <row r="220" s="162" customFormat="1" ht="15.75" customHeight="1">
      <c r="BR220" s="570"/>
    </row>
    <row r="221" s="162" customFormat="1" ht="15.75" customHeight="1">
      <c r="AE221" s="570"/>
      <c r="AF221" s="570"/>
      <c r="BI221" s="570"/>
      <c r="BJ221" s="570"/>
      <c r="BR221" s="570"/>
    </row>
    <row r="222" s="162" customFormat="1" ht="15.75" customHeight="1">
      <c r="AE222" s="570"/>
      <c r="AF222" s="570"/>
      <c r="BI222" s="570"/>
      <c r="BJ222" s="570"/>
      <c r="BR222" s="570"/>
    </row>
    <row r="223" s="162" customFormat="1" ht="15.75" customHeight="1">
      <c r="AE223" s="570"/>
      <c r="AF223" s="570"/>
      <c r="BI223" s="570"/>
      <c r="BJ223" s="570"/>
      <c r="BR223" s="570"/>
    </row>
    <row r="224" s="162" customFormat="1" ht="15.75" customHeight="1">
      <c r="AE224" s="570"/>
      <c r="AF224" s="570"/>
      <c r="BI224" s="570"/>
      <c r="BJ224" s="570"/>
      <c r="BR224" s="570"/>
    </row>
    <row r="225" s="162" customFormat="1" ht="15.75" customHeight="1">
      <c r="AE225" s="570"/>
      <c r="AF225" s="570"/>
      <c r="BI225" s="570"/>
      <c r="BJ225" s="570"/>
      <c r="BR225" s="570"/>
    </row>
    <row r="226" s="162" customFormat="1" ht="15.75" customHeight="1">
      <c r="AE226" s="570"/>
      <c r="AF226" s="570"/>
      <c r="BI226" s="570"/>
      <c r="BJ226" s="570"/>
      <c r="BR226" s="570"/>
    </row>
    <row r="227" s="162" customFormat="1" ht="15.75" customHeight="1">
      <c r="AE227" s="570"/>
      <c r="AF227" s="570"/>
      <c r="BI227" s="570"/>
      <c r="BJ227" s="570"/>
      <c r="BR227" s="570"/>
    </row>
    <row r="228" s="162" customFormat="1" ht="15.75" customHeight="1">
      <c r="AE228" s="570"/>
      <c r="AF228" s="570"/>
      <c r="BI228" s="570"/>
      <c r="BJ228" s="570"/>
      <c r="BR228" s="570"/>
    </row>
    <row r="229" s="162" customFormat="1" ht="15.75" customHeight="1">
      <c r="AE229" s="570"/>
      <c r="AF229" s="570"/>
      <c r="BI229" s="570"/>
      <c r="BJ229" s="570"/>
      <c r="BR229" s="570"/>
    </row>
    <row r="230" s="162" customFormat="1" ht="15.75" customHeight="1">
      <c r="AE230" s="570"/>
      <c r="AF230" s="570"/>
      <c r="BI230" s="570"/>
      <c r="BJ230" s="570"/>
      <c r="BR230" s="570"/>
    </row>
    <row r="231" s="162" customFormat="1" ht="15.75" customHeight="1">
      <c r="AE231" s="570"/>
      <c r="AF231" s="570"/>
      <c r="BI231" s="570"/>
      <c r="BJ231" s="570"/>
      <c r="BR231" s="570"/>
    </row>
    <row r="232" s="162" customFormat="1" ht="15.75" customHeight="1">
      <c r="AE232" s="570"/>
      <c r="AF232" s="570"/>
      <c r="BI232" s="570"/>
      <c r="BJ232" s="570"/>
      <c r="BR232" s="570"/>
    </row>
    <row r="233" s="162" customFormat="1" ht="15.75" customHeight="1">
      <c r="AE233" s="570"/>
      <c r="AF233" s="570"/>
      <c r="BI233" s="570"/>
      <c r="BJ233" s="570"/>
      <c r="BR233" s="570"/>
    </row>
    <row r="234" s="162" customFormat="1" ht="15.75" customHeight="1">
      <c r="AE234" s="570"/>
      <c r="AF234" s="570"/>
      <c r="BI234" s="570"/>
      <c r="BJ234" s="570"/>
      <c r="BR234" s="570"/>
    </row>
    <row r="235" s="162" customFormat="1" ht="15.75" customHeight="1">
      <c r="AE235" s="570"/>
      <c r="AF235" s="570"/>
      <c r="BI235" s="570"/>
      <c r="BJ235" s="570"/>
      <c r="BR235" s="570"/>
    </row>
    <row r="236" s="162" customFormat="1" ht="15.75" customHeight="1">
      <c r="AE236" s="570"/>
      <c r="AF236" s="570"/>
      <c r="BI236" s="570"/>
      <c r="BJ236" s="570"/>
      <c r="BR236" s="570"/>
    </row>
    <row r="237" s="162" customFormat="1" ht="15.75" customHeight="1">
      <c r="AE237" s="570"/>
      <c r="AF237" s="570"/>
      <c r="BI237" s="570"/>
      <c r="BJ237" s="570"/>
      <c r="BR237" s="570"/>
    </row>
    <row r="238" s="162" customFormat="1" ht="15.75" customHeight="1">
      <c r="AE238" s="570"/>
      <c r="AF238" s="570"/>
      <c r="BI238" s="570"/>
      <c r="BJ238" s="570"/>
      <c r="BR238" s="570"/>
    </row>
    <row r="239" s="162" customFormat="1" ht="15.75" customHeight="1">
      <c r="AE239" s="570"/>
      <c r="AF239" s="570"/>
      <c r="BI239" s="570"/>
      <c r="BJ239" s="570"/>
      <c r="BR239" s="570"/>
    </row>
    <row r="240" s="162" customFormat="1" ht="15.75" customHeight="1">
      <c r="AE240" s="570"/>
      <c r="AF240" s="570"/>
      <c r="BI240" s="570"/>
      <c r="BJ240" s="570"/>
      <c r="BR240" s="570"/>
    </row>
    <row r="241" s="162" customFormat="1" ht="15.75" customHeight="1">
      <c r="AE241" s="570"/>
      <c r="AF241" s="570"/>
      <c r="BI241" s="570"/>
      <c r="BJ241" s="570"/>
      <c r="BR241" s="570"/>
    </row>
    <row r="242" s="162" customFormat="1" ht="15.75" customHeight="1">
      <c r="AE242" s="570"/>
      <c r="AF242" s="570"/>
      <c r="BI242" s="570"/>
      <c r="BJ242" s="570"/>
      <c r="BR242" s="570"/>
    </row>
    <row r="243" s="162" customFormat="1" ht="15.75" customHeight="1">
      <c r="AE243" s="570"/>
      <c r="AF243" s="570"/>
      <c r="BI243" s="570"/>
      <c r="BJ243" s="570"/>
      <c r="BR243" s="570"/>
    </row>
    <row r="244" s="162" customFormat="1" ht="15.75" customHeight="1">
      <c r="AE244" s="570"/>
      <c r="AF244" s="570"/>
      <c r="BI244" s="570"/>
      <c r="BJ244" s="570"/>
      <c r="BR244" s="570"/>
    </row>
    <row r="245" s="162" customFormat="1" ht="15.75" customHeight="1">
      <c r="AE245" s="570"/>
      <c r="AF245" s="570"/>
      <c r="BI245" s="570"/>
      <c r="BJ245" s="570"/>
      <c r="BR245" s="570"/>
    </row>
    <row r="246" s="162" customFormat="1" ht="15.75" customHeight="1">
      <c r="AE246" s="570"/>
      <c r="AF246" s="570"/>
      <c r="BI246" s="570"/>
      <c r="BJ246" s="570"/>
      <c r="BR246" s="570"/>
    </row>
    <row r="247" s="162" customFormat="1" ht="15.75" customHeight="1">
      <c r="AE247" s="570"/>
      <c r="AF247" s="570"/>
      <c r="BI247" s="570"/>
      <c r="BJ247" s="570"/>
      <c r="BR247" s="570"/>
    </row>
    <row r="248" s="162" customFormat="1" ht="15.75" customHeight="1">
      <c r="AE248" s="570"/>
      <c r="AF248" s="570"/>
      <c r="BI248" s="570"/>
      <c r="BJ248" s="570"/>
      <c r="BR248" s="570"/>
    </row>
    <row r="249" s="162" customFormat="1" ht="15.75" customHeight="1">
      <c r="AE249" s="570"/>
      <c r="AF249" s="570"/>
      <c r="BI249" s="570"/>
      <c r="BJ249" s="570"/>
      <c r="BR249" s="570"/>
    </row>
    <row r="250" s="162" customFormat="1" ht="15.75" customHeight="1">
      <c r="AE250" s="570"/>
      <c r="AF250" s="570"/>
      <c r="BI250" s="570"/>
      <c r="BJ250" s="570"/>
      <c r="BR250" s="570"/>
    </row>
    <row r="251" s="162" customFormat="1" ht="15.75" customHeight="1">
      <c r="AE251" s="570"/>
      <c r="AF251" s="570"/>
      <c r="BI251" s="570"/>
      <c r="BJ251" s="570"/>
      <c r="BR251" s="570"/>
    </row>
    <row r="252" s="162" customFormat="1" ht="15.75" customHeight="1">
      <c r="AE252" s="570"/>
      <c r="AF252" s="570"/>
      <c r="BI252" s="570"/>
      <c r="BJ252" s="570"/>
      <c r="BR252" s="570"/>
    </row>
    <row r="253" s="162" customFormat="1" ht="15.75" customHeight="1">
      <c r="AE253" s="570"/>
      <c r="AF253" s="570"/>
      <c r="BI253" s="570"/>
      <c r="BJ253" s="570"/>
      <c r="BR253" s="570"/>
    </row>
    <row r="254" s="162" customFormat="1" ht="15.75" customHeight="1">
      <c r="AE254" s="570"/>
      <c r="AF254" s="570"/>
      <c r="BI254" s="570"/>
      <c r="BJ254" s="570"/>
      <c r="BR254" s="570"/>
    </row>
    <row r="255" s="162" customFormat="1" ht="15.75" customHeight="1">
      <c r="AE255" s="570"/>
      <c r="AF255" s="570"/>
      <c r="BI255" s="570"/>
      <c r="BJ255" s="570"/>
      <c r="BR255" s="570"/>
    </row>
    <row r="256" s="162" customFormat="1" ht="15.75" customHeight="1">
      <c r="AE256" s="570"/>
      <c r="AF256" s="570"/>
      <c r="BI256" s="570"/>
      <c r="BJ256" s="570"/>
      <c r="BR256" s="570"/>
    </row>
    <row r="257" s="162" customFormat="1" ht="15.75" customHeight="1">
      <c r="AE257" s="570"/>
      <c r="AF257" s="570"/>
      <c r="BI257" s="570"/>
      <c r="BJ257" s="570"/>
      <c r="BR257" s="570"/>
    </row>
    <row r="258" s="162" customFormat="1" ht="15.75" customHeight="1">
      <c r="AE258" s="570"/>
      <c r="AF258" s="570"/>
      <c r="BI258" s="570"/>
      <c r="BJ258" s="570"/>
      <c r="BR258" s="570"/>
    </row>
    <row r="259" s="162" customFormat="1" ht="15.75" customHeight="1">
      <c r="AE259" s="570"/>
      <c r="AF259" s="570"/>
      <c r="BI259" s="570"/>
      <c r="BJ259" s="570"/>
      <c r="BR259" s="570"/>
    </row>
    <row r="260" s="162" customFormat="1" ht="15.75" customHeight="1">
      <c r="AE260" s="570"/>
      <c r="AF260" s="570"/>
      <c r="BI260" s="570"/>
      <c r="BJ260" s="570"/>
      <c r="BR260" s="570"/>
    </row>
    <row r="261" s="162" customFormat="1" ht="15.75" customHeight="1">
      <c r="AE261" s="570"/>
      <c r="AF261" s="570"/>
      <c r="BI261" s="570"/>
      <c r="BJ261" s="570"/>
      <c r="BR261" s="570"/>
    </row>
    <row r="262" s="162" customFormat="1" ht="15.75" customHeight="1">
      <c r="AE262" s="570"/>
      <c r="AF262" s="570"/>
      <c r="BI262" s="570"/>
      <c r="BJ262" s="570"/>
      <c r="BR262" s="570"/>
    </row>
    <row r="263" s="162" customFormat="1" ht="15.75" customHeight="1">
      <c r="AE263" s="570"/>
      <c r="AF263" s="570"/>
      <c r="BI263" s="570"/>
      <c r="BJ263" s="570"/>
      <c r="BR263" s="570"/>
    </row>
    <row r="264" s="162" customFormat="1" ht="15.75" customHeight="1">
      <c r="AE264" s="570"/>
      <c r="AF264" s="570"/>
      <c r="BI264" s="570"/>
      <c r="BJ264" s="570"/>
      <c r="BR264" s="570"/>
    </row>
    <row r="265" s="162" customFormat="1" ht="15.75" customHeight="1">
      <c r="AE265" s="570"/>
      <c r="AF265" s="570"/>
      <c r="BI265" s="570"/>
      <c r="BJ265" s="570"/>
      <c r="BR265" s="570"/>
    </row>
    <row r="266" s="162" customFormat="1" ht="15.75" customHeight="1">
      <c r="AE266" s="570"/>
      <c r="AF266" s="570"/>
      <c r="BI266" s="570"/>
      <c r="BJ266" s="570"/>
      <c r="BR266" s="570"/>
    </row>
    <row r="267" s="162" customFormat="1" ht="15.75" customHeight="1">
      <c r="AE267" s="570"/>
      <c r="AF267" s="570"/>
      <c r="BI267" s="570"/>
      <c r="BJ267" s="570"/>
      <c r="BR267" s="570"/>
    </row>
    <row r="268" s="162" customFormat="1" ht="15.75" customHeight="1">
      <c r="AE268" s="570"/>
      <c r="AF268" s="570"/>
      <c r="BI268" s="570"/>
      <c r="BJ268" s="570"/>
      <c r="BR268" s="570"/>
    </row>
    <row r="269" s="162" customFormat="1" ht="15.75" customHeight="1">
      <c r="AE269" s="570"/>
      <c r="AF269" s="570"/>
      <c r="BI269" s="570"/>
      <c r="BJ269" s="570"/>
      <c r="BR269" s="570"/>
    </row>
    <row r="270" s="162" customFormat="1" ht="15.75" customHeight="1">
      <c r="AE270" s="570"/>
      <c r="AF270" s="570"/>
      <c r="BI270" s="570"/>
      <c r="BJ270" s="570"/>
      <c r="BR270" s="570"/>
    </row>
    <row r="271" s="162" customFormat="1" ht="15.75" customHeight="1">
      <c r="AE271" s="570"/>
      <c r="AF271" s="570"/>
      <c r="BI271" s="570"/>
      <c r="BJ271" s="570"/>
      <c r="BR271" s="570"/>
    </row>
    <row r="272" s="162" customFormat="1" ht="15.75" customHeight="1">
      <c r="AE272" s="570"/>
      <c r="AF272" s="570"/>
      <c r="BI272" s="570"/>
      <c r="BJ272" s="570"/>
      <c r="BR272" s="570"/>
    </row>
    <row r="273" s="162" customFormat="1" ht="15.75" customHeight="1">
      <c r="AE273" s="570"/>
      <c r="AF273" s="570"/>
      <c r="BI273" s="570"/>
      <c r="BJ273" s="570"/>
      <c r="BR273" s="570"/>
    </row>
    <row r="274" s="162" customFormat="1" ht="15.75" customHeight="1">
      <c r="AE274" s="570"/>
      <c r="AF274" s="570"/>
      <c r="BI274" s="570"/>
      <c r="BJ274" s="570"/>
      <c r="BR274" s="570"/>
    </row>
    <row r="275" s="162" customFormat="1" ht="15.75" customHeight="1">
      <c r="AE275" s="570"/>
      <c r="AF275" s="570"/>
      <c r="BI275" s="570"/>
      <c r="BJ275" s="570"/>
      <c r="BR275" s="570"/>
    </row>
    <row r="276" s="162" customFormat="1" ht="15.75" customHeight="1">
      <c r="AE276" s="570"/>
      <c r="AF276" s="570"/>
      <c r="BI276" s="570"/>
      <c r="BJ276" s="570"/>
      <c r="BR276" s="570"/>
    </row>
    <row r="277" s="162" customFormat="1" ht="15.75" customHeight="1">
      <c r="AE277" s="570"/>
      <c r="AF277" s="570"/>
      <c r="BI277" s="570"/>
      <c r="BJ277" s="570"/>
      <c r="BR277" s="570"/>
    </row>
    <row r="278" s="162" customFormat="1" ht="15.75" customHeight="1">
      <c r="AE278" s="570"/>
      <c r="AF278" s="570"/>
      <c r="BI278" s="570"/>
      <c r="BJ278" s="570"/>
      <c r="BR278" s="570"/>
    </row>
    <row r="279" s="162" customFormat="1" ht="15.75" customHeight="1">
      <c r="AE279" s="570"/>
      <c r="AF279" s="570"/>
      <c r="BI279" s="570"/>
      <c r="BJ279" s="570"/>
      <c r="BR279" s="570"/>
    </row>
    <row r="280" s="162" customFormat="1" ht="15.75" customHeight="1">
      <c r="AE280" s="570"/>
      <c r="AF280" s="570"/>
      <c r="BI280" s="570"/>
      <c r="BJ280" s="570"/>
      <c r="BR280" s="570"/>
    </row>
    <row r="281" s="162" customFormat="1" ht="15.75" customHeight="1">
      <c r="AE281" s="570"/>
      <c r="AF281" s="570"/>
      <c r="BI281" s="570"/>
      <c r="BJ281" s="570"/>
      <c r="BR281" s="570"/>
    </row>
    <row r="282" s="162" customFormat="1" ht="15.75" customHeight="1">
      <c r="AE282" s="570"/>
      <c r="AF282" s="570"/>
      <c r="BI282" s="570"/>
      <c r="BJ282" s="570"/>
      <c r="BR282" s="570"/>
    </row>
    <row r="283" s="162" customFormat="1" ht="15.75" customHeight="1">
      <c r="AE283" s="570"/>
      <c r="AF283" s="570"/>
      <c r="BI283" s="570"/>
      <c r="BJ283" s="570"/>
      <c r="BR283" s="570"/>
    </row>
    <row r="284" s="162" customFormat="1" ht="15.75" customHeight="1">
      <c r="AE284" s="570"/>
      <c r="AF284" s="570"/>
      <c r="BI284" s="570"/>
      <c r="BJ284" s="570"/>
      <c r="BR284" s="570"/>
    </row>
    <row r="285" s="162" customFormat="1" ht="15.75" customHeight="1">
      <c r="AE285" s="570"/>
      <c r="AF285" s="570"/>
      <c r="BI285" s="570"/>
      <c r="BJ285" s="570"/>
      <c r="BR285" s="570"/>
    </row>
    <row r="286" s="162" customFormat="1" ht="15.75" customHeight="1">
      <c r="AE286" s="570"/>
      <c r="AF286" s="570"/>
      <c r="BI286" s="570"/>
      <c r="BJ286" s="570"/>
      <c r="BR286" s="570"/>
    </row>
    <row r="287" s="162" customFormat="1" ht="15.75" customHeight="1">
      <c r="AE287" s="570"/>
      <c r="AF287" s="570"/>
      <c r="BI287" s="570"/>
      <c r="BJ287" s="570"/>
      <c r="BR287" s="570"/>
    </row>
    <row r="288" s="162" customFormat="1" ht="15.75" customHeight="1">
      <c r="AE288" s="570"/>
      <c r="AF288" s="570"/>
      <c r="BI288" s="570"/>
      <c r="BJ288" s="570"/>
      <c r="BR288" s="570"/>
    </row>
    <row r="289" s="162" customFormat="1" ht="15.75" customHeight="1">
      <c r="AE289" s="570"/>
      <c r="AF289" s="570"/>
      <c r="BI289" s="570"/>
      <c r="BJ289" s="570"/>
      <c r="BR289" s="570"/>
    </row>
    <row r="290" s="162" customFormat="1" ht="15.75" customHeight="1">
      <c r="AE290" s="570"/>
      <c r="AF290" s="570"/>
      <c r="BI290" s="570"/>
      <c r="BJ290" s="570"/>
      <c r="BR290" s="570"/>
    </row>
    <row r="291" s="162" customFormat="1" ht="15.75" customHeight="1">
      <c r="AE291" s="570"/>
      <c r="AF291" s="570"/>
      <c r="BI291" s="570"/>
      <c r="BJ291" s="570"/>
      <c r="BR291" s="570"/>
    </row>
    <row r="292" s="162" customFormat="1" ht="15.75" customHeight="1">
      <c r="AE292" s="570"/>
      <c r="AF292" s="570"/>
      <c r="BI292" s="570"/>
      <c r="BJ292" s="570"/>
      <c r="BR292" s="570"/>
    </row>
    <row r="293" s="162" customFormat="1" ht="15.75" customHeight="1">
      <c r="AE293" s="570"/>
      <c r="AF293" s="570"/>
      <c r="BI293" s="570"/>
      <c r="BJ293" s="570"/>
      <c r="BR293" s="570"/>
    </row>
    <row r="294" s="162" customFormat="1" ht="15.75" customHeight="1">
      <c r="AE294" s="570"/>
      <c r="AF294" s="570"/>
      <c r="BI294" s="570"/>
      <c r="BJ294" s="570"/>
      <c r="BR294" s="570"/>
    </row>
    <row r="295" s="162" customFormat="1" ht="15.75" customHeight="1">
      <c r="AE295" s="570"/>
      <c r="AF295" s="570"/>
      <c r="BI295" s="570"/>
      <c r="BJ295" s="570"/>
      <c r="BR295" s="570"/>
    </row>
    <row r="296" s="162" customFormat="1" ht="15.75" customHeight="1">
      <c r="AE296" s="570"/>
      <c r="AF296" s="570"/>
      <c r="BI296" s="570"/>
      <c r="BJ296" s="570"/>
      <c r="BR296" s="570"/>
    </row>
    <row r="297" s="162" customFormat="1" ht="15.75" customHeight="1">
      <c r="AE297" s="570"/>
      <c r="AF297" s="570"/>
      <c r="BI297" s="570"/>
      <c r="BJ297" s="570"/>
      <c r="BR297" s="570"/>
    </row>
    <row r="298" s="162" customFormat="1" ht="15.75" customHeight="1">
      <c r="AE298" s="570"/>
      <c r="AF298" s="570"/>
      <c r="BI298" s="570"/>
      <c r="BJ298" s="570"/>
      <c r="BR298" s="570"/>
    </row>
    <row r="299" s="162" customFormat="1" ht="15.75" customHeight="1">
      <c r="AE299" s="570"/>
      <c r="AF299" s="570"/>
      <c r="BI299" s="570"/>
      <c r="BJ299" s="570"/>
      <c r="BR299" s="570"/>
    </row>
    <row r="300" s="162" customFormat="1" ht="15.75" customHeight="1">
      <c r="AE300" s="570"/>
      <c r="AF300" s="570"/>
      <c r="BI300" s="570"/>
      <c r="BJ300" s="570"/>
      <c r="BR300" s="570"/>
    </row>
    <row r="301" s="162" customFormat="1" ht="15.75" customHeight="1">
      <c r="AE301" s="570"/>
      <c r="AF301" s="570"/>
      <c r="BI301" s="570"/>
      <c r="BJ301" s="570"/>
      <c r="BR301" s="570"/>
    </row>
    <row r="302" s="162" customFormat="1" ht="15.75" customHeight="1">
      <c r="AE302" s="570"/>
      <c r="AF302" s="570"/>
      <c r="BI302" s="570"/>
      <c r="BJ302" s="570"/>
      <c r="BR302" s="570"/>
    </row>
    <row r="303" s="162" customFormat="1" ht="15.75" customHeight="1">
      <c r="AE303" s="570"/>
      <c r="AF303" s="570"/>
      <c r="BI303" s="570"/>
      <c r="BJ303" s="570"/>
      <c r="BR303" s="570"/>
    </row>
    <row r="304" s="162" customFormat="1" ht="15.75" customHeight="1">
      <c r="AE304" s="570"/>
      <c r="AF304" s="570"/>
      <c r="BI304" s="570"/>
      <c r="BJ304" s="570"/>
      <c r="BR304" s="570"/>
    </row>
    <row r="305" s="162" customFormat="1" ht="15.75" customHeight="1">
      <c r="AE305" s="570"/>
      <c r="AF305" s="570"/>
      <c r="BI305" s="570"/>
      <c r="BJ305" s="570"/>
      <c r="BR305" s="570"/>
    </row>
    <row r="306" s="162" customFormat="1" ht="15.75" customHeight="1">
      <c r="AE306" s="570"/>
      <c r="AF306" s="570"/>
      <c r="BI306" s="570"/>
      <c r="BJ306" s="570"/>
      <c r="BR306" s="570"/>
    </row>
    <row r="307" s="162" customFormat="1" ht="15.75" customHeight="1">
      <c r="AE307" s="570"/>
      <c r="AF307" s="570"/>
      <c r="BI307" s="570"/>
      <c r="BJ307" s="570"/>
      <c r="BR307" s="570"/>
    </row>
    <row r="308" s="162" customFormat="1" ht="15.75" customHeight="1">
      <c r="AE308" s="570"/>
      <c r="AF308" s="570"/>
      <c r="BI308" s="570"/>
      <c r="BJ308" s="570"/>
      <c r="BR308" s="570"/>
    </row>
    <row r="309" s="162" customFormat="1" ht="15.75" customHeight="1">
      <c r="AE309" s="570"/>
      <c r="AF309" s="570"/>
      <c r="BI309" s="570"/>
      <c r="BJ309" s="570"/>
      <c r="BR309" s="570"/>
    </row>
    <row r="310" s="162" customFormat="1" ht="15.75" customHeight="1">
      <c r="AE310" s="570"/>
      <c r="AF310" s="570"/>
      <c r="BI310" s="570"/>
      <c r="BJ310" s="570"/>
      <c r="BR310" s="570"/>
    </row>
    <row r="311" s="162" customFormat="1" ht="15.75" customHeight="1">
      <c r="AE311" s="570"/>
      <c r="AF311" s="570"/>
      <c r="BI311" s="570"/>
      <c r="BJ311" s="570"/>
      <c r="BR311" s="570"/>
    </row>
    <row r="312" s="162" customFormat="1" ht="15.75" customHeight="1">
      <c r="AE312" s="570"/>
      <c r="AF312" s="570"/>
      <c r="BI312" s="570"/>
      <c r="BJ312" s="570"/>
      <c r="BR312" s="570"/>
    </row>
    <row r="313" s="162" customFormat="1" ht="15.75" customHeight="1">
      <c r="AE313" s="570"/>
      <c r="AF313" s="570"/>
      <c r="BI313" s="570"/>
      <c r="BJ313" s="570"/>
      <c r="BR313" s="570"/>
    </row>
    <row r="314" s="162" customFormat="1" ht="15.75" customHeight="1">
      <c r="AE314" s="570"/>
      <c r="AF314" s="570"/>
      <c r="BI314" s="570"/>
      <c r="BJ314" s="570"/>
      <c r="BR314" s="570"/>
    </row>
    <row r="315" s="162" customFormat="1" ht="15.75" customHeight="1">
      <c r="AE315" s="570"/>
      <c r="AF315" s="570"/>
      <c r="BI315" s="570"/>
      <c r="BJ315" s="570"/>
      <c r="BR315" s="570"/>
    </row>
    <row r="316" s="162" customFormat="1" ht="15.75" customHeight="1">
      <c r="AE316" s="570"/>
      <c r="AF316" s="570"/>
      <c r="BI316" s="570"/>
      <c r="BJ316" s="570"/>
      <c r="BR316" s="570"/>
    </row>
    <row r="317" s="162" customFormat="1" ht="15.75" customHeight="1">
      <c r="AE317" s="570"/>
      <c r="AF317" s="570"/>
      <c r="BI317" s="570"/>
      <c r="BJ317" s="570"/>
      <c r="BR317" s="570"/>
    </row>
    <row r="318" s="162" customFormat="1" ht="15.75" customHeight="1">
      <c r="AE318" s="570"/>
      <c r="AF318" s="570"/>
      <c r="BI318" s="570"/>
      <c r="BJ318" s="570"/>
      <c r="BR318" s="570"/>
    </row>
    <row r="319" s="162" customFormat="1" ht="15.75" customHeight="1">
      <c r="AE319" s="570"/>
      <c r="AF319" s="570"/>
      <c r="BI319" s="570"/>
      <c r="BJ319" s="570"/>
      <c r="BR319" s="570"/>
    </row>
    <row r="320" s="162" customFormat="1" ht="15.75" customHeight="1">
      <c r="AE320" s="570"/>
      <c r="AF320" s="570"/>
      <c r="BI320" s="570"/>
      <c r="BJ320" s="570"/>
      <c r="BR320" s="570"/>
    </row>
    <row r="321" s="162" customFormat="1" ht="15.75" customHeight="1">
      <c r="AE321" s="570"/>
      <c r="AF321" s="570"/>
      <c r="BI321" s="570"/>
      <c r="BJ321" s="570"/>
      <c r="BR321" s="570"/>
    </row>
    <row r="322" s="162" customFormat="1" ht="15.75" customHeight="1">
      <c r="AE322" s="570"/>
      <c r="AF322" s="570"/>
      <c r="BI322" s="570"/>
      <c r="BJ322" s="570"/>
      <c r="BR322" s="570"/>
    </row>
    <row r="323" s="162" customFormat="1" ht="15.75" customHeight="1">
      <c r="AE323" s="570"/>
      <c r="AF323" s="570"/>
      <c r="BI323" s="570"/>
      <c r="BJ323" s="570"/>
      <c r="BR323" s="570"/>
    </row>
    <row r="324" s="162" customFormat="1" ht="15.75" customHeight="1">
      <c r="AE324" s="570"/>
      <c r="AF324" s="570"/>
      <c r="BI324" s="570"/>
      <c r="BJ324" s="570"/>
      <c r="BR324" s="570"/>
    </row>
    <row r="325" s="162" customFormat="1" ht="15.75" customHeight="1">
      <c r="AE325" s="570"/>
      <c r="AF325" s="570"/>
      <c r="BI325" s="570"/>
      <c r="BJ325" s="570"/>
      <c r="BR325" s="570"/>
    </row>
    <row r="326" s="162" customFormat="1" ht="15.75" customHeight="1">
      <c r="AE326" s="570"/>
      <c r="AF326" s="570"/>
      <c r="BI326" s="570"/>
      <c r="BJ326" s="570"/>
      <c r="BR326" s="570"/>
    </row>
    <row r="327" s="162" customFormat="1" ht="15.75" customHeight="1">
      <c r="AE327" s="570"/>
      <c r="AF327" s="570"/>
      <c r="BI327" s="570"/>
      <c r="BJ327" s="570"/>
      <c r="BR327" s="570"/>
    </row>
    <row r="328" s="162" customFormat="1" ht="15.75" customHeight="1">
      <c r="AE328" s="570"/>
      <c r="AF328" s="570"/>
      <c r="BI328" s="570"/>
      <c r="BJ328" s="570"/>
      <c r="BR328" s="570"/>
    </row>
    <row r="329" s="162" customFormat="1" ht="15.75" customHeight="1">
      <c r="AE329" s="570"/>
      <c r="AF329" s="570"/>
      <c r="BI329" s="570"/>
      <c r="BJ329" s="570"/>
      <c r="BR329" s="570"/>
    </row>
    <row r="330" s="162" customFormat="1" ht="15.75" customHeight="1">
      <c r="AE330" s="570"/>
      <c r="AF330" s="570"/>
      <c r="BI330" s="570"/>
      <c r="BJ330" s="570"/>
      <c r="BR330" s="570"/>
    </row>
    <row r="331" s="162" customFormat="1" ht="15.75" customHeight="1">
      <c r="AE331" s="570"/>
      <c r="AF331" s="570"/>
      <c r="BI331" s="570"/>
      <c r="BJ331" s="570"/>
      <c r="BR331" s="570"/>
    </row>
    <row r="332" s="162" customFormat="1" ht="15.75" customHeight="1">
      <c r="AE332" s="570"/>
      <c r="AF332" s="570"/>
      <c r="BI332" s="570"/>
      <c r="BJ332" s="570"/>
      <c r="BR332" s="570"/>
    </row>
    <row r="333" s="162" customFormat="1" ht="15.75" customHeight="1">
      <c r="AE333" s="570"/>
      <c r="AF333" s="570"/>
      <c r="BI333" s="570"/>
      <c r="BJ333" s="570"/>
      <c r="BR333" s="570"/>
    </row>
    <row r="334" s="162" customFormat="1" ht="15.75" customHeight="1">
      <c r="AE334" s="570"/>
      <c r="AF334" s="570"/>
      <c r="BI334" s="570"/>
      <c r="BJ334" s="570"/>
      <c r="BR334" s="570"/>
    </row>
    <row r="335" s="162" customFormat="1" ht="15.75" customHeight="1">
      <c r="AE335" s="570"/>
      <c r="AF335" s="570"/>
      <c r="BI335" s="570"/>
      <c r="BJ335" s="570"/>
      <c r="BR335" s="570"/>
    </row>
    <row r="336" s="162" customFormat="1" ht="15.75" customHeight="1">
      <c r="AE336" s="570"/>
      <c r="AF336" s="570"/>
      <c r="BI336" s="570"/>
      <c r="BJ336" s="570"/>
      <c r="BR336" s="570"/>
    </row>
    <row r="337" s="162" customFormat="1" ht="15.75" customHeight="1">
      <c r="AE337" s="570"/>
      <c r="AF337" s="570"/>
      <c r="BI337" s="570"/>
      <c r="BJ337" s="570"/>
      <c r="BR337" s="570"/>
    </row>
    <row r="338" s="162" customFormat="1" ht="15.75" customHeight="1">
      <c r="AE338" s="570"/>
      <c r="AF338" s="570"/>
      <c r="BI338" s="570"/>
      <c r="BJ338" s="570"/>
      <c r="BR338" s="570"/>
    </row>
    <row r="339" s="162" customFormat="1" ht="15.75" customHeight="1">
      <c r="AE339" s="570"/>
      <c r="AF339" s="570"/>
      <c r="BI339" s="570"/>
      <c r="BJ339" s="570"/>
      <c r="BR339" s="570"/>
    </row>
    <row r="340" s="162" customFormat="1" ht="15.75" customHeight="1">
      <c r="AE340" s="570"/>
      <c r="AF340" s="570"/>
      <c r="BI340" s="570"/>
      <c r="BJ340" s="570"/>
      <c r="BR340" s="570"/>
    </row>
    <row r="341" s="162" customFormat="1" ht="15.75" customHeight="1">
      <c r="AE341" s="570"/>
      <c r="AF341" s="570"/>
      <c r="BI341" s="570"/>
      <c r="BJ341" s="570"/>
      <c r="BR341" s="570"/>
    </row>
    <row r="342" s="162" customFormat="1" ht="15.75" customHeight="1">
      <c r="AE342" s="570"/>
      <c r="AF342" s="570"/>
      <c r="BI342" s="570"/>
      <c r="BJ342" s="570"/>
      <c r="BR342" s="570"/>
    </row>
    <row r="343" s="162" customFormat="1" ht="15.75" customHeight="1">
      <c r="AE343" s="570"/>
      <c r="AF343" s="570"/>
      <c r="BI343" s="570"/>
      <c r="BJ343" s="570"/>
      <c r="BR343" s="570"/>
    </row>
    <row r="344" s="162" customFormat="1" ht="15.75" customHeight="1">
      <c r="AE344" s="570"/>
      <c r="AF344" s="570"/>
      <c r="BI344" s="570"/>
      <c r="BJ344" s="570"/>
      <c r="BR344" s="570"/>
    </row>
    <row r="345" s="162" customFormat="1" ht="15.75" customHeight="1">
      <c r="AE345" s="570"/>
      <c r="AF345" s="570"/>
      <c r="BI345" s="570"/>
      <c r="BJ345" s="570"/>
      <c r="BR345" s="570"/>
    </row>
    <row r="346" s="162" customFormat="1" ht="15.75" customHeight="1">
      <c r="AE346" s="570"/>
      <c r="AF346" s="570"/>
      <c r="BI346" s="570"/>
      <c r="BJ346" s="570"/>
      <c r="BR346" s="570"/>
    </row>
    <row r="347" s="162" customFormat="1" ht="15.75" customHeight="1">
      <c r="AE347" s="570"/>
      <c r="AF347" s="570"/>
      <c r="BI347" s="570"/>
      <c r="BJ347" s="570"/>
      <c r="BR347" s="570"/>
    </row>
    <row r="348" s="162" customFormat="1" ht="15.75" customHeight="1">
      <c r="AE348" s="570"/>
      <c r="AF348" s="570"/>
      <c r="BI348" s="570"/>
      <c r="BJ348" s="570"/>
      <c r="BR348" s="570"/>
    </row>
    <row r="349" s="162" customFormat="1" ht="15.75" customHeight="1">
      <c r="AE349" s="570"/>
      <c r="AF349" s="570"/>
      <c r="BI349" s="570"/>
      <c r="BJ349" s="570"/>
      <c r="BR349" s="570"/>
    </row>
    <row r="350" s="162" customFormat="1" ht="15.75" customHeight="1">
      <c r="AE350" s="570"/>
      <c r="AF350" s="570"/>
      <c r="BI350" s="570"/>
      <c r="BJ350" s="570"/>
      <c r="BR350" s="570"/>
    </row>
    <row r="351" s="162" customFormat="1" ht="15.75" customHeight="1">
      <c r="AE351" s="570"/>
      <c r="AF351" s="570"/>
      <c r="BI351" s="570"/>
      <c r="BJ351" s="570"/>
      <c r="BR351" s="570"/>
    </row>
    <row r="352" s="162" customFormat="1" ht="15.75" customHeight="1">
      <c r="AE352" s="570"/>
      <c r="AF352" s="570"/>
      <c r="BI352" s="570"/>
      <c r="BJ352" s="570"/>
      <c r="BR352" s="570"/>
    </row>
    <row r="353" s="162" customFormat="1" ht="15.75" customHeight="1">
      <c r="AE353" s="570"/>
      <c r="AF353" s="570"/>
      <c r="BI353" s="570"/>
      <c r="BJ353" s="570"/>
      <c r="BR353" s="570"/>
    </row>
    <row r="354" s="162" customFormat="1" ht="15.75" customHeight="1">
      <c r="AE354" s="570"/>
      <c r="AF354" s="570"/>
      <c r="BI354" s="570"/>
      <c r="BJ354" s="570"/>
      <c r="BR354" s="570"/>
    </row>
    <row r="355" s="162" customFormat="1" ht="15.75" customHeight="1">
      <c r="AE355" s="570"/>
      <c r="AF355" s="570"/>
      <c r="BI355" s="570"/>
      <c r="BJ355" s="570"/>
      <c r="BR355" s="570"/>
    </row>
    <row r="356" s="162" customFormat="1" ht="15.75" customHeight="1">
      <c r="AE356" s="570"/>
      <c r="AF356" s="570"/>
      <c r="BI356" s="570"/>
      <c r="BJ356" s="570"/>
      <c r="BR356" s="570"/>
    </row>
    <row r="357" s="162" customFormat="1" ht="15.75" customHeight="1">
      <c r="AE357" s="570"/>
      <c r="AF357" s="570"/>
      <c r="BI357" s="570"/>
      <c r="BJ357" s="570"/>
      <c r="BR357" s="570"/>
    </row>
    <row r="358" s="162" customFormat="1" ht="15.75" customHeight="1">
      <c r="AE358" s="570"/>
      <c r="AF358" s="570"/>
      <c r="BI358" s="570"/>
      <c r="BJ358" s="570"/>
      <c r="BR358" s="570"/>
    </row>
    <row r="359" s="162" customFormat="1" ht="15.75" customHeight="1">
      <c r="AE359" s="570"/>
      <c r="AF359" s="570"/>
      <c r="BI359" s="570"/>
      <c r="BJ359" s="570"/>
      <c r="BR359" s="570"/>
    </row>
    <row r="360" s="162" customFormat="1" ht="15.75" customHeight="1">
      <c r="AE360" s="570"/>
      <c r="AF360" s="570"/>
      <c r="BI360" s="570"/>
      <c r="BJ360" s="570"/>
      <c r="BR360" s="570"/>
    </row>
    <row r="361" s="162" customFormat="1" ht="15.75" customHeight="1">
      <c r="AE361" s="570"/>
      <c r="AF361" s="570"/>
      <c r="BI361" s="570"/>
      <c r="BJ361" s="570"/>
      <c r="BR361" s="570"/>
    </row>
    <row r="362" s="162" customFormat="1" ht="15.75" customHeight="1">
      <c r="AE362" s="570"/>
      <c r="AF362" s="570"/>
      <c r="BI362" s="570"/>
      <c r="BJ362" s="570"/>
      <c r="BR362" s="570"/>
    </row>
    <row r="363" s="162" customFormat="1" ht="15.75" customHeight="1">
      <c r="AE363" s="570"/>
      <c r="AF363" s="570"/>
      <c r="BI363" s="570"/>
      <c r="BJ363" s="570"/>
      <c r="BR363" s="570"/>
    </row>
    <row r="364" s="162" customFormat="1" ht="15.75" customHeight="1">
      <c r="AE364" s="570"/>
      <c r="AF364" s="570"/>
      <c r="BI364" s="570"/>
      <c r="BJ364" s="570"/>
      <c r="BR364" s="570"/>
    </row>
    <row r="365" s="162" customFormat="1" ht="15.75" customHeight="1">
      <c r="AE365" s="570"/>
      <c r="AF365" s="570"/>
      <c r="BI365" s="570"/>
      <c r="BJ365" s="570"/>
      <c r="BR365" s="570"/>
    </row>
    <row r="366" s="162" customFormat="1" ht="15.75" customHeight="1">
      <c r="AE366" s="570"/>
      <c r="AF366" s="570"/>
      <c r="BI366" s="570"/>
      <c r="BJ366" s="570"/>
      <c r="BR366" s="570"/>
    </row>
    <row r="367" s="162" customFormat="1" ht="15.75" customHeight="1">
      <c r="AE367" s="570"/>
      <c r="AF367" s="570"/>
      <c r="BI367" s="570"/>
      <c r="BJ367" s="570"/>
      <c r="BR367" s="570"/>
    </row>
    <row r="368" s="162" customFormat="1" ht="15.75" customHeight="1">
      <c r="AE368" s="570"/>
      <c r="AF368" s="570"/>
      <c r="BI368" s="570"/>
      <c r="BJ368" s="570"/>
      <c r="BR368" s="570"/>
    </row>
    <row r="369" s="162" customFormat="1" ht="15.75" customHeight="1">
      <c r="AE369" s="570"/>
      <c r="AF369" s="570"/>
      <c r="BI369" s="570"/>
      <c r="BJ369" s="570"/>
      <c r="BR369" s="570"/>
    </row>
    <row r="370" s="162" customFormat="1" ht="15.75" customHeight="1">
      <c r="AE370" s="570"/>
      <c r="AF370" s="570"/>
      <c r="BI370" s="570"/>
      <c r="BJ370" s="570"/>
      <c r="BR370" s="570"/>
    </row>
    <row r="371" s="162" customFormat="1" ht="15.75" customHeight="1">
      <c r="AE371" s="570"/>
      <c r="AF371" s="570"/>
      <c r="BI371" s="570"/>
      <c r="BJ371" s="570"/>
      <c r="BR371" s="570"/>
    </row>
    <row r="372" s="162" customFormat="1" ht="15.75" customHeight="1">
      <c r="AE372" s="570"/>
      <c r="AF372" s="570"/>
      <c r="BI372" s="570"/>
      <c r="BJ372" s="570"/>
      <c r="BR372" s="570"/>
    </row>
    <row r="373" s="162" customFormat="1" ht="15.75" customHeight="1">
      <c r="AE373" s="570"/>
      <c r="AF373" s="570"/>
      <c r="BI373" s="570"/>
      <c r="BJ373" s="570"/>
      <c r="BR373" s="570"/>
    </row>
    <row r="374" s="162" customFormat="1" ht="15.75" customHeight="1">
      <c r="AE374" s="570"/>
      <c r="AF374" s="570"/>
      <c r="BI374" s="570"/>
      <c r="BJ374" s="570"/>
      <c r="BR374" s="570"/>
    </row>
    <row r="375" s="162" customFormat="1" ht="15.75" customHeight="1">
      <c r="AE375" s="570"/>
      <c r="AF375" s="570"/>
      <c r="BI375" s="570"/>
      <c r="BJ375" s="570"/>
      <c r="BR375" s="570"/>
    </row>
    <row r="376" s="162" customFormat="1" ht="15.75" customHeight="1">
      <c r="AE376" s="570"/>
      <c r="AF376" s="570"/>
      <c r="BI376" s="570"/>
      <c r="BJ376" s="570"/>
      <c r="BR376" s="570"/>
    </row>
    <row r="377" s="162" customFormat="1" ht="15.75" customHeight="1">
      <c r="AE377" s="570"/>
      <c r="AF377" s="570"/>
      <c r="BI377" s="570"/>
      <c r="BJ377" s="570"/>
      <c r="BR377" s="570"/>
    </row>
    <row r="378" s="162" customFormat="1" ht="15.75" customHeight="1">
      <c r="AE378" s="570"/>
      <c r="AF378" s="570"/>
      <c r="BI378" s="570"/>
      <c r="BJ378" s="570"/>
      <c r="BR378" s="570"/>
    </row>
    <row r="379" s="162" customFormat="1" ht="15.75" customHeight="1">
      <c r="AE379" s="570"/>
      <c r="AF379" s="570"/>
      <c r="BI379" s="570"/>
      <c r="BJ379" s="570"/>
      <c r="BR379" s="570"/>
    </row>
    <row r="380" s="162" customFormat="1" ht="15.75" customHeight="1">
      <c r="AE380" s="570"/>
      <c r="AF380" s="570"/>
      <c r="BI380" s="570"/>
      <c r="BJ380" s="570"/>
      <c r="BR380" s="570"/>
    </row>
    <row r="381" s="162" customFormat="1" ht="15.75" customHeight="1">
      <c r="AE381" s="570"/>
      <c r="AF381" s="570"/>
      <c r="BI381" s="570"/>
      <c r="BJ381" s="570"/>
      <c r="BR381" s="570"/>
    </row>
    <row r="382" s="162" customFormat="1" ht="15.75" customHeight="1">
      <c r="AE382" s="570"/>
      <c r="AF382" s="570"/>
      <c r="BI382" s="570"/>
      <c r="BJ382" s="570"/>
      <c r="BR382" s="570"/>
    </row>
    <row r="383" s="162" customFormat="1" ht="15.75" customHeight="1">
      <c r="AE383" s="570"/>
      <c r="AF383" s="570"/>
      <c r="BI383" s="570"/>
      <c r="BJ383" s="570"/>
      <c r="BR383" s="570"/>
    </row>
    <row r="384" s="162" customFormat="1" ht="15.75" customHeight="1">
      <c r="AE384" s="570"/>
      <c r="AF384" s="570"/>
      <c r="BI384" s="570"/>
      <c r="BJ384" s="570"/>
      <c r="BR384" s="570"/>
    </row>
    <row r="385" s="162" customFormat="1" ht="15.75" customHeight="1">
      <c r="AE385" s="570"/>
      <c r="AF385" s="570"/>
      <c r="BI385" s="570"/>
      <c r="BJ385" s="570"/>
      <c r="BR385" s="570"/>
    </row>
    <row r="386" s="162" customFormat="1" ht="15.75" customHeight="1">
      <c r="AE386" s="570"/>
      <c r="AF386" s="570"/>
      <c r="BI386" s="570"/>
      <c r="BJ386" s="570"/>
      <c r="BR386" s="570"/>
    </row>
    <row r="387" s="162" customFormat="1" ht="15.75" customHeight="1">
      <c r="AE387" s="570"/>
      <c r="AF387" s="570"/>
      <c r="BI387" s="570"/>
      <c r="BJ387" s="570"/>
      <c r="BR387" s="570"/>
    </row>
    <row r="388" s="162" customFormat="1" ht="15.75" customHeight="1">
      <c r="AE388" s="570"/>
      <c r="AF388" s="570"/>
      <c r="BI388" s="570"/>
      <c r="BJ388" s="570"/>
      <c r="BR388" s="570"/>
    </row>
    <row r="389" s="162" customFormat="1" ht="15.75" customHeight="1">
      <c r="AE389" s="570"/>
      <c r="AF389" s="570"/>
      <c r="BI389" s="570"/>
      <c r="BJ389" s="570"/>
      <c r="BR389" s="570"/>
    </row>
    <row r="390" s="162" customFormat="1" ht="15.75" customHeight="1">
      <c r="AE390" s="570"/>
      <c r="AF390" s="570"/>
      <c r="BI390" s="570"/>
      <c r="BJ390" s="570"/>
      <c r="BR390" s="570"/>
    </row>
    <row r="391" s="162" customFormat="1" ht="15.75" customHeight="1">
      <c r="AE391" s="570"/>
      <c r="AF391" s="570"/>
      <c r="BI391" s="570"/>
      <c r="BJ391" s="570"/>
      <c r="BR391" s="570"/>
    </row>
    <row r="392" s="162" customFormat="1" ht="15.75" customHeight="1">
      <c r="AE392" s="570"/>
      <c r="AF392" s="570"/>
      <c r="BI392" s="570"/>
      <c r="BJ392" s="570"/>
      <c r="BR392" s="570"/>
    </row>
    <row r="393" s="162" customFormat="1" ht="15.75" customHeight="1">
      <c r="AE393" s="570"/>
      <c r="AF393" s="570"/>
      <c r="BI393" s="570"/>
      <c r="BJ393" s="570"/>
      <c r="BR393" s="570"/>
    </row>
    <row r="394" s="162" customFormat="1" ht="15.75" customHeight="1">
      <c r="AE394" s="570"/>
      <c r="AF394" s="570"/>
      <c r="BI394" s="570"/>
      <c r="BJ394" s="570"/>
      <c r="BR394" s="570"/>
    </row>
    <row r="395" s="162" customFormat="1" ht="15.75" customHeight="1">
      <c r="AE395" s="570"/>
      <c r="AF395" s="570"/>
      <c r="BI395" s="570"/>
      <c r="BJ395" s="570"/>
      <c r="BR395" s="570"/>
    </row>
    <row r="396" s="162" customFormat="1" ht="15.75" customHeight="1">
      <c r="AE396" s="570"/>
      <c r="AF396" s="570"/>
      <c r="BI396" s="570"/>
      <c r="BJ396" s="570"/>
      <c r="BR396" s="570"/>
    </row>
    <row r="397" s="162" customFormat="1" ht="15.75" customHeight="1">
      <c r="AE397" s="570"/>
      <c r="AF397" s="570"/>
      <c r="BI397" s="570"/>
      <c r="BJ397" s="570"/>
      <c r="BR397" s="570"/>
    </row>
    <row r="398" s="162" customFormat="1" ht="15.75" customHeight="1">
      <c r="AE398" s="570"/>
      <c r="AF398" s="570"/>
      <c r="BI398" s="570"/>
      <c r="BJ398" s="570"/>
      <c r="BR398" s="570"/>
    </row>
    <row r="399" s="162" customFormat="1" ht="15.75" customHeight="1">
      <c r="AE399" s="570"/>
      <c r="AF399" s="570"/>
      <c r="BI399" s="570"/>
      <c r="BJ399" s="570"/>
      <c r="BR399" s="570"/>
    </row>
    <row r="400" s="162" customFormat="1" ht="15.75" customHeight="1">
      <c r="AE400" s="570"/>
      <c r="AF400" s="570"/>
      <c r="BI400" s="570"/>
      <c r="BJ400" s="570"/>
      <c r="BR400" s="570"/>
    </row>
    <row r="401" s="162" customFormat="1" ht="15.75" customHeight="1">
      <c r="AE401" s="570"/>
      <c r="AF401" s="570"/>
      <c r="BI401" s="570"/>
      <c r="BJ401" s="570"/>
      <c r="BR401" s="570"/>
    </row>
    <row r="402" s="162" customFormat="1" ht="15.75" customHeight="1">
      <c r="AE402" s="570"/>
      <c r="AF402" s="570"/>
      <c r="BI402" s="570"/>
      <c r="BJ402" s="570"/>
      <c r="BR402" s="570"/>
    </row>
    <row r="403" s="162" customFormat="1" ht="15.75" customHeight="1">
      <c r="AE403" s="570"/>
      <c r="AF403" s="570"/>
      <c r="BI403" s="570"/>
      <c r="BJ403" s="570"/>
      <c r="BR403" s="570"/>
    </row>
    <row r="404" s="162" customFormat="1" ht="15.75" customHeight="1">
      <c r="AE404" s="570"/>
      <c r="AF404" s="570"/>
      <c r="BI404" s="570"/>
      <c r="BJ404" s="570"/>
      <c r="BR404" s="570"/>
    </row>
    <row r="405" s="162" customFormat="1" ht="15.75" customHeight="1">
      <c r="AE405" s="570"/>
      <c r="AF405" s="570"/>
      <c r="BI405" s="570"/>
      <c r="BJ405" s="570"/>
      <c r="BR405" s="570"/>
    </row>
    <row r="406" s="162" customFormat="1" ht="15.75" customHeight="1">
      <c r="AE406" s="570"/>
      <c r="AF406" s="570"/>
      <c r="BI406" s="570"/>
      <c r="BJ406" s="570"/>
      <c r="BR406" s="570"/>
    </row>
    <row r="407" s="162" customFormat="1" ht="15.75" customHeight="1">
      <c r="AE407" s="570"/>
      <c r="AF407" s="570"/>
      <c r="BI407" s="570"/>
      <c r="BJ407" s="570"/>
      <c r="BR407" s="570"/>
    </row>
    <row r="408" s="162" customFormat="1" ht="15.75" customHeight="1">
      <c r="AE408" s="570"/>
      <c r="AF408" s="570"/>
      <c r="BI408" s="570"/>
      <c r="BJ408" s="570"/>
      <c r="BR408" s="570"/>
    </row>
    <row r="409" s="162" customFormat="1" ht="15.75" customHeight="1">
      <c r="AE409" s="570"/>
      <c r="AF409" s="570"/>
      <c r="BI409" s="570"/>
      <c r="BJ409" s="570"/>
      <c r="BR409" s="570"/>
    </row>
    <row r="410" s="162" customFormat="1" ht="15.75" customHeight="1">
      <c r="AE410" s="570"/>
      <c r="AF410" s="570"/>
      <c r="BI410" s="570"/>
      <c r="BJ410" s="570"/>
      <c r="BR410" s="570"/>
    </row>
    <row r="411" s="162" customFormat="1" ht="15.75" customHeight="1">
      <c r="AE411" s="570"/>
      <c r="AF411" s="570"/>
      <c r="BI411" s="570"/>
      <c r="BJ411" s="570"/>
      <c r="BR411" s="570"/>
    </row>
    <row r="412" s="162" customFormat="1" ht="15.75" customHeight="1">
      <c r="AE412" s="570"/>
      <c r="AF412" s="570"/>
      <c r="BI412" s="570"/>
      <c r="BJ412" s="570"/>
      <c r="BR412" s="570"/>
    </row>
    <row r="413" s="162" customFormat="1" ht="15.75" customHeight="1">
      <c r="AE413" s="570"/>
      <c r="AF413" s="570"/>
      <c r="BI413" s="570"/>
      <c r="BJ413" s="570"/>
      <c r="BR413" s="570"/>
    </row>
    <row r="414" s="162" customFormat="1" ht="15.75" customHeight="1">
      <c r="AE414" s="570"/>
      <c r="AF414" s="570"/>
      <c r="BI414" s="570"/>
      <c r="BJ414" s="570"/>
      <c r="BR414" s="570"/>
    </row>
    <row r="415" s="162" customFormat="1" ht="15.75" customHeight="1">
      <c r="AE415" s="570"/>
      <c r="AF415" s="570"/>
      <c r="BI415" s="570"/>
      <c r="BJ415" s="570"/>
      <c r="BR415" s="570"/>
    </row>
    <row r="416" s="162" customFormat="1" ht="15.75" customHeight="1">
      <c r="AE416" s="570"/>
      <c r="AF416" s="570"/>
      <c r="BI416" s="570"/>
      <c r="BJ416" s="570"/>
      <c r="BR416" s="570"/>
    </row>
    <row r="417" s="162" customFormat="1" ht="15.75" customHeight="1">
      <c r="AE417" s="570"/>
      <c r="AF417" s="570"/>
      <c r="BI417" s="570"/>
      <c r="BJ417" s="570"/>
      <c r="BR417" s="570"/>
    </row>
    <row r="418" s="162" customFormat="1" ht="15.75" customHeight="1">
      <c r="AE418" s="570"/>
      <c r="AF418" s="570"/>
      <c r="BI418" s="570"/>
      <c r="BJ418" s="570"/>
      <c r="BR418" s="570"/>
    </row>
    <row r="419" s="162" customFormat="1" ht="15.75" customHeight="1">
      <c r="AE419" s="570"/>
      <c r="AF419" s="570"/>
      <c r="BI419" s="570"/>
      <c r="BJ419" s="570"/>
      <c r="BR419" s="570"/>
    </row>
    <row r="420" s="162" customFormat="1" ht="15.75" customHeight="1">
      <c r="AE420" s="570"/>
      <c r="AF420" s="570"/>
      <c r="BI420" s="570"/>
      <c r="BJ420" s="570"/>
      <c r="BR420" s="570"/>
    </row>
    <row r="421" s="162" customFormat="1" ht="15.75" customHeight="1">
      <c r="AE421" s="570"/>
      <c r="AF421" s="570"/>
      <c r="BI421" s="570"/>
      <c r="BJ421" s="570"/>
      <c r="BR421" s="570"/>
    </row>
    <row r="422" s="162" customFormat="1" ht="15.75" customHeight="1">
      <c r="AE422" s="570"/>
      <c r="AF422" s="570"/>
      <c r="BI422" s="570"/>
      <c r="BJ422" s="570"/>
      <c r="BR422" s="570"/>
    </row>
    <row r="423" s="162" customFormat="1" ht="15.75" customHeight="1">
      <c r="AE423" s="570"/>
      <c r="AF423" s="570"/>
      <c r="BI423" s="570"/>
      <c r="BJ423" s="570"/>
      <c r="BR423" s="570"/>
    </row>
    <row r="424" s="162" customFormat="1" ht="15.75" customHeight="1">
      <c r="AE424" s="570"/>
      <c r="AF424" s="570"/>
      <c r="BI424" s="570"/>
      <c r="BJ424" s="570"/>
      <c r="BR424" s="570"/>
    </row>
    <row r="425" s="162" customFormat="1" ht="15.75" customHeight="1">
      <c r="AE425" s="570"/>
      <c r="AF425" s="570"/>
      <c r="BI425" s="570"/>
      <c r="BJ425" s="570"/>
      <c r="BR425" s="570"/>
    </row>
    <row r="426" s="162" customFormat="1" ht="15.75" customHeight="1">
      <c r="AE426" s="570"/>
      <c r="AF426" s="570"/>
      <c r="BI426" s="570"/>
      <c r="BJ426" s="570"/>
      <c r="BR426" s="570"/>
    </row>
    <row r="427" s="162" customFormat="1" ht="15.75" customHeight="1">
      <c r="AE427" s="570"/>
      <c r="AF427" s="570"/>
      <c r="BI427" s="570"/>
      <c r="BJ427" s="570"/>
      <c r="BR427" s="570"/>
    </row>
    <row r="428" s="162" customFormat="1" ht="15.75" customHeight="1">
      <c r="AE428" s="570"/>
      <c r="AF428" s="570"/>
      <c r="BI428" s="570"/>
      <c r="BJ428" s="570"/>
      <c r="BR428" s="570"/>
    </row>
    <row r="429" s="162" customFormat="1" ht="15.75" customHeight="1">
      <c r="AE429" s="570"/>
      <c r="AF429" s="570"/>
      <c r="BI429" s="570"/>
      <c r="BJ429" s="570"/>
      <c r="BR429" s="570"/>
    </row>
    <row r="430" s="162" customFormat="1" ht="15.75" customHeight="1">
      <c r="AE430" s="570"/>
      <c r="AF430" s="570"/>
      <c r="BI430" s="570"/>
      <c r="BJ430" s="570"/>
      <c r="BR430" s="570"/>
    </row>
    <row r="431" s="162" customFormat="1" ht="15.75" customHeight="1">
      <c r="AE431" s="570"/>
      <c r="AF431" s="570"/>
      <c r="BI431" s="570"/>
      <c r="BJ431" s="570"/>
      <c r="BR431" s="570"/>
    </row>
    <row r="432" s="162" customFormat="1" ht="15.75" customHeight="1">
      <c r="AE432" s="570"/>
      <c r="AF432" s="570"/>
      <c r="BI432" s="570"/>
      <c r="BJ432" s="570"/>
      <c r="BR432" s="570"/>
    </row>
    <row r="433" s="162" customFormat="1" ht="15.75" customHeight="1">
      <c r="AE433" s="570"/>
      <c r="AF433" s="570"/>
      <c r="BI433" s="570"/>
      <c r="BJ433" s="570"/>
      <c r="BR433" s="570"/>
    </row>
    <row r="434" s="162" customFormat="1" ht="15.75" customHeight="1">
      <c r="AE434" s="570"/>
      <c r="AF434" s="570"/>
      <c r="BI434" s="570"/>
      <c r="BJ434" s="570"/>
      <c r="BR434" s="570"/>
    </row>
    <row r="435" s="162" customFormat="1" ht="15.75" customHeight="1">
      <c r="AE435" s="570"/>
      <c r="AF435" s="570"/>
      <c r="BI435" s="570"/>
      <c r="BJ435" s="570"/>
      <c r="BR435" s="570"/>
    </row>
    <row r="436" s="162" customFormat="1" ht="15.75" customHeight="1">
      <c r="AE436" s="570"/>
      <c r="AF436" s="570"/>
      <c r="BI436" s="570"/>
      <c r="BJ436" s="570"/>
      <c r="BR436" s="570"/>
    </row>
    <row r="437" s="162" customFormat="1" ht="15.75" customHeight="1">
      <c r="AE437" s="570"/>
      <c r="AF437" s="570"/>
      <c r="BI437" s="570"/>
      <c r="BJ437" s="570"/>
      <c r="BR437" s="570"/>
    </row>
    <row r="438" s="162" customFormat="1" ht="15.75" customHeight="1">
      <c r="AE438" s="570"/>
      <c r="AF438" s="570"/>
      <c r="BI438" s="570"/>
      <c r="BJ438" s="570"/>
      <c r="BR438" s="570"/>
    </row>
    <row r="439" s="162" customFormat="1" ht="15.75" customHeight="1">
      <c r="AE439" s="570"/>
      <c r="AF439" s="570"/>
      <c r="BI439" s="570"/>
      <c r="BJ439" s="570"/>
      <c r="BR439" s="570"/>
    </row>
    <row r="440" s="162" customFormat="1" ht="15.75" customHeight="1">
      <c r="AE440" s="570"/>
      <c r="AF440" s="570"/>
      <c r="BI440" s="570"/>
      <c r="BJ440" s="570"/>
      <c r="BR440" s="570"/>
    </row>
    <row r="441" s="162" customFormat="1" ht="15.75" customHeight="1">
      <c r="AE441" s="570"/>
      <c r="AF441" s="570"/>
      <c r="BI441" s="570"/>
      <c r="BJ441" s="570"/>
      <c r="BR441" s="570"/>
    </row>
    <row r="442" s="162" customFormat="1" ht="15.75" customHeight="1">
      <c r="AE442" s="570"/>
      <c r="AF442" s="570"/>
      <c r="BI442" s="570"/>
      <c r="BJ442" s="570"/>
      <c r="BR442" s="570"/>
    </row>
    <row r="443" s="162" customFormat="1" ht="15.75" customHeight="1">
      <c r="AE443" s="570"/>
      <c r="AF443" s="570"/>
      <c r="BI443" s="570"/>
      <c r="BJ443" s="570"/>
      <c r="BR443" s="570"/>
    </row>
    <row r="444" s="162" customFormat="1" ht="15.75" customHeight="1">
      <c r="AE444" s="570"/>
      <c r="AF444" s="570"/>
      <c r="BI444" s="570"/>
      <c r="BJ444" s="570"/>
      <c r="BR444" s="570"/>
    </row>
    <row r="445" s="162" customFormat="1" ht="15.75" customHeight="1">
      <c r="AE445" s="570"/>
      <c r="AF445" s="570"/>
      <c r="BI445" s="570"/>
      <c r="BJ445" s="570"/>
      <c r="BR445" s="570"/>
    </row>
    <row r="446" s="162" customFormat="1" ht="15.75" customHeight="1">
      <c r="AE446" s="570"/>
      <c r="AF446" s="570"/>
      <c r="BI446" s="570"/>
      <c r="BJ446" s="570"/>
      <c r="BR446" s="570"/>
    </row>
    <row r="447" s="162" customFormat="1" ht="15.75" customHeight="1">
      <c r="AE447" s="570"/>
      <c r="AF447" s="570"/>
      <c r="BI447" s="570"/>
      <c r="BJ447" s="570"/>
      <c r="BR447" s="570"/>
    </row>
    <row r="448" s="162" customFormat="1" ht="15.75" customHeight="1">
      <c r="AE448" s="570"/>
      <c r="AF448" s="570"/>
      <c r="BI448" s="570"/>
      <c r="BJ448" s="570"/>
      <c r="BR448" s="570"/>
    </row>
    <row r="449" s="162" customFormat="1" ht="15.75" customHeight="1">
      <c r="AE449" s="570"/>
      <c r="AF449" s="570"/>
      <c r="BI449" s="570"/>
      <c r="BJ449" s="570"/>
      <c r="BR449" s="570"/>
    </row>
    <row r="450" s="162" customFormat="1" ht="15.75" customHeight="1">
      <c r="AE450" s="570"/>
      <c r="AF450" s="570"/>
      <c r="BI450" s="570"/>
      <c r="BJ450" s="570"/>
      <c r="BR450" s="570"/>
    </row>
    <row r="451" s="162" customFormat="1" ht="15.75" customHeight="1">
      <c r="AE451" s="570"/>
      <c r="AF451" s="570"/>
      <c r="BI451" s="570"/>
      <c r="BJ451" s="570"/>
      <c r="BR451" s="570"/>
    </row>
    <row r="452" s="162" customFormat="1" ht="15.75" customHeight="1">
      <c r="AE452" s="570"/>
      <c r="AF452" s="570"/>
      <c r="BI452" s="570"/>
      <c r="BJ452" s="570"/>
      <c r="BR452" s="570"/>
    </row>
    <row r="453" s="162" customFormat="1" ht="15.75" customHeight="1">
      <c r="AE453" s="570"/>
      <c r="AF453" s="570"/>
      <c r="BI453" s="570"/>
      <c r="BJ453" s="570"/>
      <c r="BR453" s="570"/>
    </row>
    <row r="454" s="162" customFormat="1" ht="15.75" customHeight="1">
      <c r="AE454" s="570"/>
      <c r="AF454" s="570"/>
      <c r="BI454" s="570"/>
      <c r="BJ454" s="570"/>
      <c r="BR454" s="570"/>
    </row>
    <row r="455" s="162" customFormat="1" ht="15.75" customHeight="1">
      <c r="AE455" s="570"/>
      <c r="AF455" s="570"/>
      <c r="BI455" s="570"/>
      <c r="BJ455" s="570"/>
      <c r="BR455" s="570"/>
    </row>
    <row r="456" s="162" customFormat="1" ht="15.75" customHeight="1">
      <c r="AE456" s="570"/>
      <c r="AF456" s="570"/>
      <c r="BI456" s="570"/>
      <c r="BJ456" s="570"/>
      <c r="BR456" s="570"/>
    </row>
    <row r="457" s="162" customFormat="1" ht="15.75" customHeight="1">
      <c r="AE457" s="570"/>
      <c r="AF457" s="570"/>
      <c r="BI457" s="570"/>
      <c r="BJ457" s="570"/>
      <c r="BR457" s="570"/>
    </row>
    <row r="458" s="162" customFormat="1" ht="15.75" customHeight="1">
      <c r="AE458" s="570"/>
      <c r="AF458" s="570"/>
      <c r="BI458" s="570"/>
      <c r="BJ458" s="570"/>
      <c r="BR458" s="570"/>
    </row>
    <row r="459" s="162" customFormat="1" ht="15.75" customHeight="1">
      <c r="AE459" s="570"/>
      <c r="AF459" s="570"/>
      <c r="BI459" s="570"/>
      <c r="BJ459" s="570"/>
      <c r="BR459" s="570"/>
    </row>
    <row r="460" s="162" customFormat="1" ht="15.75" customHeight="1">
      <c r="AE460" s="570"/>
      <c r="AF460" s="570"/>
      <c r="BI460" s="570"/>
      <c r="BJ460" s="570"/>
      <c r="BR460" s="570"/>
    </row>
    <row r="461" s="162" customFormat="1" ht="15.75" customHeight="1">
      <c r="AE461" s="570"/>
      <c r="AF461" s="570"/>
      <c r="BI461" s="570"/>
      <c r="BJ461" s="570"/>
      <c r="BR461" s="570"/>
    </row>
    <row r="462" s="162" customFormat="1" ht="15.75" customHeight="1">
      <c r="AE462" s="570"/>
      <c r="AF462" s="570"/>
      <c r="BI462" s="570"/>
      <c r="BJ462" s="570"/>
      <c r="BR462" s="570"/>
    </row>
    <row r="463" s="162" customFormat="1" ht="15.75" customHeight="1">
      <c r="AE463" s="570"/>
      <c r="AF463" s="570"/>
      <c r="BI463" s="570"/>
      <c r="BJ463" s="570"/>
      <c r="BR463" s="570"/>
    </row>
    <row r="464" s="162" customFormat="1" ht="15.75" customHeight="1">
      <c r="AE464" s="570"/>
      <c r="AF464" s="570"/>
      <c r="BI464" s="570"/>
      <c r="BJ464" s="570"/>
      <c r="BR464" s="570"/>
    </row>
    <row r="465" s="162" customFormat="1" ht="15.75" customHeight="1">
      <c r="AE465" s="570"/>
      <c r="AF465" s="570"/>
      <c r="BI465" s="570"/>
      <c r="BJ465" s="570"/>
      <c r="BR465" s="570"/>
    </row>
    <row r="466" s="162" customFormat="1" ht="15.75" customHeight="1">
      <c r="AE466" s="570"/>
      <c r="AF466" s="570"/>
      <c r="BI466" s="570"/>
      <c r="BJ466" s="570"/>
      <c r="BR466" s="570"/>
    </row>
    <row r="467" s="162" customFormat="1" ht="15.75" customHeight="1">
      <c r="AE467" s="570"/>
      <c r="AF467" s="570"/>
      <c r="BI467" s="570"/>
      <c r="BJ467" s="570"/>
      <c r="BR467" s="570"/>
    </row>
    <row r="468" s="162" customFormat="1" ht="15.75" customHeight="1">
      <c r="AE468" s="570"/>
      <c r="AF468" s="570"/>
      <c r="BI468" s="570"/>
      <c r="BJ468" s="570"/>
      <c r="BR468" s="570"/>
    </row>
    <row r="469" s="162" customFormat="1" ht="15.75" customHeight="1">
      <c r="AE469" s="570"/>
      <c r="AF469" s="570"/>
      <c r="BI469" s="570"/>
      <c r="BJ469" s="570"/>
      <c r="BR469" s="570"/>
    </row>
    <row r="470" s="162" customFormat="1" ht="15.75" customHeight="1">
      <c r="AE470" s="570"/>
      <c r="AF470" s="570"/>
      <c r="BI470" s="570"/>
      <c r="BJ470" s="570"/>
      <c r="BR470" s="570"/>
    </row>
    <row r="471" s="162" customFormat="1" ht="15.75" customHeight="1">
      <c r="AE471" s="570"/>
      <c r="AF471" s="570"/>
      <c r="BI471" s="570"/>
      <c r="BJ471" s="570"/>
      <c r="BR471" s="570"/>
    </row>
    <row r="472" s="162" customFormat="1" ht="15.75" customHeight="1">
      <c r="AE472" s="570"/>
      <c r="AF472" s="570"/>
      <c r="BI472" s="570"/>
      <c r="BJ472" s="570"/>
      <c r="BR472" s="570"/>
    </row>
    <row r="473" s="162" customFormat="1" ht="15.75" customHeight="1">
      <c r="AE473" s="570"/>
      <c r="AF473" s="570"/>
      <c r="BI473" s="570"/>
      <c r="BJ473" s="570"/>
      <c r="BR473" s="570"/>
    </row>
    <row r="474" s="162" customFormat="1" ht="15.75" customHeight="1">
      <c r="AE474" s="570"/>
      <c r="AF474" s="570"/>
      <c r="BI474" s="570"/>
      <c r="BJ474" s="570"/>
      <c r="BR474" s="570"/>
    </row>
    <row r="475" s="162" customFormat="1" ht="15.75" customHeight="1">
      <c r="AE475" s="570"/>
      <c r="AF475" s="570"/>
      <c r="BI475" s="570"/>
      <c r="BJ475" s="570"/>
      <c r="BR475" s="570"/>
    </row>
    <row r="476" s="162" customFormat="1" ht="15.75" customHeight="1">
      <c r="AE476" s="570"/>
      <c r="AF476" s="570"/>
      <c r="BI476" s="570"/>
      <c r="BJ476" s="570"/>
      <c r="BR476" s="570"/>
    </row>
    <row r="477" s="162" customFormat="1" ht="15.75" customHeight="1">
      <c r="AE477" s="570"/>
      <c r="AF477" s="570"/>
      <c r="BI477" s="570"/>
      <c r="BJ477" s="570"/>
      <c r="BR477" s="570"/>
    </row>
    <row r="478" s="162" customFormat="1" ht="15.75" customHeight="1">
      <c r="AE478" s="570"/>
      <c r="AF478" s="570"/>
      <c r="BI478" s="570"/>
      <c r="BJ478" s="570"/>
      <c r="BR478" s="570"/>
    </row>
    <row r="479" s="162" customFormat="1" ht="15.75" customHeight="1">
      <c r="AE479" s="570"/>
      <c r="AF479" s="570"/>
      <c r="BI479" s="570"/>
      <c r="BJ479" s="570"/>
      <c r="BR479" s="570"/>
    </row>
    <row r="480" s="162" customFormat="1" ht="15.75" customHeight="1">
      <c r="AE480" s="570"/>
      <c r="AF480" s="570"/>
      <c r="BI480" s="570"/>
      <c r="BJ480" s="570"/>
      <c r="BR480" s="570"/>
    </row>
    <row r="481" s="162" customFormat="1" ht="15.75" customHeight="1">
      <c r="AE481" s="570"/>
      <c r="AF481" s="570"/>
      <c r="BI481" s="570"/>
      <c r="BJ481" s="570"/>
      <c r="BR481" s="570"/>
    </row>
    <row r="482" s="162" customFormat="1" ht="15.75" customHeight="1">
      <c r="AE482" s="570"/>
      <c r="AF482" s="570"/>
      <c r="BI482" s="570"/>
      <c r="BJ482" s="570"/>
      <c r="BR482" s="570"/>
    </row>
    <row r="483" s="162" customFormat="1" ht="15.75" customHeight="1">
      <c r="AE483" s="570"/>
      <c r="AF483" s="570"/>
      <c r="BI483" s="570"/>
      <c r="BJ483" s="570"/>
      <c r="BR483" s="570"/>
    </row>
    <row r="484" s="162" customFormat="1" ht="15.75" customHeight="1">
      <c r="AE484" s="570"/>
      <c r="AF484" s="570"/>
      <c r="BI484" s="570"/>
      <c r="BJ484" s="570"/>
      <c r="BR484" s="570"/>
    </row>
    <row r="485" s="162" customFormat="1" ht="15.75" customHeight="1">
      <c r="AE485" s="570"/>
      <c r="AF485" s="570"/>
      <c r="BI485" s="570"/>
      <c r="BJ485" s="570"/>
      <c r="BR485" s="570"/>
    </row>
    <row r="486" s="162" customFormat="1" ht="15.75" customHeight="1">
      <c r="AE486" s="570"/>
      <c r="AF486" s="570"/>
      <c r="BI486" s="570"/>
      <c r="BJ486" s="570"/>
      <c r="BR486" s="570"/>
    </row>
    <row r="487" s="162" customFormat="1" ht="15.75" customHeight="1">
      <c r="AE487" s="570"/>
      <c r="AF487" s="570"/>
      <c r="BI487" s="570"/>
      <c r="BJ487" s="570"/>
      <c r="BR487" s="570"/>
    </row>
    <row r="488" s="162" customFormat="1" ht="15.75" customHeight="1">
      <c r="AE488" s="570"/>
      <c r="AF488" s="570"/>
      <c r="BI488" s="570"/>
      <c r="BJ488" s="570"/>
      <c r="BR488" s="570"/>
    </row>
    <row r="489" s="162" customFormat="1" ht="15.75" customHeight="1">
      <c r="AE489" s="570"/>
      <c r="AF489" s="570"/>
      <c r="BI489" s="570"/>
      <c r="BJ489" s="570"/>
      <c r="BR489" s="570"/>
    </row>
    <row r="490" s="162" customFormat="1" ht="15.75" customHeight="1">
      <c r="AE490" s="570"/>
      <c r="AF490" s="570"/>
      <c r="BI490" s="570"/>
      <c r="BJ490" s="570"/>
      <c r="BR490" s="570"/>
    </row>
    <row r="491" s="162" customFormat="1" ht="15.75" customHeight="1">
      <c r="AE491" s="570"/>
      <c r="AF491" s="570"/>
      <c r="BI491" s="570"/>
      <c r="BJ491" s="570"/>
      <c r="BR491" s="570"/>
    </row>
    <row r="492" s="162" customFormat="1" ht="15.75" customHeight="1">
      <c r="AE492" s="570"/>
      <c r="AF492" s="570"/>
      <c r="BI492" s="570"/>
      <c r="BJ492" s="570"/>
      <c r="BR492" s="570"/>
    </row>
    <row r="493" s="162" customFormat="1" ht="15.75" customHeight="1">
      <c r="AE493" s="570"/>
      <c r="AF493" s="570"/>
      <c r="BI493" s="570"/>
      <c r="BJ493" s="570"/>
      <c r="BR493" s="570"/>
    </row>
    <row r="494" s="162" customFormat="1" ht="15.75" customHeight="1">
      <c r="AE494" s="570"/>
      <c r="AF494" s="570"/>
      <c r="BI494" s="570"/>
      <c r="BJ494" s="570"/>
      <c r="BR494" s="570"/>
    </row>
    <row r="495" s="162" customFormat="1" ht="15.75" customHeight="1">
      <c r="AE495" s="570"/>
      <c r="AF495" s="570"/>
      <c r="BI495" s="570"/>
      <c r="BJ495" s="570"/>
      <c r="BR495" s="570"/>
    </row>
    <row r="496" s="162" customFormat="1" ht="15.75" customHeight="1">
      <c r="AE496" s="570"/>
      <c r="AF496" s="570"/>
      <c r="BI496" s="570"/>
      <c r="BJ496" s="570"/>
      <c r="BR496" s="570"/>
    </row>
    <row r="497" s="162" customFormat="1" ht="15.75" customHeight="1">
      <c r="AE497" s="570"/>
      <c r="AF497" s="570"/>
      <c r="BI497" s="570"/>
      <c r="BJ497" s="570"/>
      <c r="BR497" s="570"/>
    </row>
    <row r="498" s="162" customFormat="1" ht="15.75" customHeight="1">
      <c r="AE498" s="570"/>
      <c r="AF498" s="570"/>
      <c r="BI498" s="570"/>
      <c r="BJ498" s="570"/>
      <c r="BR498" s="570"/>
    </row>
    <row r="499" s="162" customFormat="1" ht="15.75" customHeight="1">
      <c r="AE499" s="570"/>
      <c r="AF499" s="570"/>
      <c r="BI499" s="570"/>
      <c r="BJ499" s="570"/>
      <c r="BR499" s="570"/>
    </row>
    <row r="500" s="162" customFormat="1" ht="15.75" customHeight="1">
      <c r="AE500" s="570"/>
      <c r="AF500" s="570"/>
      <c r="BI500" s="570"/>
      <c r="BJ500" s="570"/>
      <c r="BR500" s="570"/>
    </row>
    <row r="501" s="162" customFormat="1" ht="15.75" customHeight="1">
      <c r="AE501" s="570"/>
      <c r="AF501" s="570"/>
      <c r="BI501" s="570"/>
      <c r="BJ501" s="570"/>
      <c r="BR501" s="570"/>
    </row>
    <row r="502" s="162" customFormat="1" ht="15.75" customHeight="1">
      <c r="AE502" s="570"/>
      <c r="AF502" s="570"/>
      <c r="BI502" s="570"/>
      <c r="BJ502" s="570"/>
      <c r="BR502" s="570"/>
    </row>
    <row r="503" s="162" customFormat="1" ht="15.75" customHeight="1">
      <c r="AE503" s="570"/>
      <c r="AF503" s="570"/>
      <c r="BI503" s="570"/>
      <c r="BJ503" s="570"/>
      <c r="BR503" s="570"/>
    </row>
    <row r="504" s="162" customFormat="1" ht="15.75" customHeight="1">
      <c r="AE504" s="570"/>
      <c r="AF504" s="570"/>
      <c r="BI504" s="570"/>
      <c r="BJ504" s="570"/>
      <c r="BR504" s="570"/>
    </row>
    <row r="505" s="162" customFormat="1" ht="15.75" customHeight="1">
      <c r="AE505" s="570"/>
      <c r="AF505" s="570"/>
      <c r="BI505" s="570"/>
      <c r="BJ505" s="570"/>
      <c r="BR505" s="570"/>
    </row>
    <row r="506" s="162" customFormat="1" ht="15.75" customHeight="1">
      <c r="AE506" s="570"/>
      <c r="AF506" s="570"/>
      <c r="BI506" s="570"/>
      <c r="BJ506" s="570"/>
      <c r="BR506" s="570"/>
    </row>
    <row r="507" s="162" customFormat="1" ht="15.75" customHeight="1">
      <c r="AE507" s="570"/>
      <c r="AF507" s="570"/>
      <c r="BI507" s="570"/>
      <c r="BJ507" s="570"/>
      <c r="BR507" s="570"/>
    </row>
    <row r="508" s="162" customFormat="1" ht="15.75" customHeight="1">
      <c r="AE508" s="570"/>
      <c r="AF508" s="570"/>
      <c r="BI508" s="570"/>
      <c r="BJ508" s="570"/>
      <c r="BR508" s="570"/>
    </row>
    <row r="509" s="162" customFormat="1" ht="15.75" customHeight="1">
      <c r="AE509" s="570"/>
      <c r="AF509" s="570"/>
      <c r="BI509" s="570"/>
      <c r="BJ509" s="570"/>
      <c r="BR509" s="570"/>
    </row>
    <row r="510" s="162" customFormat="1" ht="15.75" customHeight="1">
      <c r="AE510" s="570"/>
      <c r="AF510" s="570"/>
      <c r="BI510" s="570"/>
      <c r="BJ510" s="570"/>
      <c r="BR510" s="570"/>
    </row>
    <row r="511" s="162" customFormat="1" ht="15.75" customHeight="1">
      <c r="AE511" s="570"/>
      <c r="AF511" s="570"/>
      <c r="BI511" s="570"/>
      <c r="BJ511" s="570"/>
      <c r="BR511" s="570"/>
    </row>
    <row r="512" s="162" customFormat="1" ht="15.75" customHeight="1">
      <c r="AE512" s="570"/>
      <c r="AF512" s="570"/>
      <c r="BI512" s="570"/>
      <c r="BJ512" s="570"/>
      <c r="BR512" s="570"/>
    </row>
    <row r="513" s="162" customFormat="1" ht="15.75" customHeight="1">
      <c r="AE513" s="570"/>
      <c r="AF513" s="570"/>
      <c r="BI513" s="570"/>
      <c r="BJ513" s="570"/>
      <c r="BR513" s="570"/>
    </row>
    <row r="514" s="162" customFormat="1" ht="15.75" customHeight="1">
      <c r="AE514" s="570"/>
      <c r="AF514" s="570"/>
      <c r="BI514" s="570"/>
      <c r="BJ514" s="570"/>
      <c r="BR514" s="570"/>
    </row>
    <row r="515" s="162" customFormat="1" ht="15.75" customHeight="1">
      <c r="AE515" s="570"/>
      <c r="AF515" s="570"/>
      <c r="BI515" s="570"/>
      <c r="BJ515" s="570"/>
      <c r="BR515" s="570"/>
    </row>
    <row r="516" s="162" customFormat="1" ht="15.75" customHeight="1">
      <c r="AE516" s="570"/>
      <c r="AF516" s="570"/>
      <c r="BI516" s="570"/>
      <c r="BJ516" s="570"/>
      <c r="BR516" s="570"/>
    </row>
    <row r="517" s="162" customFormat="1" ht="15.75" customHeight="1">
      <c r="AE517" s="570"/>
      <c r="AF517" s="570"/>
      <c r="BI517" s="570"/>
      <c r="BJ517" s="570"/>
      <c r="BR517" s="570"/>
    </row>
    <row r="518" s="162" customFormat="1" ht="15.75" customHeight="1">
      <c r="AE518" s="570"/>
      <c r="AF518" s="570"/>
      <c r="BI518" s="570"/>
      <c r="BJ518" s="570"/>
      <c r="BR518" s="570"/>
    </row>
    <row r="519" s="162" customFormat="1" ht="15.75" customHeight="1">
      <c r="AE519" s="570"/>
      <c r="AF519" s="570"/>
      <c r="BI519" s="570"/>
      <c r="BJ519" s="570"/>
      <c r="BR519" s="570"/>
    </row>
    <row r="520" s="162" customFormat="1" ht="15.75" customHeight="1">
      <c r="AE520" s="570"/>
      <c r="AF520" s="570"/>
      <c r="BI520" s="570"/>
      <c r="BJ520" s="570"/>
      <c r="BR520" s="570"/>
    </row>
    <row r="521" s="162" customFormat="1" ht="15.75" customHeight="1">
      <c r="AE521" s="570"/>
      <c r="AF521" s="570"/>
      <c r="BI521" s="570"/>
      <c r="BJ521" s="570"/>
      <c r="BR521" s="570"/>
    </row>
    <row r="522" s="162" customFormat="1" ht="15.75" customHeight="1">
      <c r="AE522" s="570"/>
      <c r="AF522" s="570"/>
      <c r="BI522" s="570"/>
      <c r="BJ522" s="570"/>
      <c r="BR522" s="570"/>
    </row>
    <row r="523" s="162" customFormat="1" ht="15.75" customHeight="1">
      <c r="AE523" s="570"/>
      <c r="AF523" s="570"/>
      <c r="BI523" s="570"/>
      <c r="BJ523" s="570"/>
      <c r="BR523" s="570"/>
    </row>
    <row r="524" s="162" customFormat="1" ht="15.75" customHeight="1">
      <c r="AE524" s="570"/>
      <c r="AF524" s="570"/>
      <c r="BI524" s="570"/>
      <c r="BJ524" s="570"/>
      <c r="BR524" s="570"/>
    </row>
    <row r="525" s="162" customFormat="1" ht="15.75" customHeight="1">
      <c r="AE525" s="570"/>
      <c r="AF525" s="570"/>
      <c r="BI525" s="570"/>
      <c r="BJ525" s="570"/>
      <c r="BR525" s="570"/>
    </row>
    <row r="526" s="162" customFormat="1" ht="15.75" customHeight="1">
      <c r="AE526" s="570"/>
      <c r="AF526" s="570"/>
      <c r="BI526" s="570"/>
      <c r="BJ526" s="570"/>
      <c r="BR526" s="570"/>
    </row>
    <row r="527" s="162" customFormat="1" ht="15.75" customHeight="1">
      <c r="AE527" s="570"/>
      <c r="AF527" s="570"/>
      <c r="BI527" s="570"/>
      <c r="BJ527" s="570"/>
      <c r="BR527" s="570"/>
    </row>
    <row r="528" s="162" customFormat="1" ht="15.75" customHeight="1">
      <c r="AE528" s="570"/>
      <c r="AF528" s="570"/>
      <c r="BI528" s="570"/>
      <c r="BJ528" s="570"/>
      <c r="BR528" s="570"/>
    </row>
    <row r="529" s="162" customFormat="1" ht="15.75" customHeight="1">
      <c r="AE529" s="570"/>
      <c r="AF529" s="570"/>
      <c r="BI529" s="570"/>
      <c r="BJ529" s="570"/>
      <c r="BR529" s="570"/>
    </row>
    <row r="530" s="162" customFormat="1" ht="15.75" customHeight="1">
      <c r="AE530" s="570"/>
      <c r="AF530" s="570"/>
      <c r="BI530" s="570"/>
      <c r="BJ530" s="570"/>
      <c r="BR530" s="570"/>
    </row>
    <row r="531" s="162" customFormat="1" ht="15.75" customHeight="1">
      <c r="AE531" s="570"/>
      <c r="AF531" s="570"/>
      <c r="BI531" s="570"/>
      <c r="BJ531" s="570"/>
      <c r="BR531" s="570"/>
    </row>
    <row r="532" s="162" customFormat="1" ht="15.75" customHeight="1">
      <c r="AE532" s="570"/>
      <c r="AF532" s="570"/>
      <c r="BI532" s="570"/>
      <c r="BJ532" s="570"/>
      <c r="BR532" s="570"/>
    </row>
    <row r="533" s="162" customFormat="1" ht="15.75" customHeight="1">
      <c r="AE533" s="570"/>
      <c r="AF533" s="570"/>
      <c r="BI533" s="570"/>
      <c r="BJ533" s="570"/>
      <c r="BR533" s="570"/>
    </row>
    <row r="534" s="162" customFormat="1" ht="15.75" customHeight="1">
      <c r="AE534" s="570"/>
      <c r="AF534" s="570"/>
      <c r="BI534" s="570"/>
      <c r="BJ534" s="570"/>
      <c r="BR534" s="570"/>
    </row>
    <row r="535" s="162" customFormat="1" ht="15.75" customHeight="1">
      <c r="AE535" s="570"/>
      <c r="AF535" s="570"/>
      <c r="BI535" s="570"/>
      <c r="BJ535" s="570"/>
      <c r="BR535" s="570"/>
    </row>
    <row r="536" s="162" customFormat="1" ht="15.75" customHeight="1">
      <c r="AE536" s="570"/>
      <c r="AF536" s="570"/>
      <c r="BI536" s="570"/>
      <c r="BJ536" s="570"/>
      <c r="BR536" s="570"/>
    </row>
    <row r="537" s="162" customFormat="1" ht="15.75" customHeight="1">
      <c r="AE537" s="570"/>
      <c r="AF537" s="570"/>
      <c r="BI537" s="570"/>
      <c r="BJ537" s="570"/>
      <c r="BR537" s="570"/>
    </row>
    <row r="538" s="162" customFormat="1" ht="15.75" customHeight="1">
      <c r="AE538" s="570"/>
      <c r="AF538" s="570"/>
      <c r="BI538" s="570"/>
      <c r="BJ538" s="570"/>
      <c r="BR538" s="570"/>
    </row>
    <row r="539" s="162" customFormat="1" ht="15.75" customHeight="1">
      <c r="AE539" s="570"/>
      <c r="AF539" s="570"/>
      <c r="BI539" s="570"/>
      <c r="BJ539" s="570"/>
      <c r="BR539" s="570"/>
    </row>
    <row r="540" s="162" customFormat="1" ht="15.75" customHeight="1">
      <c r="AE540" s="570"/>
      <c r="AF540" s="570"/>
      <c r="BI540" s="570"/>
      <c r="BJ540" s="570"/>
      <c r="BR540" s="570"/>
    </row>
    <row r="541" s="162" customFormat="1" ht="15.75" customHeight="1">
      <c r="AE541" s="570"/>
      <c r="AF541" s="570"/>
      <c r="BI541" s="570"/>
      <c r="BJ541" s="570"/>
      <c r="BR541" s="570"/>
    </row>
    <row r="542" s="162" customFormat="1" ht="15.75" customHeight="1">
      <c r="AE542" s="570"/>
      <c r="AF542" s="570"/>
      <c r="BI542" s="570"/>
      <c r="BJ542" s="570"/>
      <c r="BR542" s="570"/>
    </row>
    <row r="543" s="162" customFormat="1" ht="15.75" customHeight="1">
      <c r="AE543" s="570"/>
      <c r="AF543" s="570"/>
      <c r="BI543" s="570"/>
      <c r="BJ543" s="570"/>
      <c r="BR543" s="570"/>
    </row>
    <row r="544" s="162" customFormat="1" ht="15.75" customHeight="1">
      <c r="AE544" s="570"/>
      <c r="AF544" s="570"/>
      <c r="BI544" s="570"/>
      <c r="BJ544" s="570"/>
      <c r="BR544" s="570"/>
    </row>
    <row r="545" s="162" customFormat="1" ht="15.75" customHeight="1">
      <c r="AE545" s="570"/>
      <c r="AF545" s="570"/>
      <c r="BI545" s="570"/>
      <c r="BJ545" s="570"/>
      <c r="BR545" s="570"/>
    </row>
    <row r="546" s="162" customFormat="1" ht="15.75" customHeight="1">
      <c r="AE546" s="570"/>
      <c r="AF546" s="570"/>
      <c r="BI546" s="570"/>
      <c r="BJ546" s="570"/>
      <c r="BR546" s="570"/>
    </row>
    <row r="547" s="162" customFormat="1" ht="15.75" customHeight="1">
      <c r="AE547" s="570"/>
      <c r="AF547" s="570"/>
      <c r="BI547" s="570"/>
      <c r="BJ547" s="570"/>
      <c r="BR547" s="570"/>
    </row>
    <row r="548" s="162" customFormat="1" ht="15.75" customHeight="1">
      <c r="AE548" s="570"/>
      <c r="AF548" s="570"/>
      <c r="BI548" s="570"/>
      <c r="BJ548" s="570"/>
      <c r="BR548" s="570"/>
    </row>
    <row r="549" s="162" customFormat="1" ht="15.75" customHeight="1">
      <c r="AE549" s="570"/>
      <c r="AF549" s="570"/>
      <c r="BI549" s="570"/>
      <c r="BJ549" s="570"/>
      <c r="BR549" s="570"/>
    </row>
    <row r="550" s="162" customFormat="1" ht="15.75" customHeight="1">
      <c r="AE550" s="570"/>
      <c r="AF550" s="570"/>
      <c r="BI550" s="570"/>
      <c r="BJ550" s="570"/>
      <c r="BR550" s="570"/>
    </row>
    <row r="551" s="162" customFormat="1" ht="15.75" customHeight="1">
      <c r="AE551" s="570"/>
      <c r="AF551" s="570"/>
      <c r="BI551" s="570"/>
      <c r="BJ551" s="570"/>
      <c r="BR551" s="570"/>
    </row>
    <row r="552" s="162" customFormat="1" ht="15.75" customHeight="1">
      <c r="AE552" s="570"/>
      <c r="AF552" s="570"/>
      <c r="BI552" s="570"/>
      <c r="BJ552" s="570"/>
      <c r="BR552" s="570"/>
    </row>
    <row r="553" s="162" customFormat="1" ht="15.75" customHeight="1">
      <c r="AE553" s="570"/>
      <c r="AF553" s="570"/>
      <c r="BI553" s="570"/>
      <c r="BJ553" s="570"/>
      <c r="BR553" s="570"/>
    </row>
    <row r="554" s="162" customFormat="1" ht="15.75" customHeight="1">
      <c r="AE554" s="570"/>
      <c r="AF554" s="570"/>
      <c r="BI554" s="570"/>
      <c r="BJ554" s="570"/>
      <c r="BR554" s="570"/>
    </row>
    <row r="555" s="162" customFormat="1" ht="15.75" customHeight="1">
      <c r="AE555" s="570"/>
      <c r="AF555" s="570"/>
      <c r="BI555" s="570"/>
      <c r="BJ555" s="570"/>
      <c r="BR555" s="570"/>
    </row>
    <row r="556" s="162" customFormat="1" ht="15.75" customHeight="1">
      <c r="AE556" s="570"/>
      <c r="AF556" s="570"/>
      <c r="BI556" s="570"/>
      <c r="BJ556" s="570"/>
      <c r="BR556" s="570"/>
    </row>
    <row r="557" s="162" customFormat="1" ht="15.75" customHeight="1">
      <c r="AE557" s="570"/>
      <c r="AF557" s="570"/>
      <c r="BI557" s="570"/>
      <c r="BJ557" s="570"/>
      <c r="BR557" s="570"/>
    </row>
    <row r="558" s="162" customFormat="1" ht="15.75" customHeight="1">
      <c r="AE558" s="570"/>
      <c r="AF558" s="570"/>
      <c r="BI558" s="570"/>
      <c r="BJ558" s="570"/>
      <c r="BR558" s="570"/>
    </row>
    <row r="559" s="162" customFormat="1" ht="15.75" customHeight="1">
      <c r="AE559" s="570"/>
      <c r="AF559" s="570"/>
      <c r="BI559" s="570"/>
      <c r="BJ559" s="570"/>
      <c r="BR559" s="570"/>
    </row>
    <row r="560" s="162" customFormat="1" ht="15.75" customHeight="1">
      <c r="AE560" s="570"/>
      <c r="AF560" s="570"/>
      <c r="BI560" s="570"/>
      <c r="BJ560" s="570"/>
      <c r="BR560" s="570"/>
    </row>
    <row r="561" s="162" customFormat="1" ht="15.75" customHeight="1">
      <c r="AE561" s="570"/>
      <c r="AF561" s="570"/>
      <c r="BI561" s="570"/>
      <c r="BJ561" s="570"/>
      <c r="BR561" s="570"/>
    </row>
    <row r="562" s="162" customFormat="1" ht="15.75" customHeight="1">
      <c r="AE562" s="570"/>
      <c r="AF562" s="570"/>
      <c r="BI562" s="570"/>
      <c r="BJ562" s="570"/>
      <c r="BR562" s="570"/>
    </row>
    <row r="563" s="162" customFormat="1" ht="15.75" customHeight="1">
      <c r="AE563" s="570"/>
      <c r="AF563" s="570"/>
      <c r="BI563" s="570"/>
      <c r="BJ563" s="570"/>
      <c r="BR563" s="570"/>
    </row>
    <row r="564" s="162" customFormat="1" ht="15.75" customHeight="1">
      <c r="AE564" s="570"/>
      <c r="AF564" s="570"/>
      <c r="BI564" s="570"/>
      <c r="BJ564" s="570"/>
      <c r="BR564" s="570"/>
    </row>
    <row r="565" s="162" customFormat="1" ht="15.75" customHeight="1">
      <c r="AE565" s="570"/>
      <c r="AF565" s="570"/>
      <c r="BI565" s="570"/>
      <c r="BJ565" s="570"/>
      <c r="BR565" s="570"/>
    </row>
    <row r="566" s="162" customFormat="1" ht="15.75" customHeight="1">
      <c r="AE566" s="570"/>
      <c r="AF566" s="570"/>
      <c r="BI566" s="570"/>
      <c r="BJ566" s="570"/>
      <c r="BR566" s="570"/>
    </row>
    <row r="567" s="162" customFormat="1" ht="15.75" customHeight="1">
      <c r="AE567" s="570"/>
      <c r="AF567" s="570"/>
      <c r="BI567" s="570"/>
      <c r="BJ567" s="570"/>
      <c r="BR567" s="570"/>
    </row>
    <row r="568" s="162" customFormat="1" ht="15.75" customHeight="1">
      <c r="AE568" s="570"/>
      <c r="AF568" s="570"/>
      <c r="BI568" s="570"/>
      <c r="BJ568" s="570"/>
      <c r="BR568" s="570"/>
    </row>
    <row r="569" s="162" customFormat="1" ht="15.75" customHeight="1">
      <c r="AE569" s="570"/>
      <c r="AF569" s="570"/>
      <c r="BI569" s="570"/>
      <c r="BJ569" s="570"/>
      <c r="BR569" s="570"/>
    </row>
    <row r="570" s="162" customFormat="1" ht="15.75" customHeight="1">
      <c r="AE570" s="570"/>
      <c r="AF570" s="570"/>
      <c r="BI570" s="570"/>
      <c r="BJ570" s="570"/>
      <c r="BR570" s="570"/>
    </row>
    <row r="571" s="162" customFormat="1" ht="15.75" customHeight="1">
      <c r="AE571" s="570"/>
      <c r="AF571" s="570"/>
      <c r="BI571" s="570"/>
      <c r="BJ571" s="570"/>
      <c r="BR571" s="570"/>
    </row>
    <row r="572" s="162" customFormat="1" ht="15.75" customHeight="1">
      <c r="AE572" s="570"/>
      <c r="AF572" s="570"/>
      <c r="BI572" s="570"/>
      <c r="BJ572" s="570"/>
      <c r="BR572" s="570"/>
    </row>
    <row r="573" s="162" customFormat="1" ht="15.75" customHeight="1">
      <c r="AE573" s="570"/>
      <c r="AF573" s="570"/>
      <c r="BI573" s="570"/>
      <c r="BJ573" s="570"/>
      <c r="BR573" s="570"/>
    </row>
    <row r="574" s="162" customFormat="1" ht="15.75" customHeight="1">
      <c r="AE574" s="570"/>
      <c r="AF574" s="570"/>
      <c r="BI574" s="570"/>
      <c r="BJ574" s="570"/>
      <c r="BR574" s="570"/>
    </row>
    <row r="575" s="162" customFormat="1" ht="15.75" customHeight="1">
      <c r="AE575" s="570"/>
      <c r="AF575" s="570"/>
      <c r="BI575" s="570"/>
      <c r="BJ575" s="570"/>
      <c r="BR575" s="570"/>
    </row>
    <row r="576" s="162" customFormat="1" ht="15.75" customHeight="1">
      <c r="AE576" s="570"/>
      <c r="AF576" s="570"/>
      <c r="BI576" s="570"/>
      <c r="BJ576" s="570"/>
      <c r="BR576" s="570"/>
    </row>
    <row r="577" s="162" customFormat="1" ht="15.75" customHeight="1">
      <c r="AE577" s="570"/>
      <c r="AF577" s="570"/>
      <c r="BI577" s="570"/>
      <c r="BJ577" s="570"/>
      <c r="BR577" s="570"/>
    </row>
    <row r="578" s="162" customFormat="1" ht="15.75" customHeight="1">
      <c r="AE578" s="570"/>
      <c r="AF578" s="570"/>
      <c r="BI578" s="570"/>
      <c r="BJ578" s="570"/>
      <c r="BR578" s="570"/>
    </row>
    <row r="579" s="162" customFormat="1" ht="15.75" customHeight="1">
      <c r="AE579" s="570"/>
      <c r="AF579" s="570"/>
      <c r="BI579" s="570"/>
      <c r="BJ579" s="570"/>
      <c r="BR579" s="570"/>
    </row>
    <row r="580" s="162" customFormat="1" ht="15.75" customHeight="1">
      <c r="AE580" s="570"/>
      <c r="AF580" s="570"/>
      <c r="BI580" s="570"/>
      <c r="BJ580" s="570"/>
      <c r="BR580" s="570"/>
    </row>
    <row r="581" s="162" customFormat="1" ht="15.75" customHeight="1">
      <c r="AE581" s="570"/>
      <c r="AF581" s="570"/>
      <c r="BI581" s="570"/>
      <c r="BJ581" s="570"/>
      <c r="BR581" s="570"/>
    </row>
    <row r="582" s="162" customFormat="1" ht="15.75" customHeight="1">
      <c r="AE582" s="570"/>
      <c r="AF582" s="570"/>
      <c r="BI582" s="570"/>
      <c r="BJ582" s="570"/>
      <c r="BR582" s="570"/>
    </row>
    <row r="583" s="162" customFormat="1" ht="15.75" customHeight="1">
      <c r="AE583" s="570"/>
      <c r="AF583" s="570"/>
      <c r="BI583" s="570"/>
      <c r="BJ583" s="570"/>
      <c r="BR583" s="570"/>
    </row>
    <row r="584" s="162" customFormat="1" ht="15.75" customHeight="1">
      <c r="AE584" s="570"/>
      <c r="AF584" s="570"/>
      <c r="BI584" s="570"/>
      <c r="BJ584" s="570"/>
      <c r="BR584" s="570"/>
    </row>
    <row r="585" s="162" customFormat="1" ht="15.75" customHeight="1">
      <c r="AE585" s="570"/>
      <c r="AF585" s="570"/>
      <c r="BI585" s="570"/>
      <c r="BJ585" s="570"/>
      <c r="BR585" s="570"/>
    </row>
    <row r="586" s="162" customFormat="1" ht="15.75" customHeight="1">
      <c r="AE586" s="570"/>
      <c r="AF586" s="570"/>
      <c r="BI586" s="570"/>
      <c r="BJ586" s="570"/>
      <c r="BR586" s="570"/>
    </row>
    <row r="587" s="162" customFormat="1" ht="15.75" customHeight="1">
      <c r="AE587" s="570"/>
      <c r="AF587" s="570"/>
      <c r="BI587" s="570"/>
      <c r="BJ587" s="570"/>
      <c r="BR587" s="570"/>
    </row>
    <row r="588" s="162" customFormat="1" ht="15.75" customHeight="1">
      <c r="AE588" s="570"/>
      <c r="AF588" s="570"/>
      <c r="BI588" s="570"/>
      <c r="BJ588" s="570"/>
      <c r="BR588" s="570"/>
    </row>
    <row r="589" s="162" customFormat="1" ht="15.75" customHeight="1">
      <c r="AE589" s="570"/>
      <c r="AF589" s="570"/>
      <c r="BI589" s="570"/>
      <c r="BJ589" s="570"/>
      <c r="BR589" s="570"/>
    </row>
    <row r="590" s="162" customFormat="1" ht="15.75" customHeight="1">
      <c r="AE590" s="570"/>
      <c r="AF590" s="570"/>
      <c r="BI590" s="570"/>
      <c r="BJ590" s="570"/>
      <c r="BR590" s="570"/>
    </row>
    <row r="591" s="162" customFormat="1" ht="15.75" customHeight="1">
      <c r="AE591" s="570"/>
      <c r="AF591" s="570"/>
      <c r="BI591" s="570"/>
      <c r="BJ591" s="570"/>
      <c r="BR591" s="570"/>
    </row>
    <row r="592" s="162" customFormat="1" ht="15.75" customHeight="1">
      <c r="AE592" s="570"/>
      <c r="AF592" s="570"/>
      <c r="BI592" s="570"/>
      <c r="BJ592" s="570"/>
      <c r="BR592" s="570"/>
    </row>
    <row r="593" s="162" customFormat="1" ht="15.75" customHeight="1">
      <c r="AE593" s="570"/>
      <c r="AF593" s="570"/>
      <c r="BI593" s="570"/>
      <c r="BJ593" s="570"/>
      <c r="BR593" s="570"/>
    </row>
    <row r="594" s="162" customFormat="1" ht="15.75" customHeight="1">
      <c r="AE594" s="570"/>
      <c r="AF594" s="570"/>
      <c r="BI594" s="570"/>
      <c r="BJ594" s="570"/>
      <c r="BR594" s="570"/>
    </row>
    <row r="595" s="162" customFormat="1" ht="15.75" customHeight="1">
      <c r="AE595" s="570"/>
      <c r="AF595" s="570"/>
      <c r="BI595" s="570"/>
      <c r="BJ595" s="570"/>
      <c r="BR595" s="570"/>
    </row>
    <row r="596" s="162" customFormat="1" ht="15.75" customHeight="1">
      <c r="AE596" s="570"/>
      <c r="AF596" s="570"/>
      <c r="BI596" s="570"/>
      <c r="BJ596" s="570"/>
      <c r="BR596" s="570"/>
    </row>
    <row r="597" s="162" customFormat="1" ht="15.75" customHeight="1">
      <c r="AE597" s="570"/>
      <c r="AF597" s="570"/>
      <c r="BI597" s="570"/>
      <c r="BJ597" s="570"/>
      <c r="BR597" s="570"/>
    </row>
    <row r="598" s="162" customFormat="1" ht="15.75" customHeight="1">
      <c r="AE598" s="570"/>
      <c r="AF598" s="570"/>
      <c r="BI598" s="570"/>
      <c r="BJ598" s="570"/>
      <c r="BR598" s="570"/>
    </row>
    <row r="599" s="162" customFormat="1" ht="15.75" customHeight="1">
      <c r="AE599" s="570"/>
      <c r="AF599" s="570"/>
      <c r="BI599" s="570"/>
      <c r="BJ599" s="570"/>
      <c r="BR599" s="570"/>
    </row>
    <row r="600" s="162" customFormat="1" ht="15.75" customHeight="1">
      <c r="AE600" s="570"/>
      <c r="AF600" s="570"/>
      <c r="BI600" s="570"/>
      <c r="BJ600" s="570"/>
      <c r="BR600" s="570"/>
    </row>
    <row r="601" s="162" customFormat="1" ht="15.75" customHeight="1">
      <c r="AE601" s="570"/>
      <c r="AF601" s="570"/>
      <c r="BI601" s="570"/>
      <c r="BJ601" s="570"/>
      <c r="BR601" s="570"/>
    </row>
    <row r="602" s="162" customFormat="1" ht="15.75" customHeight="1">
      <c r="AE602" s="570"/>
      <c r="AF602" s="570"/>
      <c r="BI602" s="570"/>
      <c r="BJ602" s="570"/>
      <c r="BR602" s="570"/>
    </row>
    <row r="603" s="162" customFormat="1" ht="15.75" customHeight="1">
      <c r="AE603" s="570"/>
      <c r="AF603" s="570"/>
      <c r="BI603" s="570"/>
      <c r="BJ603" s="570"/>
      <c r="BR603" s="570"/>
    </row>
    <row r="604" s="162" customFormat="1" ht="15.75" customHeight="1">
      <c r="AE604" s="570"/>
      <c r="AF604" s="570"/>
      <c r="BI604" s="570"/>
      <c r="BJ604" s="570"/>
      <c r="BR604" s="570"/>
    </row>
    <row r="605" s="162" customFormat="1" ht="15.75" customHeight="1">
      <c r="AE605" s="570"/>
      <c r="AF605" s="570"/>
      <c r="BI605" s="570"/>
      <c r="BJ605" s="570"/>
      <c r="BR605" s="570"/>
    </row>
    <row r="606" s="162" customFormat="1" ht="15.75" customHeight="1">
      <c r="AE606" s="570"/>
      <c r="AF606" s="570"/>
      <c r="BI606" s="570"/>
      <c r="BJ606" s="570"/>
      <c r="BR606" s="570"/>
    </row>
    <row r="607" s="162" customFormat="1" ht="15.75" customHeight="1">
      <c r="AE607" s="570"/>
      <c r="AF607" s="570"/>
      <c r="BI607" s="570"/>
      <c r="BJ607" s="570"/>
      <c r="BR607" s="570"/>
    </row>
    <row r="608" s="162" customFormat="1" ht="15.75" customHeight="1">
      <c r="AE608" s="570"/>
      <c r="AF608" s="570"/>
      <c r="BI608" s="570"/>
      <c r="BJ608" s="570"/>
      <c r="BR608" s="570"/>
    </row>
    <row r="609" s="162" customFormat="1" ht="15.75" customHeight="1">
      <c r="AE609" s="570"/>
      <c r="AF609" s="570"/>
      <c r="BI609" s="570"/>
      <c r="BJ609" s="570"/>
      <c r="BR609" s="570"/>
    </row>
    <row r="610" s="162" customFormat="1" ht="15.75" customHeight="1">
      <c r="AE610" s="570"/>
      <c r="AF610" s="570"/>
      <c r="BI610" s="570"/>
      <c r="BJ610" s="570"/>
      <c r="BR610" s="570"/>
    </row>
    <row r="611" s="162" customFormat="1" ht="15.75" customHeight="1">
      <c r="AE611" s="570"/>
      <c r="AF611" s="570"/>
      <c r="BI611" s="570"/>
      <c r="BJ611" s="570"/>
      <c r="BR611" s="570"/>
    </row>
    <row r="612" s="162" customFormat="1" ht="15.75" customHeight="1">
      <c r="AE612" s="570"/>
      <c r="AF612" s="570"/>
      <c r="BI612" s="570"/>
      <c r="BJ612" s="570"/>
      <c r="BR612" s="570"/>
    </row>
    <row r="613" s="162" customFormat="1" ht="15.75" customHeight="1">
      <c r="AE613" s="570"/>
      <c r="AF613" s="570"/>
      <c r="BI613" s="570"/>
      <c r="BJ613" s="570"/>
      <c r="BR613" s="570"/>
    </row>
    <row r="614" s="162" customFormat="1" ht="15.75" customHeight="1">
      <c r="AE614" s="570"/>
      <c r="AF614" s="570"/>
      <c r="BI614" s="570"/>
      <c r="BJ614" s="570"/>
      <c r="BR614" s="570"/>
    </row>
    <row r="615" s="162" customFormat="1" ht="15.75" customHeight="1">
      <c r="AE615" s="570"/>
      <c r="AF615" s="570"/>
      <c r="BI615" s="570"/>
      <c r="BJ615" s="570"/>
      <c r="BR615" s="570"/>
    </row>
    <row r="616" s="162" customFormat="1" ht="15.75" customHeight="1">
      <c r="AE616" s="570"/>
      <c r="AF616" s="570"/>
      <c r="BI616" s="570"/>
      <c r="BJ616" s="570"/>
      <c r="BR616" s="570"/>
    </row>
    <row r="617" s="162" customFormat="1" ht="15.75" customHeight="1">
      <c r="AE617" s="570"/>
      <c r="AF617" s="570"/>
      <c r="BI617" s="570"/>
      <c r="BJ617" s="570"/>
      <c r="BR617" s="570"/>
    </row>
    <row r="618" s="162" customFormat="1" ht="15.75" customHeight="1">
      <c r="AE618" s="570"/>
      <c r="AF618" s="570"/>
      <c r="BI618" s="570"/>
      <c r="BJ618" s="570"/>
      <c r="BR618" s="570"/>
    </row>
    <row r="619" s="162" customFormat="1" ht="15.75" customHeight="1">
      <c r="AE619" s="570"/>
      <c r="AF619" s="570"/>
      <c r="BI619" s="570"/>
      <c r="BJ619" s="570"/>
      <c r="BR619" s="570"/>
    </row>
    <row r="620" s="162" customFormat="1" ht="15.75" customHeight="1">
      <c r="AE620" s="570"/>
      <c r="AF620" s="570"/>
      <c r="BI620" s="570"/>
      <c r="BJ620" s="570"/>
      <c r="BR620" s="570"/>
    </row>
    <row r="621" s="162" customFormat="1" ht="15.75" customHeight="1">
      <c r="AE621" s="570"/>
      <c r="AF621" s="570"/>
      <c r="BI621" s="570"/>
      <c r="BJ621" s="570"/>
      <c r="BR621" s="570"/>
    </row>
    <row r="622" s="162" customFormat="1" ht="15.75" customHeight="1">
      <c r="AE622" s="570"/>
      <c r="AF622" s="570"/>
      <c r="BI622" s="570"/>
      <c r="BJ622" s="570"/>
      <c r="BR622" s="570"/>
    </row>
    <row r="623" s="162" customFormat="1" ht="15.75" customHeight="1">
      <c r="AE623" s="570"/>
      <c r="AF623" s="570"/>
      <c r="BI623" s="570"/>
      <c r="BJ623" s="570"/>
      <c r="BR623" s="570"/>
    </row>
    <row r="624" s="162" customFormat="1" ht="15.75" customHeight="1">
      <c r="AE624" s="570"/>
      <c r="AF624" s="570"/>
      <c r="BI624" s="570"/>
      <c r="BJ624" s="570"/>
      <c r="BR624" s="570"/>
    </row>
    <row r="625" s="162" customFormat="1" ht="15.75" customHeight="1">
      <c r="AE625" s="570"/>
      <c r="AF625" s="570"/>
      <c r="BI625" s="570"/>
      <c r="BJ625" s="570"/>
      <c r="BR625" s="570"/>
    </row>
    <row r="626" s="162" customFormat="1" ht="15.75" customHeight="1">
      <c r="AE626" s="570"/>
      <c r="AF626" s="570"/>
      <c r="BI626" s="570"/>
      <c r="BJ626" s="570"/>
      <c r="BR626" s="570"/>
    </row>
    <row r="627" s="162" customFormat="1" ht="15.75" customHeight="1">
      <c r="AE627" s="570"/>
      <c r="AF627" s="570"/>
      <c r="BI627" s="570"/>
      <c r="BJ627" s="570"/>
      <c r="BR627" s="570"/>
    </row>
    <row r="628" s="162" customFormat="1" ht="15.75" customHeight="1">
      <c r="AE628" s="570"/>
      <c r="AF628" s="570"/>
      <c r="BI628" s="570"/>
      <c r="BJ628" s="570"/>
      <c r="BR628" s="570"/>
    </row>
    <row r="629" s="162" customFormat="1" ht="15.75" customHeight="1">
      <c r="AE629" s="570"/>
      <c r="AF629" s="570"/>
      <c r="BI629" s="570"/>
      <c r="BJ629" s="570"/>
      <c r="BR629" s="570"/>
    </row>
    <row r="630" s="162" customFormat="1" ht="15.75" customHeight="1">
      <c r="AE630" s="570"/>
      <c r="AF630" s="570"/>
      <c r="BI630" s="570"/>
      <c r="BJ630" s="570"/>
      <c r="BR630" s="570"/>
    </row>
    <row r="631" s="162" customFormat="1" ht="15.75" customHeight="1">
      <c r="AE631" s="570"/>
      <c r="AF631" s="570"/>
      <c r="BI631" s="570"/>
      <c r="BJ631" s="570"/>
      <c r="BR631" s="570"/>
    </row>
    <row r="632" s="162" customFormat="1" ht="15.75" customHeight="1">
      <c r="AE632" s="570"/>
      <c r="AF632" s="570"/>
      <c r="BI632" s="570"/>
      <c r="BJ632" s="570"/>
      <c r="BR632" s="570"/>
    </row>
    <row r="633" s="162" customFormat="1" ht="15.75" customHeight="1">
      <c r="AE633" s="570"/>
      <c r="AF633" s="570"/>
      <c r="BI633" s="570"/>
      <c r="BJ633" s="570"/>
      <c r="BR633" s="570"/>
    </row>
    <row r="634" s="162" customFormat="1" ht="15.75" customHeight="1">
      <c r="AE634" s="570"/>
      <c r="AF634" s="570"/>
      <c r="BI634" s="570"/>
      <c r="BJ634" s="570"/>
      <c r="BR634" s="570"/>
    </row>
    <row r="635" s="162" customFormat="1" ht="15.75" customHeight="1">
      <c r="AE635" s="570"/>
      <c r="AF635" s="570"/>
      <c r="BI635" s="570"/>
      <c r="BJ635" s="570"/>
      <c r="BR635" s="570"/>
    </row>
    <row r="636" s="162" customFormat="1" ht="15.75" customHeight="1">
      <c r="AE636" s="570"/>
      <c r="AF636" s="570"/>
      <c r="BI636" s="570"/>
      <c r="BJ636" s="570"/>
      <c r="BR636" s="570"/>
    </row>
    <row r="637" s="162" customFormat="1" ht="15.75" customHeight="1">
      <c r="AE637" s="570"/>
      <c r="AF637" s="570"/>
      <c r="BI637" s="570"/>
      <c r="BJ637" s="570"/>
      <c r="BR637" s="570"/>
    </row>
    <row r="638" s="162" customFormat="1" ht="15.75" customHeight="1">
      <c r="AE638" s="570"/>
      <c r="AF638" s="570"/>
      <c r="BI638" s="570"/>
      <c r="BJ638" s="570"/>
      <c r="BR638" s="570"/>
    </row>
    <row r="639" s="162" customFormat="1" ht="15.75" customHeight="1">
      <c r="AE639" s="570"/>
      <c r="AF639" s="570"/>
      <c r="BI639" s="570"/>
      <c r="BJ639" s="570"/>
      <c r="BR639" s="570"/>
    </row>
    <row r="640" s="162" customFormat="1" ht="15.75" customHeight="1">
      <c r="AE640" s="570"/>
      <c r="AF640" s="570"/>
      <c r="BI640" s="570"/>
      <c r="BJ640" s="570"/>
      <c r="BR640" s="570"/>
    </row>
    <row r="641" s="162" customFormat="1" ht="15.75" customHeight="1">
      <c r="AE641" s="570"/>
      <c r="AF641" s="570"/>
      <c r="BI641" s="570"/>
      <c r="BJ641" s="570"/>
      <c r="BR641" s="570"/>
    </row>
    <row r="642" s="162" customFormat="1" ht="15.75" customHeight="1">
      <c r="AE642" s="570"/>
      <c r="AF642" s="570"/>
      <c r="BI642" s="570"/>
      <c r="BJ642" s="570"/>
      <c r="BR642" s="570"/>
    </row>
    <row r="643" s="162" customFormat="1" ht="15.75" customHeight="1">
      <c r="AE643" s="570"/>
      <c r="AF643" s="570"/>
      <c r="BI643" s="570"/>
      <c r="BJ643" s="570"/>
      <c r="BR643" s="570"/>
    </row>
    <row r="644" s="162" customFormat="1" ht="15.75" customHeight="1">
      <c r="AE644" s="570"/>
      <c r="AF644" s="570"/>
      <c r="BI644" s="570"/>
      <c r="BJ644" s="570"/>
      <c r="BR644" s="570"/>
    </row>
    <row r="645" s="162" customFormat="1" ht="15.75" customHeight="1">
      <c r="AE645" s="570"/>
      <c r="AF645" s="570"/>
      <c r="BI645" s="570"/>
      <c r="BJ645" s="570"/>
      <c r="BR645" s="570"/>
    </row>
    <row r="646" s="162" customFormat="1" ht="15.75" customHeight="1">
      <c r="AE646" s="570"/>
      <c r="AF646" s="570"/>
      <c r="BI646" s="570"/>
      <c r="BJ646" s="570"/>
      <c r="BR646" s="570"/>
    </row>
    <row r="647" s="162" customFormat="1" ht="15.75" customHeight="1">
      <c r="AE647" s="570"/>
      <c r="AF647" s="570"/>
      <c r="BI647" s="570"/>
      <c r="BJ647" s="570"/>
      <c r="BR647" s="570"/>
    </row>
    <row r="648" s="162" customFormat="1" ht="15.75" customHeight="1">
      <c r="AE648" s="570"/>
      <c r="AF648" s="570"/>
      <c r="BI648" s="570"/>
      <c r="BJ648" s="570"/>
      <c r="BR648" s="570"/>
    </row>
    <row r="649" s="162" customFormat="1" ht="15.75" customHeight="1">
      <c r="AE649" s="570"/>
      <c r="AF649" s="570"/>
      <c r="BI649" s="570"/>
      <c r="BJ649" s="570"/>
      <c r="BR649" s="570"/>
    </row>
    <row r="650" s="162" customFormat="1" ht="15.75" customHeight="1">
      <c r="AE650" s="570"/>
      <c r="AF650" s="570"/>
      <c r="BI650" s="570"/>
      <c r="BJ650" s="570"/>
      <c r="BR650" s="570"/>
    </row>
    <row r="651" s="162" customFormat="1" ht="15.75" customHeight="1">
      <c r="AE651" s="570"/>
      <c r="AF651" s="570"/>
      <c r="BI651" s="570"/>
      <c r="BJ651" s="570"/>
      <c r="BR651" s="570"/>
    </row>
    <row r="652" s="162" customFormat="1" ht="15.75" customHeight="1">
      <c r="AE652" s="570"/>
      <c r="AF652" s="570"/>
      <c r="BI652" s="570"/>
      <c r="BJ652" s="570"/>
      <c r="BR652" s="570"/>
    </row>
    <row r="653" s="162" customFormat="1" ht="15.75" customHeight="1">
      <c r="AE653" s="570"/>
      <c r="AF653" s="570"/>
      <c r="BI653" s="570"/>
      <c r="BJ653" s="570"/>
      <c r="BR653" s="570"/>
    </row>
    <row r="654" s="162" customFormat="1" ht="15.75" customHeight="1">
      <c r="AE654" s="570"/>
      <c r="AF654" s="570"/>
      <c r="BI654" s="570"/>
      <c r="BJ654" s="570"/>
      <c r="BR654" s="570"/>
    </row>
    <row r="655" s="162" customFormat="1" ht="15.75" customHeight="1">
      <c r="AE655" s="570"/>
      <c r="AF655" s="570"/>
      <c r="BI655" s="570"/>
      <c r="BJ655" s="570"/>
      <c r="BR655" s="570"/>
    </row>
    <row r="656" s="162" customFormat="1" ht="15.75" customHeight="1">
      <c r="AE656" s="570"/>
      <c r="AF656" s="570"/>
      <c r="BI656" s="570"/>
      <c r="BJ656" s="570"/>
      <c r="BR656" s="570"/>
    </row>
    <row r="657" s="162" customFormat="1" ht="15.75" customHeight="1">
      <c r="AE657" s="570"/>
      <c r="AF657" s="570"/>
      <c r="BI657" s="570"/>
      <c r="BJ657" s="570"/>
      <c r="BR657" s="570"/>
    </row>
    <row r="658" s="162" customFormat="1" ht="15.75" customHeight="1">
      <c r="AE658" s="570"/>
      <c r="AF658" s="570"/>
      <c r="BI658" s="570"/>
      <c r="BJ658" s="570"/>
      <c r="BR658" s="570"/>
    </row>
    <row r="659" s="162" customFormat="1" ht="15.75" customHeight="1">
      <c r="AE659" s="570"/>
      <c r="AF659" s="570"/>
      <c r="BI659" s="570"/>
      <c r="BJ659" s="570"/>
      <c r="BR659" s="570"/>
    </row>
    <row r="660" s="162" customFormat="1" ht="15.75" customHeight="1">
      <c r="AE660" s="570"/>
      <c r="AF660" s="570"/>
      <c r="BI660" s="570"/>
      <c r="BJ660" s="570"/>
      <c r="BR660" s="570"/>
    </row>
    <row r="661" s="162" customFormat="1" ht="15.75" customHeight="1">
      <c r="AE661" s="570"/>
      <c r="AF661" s="570"/>
      <c r="BI661" s="570"/>
      <c r="BJ661" s="570"/>
      <c r="BR661" s="570"/>
    </row>
    <row r="662" s="162" customFormat="1" ht="15.75" customHeight="1">
      <c r="AE662" s="570"/>
      <c r="AF662" s="570"/>
      <c r="BI662" s="570"/>
      <c r="BJ662" s="570"/>
      <c r="BR662" s="570"/>
    </row>
    <row r="663" s="162" customFormat="1" ht="15.75" customHeight="1">
      <c r="AE663" s="570"/>
      <c r="AF663" s="570"/>
      <c r="BI663" s="570"/>
      <c r="BJ663" s="570"/>
      <c r="BR663" s="570"/>
    </row>
    <row r="664" s="162" customFormat="1" ht="15.75" customHeight="1">
      <c r="AE664" s="570"/>
      <c r="AF664" s="570"/>
      <c r="BI664" s="570"/>
      <c r="BJ664" s="570"/>
      <c r="BR664" s="570"/>
    </row>
    <row r="665" s="162" customFormat="1" ht="15.75" customHeight="1">
      <c r="AE665" s="570"/>
      <c r="AF665" s="570"/>
      <c r="BI665" s="570"/>
      <c r="BJ665" s="570"/>
      <c r="BR665" s="570"/>
    </row>
    <row r="666" s="162" customFormat="1" ht="15.75" customHeight="1">
      <c r="AE666" s="570"/>
      <c r="AF666" s="570"/>
      <c r="BI666" s="570"/>
      <c r="BJ666" s="570"/>
      <c r="BR666" s="570"/>
    </row>
    <row r="667" s="162" customFormat="1" ht="15.75" customHeight="1">
      <c r="AE667" s="570"/>
      <c r="AF667" s="570"/>
      <c r="BI667" s="570"/>
      <c r="BJ667" s="570"/>
      <c r="BR667" s="570"/>
    </row>
    <row r="668" s="162" customFormat="1" ht="15.75" customHeight="1">
      <c r="AE668" s="570"/>
      <c r="AF668" s="570"/>
      <c r="BI668" s="570"/>
      <c r="BJ668" s="570"/>
      <c r="BR668" s="570"/>
    </row>
    <row r="669" s="162" customFormat="1" ht="15.75" customHeight="1">
      <c r="AE669" s="570"/>
      <c r="AF669" s="570"/>
      <c r="BI669" s="570"/>
      <c r="BJ669" s="570"/>
      <c r="BR669" s="570"/>
    </row>
    <row r="670" s="162" customFormat="1" ht="15.75" customHeight="1">
      <c r="AE670" s="570"/>
      <c r="AF670" s="570"/>
      <c r="BI670" s="570"/>
      <c r="BJ670" s="570"/>
      <c r="BR670" s="570"/>
    </row>
    <row r="671" s="162" customFormat="1" ht="15.75" customHeight="1">
      <c r="AE671" s="570"/>
      <c r="AF671" s="570"/>
      <c r="BI671" s="570"/>
      <c r="BJ671" s="570"/>
      <c r="BR671" s="570"/>
    </row>
    <row r="672" s="162" customFormat="1" ht="15.75" customHeight="1">
      <c r="AE672" s="570"/>
      <c r="AF672" s="570"/>
      <c r="BI672" s="570"/>
      <c r="BJ672" s="570"/>
      <c r="BR672" s="570"/>
    </row>
    <row r="673" s="162" customFormat="1" ht="15.75" customHeight="1">
      <c r="AE673" s="570"/>
      <c r="AF673" s="570"/>
      <c r="BI673" s="570"/>
      <c r="BJ673" s="570"/>
      <c r="BR673" s="570"/>
    </row>
    <row r="674" s="162" customFormat="1" ht="15.75" customHeight="1">
      <c r="AE674" s="570"/>
      <c r="AF674" s="570"/>
      <c r="BI674" s="570"/>
      <c r="BJ674" s="570"/>
      <c r="BR674" s="570"/>
    </row>
    <row r="675" s="162" customFormat="1" ht="15.75" customHeight="1">
      <c r="AE675" s="570"/>
      <c r="AF675" s="570"/>
      <c r="BI675" s="570"/>
      <c r="BJ675" s="570"/>
      <c r="BR675" s="570"/>
    </row>
    <row r="676" s="162" customFormat="1" ht="15.75" customHeight="1">
      <c r="AE676" s="570"/>
      <c r="AF676" s="570"/>
      <c r="BI676" s="570"/>
      <c r="BJ676" s="570"/>
      <c r="BR676" s="570"/>
    </row>
    <row r="677" s="162" customFormat="1" ht="15.75" customHeight="1">
      <c r="AE677" s="570"/>
      <c r="AF677" s="570"/>
      <c r="BI677" s="570"/>
      <c r="BJ677" s="570"/>
      <c r="BR677" s="570"/>
    </row>
    <row r="678" s="162" customFormat="1" ht="15.75" customHeight="1">
      <c r="AE678" s="570"/>
      <c r="AF678" s="570"/>
      <c r="BI678" s="570"/>
      <c r="BJ678" s="570"/>
      <c r="BR678" s="570"/>
    </row>
    <row r="679" s="162" customFormat="1" ht="15.75" customHeight="1">
      <c r="AE679" s="570"/>
      <c r="AF679" s="570"/>
      <c r="BI679" s="570"/>
      <c r="BJ679" s="570"/>
      <c r="BR679" s="570"/>
    </row>
    <row r="680" s="162" customFormat="1" ht="15.75" customHeight="1">
      <c r="AE680" s="570"/>
      <c r="AF680" s="570"/>
      <c r="BI680" s="570"/>
      <c r="BJ680" s="570"/>
      <c r="BR680" s="570"/>
    </row>
    <row r="681" s="162" customFormat="1" ht="15.75" customHeight="1">
      <c r="AE681" s="570"/>
      <c r="AF681" s="570"/>
      <c r="BI681" s="570"/>
      <c r="BJ681" s="570"/>
      <c r="BR681" s="570"/>
    </row>
    <row r="682" s="162" customFormat="1" ht="15.75" customHeight="1">
      <c r="AE682" s="570"/>
      <c r="AF682" s="570"/>
      <c r="BI682" s="570"/>
      <c r="BJ682" s="570"/>
      <c r="BR682" s="570"/>
    </row>
    <row r="683" s="162" customFormat="1" ht="15.75" customHeight="1">
      <c r="AE683" s="570"/>
      <c r="AF683" s="570"/>
      <c r="BI683" s="570"/>
      <c r="BJ683" s="570"/>
      <c r="BR683" s="570"/>
    </row>
    <row r="684" s="162" customFormat="1" ht="15.75" customHeight="1">
      <c r="AE684" s="570"/>
      <c r="AF684" s="570"/>
      <c r="BI684" s="570"/>
      <c r="BJ684" s="570"/>
      <c r="BR684" s="570"/>
    </row>
    <row r="685" s="162" customFormat="1" ht="15.75" customHeight="1">
      <c r="AE685" s="570"/>
      <c r="AF685" s="570"/>
      <c r="BI685" s="570"/>
      <c r="BJ685" s="570"/>
      <c r="BR685" s="570"/>
    </row>
    <row r="686" s="162" customFormat="1" ht="15.75" customHeight="1">
      <c r="AE686" s="570"/>
      <c r="AF686" s="570"/>
      <c r="BI686" s="570"/>
      <c r="BJ686" s="570"/>
      <c r="BR686" s="570"/>
    </row>
    <row r="687" s="162" customFormat="1" ht="15.75" customHeight="1">
      <c r="AE687" s="570"/>
      <c r="AF687" s="570"/>
      <c r="BI687" s="570"/>
      <c r="BJ687" s="570"/>
      <c r="BR687" s="570"/>
    </row>
    <row r="688" s="162" customFormat="1" ht="15.75" customHeight="1">
      <c r="AE688" s="570"/>
      <c r="AF688" s="570"/>
      <c r="BI688" s="570"/>
      <c r="BJ688" s="570"/>
      <c r="BR688" s="570"/>
    </row>
    <row r="689" s="162" customFormat="1" ht="15.75" customHeight="1">
      <c r="AE689" s="570"/>
      <c r="AF689" s="570"/>
      <c r="BI689" s="570"/>
      <c r="BJ689" s="570"/>
      <c r="BR689" s="570"/>
    </row>
    <row r="690" s="162" customFormat="1" ht="15.75" customHeight="1">
      <c r="AE690" s="570"/>
      <c r="AF690" s="570"/>
      <c r="BI690" s="570"/>
      <c r="BJ690" s="570"/>
      <c r="BR690" s="570"/>
    </row>
    <row r="691" s="162" customFormat="1" ht="15.75" customHeight="1">
      <c r="AE691" s="570"/>
      <c r="AF691" s="570"/>
      <c r="BI691" s="570"/>
      <c r="BJ691" s="570"/>
      <c r="BR691" s="570"/>
    </row>
    <row r="692" s="162" customFormat="1" ht="15.75" customHeight="1">
      <c r="AE692" s="570"/>
      <c r="AF692" s="570"/>
      <c r="BI692" s="570"/>
      <c r="BJ692" s="570"/>
      <c r="BR692" s="570"/>
    </row>
    <row r="693" s="162" customFormat="1" ht="15.75" customHeight="1">
      <c r="AE693" s="570"/>
      <c r="AF693" s="570"/>
      <c r="BI693" s="570"/>
      <c r="BJ693" s="570"/>
      <c r="BR693" s="570"/>
    </row>
    <row r="694" s="162" customFormat="1" ht="15.75" customHeight="1">
      <c r="AE694" s="570"/>
      <c r="AF694" s="570"/>
      <c r="BI694" s="570"/>
      <c r="BJ694" s="570"/>
      <c r="BR694" s="570"/>
    </row>
    <row r="695" s="162" customFormat="1" ht="15.75" customHeight="1">
      <c r="AE695" s="570"/>
      <c r="AF695" s="570"/>
      <c r="BI695" s="570"/>
      <c r="BJ695" s="570"/>
      <c r="BR695" s="570"/>
    </row>
    <row r="696" s="162" customFormat="1" ht="15.75" customHeight="1">
      <c r="AE696" s="570"/>
      <c r="AF696" s="570"/>
      <c r="BI696" s="570"/>
      <c r="BJ696" s="570"/>
      <c r="BR696" s="570"/>
    </row>
    <row r="697" s="162" customFormat="1" ht="15.75" customHeight="1">
      <c r="AE697" s="570"/>
      <c r="AF697" s="570"/>
      <c r="BI697" s="570"/>
      <c r="BJ697" s="570"/>
      <c r="BR697" s="570"/>
    </row>
    <row r="698" s="162" customFormat="1" ht="15.75" customHeight="1">
      <c r="AE698" s="570"/>
      <c r="AF698" s="570"/>
      <c r="BI698" s="570"/>
      <c r="BJ698" s="570"/>
      <c r="BR698" s="570"/>
    </row>
    <row r="699" s="162" customFormat="1" ht="15.75" customHeight="1">
      <c r="AE699" s="570"/>
      <c r="AF699" s="570"/>
      <c r="BI699" s="570"/>
      <c r="BJ699" s="570"/>
      <c r="BR699" s="570"/>
    </row>
    <row r="700" s="162" customFormat="1" ht="15.75" customHeight="1">
      <c r="AE700" s="570"/>
      <c r="AF700" s="570"/>
      <c r="BI700" s="570"/>
      <c r="BJ700" s="570"/>
      <c r="BR700" s="570"/>
    </row>
    <row r="701" s="162" customFormat="1" ht="15.75" customHeight="1">
      <c r="AE701" s="570"/>
      <c r="AF701" s="570"/>
      <c r="BI701" s="570"/>
      <c r="BJ701" s="570"/>
      <c r="BR701" s="570"/>
    </row>
    <row r="702" s="162" customFormat="1" ht="15.75" customHeight="1">
      <c r="AE702" s="570"/>
      <c r="AF702" s="570"/>
      <c r="BI702" s="570"/>
      <c r="BJ702" s="570"/>
      <c r="BR702" s="570"/>
    </row>
    <row r="703" s="162" customFormat="1" ht="15.75" customHeight="1">
      <c r="AE703" s="570"/>
      <c r="AF703" s="570"/>
      <c r="BI703" s="570"/>
      <c r="BJ703" s="570"/>
      <c r="BR703" s="570"/>
    </row>
    <row r="704" s="162" customFormat="1" ht="15.75" customHeight="1">
      <c r="AE704" s="570"/>
      <c r="AF704" s="570"/>
      <c r="BI704" s="570"/>
      <c r="BJ704" s="570"/>
      <c r="BR704" s="570"/>
    </row>
    <row r="705" s="162" customFormat="1" ht="15.75" customHeight="1">
      <c r="AE705" s="570"/>
      <c r="AF705" s="570"/>
      <c r="BI705" s="570"/>
      <c r="BJ705" s="570"/>
      <c r="BR705" s="570"/>
    </row>
    <row r="706" s="162" customFormat="1" ht="15.75" customHeight="1">
      <c r="AE706" s="570"/>
      <c r="AF706" s="570"/>
      <c r="BI706" s="570"/>
      <c r="BJ706" s="570"/>
      <c r="BR706" s="570"/>
    </row>
    <row r="707" s="162" customFormat="1" ht="15.75" customHeight="1">
      <c r="AE707" s="570"/>
      <c r="AF707" s="570"/>
      <c r="BI707" s="570"/>
      <c r="BJ707" s="570"/>
      <c r="BR707" s="570"/>
    </row>
    <row r="708" s="162" customFormat="1" ht="15.75" customHeight="1">
      <c r="AE708" s="570"/>
      <c r="AF708" s="570"/>
      <c r="BI708" s="570"/>
      <c r="BJ708" s="570"/>
      <c r="BR708" s="570"/>
    </row>
    <row r="709" s="162" customFormat="1" ht="15.75" customHeight="1">
      <c r="AE709" s="570"/>
      <c r="AF709" s="570"/>
      <c r="BI709" s="570"/>
      <c r="BJ709" s="570"/>
      <c r="BR709" s="570"/>
    </row>
    <row r="710" s="162" customFormat="1" ht="15.75" customHeight="1">
      <c r="AE710" s="570"/>
      <c r="AF710" s="570"/>
      <c r="BI710" s="570"/>
      <c r="BJ710" s="570"/>
      <c r="BR710" s="570"/>
    </row>
    <row r="711" s="162" customFormat="1" ht="15.75" customHeight="1">
      <c r="AE711" s="570"/>
      <c r="AF711" s="570"/>
      <c r="BI711" s="570"/>
      <c r="BJ711" s="570"/>
      <c r="BR711" s="570"/>
    </row>
    <row r="712" s="162" customFormat="1" ht="15.75" customHeight="1">
      <c r="AE712" s="570"/>
      <c r="AF712" s="570"/>
      <c r="BI712" s="570"/>
      <c r="BJ712" s="570"/>
      <c r="BR712" s="570"/>
    </row>
    <row r="713" s="162" customFormat="1" ht="15.75" customHeight="1">
      <c r="AE713" s="570"/>
      <c r="AF713" s="570"/>
      <c r="BI713" s="570"/>
      <c r="BJ713" s="570"/>
      <c r="BR713" s="570"/>
    </row>
    <row r="714" s="162" customFormat="1" ht="15.75" customHeight="1">
      <c r="AE714" s="570"/>
      <c r="AF714" s="570"/>
      <c r="BI714" s="570"/>
      <c r="BJ714" s="570"/>
      <c r="BR714" s="570"/>
    </row>
    <row r="715" s="162" customFormat="1" ht="15.75" customHeight="1">
      <c r="AE715" s="570"/>
      <c r="AF715" s="570"/>
      <c r="BI715" s="570"/>
      <c r="BJ715" s="570"/>
      <c r="BR715" s="570"/>
    </row>
    <row r="716" s="162" customFormat="1" ht="15.75" customHeight="1">
      <c r="AE716" s="570"/>
      <c r="AF716" s="570"/>
      <c r="BI716" s="570"/>
      <c r="BJ716" s="570"/>
      <c r="BR716" s="570"/>
    </row>
    <row r="717" s="162" customFormat="1" ht="15.75" customHeight="1">
      <c r="AE717" s="570"/>
      <c r="AF717" s="570"/>
      <c r="BI717" s="570"/>
      <c r="BJ717" s="570"/>
      <c r="BR717" s="570"/>
    </row>
    <row r="718" s="162" customFormat="1" ht="15.75" customHeight="1">
      <c r="AE718" s="570"/>
      <c r="AF718" s="570"/>
      <c r="BI718" s="570"/>
      <c r="BJ718" s="570"/>
      <c r="BR718" s="570"/>
    </row>
    <row r="719" s="162" customFormat="1" ht="15.75" customHeight="1">
      <c r="AE719" s="570"/>
      <c r="AF719" s="570"/>
      <c r="BI719" s="570"/>
      <c r="BJ719" s="570"/>
      <c r="BR719" s="570"/>
    </row>
    <row r="720" s="162" customFormat="1" ht="15.75" customHeight="1">
      <c r="AE720" s="570"/>
      <c r="AF720" s="570"/>
      <c r="BI720" s="570"/>
      <c r="BJ720" s="570"/>
      <c r="BR720" s="570"/>
    </row>
    <row r="721" s="162" customFormat="1" ht="15.75" customHeight="1">
      <c r="AE721" s="570"/>
      <c r="AF721" s="570"/>
      <c r="BI721" s="570"/>
      <c r="BJ721" s="570"/>
      <c r="BR721" s="570"/>
    </row>
    <row r="722" s="162" customFormat="1" ht="15.75" customHeight="1">
      <c r="AE722" s="570"/>
      <c r="AF722" s="570"/>
      <c r="BI722" s="570"/>
      <c r="BJ722" s="570"/>
      <c r="BR722" s="570"/>
    </row>
    <row r="723" s="162" customFormat="1" ht="15.75" customHeight="1">
      <c r="AE723" s="570"/>
      <c r="AF723" s="570"/>
      <c r="BI723" s="570"/>
      <c r="BJ723" s="570"/>
      <c r="BR723" s="570"/>
    </row>
    <row r="724" s="162" customFormat="1" ht="15.75" customHeight="1">
      <c r="AE724" s="570"/>
      <c r="AF724" s="570"/>
      <c r="BI724" s="570"/>
      <c r="BJ724" s="570"/>
      <c r="BR724" s="570"/>
    </row>
    <row r="725" s="162" customFormat="1" ht="15.75" customHeight="1">
      <c r="AE725" s="570"/>
      <c r="AF725" s="570"/>
      <c r="BI725" s="570"/>
      <c r="BJ725" s="570"/>
      <c r="BR725" s="570"/>
    </row>
    <row r="726" s="162" customFormat="1" ht="15.75" customHeight="1">
      <c r="AE726" s="570"/>
      <c r="AF726" s="570"/>
      <c r="BI726" s="570"/>
      <c r="BJ726" s="570"/>
      <c r="BR726" s="570"/>
    </row>
    <row r="727" s="162" customFormat="1" ht="15.75" customHeight="1">
      <c r="AE727" s="570"/>
      <c r="AF727" s="570"/>
      <c r="BI727" s="570"/>
      <c r="BJ727" s="570"/>
      <c r="BR727" s="570"/>
    </row>
    <row r="728" s="162" customFormat="1" ht="15.75" customHeight="1">
      <c r="AE728" s="570"/>
      <c r="AF728" s="570"/>
      <c r="BI728" s="570"/>
      <c r="BJ728" s="570"/>
      <c r="BR728" s="570"/>
    </row>
    <row r="729" s="162" customFormat="1" ht="15.75" customHeight="1">
      <c r="AE729" s="570"/>
      <c r="AF729" s="570"/>
      <c r="BI729" s="570"/>
      <c r="BJ729" s="570"/>
      <c r="BR729" s="570"/>
    </row>
    <row r="730" s="162" customFormat="1" ht="15.75" customHeight="1">
      <c r="AE730" s="570"/>
      <c r="AF730" s="570"/>
      <c r="BI730" s="570"/>
      <c r="BJ730" s="570"/>
      <c r="BR730" s="570"/>
    </row>
    <row r="731" s="162" customFormat="1" ht="15.75" customHeight="1">
      <c r="AE731" s="570"/>
      <c r="AF731" s="570"/>
      <c r="BI731" s="570"/>
      <c r="BJ731" s="570"/>
      <c r="BR731" s="570"/>
    </row>
    <row r="732" s="162" customFormat="1" ht="15.75" customHeight="1">
      <c r="AE732" s="570"/>
      <c r="AF732" s="570"/>
      <c r="BI732" s="570"/>
      <c r="BJ732" s="570"/>
      <c r="BR732" s="570"/>
    </row>
    <row r="733" s="162" customFormat="1" ht="15.75" customHeight="1">
      <c r="AE733" s="570"/>
      <c r="AF733" s="570"/>
      <c r="BI733" s="570"/>
      <c r="BJ733" s="570"/>
      <c r="BR733" s="570"/>
    </row>
    <row r="734" s="162" customFormat="1" ht="15.75" customHeight="1">
      <c r="AE734" s="570"/>
      <c r="AF734" s="570"/>
      <c r="BI734" s="570"/>
      <c r="BJ734" s="570"/>
      <c r="BR734" s="570"/>
    </row>
    <row r="735" s="162" customFormat="1" ht="15.75" customHeight="1">
      <c r="AE735" s="570"/>
      <c r="AF735" s="570"/>
      <c r="BI735" s="570"/>
      <c r="BJ735" s="570"/>
      <c r="BR735" s="570"/>
    </row>
    <row r="736" s="162" customFormat="1" ht="15.75" customHeight="1">
      <c r="AE736" s="570"/>
      <c r="AF736" s="570"/>
      <c r="BI736" s="570"/>
      <c r="BJ736" s="570"/>
      <c r="BR736" s="570"/>
    </row>
    <row r="737" s="162" customFormat="1" ht="15.75" customHeight="1">
      <c r="AE737" s="570"/>
      <c r="AF737" s="570"/>
      <c r="BI737" s="570"/>
      <c r="BJ737" s="570"/>
      <c r="BR737" s="570"/>
    </row>
    <row r="738" s="162" customFormat="1" ht="15.75" customHeight="1">
      <c r="AE738" s="570"/>
      <c r="AF738" s="570"/>
      <c r="BI738" s="570"/>
      <c r="BJ738" s="570"/>
      <c r="BR738" s="570"/>
    </row>
    <row r="739" s="162" customFormat="1" ht="15.75" customHeight="1">
      <c r="AE739" s="570"/>
      <c r="AF739" s="570"/>
      <c r="BI739" s="570"/>
      <c r="BJ739" s="570"/>
      <c r="BR739" s="570"/>
    </row>
    <row r="740" s="162" customFormat="1" ht="15.75" customHeight="1">
      <c r="AE740" s="570"/>
      <c r="AF740" s="570"/>
      <c r="BI740" s="570"/>
      <c r="BJ740" s="570"/>
      <c r="BR740" s="570"/>
    </row>
    <row r="741" s="162" customFormat="1" ht="15.75" customHeight="1">
      <c r="AE741" s="570"/>
      <c r="AF741" s="570"/>
      <c r="BI741" s="570"/>
      <c r="BJ741" s="570"/>
      <c r="BR741" s="570"/>
    </row>
    <row r="742" s="162" customFormat="1" ht="15.75" customHeight="1">
      <c r="AE742" s="570"/>
      <c r="AF742" s="570"/>
      <c r="BI742" s="570"/>
      <c r="BJ742" s="570"/>
      <c r="BR742" s="570"/>
    </row>
    <row r="743" s="162" customFormat="1" ht="15.75" customHeight="1">
      <c r="AE743" s="570"/>
      <c r="AF743" s="570"/>
      <c r="BI743" s="570"/>
      <c r="BJ743" s="570"/>
      <c r="BR743" s="570"/>
    </row>
    <row r="744" s="162" customFormat="1" ht="15.75" customHeight="1">
      <c r="AE744" s="570"/>
      <c r="AF744" s="570"/>
      <c r="BI744" s="570"/>
      <c r="BJ744" s="570"/>
      <c r="BR744" s="570"/>
    </row>
    <row r="745" s="162" customFormat="1" ht="15.75" customHeight="1">
      <c r="AE745" s="570"/>
      <c r="AF745" s="570"/>
      <c r="BI745" s="570"/>
      <c r="BJ745" s="570"/>
      <c r="BR745" s="570"/>
    </row>
    <row r="746" s="162" customFormat="1" ht="15.75" customHeight="1">
      <c r="AE746" s="570"/>
      <c r="AF746" s="570"/>
      <c r="BI746" s="570"/>
      <c r="BJ746" s="570"/>
      <c r="BR746" s="570"/>
    </row>
    <row r="747" s="162" customFormat="1" ht="15.75" customHeight="1">
      <c r="AE747" s="570"/>
      <c r="AF747" s="570"/>
      <c r="BI747" s="570"/>
      <c r="BJ747" s="570"/>
      <c r="BR747" s="570"/>
    </row>
    <row r="748" s="162" customFormat="1" ht="15.75" customHeight="1">
      <c r="AE748" s="570"/>
      <c r="AF748" s="570"/>
      <c r="BI748" s="570"/>
      <c r="BJ748" s="570"/>
      <c r="BR748" s="570"/>
    </row>
    <row r="749" s="162" customFormat="1" ht="15.75" customHeight="1">
      <c r="AE749" s="570"/>
      <c r="AF749" s="570"/>
      <c r="BI749" s="570"/>
      <c r="BJ749" s="570"/>
      <c r="BR749" s="570"/>
    </row>
    <row r="750" s="162" customFormat="1" ht="15.75" customHeight="1">
      <c r="AE750" s="570"/>
      <c r="AF750" s="570"/>
      <c r="BI750" s="570"/>
      <c r="BJ750" s="570"/>
      <c r="BR750" s="570"/>
    </row>
    <row r="751" s="162" customFormat="1" ht="15.75" customHeight="1">
      <c r="AE751" s="570"/>
      <c r="AF751" s="570"/>
      <c r="BI751" s="570"/>
      <c r="BJ751" s="570"/>
      <c r="BR751" s="570"/>
    </row>
    <row r="752" s="162" customFormat="1" ht="15.75" customHeight="1">
      <c r="AE752" s="570"/>
      <c r="AF752" s="570"/>
      <c r="BI752" s="570"/>
      <c r="BJ752" s="570"/>
      <c r="BR752" s="570"/>
    </row>
    <row r="753" s="162" customFormat="1" ht="15.75" customHeight="1">
      <c r="AE753" s="570"/>
      <c r="AF753" s="570"/>
      <c r="BI753" s="570"/>
      <c r="BJ753" s="570"/>
      <c r="BR753" s="570"/>
    </row>
    <row r="754" s="162" customFormat="1" ht="15.75" customHeight="1">
      <c r="AE754" s="570"/>
      <c r="AF754" s="570"/>
      <c r="BI754" s="570"/>
      <c r="BJ754" s="570"/>
      <c r="BR754" s="570"/>
    </row>
    <row r="755" s="162" customFormat="1" ht="15.75" customHeight="1">
      <c r="AE755" s="570"/>
      <c r="AF755" s="570"/>
      <c r="BI755" s="570"/>
      <c r="BJ755" s="570"/>
      <c r="BR755" s="570"/>
    </row>
    <row r="756" s="162" customFormat="1" ht="15.75" customHeight="1">
      <c r="AE756" s="570"/>
      <c r="AF756" s="570"/>
      <c r="BI756" s="570"/>
      <c r="BJ756" s="570"/>
      <c r="BR756" s="570"/>
    </row>
    <row r="757" s="162" customFormat="1" ht="15.75" customHeight="1">
      <c r="AE757" s="570"/>
      <c r="AF757" s="570"/>
      <c r="BI757" s="570"/>
      <c r="BJ757" s="570"/>
      <c r="BR757" s="570"/>
    </row>
    <row r="758" s="162" customFormat="1" ht="15.75" customHeight="1">
      <c r="AE758" s="570"/>
      <c r="AF758" s="570"/>
      <c r="BI758" s="570"/>
      <c r="BJ758" s="570"/>
      <c r="BR758" s="570"/>
    </row>
    <row r="759" s="162" customFormat="1" ht="15.75" customHeight="1">
      <c r="AE759" s="570"/>
      <c r="AF759" s="570"/>
      <c r="BI759" s="570"/>
      <c r="BJ759" s="570"/>
      <c r="BR759" s="570"/>
    </row>
    <row r="760" s="162" customFormat="1" ht="15.75" customHeight="1">
      <c r="AE760" s="570"/>
      <c r="AF760" s="570"/>
      <c r="BI760" s="570"/>
      <c r="BJ760" s="570"/>
      <c r="BR760" s="570"/>
    </row>
    <row r="761" s="162" customFormat="1" ht="15.75" customHeight="1">
      <c r="AE761" s="570"/>
      <c r="AF761" s="570"/>
      <c r="BI761" s="570"/>
      <c r="BJ761" s="570"/>
      <c r="BR761" s="570"/>
    </row>
    <row r="762" s="162" customFormat="1" ht="15.75" customHeight="1">
      <c r="AE762" s="570"/>
      <c r="AF762" s="570"/>
      <c r="BI762" s="570"/>
      <c r="BJ762" s="570"/>
      <c r="BR762" s="570"/>
    </row>
    <row r="763" s="162" customFormat="1" ht="15.75" customHeight="1">
      <c r="AE763" s="570"/>
      <c r="AF763" s="570"/>
      <c r="BI763" s="570"/>
      <c r="BJ763" s="570"/>
      <c r="BR763" s="570"/>
    </row>
    <row r="764" s="162" customFormat="1" ht="15.75" customHeight="1">
      <c r="AE764" s="570"/>
      <c r="AF764" s="570"/>
      <c r="BI764" s="570"/>
      <c r="BJ764" s="570"/>
      <c r="BR764" s="570"/>
    </row>
    <row r="765" s="162" customFormat="1" ht="15.75" customHeight="1">
      <c r="AE765" s="570"/>
      <c r="AF765" s="570"/>
      <c r="BI765" s="570"/>
      <c r="BJ765" s="570"/>
      <c r="BR765" s="570"/>
    </row>
    <row r="766" s="162" customFormat="1" ht="15.75" customHeight="1">
      <c r="AE766" s="570"/>
      <c r="AF766" s="570"/>
      <c r="BI766" s="570"/>
      <c r="BJ766" s="570"/>
      <c r="BR766" s="570"/>
    </row>
    <row r="767" s="162" customFormat="1" ht="15.75" customHeight="1">
      <c r="AE767" s="570"/>
      <c r="AF767" s="570"/>
      <c r="BI767" s="570"/>
      <c r="BJ767" s="570"/>
      <c r="BR767" s="570"/>
    </row>
    <row r="768" s="162" customFormat="1" ht="15.75" customHeight="1">
      <c r="AE768" s="570"/>
      <c r="AF768" s="570"/>
      <c r="BI768" s="570"/>
      <c r="BJ768" s="570"/>
      <c r="BR768" s="570"/>
    </row>
    <row r="769" s="162" customFormat="1" ht="15.75" customHeight="1">
      <c r="AE769" s="570"/>
      <c r="AF769" s="570"/>
      <c r="BI769" s="570"/>
      <c r="BJ769" s="570"/>
      <c r="BR769" s="570"/>
    </row>
    <row r="770" s="162" customFormat="1" ht="15.75" customHeight="1">
      <c r="AE770" s="570"/>
      <c r="AF770" s="570"/>
      <c r="BI770" s="570"/>
      <c r="BJ770" s="570"/>
      <c r="BR770" s="570"/>
    </row>
    <row r="771" s="162" customFormat="1" ht="15.75" customHeight="1">
      <c r="AE771" s="570"/>
      <c r="AF771" s="570"/>
      <c r="BI771" s="570"/>
      <c r="BJ771" s="570"/>
      <c r="BR771" s="570"/>
    </row>
    <row r="772" s="162" customFormat="1" ht="15.75" customHeight="1">
      <c r="AE772" s="570"/>
      <c r="AF772" s="570"/>
      <c r="BI772" s="570"/>
      <c r="BJ772" s="570"/>
      <c r="BR772" s="570"/>
    </row>
    <row r="773" s="162" customFormat="1" ht="15.75" customHeight="1">
      <c r="AE773" s="570"/>
      <c r="AF773" s="570"/>
      <c r="BI773" s="570"/>
      <c r="BJ773" s="570"/>
      <c r="BR773" s="570"/>
    </row>
    <row r="774" s="162" customFormat="1" ht="15.75" customHeight="1">
      <c r="AE774" s="570"/>
      <c r="AF774" s="570"/>
      <c r="BI774" s="570"/>
      <c r="BJ774" s="570"/>
      <c r="BR774" s="570"/>
    </row>
    <row r="775" s="162" customFormat="1" ht="15.75" customHeight="1">
      <c r="AE775" s="570"/>
      <c r="AF775" s="570"/>
      <c r="BI775" s="570"/>
      <c r="BJ775" s="570"/>
      <c r="BR775" s="570"/>
    </row>
    <row r="776" s="162" customFormat="1" ht="15.75" customHeight="1">
      <c r="AE776" s="570"/>
      <c r="AF776" s="570"/>
      <c r="BI776" s="570"/>
      <c r="BJ776" s="570"/>
      <c r="BR776" s="570"/>
    </row>
    <row r="777" s="162" customFormat="1" ht="15.75" customHeight="1">
      <c r="AE777" s="570"/>
      <c r="AF777" s="570"/>
      <c r="BI777" s="570"/>
      <c r="BJ777" s="570"/>
      <c r="BR777" s="570"/>
    </row>
    <row r="778" s="162" customFormat="1" ht="15.75" customHeight="1">
      <c r="AE778" s="570"/>
      <c r="AF778" s="570"/>
      <c r="BI778" s="570"/>
      <c r="BJ778" s="570"/>
      <c r="BR778" s="570"/>
    </row>
    <row r="779" s="162" customFormat="1" ht="15.75" customHeight="1">
      <c r="AE779" s="570"/>
      <c r="AF779" s="570"/>
      <c r="BI779" s="570"/>
      <c r="BJ779" s="570"/>
      <c r="BR779" s="570"/>
    </row>
    <row r="780" s="162" customFormat="1" ht="15.75" customHeight="1">
      <c r="AE780" s="570"/>
      <c r="AF780" s="570"/>
      <c r="BI780" s="570"/>
      <c r="BJ780" s="570"/>
      <c r="BR780" s="570"/>
    </row>
    <row r="781" s="162" customFormat="1" ht="15.75" customHeight="1">
      <c r="AE781" s="570"/>
      <c r="AF781" s="570"/>
      <c r="BI781" s="570"/>
      <c r="BJ781" s="570"/>
      <c r="BR781" s="570"/>
    </row>
    <row r="782" s="162" customFormat="1" ht="15.75" customHeight="1">
      <c r="AE782" s="570"/>
      <c r="AF782" s="570"/>
      <c r="BI782" s="570"/>
      <c r="BJ782" s="570"/>
      <c r="BR782" s="570"/>
    </row>
    <row r="783" s="162" customFormat="1" ht="15.75" customHeight="1">
      <c r="AE783" s="570"/>
      <c r="AF783" s="570"/>
      <c r="BI783" s="570"/>
      <c r="BJ783" s="570"/>
      <c r="BR783" s="570"/>
    </row>
    <row r="784" s="162" customFormat="1" ht="15.75" customHeight="1">
      <c r="AE784" s="570"/>
      <c r="AF784" s="570"/>
      <c r="BI784" s="570"/>
      <c r="BJ784" s="570"/>
      <c r="BR784" s="570"/>
    </row>
    <row r="785" s="162" customFormat="1" ht="15.75" customHeight="1">
      <c r="AE785" s="570"/>
      <c r="AF785" s="570"/>
      <c r="BI785" s="570"/>
      <c r="BJ785" s="570"/>
      <c r="BR785" s="570"/>
    </row>
    <row r="786" s="162" customFormat="1" ht="15.75" customHeight="1">
      <c r="AE786" s="570"/>
      <c r="AF786" s="570"/>
      <c r="BI786" s="570"/>
      <c r="BJ786" s="570"/>
      <c r="BR786" s="570"/>
    </row>
    <row r="787" s="162" customFormat="1" ht="15.75" customHeight="1">
      <c r="AE787" s="570"/>
      <c r="AF787" s="570"/>
      <c r="BI787" s="570"/>
      <c r="BJ787" s="570"/>
      <c r="BR787" s="570"/>
    </row>
    <row r="788" s="162" customFormat="1" ht="15.75" customHeight="1">
      <c r="AE788" s="570"/>
      <c r="AF788" s="570"/>
      <c r="BI788" s="570"/>
      <c r="BJ788" s="570"/>
      <c r="BR788" s="570"/>
    </row>
    <row r="789" s="162" customFormat="1" ht="15.75" customHeight="1">
      <c r="AE789" s="570"/>
      <c r="AF789" s="570"/>
      <c r="BI789" s="570"/>
      <c r="BJ789" s="570"/>
      <c r="BR789" s="570"/>
    </row>
    <row r="790" s="162" customFormat="1" ht="15.75" customHeight="1">
      <c r="AE790" s="570"/>
      <c r="AF790" s="570"/>
      <c r="BI790" s="570"/>
      <c r="BJ790" s="570"/>
      <c r="BR790" s="570"/>
    </row>
    <row r="791" s="162" customFormat="1" ht="15.75" customHeight="1">
      <c r="AE791" s="570"/>
      <c r="AF791" s="570"/>
      <c r="BI791" s="570"/>
      <c r="BJ791" s="570"/>
      <c r="BR791" s="570"/>
    </row>
    <row r="792" s="162" customFormat="1" ht="15.75" customHeight="1">
      <c r="AE792" s="570"/>
      <c r="AF792" s="570"/>
      <c r="BI792" s="570"/>
      <c r="BJ792" s="570"/>
      <c r="BR792" s="570"/>
    </row>
    <row r="793" s="162" customFormat="1" ht="15.75" customHeight="1">
      <c r="AE793" s="570"/>
      <c r="AF793" s="570"/>
      <c r="BI793" s="570"/>
      <c r="BJ793" s="570"/>
      <c r="BR793" s="570"/>
    </row>
    <row r="794" s="162" customFormat="1" ht="15.75" customHeight="1">
      <c r="AE794" s="570"/>
      <c r="AF794" s="570"/>
      <c r="BI794" s="570"/>
      <c r="BJ794" s="570"/>
      <c r="BR794" s="570"/>
    </row>
    <row r="795" s="162" customFormat="1" ht="15.75" customHeight="1">
      <c r="AE795" s="570"/>
      <c r="AF795" s="570"/>
      <c r="BI795" s="570"/>
      <c r="BJ795" s="570"/>
      <c r="BR795" s="570"/>
    </row>
    <row r="796" s="162" customFormat="1" ht="15.75" customHeight="1">
      <c r="AE796" s="570"/>
      <c r="AF796" s="570"/>
      <c r="BI796" s="570"/>
      <c r="BJ796" s="570"/>
      <c r="BR796" s="570"/>
    </row>
    <row r="797" s="162" customFormat="1" ht="15.75" customHeight="1">
      <c r="AE797" s="570"/>
      <c r="AF797" s="570"/>
      <c r="BI797" s="570"/>
      <c r="BJ797" s="570"/>
      <c r="BR797" s="570"/>
    </row>
    <row r="798" s="162" customFormat="1" ht="15.75" customHeight="1">
      <c r="AE798" s="570"/>
      <c r="AF798" s="570"/>
      <c r="BI798" s="570"/>
      <c r="BJ798" s="570"/>
      <c r="BR798" s="570"/>
    </row>
    <row r="799" s="162" customFormat="1" ht="15.75" customHeight="1">
      <c r="AE799" s="570"/>
      <c r="AF799" s="570"/>
      <c r="BI799" s="570"/>
      <c r="BJ799" s="570"/>
      <c r="BR799" s="570"/>
    </row>
    <row r="800" s="162" customFormat="1" ht="15.75" customHeight="1">
      <c r="AE800" s="570"/>
      <c r="AF800" s="570"/>
      <c r="BI800" s="570"/>
      <c r="BJ800" s="570"/>
      <c r="BR800" s="570"/>
    </row>
    <row r="801" s="162" customFormat="1" ht="15.75" customHeight="1">
      <c r="AE801" s="570"/>
      <c r="AF801" s="570"/>
      <c r="BI801" s="570"/>
      <c r="BJ801" s="570"/>
      <c r="BR801" s="570"/>
    </row>
    <row r="802" s="162" customFormat="1" ht="15.75" customHeight="1">
      <c r="AE802" s="570"/>
      <c r="AF802" s="570"/>
      <c r="BI802" s="570"/>
      <c r="BJ802" s="570"/>
      <c r="BR802" s="570"/>
    </row>
    <row r="803" s="162" customFormat="1" ht="15.75" customHeight="1">
      <c r="AE803" s="570"/>
      <c r="AF803" s="570"/>
      <c r="BI803" s="570"/>
      <c r="BJ803" s="570"/>
      <c r="BR803" s="570"/>
    </row>
    <row r="804" s="162" customFormat="1" ht="15.75" customHeight="1">
      <c r="AE804" s="570"/>
      <c r="AF804" s="570"/>
      <c r="BI804" s="570"/>
      <c r="BJ804" s="570"/>
      <c r="BR804" s="570"/>
    </row>
    <row r="805" s="162" customFormat="1" ht="15.75" customHeight="1">
      <c r="AE805" s="570"/>
      <c r="AF805" s="570"/>
      <c r="BI805" s="570"/>
      <c r="BJ805" s="570"/>
      <c r="BR805" s="570"/>
    </row>
    <row r="806" s="162" customFormat="1" ht="15.75" customHeight="1">
      <c r="AE806" s="570"/>
      <c r="AF806" s="570"/>
      <c r="BI806" s="570"/>
      <c r="BJ806" s="570"/>
      <c r="BR806" s="570"/>
    </row>
    <row r="807" s="162" customFormat="1" ht="15.75" customHeight="1">
      <c r="AE807" s="570"/>
      <c r="AF807" s="570"/>
      <c r="BI807" s="570"/>
      <c r="BJ807" s="570"/>
      <c r="BR807" s="570"/>
    </row>
    <row r="808" s="162" customFormat="1" ht="15.75" customHeight="1">
      <c r="AE808" s="570"/>
      <c r="AF808" s="570"/>
      <c r="BI808" s="570"/>
      <c r="BJ808" s="570"/>
      <c r="BR808" s="570"/>
    </row>
    <row r="809" s="162" customFormat="1" ht="15.75" customHeight="1">
      <c r="AE809" s="570"/>
      <c r="AF809" s="570"/>
      <c r="BI809" s="570"/>
      <c r="BJ809" s="570"/>
      <c r="BR809" s="570"/>
    </row>
    <row r="810" s="162" customFormat="1" ht="15.75" customHeight="1">
      <c r="AE810" s="570"/>
      <c r="AF810" s="570"/>
      <c r="BI810" s="570"/>
      <c r="BJ810" s="570"/>
      <c r="BR810" s="570"/>
    </row>
    <row r="811" s="162" customFormat="1" ht="15.75" customHeight="1">
      <c r="AE811" s="570"/>
      <c r="AF811" s="570"/>
      <c r="BI811" s="570"/>
      <c r="BJ811" s="570"/>
      <c r="BR811" s="570"/>
    </row>
    <row r="812" s="162" customFormat="1" ht="15.75" customHeight="1">
      <c r="AE812" s="570"/>
      <c r="AF812" s="570"/>
      <c r="BI812" s="570"/>
      <c r="BJ812" s="570"/>
      <c r="BR812" s="570"/>
    </row>
    <row r="813" s="162" customFormat="1" ht="15.75" customHeight="1">
      <c r="AE813" s="570"/>
      <c r="AF813" s="570"/>
      <c r="BI813" s="570"/>
      <c r="BJ813" s="570"/>
      <c r="BR813" s="570"/>
    </row>
    <row r="814" s="162" customFormat="1" ht="15.75" customHeight="1">
      <c r="AE814" s="570"/>
      <c r="AF814" s="570"/>
      <c r="BI814" s="570"/>
      <c r="BJ814" s="570"/>
      <c r="BR814" s="570"/>
    </row>
    <row r="815" s="162" customFormat="1" ht="15.75" customHeight="1">
      <c r="AE815" s="570"/>
      <c r="AF815" s="570"/>
      <c r="BI815" s="570"/>
      <c r="BJ815" s="570"/>
      <c r="BR815" s="570"/>
    </row>
    <row r="816" s="162" customFormat="1" ht="15.75" customHeight="1">
      <c r="AE816" s="570"/>
      <c r="AF816" s="570"/>
      <c r="BI816" s="570"/>
      <c r="BJ816" s="570"/>
      <c r="BR816" s="570"/>
    </row>
    <row r="817" s="162" customFormat="1" ht="15.75" customHeight="1">
      <c r="AE817" s="570"/>
      <c r="AF817" s="570"/>
      <c r="BI817" s="570"/>
      <c r="BJ817" s="570"/>
      <c r="BR817" s="570"/>
    </row>
    <row r="818" s="162" customFormat="1" ht="15.75" customHeight="1">
      <c r="AE818" s="570"/>
      <c r="AF818" s="570"/>
      <c r="BI818" s="570"/>
      <c r="BJ818" s="570"/>
      <c r="BR818" s="570"/>
    </row>
    <row r="819" s="162" customFormat="1" ht="15.75" customHeight="1">
      <c r="AE819" s="570"/>
      <c r="AF819" s="570"/>
      <c r="BI819" s="570"/>
      <c r="BJ819" s="570"/>
      <c r="BR819" s="570"/>
    </row>
    <row r="820" s="162" customFormat="1" ht="15.75" customHeight="1">
      <c r="AE820" s="570"/>
      <c r="AF820" s="570"/>
      <c r="BI820" s="570"/>
      <c r="BJ820" s="570"/>
      <c r="BR820" s="570"/>
    </row>
    <row r="821" s="162" customFormat="1" ht="15.75" customHeight="1">
      <c r="AE821" s="570"/>
      <c r="AF821" s="570"/>
      <c r="BI821" s="570"/>
      <c r="BJ821" s="570"/>
      <c r="BR821" s="570"/>
    </row>
    <row r="822" s="162" customFormat="1" ht="15.75" customHeight="1">
      <c r="AE822" s="570"/>
      <c r="AF822" s="570"/>
      <c r="BI822" s="570"/>
      <c r="BJ822" s="570"/>
      <c r="BR822" s="570"/>
    </row>
    <row r="823" s="162" customFormat="1" ht="15.75" customHeight="1">
      <c r="AE823" s="570"/>
      <c r="AF823" s="570"/>
      <c r="BI823" s="570"/>
      <c r="BJ823" s="570"/>
      <c r="BR823" s="570"/>
    </row>
    <row r="824" s="162" customFormat="1" ht="15.75" customHeight="1">
      <c r="AE824" s="570"/>
      <c r="AF824" s="570"/>
      <c r="BI824" s="570"/>
      <c r="BJ824" s="570"/>
      <c r="BR824" s="570"/>
    </row>
    <row r="825" s="162" customFormat="1" ht="15.75" customHeight="1">
      <c r="AE825" s="570"/>
      <c r="AF825" s="570"/>
      <c r="BI825" s="570"/>
      <c r="BJ825" s="570"/>
      <c r="BR825" s="570"/>
    </row>
    <row r="826" s="162" customFormat="1" ht="15.75" customHeight="1">
      <c r="AE826" s="570"/>
      <c r="AF826" s="570"/>
      <c r="BI826" s="570"/>
      <c r="BJ826" s="570"/>
      <c r="BR826" s="570"/>
    </row>
    <row r="827" s="162" customFormat="1" ht="15.75" customHeight="1">
      <c r="AE827" s="570"/>
      <c r="AF827" s="570"/>
      <c r="BI827" s="570"/>
      <c r="BJ827" s="570"/>
      <c r="BR827" s="570"/>
    </row>
    <row r="828" s="162" customFormat="1" ht="15.75" customHeight="1">
      <c r="AE828" s="570"/>
      <c r="AF828" s="570"/>
      <c r="BI828" s="570"/>
      <c r="BJ828" s="570"/>
      <c r="BR828" s="570"/>
    </row>
    <row r="829" s="162" customFormat="1" ht="15.75" customHeight="1">
      <c r="AE829" s="570"/>
      <c r="AF829" s="570"/>
      <c r="BI829" s="570"/>
      <c r="BJ829" s="570"/>
      <c r="BR829" s="570"/>
    </row>
    <row r="830" s="162" customFormat="1" ht="15.75" customHeight="1">
      <c r="AE830" s="570"/>
      <c r="AF830" s="570"/>
      <c r="BI830" s="570"/>
      <c r="BJ830" s="570"/>
      <c r="BR830" s="570"/>
    </row>
    <row r="831" s="162" customFormat="1" ht="15.75" customHeight="1">
      <c r="AE831" s="570"/>
      <c r="AF831" s="570"/>
      <c r="BI831" s="570"/>
      <c r="BJ831" s="570"/>
      <c r="BR831" s="570"/>
    </row>
    <row r="832" s="162" customFormat="1" ht="15.75" customHeight="1">
      <c r="AE832" s="570"/>
      <c r="AF832" s="570"/>
      <c r="BI832" s="570"/>
      <c r="BJ832" s="570"/>
      <c r="BR832" s="570"/>
    </row>
    <row r="833" s="162" customFormat="1" ht="15.75" customHeight="1">
      <c r="AE833" s="570"/>
      <c r="AF833" s="570"/>
      <c r="BI833" s="570"/>
      <c r="BJ833" s="570"/>
      <c r="BR833" s="570"/>
    </row>
    <row r="834" s="162" customFormat="1" ht="15.75" customHeight="1">
      <c r="AE834" s="570"/>
      <c r="AF834" s="570"/>
      <c r="BI834" s="570"/>
      <c r="BJ834" s="570"/>
      <c r="BR834" s="570"/>
    </row>
    <row r="835" s="162" customFormat="1" ht="15.75" customHeight="1">
      <c r="AE835" s="570"/>
      <c r="AF835" s="570"/>
      <c r="BI835" s="570"/>
      <c r="BJ835" s="570"/>
      <c r="BR835" s="570"/>
    </row>
    <row r="836" s="162" customFormat="1" ht="15.75" customHeight="1">
      <c r="AE836" s="570"/>
      <c r="AF836" s="570"/>
      <c r="BI836" s="570"/>
      <c r="BJ836" s="570"/>
      <c r="BR836" s="570"/>
    </row>
    <row r="837" s="162" customFormat="1" ht="15.75" customHeight="1">
      <c r="AE837" s="570"/>
      <c r="AF837" s="570"/>
      <c r="BI837" s="570"/>
      <c r="BJ837" s="570"/>
      <c r="BR837" s="570"/>
    </row>
    <row r="838" s="162" customFormat="1" ht="15.75" customHeight="1">
      <c r="AE838" s="570"/>
      <c r="AF838" s="570"/>
      <c r="BI838" s="570"/>
      <c r="BJ838" s="570"/>
      <c r="BR838" s="570"/>
    </row>
    <row r="839" s="162" customFormat="1" ht="15.75" customHeight="1">
      <c r="AE839" s="570"/>
      <c r="AF839" s="570"/>
      <c r="BI839" s="570"/>
      <c r="BJ839" s="570"/>
      <c r="BR839" s="570"/>
    </row>
    <row r="840" s="162" customFormat="1" ht="15.75" customHeight="1">
      <c r="AE840" s="570"/>
      <c r="AF840" s="570"/>
      <c r="BI840" s="570"/>
      <c r="BJ840" s="570"/>
      <c r="BR840" s="570"/>
    </row>
    <row r="841" s="162" customFormat="1" ht="15.75" customHeight="1">
      <c r="AE841" s="570"/>
      <c r="AF841" s="570"/>
      <c r="BI841" s="570"/>
      <c r="BJ841" s="570"/>
      <c r="BR841" s="570"/>
    </row>
    <row r="842" s="162" customFormat="1" ht="15.75" customHeight="1">
      <c r="AE842" s="570"/>
      <c r="AF842" s="570"/>
      <c r="BI842" s="570"/>
      <c r="BJ842" s="570"/>
      <c r="BR842" s="570"/>
    </row>
    <row r="843" s="162" customFormat="1" ht="15.75" customHeight="1">
      <c r="AE843" s="570"/>
      <c r="AF843" s="570"/>
      <c r="BI843" s="570"/>
      <c r="BJ843" s="570"/>
      <c r="BR843" s="570"/>
    </row>
    <row r="844" s="162" customFormat="1" ht="15.75" customHeight="1">
      <c r="AE844" s="570"/>
      <c r="AF844" s="570"/>
      <c r="BI844" s="570"/>
      <c r="BJ844" s="570"/>
      <c r="BR844" s="570"/>
    </row>
    <row r="845" s="162" customFormat="1" ht="15.75" customHeight="1">
      <c r="AE845" s="570"/>
      <c r="AF845" s="570"/>
      <c r="BI845" s="570"/>
      <c r="BJ845" s="570"/>
      <c r="BR845" s="570"/>
    </row>
    <row r="846" s="162" customFormat="1" ht="15.75" customHeight="1">
      <c r="AE846" s="570"/>
      <c r="AF846" s="570"/>
      <c r="BI846" s="570"/>
      <c r="BJ846" s="570"/>
      <c r="BR846" s="570"/>
    </row>
    <row r="847" s="162" customFormat="1" ht="15.75" customHeight="1">
      <c r="AE847" s="570"/>
      <c r="AF847" s="570"/>
      <c r="BI847" s="570"/>
      <c r="BJ847" s="570"/>
      <c r="BR847" s="570"/>
    </row>
    <row r="848" s="162" customFormat="1" ht="15.75" customHeight="1">
      <c r="AE848" s="570"/>
      <c r="AF848" s="570"/>
      <c r="BI848" s="570"/>
      <c r="BJ848" s="570"/>
      <c r="BR848" s="570"/>
    </row>
    <row r="849" s="162" customFormat="1" ht="15.75" customHeight="1">
      <c r="AE849" s="570"/>
      <c r="AF849" s="570"/>
      <c r="BI849" s="570"/>
      <c r="BJ849" s="570"/>
      <c r="BR849" s="570"/>
    </row>
    <row r="850" s="162" customFormat="1" ht="15.75" customHeight="1">
      <c r="AE850" s="570"/>
      <c r="AF850" s="570"/>
      <c r="BI850" s="570"/>
      <c r="BJ850" s="570"/>
      <c r="BR850" s="570"/>
    </row>
    <row r="851" s="162" customFormat="1" ht="15.75" customHeight="1">
      <c r="AE851" s="570"/>
      <c r="AF851" s="570"/>
      <c r="BI851" s="570"/>
      <c r="BJ851" s="570"/>
      <c r="BR851" s="570"/>
    </row>
    <row r="852" s="162" customFormat="1" ht="15.75" customHeight="1">
      <c r="AE852" s="570"/>
      <c r="AF852" s="570"/>
      <c r="BI852" s="570"/>
      <c r="BJ852" s="570"/>
      <c r="BR852" s="570"/>
    </row>
    <row r="853" s="162" customFormat="1" ht="15.75" customHeight="1">
      <c r="AE853" s="570"/>
      <c r="AF853" s="570"/>
      <c r="BI853" s="570"/>
      <c r="BJ853" s="570"/>
      <c r="BR853" s="570"/>
    </row>
    <row r="854" s="162" customFormat="1" ht="15.75" customHeight="1">
      <c r="AE854" s="570"/>
      <c r="AF854" s="570"/>
      <c r="BI854" s="570"/>
      <c r="BJ854" s="570"/>
      <c r="BR854" s="570"/>
    </row>
    <row r="855" s="162" customFormat="1" ht="15.75" customHeight="1">
      <c r="AE855" s="570"/>
      <c r="AF855" s="570"/>
      <c r="BI855" s="570"/>
      <c r="BJ855" s="570"/>
      <c r="BR855" s="570"/>
    </row>
    <row r="856" s="162" customFormat="1" ht="15.75" customHeight="1">
      <c r="AE856" s="570"/>
      <c r="AF856" s="570"/>
      <c r="BI856" s="570"/>
      <c r="BJ856" s="570"/>
      <c r="BR856" s="570"/>
    </row>
    <row r="857" s="162" customFormat="1" ht="15.75" customHeight="1">
      <c r="AE857" s="570"/>
      <c r="AF857" s="570"/>
      <c r="BI857" s="570"/>
      <c r="BJ857" s="570"/>
      <c r="BR857" s="570"/>
    </row>
    <row r="858" s="162" customFormat="1" ht="15.75" customHeight="1">
      <c r="AE858" s="570"/>
      <c r="AF858" s="570"/>
      <c r="BI858" s="570"/>
      <c r="BJ858" s="570"/>
      <c r="BR858" s="570"/>
    </row>
    <row r="859" s="162" customFormat="1" ht="15.75" customHeight="1">
      <c r="AE859" s="570"/>
      <c r="AF859" s="570"/>
      <c r="BI859" s="570"/>
      <c r="BJ859" s="570"/>
      <c r="BR859" s="570"/>
    </row>
    <row r="860" s="162" customFormat="1" ht="15.75" customHeight="1">
      <c r="AE860" s="570"/>
      <c r="AF860" s="570"/>
      <c r="BI860" s="570"/>
      <c r="BJ860" s="570"/>
      <c r="BR860" s="570"/>
    </row>
    <row r="861" s="162" customFormat="1" ht="15.75" customHeight="1">
      <c r="AE861" s="570"/>
      <c r="AF861" s="570"/>
      <c r="BI861" s="570"/>
      <c r="BJ861" s="570"/>
      <c r="BR861" s="570"/>
    </row>
    <row r="862" s="162" customFormat="1" ht="15.75" customHeight="1">
      <c r="AE862" s="570"/>
      <c r="AF862" s="570"/>
      <c r="BI862" s="570"/>
      <c r="BJ862" s="570"/>
      <c r="BR862" s="570"/>
    </row>
    <row r="863" s="162" customFormat="1" ht="15.75" customHeight="1">
      <c r="AE863" s="570"/>
      <c r="AF863" s="570"/>
      <c r="BI863" s="570"/>
      <c r="BJ863" s="570"/>
      <c r="BR863" s="570"/>
    </row>
    <row r="864" s="162" customFormat="1" ht="15.75" customHeight="1">
      <c r="AE864" s="570"/>
      <c r="AF864" s="570"/>
      <c r="BI864" s="570"/>
      <c r="BJ864" s="570"/>
      <c r="BR864" s="570"/>
    </row>
    <row r="865" s="162" customFormat="1" ht="15.75" customHeight="1">
      <c r="AE865" s="570"/>
      <c r="AF865" s="570"/>
      <c r="BI865" s="570"/>
      <c r="BJ865" s="570"/>
      <c r="BR865" s="570"/>
    </row>
    <row r="866" s="162" customFormat="1" ht="15.75" customHeight="1">
      <c r="AE866" s="570"/>
      <c r="AF866" s="570"/>
      <c r="BI866" s="570"/>
      <c r="BJ866" s="570"/>
      <c r="BR866" s="570"/>
    </row>
    <row r="867" s="162" customFormat="1" ht="15.75" customHeight="1">
      <c r="AE867" s="570"/>
      <c r="AF867" s="570"/>
      <c r="BI867" s="570"/>
      <c r="BJ867" s="570"/>
      <c r="BR867" s="570"/>
    </row>
    <row r="868" s="162" customFormat="1" ht="15.75" customHeight="1">
      <c r="AE868" s="570"/>
      <c r="AF868" s="570"/>
      <c r="BI868" s="570"/>
      <c r="BJ868" s="570"/>
      <c r="BR868" s="570"/>
    </row>
    <row r="869" s="162" customFormat="1" ht="15.75" customHeight="1">
      <c r="AE869" s="570"/>
      <c r="AF869" s="570"/>
      <c r="BI869" s="570"/>
      <c r="BJ869" s="570"/>
      <c r="BR869" s="570"/>
    </row>
    <row r="870" s="162" customFormat="1" ht="15.75" customHeight="1">
      <c r="AE870" s="570"/>
      <c r="AF870" s="570"/>
      <c r="BI870" s="570"/>
      <c r="BJ870" s="570"/>
      <c r="BR870" s="570"/>
    </row>
    <row r="871" s="162" customFormat="1" ht="15.75" customHeight="1">
      <c r="AE871" s="570"/>
      <c r="AF871" s="570"/>
      <c r="BI871" s="570"/>
      <c r="BJ871" s="570"/>
      <c r="BR871" s="570"/>
    </row>
    <row r="872" s="162" customFormat="1" ht="15.75" customHeight="1">
      <c r="AE872" s="570"/>
      <c r="AF872" s="570"/>
      <c r="BI872" s="570"/>
      <c r="BJ872" s="570"/>
      <c r="BR872" s="570"/>
    </row>
    <row r="873" s="162" customFormat="1" ht="15.75" customHeight="1">
      <c r="AE873" s="570"/>
      <c r="AF873" s="570"/>
      <c r="BI873" s="570"/>
      <c r="BJ873" s="570"/>
      <c r="BR873" s="570"/>
    </row>
    <row r="874" s="162" customFormat="1" ht="15.75" customHeight="1">
      <c r="AE874" s="570"/>
      <c r="AF874" s="570"/>
      <c r="BI874" s="570"/>
      <c r="BJ874" s="570"/>
      <c r="BR874" s="570"/>
    </row>
    <row r="875" s="162" customFormat="1" ht="15.75" customHeight="1">
      <c r="AE875" s="570"/>
      <c r="AF875" s="570"/>
      <c r="BI875" s="570"/>
      <c r="BJ875" s="570"/>
      <c r="BR875" s="570"/>
    </row>
    <row r="876" s="162" customFormat="1" ht="15.75" customHeight="1">
      <c r="AE876" s="570"/>
      <c r="AF876" s="570"/>
      <c r="BI876" s="570"/>
      <c r="BJ876" s="570"/>
      <c r="BR876" s="570"/>
    </row>
    <row r="877" s="162" customFormat="1" ht="15.75" customHeight="1">
      <c r="AE877" s="570"/>
      <c r="AF877" s="570"/>
      <c r="BI877" s="570"/>
      <c r="BJ877" s="570"/>
      <c r="BR877" s="570"/>
    </row>
    <row r="878" s="162" customFormat="1" ht="15.75" customHeight="1">
      <c r="AE878" s="570"/>
      <c r="AF878" s="570"/>
      <c r="BI878" s="570"/>
      <c r="BJ878" s="570"/>
      <c r="BR878" s="570"/>
    </row>
    <row r="879" s="162" customFormat="1" ht="15.75" customHeight="1">
      <c r="AE879" s="570"/>
      <c r="AF879" s="570"/>
      <c r="BI879" s="570"/>
      <c r="BJ879" s="570"/>
      <c r="BR879" s="570"/>
    </row>
    <row r="880" s="162" customFormat="1" ht="15.75" customHeight="1">
      <c r="AE880" s="570"/>
      <c r="AF880" s="570"/>
      <c r="BI880" s="570"/>
      <c r="BJ880" s="570"/>
      <c r="BR880" s="570"/>
    </row>
    <row r="881" s="162" customFormat="1" ht="15.75" customHeight="1">
      <c r="AE881" s="570"/>
      <c r="AF881" s="570"/>
      <c r="BI881" s="570"/>
      <c r="BJ881" s="570"/>
      <c r="BR881" s="570"/>
    </row>
    <row r="882" s="162" customFormat="1" ht="15.75" customHeight="1">
      <c r="AE882" s="570"/>
      <c r="AF882" s="570"/>
      <c r="BI882" s="570"/>
      <c r="BJ882" s="570"/>
      <c r="BR882" s="570"/>
    </row>
    <row r="883" s="162" customFormat="1" ht="15.75" customHeight="1">
      <c r="AE883" s="570"/>
      <c r="AF883" s="570"/>
      <c r="BI883" s="570"/>
      <c r="BJ883" s="570"/>
      <c r="BR883" s="570"/>
    </row>
    <row r="884" s="162" customFormat="1" ht="15.75" customHeight="1">
      <c r="AE884" s="570"/>
      <c r="AF884" s="570"/>
      <c r="BI884" s="570"/>
      <c r="BJ884" s="570"/>
      <c r="BR884" s="570"/>
    </row>
    <row r="885" s="162" customFormat="1" ht="15.75" customHeight="1">
      <c r="AE885" s="570"/>
      <c r="AF885" s="570"/>
      <c r="BI885" s="570"/>
      <c r="BJ885" s="570"/>
      <c r="BR885" s="570"/>
    </row>
    <row r="886" s="162" customFormat="1" ht="15.75" customHeight="1">
      <c r="AE886" s="570"/>
      <c r="AF886" s="570"/>
      <c r="BI886" s="570"/>
      <c r="BJ886" s="570"/>
      <c r="BR886" s="570"/>
    </row>
    <row r="887" s="162" customFormat="1" ht="15.75" customHeight="1">
      <c r="AE887" s="570"/>
      <c r="AF887" s="570"/>
      <c r="BI887" s="570"/>
      <c r="BJ887" s="570"/>
      <c r="BR887" s="570"/>
    </row>
    <row r="888" s="162" customFormat="1" ht="15.75" customHeight="1">
      <c r="AE888" s="570"/>
      <c r="AF888" s="570"/>
      <c r="BI888" s="570"/>
      <c r="BJ888" s="570"/>
      <c r="BR888" s="570"/>
    </row>
    <row r="889" s="162" customFormat="1" ht="15.75" customHeight="1">
      <c r="AE889" s="570"/>
      <c r="AF889" s="570"/>
      <c r="BI889" s="570"/>
      <c r="BJ889" s="570"/>
      <c r="BR889" s="570"/>
    </row>
    <row r="890" s="162" customFormat="1" ht="15.75" customHeight="1">
      <c r="AE890" s="570"/>
      <c r="AF890" s="570"/>
      <c r="BI890" s="570"/>
      <c r="BJ890" s="570"/>
      <c r="BR890" s="570"/>
    </row>
    <row r="891" s="162" customFormat="1" ht="15.75" customHeight="1">
      <c r="AE891" s="570"/>
      <c r="AF891" s="570"/>
      <c r="BI891" s="570"/>
      <c r="BJ891" s="570"/>
      <c r="BR891" s="570"/>
    </row>
    <row r="892" s="162" customFormat="1" ht="15.75" customHeight="1">
      <c r="AE892" s="570"/>
      <c r="AF892" s="570"/>
      <c r="BI892" s="570"/>
      <c r="BJ892" s="570"/>
      <c r="BR892" s="570"/>
    </row>
    <row r="893" s="162" customFormat="1" ht="15.75" customHeight="1">
      <c r="AE893" s="570"/>
      <c r="AF893" s="570"/>
      <c r="BI893" s="570"/>
      <c r="BJ893" s="570"/>
      <c r="BR893" s="570"/>
    </row>
    <row r="894" s="162" customFormat="1" ht="15.75" customHeight="1">
      <c r="AE894" s="570"/>
      <c r="AF894" s="570"/>
      <c r="BI894" s="570"/>
      <c r="BJ894" s="570"/>
      <c r="BR894" s="570"/>
    </row>
    <row r="895" s="162" customFormat="1" ht="15.75" customHeight="1">
      <c r="AE895" s="570"/>
      <c r="AF895" s="570"/>
      <c r="BI895" s="570"/>
      <c r="BJ895" s="570"/>
      <c r="BR895" s="570"/>
    </row>
    <row r="896" s="162" customFormat="1" ht="15.75" customHeight="1">
      <c r="AE896" s="570"/>
      <c r="AF896" s="570"/>
      <c r="BI896" s="570"/>
      <c r="BJ896" s="570"/>
      <c r="BR896" s="570"/>
    </row>
    <row r="897" s="162" customFormat="1" ht="15.75" customHeight="1">
      <c r="AE897" s="570"/>
      <c r="AF897" s="570"/>
      <c r="BI897" s="570"/>
      <c r="BJ897" s="570"/>
      <c r="BR897" s="570"/>
    </row>
    <row r="898" s="162" customFormat="1" ht="15.75" customHeight="1">
      <c r="AE898" s="570"/>
      <c r="AF898" s="570"/>
      <c r="BI898" s="570"/>
      <c r="BJ898" s="570"/>
      <c r="BR898" s="570"/>
    </row>
    <row r="899" s="162" customFormat="1" ht="15.75" customHeight="1">
      <c r="AE899" s="570"/>
      <c r="AF899" s="570"/>
      <c r="BI899" s="570"/>
      <c r="BJ899" s="570"/>
      <c r="BR899" s="570"/>
    </row>
    <row r="900" s="162" customFormat="1" ht="15.75" customHeight="1">
      <c r="AE900" s="570"/>
      <c r="AF900" s="570"/>
      <c r="BI900" s="570"/>
      <c r="BJ900" s="570"/>
      <c r="BR900" s="570"/>
    </row>
    <row r="901" s="162" customFormat="1" ht="15.75" customHeight="1">
      <c r="AE901" s="570"/>
      <c r="AF901" s="570"/>
      <c r="BI901" s="570"/>
      <c r="BJ901" s="570"/>
      <c r="BR901" s="570"/>
    </row>
    <row r="902" s="162" customFormat="1" ht="15.75" customHeight="1">
      <c r="AE902" s="570"/>
      <c r="AF902" s="570"/>
      <c r="BI902" s="570"/>
      <c r="BJ902" s="570"/>
      <c r="BR902" s="570"/>
    </row>
    <row r="903" s="162" customFormat="1" ht="15.75" customHeight="1">
      <c r="AE903" s="570"/>
      <c r="AF903" s="570"/>
      <c r="BI903" s="570"/>
      <c r="BJ903" s="570"/>
      <c r="BR903" s="570"/>
    </row>
    <row r="904" s="162" customFormat="1" ht="15.75" customHeight="1">
      <c r="AE904" s="570"/>
      <c r="AF904" s="570"/>
      <c r="BI904" s="570"/>
      <c r="BJ904" s="570"/>
      <c r="BR904" s="570"/>
    </row>
    <row r="905" s="162" customFormat="1" ht="15.75" customHeight="1">
      <c r="AE905" s="570"/>
      <c r="AF905" s="570"/>
      <c r="BI905" s="570"/>
      <c r="BJ905" s="570"/>
      <c r="BR905" s="570"/>
    </row>
    <row r="906" s="162" customFormat="1" ht="15.75" customHeight="1">
      <c r="AE906" s="570"/>
      <c r="AF906" s="570"/>
      <c r="BI906" s="570"/>
      <c r="BJ906" s="570"/>
      <c r="BR906" s="570"/>
    </row>
    <row r="907" s="162" customFormat="1" ht="15.75" customHeight="1">
      <c r="AE907" s="570"/>
      <c r="AF907" s="570"/>
      <c r="BI907" s="570"/>
      <c r="BJ907" s="570"/>
      <c r="BR907" s="570"/>
    </row>
    <row r="908" s="162" customFormat="1" ht="15.75" customHeight="1">
      <c r="AE908" s="570"/>
      <c r="AF908" s="570"/>
      <c r="BI908" s="570"/>
      <c r="BJ908" s="570"/>
      <c r="BR908" s="570"/>
    </row>
    <row r="909" s="162" customFormat="1" ht="15.75" customHeight="1">
      <c r="AE909" s="570"/>
      <c r="AF909" s="570"/>
      <c r="BI909" s="570"/>
      <c r="BJ909" s="570"/>
      <c r="BR909" s="570"/>
    </row>
    <row r="910" s="162" customFormat="1" ht="15.75" customHeight="1">
      <c r="AE910" s="570"/>
      <c r="AF910" s="570"/>
      <c r="BI910" s="570"/>
      <c r="BJ910" s="570"/>
      <c r="BR910" s="570"/>
    </row>
    <row r="911" s="162" customFormat="1" ht="15.75" customHeight="1">
      <c r="AE911" s="570"/>
      <c r="AF911" s="570"/>
      <c r="BI911" s="570"/>
      <c r="BJ911" s="570"/>
      <c r="BR911" s="570"/>
    </row>
    <row r="912" s="162" customFormat="1" ht="15.75" customHeight="1">
      <c r="AE912" s="570"/>
      <c r="AF912" s="570"/>
      <c r="BI912" s="570"/>
      <c r="BJ912" s="570"/>
      <c r="BR912" s="570"/>
    </row>
    <row r="913" s="162" customFormat="1" ht="15.75" customHeight="1">
      <c r="AE913" s="570"/>
      <c r="AF913" s="570"/>
      <c r="BI913" s="570"/>
      <c r="BJ913" s="570"/>
      <c r="BR913" s="570"/>
    </row>
    <row r="914" s="162" customFormat="1" ht="15.75" customHeight="1">
      <c r="AE914" s="570"/>
      <c r="AF914" s="570"/>
      <c r="BI914" s="570"/>
      <c r="BJ914" s="570"/>
      <c r="BR914" s="570"/>
    </row>
    <row r="915" s="162" customFormat="1" ht="15.75" customHeight="1">
      <c r="AE915" s="570"/>
      <c r="AF915" s="570"/>
      <c r="BI915" s="570"/>
      <c r="BJ915" s="570"/>
      <c r="BR915" s="570"/>
    </row>
    <row r="916" s="162" customFormat="1" ht="15.75" customHeight="1">
      <c r="AE916" s="570"/>
      <c r="AF916" s="570"/>
      <c r="BI916" s="570"/>
      <c r="BJ916" s="570"/>
      <c r="BR916" s="570"/>
    </row>
    <row r="917" s="162" customFormat="1" ht="15.75" customHeight="1">
      <c r="AE917" s="570"/>
      <c r="AF917" s="570"/>
      <c r="BI917" s="570"/>
      <c r="BJ917" s="570"/>
      <c r="BR917" s="570"/>
    </row>
    <row r="918" s="162" customFormat="1" ht="15.75" customHeight="1">
      <c r="AE918" s="570"/>
      <c r="AF918" s="570"/>
      <c r="BI918" s="570"/>
      <c r="BJ918" s="570"/>
      <c r="BR918" s="570"/>
    </row>
    <row r="919" s="162" customFormat="1" ht="15.75" customHeight="1">
      <c r="AE919" s="570"/>
      <c r="AF919" s="570"/>
      <c r="BI919" s="570"/>
      <c r="BJ919" s="570"/>
      <c r="BR919" s="570"/>
    </row>
    <row r="920" s="162" customFormat="1" ht="15.75" customHeight="1">
      <c r="AE920" s="570"/>
      <c r="AF920" s="570"/>
      <c r="BI920" s="570"/>
      <c r="BJ920" s="570"/>
      <c r="BR920" s="570"/>
    </row>
    <row r="921" s="162" customFormat="1" ht="15.75" customHeight="1">
      <c r="AE921" s="570"/>
      <c r="AF921" s="570"/>
      <c r="BI921" s="570"/>
      <c r="BJ921" s="570"/>
      <c r="BR921" s="570"/>
    </row>
    <row r="922" s="162" customFormat="1" ht="15.75" customHeight="1">
      <c r="AE922" s="570"/>
      <c r="AF922" s="570"/>
      <c r="BI922" s="570"/>
      <c r="BJ922" s="570"/>
      <c r="BR922" s="570"/>
    </row>
    <row r="923" s="162" customFormat="1" ht="15.75" customHeight="1">
      <c r="AE923" s="570"/>
      <c r="AF923" s="570"/>
      <c r="BI923" s="570"/>
      <c r="BJ923" s="570"/>
      <c r="BR923" s="570"/>
    </row>
    <row r="924" s="162" customFormat="1" ht="15.75" customHeight="1">
      <c r="AE924" s="570"/>
      <c r="AF924" s="570"/>
      <c r="BI924" s="570"/>
      <c r="BJ924" s="570"/>
      <c r="BR924" s="570"/>
    </row>
    <row r="925" s="162" customFormat="1" ht="15.75" customHeight="1">
      <c r="AE925" s="570"/>
      <c r="AF925" s="570"/>
      <c r="BI925" s="570"/>
      <c r="BJ925" s="570"/>
      <c r="BR925" s="570"/>
    </row>
    <row r="926" s="162" customFormat="1" ht="15.75" customHeight="1">
      <c r="AE926" s="570"/>
      <c r="AF926" s="570"/>
      <c r="BI926" s="570"/>
      <c r="BJ926" s="570"/>
      <c r="BR926" s="570"/>
    </row>
    <row r="927" s="162" customFormat="1" ht="15.75" customHeight="1">
      <c r="AE927" s="570"/>
      <c r="AF927" s="570"/>
      <c r="BI927" s="570"/>
      <c r="BJ927" s="570"/>
      <c r="BR927" s="570"/>
    </row>
    <row r="928" s="162" customFormat="1" ht="15.75" customHeight="1">
      <c r="AE928" s="570"/>
      <c r="AF928" s="570"/>
      <c r="BI928" s="570"/>
      <c r="BJ928" s="570"/>
      <c r="BR928" s="570"/>
    </row>
    <row r="929" s="162" customFormat="1" ht="15.75" customHeight="1">
      <c r="AE929" s="570"/>
      <c r="AF929" s="570"/>
      <c r="BI929" s="570"/>
      <c r="BJ929" s="570"/>
      <c r="BR929" s="570"/>
    </row>
    <row r="930" s="162" customFormat="1" ht="15.75" customHeight="1">
      <c r="AE930" s="570"/>
      <c r="AF930" s="570"/>
      <c r="BI930" s="570"/>
      <c r="BJ930" s="570"/>
      <c r="BR930" s="570"/>
    </row>
    <row r="931" s="162" customFormat="1" ht="15.75" customHeight="1">
      <c r="AE931" s="570"/>
      <c r="AF931" s="570"/>
      <c r="BI931" s="570"/>
      <c r="BJ931" s="570"/>
      <c r="BR931" s="570"/>
    </row>
    <row r="932" s="162" customFormat="1" ht="15.75" customHeight="1">
      <c r="AE932" s="570"/>
      <c r="AF932" s="570"/>
      <c r="BI932" s="570"/>
      <c r="BJ932" s="570"/>
      <c r="BR932" s="570"/>
    </row>
    <row r="933" s="162" customFormat="1" ht="15.75" customHeight="1">
      <c r="AE933" s="570"/>
      <c r="AF933" s="570"/>
      <c r="BI933" s="570"/>
      <c r="BJ933" s="570"/>
      <c r="BR933" s="570"/>
    </row>
    <row r="934" s="162" customFormat="1" ht="15.75" customHeight="1">
      <c r="AE934" s="570"/>
      <c r="AF934" s="570"/>
      <c r="BI934" s="570"/>
      <c r="BJ934" s="570"/>
      <c r="BR934" s="570"/>
    </row>
    <row r="935" s="162" customFormat="1" ht="15.75" customHeight="1">
      <c r="AE935" s="570"/>
      <c r="AF935" s="570"/>
      <c r="BI935" s="570"/>
      <c r="BJ935" s="570"/>
      <c r="BR935" s="570"/>
    </row>
    <row r="936" s="162" customFormat="1" ht="15.75" customHeight="1">
      <c r="AE936" s="570"/>
      <c r="AF936" s="570"/>
      <c r="BI936" s="570"/>
      <c r="BJ936" s="570"/>
      <c r="BR936" s="570"/>
    </row>
    <row r="937" s="162" customFormat="1" ht="15.75" customHeight="1">
      <c r="AE937" s="570"/>
      <c r="AF937" s="570"/>
      <c r="BI937" s="570"/>
      <c r="BJ937" s="570"/>
      <c r="BR937" s="570"/>
    </row>
    <row r="938" s="162" customFormat="1" ht="15.75" customHeight="1">
      <c r="AE938" s="570"/>
      <c r="AF938" s="570"/>
      <c r="BI938" s="570"/>
      <c r="BJ938" s="570"/>
      <c r="BR938" s="570"/>
    </row>
    <row r="939" s="162" customFormat="1" ht="15.75" customHeight="1">
      <c r="AE939" s="570"/>
      <c r="AF939" s="570"/>
      <c r="BI939" s="570"/>
      <c r="BJ939" s="570"/>
      <c r="BR939" s="570"/>
    </row>
    <row r="940" s="162" customFormat="1" ht="15.75" customHeight="1">
      <c r="AE940" s="570"/>
      <c r="AF940" s="570"/>
      <c r="BI940" s="570"/>
      <c r="BJ940" s="570"/>
      <c r="BR940" s="570"/>
    </row>
    <row r="941" s="162" customFormat="1" ht="15.75" customHeight="1">
      <c r="AE941" s="570"/>
      <c r="AF941" s="570"/>
      <c r="BI941" s="570"/>
      <c r="BJ941" s="570"/>
      <c r="BR941" s="570"/>
    </row>
    <row r="942" s="162" customFormat="1" ht="15.75" customHeight="1">
      <c r="AE942" s="570"/>
      <c r="AF942" s="570"/>
      <c r="BI942" s="570"/>
      <c r="BJ942" s="570"/>
      <c r="BR942" s="570"/>
    </row>
    <row r="943" s="162" customFormat="1" ht="15.75" customHeight="1">
      <c r="AE943" s="570"/>
      <c r="AF943" s="570"/>
      <c r="BI943" s="570"/>
      <c r="BJ943" s="570"/>
      <c r="BR943" s="570"/>
    </row>
    <row r="944" s="162" customFormat="1" ht="15.75" customHeight="1">
      <c r="AE944" s="570"/>
      <c r="AF944" s="570"/>
      <c r="BI944" s="570"/>
      <c r="BJ944" s="570"/>
      <c r="BR944" s="570"/>
    </row>
    <row r="945" s="162" customFormat="1" ht="15.75" customHeight="1">
      <c r="AE945" s="570"/>
      <c r="AF945" s="570"/>
      <c r="BI945" s="570"/>
      <c r="BJ945" s="570"/>
      <c r="BR945" s="570"/>
    </row>
    <row r="946" s="162" customFormat="1" ht="15.75" customHeight="1">
      <c r="AE946" s="570"/>
      <c r="AF946" s="570"/>
      <c r="BI946" s="570"/>
      <c r="BJ946" s="570"/>
      <c r="BR946" s="570"/>
    </row>
    <row r="947" s="162" customFormat="1" ht="15.75" customHeight="1">
      <c r="AE947" s="570"/>
      <c r="AF947" s="570"/>
      <c r="BI947" s="570"/>
      <c r="BJ947" s="570"/>
      <c r="BR947" s="570"/>
    </row>
    <row r="948" s="162" customFormat="1" ht="15.75" customHeight="1">
      <c r="AE948" s="570"/>
      <c r="AF948" s="570"/>
      <c r="BI948" s="570"/>
      <c r="BJ948" s="570"/>
      <c r="BR948" s="570"/>
    </row>
    <row r="949" s="162" customFormat="1" ht="15.75" customHeight="1">
      <c r="AE949" s="570"/>
      <c r="AF949" s="570"/>
      <c r="BI949" s="570"/>
      <c r="BJ949" s="570"/>
      <c r="BR949" s="570"/>
    </row>
    <row r="950" s="162" customFormat="1" ht="15.75" customHeight="1">
      <c r="AE950" s="570"/>
      <c r="AF950" s="570"/>
      <c r="BI950" s="570"/>
      <c r="BJ950" s="570"/>
      <c r="BR950" s="570"/>
    </row>
    <row r="951" s="162" customFormat="1" ht="15.75" customHeight="1">
      <c r="AE951" s="570"/>
      <c r="AF951" s="570"/>
      <c r="BI951" s="570"/>
      <c r="BJ951" s="570"/>
      <c r="BR951" s="570"/>
    </row>
    <row r="952" s="162" customFormat="1" ht="15.75" customHeight="1">
      <c r="AE952" s="570"/>
      <c r="AF952" s="570"/>
      <c r="BI952" s="570"/>
      <c r="BJ952" s="570"/>
      <c r="BR952" s="570"/>
    </row>
    <row r="953" s="162" customFormat="1" ht="15.75" customHeight="1">
      <c r="AE953" s="570"/>
      <c r="AF953" s="570"/>
      <c r="BI953" s="570"/>
      <c r="BJ953" s="570"/>
      <c r="BR953" s="570"/>
    </row>
    <row r="954" s="162" customFormat="1" ht="15.75" customHeight="1">
      <c r="AE954" s="570"/>
      <c r="AF954" s="570"/>
      <c r="BI954" s="570"/>
      <c r="BJ954" s="570"/>
      <c r="BR954" s="570"/>
    </row>
    <row r="955" s="162" customFormat="1" ht="15.75" customHeight="1">
      <c r="AE955" s="570"/>
      <c r="AF955" s="570"/>
      <c r="BI955" s="570"/>
      <c r="BJ955" s="570"/>
      <c r="BR955" s="570"/>
    </row>
    <row r="956" s="162" customFormat="1" ht="15.75" customHeight="1">
      <c r="AE956" s="570"/>
      <c r="AF956" s="570"/>
      <c r="BI956" s="570"/>
      <c r="BJ956" s="570"/>
      <c r="BR956" s="570"/>
    </row>
    <row r="957" s="162" customFormat="1" ht="15.75" customHeight="1">
      <c r="AE957" s="570"/>
      <c r="AF957" s="570"/>
      <c r="BI957" s="570"/>
      <c r="BJ957" s="570"/>
      <c r="BR957" s="570"/>
    </row>
    <row r="958" s="162" customFormat="1" ht="15.75" customHeight="1">
      <c r="AE958" s="570"/>
      <c r="AF958" s="570"/>
      <c r="BI958" s="570"/>
      <c r="BJ958" s="570"/>
      <c r="BR958" s="570"/>
    </row>
    <row r="959" s="162" customFormat="1" ht="15.75" customHeight="1">
      <c r="AE959" s="570"/>
      <c r="AF959" s="570"/>
      <c r="BI959" s="570"/>
      <c r="BJ959" s="570"/>
      <c r="BR959" s="570"/>
    </row>
    <row r="960" s="162" customFormat="1" ht="15.75" customHeight="1">
      <c r="AE960" s="570"/>
      <c r="AF960" s="570"/>
      <c r="BI960" s="570"/>
      <c r="BJ960" s="570"/>
      <c r="BR960" s="570"/>
    </row>
    <row r="961" s="162" customFormat="1" ht="15.75" customHeight="1">
      <c r="AE961" s="570"/>
      <c r="AF961" s="570"/>
      <c r="BI961" s="570"/>
      <c r="BJ961" s="570"/>
      <c r="BR961" s="570"/>
    </row>
    <row r="962" s="162" customFormat="1" ht="15.75" customHeight="1">
      <c r="AE962" s="570"/>
      <c r="AF962" s="570"/>
      <c r="BI962" s="570"/>
      <c r="BJ962" s="570"/>
      <c r="BR962" s="570"/>
    </row>
    <row r="963" s="162" customFormat="1" ht="15.75" customHeight="1">
      <c r="AE963" s="570"/>
      <c r="AF963" s="570"/>
      <c r="BI963" s="570"/>
      <c r="BJ963" s="570"/>
      <c r="BR963" s="570"/>
    </row>
    <row r="964" s="162" customFormat="1" ht="15.75" customHeight="1">
      <c r="AE964" s="570"/>
      <c r="AF964" s="570"/>
      <c r="BI964" s="570"/>
      <c r="BJ964" s="570"/>
      <c r="BR964" s="570"/>
    </row>
    <row r="965" s="162" customFormat="1" ht="15.75" customHeight="1">
      <c r="AE965" s="570"/>
      <c r="AF965" s="570"/>
      <c r="BI965" s="570"/>
      <c r="BJ965" s="570"/>
      <c r="BR965" s="570"/>
    </row>
    <row r="966" s="162" customFormat="1" ht="15.75" customHeight="1">
      <c r="AE966" s="570"/>
      <c r="AF966" s="570"/>
      <c r="BI966" s="570"/>
      <c r="BJ966" s="570"/>
      <c r="BR966" s="570"/>
    </row>
    <row r="967" s="162" customFormat="1" ht="15.75" customHeight="1">
      <c r="AE967" s="570"/>
      <c r="AF967" s="570"/>
      <c r="BI967" s="570"/>
      <c r="BJ967" s="570"/>
      <c r="BR967" s="570"/>
    </row>
    <row r="968" s="162" customFormat="1" ht="15.75" customHeight="1">
      <c r="AE968" s="570"/>
      <c r="AF968" s="570"/>
      <c r="BI968" s="570"/>
      <c r="BJ968" s="570"/>
      <c r="BR968" s="570"/>
    </row>
    <row r="969" s="162" customFormat="1" ht="15.75" customHeight="1">
      <c r="AE969" s="570"/>
      <c r="AF969" s="570"/>
      <c r="BI969" s="570"/>
      <c r="BJ969" s="570"/>
      <c r="BR969" s="570"/>
    </row>
    <row r="970" s="162" customFormat="1" ht="15.75" customHeight="1">
      <c r="AE970" s="570"/>
      <c r="AF970" s="570"/>
      <c r="BI970" s="570"/>
      <c r="BJ970" s="570"/>
      <c r="BR970" s="570"/>
    </row>
    <row r="971" s="162" customFormat="1" ht="15.75" customHeight="1">
      <c r="AE971" s="570"/>
      <c r="AF971" s="570"/>
      <c r="BI971" s="570"/>
      <c r="BJ971" s="570"/>
      <c r="BR971" s="570"/>
    </row>
    <row r="972" s="162" customFormat="1" ht="15.75" customHeight="1">
      <c r="AE972" s="570"/>
      <c r="AF972" s="570"/>
      <c r="BI972" s="570"/>
      <c r="BJ972" s="570"/>
      <c r="BR972" s="570"/>
    </row>
  </sheetData>
  <mergeCells count="54">
    <mergeCell ref="M5:S5"/>
    <mergeCell ref="U5:U6"/>
    <mergeCell ref="AB5:AB6"/>
    <mergeCell ref="AC5:AC6"/>
    <mergeCell ref="AD5:AD6"/>
    <mergeCell ref="X5:X6"/>
    <mergeCell ref="Y5:Y6"/>
    <mergeCell ref="Z5:Z6"/>
    <mergeCell ref="AA5:AA6"/>
    <mergeCell ref="AE5:AE6"/>
    <mergeCell ref="AF5:AF6"/>
    <mergeCell ref="AG5:AG6"/>
    <mergeCell ref="AH5:AH6"/>
    <mergeCell ref="AI5:AI6"/>
    <mergeCell ref="AJ5:AJ6"/>
    <mergeCell ref="AK5:AK6"/>
    <mergeCell ref="AF4:AL4"/>
    <mergeCell ref="AM4:AM6"/>
    <mergeCell ref="A5:A6"/>
    <mergeCell ref="B5:B6"/>
    <mergeCell ref="C5:C6"/>
    <mergeCell ref="D5:D6"/>
    <mergeCell ref="E5:E6"/>
    <mergeCell ref="AL5:AL6"/>
    <mergeCell ref="F5:F6"/>
    <mergeCell ref="G5:H5"/>
    <mergeCell ref="I5:K5"/>
    <mergeCell ref="L5:L6"/>
    <mergeCell ref="V5:V6"/>
    <mergeCell ref="W5:W6"/>
    <mergeCell ref="AY5:AY6"/>
    <mergeCell ref="AN4:AP4"/>
    <mergeCell ref="AQ4:AV4"/>
    <mergeCell ref="BA4:BA6"/>
    <mergeCell ref="BB4:BB6"/>
    <mergeCell ref="AN5:AN6"/>
    <mergeCell ref="AO5:AO6"/>
    <mergeCell ref="AP5:AP6"/>
    <mergeCell ref="AZ5:AZ6"/>
    <mergeCell ref="AQ5:AQ6"/>
    <mergeCell ref="AR5:AR6"/>
    <mergeCell ref="AS5:AS6"/>
    <mergeCell ref="AT5:AT6"/>
    <mergeCell ref="AU5:AV5"/>
    <mergeCell ref="AW5:AW6"/>
    <mergeCell ref="AX5:AX6"/>
    <mergeCell ref="A2:B2"/>
    <mergeCell ref="BL2:BN2"/>
    <mergeCell ref="A3:BA3"/>
    <mergeCell ref="A4:B4"/>
    <mergeCell ref="G4:S4"/>
    <mergeCell ref="U4:Y4"/>
    <mergeCell ref="AA4:AD4"/>
    <mergeCell ref="AW4:AZ4"/>
  </mergeCells>
  <pageMargins left="0.25" right="0.25" top="0.25" bottom="0.25" header="0.3" footer="0.3"/>
  <pageSetup firstPageNumber="1" fitToHeight="1" fitToWidth="1" scale="75" useFirstPageNumber="0" orientation="landscape" pageOrder="downThenOver"/>
  <headerFooter>
    <oddFooter>&amp;C&amp;"Helvetica Neue,Regular"&amp;12&amp;K000000&amp;P</oddFooter>
  </headerFooter>
  <drawing r:id="rId1"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AB1004"/>
  <sheetViews>
    <sheetView workbookViewId="0" showGridLines="0" defaultGridColor="1"/>
  </sheetViews>
  <sheetFormatPr defaultColWidth="12.6" defaultRowHeight="15" customHeight="1" outlineLevelRow="0" outlineLevelCol="0"/>
  <cols>
    <col min="1" max="1" width="12.6016" style="578" customWidth="1"/>
    <col min="2" max="2" width="23.4219" style="578" customWidth="1"/>
    <col min="3" max="3" width="10.8125" style="578" customWidth="1"/>
    <col min="4" max="4" width="26.8125" style="578" customWidth="1"/>
    <col min="5" max="5" width="29.8125" style="578" customWidth="1"/>
    <col min="6" max="6" width="19.6016" style="578" customWidth="1"/>
    <col min="7" max="7" width="23.4219" style="578" customWidth="1"/>
    <col min="8" max="8" width="24.8125" style="578" customWidth="1"/>
    <col min="9" max="9" width="22.4219" style="578" customWidth="1"/>
    <col min="10" max="10" width="45.4219" style="578" customWidth="1"/>
    <col min="11" max="11" width="14.8125" style="578" customWidth="1"/>
    <col min="12" max="19" width="8.8125" style="578" customWidth="1"/>
    <col min="20" max="28" width="12.6016" style="578" customWidth="1"/>
    <col min="29" max="16384" width="12.6016" style="578" customWidth="1"/>
  </cols>
  <sheetData>
    <row r="1" ht="22.5" customHeight="1">
      <c r="A1" s="570"/>
      <c r="B1" s="570"/>
      <c r="C1" t="s" s="579">
        <v>380</v>
      </c>
      <c r="D1" s="570"/>
      <c r="E1" s="57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  <c r="Q1" s="580"/>
      <c r="R1" s="580"/>
      <c r="S1" s="580"/>
      <c r="T1" s="580"/>
      <c r="U1" s="580"/>
      <c r="V1" s="580"/>
      <c r="W1" s="580"/>
      <c r="X1" s="580"/>
      <c r="Y1" s="580"/>
      <c r="Z1" s="580"/>
      <c r="AA1" s="580"/>
      <c r="AB1" s="580"/>
    </row>
    <row r="2" ht="18.75" customHeight="1">
      <c r="A2" s="581"/>
      <c r="B2" s="581"/>
      <c r="C2" s="582"/>
      <c r="D2" s="582"/>
      <c r="E2" s="582"/>
      <c r="F2" s="582"/>
      <c r="G2" s="582"/>
      <c r="H2" s="582"/>
      <c r="I2" s="582"/>
      <c r="J2" s="583"/>
      <c r="K2" s="583"/>
      <c r="L2" s="583"/>
      <c r="M2" s="583"/>
      <c r="N2" s="583"/>
      <c r="O2" s="583"/>
      <c r="P2" s="583"/>
      <c r="Q2" s="583"/>
      <c r="R2" s="583"/>
      <c r="S2" s="583"/>
      <c r="T2" s="583"/>
      <c r="U2" s="583"/>
      <c r="V2" s="583"/>
      <c r="W2" s="583"/>
      <c r="X2" s="583"/>
      <c r="Y2" s="583"/>
      <c r="Z2" s="583"/>
      <c r="AA2" s="583"/>
      <c r="AB2" s="583"/>
    </row>
    <row r="3" ht="18.75" customHeight="1">
      <c r="A3" t="s" s="584">
        <v>381</v>
      </c>
      <c r="B3" t="s" s="584">
        <v>382</v>
      </c>
      <c r="C3" t="s" s="584">
        <v>383</v>
      </c>
      <c r="D3" t="s" s="584">
        <v>384</v>
      </c>
      <c r="E3" t="s" s="584">
        <v>385</v>
      </c>
      <c r="F3" t="s" s="584">
        <v>386</v>
      </c>
      <c r="G3" s="585"/>
      <c r="H3" s="585"/>
      <c r="I3" t="s" s="584">
        <v>387</v>
      </c>
      <c r="J3" s="586"/>
      <c r="K3" s="587"/>
      <c r="L3" s="587"/>
      <c r="M3" s="587"/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  <c r="AA3" s="587"/>
      <c r="AB3" s="588"/>
    </row>
    <row r="4" ht="31.5" customHeight="1">
      <c r="A4" t="s" s="589">
        <v>388</v>
      </c>
      <c r="B4" t="s" s="590">
        <v>389</v>
      </c>
      <c r="C4" s="591">
        <v>1</v>
      </c>
      <c r="D4" t="s" s="592">
        <v>346</v>
      </c>
      <c r="E4" t="s" s="592">
        <v>390</v>
      </c>
      <c r="F4" t="s" s="593">
        <v>391</v>
      </c>
      <c r="G4" s="594"/>
      <c r="H4" s="594"/>
      <c r="I4" t="s" s="595">
        <v>392</v>
      </c>
      <c r="J4" s="586"/>
      <c r="K4" s="587"/>
      <c r="L4" s="587"/>
      <c r="M4" s="587"/>
      <c r="N4" s="587"/>
      <c r="O4" s="587"/>
      <c r="P4" s="587"/>
      <c r="Q4" s="587"/>
      <c r="R4" s="587"/>
      <c r="S4" s="587"/>
      <c r="T4" s="587"/>
      <c r="U4" s="587"/>
      <c r="V4" s="587"/>
      <c r="W4" s="587"/>
      <c r="X4" s="587"/>
      <c r="Y4" s="587"/>
      <c r="Z4" s="587"/>
      <c r="AA4" s="587"/>
      <c r="AB4" s="588"/>
    </row>
    <row r="5" ht="31.5" customHeight="1">
      <c r="A5" t="s" s="596">
        <v>388</v>
      </c>
      <c r="B5" t="s" s="590">
        <v>389</v>
      </c>
      <c r="C5" s="591">
        <v>2</v>
      </c>
      <c r="D5" t="s" s="396">
        <v>352</v>
      </c>
      <c r="E5" t="s" s="597">
        <v>271</v>
      </c>
      <c r="F5" s="598"/>
      <c r="G5" s="594"/>
      <c r="H5" s="594"/>
      <c r="I5" t="s" s="595">
        <v>392</v>
      </c>
      <c r="J5" s="586"/>
      <c r="K5" s="587"/>
      <c r="L5" s="587"/>
      <c r="M5" s="587"/>
      <c r="N5" s="587"/>
      <c r="O5" s="587"/>
      <c r="P5" s="587"/>
      <c r="Q5" s="587"/>
      <c r="R5" s="587"/>
      <c r="S5" s="587"/>
      <c r="T5" s="587"/>
      <c r="U5" s="587"/>
      <c r="V5" s="587"/>
      <c r="W5" s="587"/>
      <c r="X5" s="587"/>
      <c r="Y5" s="587"/>
      <c r="Z5" s="587"/>
      <c r="AA5" s="587"/>
      <c r="AB5" s="588"/>
    </row>
    <row r="6" ht="31.5" customHeight="1">
      <c r="A6" t="s" s="596">
        <v>388</v>
      </c>
      <c r="B6" t="s" s="590">
        <v>389</v>
      </c>
      <c r="C6" s="591">
        <v>3</v>
      </c>
      <c r="D6" t="s" s="592">
        <v>256</v>
      </c>
      <c r="E6" t="s" s="592">
        <v>258</v>
      </c>
      <c r="F6" s="598"/>
      <c r="G6" s="594"/>
      <c r="H6" s="594"/>
      <c r="I6" s="599"/>
      <c r="J6" s="586"/>
      <c r="K6" s="587"/>
      <c r="L6" s="587"/>
      <c r="M6" s="587"/>
      <c r="N6" s="587"/>
      <c r="O6" s="587"/>
      <c r="P6" s="587"/>
      <c r="Q6" s="587"/>
      <c r="R6" s="587"/>
      <c r="S6" s="587"/>
      <c r="T6" s="587"/>
      <c r="U6" s="587"/>
      <c r="V6" s="587"/>
      <c r="W6" s="587"/>
      <c r="X6" s="587"/>
      <c r="Y6" s="587"/>
      <c r="Z6" s="587"/>
      <c r="AA6" s="587"/>
      <c r="AB6" s="588"/>
    </row>
    <row r="7" ht="31.5" customHeight="1">
      <c r="A7" s="600"/>
      <c r="B7" s="601"/>
      <c r="C7" s="602"/>
      <c r="D7" s="603"/>
      <c r="E7" s="604"/>
      <c r="F7" s="598"/>
      <c r="G7" s="594"/>
      <c r="H7" s="594"/>
      <c r="I7" s="599"/>
      <c r="J7" s="586"/>
      <c r="K7" s="587"/>
      <c r="L7" s="587"/>
      <c r="M7" s="587"/>
      <c r="N7" s="587"/>
      <c r="O7" s="587"/>
      <c r="P7" s="587"/>
      <c r="Q7" s="587"/>
      <c r="R7" s="587"/>
      <c r="S7" s="587"/>
      <c r="T7" s="587"/>
      <c r="U7" s="587"/>
      <c r="V7" s="587"/>
      <c r="W7" s="587"/>
      <c r="X7" s="587"/>
      <c r="Y7" s="587"/>
      <c r="Z7" s="587"/>
      <c r="AA7" s="587"/>
      <c r="AB7" s="588"/>
    </row>
    <row r="8" ht="23.25" customHeight="1">
      <c r="A8" s="570"/>
      <c r="B8" s="605"/>
      <c r="C8" t="s" s="606">
        <v>383</v>
      </c>
      <c r="D8" t="s" s="606">
        <v>384</v>
      </c>
      <c r="E8" t="s" s="606">
        <v>385</v>
      </c>
      <c r="F8" t="s" s="606">
        <v>386</v>
      </c>
      <c r="G8" s="607"/>
      <c r="H8" s="607"/>
      <c r="I8" t="s" s="606">
        <v>393</v>
      </c>
      <c r="J8" s="608"/>
      <c r="K8" s="587"/>
      <c r="L8" s="587"/>
      <c r="M8" s="587"/>
      <c r="N8" s="587"/>
      <c r="O8" s="587"/>
      <c r="P8" s="587"/>
      <c r="Q8" s="587"/>
      <c r="R8" s="587"/>
      <c r="S8" s="587"/>
      <c r="T8" s="587"/>
      <c r="U8" s="587"/>
      <c r="V8" s="587"/>
      <c r="W8" s="587"/>
      <c r="X8" s="587"/>
      <c r="Y8" s="587"/>
      <c r="Z8" s="609"/>
      <c r="AA8" s="610"/>
      <c r="AB8" s="610"/>
    </row>
    <row r="9" ht="24.75" customHeight="1">
      <c r="A9" t="s" s="611">
        <v>388</v>
      </c>
      <c r="B9" t="s" s="590">
        <v>394</v>
      </c>
      <c r="C9" s="612">
        <v>1</v>
      </c>
      <c r="D9" t="s" s="613">
        <v>361</v>
      </c>
      <c r="E9" t="s" s="613">
        <v>363</v>
      </c>
      <c r="F9" t="s" s="613">
        <v>395</v>
      </c>
      <c r="G9" s="598"/>
      <c r="H9" s="598"/>
      <c r="I9" t="s" s="593">
        <v>396</v>
      </c>
      <c r="J9" s="614"/>
      <c r="K9" s="587"/>
      <c r="L9" s="587"/>
      <c r="M9" s="587"/>
      <c r="N9" s="587"/>
      <c r="O9" s="587"/>
      <c r="P9" s="587"/>
      <c r="Q9" s="587"/>
      <c r="R9" s="587"/>
      <c r="S9" s="587"/>
      <c r="T9" s="587"/>
      <c r="U9" s="587"/>
      <c r="V9" s="587"/>
      <c r="W9" s="587"/>
      <c r="X9" s="587"/>
      <c r="Y9" s="587"/>
      <c r="Z9" s="615"/>
      <c r="AA9" s="583"/>
      <c r="AB9" s="583"/>
    </row>
    <row r="10" ht="32.25" customHeight="1">
      <c r="A10" t="s" s="611">
        <v>388</v>
      </c>
      <c r="B10" t="s" s="616">
        <v>394</v>
      </c>
      <c r="C10" s="612">
        <v>2</v>
      </c>
      <c r="D10" t="s" s="396">
        <v>359</v>
      </c>
      <c r="E10" t="s" s="597">
        <v>271</v>
      </c>
      <c r="F10" t="s" s="613">
        <v>395</v>
      </c>
      <c r="G10" s="598"/>
      <c r="H10" s="598"/>
      <c r="I10" t="s" s="593">
        <v>397</v>
      </c>
      <c r="J10" s="586"/>
      <c r="K10" s="587"/>
      <c r="L10" s="587"/>
      <c r="M10" s="587"/>
      <c r="N10" s="587"/>
      <c r="O10" s="587"/>
      <c r="P10" s="587"/>
      <c r="Q10" s="587"/>
      <c r="R10" s="587"/>
      <c r="S10" s="587"/>
      <c r="T10" s="587"/>
      <c r="U10" s="587"/>
      <c r="V10" s="587"/>
      <c r="W10" s="587"/>
      <c r="X10" s="587"/>
      <c r="Y10" s="587"/>
      <c r="Z10" s="587"/>
      <c r="AA10" s="587"/>
      <c r="AB10" s="588"/>
    </row>
    <row r="11" ht="32.25" customHeight="1">
      <c r="A11" s="570"/>
      <c r="B11" s="617"/>
      <c r="C11" s="594"/>
      <c r="D11" s="603"/>
      <c r="E11" s="618"/>
      <c r="F11" s="619"/>
      <c r="G11" s="598"/>
      <c r="H11" s="598"/>
      <c r="I11" s="620"/>
      <c r="J11" s="586"/>
      <c r="K11" s="587"/>
      <c r="L11" s="587"/>
      <c r="M11" s="587"/>
      <c r="N11" s="587"/>
      <c r="O11" s="587"/>
      <c r="P11" s="587"/>
      <c r="Q11" s="587"/>
      <c r="R11" s="587"/>
      <c r="S11" s="587"/>
      <c r="T11" s="587"/>
      <c r="U11" s="587"/>
      <c r="V11" s="587"/>
      <c r="W11" s="587"/>
      <c r="X11" s="587"/>
      <c r="Y11" s="587"/>
      <c r="Z11" s="587"/>
      <c r="AA11" s="587"/>
      <c r="AB11" s="588"/>
    </row>
    <row r="12" ht="32.25" customHeight="1">
      <c r="A12" s="570"/>
      <c r="B12" s="621"/>
      <c r="C12" s="622"/>
      <c r="D12" s="603"/>
      <c r="E12" s="618"/>
      <c r="F12" s="619"/>
      <c r="G12" s="594"/>
      <c r="H12" s="598"/>
      <c r="I12" s="620"/>
      <c r="J12" s="586"/>
      <c r="K12" s="587"/>
      <c r="L12" s="587"/>
      <c r="M12" s="587"/>
      <c r="N12" s="587"/>
      <c r="O12" s="587"/>
      <c r="P12" s="587"/>
      <c r="Q12" s="587"/>
      <c r="R12" s="587"/>
      <c r="S12" s="587"/>
      <c r="T12" s="587"/>
      <c r="U12" s="587"/>
      <c r="V12" s="587"/>
      <c r="W12" s="587"/>
      <c r="X12" s="587"/>
      <c r="Y12" s="587"/>
      <c r="Z12" s="587"/>
      <c r="AA12" s="587"/>
      <c r="AB12" s="588"/>
    </row>
    <row r="13" ht="32.25" customHeight="1">
      <c r="A13" s="570"/>
      <c r="B13" s="623"/>
      <c r="C13" t="s" s="606">
        <v>383</v>
      </c>
      <c r="D13" t="s" s="606">
        <v>384</v>
      </c>
      <c r="E13" t="s" s="606">
        <v>385</v>
      </c>
      <c r="F13" t="s" s="606">
        <v>398</v>
      </c>
      <c r="G13" s="607"/>
      <c r="H13" s="607"/>
      <c r="I13" s="607"/>
      <c r="J13" s="624"/>
      <c r="K13" s="610"/>
      <c r="L13" s="610"/>
      <c r="M13" s="610"/>
      <c r="N13" s="610"/>
      <c r="O13" s="610"/>
      <c r="P13" s="610"/>
      <c r="Q13" s="610"/>
      <c r="R13" s="610"/>
      <c r="S13" s="610"/>
      <c r="T13" s="610"/>
      <c r="U13" s="610"/>
      <c r="V13" s="610"/>
      <c r="W13" s="610"/>
      <c r="X13" s="610"/>
      <c r="Y13" s="610"/>
      <c r="Z13" s="610"/>
      <c r="AA13" s="610"/>
      <c r="AB13" s="610"/>
    </row>
    <row r="14" ht="21" customHeight="1">
      <c r="A14" t="s" s="611">
        <v>388</v>
      </c>
      <c r="B14" t="s" s="590">
        <v>399</v>
      </c>
      <c r="C14" s="612">
        <v>1</v>
      </c>
      <c r="D14" t="s" s="592">
        <v>346</v>
      </c>
      <c r="E14" t="s" s="592">
        <v>390</v>
      </c>
      <c r="F14" t="s" s="625">
        <v>400</v>
      </c>
      <c r="G14" s="626"/>
      <c r="H14" s="594"/>
      <c r="I14" s="620"/>
      <c r="J14" s="627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Y14" s="580"/>
      <c r="Z14" s="580"/>
      <c r="AA14" s="580"/>
      <c r="AB14" s="580"/>
    </row>
    <row r="15" ht="21" customHeight="1">
      <c r="A15" t="s" s="611">
        <v>388</v>
      </c>
      <c r="B15" t="s" s="590">
        <v>399</v>
      </c>
      <c r="C15" s="612">
        <v>1</v>
      </c>
      <c r="D15" t="s" s="396">
        <v>352</v>
      </c>
      <c r="E15" t="s" s="597">
        <v>271</v>
      </c>
      <c r="F15" t="s" s="625">
        <v>400</v>
      </c>
      <c r="G15" s="626"/>
      <c r="H15" s="594"/>
      <c r="I15" s="620"/>
      <c r="J15" s="627"/>
      <c r="K15" s="580"/>
      <c r="L15" s="580"/>
      <c r="M15" s="580"/>
      <c r="N15" s="580"/>
      <c r="O15" s="580"/>
      <c r="P15" s="580"/>
      <c r="Q15" s="580"/>
      <c r="R15" s="580"/>
      <c r="S15" s="580"/>
      <c r="T15" s="580"/>
      <c r="U15" s="580"/>
      <c r="V15" s="580"/>
      <c r="W15" s="580"/>
      <c r="X15" s="580"/>
      <c r="Y15" s="580"/>
      <c r="Z15" s="580"/>
      <c r="AA15" s="580"/>
      <c r="AB15" s="580"/>
    </row>
    <row r="16" ht="21" customHeight="1">
      <c r="A16" t="s" s="611">
        <v>388</v>
      </c>
      <c r="B16" t="s" s="590">
        <v>399</v>
      </c>
      <c r="C16" s="612">
        <v>3</v>
      </c>
      <c r="D16" t="s" s="592">
        <v>256</v>
      </c>
      <c r="E16" t="s" s="592">
        <v>258</v>
      </c>
      <c r="F16" t="s" s="625">
        <v>400</v>
      </c>
      <c r="G16" s="626"/>
      <c r="H16" s="594"/>
      <c r="I16" s="620"/>
      <c r="J16" s="627"/>
      <c r="K16" s="580"/>
      <c r="L16" s="580"/>
      <c r="M16" s="580"/>
      <c r="N16" s="580"/>
      <c r="O16" s="580"/>
      <c r="P16" s="580"/>
      <c r="Q16" s="580"/>
      <c r="R16" s="580"/>
      <c r="S16" s="580"/>
      <c r="T16" s="580"/>
      <c r="U16" s="580"/>
      <c r="V16" s="580"/>
      <c r="W16" s="580"/>
      <c r="X16" s="580"/>
      <c r="Y16" s="580"/>
      <c r="Z16" s="580"/>
      <c r="AA16" s="580"/>
      <c r="AB16" s="580"/>
    </row>
    <row r="17" ht="21" customHeight="1">
      <c r="A17" t="s" s="611">
        <v>388</v>
      </c>
      <c r="B17" t="s" s="616">
        <v>399</v>
      </c>
      <c r="C17" s="612">
        <v>4</v>
      </c>
      <c r="D17" t="s" s="396">
        <v>359</v>
      </c>
      <c r="E17" t="s" s="597">
        <v>271</v>
      </c>
      <c r="F17" t="s" s="625">
        <v>400</v>
      </c>
      <c r="G17" s="626"/>
      <c r="H17" s="594"/>
      <c r="I17" s="620"/>
      <c r="J17" s="627"/>
      <c r="K17" s="580"/>
      <c r="L17" s="580"/>
      <c r="M17" s="580"/>
      <c r="N17" s="580"/>
      <c r="O17" s="580"/>
      <c r="P17" s="580"/>
      <c r="Q17" s="580"/>
      <c r="R17" s="580"/>
      <c r="S17" s="580"/>
      <c r="T17" s="580"/>
      <c r="U17" s="580"/>
      <c r="V17" s="580"/>
      <c r="W17" s="580"/>
      <c r="X17" s="580"/>
      <c r="Y17" s="580"/>
      <c r="Z17" s="580"/>
      <c r="AA17" s="580"/>
      <c r="AB17" s="580"/>
    </row>
    <row r="18" ht="21" customHeight="1">
      <c r="A18" s="570"/>
      <c r="B18" s="617"/>
      <c r="C18" s="622"/>
      <c r="D18" s="603"/>
      <c r="E18" s="618"/>
      <c r="F18" s="619"/>
      <c r="G18" s="626"/>
      <c r="H18" s="594"/>
      <c r="I18" s="620"/>
      <c r="J18" s="627"/>
      <c r="K18" s="580"/>
      <c r="L18" s="580"/>
      <c r="M18" s="580"/>
      <c r="N18" s="580"/>
      <c r="O18" s="580"/>
      <c r="P18" s="580"/>
      <c r="Q18" s="580"/>
      <c r="R18" s="580"/>
      <c r="S18" s="580"/>
      <c r="T18" s="580"/>
      <c r="U18" s="580"/>
      <c r="V18" s="580"/>
      <c r="W18" s="580"/>
      <c r="X18" s="580"/>
      <c r="Y18" s="580"/>
      <c r="Z18" s="580"/>
      <c r="AA18" s="580"/>
      <c r="AB18" s="580"/>
    </row>
    <row r="19" ht="27" customHeight="1">
      <c r="A19" s="570"/>
      <c r="B19" s="623"/>
      <c r="C19" t="s" s="606">
        <v>383</v>
      </c>
      <c r="D19" t="s" s="606">
        <v>384</v>
      </c>
      <c r="E19" t="s" s="606">
        <v>385</v>
      </c>
      <c r="F19" t="s" s="606">
        <v>401</v>
      </c>
      <c r="G19" s="607"/>
      <c r="H19" s="607"/>
      <c r="I19" s="620"/>
      <c r="J19" s="627"/>
      <c r="K19" s="580"/>
      <c r="L19" s="580"/>
      <c r="M19" s="580"/>
      <c r="N19" s="580"/>
      <c r="O19" s="580"/>
      <c r="P19" s="580"/>
      <c r="Q19" s="580"/>
      <c r="R19" s="580"/>
      <c r="S19" s="580"/>
      <c r="T19" s="580"/>
      <c r="U19" s="580"/>
      <c r="V19" s="580"/>
      <c r="W19" s="580"/>
      <c r="X19" s="580"/>
      <c r="Y19" s="580"/>
      <c r="Z19" s="580"/>
      <c r="AA19" s="580"/>
      <c r="AB19" s="580"/>
    </row>
    <row r="20" ht="32.25" customHeight="1">
      <c r="A20" t="s" s="611">
        <v>388</v>
      </c>
      <c r="B20" t="s" s="590">
        <v>402</v>
      </c>
      <c r="C20" s="628">
        <v>1</v>
      </c>
      <c r="D20" t="s" s="592">
        <v>115</v>
      </c>
      <c r="E20" t="s" s="592">
        <v>403</v>
      </c>
      <c r="F20" t="s" s="592">
        <v>404</v>
      </c>
      <c r="G20" s="295"/>
      <c r="H20" s="619"/>
      <c r="I20" s="620"/>
      <c r="J20" s="627"/>
      <c r="K20" s="580"/>
      <c r="L20" s="580"/>
      <c r="M20" s="580"/>
      <c r="N20" s="580"/>
      <c r="O20" s="580"/>
      <c r="P20" s="580"/>
      <c r="Q20" s="580"/>
      <c r="R20" s="580"/>
      <c r="S20" s="580"/>
      <c r="T20" s="580"/>
      <c r="U20" s="580"/>
      <c r="V20" s="580"/>
      <c r="W20" s="580"/>
      <c r="X20" s="580"/>
      <c r="Y20" s="580"/>
      <c r="Z20" s="580"/>
      <c r="AA20" s="580"/>
      <c r="AB20" s="580"/>
    </row>
    <row r="21" ht="18.75" customHeight="1">
      <c r="A21" t="s" s="611">
        <v>388</v>
      </c>
      <c r="B21" t="s" s="590">
        <v>402</v>
      </c>
      <c r="C21" s="628">
        <v>2</v>
      </c>
      <c r="D21" t="s" s="592">
        <v>139</v>
      </c>
      <c r="E21" t="s" s="592">
        <v>236</v>
      </c>
      <c r="F21" t="s" s="592">
        <v>404</v>
      </c>
      <c r="G21" s="295"/>
      <c r="H21" s="619"/>
      <c r="I21" s="620"/>
      <c r="J21" s="627"/>
      <c r="K21" s="580"/>
      <c r="L21" s="580"/>
      <c r="M21" s="580"/>
      <c r="N21" s="580"/>
      <c r="O21" s="580"/>
      <c r="P21" s="580"/>
      <c r="Q21" s="580"/>
      <c r="R21" s="580"/>
      <c r="S21" s="580"/>
      <c r="T21" s="580"/>
      <c r="U21" s="580"/>
      <c r="V21" s="580"/>
      <c r="W21" s="580"/>
      <c r="X21" s="580"/>
      <c r="Y21" s="580"/>
      <c r="Z21" s="580"/>
      <c r="AA21" s="580"/>
      <c r="AB21" s="580"/>
    </row>
    <row r="22" ht="18.75" customHeight="1">
      <c r="A22" t="s" s="611">
        <v>388</v>
      </c>
      <c r="B22" t="s" s="590">
        <v>402</v>
      </c>
      <c r="C22" s="628">
        <v>3</v>
      </c>
      <c r="D22" t="s" s="592">
        <v>230</v>
      </c>
      <c r="E22" t="s" s="592">
        <v>92</v>
      </c>
      <c r="F22" t="s" s="592">
        <v>404</v>
      </c>
      <c r="G22" s="295"/>
      <c r="H22" s="629"/>
      <c r="I22" s="620"/>
      <c r="J22" s="627"/>
      <c r="K22" s="580"/>
      <c r="L22" s="580"/>
      <c r="M22" s="580"/>
      <c r="N22" s="580"/>
      <c r="O22" s="580"/>
      <c r="P22" s="580"/>
      <c r="Q22" s="580"/>
      <c r="R22" s="580"/>
      <c r="S22" s="580"/>
      <c r="T22" s="580"/>
      <c r="U22" s="580"/>
      <c r="V22" s="580"/>
      <c r="W22" s="580"/>
      <c r="X22" s="580"/>
      <c r="Y22" s="580"/>
      <c r="Z22" s="580"/>
      <c r="AA22" s="580"/>
      <c r="AB22" s="580"/>
    </row>
    <row r="23" ht="18.75" customHeight="1">
      <c r="A23" t="s" s="611">
        <v>388</v>
      </c>
      <c r="B23" t="s" s="590">
        <v>402</v>
      </c>
      <c r="C23" s="628">
        <v>4</v>
      </c>
      <c r="D23" t="s" s="592">
        <v>157</v>
      </c>
      <c r="E23" t="s" s="592">
        <v>92</v>
      </c>
      <c r="F23" t="s" s="592">
        <v>404</v>
      </c>
      <c r="G23" s="295"/>
      <c r="H23" s="629"/>
      <c r="I23" s="620"/>
      <c r="J23" s="627"/>
      <c r="K23" s="580"/>
      <c r="L23" s="580"/>
      <c r="M23" s="580"/>
      <c r="N23" s="580"/>
      <c r="O23" s="580"/>
      <c r="P23" s="580"/>
      <c r="Q23" s="580"/>
      <c r="R23" s="580"/>
      <c r="S23" s="580"/>
      <c r="T23" s="580"/>
      <c r="U23" s="580"/>
      <c r="V23" s="580"/>
      <c r="W23" s="580"/>
      <c r="X23" s="580"/>
      <c r="Y23" s="580"/>
      <c r="Z23" s="580"/>
      <c r="AA23" s="580"/>
      <c r="AB23" s="580"/>
    </row>
    <row r="24" ht="18.75" customHeight="1">
      <c r="A24" t="s" s="611">
        <v>388</v>
      </c>
      <c r="B24" t="s" s="590">
        <v>402</v>
      </c>
      <c r="C24" s="628">
        <v>5</v>
      </c>
      <c r="D24" t="s" s="592">
        <v>270</v>
      </c>
      <c r="E24" t="s" s="592">
        <v>271</v>
      </c>
      <c r="F24" t="s" s="592">
        <v>404</v>
      </c>
      <c r="G24" s="295"/>
      <c r="H24" s="629"/>
      <c r="I24" s="620"/>
      <c r="J24" s="627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80"/>
      <c r="Z24" s="580"/>
      <c r="AA24" s="580"/>
      <c r="AB24" s="580"/>
    </row>
    <row r="25" ht="18.75" customHeight="1">
      <c r="A25" t="s" s="611">
        <v>388</v>
      </c>
      <c r="B25" t="s" s="590">
        <v>402</v>
      </c>
      <c r="C25" s="628">
        <v>6</v>
      </c>
      <c r="D25" t="s" s="592">
        <v>311</v>
      </c>
      <c r="E25" t="s" s="592">
        <v>92</v>
      </c>
      <c r="F25" t="s" s="592">
        <v>404</v>
      </c>
      <c r="G25" s="295"/>
      <c r="H25" s="629"/>
      <c r="I25" s="620"/>
      <c r="J25" s="627"/>
      <c r="K25" s="580"/>
      <c r="L25" s="580"/>
      <c r="M25" s="580"/>
      <c r="N25" s="580"/>
      <c r="O25" s="580"/>
      <c r="P25" s="580"/>
      <c r="Q25" s="580"/>
      <c r="R25" s="580"/>
      <c r="S25" s="580"/>
      <c r="T25" s="580"/>
      <c r="U25" s="580"/>
      <c r="V25" s="580"/>
      <c r="W25" s="580"/>
      <c r="X25" s="580"/>
      <c r="Y25" s="580"/>
      <c r="Z25" s="580"/>
      <c r="AA25" s="580"/>
      <c r="AB25" s="580"/>
    </row>
    <row r="26" ht="18.75" customHeight="1">
      <c r="A26" t="s" s="611">
        <v>388</v>
      </c>
      <c r="B26" t="s" s="590">
        <v>402</v>
      </c>
      <c r="C26" s="628">
        <v>7</v>
      </c>
      <c r="D26" t="s" s="592">
        <v>328</v>
      </c>
      <c r="E26" t="s" s="592">
        <v>405</v>
      </c>
      <c r="F26" t="s" s="592">
        <v>404</v>
      </c>
      <c r="G26" s="295"/>
      <c r="H26" s="629"/>
      <c r="I26" s="620"/>
      <c r="J26" s="627"/>
      <c r="K26" s="580"/>
      <c r="L26" s="580"/>
      <c r="M26" s="580"/>
      <c r="N26" s="580"/>
      <c r="O26" s="580"/>
      <c r="P26" s="580"/>
      <c r="Q26" s="580"/>
      <c r="R26" s="580"/>
      <c r="S26" s="580"/>
      <c r="T26" s="580"/>
      <c r="U26" s="580"/>
      <c r="V26" s="580"/>
      <c r="W26" s="580"/>
      <c r="X26" s="580"/>
      <c r="Y26" s="580"/>
      <c r="Z26" s="580"/>
      <c r="AA26" s="580"/>
      <c r="AB26" s="580"/>
    </row>
    <row r="27" ht="18.6" customHeight="1">
      <c r="A27" t="s" s="611">
        <v>388</v>
      </c>
      <c r="B27" t="s" s="616">
        <v>402</v>
      </c>
      <c r="C27" s="628">
        <v>8</v>
      </c>
      <c r="D27" t="s" s="630">
        <v>303</v>
      </c>
      <c r="E27" t="s" s="592">
        <v>92</v>
      </c>
      <c r="F27" t="s" s="592">
        <v>404</v>
      </c>
      <c r="G27" s="626"/>
      <c r="H27" s="629"/>
      <c r="I27" s="620"/>
      <c r="J27" s="627"/>
      <c r="K27" s="580"/>
      <c r="L27" s="580"/>
      <c r="M27" s="580"/>
      <c r="N27" s="580"/>
      <c r="O27" s="580"/>
      <c r="P27" s="580"/>
      <c r="Q27" s="580"/>
      <c r="R27" s="580"/>
      <c r="S27" s="580"/>
      <c r="T27" s="580"/>
      <c r="U27" s="580"/>
      <c r="V27" s="580"/>
      <c r="W27" s="580"/>
      <c r="X27" s="580"/>
      <c r="Y27" s="580"/>
      <c r="Z27" s="580"/>
      <c r="AA27" s="580"/>
      <c r="AB27" s="580"/>
    </row>
    <row r="28" ht="27" customHeight="1">
      <c r="A28" s="570"/>
      <c r="B28" s="605"/>
      <c r="C28" t="s" s="606">
        <v>383</v>
      </c>
      <c r="D28" t="s" s="606">
        <v>384</v>
      </c>
      <c r="E28" t="s" s="606">
        <v>385</v>
      </c>
      <c r="F28" t="s" s="606">
        <v>406</v>
      </c>
      <c r="G28" s="607"/>
      <c r="H28" s="631"/>
      <c r="I28" s="632"/>
      <c r="J28" s="580"/>
      <c r="K28" s="580"/>
      <c r="L28" s="580"/>
      <c r="M28" s="580"/>
      <c r="N28" s="580"/>
      <c r="O28" s="580"/>
      <c r="P28" s="580"/>
      <c r="Q28" s="580"/>
      <c r="R28" s="580"/>
      <c r="S28" s="580"/>
      <c r="T28" s="580"/>
      <c r="U28" s="580"/>
      <c r="V28" s="580"/>
      <c r="W28" s="580"/>
      <c r="X28" s="580"/>
      <c r="Y28" s="580"/>
      <c r="Z28" s="580"/>
      <c r="AA28" s="580"/>
      <c r="AB28" s="580"/>
    </row>
    <row r="29" ht="22.2" customHeight="1">
      <c r="A29" t="s" s="611">
        <v>388</v>
      </c>
      <c r="B29" t="s" s="590">
        <v>407</v>
      </c>
      <c r="C29" s="628">
        <v>1</v>
      </c>
      <c r="D29" t="s" s="592">
        <v>115</v>
      </c>
      <c r="E29" t="s" s="592">
        <v>403</v>
      </c>
      <c r="F29" t="s" s="625">
        <v>408</v>
      </c>
      <c r="G29" s="620"/>
      <c r="H29" s="627"/>
      <c r="I29" s="580"/>
      <c r="J29" s="580"/>
      <c r="K29" s="580"/>
      <c r="L29" s="580"/>
      <c r="M29" s="580"/>
      <c r="N29" s="580"/>
      <c r="O29" s="580"/>
      <c r="P29" s="580"/>
      <c r="Q29" s="580"/>
      <c r="R29" s="580"/>
      <c r="S29" s="580"/>
      <c r="T29" s="580"/>
      <c r="U29" s="580"/>
      <c r="V29" s="580"/>
      <c r="W29" s="580"/>
      <c r="X29" s="580"/>
      <c r="Y29" s="580"/>
      <c r="Z29" s="580"/>
      <c r="AA29" s="580"/>
      <c r="AB29" s="580"/>
    </row>
    <row r="30" ht="18.75" customHeight="1">
      <c r="A30" t="s" s="611">
        <v>388</v>
      </c>
      <c r="B30" t="s" s="590">
        <v>407</v>
      </c>
      <c r="C30" s="628">
        <v>2</v>
      </c>
      <c r="D30" t="s" s="592">
        <v>139</v>
      </c>
      <c r="E30" t="s" s="592">
        <v>236</v>
      </c>
      <c r="F30" t="s" s="625">
        <v>409</v>
      </c>
      <c r="G30" s="620"/>
      <c r="H30" s="627"/>
      <c r="I30" s="580"/>
      <c r="J30" s="580"/>
      <c r="K30" s="580"/>
      <c r="L30" s="580"/>
      <c r="M30" s="580"/>
      <c r="N30" s="580"/>
      <c r="O30" s="580"/>
      <c r="P30" s="580"/>
      <c r="Q30" s="580"/>
      <c r="R30" s="580"/>
      <c r="S30" s="580"/>
      <c r="T30" s="580"/>
      <c r="U30" s="580"/>
      <c r="V30" s="580"/>
      <c r="W30" s="580"/>
      <c r="X30" s="580"/>
      <c r="Y30" s="580"/>
      <c r="Z30" s="580"/>
      <c r="AA30" s="580"/>
      <c r="AB30" s="580"/>
    </row>
    <row r="31" ht="18.75" customHeight="1">
      <c r="A31" t="s" s="611">
        <v>388</v>
      </c>
      <c r="B31" t="s" s="590">
        <v>407</v>
      </c>
      <c r="C31" s="628">
        <v>3</v>
      </c>
      <c r="D31" t="s" s="592">
        <v>230</v>
      </c>
      <c r="E31" t="s" s="592">
        <v>92</v>
      </c>
      <c r="F31" t="s" s="625">
        <v>410</v>
      </c>
      <c r="G31" s="620"/>
      <c r="H31" s="627"/>
      <c r="I31" s="580"/>
      <c r="J31" s="580"/>
      <c r="K31" s="580"/>
      <c r="L31" s="580"/>
      <c r="M31" s="580"/>
      <c r="N31" s="580"/>
      <c r="O31" s="580"/>
      <c r="P31" s="580"/>
      <c r="Q31" s="580"/>
      <c r="R31" s="580"/>
      <c r="S31" s="580"/>
      <c r="T31" s="580"/>
      <c r="U31" s="580"/>
      <c r="V31" s="580"/>
      <c r="W31" s="580"/>
      <c r="X31" s="580"/>
      <c r="Y31" s="580"/>
      <c r="Z31" s="580"/>
      <c r="AA31" s="580"/>
      <c r="AB31" s="580"/>
    </row>
    <row r="32" ht="18.75" customHeight="1">
      <c r="A32" t="s" s="611">
        <v>388</v>
      </c>
      <c r="B32" t="s" s="590">
        <v>407</v>
      </c>
      <c r="C32" s="628">
        <v>4</v>
      </c>
      <c r="D32" t="s" s="592">
        <v>157</v>
      </c>
      <c r="E32" t="s" s="592">
        <v>92</v>
      </c>
      <c r="F32" t="s" s="625">
        <v>410</v>
      </c>
      <c r="G32" s="620"/>
      <c r="H32" s="627"/>
      <c r="I32" s="580"/>
      <c r="J32" s="580"/>
      <c r="K32" s="580"/>
      <c r="L32" s="580"/>
      <c r="M32" s="580"/>
      <c r="N32" s="580"/>
      <c r="O32" s="580"/>
      <c r="P32" s="580"/>
      <c r="Q32" s="580"/>
      <c r="R32" s="580"/>
      <c r="S32" s="580"/>
      <c r="T32" s="580"/>
      <c r="U32" s="580"/>
      <c r="V32" s="580"/>
      <c r="W32" s="580"/>
      <c r="X32" s="580"/>
      <c r="Y32" s="580"/>
      <c r="Z32" s="580"/>
      <c r="AA32" s="580"/>
      <c r="AB32" s="580"/>
    </row>
    <row r="33" ht="18.75" customHeight="1">
      <c r="A33" t="s" s="611">
        <v>388</v>
      </c>
      <c r="B33" t="s" s="590">
        <v>407</v>
      </c>
      <c r="C33" s="628">
        <v>5</v>
      </c>
      <c r="D33" t="s" s="592">
        <v>270</v>
      </c>
      <c r="E33" t="s" s="592">
        <v>271</v>
      </c>
      <c r="F33" t="s" s="625">
        <v>410</v>
      </c>
      <c r="G33" s="620"/>
      <c r="H33" s="627"/>
      <c r="I33" s="580"/>
      <c r="J33" s="580"/>
      <c r="K33" s="580"/>
      <c r="L33" s="580"/>
      <c r="M33" s="580"/>
      <c r="N33" s="580"/>
      <c r="O33" s="580"/>
      <c r="P33" s="580"/>
      <c r="Q33" s="580"/>
      <c r="R33" s="580"/>
      <c r="S33" s="580"/>
      <c r="T33" s="580"/>
      <c r="U33" s="580"/>
      <c r="V33" s="580"/>
      <c r="W33" s="580"/>
      <c r="X33" s="580"/>
      <c r="Y33" s="580"/>
      <c r="Z33" s="580"/>
      <c r="AA33" s="580"/>
      <c r="AB33" s="580"/>
    </row>
    <row r="34" ht="18.75" customHeight="1">
      <c r="A34" t="s" s="611">
        <v>388</v>
      </c>
      <c r="B34" t="s" s="590">
        <v>407</v>
      </c>
      <c r="C34" s="628">
        <v>6</v>
      </c>
      <c r="D34" t="s" s="592">
        <v>311</v>
      </c>
      <c r="E34" t="s" s="592">
        <v>92</v>
      </c>
      <c r="F34" t="s" s="625">
        <v>410</v>
      </c>
      <c r="G34" s="620"/>
      <c r="H34" s="62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80"/>
      <c r="Z34" s="580"/>
      <c r="AA34" s="580"/>
      <c r="AB34" s="580"/>
    </row>
    <row r="35" ht="18.75" customHeight="1">
      <c r="A35" t="s" s="611">
        <v>388</v>
      </c>
      <c r="B35" t="s" s="590">
        <v>407</v>
      </c>
      <c r="C35" s="628">
        <v>7</v>
      </c>
      <c r="D35" t="s" s="592">
        <v>328</v>
      </c>
      <c r="E35" t="s" s="592">
        <v>405</v>
      </c>
      <c r="F35" t="s" s="625">
        <v>410</v>
      </c>
      <c r="G35" s="620"/>
      <c r="H35" s="627"/>
      <c r="I35" s="580"/>
      <c r="J35" s="580"/>
      <c r="K35" s="580"/>
      <c r="L35" s="580"/>
      <c r="M35" s="580"/>
      <c r="N35" s="580"/>
      <c r="O35" s="580"/>
      <c r="P35" s="580"/>
      <c r="Q35" s="580"/>
      <c r="R35" s="580"/>
      <c r="S35" s="580"/>
      <c r="T35" s="580"/>
      <c r="U35" s="580"/>
      <c r="V35" s="580"/>
      <c r="W35" s="580"/>
      <c r="X35" s="580"/>
      <c r="Y35" s="580"/>
      <c r="Z35" s="580"/>
      <c r="AA35" s="580"/>
      <c r="AB35" s="580"/>
    </row>
    <row r="36" ht="18.75" customHeight="1">
      <c r="A36" t="s" s="611">
        <v>388</v>
      </c>
      <c r="B36" t="s" s="616">
        <v>407</v>
      </c>
      <c r="C36" s="628">
        <v>8</v>
      </c>
      <c r="D36" t="s" s="630">
        <v>303</v>
      </c>
      <c r="E36" t="s" s="592">
        <v>92</v>
      </c>
      <c r="F36" t="s" s="625">
        <v>410</v>
      </c>
      <c r="G36" s="620"/>
      <c r="H36" s="627"/>
      <c r="I36" s="580"/>
      <c r="J36" s="580"/>
      <c r="K36" s="580"/>
      <c r="L36" s="580"/>
      <c r="M36" s="580"/>
      <c r="N36" s="580"/>
      <c r="O36" s="580"/>
      <c r="P36" s="580"/>
      <c r="Q36" s="580"/>
      <c r="R36" s="580"/>
      <c r="S36" s="580"/>
      <c r="T36" s="580"/>
      <c r="U36" s="580"/>
      <c r="V36" s="580"/>
      <c r="W36" s="580"/>
      <c r="X36" s="580"/>
      <c r="Y36" s="580"/>
      <c r="Z36" s="580"/>
      <c r="AA36" s="580"/>
      <c r="AB36" s="580"/>
    </row>
    <row r="37" ht="18.75" customHeight="1">
      <c r="A37" s="570"/>
      <c r="B37" s="633"/>
      <c r="C37" s="632"/>
      <c r="D37" s="632"/>
      <c r="E37" s="632"/>
      <c r="F37" s="632"/>
      <c r="G37" s="632"/>
      <c r="H37" s="580"/>
      <c r="I37" s="580"/>
      <c r="J37" s="580"/>
      <c r="K37" s="580"/>
      <c r="L37" s="580"/>
      <c r="M37" s="580"/>
      <c r="N37" s="580"/>
      <c r="O37" s="580"/>
      <c r="P37" s="580"/>
      <c r="Q37" s="580"/>
      <c r="R37" s="580"/>
      <c r="S37" s="580"/>
      <c r="T37" s="580"/>
      <c r="U37" s="580"/>
      <c r="V37" s="580"/>
      <c r="W37" s="580"/>
      <c r="X37" s="580"/>
      <c r="Y37" s="580"/>
      <c r="Z37" s="580"/>
      <c r="AA37" s="580"/>
      <c r="AB37" s="580"/>
    </row>
    <row r="38" ht="18.75" customHeight="1">
      <c r="A38" s="570"/>
      <c r="B38" s="570"/>
      <c r="C38" s="580"/>
      <c r="D38" s="580"/>
      <c r="E38" s="580"/>
      <c r="F38" s="580"/>
      <c r="G38" s="580"/>
      <c r="H38" s="580"/>
      <c r="I38" s="580"/>
      <c r="J38" s="580"/>
      <c r="K38" s="580"/>
      <c r="L38" s="580"/>
      <c r="M38" s="580"/>
      <c r="N38" s="580"/>
      <c r="O38" s="580"/>
      <c r="P38" s="580"/>
      <c r="Q38" s="580"/>
      <c r="R38" s="580"/>
      <c r="S38" s="580"/>
      <c r="T38" s="580"/>
      <c r="U38" s="580"/>
      <c r="V38" s="580"/>
      <c r="W38" s="580"/>
      <c r="X38" s="580"/>
      <c r="Y38" s="580"/>
      <c r="Z38" s="580"/>
      <c r="AA38" s="580"/>
      <c r="AB38" s="580"/>
    </row>
    <row r="39" ht="18.75" customHeight="1">
      <c r="A39" s="570"/>
      <c r="B39" s="570"/>
      <c r="C39" s="580"/>
      <c r="D39" s="580"/>
      <c r="E39" s="580"/>
      <c r="F39" s="580"/>
      <c r="G39" s="580"/>
      <c r="H39" s="580"/>
      <c r="I39" s="580"/>
      <c r="J39" s="580"/>
      <c r="K39" s="580"/>
      <c r="L39" s="580"/>
      <c r="M39" s="580"/>
      <c r="N39" s="580"/>
      <c r="O39" s="580"/>
      <c r="P39" s="580"/>
      <c r="Q39" s="580"/>
      <c r="R39" s="580"/>
      <c r="S39" s="580"/>
      <c r="T39" s="580"/>
      <c r="U39" s="580"/>
      <c r="V39" s="580"/>
      <c r="W39" s="580"/>
      <c r="X39" s="580"/>
      <c r="Y39" s="580"/>
      <c r="Z39" s="580"/>
      <c r="AA39" s="580"/>
      <c r="AB39" s="580"/>
    </row>
    <row r="40" ht="18.75" customHeight="1">
      <c r="A40" s="570"/>
      <c r="B40" s="570"/>
      <c r="C40" s="580"/>
      <c r="D40" s="580"/>
      <c r="E40" s="580"/>
      <c r="F40" s="580"/>
      <c r="G40" s="580"/>
      <c r="H40" s="580"/>
      <c r="I40" s="580"/>
      <c r="J40" s="580"/>
      <c r="K40" s="580"/>
      <c r="L40" s="580"/>
      <c r="M40" s="580"/>
      <c r="N40" s="580"/>
      <c r="O40" s="580"/>
      <c r="P40" s="580"/>
      <c r="Q40" s="580"/>
      <c r="R40" s="580"/>
      <c r="S40" s="580"/>
      <c r="T40" s="580"/>
      <c r="U40" s="580"/>
      <c r="V40" s="580"/>
      <c r="W40" s="580"/>
      <c r="X40" s="580"/>
      <c r="Y40" s="580"/>
      <c r="Z40" s="580"/>
      <c r="AA40" s="580"/>
      <c r="AB40" s="580"/>
    </row>
    <row r="41" ht="18.75" customHeight="1">
      <c r="A41" s="570"/>
      <c r="B41" s="570"/>
      <c r="C41" s="580"/>
      <c r="D41" s="580"/>
      <c r="E41" s="580"/>
      <c r="F41" s="580"/>
      <c r="G41" s="580"/>
      <c r="H41" s="580"/>
      <c r="I41" s="580"/>
      <c r="J41" s="580"/>
      <c r="K41" s="580"/>
      <c r="L41" s="580"/>
      <c r="M41" s="580"/>
      <c r="N41" s="580"/>
      <c r="O41" s="580"/>
      <c r="P41" s="580"/>
      <c r="Q41" s="580"/>
      <c r="R41" s="580"/>
      <c r="S41" s="580"/>
      <c r="T41" s="580"/>
      <c r="U41" s="580"/>
      <c r="V41" s="580"/>
      <c r="W41" s="580"/>
      <c r="X41" s="580"/>
      <c r="Y41" s="580"/>
      <c r="Z41" s="580"/>
      <c r="AA41" s="580"/>
      <c r="AB41" s="580"/>
    </row>
    <row r="42" ht="18.75" customHeight="1">
      <c r="A42" s="570"/>
      <c r="B42" s="570"/>
      <c r="C42" s="580"/>
      <c r="D42" s="580"/>
      <c r="E42" s="580"/>
      <c r="F42" s="580"/>
      <c r="G42" s="580"/>
      <c r="H42" s="580"/>
      <c r="I42" s="580"/>
      <c r="J42" s="580"/>
      <c r="K42" s="580"/>
      <c r="L42" s="580"/>
      <c r="M42" s="580"/>
      <c r="N42" s="580"/>
      <c r="O42" s="580"/>
      <c r="P42" s="580"/>
      <c r="Q42" s="580"/>
      <c r="R42" s="580"/>
      <c r="S42" s="580"/>
      <c r="T42" s="580"/>
      <c r="U42" s="580"/>
      <c r="V42" s="580"/>
      <c r="W42" s="580"/>
      <c r="X42" s="580"/>
      <c r="Y42" s="580"/>
      <c r="Z42" s="580"/>
      <c r="AA42" s="580"/>
      <c r="AB42" s="580"/>
    </row>
    <row r="43" ht="18.75" customHeight="1">
      <c r="A43" s="570"/>
      <c r="B43" s="570"/>
      <c r="C43" s="580"/>
      <c r="D43" s="580"/>
      <c r="E43" s="580"/>
      <c r="F43" s="580"/>
      <c r="G43" s="580"/>
      <c r="H43" s="580"/>
      <c r="I43" s="580"/>
      <c r="J43" s="580"/>
      <c r="K43" s="580"/>
      <c r="L43" s="580"/>
      <c r="M43" s="580"/>
      <c r="N43" s="580"/>
      <c r="O43" s="580"/>
      <c r="P43" s="580"/>
      <c r="Q43" s="580"/>
      <c r="R43" s="580"/>
      <c r="S43" s="580"/>
      <c r="T43" s="580"/>
      <c r="U43" s="580"/>
      <c r="V43" s="580"/>
      <c r="W43" s="580"/>
      <c r="X43" s="580"/>
      <c r="Y43" s="580"/>
      <c r="Z43" s="580"/>
      <c r="AA43" s="580"/>
      <c r="AB43" s="580"/>
    </row>
    <row r="44" ht="18.75" customHeight="1">
      <c r="A44" s="570"/>
      <c r="B44" s="570"/>
      <c r="C44" s="580"/>
      <c r="D44" s="580"/>
      <c r="E44" s="580"/>
      <c r="F44" s="580"/>
      <c r="G44" s="580"/>
      <c r="H44" s="580"/>
      <c r="I44" s="580"/>
      <c r="J44" s="580"/>
      <c r="K44" s="580"/>
      <c r="L44" s="580"/>
      <c r="M44" s="580"/>
      <c r="N44" s="580"/>
      <c r="O44" s="580"/>
      <c r="P44" s="580"/>
      <c r="Q44" s="580"/>
      <c r="R44" s="580"/>
      <c r="S44" s="580"/>
      <c r="T44" s="580"/>
      <c r="U44" s="580"/>
      <c r="V44" s="580"/>
      <c r="W44" s="580"/>
      <c r="X44" s="580"/>
      <c r="Y44" s="580"/>
      <c r="Z44" s="580"/>
      <c r="AA44" s="580"/>
      <c r="AB44" s="580"/>
    </row>
    <row r="45" ht="18.75" customHeight="1">
      <c r="A45" s="570"/>
      <c r="B45" s="570"/>
      <c r="C45" s="580"/>
      <c r="D45" s="580"/>
      <c r="E45" s="580"/>
      <c r="F45" s="580"/>
      <c r="G45" s="580"/>
      <c r="H45" s="580"/>
      <c r="I45" s="580"/>
      <c r="J45" s="580"/>
      <c r="K45" s="580"/>
      <c r="L45" s="580"/>
      <c r="M45" s="580"/>
      <c r="N45" s="580"/>
      <c r="O45" s="580"/>
      <c r="P45" s="580"/>
      <c r="Q45" s="580"/>
      <c r="R45" s="580"/>
      <c r="S45" s="580"/>
      <c r="T45" s="580"/>
      <c r="U45" s="580"/>
      <c r="V45" s="580"/>
      <c r="W45" s="580"/>
      <c r="X45" s="580"/>
      <c r="Y45" s="580"/>
      <c r="Z45" s="580"/>
      <c r="AA45" s="580"/>
      <c r="AB45" s="580"/>
    </row>
    <row r="46" ht="18.75" customHeight="1">
      <c r="A46" s="570"/>
      <c r="B46" s="570"/>
      <c r="C46" s="580"/>
      <c r="D46" s="580"/>
      <c r="E46" s="580"/>
      <c r="F46" s="580"/>
      <c r="G46" s="580"/>
      <c r="H46" s="580"/>
      <c r="I46" s="580"/>
      <c r="J46" s="580"/>
      <c r="K46" s="580"/>
      <c r="L46" s="580"/>
      <c r="M46" s="580"/>
      <c r="N46" s="580"/>
      <c r="O46" s="580"/>
      <c r="P46" s="580"/>
      <c r="Q46" s="580"/>
      <c r="R46" s="580"/>
      <c r="S46" s="580"/>
      <c r="T46" s="580"/>
      <c r="U46" s="580"/>
      <c r="V46" s="580"/>
      <c r="W46" s="580"/>
      <c r="X46" s="580"/>
      <c r="Y46" s="580"/>
      <c r="Z46" s="580"/>
      <c r="AA46" s="580"/>
      <c r="AB46" s="580"/>
    </row>
    <row r="47" ht="18.75" customHeight="1">
      <c r="A47" s="570"/>
      <c r="B47" s="570"/>
      <c r="C47" s="580"/>
      <c r="D47" s="580"/>
      <c r="E47" s="580"/>
      <c r="F47" s="580"/>
      <c r="G47" s="580"/>
      <c r="H47" s="580"/>
      <c r="I47" s="580"/>
      <c r="J47" s="580"/>
      <c r="K47" s="580"/>
      <c r="L47" s="580"/>
      <c r="M47" s="580"/>
      <c r="N47" s="580"/>
      <c r="O47" s="580"/>
      <c r="P47" s="580"/>
      <c r="Q47" s="580"/>
      <c r="R47" s="580"/>
      <c r="S47" s="580"/>
      <c r="T47" s="580"/>
      <c r="U47" s="580"/>
      <c r="V47" s="580"/>
      <c r="W47" s="580"/>
      <c r="X47" s="580"/>
      <c r="Y47" s="580"/>
      <c r="Z47" s="580"/>
      <c r="AA47" s="580"/>
      <c r="AB47" s="580"/>
    </row>
    <row r="48" ht="18.75" customHeight="1">
      <c r="A48" s="570"/>
      <c r="B48" s="570"/>
      <c r="C48" s="580"/>
      <c r="D48" s="580"/>
      <c r="E48" s="580"/>
      <c r="F48" s="580"/>
      <c r="G48" s="580"/>
      <c r="H48" s="580"/>
      <c r="I48" s="580"/>
      <c r="J48" s="580"/>
      <c r="K48" s="580"/>
      <c r="L48" s="580"/>
      <c r="M48" s="580"/>
      <c r="N48" s="580"/>
      <c r="O48" s="580"/>
      <c r="P48" s="580"/>
      <c r="Q48" s="580"/>
      <c r="R48" s="580"/>
      <c r="S48" s="580"/>
      <c r="T48" s="580"/>
      <c r="U48" s="580"/>
      <c r="V48" s="580"/>
      <c r="W48" s="580"/>
      <c r="X48" s="580"/>
      <c r="Y48" s="580"/>
      <c r="Z48" s="580"/>
      <c r="AA48" s="580"/>
      <c r="AB48" s="580"/>
    </row>
    <row r="49" ht="18.75" customHeight="1">
      <c r="A49" s="570"/>
      <c r="B49" s="570"/>
      <c r="C49" s="580"/>
      <c r="D49" s="580"/>
      <c r="E49" s="580"/>
      <c r="F49" s="580"/>
      <c r="G49" s="580"/>
      <c r="H49" s="580"/>
      <c r="I49" s="580"/>
      <c r="J49" s="580"/>
      <c r="K49" s="580"/>
      <c r="L49" s="580"/>
      <c r="M49" s="580"/>
      <c r="N49" s="580"/>
      <c r="O49" s="580"/>
      <c r="P49" s="580"/>
      <c r="Q49" s="580"/>
      <c r="R49" s="580"/>
      <c r="S49" s="580"/>
      <c r="T49" s="580"/>
      <c r="U49" s="580"/>
      <c r="V49" s="580"/>
      <c r="W49" s="580"/>
      <c r="X49" s="580"/>
      <c r="Y49" s="580"/>
      <c r="Z49" s="580"/>
      <c r="AA49" s="580"/>
      <c r="AB49" s="580"/>
    </row>
    <row r="50" ht="18.75" customHeight="1">
      <c r="A50" s="570"/>
      <c r="B50" s="570"/>
      <c r="C50" s="580"/>
      <c r="D50" s="580"/>
      <c r="E50" s="580"/>
      <c r="F50" s="580"/>
      <c r="G50" s="580"/>
      <c r="H50" s="580"/>
      <c r="I50" s="580"/>
      <c r="J50" s="580"/>
      <c r="K50" s="580"/>
      <c r="L50" s="580"/>
      <c r="M50" s="580"/>
      <c r="N50" s="580"/>
      <c r="O50" s="580"/>
      <c r="P50" s="580"/>
      <c r="Q50" s="580"/>
      <c r="R50" s="580"/>
      <c r="S50" s="580"/>
      <c r="T50" s="580"/>
      <c r="U50" s="580"/>
      <c r="V50" s="580"/>
      <c r="W50" s="580"/>
      <c r="X50" s="580"/>
      <c r="Y50" s="580"/>
      <c r="Z50" s="580"/>
      <c r="AA50" s="580"/>
      <c r="AB50" s="580"/>
    </row>
    <row r="51" ht="18.75" customHeight="1">
      <c r="A51" s="570"/>
      <c r="B51" s="570"/>
      <c r="C51" s="580"/>
      <c r="D51" s="580"/>
      <c r="E51" s="580"/>
      <c r="F51" s="580"/>
      <c r="G51" s="580"/>
      <c r="H51" s="580"/>
      <c r="I51" s="580"/>
      <c r="J51" s="580"/>
      <c r="K51" s="580"/>
      <c r="L51" s="580"/>
      <c r="M51" s="580"/>
      <c r="N51" s="580"/>
      <c r="O51" s="580"/>
      <c r="P51" s="580"/>
      <c r="Q51" s="580"/>
      <c r="R51" s="580"/>
      <c r="S51" s="580"/>
      <c r="T51" s="580"/>
      <c r="U51" s="580"/>
      <c r="V51" s="580"/>
      <c r="W51" s="580"/>
      <c r="X51" s="580"/>
      <c r="Y51" s="580"/>
      <c r="Z51" s="580"/>
      <c r="AA51" s="580"/>
      <c r="AB51" s="580"/>
    </row>
    <row r="52" ht="18.75" customHeight="1">
      <c r="A52" s="570"/>
      <c r="B52" s="570"/>
      <c r="C52" s="580"/>
      <c r="D52" s="580"/>
      <c r="E52" s="580"/>
      <c r="F52" s="580"/>
      <c r="G52" s="580"/>
      <c r="H52" s="580"/>
      <c r="I52" s="580"/>
      <c r="J52" s="580"/>
      <c r="K52" s="580"/>
      <c r="L52" s="580"/>
      <c r="M52" s="580"/>
      <c r="N52" s="580"/>
      <c r="O52" s="580"/>
      <c r="P52" s="580"/>
      <c r="Q52" s="580"/>
      <c r="R52" s="580"/>
      <c r="S52" s="580"/>
      <c r="T52" s="580"/>
      <c r="U52" s="580"/>
      <c r="V52" s="580"/>
      <c r="W52" s="580"/>
      <c r="X52" s="580"/>
      <c r="Y52" s="580"/>
      <c r="Z52" s="580"/>
      <c r="AA52" s="580"/>
      <c r="AB52" s="580"/>
    </row>
    <row r="53" ht="18.75" customHeight="1">
      <c r="A53" s="570"/>
      <c r="B53" s="570"/>
      <c r="C53" s="580"/>
      <c r="D53" s="580"/>
      <c r="E53" s="580"/>
      <c r="F53" s="580"/>
      <c r="G53" s="580"/>
      <c r="H53" s="580"/>
      <c r="I53" s="580"/>
      <c r="J53" s="580"/>
      <c r="K53" s="580"/>
      <c r="L53" s="580"/>
      <c r="M53" s="580"/>
      <c r="N53" s="580"/>
      <c r="O53" s="580"/>
      <c r="P53" s="580"/>
      <c r="Q53" s="580"/>
      <c r="R53" s="580"/>
      <c r="S53" s="580"/>
      <c r="T53" s="580"/>
      <c r="U53" s="580"/>
      <c r="V53" s="580"/>
      <c r="W53" s="580"/>
      <c r="X53" s="580"/>
      <c r="Y53" s="580"/>
      <c r="Z53" s="580"/>
      <c r="AA53" s="580"/>
      <c r="AB53" s="580"/>
    </row>
    <row r="54" ht="18.75" customHeight="1">
      <c r="A54" s="570"/>
      <c r="B54" s="570"/>
      <c r="C54" s="580"/>
      <c r="D54" s="580"/>
      <c r="E54" s="580"/>
      <c r="F54" s="580"/>
      <c r="G54" s="580"/>
      <c r="H54" s="580"/>
      <c r="I54" s="580"/>
      <c r="J54" s="580"/>
      <c r="K54" s="580"/>
      <c r="L54" s="580"/>
      <c r="M54" s="580"/>
      <c r="N54" s="580"/>
      <c r="O54" s="580"/>
      <c r="P54" s="580"/>
      <c r="Q54" s="580"/>
      <c r="R54" s="580"/>
      <c r="S54" s="580"/>
      <c r="T54" s="580"/>
      <c r="U54" s="580"/>
      <c r="V54" s="580"/>
      <c r="W54" s="580"/>
      <c r="X54" s="580"/>
      <c r="Y54" s="580"/>
      <c r="Z54" s="580"/>
      <c r="AA54" s="580"/>
      <c r="AB54" s="580"/>
    </row>
    <row r="55" ht="18.75" customHeight="1">
      <c r="A55" s="570"/>
      <c r="B55" s="570"/>
      <c r="C55" s="580"/>
      <c r="D55" s="580"/>
      <c r="E55" s="580"/>
      <c r="F55" s="580"/>
      <c r="G55" s="580"/>
      <c r="H55" s="580"/>
      <c r="I55" s="580"/>
      <c r="J55" s="580"/>
      <c r="K55" s="580"/>
      <c r="L55" s="580"/>
      <c r="M55" s="580"/>
      <c r="N55" s="580"/>
      <c r="O55" s="580"/>
      <c r="P55" s="580"/>
      <c r="Q55" s="580"/>
      <c r="R55" s="580"/>
      <c r="S55" s="580"/>
      <c r="T55" s="580"/>
      <c r="U55" s="580"/>
      <c r="V55" s="580"/>
      <c r="W55" s="580"/>
      <c r="X55" s="580"/>
      <c r="Y55" s="580"/>
      <c r="Z55" s="580"/>
      <c r="AA55" s="580"/>
      <c r="AB55" s="580"/>
    </row>
    <row r="56" ht="18.75" customHeight="1">
      <c r="A56" s="570"/>
      <c r="B56" s="570"/>
      <c r="C56" s="580"/>
      <c r="D56" s="580"/>
      <c r="E56" s="580"/>
      <c r="F56" s="580"/>
      <c r="G56" s="580"/>
      <c r="H56" s="580"/>
      <c r="I56" s="580"/>
      <c r="J56" s="580"/>
      <c r="K56" s="580"/>
      <c r="L56" s="580"/>
      <c r="M56" s="580"/>
      <c r="N56" s="580"/>
      <c r="O56" s="580"/>
      <c r="P56" s="580"/>
      <c r="Q56" s="580"/>
      <c r="R56" s="580"/>
      <c r="S56" s="580"/>
      <c r="T56" s="580"/>
      <c r="U56" s="580"/>
      <c r="V56" s="580"/>
      <c r="W56" s="580"/>
      <c r="X56" s="580"/>
      <c r="Y56" s="580"/>
      <c r="Z56" s="580"/>
      <c r="AA56" s="580"/>
      <c r="AB56" s="580"/>
    </row>
    <row r="57" ht="18.75" customHeight="1">
      <c r="A57" s="570"/>
      <c r="B57" s="570"/>
      <c r="C57" s="580"/>
      <c r="D57" s="580"/>
      <c r="E57" s="580"/>
      <c r="F57" s="580"/>
      <c r="G57" s="580"/>
      <c r="H57" s="580"/>
      <c r="I57" s="580"/>
      <c r="J57" s="580"/>
      <c r="K57" s="580"/>
      <c r="L57" s="580"/>
      <c r="M57" s="580"/>
      <c r="N57" s="580"/>
      <c r="O57" s="580"/>
      <c r="P57" s="580"/>
      <c r="Q57" s="580"/>
      <c r="R57" s="580"/>
      <c r="S57" s="580"/>
      <c r="T57" s="580"/>
      <c r="U57" s="580"/>
      <c r="V57" s="580"/>
      <c r="W57" s="580"/>
      <c r="X57" s="580"/>
      <c r="Y57" s="580"/>
      <c r="Z57" s="580"/>
      <c r="AA57" s="580"/>
      <c r="AB57" s="580"/>
    </row>
    <row r="58" ht="18.75" customHeight="1">
      <c r="A58" s="570"/>
      <c r="B58" s="570"/>
      <c r="C58" s="580"/>
      <c r="D58" s="580"/>
      <c r="E58" s="580"/>
      <c r="F58" s="580"/>
      <c r="G58" s="580"/>
      <c r="H58" s="580"/>
      <c r="I58" s="580"/>
      <c r="J58" s="580"/>
      <c r="K58" s="580"/>
      <c r="L58" s="580"/>
      <c r="M58" s="580"/>
      <c r="N58" s="580"/>
      <c r="O58" s="580"/>
      <c r="P58" s="580"/>
      <c r="Q58" s="580"/>
      <c r="R58" s="580"/>
      <c r="S58" s="580"/>
      <c r="T58" s="580"/>
      <c r="U58" s="580"/>
      <c r="V58" s="580"/>
      <c r="W58" s="580"/>
      <c r="X58" s="580"/>
      <c r="Y58" s="580"/>
      <c r="Z58" s="580"/>
      <c r="AA58" s="580"/>
      <c r="AB58" s="580"/>
    </row>
    <row r="59" ht="18.75" customHeight="1">
      <c r="A59" s="570"/>
      <c r="B59" s="570"/>
      <c r="C59" s="580"/>
      <c r="D59" s="580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</row>
    <row r="60" ht="18.75" customHeight="1">
      <c r="A60" s="570"/>
      <c r="B60" s="570"/>
      <c r="C60" s="580"/>
      <c r="D60" s="580"/>
      <c r="E60" s="580"/>
      <c r="F60" s="580"/>
      <c r="G60" s="580"/>
      <c r="H60" s="580"/>
      <c r="I60" s="580"/>
      <c r="J60" s="580"/>
      <c r="K60" s="580"/>
      <c r="L60" s="580"/>
      <c r="M60" s="580"/>
      <c r="N60" s="580"/>
      <c r="O60" s="580"/>
      <c r="P60" s="580"/>
      <c r="Q60" s="580"/>
      <c r="R60" s="580"/>
      <c r="S60" s="580"/>
      <c r="T60" s="580"/>
      <c r="U60" s="580"/>
      <c r="V60" s="580"/>
      <c r="W60" s="580"/>
      <c r="X60" s="580"/>
      <c r="Y60" s="580"/>
      <c r="Z60" s="580"/>
      <c r="AA60" s="580"/>
      <c r="AB60" s="580"/>
    </row>
    <row r="61" ht="18.75" customHeight="1">
      <c r="A61" s="570"/>
      <c r="B61" s="570"/>
      <c r="C61" s="580"/>
      <c r="D61" s="580"/>
      <c r="E61" s="580"/>
      <c r="F61" s="580"/>
      <c r="G61" s="580"/>
      <c r="H61" s="580"/>
      <c r="I61" s="580"/>
      <c r="J61" s="580"/>
      <c r="K61" s="580"/>
      <c r="L61" s="580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0"/>
      <c r="X61" s="580"/>
      <c r="Y61" s="580"/>
      <c r="Z61" s="580"/>
      <c r="AA61" s="580"/>
      <c r="AB61" s="580"/>
    </row>
    <row r="62" ht="18.75" customHeight="1">
      <c r="A62" s="570"/>
      <c r="B62" s="570"/>
      <c r="C62" s="580"/>
      <c r="D62" s="580"/>
      <c r="E62" s="580"/>
      <c r="F62" s="580"/>
      <c r="G62" s="580"/>
      <c r="H62" s="580"/>
      <c r="I62" s="580"/>
      <c r="J62" s="580"/>
      <c r="K62" s="580"/>
      <c r="L62" s="580"/>
      <c r="M62" s="580"/>
      <c r="N62" s="580"/>
      <c r="O62" s="580"/>
      <c r="P62" s="580"/>
      <c r="Q62" s="580"/>
      <c r="R62" s="580"/>
      <c r="S62" s="580"/>
      <c r="T62" s="580"/>
      <c r="U62" s="580"/>
      <c r="V62" s="580"/>
      <c r="W62" s="580"/>
      <c r="X62" s="580"/>
      <c r="Y62" s="580"/>
      <c r="Z62" s="580"/>
      <c r="AA62" s="580"/>
      <c r="AB62" s="580"/>
    </row>
    <row r="63" ht="18.75" customHeight="1">
      <c r="A63" s="570"/>
      <c r="B63" s="570"/>
      <c r="C63" s="580"/>
      <c r="D63" s="580"/>
      <c r="E63" s="580"/>
      <c r="F63" s="580"/>
      <c r="G63" s="580"/>
      <c r="H63" s="580"/>
      <c r="I63" s="580"/>
      <c r="J63" s="580"/>
      <c r="K63" s="580"/>
      <c r="L63" s="580"/>
      <c r="M63" s="580"/>
      <c r="N63" s="580"/>
      <c r="O63" s="580"/>
      <c r="P63" s="580"/>
      <c r="Q63" s="580"/>
      <c r="R63" s="580"/>
      <c r="S63" s="580"/>
      <c r="T63" s="580"/>
      <c r="U63" s="580"/>
      <c r="V63" s="580"/>
      <c r="W63" s="580"/>
      <c r="X63" s="580"/>
      <c r="Y63" s="580"/>
      <c r="Z63" s="580"/>
      <c r="AA63" s="580"/>
      <c r="AB63" s="580"/>
    </row>
    <row r="64" ht="18.75" customHeight="1">
      <c r="A64" s="570"/>
      <c r="B64" s="570"/>
      <c r="C64" s="580"/>
      <c r="D64" s="580"/>
      <c r="E64" s="580"/>
      <c r="F64" s="580"/>
      <c r="G64" s="580"/>
      <c r="H64" s="580"/>
      <c r="I64" s="580"/>
      <c r="J64" s="580"/>
      <c r="K64" s="580"/>
      <c r="L64" s="580"/>
      <c r="M64" s="580"/>
      <c r="N64" s="580"/>
      <c r="O64" s="580"/>
      <c r="P64" s="580"/>
      <c r="Q64" s="580"/>
      <c r="R64" s="580"/>
      <c r="S64" s="580"/>
      <c r="T64" s="580"/>
      <c r="U64" s="580"/>
      <c r="V64" s="580"/>
      <c r="W64" s="580"/>
      <c r="X64" s="580"/>
      <c r="Y64" s="580"/>
      <c r="Z64" s="580"/>
      <c r="AA64" s="580"/>
      <c r="AB64" s="580"/>
    </row>
    <row r="65" ht="18.75" customHeight="1">
      <c r="A65" s="570"/>
      <c r="B65" s="570"/>
      <c r="C65" s="580"/>
      <c r="D65" s="580"/>
      <c r="E65" s="580"/>
      <c r="F65" s="580"/>
      <c r="G65" s="580"/>
      <c r="H65" s="580"/>
      <c r="I65" s="580"/>
      <c r="J65" s="580"/>
      <c r="K65" s="580"/>
      <c r="L65" s="580"/>
      <c r="M65" s="580"/>
      <c r="N65" s="580"/>
      <c r="O65" s="580"/>
      <c r="P65" s="580"/>
      <c r="Q65" s="580"/>
      <c r="R65" s="580"/>
      <c r="S65" s="580"/>
      <c r="T65" s="580"/>
      <c r="U65" s="580"/>
      <c r="V65" s="580"/>
      <c r="W65" s="580"/>
      <c r="X65" s="580"/>
      <c r="Y65" s="580"/>
      <c r="Z65" s="580"/>
      <c r="AA65" s="580"/>
      <c r="AB65" s="580"/>
    </row>
    <row r="66" ht="18.75" customHeight="1">
      <c r="A66" s="570"/>
      <c r="B66" s="570"/>
      <c r="C66" s="580"/>
      <c r="D66" s="580"/>
      <c r="E66" s="580"/>
      <c r="F66" s="580"/>
      <c r="G66" s="580"/>
      <c r="H66" s="580"/>
      <c r="I66" s="580"/>
      <c r="J66" s="580"/>
      <c r="K66" s="580"/>
      <c r="L66" s="580"/>
      <c r="M66" s="580"/>
      <c r="N66" s="580"/>
      <c r="O66" s="580"/>
      <c r="P66" s="580"/>
      <c r="Q66" s="580"/>
      <c r="R66" s="580"/>
      <c r="S66" s="580"/>
      <c r="T66" s="580"/>
      <c r="U66" s="580"/>
      <c r="V66" s="580"/>
      <c r="W66" s="580"/>
      <c r="X66" s="580"/>
      <c r="Y66" s="580"/>
      <c r="Z66" s="580"/>
      <c r="AA66" s="580"/>
      <c r="AB66" s="580"/>
    </row>
    <row r="67" ht="18.75" customHeight="1">
      <c r="A67" s="570"/>
      <c r="B67" s="570"/>
      <c r="C67" s="580"/>
      <c r="D67" s="580"/>
      <c r="E67" s="580"/>
      <c r="F67" s="580"/>
      <c r="G67" s="580"/>
      <c r="H67" s="580"/>
      <c r="I67" s="580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</row>
    <row r="68" ht="18.75" customHeight="1">
      <c r="A68" s="570"/>
      <c r="B68" s="570"/>
      <c r="C68" s="580"/>
      <c r="D68" s="580"/>
      <c r="E68" s="580"/>
      <c r="F68" s="580"/>
      <c r="G68" s="580"/>
      <c r="H68" s="580"/>
      <c r="I68" s="580"/>
      <c r="J68" s="580"/>
      <c r="K68" s="580"/>
      <c r="L68" s="580"/>
      <c r="M68" s="580"/>
      <c r="N68" s="580"/>
      <c r="O68" s="580"/>
      <c r="P68" s="580"/>
      <c r="Q68" s="580"/>
      <c r="R68" s="580"/>
      <c r="S68" s="580"/>
      <c r="T68" s="580"/>
      <c r="U68" s="580"/>
      <c r="V68" s="580"/>
      <c r="W68" s="580"/>
      <c r="X68" s="580"/>
      <c r="Y68" s="580"/>
      <c r="Z68" s="580"/>
      <c r="AA68" s="580"/>
      <c r="AB68" s="580"/>
    </row>
    <row r="69" ht="18.75" customHeight="1">
      <c r="A69" s="570"/>
      <c r="B69" s="570"/>
      <c r="C69" s="580"/>
      <c r="D69" s="580"/>
      <c r="E69" s="580"/>
      <c r="F69" s="580"/>
      <c r="G69" s="580"/>
      <c r="H69" s="580"/>
      <c r="I69" s="580"/>
      <c r="J69" s="580"/>
      <c r="K69" s="580"/>
      <c r="L69" s="580"/>
      <c r="M69" s="580"/>
      <c r="N69" s="580"/>
      <c r="O69" s="580"/>
      <c r="P69" s="580"/>
      <c r="Q69" s="580"/>
      <c r="R69" s="580"/>
      <c r="S69" s="580"/>
      <c r="T69" s="580"/>
      <c r="U69" s="580"/>
      <c r="V69" s="580"/>
      <c r="W69" s="580"/>
      <c r="X69" s="580"/>
      <c r="Y69" s="580"/>
      <c r="Z69" s="580"/>
      <c r="AA69" s="580"/>
      <c r="AB69" s="580"/>
    </row>
    <row r="70" ht="18.75" customHeight="1">
      <c r="A70" s="570"/>
      <c r="B70" s="570"/>
      <c r="C70" s="580"/>
      <c r="D70" s="580"/>
      <c r="E70" s="580"/>
      <c r="F70" s="580"/>
      <c r="G70" s="580"/>
      <c r="H70" s="580"/>
      <c r="I70" s="580"/>
      <c r="J70" s="580"/>
      <c r="K70" s="580"/>
      <c r="L70" s="580"/>
      <c r="M70" s="580"/>
      <c r="N70" s="580"/>
      <c r="O70" s="580"/>
      <c r="P70" s="580"/>
      <c r="Q70" s="580"/>
      <c r="R70" s="580"/>
      <c r="S70" s="580"/>
      <c r="T70" s="580"/>
      <c r="U70" s="580"/>
      <c r="V70" s="580"/>
      <c r="W70" s="580"/>
      <c r="X70" s="580"/>
      <c r="Y70" s="580"/>
      <c r="Z70" s="580"/>
      <c r="AA70" s="580"/>
      <c r="AB70" s="580"/>
    </row>
    <row r="71" ht="18.75" customHeight="1">
      <c r="A71" s="570"/>
      <c r="B71" s="570"/>
      <c r="C71" s="580"/>
      <c r="D71" s="580"/>
      <c r="E71" s="580"/>
      <c r="F71" s="580"/>
      <c r="G71" s="580"/>
      <c r="H71" s="580"/>
      <c r="I71" s="580"/>
      <c r="J71" s="580"/>
      <c r="K71" s="580"/>
      <c r="L71" s="580"/>
      <c r="M71" s="580"/>
      <c r="N71" s="580"/>
      <c r="O71" s="580"/>
      <c r="P71" s="580"/>
      <c r="Q71" s="580"/>
      <c r="R71" s="580"/>
      <c r="S71" s="580"/>
      <c r="T71" s="580"/>
      <c r="U71" s="580"/>
      <c r="V71" s="580"/>
      <c r="W71" s="580"/>
      <c r="X71" s="580"/>
      <c r="Y71" s="580"/>
      <c r="Z71" s="580"/>
      <c r="AA71" s="580"/>
      <c r="AB71" s="580"/>
    </row>
    <row r="72" ht="18.75" customHeight="1">
      <c r="A72" s="570"/>
      <c r="B72" s="570"/>
      <c r="C72" s="580"/>
      <c r="D72" s="580"/>
      <c r="E72" s="580"/>
      <c r="F72" s="580"/>
      <c r="G72" s="580"/>
      <c r="H72" s="580"/>
      <c r="I72" s="580"/>
      <c r="J72" s="580"/>
      <c r="K72" s="580"/>
      <c r="L72" s="580"/>
      <c r="M72" s="580"/>
      <c r="N72" s="580"/>
      <c r="O72" s="580"/>
      <c r="P72" s="580"/>
      <c r="Q72" s="580"/>
      <c r="R72" s="580"/>
      <c r="S72" s="580"/>
      <c r="T72" s="580"/>
      <c r="U72" s="580"/>
      <c r="V72" s="580"/>
      <c r="W72" s="580"/>
      <c r="X72" s="580"/>
      <c r="Y72" s="580"/>
      <c r="Z72" s="580"/>
      <c r="AA72" s="580"/>
      <c r="AB72" s="580"/>
    </row>
    <row r="73" ht="18.75" customHeight="1">
      <c r="A73" s="570"/>
      <c r="B73" s="570"/>
      <c r="C73" s="580"/>
      <c r="D73" s="580"/>
      <c r="E73" s="580"/>
      <c r="F73" s="580"/>
      <c r="G73" s="580"/>
      <c r="H73" s="580"/>
      <c r="I73" s="580"/>
      <c r="J73" s="580"/>
      <c r="K73" s="580"/>
      <c r="L73" s="580"/>
      <c r="M73" s="580"/>
      <c r="N73" s="580"/>
      <c r="O73" s="580"/>
      <c r="P73" s="580"/>
      <c r="Q73" s="580"/>
      <c r="R73" s="580"/>
      <c r="S73" s="580"/>
      <c r="T73" s="580"/>
      <c r="U73" s="580"/>
      <c r="V73" s="580"/>
      <c r="W73" s="580"/>
      <c r="X73" s="580"/>
      <c r="Y73" s="580"/>
      <c r="Z73" s="580"/>
      <c r="AA73" s="580"/>
      <c r="AB73" s="580"/>
    </row>
    <row r="74" ht="18.75" customHeight="1">
      <c r="A74" s="570"/>
      <c r="B74" s="570"/>
      <c r="C74" s="580"/>
      <c r="D74" s="580"/>
      <c r="E74" s="580"/>
      <c r="F74" s="580"/>
      <c r="G74" s="580"/>
      <c r="H74" s="580"/>
      <c r="I74" s="580"/>
      <c r="J74" s="580"/>
      <c r="K74" s="580"/>
      <c r="L74" s="580"/>
      <c r="M74" s="580"/>
      <c r="N74" s="580"/>
      <c r="O74" s="580"/>
      <c r="P74" s="580"/>
      <c r="Q74" s="580"/>
      <c r="R74" s="580"/>
      <c r="S74" s="580"/>
      <c r="T74" s="580"/>
      <c r="U74" s="580"/>
      <c r="V74" s="580"/>
      <c r="W74" s="580"/>
      <c r="X74" s="580"/>
      <c r="Y74" s="580"/>
      <c r="Z74" s="580"/>
      <c r="AA74" s="580"/>
      <c r="AB74" s="580"/>
    </row>
    <row r="75" ht="18.75" customHeight="1">
      <c r="A75" s="570"/>
      <c r="B75" s="570"/>
      <c r="C75" s="580"/>
      <c r="D75" s="580"/>
      <c r="E75" s="580"/>
      <c r="F75" s="580"/>
      <c r="G75" s="580"/>
      <c r="H75" s="580"/>
      <c r="I75" s="580"/>
      <c r="J75" s="580"/>
      <c r="K75" s="580"/>
      <c r="L75" s="580"/>
      <c r="M75" s="580"/>
      <c r="N75" s="580"/>
      <c r="O75" s="580"/>
      <c r="P75" s="580"/>
      <c r="Q75" s="580"/>
      <c r="R75" s="580"/>
      <c r="S75" s="580"/>
      <c r="T75" s="580"/>
      <c r="U75" s="580"/>
      <c r="V75" s="580"/>
      <c r="W75" s="580"/>
      <c r="X75" s="580"/>
      <c r="Y75" s="580"/>
      <c r="Z75" s="580"/>
      <c r="AA75" s="580"/>
      <c r="AB75" s="580"/>
    </row>
    <row r="76" ht="18.75" customHeight="1">
      <c r="A76" s="570"/>
      <c r="B76" s="570"/>
      <c r="C76" s="580"/>
      <c r="D76" s="580"/>
      <c r="E76" s="580"/>
      <c r="F76" s="580"/>
      <c r="G76" s="580"/>
      <c r="H76" s="580"/>
      <c r="I76" s="580"/>
      <c r="J76" s="580"/>
      <c r="K76" s="580"/>
      <c r="L76" s="580"/>
      <c r="M76" s="580"/>
      <c r="N76" s="580"/>
      <c r="O76" s="580"/>
      <c r="P76" s="580"/>
      <c r="Q76" s="580"/>
      <c r="R76" s="580"/>
      <c r="S76" s="580"/>
      <c r="T76" s="580"/>
      <c r="U76" s="580"/>
      <c r="V76" s="580"/>
      <c r="W76" s="580"/>
      <c r="X76" s="580"/>
      <c r="Y76" s="580"/>
      <c r="Z76" s="580"/>
      <c r="AA76" s="580"/>
      <c r="AB76" s="580"/>
    </row>
    <row r="77" ht="18.75" customHeight="1">
      <c r="A77" s="570"/>
      <c r="B77" s="570"/>
      <c r="C77" s="580"/>
      <c r="D77" s="580"/>
      <c r="E77" s="580"/>
      <c r="F77" s="580"/>
      <c r="G77" s="580"/>
      <c r="H77" s="580"/>
      <c r="I77" s="580"/>
      <c r="J77" s="580"/>
      <c r="K77" s="580"/>
      <c r="L77" s="580"/>
      <c r="M77" s="580"/>
      <c r="N77" s="580"/>
      <c r="O77" s="580"/>
      <c r="P77" s="580"/>
      <c r="Q77" s="580"/>
      <c r="R77" s="580"/>
      <c r="S77" s="580"/>
      <c r="T77" s="580"/>
      <c r="U77" s="580"/>
      <c r="V77" s="580"/>
      <c r="W77" s="580"/>
      <c r="X77" s="580"/>
      <c r="Y77" s="580"/>
      <c r="Z77" s="580"/>
      <c r="AA77" s="580"/>
      <c r="AB77" s="580"/>
    </row>
    <row r="78" ht="18.75" customHeight="1">
      <c r="A78" s="570"/>
      <c r="B78" s="570"/>
      <c r="C78" s="580"/>
      <c r="D78" s="580"/>
      <c r="E78" s="580"/>
      <c r="F78" s="580"/>
      <c r="G78" s="580"/>
      <c r="H78" s="580"/>
      <c r="I78" s="580"/>
      <c r="J78" s="580"/>
      <c r="K78" s="580"/>
      <c r="L78" s="580"/>
      <c r="M78" s="580"/>
      <c r="N78" s="580"/>
      <c r="O78" s="580"/>
      <c r="P78" s="580"/>
      <c r="Q78" s="580"/>
      <c r="R78" s="580"/>
      <c r="S78" s="580"/>
      <c r="T78" s="580"/>
      <c r="U78" s="580"/>
      <c r="V78" s="580"/>
      <c r="W78" s="580"/>
      <c r="X78" s="580"/>
      <c r="Y78" s="580"/>
      <c r="Z78" s="580"/>
      <c r="AA78" s="580"/>
      <c r="AB78" s="580"/>
    </row>
    <row r="79" ht="18.75" customHeight="1">
      <c r="A79" s="570"/>
      <c r="B79" s="570"/>
      <c r="C79" s="580"/>
      <c r="D79" s="580"/>
      <c r="E79" s="580"/>
      <c r="F79" s="580"/>
      <c r="G79" s="580"/>
      <c r="H79" s="580"/>
      <c r="I79" s="580"/>
      <c r="J79" s="580"/>
      <c r="K79" s="580"/>
      <c r="L79" s="580"/>
      <c r="M79" s="580"/>
      <c r="N79" s="580"/>
      <c r="O79" s="580"/>
      <c r="P79" s="580"/>
      <c r="Q79" s="580"/>
      <c r="R79" s="580"/>
      <c r="S79" s="580"/>
      <c r="T79" s="580"/>
      <c r="U79" s="580"/>
      <c r="V79" s="580"/>
      <c r="W79" s="580"/>
      <c r="X79" s="580"/>
      <c r="Y79" s="580"/>
      <c r="Z79" s="580"/>
      <c r="AA79" s="580"/>
      <c r="AB79" s="580"/>
    </row>
    <row r="80" ht="18.75" customHeight="1">
      <c r="A80" s="570"/>
      <c r="B80" s="570"/>
      <c r="C80" s="580"/>
      <c r="D80" s="580"/>
      <c r="E80" s="580"/>
      <c r="F80" s="580"/>
      <c r="G80" s="580"/>
      <c r="H80" s="580"/>
      <c r="I80" s="580"/>
      <c r="J80" s="580"/>
      <c r="K80" s="580"/>
      <c r="L80" s="580"/>
      <c r="M80" s="580"/>
      <c r="N80" s="580"/>
      <c r="O80" s="580"/>
      <c r="P80" s="580"/>
      <c r="Q80" s="580"/>
      <c r="R80" s="580"/>
      <c r="S80" s="580"/>
      <c r="T80" s="580"/>
      <c r="U80" s="580"/>
      <c r="V80" s="580"/>
      <c r="W80" s="580"/>
      <c r="X80" s="580"/>
      <c r="Y80" s="580"/>
      <c r="Z80" s="580"/>
      <c r="AA80" s="580"/>
      <c r="AB80" s="580"/>
    </row>
    <row r="81" ht="18.75" customHeight="1">
      <c r="A81" s="570"/>
      <c r="B81" s="570"/>
      <c r="C81" s="580"/>
      <c r="D81" s="580"/>
      <c r="E81" s="580"/>
      <c r="F81" s="580"/>
      <c r="G81" s="580"/>
      <c r="H81" s="580"/>
      <c r="I81" s="580"/>
      <c r="J81" s="580"/>
      <c r="K81" s="580"/>
      <c r="L81" s="580"/>
      <c r="M81" s="580"/>
      <c r="N81" s="580"/>
      <c r="O81" s="580"/>
      <c r="P81" s="580"/>
      <c r="Q81" s="580"/>
      <c r="R81" s="580"/>
      <c r="S81" s="580"/>
      <c r="T81" s="580"/>
      <c r="U81" s="580"/>
      <c r="V81" s="580"/>
      <c r="W81" s="580"/>
      <c r="X81" s="580"/>
      <c r="Y81" s="580"/>
      <c r="Z81" s="580"/>
      <c r="AA81" s="580"/>
      <c r="AB81" s="580"/>
    </row>
    <row r="82" ht="18.75" customHeight="1">
      <c r="A82" s="570"/>
      <c r="B82" s="570"/>
      <c r="C82" s="580"/>
      <c r="D82" s="580"/>
      <c r="E82" s="580"/>
      <c r="F82" s="580"/>
      <c r="G82" s="580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/>
      <c r="V82" s="580"/>
      <c r="W82" s="580"/>
      <c r="X82" s="580"/>
      <c r="Y82" s="580"/>
      <c r="Z82" s="580"/>
      <c r="AA82" s="580"/>
      <c r="AB82" s="580"/>
    </row>
    <row r="83" ht="18.75" customHeight="1">
      <c r="A83" s="570"/>
      <c r="B83" s="570"/>
      <c r="C83" s="580"/>
      <c r="D83" s="580"/>
      <c r="E83" s="580"/>
      <c r="F83" s="580"/>
      <c r="G83" s="580"/>
      <c r="H83" s="580"/>
      <c r="I83" s="580"/>
      <c r="J83" s="580"/>
      <c r="K83" s="580"/>
      <c r="L83" s="580"/>
      <c r="M83" s="580"/>
      <c r="N83" s="580"/>
      <c r="O83" s="580"/>
      <c r="P83" s="580"/>
      <c r="Q83" s="580"/>
      <c r="R83" s="580"/>
      <c r="S83" s="580"/>
      <c r="T83" s="580"/>
      <c r="U83" s="580"/>
      <c r="V83" s="580"/>
      <c r="W83" s="580"/>
      <c r="X83" s="580"/>
      <c r="Y83" s="580"/>
      <c r="Z83" s="580"/>
      <c r="AA83" s="580"/>
      <c r="AB83" s="580"/>
    </row>
    <row r="84" ht="18.75" customHeight="1">
      <c r="A84" s="570"/>
      <c r="B84" s="570"/>
      <c r="C84" s="580"/>
      <c r="D84" s="580"/>
      <c r="E84" s="580"/>
      <c r="F84" s="580"/>
      <c r="G84" s="580"/>
      <c r="H84" s="580"/>
      <c r="I84" s="580"/>
      <c r="J84" s="580"/>
      <c r="K84" s="580"/>
      <c r="L84" s="580"/>
      <c r="M84" s="580"/>
      <c r="N84" s="580"/>
      <c r="O84" s="580"/>
      <c r="P84" s="580"/>
      <c r="Q84" s="580"/>
      <c r="R84" s="580"/>
      <c r="S84" s="580"/>
      <c r="T84" s="580"/>
      <c r="U84" s="580"/>
      <c r="V84" s="580"/>
      <c r="W84" s="580"/>
      <c r="X84" s="580"/>
      <c r="Y84" s="580"/>
      <c r="Z84" s="580"/>
      <c r="AA84" s="580"/>
      <c r="AB84" s="580"/>
    </row>
    <row r="85" ht="18.75" customHeight="1">
      <c r="A85" s="570"/>
      <c r="B85" s="570"/>
      <c r="C85" s="580"/>
      <c r="D85" s="580"/>
      <c r="E85" s="580"/>
      <c r="F85" s="580"/>
      <c r="G85" s="580"/>
      <c r="H85" s="580"/>
      <c r="I85" s="580"/>
      <c r="J85" s="580"/>
      <c r="K85" s="580"/>
      <c r="L85" s="580"/>
      <c r="M85" s="580"/>
      <c r="N85" s="580"/>
      <c r="O85" s="580"/>
      <c r="P85" s="580"/>
      <c r="Q85" s="580"/>
      <c r="R85" s="580"/>
      <c r="S85" s="580"/>
      <c r="T85" s="580"/>
      <c r="U85" s="580"/>
      <c r="V85" s="580"/>
      <c r="W85" s="580"/>
      <c r="X85" s="580"/>
      <c r="Y85" s="580"/>
      <c r="Z85" s="580"/>
      <c r="AA85" s="580"/>
      <c r="AB85" s="580"/>
    </row>
    <row r="86" ht="18.75" customHeight="1">
      <c r="A86" s="570"/>
      <c r="B86" s="570"/>
      <c r="C86" s="580"/>
      <c r="D86" s="580"/>
      <c r="E86" s="580"/>
      <c r="F86" s="580"/>
      <c r="G86" s="580"/>
      <c r="H86" s="580"/>
      <c r="I86" s="580"/>
      <c r="J86" s="580"/>
      <c r="K86" s="580"/>
      <c r="L86" s="580"/>
      <c r="M86" s="580"/>
      <c r="N86" s="580"/>
      <c r="O86" s="580"/>
      <c r="P86" s="580"/>
      <c r="Q86" s="580"/>
      <c r="R86" s="580"/>
      <c r="S86" s="580"/>
      <c r="T86" s="580"/>
      <c r="U86" s="580"/>
      <c r="V86" s="580"/>
      <c r="W86" s="580"/>
      <c r="X86" s="580"/>
      <c r="Y86" s="580"/>
      <c r="Z86" s="580"/>
      <c r="AA86" s="580"/>
      <c r="AB86" s="580"/>
    </row>
    <row r="87" ht="18.75" customHeight="1">
      <c r="A87" s="570"/>
      <c r="B87" s="570"/>
      <c r="C87" s="580"/>
      <c r="D87" s="580"/>
      <c r="E87" s="580"/>
      <c r="F87" s="580"/>
      <c r="G87" s="580"/>
      <c r="H87" s="580"/>
      <c r="I87" s="580"/>
      <c r="J87" s="580"/>
      <c r="K87" s="580"/>
      <c r="L87" s="580"/>
      <c r="M87" s="580"/>
      <c r="N87" s="580"/>
      <c r="O87" s="580"/>
      <c r="P87" s="580"/>
      <c r="Q87" s="580"/>
      <c r="R87" s="580"/>
      <c r="S87" s="580"/>
      <c r="T87" s="580"/>
      <c r="U87" s="580"/>
      <c r="V87" s="580"/>
      <c r="W87" s="580"/>
      <c r="X87" s="580"/>
      <c r="Y87" s="580"/>
      <c r="Z87" s="580"/>
      <c r="AA87" s="580"/>
      <c r="AB87" s="580"/>
    </row>
    <row r="88" ht="18.75" customHeight="1">
      <c r="A88" s="570"/>
      <c r="B88" s="570"/>
      <c r="C88" s="580"/>
      <c r="D88" s="580"/>
      <c r="E88" s="580"/>
      <c r="F88" s="580"/>
      <c r="G88" s="580"/>
      <c r="H88" s="580"/>
      <c r="I88" s="580"/>
      <c r="J88" s="580"/>
      <c r="K88" s="580"/>
      <c r="L88" s="580"/>
      <c r="M88" s="580"/>
      <c r="N88" s="580"/>
      <c r="O88" s="580"/>
      <c r="P88" s="580"/>
      <c r="Q88" s="580"/>
      <c r="R88" s="580"/>
      <c r="S88" s="580"/>
      <c r="T88" s="580"/>
      <c r="U88" s="580"/>
      <c r="V88" s="580"/>
      <c r="W88" s="580"/>
      <c r="X88" s="580"/>
      <c r="Y88" s="580"/>
      <c r="Z88" s="580"/>
      <c r="AA88" s="580"/>
      <c r="AB88" s="580"/>
    </row>
    <row r="89" ht="18.75" customHeight="1">
      <c r="A89" s="570"/>
      <c r="B89" s="570"/>
      <c r="C89" s="580"/>
      <c r="D89" s="580"/>
      <c r="E89" s="580"/>
      <c r="F89" s="580"/>
      <c r="G89" s="580"/>
      <c r="H89" s="580"/>
      <c r="I89" s="580"/>
      <c r="J89" s="580"/>
      <c r="K89" s="580"/>
      <c r="L89" s="580"/>
      <c r="M89" s="580"/>
      <c r="N89" s="580"/>
      <c r="O89" s="580"/>
      <c r="P89" s="580"/>
      <c r="Q89" s="580"/>
      <c r="R89" s="580"/>
      <c r="S89" s="580"/>
      <c r="T89" s="580"/>
      <c r="U89" s="580"/>
      <c r="V89" s="580"/>
      <c r="W89" s="580"/>
      <c r="X89" s="580"/>
      <c r="Y89" s="580"/>
      <c r="Z89" s="580"/>
      <c r="AA89" s="580"/>
      <c r="AB89" s="580"/>
    </row>
    <row r="90" ht="18.75" customHeight="1">
      <c r="A90" s="570"/>
      <c r="B90" s="570"/>
      <c r="C90" s="580"/>
      <c r="D90" s="580"/>
      <c r="E90" s="580"/>
      <c r="F90" s="580"/>
      <c r="G90" s="580"/>
      <c r="H90" s="580"/>
      <c r="I90" s="580"/>
      <c r="J90" s="580"/>
      <c r="K90" s="580"/>
      <c r="L90" s="580"/>
      <c r="M90" s="580"/>
      <c r="N90" s="580"/>
      <c r="O90" s="580"/>
      <c r="P90" s="580"/>
      <c r="Q90" s="580"/>
      <c r="R90" s="580"/>
      <c r="S90" s="580"/>
      <c r="T90" s="580"/>
      <c r="U90" s="580"/>
      <c r="V90" s="580"/>
      <c r="W90" s="580"/>
      <c r="X90" s="580"/>
      <c r="Y90" s="580"/>
      <c r="Z90" s="580"/>
      <c r="AA90" s="580"/>
      <c r="AB90" s="580"/>
    </row>
    <row r="91" ht="18.75" customHeight="1">
      <c r="A91" s="570"/>
      <c r="B91" s="570"/>
      <c r="C91" s="580"/>
      <c r="D91" s="580"/>
      <c r="E91" s="580"/>
      <c r="F91" s="580"/>
      <c r="G91" s="580"/>
      <c r="H91" s="580"/>
      <c r="I91" s="580"/>
      <c r="J91" s="580"/>
      <c r="K91" s="580"/>
      <c r="L91" s="580"/>
      <c r="M91" s="580"/>
      <c r="N91" s="580"/>
      <c r="O91" s="580"/>
      <c r="P91" s="580"/>
      <c r="Q91" s="580"/>
      <c r="R91" s="580"/>
      <c r="S91" s="580"/>
      <c r="T91" s="580"/>
      <c r="U91" s="580"/>
      <c r="V91" s="580"/>
      <c r="W91" s="580"/>
      <c r="X91" s="580"/>
      <c r="Y91" s="580"/>
      <c r="Z91" s="580"/>
      <c r="AA91" s="580"/>
      <c r="AB91" s="580"/>
    </row>
    <row r="92" ht="18.75" customHeight="1">
      <c r="A92" s="570"/>
      <c r="B92" s="570"/>
      <c r="C92" s="580"/>
      <c r="D92" s="580"/>
      <c r="E92" s="580"/>
      <c r="F92" s="580"/>
      <c r="G92" s="580"/>
      <c r="H92" s="580"/>
      <c r="I92" s="580"/>
      <c r="J92" s="580"/>
      <c r="K92" s="580"/>
      <c r="L92" s="580"/>
      <c r="M92" s="580"/>
      <c r="N92" s="580"/>
      <c r="O92" s="580"/>
      <c r="P92" s="580"/>
      <c r="Q92" s="580"/>
      <c r="R92" s="580"/>
      <c r="S92" s="580"/>
      <c r="T92" s="580"/>
      <c r="U92" s="580"/>
      <c r="V92" s="580"/>
      <c r="W92" s="580"/>
      <c r="X92" s="580"/>
      <c r="Y92" s="580"/>
      <c r="Z92" s="580"/>
      <c r="AA92" s="580"/>
      <c r="AB92" s="580"/>
    </row>
    <row r="93" ht="18.75" customHeight="1">
      <c r="A93" s="570"/>
      <c r="B93" s="570"/>
      <c r="C93" s="580"/>
      <c r="D93" s="580"/>
      <c r="E93" s="580"/>
      <c r="F93" s="580"/>
      <c r="G93" s="580"/>
      <c r="H93" s="580"/>
      <c r="I93" s="580"/>
      <c r="J93" s="580"/>
      <c r="K93" s="580"/>
      <c r="L93" s="580"/>
      <c r="M93" s="580"/>
      <c r="N93" s="580"/>
      <c r="O93" s="580"/>
      <c r="P93" s="580"/>
      <c r="Q93" s="580"/>
      <c r="R93" s="580"/>
      <c r="S93" s="580"/>
      <c r="T93" s="580"/>
      <c r="U93" s="580"/>
      <c r="V93" s="580"/>
      <c r="W93" s="580"/>
      <c r="X93" s="580"/>
      <c r="Y93" s="580"/>
      <c r="Z93" s="580"/>
      <c r="AA93" s="580"/>
      <c r="AB93" s="580"/>
    </row>
    <row r="94" ht="18.75" customHeight="1">
      <c r="A94" s="570"/>
      <c r="B94" s="570"/>
      <c r="C94" s="580"/>
      <c r="D94" s="580"/>
      <c r="E94" s="580"/>
      <c r="F94" s="580"/>
      <c r="G94" s="580"/>
      <c r="H94" s="580"/>
      <c r="I94" s="580"/>
      <c r="J94" s="580"/>
      <c r="K94" s="580"/>
      <c r="L94" s="580"/>
      <c r="M94" s="580"/>
      <c r="N94" s="580"/>
      <c r="O94" s="580"/>
      <c r="P94" s="580"/>
      <c r="Q94" s="580"/>
      <c r="R94" s="580"/>
      <c r="S94" s="580"/>
      <c r="T94" s="580"/>
      <c r="U94" s="580"/>
      <c r="V94" s="580"/>
      <c r="W94" s="580"/>
      <c r="X94" s="580"/>
      <c r="Y94" s="580"/>
      <c r="Z94" s="580"/>
      <c r="AA94" s="580"/>
      <c r="AB94" s="580"/>
    </row>
    <row r="95" ht="18.75" customHeight="1">
      <c r="A95" s="570"/>
      <c r="B95" s="570"/>
      <c r="C95" s="580"/>
      <c r="D95" s="580"/>
      <c r="E95" s="580"/>
      <c r="F95" s="580"/>
      <c r="G95" s="580"/>
      <c r="H95" s="580"/>
      <c r="I95" s="580"/>
      <c r="J95" s="580"/>
      <c r="K95" s="580"/>
      <c r="L95" s="580"/>
      <c r="M95" s="580"/>
      <c r="N95" s="580"/>
      <c r="O95" s="580"/>
      <c r="P95" s="580"/>
      <c r="Q95" s="580"/>
      <c r="R95" s="580"/>
      <c r="S95" s="580"/>
      <c r="T95" s="580"/>
      <c r="U95" s="580"/>
      <c r="V95" s="580"/>
      <c r="W95" s="580"/>
      <c r="X95" s="580"/>
      <c r="Y95" s="580"/>
      <c r="Z95" s="580"/>
      <c r="AA95" s="580"/>
      <c r="AB95" s="580"/>
    </row>
    <row r="96" ht="18.75" customHeight="1">
      <c r="A96" s="570"/>
      <c r="B96" s="570"/>
      <c r="C96" s="580"/>
      <c r="D96" s="580"/>
      <c r="E96" s="580"/>
      <c r="F96" s="580"/>
      <c r="G96" s="580"/>
      <c r="H96" s="580"/>
      <c r="I96" s="580"/>
      <c r="J96" s="580"/>
      <c r="K96" s="580"/>
      <c r="L96" s="580"/>
      <c r="M96" s="580"/>
      <c r="N96" s="580"/>
      <c r="O96" s="580"/>
      <c r="P96" s="580"/>
      <c r="Q96" s="580"/>
      <c r="R96" s="580"/>
      <c r="S96" s="580"/>
      <c r="T96" s="580"/>
      <c r="U96" s="580"/>
      <c r="V96" s="580"/>
      <c r="W96" s="580"/>
      <c r="X96" s="580"/>
      <c r="Y96" s="580"/>
      <c r="Z96" s="580"/>
      <c r="AA96" s="580"/>
      <c r="AB96" s="580"/>
    </row>
    <row r="97" ht="18.75" customHeight="1">
      <c r="A97" s="570"/>
      <c r="B97" s="570"/>
      <c r="C97" s="580"/>
      <c r="D97" s="580"/>
      <c r="E97" s="580"/>
      <c r="F97" s="580"/>
      <c r="G97" s="580"/>
      <c r="H97" s="580"/>
      <c r="I97" s="580"/>
      <c r="J97" s="580"/>
      <c r="K97" s="580"/>
      <c r="L97" s="580"/>
      <c r="M97" s="580"/>
      <c r="N97" s="580"/>
      <c r="O97" s="580"/>
      <c r="P97" s="580"/>
      <c r="Q97" s="580"/>
      <c r="R97" s="580"/>
      <c r="S97" s="580"/>
      <c r="T97" s="580"/>
      <c r="U97" s="580"/>
      <c r="V97" s="580"/>
      <c r="W97" s="580"/>
      <c r="X97" s="580"/>
      <c r="Y97" s="580"/>
      <c r="Z97" s="580"/>
      <c r="AA97" s="580"/>
      <c r="AB97" s="580"/>
    </row>
    <row r="98" ht="18.75" customHeight="1">
      <c r="A98" s="570"/>
      <c r="B98" s="570"/>
      <c r="C98" s="580"/>
      <c r="D98" s="580"/>
      <c r="E98" s="580"/>
      <c r="F98" s="580"/>
      <c r="G98" s="580"/>
      <c r="H98" s="580"/>
      <c r="I98" s="580"/>
      <c r="J98" s="580"/>
      <c r="K98" s="580"/>
      <c r="L98" s="580"/>
      <c r="M98" s="580"/>
      <c r="N98" s="580"/>
      <c r="O98" s="580"/>
      <c r="P98" s="580"/>
      <c r="Q98" s="580"/>
      <c r="R98" s="580"/>
      <c r="S98" s="580"/>
      <c r="T98" s="580"/>
      <c r="U98" s="580"/>
      <c r="V98" s="580"/>
      <c r="W98" s="580"/>
      <c r="X98" s="580"/>
      <c r="Y98" s="580"/>
      <c r="Z98" s="580"/>
      <c r="AA98" s="580"/>
      <c r="AB98" s="580"/>
    </row>
    <row r="99" ht="18.75" customHeight="1">
      <c r="A99" s="570"/>
      <c r="B99" s="570"/>
      <c r="C99" s="580"/>
      <c r="D99" s="580"/>
      <c r="E99" s="580"/>
      <c r="F99" s="580"/>
      <c r="G99" s="580"/>
      <c r="H99" s="580"/>
      <c r="I99" s="580"/>
      <c r="J99" s="580"/>
      <c r="K99" s="580"/>
      <c r="L99" s="580"/>
      <c r="M99" s="580"/>
      <c r="N99" s="580"/>
      <c r="O99" s="580"/>
      <c r="P99" s="580"/>
      <c r="Q99" s="580"/>
      <c r="R99" s="580"/>
      <c r="S99" s="580"/>
      <c r="T99" s="580"/>
      <c r="U99" s="580"/>
      <c r="V99" s="580"/>
      <c r="W99" s="580"/>
      <c r="X99" s="580"/>
      <c r="Y99" s="580"/>
      <c r="Z99" s="580"/>
      <c r="AA99" s="580"/>
      <c r="AB99" s="580"/>
    </row>
    <row r="100" ht="18.75" customHeight="1">
      <c r="A100" s="570"/>
      <c r="B100" s="570"/>
      <c r="C100" s="580"/>
      <c r="D100" s="580"/>
      <c r="E100" s="580"/>
      <c r="F100" s="580"/>
      <c r="G100" s="580"/>
      <c r="H100" s="580"/>
      <c r="I100" s="580"/>
      <c r="J100" s="580"/>
      <c r="K100" s="580"/>
      <c r="L100" s="580"/>
      <c r="M100" s="580"/>
      <c r="N100" s="580"/>
      <c r="O100" s="580"/>
      <c r="P100" s="580"/>
      <c r="Q100" s="580"/>
      <c r="R100" s="580"/>
      <c r="S100" s="580"/>
      <c r="T100" s="580"/>
      <c r="U100" s="580"/>
      <c r="V100" s="580"/>
      <c r="W100" s="580"/>
      <c r="X100" s="580"/>
      <c r="Y100" s="580"/>
      <c r="Z100" s="580"/>
      <c r="AA100" s="580"/>
      <c r="AB100" s="580"/>
    </row>
    <row r="101" ht="18.75" customHeight="1">
      <c r="A101" s="570"/>
      <c r="B101" s="570"/>
      <c r="C101" s="580"/>
      <c r="D101" s="580"/>
      <c r="E101" s="580"/>
      <c r="F101" s="580"/>
      <c r="G101" s="580"/>
      <c r="H101" s="580"/>
      <c r="I101" s="580"/>
      <c r="J101" s="580"/>
      <c r="K101" s="580"/>
      <c r="L101" s="580"/>
      <c r="M101" s="580"/>
      <c r="N101" s="580"/>
      <c r="O101" s="580"/>
      <c r="P101" s="580"/>
      <c r="Q101" s="580"/>
      <c r="R101" s="580"/>
      <c r="S101" s="580"/>
      <c r="T101" s="580"/>
      <c r="U101" s="580"/>
      <c r="V101" s="580"/>
      <c r="W101" s="580"/>
      <c r="X101" s="580"/>
      <c r="Y101" s="580"/>
      <c r="Z101" s="580"/>
      <c r="AA101" s="580"/>
      <c r="AB101" s="580"/>
    </row>
    <row r="102" ht="18.75" customHeight="1">
      <c r="A102" s="570"/>
      <c r="B102" s="570"/>
      <c r="C102" s="580"/>
      <c r="D102" s="580"/>
      <c r="E102" s="580"/>
      <c r="F102" s="580"/>
      <c r="G102" s="580"/>
      <c r="H102" s="580"/>
      <c r="I102" s="580"/>
      <c r="J102" s="580"/>
      <c r="K102" s="580"/>
      <c r="L102" s="580"/>
      <c r="M102" s="580"/>
      <c r="N102" s="580"/>
      <c r="O102" s="580"/>
      <c r="P102" s="580"/>
      <c r="Q102" s="580"/>
      <c r="R102" s="580"/>
      <c r="S102" s="580"/>
      <c r="T102" s="580"/>
      <c r="U102" s="580"/>
      <c r="V102" s="580"/>
      <c r="W102" s="580"/>
      <c r="X102" s="580"/>
      <c r="Y102" s="580"/>
      <c r="Z102" s="580"/>
      <c r="AA102" s="580"/>
      <c r="AB102" s="580"/>
    </row>
    <row r="103" ht="18.75" customHeight="1">
      <c r="A103" s="570"/>
      <c r="B103" s="570"/>
      <c r="C103" s="580"/>
      <c r="D103" s="580"/>
      <c r="E103" s="580"/>
      <c r="F103" s="580"/>
      <c r="G103" s="580"/>
      <c r="H103" s="580"/>
      <c r="I103" s="580"/>
      <c r="J103" s="580"/>
      <c r="K103" s="580"/>
      <c r="L103" s="580"/>
      <c r="M103" s="580"/>
      <c r="N103" s="580"/>
      <c r="O103" s="580"/>
      <c r="P103" s="580"/>
      <c r="Q103" s="580"/>
      <c r="R103" s="580"/>
      <c r="S103" s="580"/>
      <c r="T103" s="580"/>
      <c r="U103" s="580"/>
      <c r="V103" s="580"/>
      <c r="W103" s="580"/>
      <c r="X103" s="580"/>
      <c r="Y103" s="580"/>
      <c r="Z103" s="580"/>
      <c r="AA103" s="580"/>
      <c r="AB103" s="580"/>
    </row>
    <row r="104" ht="18.75" customHeight="1">
      <c r="A104" s="570"/>
      <c r="B104" s="570"/>
      <c r="C104" s="580"/>
      <c r="D104" s="580"/>
      <c r="E104" s="580"/>
      <c r="F104" s="580"/>
      <c r="G104" s="580"/>
      <c r="H104" s="580"/>
      <c r="I104" s="580"/>
      <c r="J104" s="580"/>
      <c r="K104" s="580"/>
      <c r="L104" s="580"/>
      <c r="M104" s="580"/>
      <c r="N104" s="580"/>
      <c r="O104" s="580"/>
      <c r="P104" s="580"/>
      <c r="Q104" s="580"/>
      <c r="R104" s="580"/>
      <c r="S104" s="580"/>
      <c r="T104" s="580"/>
      <c r="U104" s="580"/>
      <c r="V104" s="580"/>
      <c r="W104" s="580"/>
      <c r="X104" s="580"/>
      <c r="Y104" s="580"/>
      <c r="Z104" s="580"/>
      <c r="AA104" s="580"/>
      <c r="AB104" s="580"/>
    </row>
    <row r="105" ht="18.75" customHeight="1">
      <c r="A105" s="570"/>
      <c r="B105" s="570"/>
      <c r="C105" s="580"/>
      <c r="D105" s="580"/>
      <c r="E105" s="580"/>
      <c r="F105" s="580"/>
      <c r="G105" s="580"/>
      <c r="H105" s="580"/>
      <c r="I105" s="580"/>
      <c r="J105" s="580"/>
      <c r="K105" s="580"/>
      <c r="L105" s="580"/>
      <c r="M105" s="580"/>
      <c r="N105" s="580"/>
      <c r="O105" s="580"/>
      <c r="P105" s="580"/>
      <c r="Q105" s="580"/>
      <c r="R105" s="580"/>
      <c r="S105" s="580"/>
      <c r="T105" s="580"/>
      <c r="U105" s="580"/>
      <c r="V105" s="580"/>
      <c r="W105" s="580"/>
      <c r="X105" s="580"/>
      <c r="Y105" s="580"/>
      <c r="Z105" s="580"/>
      <c r="AA105" s="580"/>
      <c r="AB105" s="580"/>
    </row>
    <row r="106" ht="18.75" customHeight="1">
      <c r="A106" s="570"/>
      <c r="B106" s="570"/>
      <c r="C106" s="580"/>
      <c r="D106" s="580"/>
      <c r="E106" s="580"/>
      <c r="F106" s="580"/>
      <c r="G106" s="580"/>
      <c r="H106" s="580"/>
      <c r="I106" s="580"/>
      <c r="J106" s="580"/>
      <c r="K106" s="580"/>
      <c r="L106" s="580"/>
      <c r="M106" s="580"/>
      <c r="N106" s="580"/>
      <c r="O106" s="580"/>
      <c r="P106" s="580"/>
      <c r="Q106" s="580"/>
      <c r="R106" s="580"/>
      <c r="S106" s="580"/>
      <c r="T106" s="580"/>
      <c r="U106" s="580"/>
      <c r="V106" s="580"/>
      <c r="W106" s="580"/>
      <c r="X106" s="580"/>
      <c r="Y106" s="580"/>
      <c r="Z106" s="580"/>
      <c r="AA106" s="580"/>
      <c r="AB106" s="580"/>
    </row>
    <row r="107" ht="18.75" customHeight="1">
      <c r="A107" s="570"/>
      <c r="B107" s="570"/>
      <c r="C107" s="580"/>
      <c r="D107" s="580"/>
      <c r="E107" s="580"/>
      <c r="F107" s="580"/>
      <c r="G107" s="580"/>
      <c r="H107" s="580"/>
      <c r="I107" s="580"/>
      <c r="J107" s="580"/>
      <c r="K107" s="580"/>
      <c r="L107" s="580"/>
      <c r="M107" s="580"/>
      <c r="N107" s="580"/>
      <c r="O107" s="580"/>
      <c r="P107" s="580"/>
      <c r="Q107" s="580"/>
      <c r="R107" s="580"/>
      <c r="S107" s="580"/>
      <c r="T107" s="580"/>
      <c r="U107" s="580"/>
      <c r="V107" s="580"/>
      <c r="W107" s="580"/>
      <c r="X107" s="580"/>
      <c r="Y107" s="580"/>
      <c r="Z107" s="580"/>
      <c r="AA107" s="580"/>
      <c r="AB107" s="580"/>
    </row>
    <row r="108" ht="18.75" customHeight="1">
      <c r="A108" s="570"/>
      <c r="B108" s="570"/>
      <c r="C108" s="580"/>
      <c r="D108" s="580"/>
      <c r="E108" s="580"/>
      <c r="F108" s="580"/>
      <c r="G108" s="580"/>
      <c r="H108" s="580"/>
      <c r="I108" s="580"/>
      <c r="J108" s="580"/>
      <c r="K108" s="580"/>
      <c r="L108" s="580"/>
      <c r="M108" s="580"/>
      <c r="N108" s="580"/>
      <c r="O108" s="580"/>
      <c r="P108" s="580"/>
      <c r="Q108" s="580"/>
      <c r="R108" s="580"/>
      <c r="S108" s="580"/>
      <c r="T108" s="580"/>
      <c r="U108" s="580"/>
      <c r="V108" s="580"/>
      <c r="W108" s="580"/>
      <c r="X108" s="580"/>
      <c r="Y108" s="580"/>
      <c r="Z108" s="580"/>
      <c r="AA108" s="580"/>
      <c r="AB108" s="580"/>
    </row>
    <row r="109" ht="18.75" customHeight="1">
      <c r="A109" s="570"/>
      <c r="B109" s="570"/>
      <c r="C109" s="580"/>
      <c r="D109" s="580"/>
      <c r="E109" s="580"/>
      <c r="F109" s="580"/>
      <c r="G109" s="580"/>
      <c r="H109" s="580"/>
      <c r="I109" s="580"/>
      <c r="J109" s="580"/>
      <c r="K109" s="580"/>
      <c r="L109" s="580"/>
      <c r="M109" s="580"/>
      <c r="N109" s="580"/>
      <c r="O109" s="580"/>
      <c r="P109" s="580"/>
      <c r="Q109" s="580"/>
      <c r="R109" s="580"/>
      <c r="S109" s="580"/>
      <c r="T109" s="580"/>
      <c r="U109" s="580"/>
      <c r="V109" s="580"/>
      <c r="W109" s="580"/>
      <c r="X109" s="580"/>
      <c r="Y109" s="580"/>
      <c r="Z109" s="580"/>
      <c r="AA109" s="580"/>
      <c r="AB109" s="580"/>
    </row>
    <row r="110" ht="18.75" customHeight="1">
      <c r="A110" s="570"/>
      <c r="B110" s="570"/>
      <c r="C110" s="580"/>
      <c r="D110" s="580"/>
      <c r="E110" s="580"/>
      <c r="F110" s="580"/>
      <c r="G110" s="580"/>
      <c r="H110" s="580"/>
      <c r="I110" s="580"/>
      <c r="J110" s="580"/>
      <c r="K110" s="580"/>
      <c r="L110" s="580"/>
      <c r="M110" s="580"/>
      <c r="N110" s="580"/>
      <c r="O110" s="580"/>
      <c r="P110" s="580"/>
      <c r="Q110" s="580"/>
      <c r="R110" s="580"/>
      <c r="S110" s="580"/>
      <c r="T110" s="580"/>
      <c r="U110" s="580"/>
      <c r="V110" s="580"/>
      <c r="W110" s="580"/>
      <c r="X110" s="580"/>
      <c r="Y110" s="580"/>
      <c r="Z110" s="580"/>
      <c r="AA110" s="580"/>
      <c r="AB110" s="580"/>
    </row>
    <row r="111" ht="18.75" customHeight="1">
      <c r="A111" s="570"/>
      <c r="B111" s="570"/>
      <c r="C111" s="580"/>
      <c r="D111" s="580"/>
      <c r="E111" s="580"/>
      <c r="F111" s="580"/>
      <c r="G111" s="580"/>
      <c r="H111" s="580"/>
      <c r="I111" s="580"/>
      <c r="J111" s="580"/>
      <c r="K111" s="580"/>
      <c r="L111" s="580"/>
      <c r="M111" s="580"/>
      <c r="N111" s="580"/>
      <c r="O111" s="580"/>
      <c r="P111" s="580"/>
      <c r="Q111" s="580"/>
      <c r="R111" s="580"/>
      <c r="S111" s="580"/>
      <c r="T111" s="580"/>
      <c r="U111" s="580"/>
      <c r="V111" s="580"/>
      <c r="W111" s="580"/>
      <c r="X111" s="580"/>
      <c r="Y111" s="580"/>
      <c r="Z111" s="580"/>
      <c r="AA111" s="580"/>
      <c r="AB111" s="580"/>
    </row>
    <row r="112" ht="18.75" customHeight="1">
      <c r="A112" s="570"/>
      <c r="B112" s="570"/>
      <c r="C112" s="580"/>
      <c r="D112" s="580"/>
      <c r="E112" s="580"/>
      <c r="F112" s="580"/>
      <c r="G112" s="580"/>
      <c r="H112" s="580"/>
      <c r="I112" s="580"/>
      <c r="J112" s="580"/>
      <c r="K112" s="580"/>
      <c r="L112" s="580"/>
      <c r="M112" s="580"/>
      <c r="N112" s="580"/>
      <c r="O112" s="580"/>
      <c r="P112" s="580"/>
      <c r="Q112" s="580"/>
      <c r="R112" s="580"/>
      <c r="S112" s="580"/>
      <c r="T112" s="580"/>
      <c r="U112" s="580"/>
      <c r="V112" s="580"/>
      <c r="W112" s="580"/>
      <c r="X112" s="580"/>
      <c r="Y112" s="580"/>
      <c r="Z112" s="580"/>
      <c r="AA112" s="580"/>
      <c r="AB112" s="580"/>
    </row>
    <row r="113" ht="18.75" customHeight="1">
      <c r="A113" s="570"/>
      <c r="B113" s="570"/>
      <c r="C113" s="580"/>
      <c r="D113" s="580"/>
      <c r="E113" s="580"/>
      <c r="F113" s="580"/>
      <c r="G113" s="580"/>
      <c r="H113" s="580"/>
      <c r="I113" s="580"/>
      <c r="J113" s="580"/>
      <c r="K113" s="580"/>
      <c r="L113" s="580"/>
      <c r="M113" s="580"/>
      <c r="N113" s="580"/>
      <c r="O113" s="580"/>
      <c r="P113" s="580"/>
      <c r="Q113" s="580"/>
      <c r="R113" s="580"/>
      <c r="S113" s="580"/>
      <c r="T113" s="580"/>
      <c r="U113" s="580"/>
      <c r="V113" s="580"/>
      <c r="W113" s="580"/>
      <c r="X113" s="580"/>
      <c r="Y113" s="580"/>
      <c r="Z113" s="580"/>
      <c r="AA113" s="580"/>
      <c r="AB113" s="580"/>
    </row>
    <row r="114" ht="18.75" customHeight="1">
      <c r="A114" s="570"/>
      <c r="B114" s="570"/>
      <c r="C114" s="580"/>
      <c r="D114" s="580"/>
      <c r="E114" s="580"/>
      <c r="F114" s="580"/>
      <c r="G114" s="580"/>
      <c r="H114" s="580"/>
      <c r="I114" s="580"/>
      <c r="J114" s="580"/>
      <c r="K114" s="580"/>
      <c r="L114" s="580"/>
      <c r="M114" s="580"/>
      <c r="N114" s="580"/>
      <c r="O114" s="580"/>
      <c r="P114" s="580"/>
      <c r="Q114" s="580"/>
      <c r="R114" s="580"/>
      <c r="S114" s="580"/>
      <c r="T114" s="580"/>
      <c r="U114" s="580"/>
      <c r="V114" s="580"/>
      <c r="W114" s="580"/>
      <c r="X114" s="580"/>
      <c r="Y114" s="580"/>
      <c r="Z114" s="580"/>
      <c r="AA114" s="580"/>
      <c r="AB114" s="580"/>
    </row>
    <row r="115" ht="18.75" customHeight="1">
      <c r="A115" s="570"/>
      <c r="B115" s="570"/>
      <c r="C115" s="580"/>
      <c r="D115" s="580"/>
      <c r="E115" s="580"/>
      <c r="F115" s="580"/>
      <c r="G115" s="580"/>
      <c r="H115" s="580"/>
      <c r="I115" s="580"/>
      <c r="J115" s="580"/>
      <c r="K115" s="580"/>
      <c r="L115" s="580"/>
      <c r="M115" s="580"/>
      <c r="N115" s="580"/>
      <c r="O115" s="580"/>
      <c r="P115" s="580"/>
      <c r="Q115" s="580"/>
      <c r="R115" s="580"/>
      <c r="S115" s="580"/>
      <c r="T115" s="580"/>
      <c r="U115" s="580"/>
      <c r="V115" s="580"/>
      <c r="W115" s="580"/>
      <c r="X115" s="580"/>
      <c r="Y115" s="580"/>
      <c r="Z115" s="580"/>
      <c r="AA115" s="580"/>
      <c r="AB115" s="580"/>
    </row>
    <row r="116" ht="18.75" customHeight="1">
      <c r="A116" s="570"/>
      <c r="B116" s="570"/>
      <c r="C116" s="580"/>
      <c r="D116" s="580"/>
      <c r="E116" s="580"/>
      <c r="F116" s="580"/>
      <c r="G116" s="580"/>
      <c r="H116" s="580"/>
      <c r="I116" s="580"/>
      <c r="J116" s="580"/>
      <c r="K116" s="580"/>
      <c r="L116" s="580"/>
      <c r="M116" s="580"/>
      <c r="N116" s="580"/>
      <c r="O116" s="580"/>
      <c r="P116" s="580"/>
      <c r="Q116" s="580"/>
      <c r="R116" s="580"/>
      <c r="S116" s="580"/>
      <c r="T116" s="580"/>
      <c r="U116" s="580"/>
      <c r="V116" s="580"/>
      <c r="W116" s="580"/>
      <c r="X116" s="580"/>
      <c r="Y116" s="580"/>
      <c r="Z116" s="580"/>
      <c r="AA116" s="580"/>
      <c r="AB116" s="580"/>
    </row>
    <row r="117" ht="18.75" customHeight="1">
      <c r="A117" s="570"/>
      <c r="B117" s="570"/>
      <c r="C117" s="580"/>
      <c r="D117" s="580"/>
      <c r="E117" s="580"/>
      <c r="F117" s="580"/>
      <c r="G117" s="580"/>
      <c r="H117" s="580"/>
      <c r="I117" s="580"/>
      <c r="J117" s="580"/>
      <c r="K117" s="580"/>
      <c r="L117" s="580"/>
      <c r="M117" s="580"/>
      <c r="N117" s="580"/>
      <c r="O117" s="580"/>
      <c r="P117" s="580"/>
      <c r="Q117" s="580"/>
      <c r="R117" s="580"/>
      <c r="S117" s="580"/>
      <c r="T117" s="580"/>
      <c r="U117" s="580"/>
      <c r="V117" s="580"/>
      <c r="W117" s="580"/>
      <c r="X117" s="580"/>
      <c r="Y117" s="580"/>
      <c r="Z117" s="580"/>
      <c r="AA117" s="580"/>
      <c r="AB117" s="580"/>
    </row>
    <row r="118" ht="18.75" customHeight="1">
      <c r="A118" s="570"/>
      <c r="B118" s="570"/>
      <c r="C118" s="580"/>
      <c r="D118" s="580"/>
      <c r="E118" s="580"/>
      <c r="F118" s="580"/>
      <c r="G118" s="580"/>
      <c r="H118" s="580"/>
      <c r="I118" s="580"/>
      <c r="J118" s="580"/>
      <c r="K118" s="580"/>
      <c r="L118" s="580"/>
      <c r="M118" s="580"/>
      <c r="N118" s="580"/>
      <c r="O118" s="580"/>
      <c r="P118" s="580"/>
      <c r="Q118" s="580"/>
      <c r="R118" s="580"/>
      <c r="S118" s="580"/>
      <c r="T118" s="580"/>
      <c r="U118" s="580"/>
      <c r="V118" s="580"/>
      <c r="W118" s="580"/>
      <c r="X118" s="580"/>
      <c r="Y118" s="580"/>
      <c r="Z118" s="580"/>
      <c r="AA118" s="580"/>
      <c r="AB118" s="580"/>
    </row>
    <row r="119" ht="18.75" customHeight="1">
      <c r="A119" s="570"/>
      <c r="B119" s="570"/>
      <c r="C119" s="580"/>
      <c r="D119" s="580"/>
      <c r="E119" s="580"/>
      <c r="F119" s="580"/>
      <c r="G119" s="580"/>
      <c r="H119" s="580"/>
      <c r="I119" s="580"/>
      <c r="J119" s="580"/>
      <c r="K119" s="580"/>
      <c r="L119" s="580"/>
      <c r="M119" s="580"/>
      <c r="N119" s="580"/>
      <c r="O119" s="580"/>
      <c r="P119" s="580"/>
      <c r="Q119" s="580"/>
      <c r="R119" s="580"/>
      <c r="S119" s="580"/>
      <c r="T119" s="580"/>
      <c r="U119" s="580"/>
      <c r="V119" s="580"/>
      <c r="W119" s="580"/>
      <c r="X119" s="580"/>
      <c r="Y119" s="580"/>
      <c r="Z119" s="580"/>
      <c r="AA119" s="580"/>
      <c r="AB119" s="580"/>
    </row>
    <row r="120" ht="18.75" customHeight="1">
      <c r="A120" s="570"/>
      <c r="B120" s="570"/>
      <c r="C120" s="580"/>
      <c r="D120" s="580"/>
      <c r="E120" s="580"/>
      <c r="F120" s="580"/>
      <c r="G120" s="580"/>
      <c r="H120" s="580"/>
      <c r="I120" s="580"/>
      <c r="J120" s="580"/>
      <c r="K120" s="580"/>
      <c r="L120" s="580"/>
      <c r="M120" s="580"/>
      <c r="N120" s="580"/>
      <c r="O120" s="580"/>
      <c r="P120" s="580"/>
      <c r="Q120" s="580"/>
      <c r="R120" s="580"/>
      <c r="S120" s="580"/>
      <c r="T120" s="580"/>
      <c r="U120" s="580"/>
      <c r="V120" s="580"/>
      <c r="W120" s="580"/>
      <c r="X120" s="580"/>
      <c r="Y120" s="580"/>
      <c r="Z120" s="580"/>
      <c r="AA120" s="580"/>
      <c r="AB120" s="580"/>
    </row>
    <row r="121" ht="18.75" customHeight="1">
      <c r="A121" s="570"/>
      <c r="B121" s="570"/>
      <c r="C121" s="580"/>
      <c r="D121" s="580"/>
      <c r="E121" s="580"/>
      <c r="F121" s="580"/>
      <c r="G121" s="580"/>
      <c r="H121" s="580"/>
      <c r="I121" s="580"/>
      <c r="J121" s="580"/>
      <c r="K121" s="580"/>
      <c r="L121" s="580"/>
      <c r="M121" s="580"/>
      <c r="N121" s="580"/>
      <c r="O121" s="580"/>
      <c r="P121" s="580"/>
      <c r="Q121" s="580"/>
      <c r="R121" s="580"/>
      <c r="S121" s="580"/>
      <c r="T121" s="580"/>
      <c r="U121" s="580"/>
      <c r="V121" s="580"/>
      <c r="W121" s="580"/>
      <c r="X121" s="580"/>
      <c r="Y121" s="580"/>
      <c r="Z121" s="580"/>
      <c r="AA121" s="580"/>
      <c r="AB121" s="580"/>
    </row>
    <row r="122" ht="18.75" customHeight="1">
      <c r="A122" s="570"/>
      <c r="B122" s="570"/>
      <c r="C122" s="580"/>
      <c r="D122" s="580"/>
      <c r="E122" s="580"/>
      <c r="F122" s="580"/>
      <c r="G122" s="580"/>
      <c r="H122" s="580"/>
      <c r="I122" s="580"/>
      <c r="J122" s="580"/>
      <c r="K122" s="580"/>
      <c r="L122" s="580"/>
      <c r="M122" s="580"/>
      <c r="N122" s="580"/>
      <c r="O122" s="580"/>
      <c r="P122" s="580"/>
      <c r="Q122" s="580"/>
      <c r="R122" s="580"/>
      <c r="S122" s="580"/>
      <c r="T122" s="580"/>
      <c r="U122" s="580"/>
      <c r="V122" s="580"/>
      <c r="W122" s="580"/>
      <c r="X122" s="580"/>
      <c r="Y122" s="580"/>
      <c r="Z122" s="580"/>
      <c r="AA122" s="580"/>
      <c r="AB122" s="580"/>
    </row>
    <row r="123" ht="18.75" customHeight="1">
      <c r="A123" s="570"/>
      <c r="B123" s="570"/>
      <c r="C123" s="580"/>
      <c r="D123" s="580"/>
      <c r="E123" s="580"/>
      <c r="F123" s="580"/>
      <c r="G123" s="580"/>
      <c r="H123" s="580"/>
      <c r="I123" s="580"/>
      <c r="J123" s="580"/>
      <c r="K123" s="580"/>
      <c r="L123" s="580"/>
      <c r="M123" s="580"/>
      <c r="N123" s="580"/>
      <c r="O123" s="580"/>
      <c r="P123" s="580"/>
      <c r="Q123" s="580"/>
      <c r="R123" s="580"/>
      <c r="S123" s="580"/>
      <c r="T123" s="580"/>
      <c r="U123" s="580"/>
      <c r="V123" s="580"/>
      <c r="W123" s="580"/>
      <c r="X123" s="580"/>
      <c r="Y123" s="580"/>
      <c r="Z123" s="580"/>
      <c r="AA123" s="580"/>
      <c r="AB123" s="580"/>
    </row>
    <row r="124" ht="18.75" customHeight="1">
      <c r="A124" s="570"/>
      <c r="B124" s="570"/>
      <c r="C124" s="580"/>
      <c r="D124" s="580"/>
      <c r="E124" s="580"/>
      <c r="F124" s="580"/>
      <c r="G124" s="580"/>
      <c r="H124" s="580"/>
      <c r="I124" s="580"/>
      <c r="J124" s="580"/>
      <c r="K124" s="580"/>
      <c r="L124" s="580"/>
      <c r="M124" s="580"/>
      <c r="N124" s="580"/>
      <c r="O124" s="580"/>
      <c r="P124" s="580"/>
      <c r="Q124" s="580"/>
      <c r="R124" s="580"/>
      <c r="S124" s="580"/>
      <c r="T124" s="580"/>
      <c r="U124" s="580"/>
      <c r="V124" s="580"/>
      <c r="W124" s="580"/>
      <c r="X124" s="580"/>
      <c r="Y124" s="580"/>
      <c r="Z124" s="580"/>
      <c r="AA124" s="580"/>
      <c r="AB124" s="580"/>
    </row>
    <row r="125" ht="18.75" customHeight="1">
      <c r="A125" s="570"/>
      <c r="B125" s="570"/>
      <c r="C125" s="580"/>
      <c r="D125" s="580"/>
      <c r="E125" s="580"/>
      <c r="F125" s="580"/>
      <c r="G125" s="580"/>
      <c r="H125" s="580"/>
      <c r="I125" s="580"/>
      <c r="J125" s="580"/>
      <c r="K125" s="580"/>
      <c r="L125" s="580"/>
      <c r="M125" s="580"/>
      <c r="N125" s="580"/>
      <c r="O125" s="580"/>
      <c r="P125" s="580"/>
      <c r="Q125" s="580"/>
      <c r="R125" s="580"/>
      <c r="S125" s="580"/>
      <c r="T125" s="580"/>
      <c r="U125" s="580"/>
      <c r="V125" s="580"/>
      <c r="W125" s="580"/>
      <c r="X125" s="580"/>
      <c r="Y125" s="580"/>
      <c r="Z125" s="580"/>
      <c r="AA125" s="580"/>
      <c r="AB125" s="580"/>
    </row>
    <row r="126" ht="18.75" customHeight="1">
      <c r="A126" s="570"/>
      <c r="B126" s="570"/>
      <c r="C126" s="580"/>
      <c r="D126" s="580"/>
      <c r="E126" s="580"/>
      <c r="F126" s="580"/>
      <c r="G126" s="580"/>
      <c r="H126" s="580"/>
      <c r="I126" s="580"/>
      <c r="J126" s="580"/>
      <c r="K126" s="580"/>
      <c r="L126" s="580"/>
      <c r="M126" s="580"/>
      <c r="N126" s="580"/>
      <c r="O126" s="580"/>
      <c r="P126" s="580"/>
      <c r="Q126" s="580"/>
      <c r="R126" s="580"/>
      <c r="S126" s="580"/>
      <c r="T126" s="580"/>
      <c r="U126" s="580"/>
      <c r="V126" s="580"/>
      <c r="W126" s="580"/>
      <c r="X126" s="580"/>
      <c r="Y126" s="580"/>
      <c r="Z126" s="580"/>
      <c r="AA126" s="580"/>
      <c r="AB126" s="580"/>
    </row>
    <row r="127" ht="18.75" customHeight="1">
      <c r="A127" s="570"/>
      <c r="B127" s="570"/>
      <c r="C127" s="580"/>
      <c r="D127" s="580"/>
      <c r="E127" s="580"/>
      <c r="F127" s="580"/>
      <c r="G127" s="580"/>
      <c r="H127" s="580"/>
      <c r="I127" s="580"/>
      <c r="J127" s="580"/>
      <c r="K127" s="580"/>
      <c r="L127" s="580"/>
      <c r="M127" s="580"/>
      <c r="N127" s="580"/>
      <c r="O127" s="580"/>
      <c r="P127" s="580"/>
      <c r="Q127" s="580"/>
      <c r="R127" s="580"/>
      <c r="S127" s="580"/>
      <c r="T127" s="580"/>
      <c r="U127" s="580"/>
      <c r="V127" s="580"/>
      <c r="W127" s="580"/>
      <c r="X127" s="580"/>
      <c r="Y127" s="580"/>
      <c r="Z127" s="580"/>
      <c r="AA127" s="580"/>
      <c r="AB127" s="580"/>
    </row>
    <row r="128" ht="18.75" customHeight="1">
      <c r="A128" s="570"/>
      <c r="B128" s="570"/>
      <c r="C128" s="580"/>
      <c r="D128" s="580"/>
      <c r="E128" s="580"/>
      <c r="F128" s="580"/>
      <c r="G128" s="580"/>
      <c r="H128" s="580"/>
      <c r="I128" s="580"/>
      <c r="J128" s="580"/>
      <c r="K128" s="580"/>
      <c r="L128" s="580"/>
      <c r="M128" s="580"/>
      <c r="N128" s="580"/>
      <c r="O128" s="580"/>
      <c r="P128" s="580"/>
      <c r="Q128" s="580"/>
      <c r="R128" s="580"/>
      <c r="S128" s="580"/>
      <c r="T128" s="580"/>
      <c r="U128" s="580"/>
      <c r="V128" s="580"/>
      <c r="W128" s="580"/>
      <c r="X128" s="580"/>
      <c r="Y128" s="580"/>
      <c r="Z128" s="580"/>
      <c r="AA128" s="580"/>
      <c r="AB128" s="580"/>
    </row>
    <row r="129" ht="18.75" customHeight="1">
      <c r="A129" s="570"/>
      <c r="B129" s="570"/>
      <c r="C129" s="580"/>
      <c r="D129" s="580"/>
      <c r="E129" s="580"/>
      <c r="F129" s="580"/>
      <c r="G129" s="580"/>
      <c r="H129" s="580"/>
      <c r="I129" s="580"/>
      <c r="J129" s="580"/>
      <c r="K129" s="580"/>
      <c r="L129" s="580"/>
      <c r="M129" s="580"/>
      <c r="N129" s="580"/>
      <c r="O129" s="580"/>
      <c r="P129" s="580"/>
      <c r="Q129" s="580"/>
      <c r="R129" s="580"/>
      <c r="S129" s="580"/>
      <c r="T129" s="580"/>
      <c r="U129" s="580"/>
      <c r="V129" s="580"/>
      <c r="W129" s="580"/>
      <c r="X129" s="580"/>
      <c r="Y129" s="580"/>
      <c r="Z129" s="580"/>
      <c r="AA129" s="580"/>
      <c r="AB129" s="580"/>
    </row>
    <row r="130" ht="18.75" customHeight="1">
      <c r="A130" s="570"/>
      <c r="B130" s="570"/>
      <c r="C130" s="580"/>
      <c r="D130" s="580"/>
      <c r="E130" s="580"/>
      <c r="F130" s="580"/>
      <c r="G130" s="580"/>
      <c r="H130" s="580"/>
      <c r="I130" s="580"/>
      <c r="J130" s="580"/>
      <c r="K130" s="580"/>
      <c r="L130" s="580"/>
      <c r="M130" s="580"/>
      <c r="N130" s="580"/>
      <c r="O130" s="580"/>
      <c r="P130" s="580"/>
      <c r="Q130" s="580"/>
      <c r="R130" s="580"/>
      <c r="S130" s="580"/>
      <c r="T130" s="580"/>
      <c r="U130" s="580"/>
      <c r="V130" s="580"/>
      <c r="W130" s="580"/>
      <c r="X130" s="580"/>
      <c r="Y130" s="580"/>
      <c r="Z130" s="580"/>
      <c r="AA130" s="580"/>
      <c r="AB130" s="580"/>
    </row>
    <row r="131" ht="18.75" customHeight="1">
      <c r="A131" s="570"/>
      <c r="B131" s="570"/>
      <c r="C131" s="580"/>
      <c r="D131" s="580"/>
      <c r="E131" s="580"/>
      <c r="F131" s="580"/>
      <c r="G131" s="580"/>
      <c r="H131" s="580"/>
      <c r="I131" s="580"/>
      <c r="J131" s="580"/>
      <c r="K131" s="580"/>
      <c r="L131" s="580"/>
      <c r="M131" s="580"/>
      <c r="N131" s="580"/>
      <c r="O131" s="580"/>
      <c r="P131" s="580"/>
      <c r="Q131" s="580"/>
      <c r="R131" s="580"/>
      <c r="S131" s="580"/>
      <c r="T131" s="580"/>
      <c r="U131" s="580"/>
      <c r="V131" s="580"/>
      <c r="W131" s="580"/>
      <c r="X131" s="580"/>
      <c r="Y131" s="580"/>
      <c r="Z131" s="580"/>
      <c r="AA131" s="580"/>
      <c r="AB131" s="580"/>
    </row>
    <row r="132" ht="18.75" customHeight="1">
      <c r="A132" s="570"/>
      <c r="B132" s="570"/>
      <c r="C132" s="580"/>
      <c r="D132" s="580"/>
      <c r="E132" s="580"/>
      <c r="F132" s="580"/>
      <c r="G132" s="580"/>
      <c r="H132" s="580"/>
      <c r="I132" s="580"/>
      <c r="J132" s="580"/>
      <c r="K132" s="580"/>
      <c r="L132" s="580"/>
      <c r="M132" s="580"/>
      <c r="N132" s="580"/>
      <c r="O132" s="580"/>
      <c r="P132" s="580"/>
      <c r="Q132" s="580"/>
      <c r="R132" s="580"/>
      <c r="S132" s="580"/>
      <c r="T132" s="580"/>
      <c r="U132" s="580"/>
      <c r="V132" s="580"/>
      <c r="W132" s="580"/>
      <c r="X132" s="580"/>
      <c r="Y132" s="580"/>
      <c r="Z132" s="580"/>
      <c r="AA132" s="580"/>
      <c r="AB132" s="580"/>
    </row>
    <row r="133" ht="18.75" customHeight="1">
      <c r="A133" s="570"/>
      <c r="B133" s="570"/>
      <c r="C133" s="580"/>
      <c r="D133" s="580"/>
      <c r="E133" s="580"/>
      <c r="F133" s="580"/>
      <c r="G133" s="580"/>
      <c r="H133" s="580"/>
      <c r="I133" s="580"/>
      <c r="J133" s="580"/>
      <c r="K133" s="580"/>
      <c r="L133" s="580"/>
      <c r="M133" s="580"/>
      <c r="N133" s="580"/>
      <c r="O133" s="580"/>
      <c r="P133" s="580"/>
      <c r="Q133" s="580"/>
      <c r="R133" s="580"/>
      <c r="S133" s="580"/>
      <c r="T133" s="580"/>
      <c r="U133" s="580"/>
      <c r="V133" s="580"/>
      <c r="W133" s="580"/>
      <c r="X133" s="580"/>
      <c r="Y133" s="580"/>
      <c r="Z133" s="580"/>
      <c r="AA133" s="580"/>
      <c r="AB133" s="580"/>
    </row>
    <row r="134" ht="18.75" customHeight="1">
      <c r="A134" s="570"/>
      <c r="B134" s="570"/>
      <c r="C134" s="580"/>
      <c r="D134" s="580"/>
      <c r="E134" s="580"/>
      <c r="F134" s="580"/>
      <c r="G134" s="580"/>
      <c r="H134" s="580"/>
      <c r="I134" s="580"/>
      <c r="J134" s="580"/>
      <c r="K134" s="580"/>
      <c r="L134" s="580"/>
      <c r="M134" s="580"/>
      <c r="N134" s="580"/>
      <c r="O134" s="580"/>
      <c r="P134" s="580"/>
      <c r="Q134" s="580"/>
      <c r="R134" s="580"/>
      <c r="S134" s="580"/>
      <c r="T134" s="580"/>
      <c r="U134" s="580"/>
      <c r="V134" s="580"/>
      <c r="W134" s="580"/>
      <c r="X134" s="580"/>
      <c r="Y134" s="580"/>
      <c r="Z134" s="580"/>
      <c r="AA134" s="580"/>
      <c r="AB134" s="580"/>
    </row>
    <row r="135" ht="18.75" customHeight="1">
      <c r="A135" s="570"/>
      <c r="B135" s="570"/>
      <c r="C135" s="580"/>
      <c r="D135" s="580"/>
      <c r="E135" s="580"/>
      <c r="F135" s="580"/>
      <c r="G135" s="580"/>
      <c r="H135" s="580"/>
      <c r="I135" s="580"/>
      <c r="J135" s="580"/>
      <c r="K135" s="580"/>
      <c r="L135" s="580"/>
      <c r="M135" s="580"/>
      <c r="N135" s="580"/>
      <c r="O135" s="580"/>
      <c r="P135" s="580"/>
      <c r="Q135" s="580"/>
      <c r="R135" s="580"/>
      <c r="S135" s="580"/>
      <c r="T135" s="580"/>
      <c r="U135" s="580"/>
      <c r="V135" s="580"/>
      <c r="W135" s="580"/>
      <c r="X135" s="580"/>
      <c r="Y135" s="580"/>
      <c r="Z135" s="580"/>
      <c r="AA135" s="580"/>
      <c r="AB135" s="580"/>
    </row>
    <row r="136" ht="18.75" customHeight="1">
      <c r="A136" s="570"/>
      <c r="B136" s="570"/>
      <c r="C136" s="580"/>
      <c r="D136" s="580"/>
      <c r="E136" s="580"/>
      <c r="F136" s="580"/>
      <c r="G136" s="580"/>
      <c r="H136" s="580"/>
      <c r="I136" s="580"/>
      <c r="J136" s="580"/>
      <c r="K136" s="580"/>
      <c r="L136" s="580"/>
      <c r="M136" s="580"/>
      <c r="N136" s="580"/>
      <c r="O136" s="580"/>
      <c r="P136" s="580"/>
      <c r="Q136" s="580"/>
      <c r="R136" s="580"/>
      <c r="S136" s="580"/>
      <c r="T136" s="580"/>
      <c r="U136" s="580"/>
      <c r="V136" s="580"/>
      <c r="W136" s="580"/>
      <c r="X136" s="580"/>
      <c r="Y136" s="580"/>
      <c r="Z136" s="580"/>
      <c r="AA136" s="580"/>
      <c r="AB136" s="580"/>
    </row>
    <row r="137" ht="18.75" customHeight="1">
      <c r="A137" s="570"/>
      <c r="B137" s="570"/>
      <c r="C137" s="580"/>
      <c r="D137" s="580"/>
      <c r="E137" s="580"/>
      <c r="F137" s="580"/>
      <c r="G137" s="580"/>
      <c r="H137" s="580"/>
      <c r="I137" s="580"/>
      <c r="J137" s="580"/>
      <c r="K137" s="580"/>
      <c r="L137" s="580"/>
      <c r="M137" s="580"/>
      <c r="N137" s="580"/>
      <c r="O137" s="580"/>
      <c r="P137" s="580"/>
      <c r="Q137" s="580"/>
      <c r="R137" s="580"/>
      <c r="S137" s="580"/>
      <c r="T137" s="580"/>
      <c r="U137" s="580"/>
      <c r="V137" s="580"/>
      <c r="W137" s="580"/>
      <c r="X137" s="580"/>
      <c r="Y137" s="580"/>
      <c r="Z137" s="580"/>
      <c r="AA137" s="580"/>
      <c r="AB137" s="580"/>
    </row>
    <row r="138" ht="18.75" customHeight="1">
      <c r="A138" s="570"/>
      <c r="B138" s="570"/>
      <c r="C138" s="580"/>
      <c r="D138" s="580"/>
      <c r="E138" s="580"/>
      <c r="F138" s="580"/>
      <c r="G138" s="580"/>
      <c r="H138" s="580"/>
      <c r="I138" s="580"/>
      <c r="J138" s="580"/>
      <c r="K138" s="580"/>
      <c r="L138" s="580"/>
      <c r="M138" s="580"/>
      <c r="N138" s="580"/>
      <c r="O138" s="580"/>
      <c r="P138" s="580"/>
      <c r="Q138" s="580"/>
      <c r="R138" s="580"/>
      <c r="S138" s="580"/>
      <c r="T138" s="580"/>
      <c r="U138" s="580"/>
      <c r="V138" s="580"/>
      <c r="W138" s="580"/>
      <c r="X138" s="580"/>
      <c r="Y138" s="580"/>
      <c r="Z138" s="580"/>
      <c r="AA138" s="580"/>
      <c r="AB138" s="580"/>
    </row>
    <row r="139" ht="18.75" customHeight="1">
      <c r="A139" s="570"/>
      <c r="B139" s="570"/>
      <c r="C139" s="580"/>
      <c r="D139" s="580"/>
      <c r="E139" s="580"/>
      <c r="F139" s="580"/>
      <c r="G139" s="580"/>
      <c r="H139" s="580"/>
      <c r="I139" s="580"/>
      <c r="J139" s="580"/>
      <c r="K139" s="580"/>
      <c r="L139" s="580"/>
      <c r="M139" s="580"/>
      <c r="N139" s="580"/>
      <c r="O139" s="580"/>
      <c r="P139" s="580"/>
      <c r="Q139" s="580"/>
      <c r="R139" s="580"/>
      <c r="S139" s="580"/>
      <c r="T139" s="580"/>
      <c r="U139" s="580"/>
      <c r="V139" s="580"/>
      <c r="W139" s="580"/>
      <c r="X139" s="580"/>
      <c r="Y139" s="580"/>
      <c r="Z139" s="580"/>
      <c r="AA139" s="580"/>
      <c r="AB139" s="580"/>
    </row>
    <row r="140" ht="18.75" customHeight="1">
      <c r="A140" s="570"/>
      <c r="B140" s="570"/>
      <c r="C140" s="580"/>
      <c r="D140" s="580"/>
      <c r="E140" s="580"/>
      <c r="F140" s="580"/>
      <c r="G140" s="580"/>
      <c r="H140" s="580"/>
      <c r="I140" s="580"/>
      <c r="J140" s="580"/>
      <c r="K140" s="580"/>
      <c r="L140" s="580"/>
      <c r="M140" s="580"/>
      <c r="N140" s="580"/>
      <c r="O140" s="580"/>
      <c r="P140" s="580"/>
      <c r="Q140" s="580"/>
      <c r="R140" s="580"/>
      <c r="S140" s="580"/>
      <c r="T140" s="580"/>
      <c r="U140" s="580"/>
      <c r="V140" s="580"/>
      <c r="W140" s="580"/>
      <c r="X140" s="580"/>
      <c r="Y140" s="580"/>
      <c r="Z140" s="580"/>
      <c r="AA140" s="580"/>
      <c r="AB140" s="580"/>
    </row>
    <row r="141" ht="18.75" customHeight="1">
      <c r="A141" s="570"/>
      <c r="B141" s="570"/>
      <c r="C141" s="580"/>
      <c r="D141" s="580"/>
      <c r="E141" s="580"/>
      <c r="F141" s="580"/>
      <c r="G141" s="580"/>
      <c r="H141" s="580"/>
      <c r="I141" s="580"/>
      <c r="J141" s="580"/>
      <c r="K141" s="580"/>
      <c r="L141" s="580"/>
      <c r="M141" s="580"/>
      <c r="N141" s="580"/>
      <c r="O141" s="580"/>
      <c r="P141" s="580"/>
      <c r="Q141" s="580"/>
      <c r="R141" s="580"/>
      <c r="S141" s="580"/>
      <c r="T141" s="580"/>
      <c r="U141" s="580"/>
      <c r="V141" s="580"/>
      <c r="W141" s="580"/>
      <c r="X141" s="580"/>
      <c r="Y141" s="580"/>
      <c r="Z141" s="580"/>
      <c r="AA141" s="580"/>
      <c r="AB141" s="580"/>
    </row>
    <row r="142" ht="18.75" customHeight="1">
      <c r="A142" s="570"/>
      <c r="B142" s="570"/>
      <c r="C142" s="580"/>
      <c r="D142" s="580"/>
      <c r="E142" s="580"/>
      <c r="F142" s="580"/>
      <c r="G142" s="580"/>
      <c r="H142" s="580"/>
      <c r="I142" s="580"/>
      <c r="J142" s="580"/>
      <c r="K142" s="580"/>
      <c r="L142" s="580"/>
      <c r="M142" s="580"/>
      <c r="N142" s="580"/>
      <c r="O142" s="580"/>
      <c r="P142" s="580"/>
      <c r="Q142" s="580"/>
      <c r="R142" s="580"/>
      <c r="S142" s="580"/>
      <c r="T142" s="580"/>
      <c r="U142" s="580"/>
      <c r="V142" s="580"/>
      <c r="W142" s="580"/>
      <c r="X142" s="580"/>
      <c r="Y142" s="580"/>
      <c r="Z142" s="580"/>
      <c r="AA142" s="580"/>
      <c r="AB142" s="580"/>
    </row>
    <row r="143" ht="18.75" customHeight="1">
      <c r="A143" s="570"/>
      <c r="B143" s="570"/>
      <c r="C143" s="580"/>
      <c r="D143" s="580"/>
      <c r="E143" s="580"/>
      <c r="F143" s="580"/>
      <c r="G143" s="580"/>
      <c r="H143" s="580"/>
      <c r="I143" s="580"/>
      <c r="J143" s="580"/>
      <c r="K143" s="580"/>
      <c r="L143" s="580"/>
      <c r="M143" s="580"/>
      <c r="N143" s="580"/>
      <c r="O143" s="580"/>
      <c r="P143" s="580"/>
      <c r="Q143" s="580"/>
      <c r="R143" s="580"/>
      <c r="S143" s="580"/>
      <c r="T143" s="580"/>
      <c r="U143" s="580"/>
      <c r="V143" s="580"/>
      <c r="W143" s="580"/>
      <c r="X143" s="580"/>
      <c r="Y143" s="580"/>
      <c r="Z143" s="580"/>
      <c r="AA143" s="580"/>
      <c r="AB143" s="580"/>
    </row>
    <row r="144" ht="18.75" customHeight="1">
      <c r="A144" s="570"/>
      <c r="B144" s="570"/>
      <c r="C144" s="580"/>
      <c r="D144" s="580"/>
      <c r="E144" s="580"/>
      <c r="F144" s="580"/>
      <c r="G144" s="580"/>
      <c r="H144" s="580"/>
      <c r="I144" s="580"/>
      <c r="J144" s="580"/>
      <c r="K144" s="580"/>
      <c r="L144" s="580"/>
      <c r="M144" s="580"/>
      <c r="N144" s="580"/>
      <c r="O144" s="580"/>
      <c r="P144" s="580"/>
      <c r="Q144" s="580"/>
      <c r="R144" s="580"/>
      <c r="S144" s="580"/>
      <c r="T144" s="580"/>
      <c r="U144" s="580"/>
      <c r="V144" s="580"/>
      <c r="W144" s="580"/>
      <c r="X144" s="580"/>
      <c r="Y144" s="580"/>
      <c r="Z144" s="580"/>
      <c r="AA144" s="580"/>
      <c r="AB144" s="580"/>
    </row>
    <row r="145" ht="18.75" customHeight="1">
      <c r="A145" s="570"/>
      <c r="B145" s="570"/>
      <c r="C145" s="580"/>
      <c r="D145" s="580"/>
      <c r="E145" s="580"/>
      <c r="F145" s="580"/>
      <c r="G145" s="580"/>
      <c r="H145" s="580"/>
      <c r="I145" s="580"/>
      <c r="J145" s="580"/>
      <c r="K145" s="580"/>
      <c r="L145" s="580"/>
      <c r="M145" s="580"/>
      <c r="N145" s="580"/>
      <c r="O145" s="580"/>
      <c r="P145" s="580"/>
      <c r="Q145" s="580"/>
      <c r="R145" s="580"/>
      <c r="S145" s="580"/>
      <c r="T145" s="580"/>
      <c r="U145" s="580"/>
      <c r="V145" s="580"/>
      <c r="W145" s="580"/>
      <c r="X145" s="580"/>
      <c r="Y145" s="580"/>
      <c r="Z145" s="580"/>
      <c r="AA145" s="580"/>
      <c r="AB145" s="580"/>
    </row>
    <row r="146" ht="18.75" customHeight="1">
      <c r="A146" s="570"/>
      <c r="B146" s="570"/>
      <c r="C146" s="580"/>
      <c r="D146" s="580"/>
      <c r="E146" s="580"/>
      <c r="F146" s="580"/>
      <c r="G146" s="580"/>
      <c r="H146" s="580"/>
      <c r="I146" s="580"/>
      <c r="J146" s="580"/>
      <c r="K146" s="580"/>
      <c r="L146" s="580"/>
      <c r="M146" s="580"/>
      <c r="N146" s="580"/>
      <c r="O146" s="580"/>
      <c r="P146" s="580"/>
      <c r="Q146" s="580"/>
      <c r="R146" s="580"/>
      <c r="S146" s="580"/>
      <c r="T146" s="580"/>
      <c r="U146" s="580"/>
      <c r="V146" s="580"/>
      <c r="W146" s="580"/>
      <c r="X146" s="580"/>
      <c r="Y146" s="580"/>
      <c r="Z146" s="580"/>
      <c r="AA146" s="580"/>
      <c r="AB146" s="580"/>
    </row>
    <row r="147" ht="18.75" customHeight="1">
      <c r="A147" s="570"/>
      <c r="B147" s="570"/>
      <c r="C147" s="580"/>
      <c r="D147" s="580"/>
      <c r="E147" s="580"/>
      <c r="F147" s="580"/>
      <c r="G147" s="580"/>
      <c r="H147" s="580"/>
      <c r="I147" s="580"/>
      <c r="J147" s="580"/>
      <c r="K147" s="580"/>
      <c r="L147" s="580"/>
      <c r="M147" s="580"/>
      <c r="N147" s="580"/>
      <c r="O147" s="580"/>
      <c r="P147" s="580"/>
      <c r="Q147" s="580"/>
      <c r="R147" s="580"/>
      <c r="S147" s="580"/>
      <c r="T147" s="580"/>
      <c r="U147" s="580"/>
      <c r="V147" s="580"/>
      <c r="W147" s="580"/>
      <c r="X147" s="580"/>
      <c r="Y147" s="580"/>
      <c r="Z147" s="580"/>
      <c r="AA147" s="580"/>
      <c r="AB147" s="580"/>
    </row>
    <row r="148" ht="18.75" customHeight="1">
      <c r="A148" s="570"/>
      <c r="B148" s="570"/>
      <c r="C148" s="580"/>
      <c r="D148" s="580"/>
      <c r="E148" s="580"/>
      <c r="F148" s="580"/>
      <c r="G148" s="580"/>
      <c r="H148" s="580"/>
      <c r="I148" s="580"/>
      <c r="J148" s="580"/>
      <c r="K148" s="580"/>
      <c r="L148" s="580"/>
      <c r="M148" s="580"/>
      <c r="N148" s="580"/>
      <c r="O148" s="580"/>
      <c r="P148" s="580"/>
      <c r="Q148" s="580"/>
      <c r="R148" s="580"/>
      <c r="S148" s="580"/>
      <c r="T148" s="580"/>
      <c r="U148" s="580"/>
      <c r="V148" s="580"/>
      <c r="W148" s="580"/>
      <c r="X148" s="580"/>
      <c r="Y148" s="580"/>
      <c r="Z148" s="580"/>
      <c r="AA148" s="580"/>
      <c r="AB148" s="580"/>
    </row>
    <row r="149" ht="18.75" customHeight="1">
      <c r="A149" s="570"/>
      <c r="B149" s="570"/>
      <c r="C149" s="580"/>
      <c r="D149" s="580"/>
      <c r="E149" s="580"/>
      <c r="F149" s="580"/>
      <c r="G149" s="580"/>
      <c r="H149" s="580"/>
      <c r="I149" s="580"/>
      <c r="J149" s="580"/>
      <c r="K149" s="580"/>
      <c r="L149" s="580"/>
      <c r="M149" s="580"/>
      <c r="N149" s="580"/>
      <c r="O149" s="580"/>
      <c r="P149" s="580"/>
      <c r="Q149" s="580"/>
      <c r="R149" s="580"/>
      <c r="S149" s="580"/>
      <c r="T149" s="580"/>
      <c r="U149" s="580"/>
      <c r="V149" s="580"/>
      <c r="W149" s="580"/>
      <c r="X149" s="580"/>
      <c r="Y149" s="580"/>
      <c r="Z149" s="580"/>
      <c r="AA149" s="580"/>
      <c r="AB149" s="580"/>
    </row>
    <row r="150" ht="18.75" customHeight="1">
      <c r="A150" s="570"/>
      <c r="B150" s="570"/>
      <c r="C150" s="580"/>
      <c r="D150" s="580"/>
      <c r="E150" s="580"/>
      <c r="F150" s="580"/>
      <c r="G150" s="580"/>
      <c r="H150" s="580"/>
      <c r="I150" s="580"/>
      <c r="J150" s="580"/>
      <c r="K150" s="580"/>
      <c r="L150" s="580"/>
      <c r="M150" s="580"/>
      <c r="N150" s="580"/>
      <c r="O150" s="580"/>
      <c r="P150" s="580"/>
      <c r="Q150" s="580"/>
      <c r="R150" s="580"/>
      <c r="S150" s="580"/>
      <c r="T150" s="580"/>
      <c r="U150" s="580"/>
      <c r="V150" s="580"/>
      <c r="W150" s="580"/>
      <c r="X150" s="580"/>
      <c r="Y150" s="580"/>
      <c r="Z150" s="580"/>
      <c r="AA150" s="580"/>
      <c r="AB150" s="580"/>
    </row>
    <row r="151" ht="18.75" customHeight="1">
      <c r="A151" s="570"/>
      <c r="B151" s="570"/>
      <c r="C151" s="580"/>
      <c r="D151" s="580"/>
      <c r="E151" s="580"/>
      <c r="F151" s="580"/>
      <c r="G151" s="580"/>
      <c r="H151" s="580"/>
      <c r="I151" s="580"/>
      <c r="J151" s="580"/>
      <c r="K151" s="580"/>
      <c r="L151" s="580"/>
      <c r="M151" s="580"/>
      <c r="N151" s="580"/>
      <c r="O151" s="580"/>
      <c r="P151" s="580"/>
      <c r="Q151" s="580"/>
      <c r="R151" s="580"/>
      <c r="S151" s="580"/>
      <c r="T151" s="580"/>
      <c r="U151" s="580"/>
      <c r="V151" s="580"/>
      <c r="W151" s="580"/>
      <c r="X151" s="580"/>
      <c r="Y151" s="580"/>
      <c r="Z151" s="580"/>
      <c r="AA151" s="580"/>
      <c r="AB151" s="580"/>
    </row>
    <row r="152" ht="18.75" customHeight="1">
      <c r="A152" s="570"/>
      <c r="B152" s="570"/>
      <c r="C152" s="580"/>
      <c r="D152" s="580"/>
      <c r="E152" s="580"/>
      <c r="F152" s="580"/>
      <c r="G152" s="580"/>
      <c r="H152" s="580"/>
      <c r="I152" s="580"/>
      <c r="J152" s="580"/>
      <c r="K152" s="580"/>
      <c r="L152" s="580"/>
      <c r="M152" s="580"/>
      <c r="N152" s="580"/>
      <c r="O152" s="580"/>
      <c r="P152" s="580"/>
      <c r="Q152" s="580"/>
      <c r="R152" s="580"/>
      <c r="S152" s="580"/>
      <c r="T152" s="580"/>
      <c r="U152" s="580"/>
      <c r="V152" s="580"/>
      <c r="W152" s="580"/>
      <c r="X152" s="580"/>
      <c r="Y152" s="580"/>
      <c r="Z152" s="580"/>
      <c r="AA152" s="580"/>
      <c r="AB152" s="580"/>
    </row>
    <row r="153" ht="18.75" customHeight="1">
      <c r="A153" s="570"/>
      <c r="B153" s="570"/>
      <c r="C153" s="580"/>
      <c r="D153" s="580"/>
      <c r="E153" s="580"/>
      <c r="F153" s="580"/>
      <c r="G153" s="580"/>
      <c r="H153" s="580"/>
      <c r="I153" s="580"/>
      <c r="J153" s="580"/>
      <c r="K153" s="580"/>
      <c r="L153" s="580"/>
      <c r="M153" s="580"/>
      <c r="N153" s="580"/>
      <c r="O153" s="580"/>
      <c r="P153" s="580"/>
      <c r="Q153" s="580"/>
      <c r="R153" s="580"/>
      <c r="S153" s="580"/>
      <c r="T153" s="580"/>
      <c r="U153" s="580"/>
      <c r="V153" s="580"/>
      <c r="W153" s="580"/>
      <c r="X153" s="580"/>
      <c r="Y153" s="580"/>
      <c r="Z153" s="580"/>
      <c r="AA153" s="580"/>
      <c r="AB153" s="580"/>
    </row>
    <row r="154" ht="18.75" customHeight="1">
      <c r="A154" s="570"/>
      <c r="B154" s="570"/>
      <c r="C154" s="580"/>
      <c r="D154" s="580"/>
      <c r="E154" s="580"/>
      <c r="F154" s="580"/>
      <c r="G154" s="580"/>
      <c r="H154" s="580"/>
      <c r="I154" s="580"/>
      <c r="J154" s="580"/>
      <c r="K154" s="580"/>
      <c r="L154" s="580"/>
      <c r="M154" s="580"/>
      <c r="N154" s="580"/>
      <c r="O154" s="580"/>
      <c r="P154" s="580"/>
      <c r="Q154" s="580"/>
      <c r="R154" s="580"/>
      <c r="S154" s="580"/>
      <c r="T154" s="580"/>
      <c r="U154" s="580"/>
      <c r="V154" s="580"/>
      <c r="W154" s="580"/>
      <c r="X154" s="580"/>
      <c r="Y154" s="580"/>
      <c r="Z154" s="580"/>
      <c r="AA154" s="580"/>
      <c r="AB154" s="580"/>
    </row>
    <row r="155" ht="18.75" customHeight="1">
      <c r="A155" s="570"/>
      <c r="B155" s="570"/>
      <c r="C155" s="580"/>
      <c r="D155" s="580"/>
      <c r="E155" s="580"/>
      <c r="F155" s="580"/>
      <c r="G155" s="580"/>
      <c r="H155" s="580"/>
      <c r="I155" s="580"/>
      <c r="J155" s="580"/>
      <c r="K155" s="580"/>
      <c r="L155" s="580"/>
      <c r="M155" s="580"/>
      <c r="N155" s="580"/>
      <c r="O155" s="580"/>
      <c r="P155" s="580"/>
      <c r="Q155" s="580"/>
      <c r="R155" s="580"/>
      <c r="S155" s="580"/>
      <c r="T155" s="580"/>
      <c r="U155" s="580"/>
      <c r="V155" s="580"/>
      <c r="W155" s="580"/>
      <c r="X155" s="580"/>
      <c r="Y155" s="580"/>
      <c r="Z155" s="580"/>
      <c r="AA155" s="580"/>
      <c r="AB155" s="580"/>
    </row>
    <row r="156" ht="18.75" customHeight="1">
      <c r="A156" s="570"/>
      <c r="B156" s="570"/>
      <c r="C156" s="580"/>
      <c r="D156" s="580"/>
      <c r="E156" s="580"/>
      <c r="F156" s="580"/>
      <c r="G156" s="580"/>
      <c r="H156" s="580"/>
      <c r="I156" s="580"/>
      <c r="J156" s="580"/>
      <c r="K156" s="580"/>
      <c r="L156" s="580"/>
      <c r="M156" s="580"/>
      <c r="N156" s="580"/>
      <c r="O156" s="580"/>
      <c r="P156" s="580"/>
      <c r="Q156" s="580"/>
      <c r="R156" s="580"/>
      <c r="S156" s="580"/>
      <c r="T156" s="580"/>
      <c r="U156" s="580"/>
      <c r="V156" s="580"/>
      <c r="W156" s="580"/>
      <c r="X156" s="580"/>
      <c r="Y156" s="580"/>
      <c r="Z156" s="580"/>
      <c r="AA156" s="580"/>
      <c r="AB156" s="580"/>
    </row>
    <row r="157" ht="18.75" customHeight="1">
      <c r="A157" s="570"/>
      <c r="B157" s="570"/>
      <c r="C157" s="580"/>
      <c r="D157" s="580"/>
      <c r="E157" s="580"/>
      <c r="F157" s="580"/>
      <c r="G157" s="580"/>
      <c r="H157" s="580"/>
      <c r="I157" s="580"/>
      <c r="J157" s="580"/>
      <c r="K157" s="580"/>
      <c r="L157" s="580"/>
      <c r="M157" s="580"/>
      <c r="N157" s="580"/>
      <c r="O157" s="580"/>
      <c r="P157" s="580"/>
      <c r="Q157" s="580"/>
      <c r="R157" s="580"/>
      <c r="S157" s="580"/>
      <c r="T157" s="580"/>
      <c r="U157" s="580"/>
      <c r="V157" s="580"/>
      <c r="W157" s="580"/>
      <c r="X157" s="580"/>
      <c r="Y157" s="580"/>
      <c r="Z157" s="580"/>
      <c r="AA157" s="580"/>
      <c r="AB157" s="580"/>
    </row>
    <row r="158" ht="18.75" customHeight="1">
      <c r="A158" s="570"/>
      <c r="B158" s="570"/>
      <c r="C158" s="580"/>
      <c r="D158" s="580"/>
      <c r="E158" s="580"/>
      <c r="F158" s="580"/>
      <c r="G158" s="580"/>
      <c r="H158" s="580"/>
      <c r="I158" s="580"/>
      <c r="J158" s="580"/>
      <c r="K158" s="580"/>
      <c r="L158" s="580"/>
      <c r="M158" s="580"/>
      <c r="N158" s="580"/>
      <c r="O158" s="580"/>
      <c r="P158" s="580"/>
      <c r="Q158" s="580"/>
      <c r="R158" s="580"/>
      <c r="S158" s="580"/>
      <c r="T158" s="580"/>
      <c r="U158" s="580"/>
      <c r="V158" s="580"/>
      <c r="W158" s="580"/>
      <c r="X158" s="580"/>
      <c r="Y158" s="580"/>
      <c r="Z158" s="580"/>
      <c r="AA158" s="580"/>
      <c r="AB158" s="580"/>
    </row>
    <row r="159" ht="18.75" customHeight="1">
      <c r="A159" s="570"/>
      <c r="B159" s="570"/>
      <c r="C159" s="580"/>
      <c r="D159" s="580"/>
      <c r="E159" s="580"/>
      <c r="F159" s="580"/>
      <c r="G159" s="580"/>
      <c r="H159" s="580"/>
      <c r="I159" s="580"/>
      <c r="J159" s="580"/>
      <c r="K159" s="580"/>
      <c r="L159" s="580"/>
      <c r="M159" s="580"/>
      <c r="N159" s="580"/>
      <c r="O159" s="580"/>
      <c r="P159" s="580"/>
      <c r="Q159" s="580"/>
      <c r="R159" s="580"/>
      <c r="S159" s="580"/>
      <c r="T159" s="580"/>
      <c r="U159" s="580"/>
      <c r="V159" s="580"/>
      <c r="W159" s="580"/>
      <c r="X159" s="580"/>
      <c r="Y159" s="580"/>
      <c r="Z159" s="580"/>
      <c r="AA159" s="580"/>
      <c r="AB159" s="580"/>
    </row>
    <row r="160" ht="18.75" customHeight="1">
      <c r="A160" s="570"/>
      <c r="B160" s="570"/>
      <c r="C160" s="580"/>
      <c r="D160" s="580"/>
      <c r="E160" s="580"/>
      <c r="F160" s="580"/>
      <c r="G160" s="580"/>
      <c r="H160" s="580"/>
      <c r="I160" s="580"/>
      <c r="J160" s="580"/>
      <c r="K160" s="580"/>
      <c r="L160" s="580"/>
      <c r="M160" s="580"/>
      <c r="N160" s="580"/>
      <c r="O160" s="580"/>
      <c r="P160" s="580"/>
      <c r="Q160" s="580"/>
      <c r="R160" s="580"/>
      <c r="S160" s="580"/>
      <c r="T160" s="580"/>
      <c r="U160" s="580"/>
      <c r="V160" s="580"/>
      <c r="W160" s="580"/>
      <c r="X160" s="580"/>
      <c r="Y160" s="580"/>
      <c r="Z160" s="580"/>
      <c r="AA160" s="580"/>
      <c r="AB160" s="580"/>
    </row>
    <row r="161" ht="18.75" customHeight="1">
      <c r="A161" s="570"/>
      <c r="B161" s="570"/>
      <c r="C161" s="580"/>
      <c r="D161" s="580"/>
      <c r="E161" s="580"/>
      <c r="F161" s="580"/>
      <c r="G161" s="580"/>
      <c r="H161" s="580"/>
      <c r="I161" s="580"/>
      <c r="J161" s="580"/>
      <c r="K161" s="580"/>
      <c r="L161" s="580"/>
      <c r="M161" s="580"/>
      <c r="N161" s="580"/>
      <c r="O161" s="580"/>
      <c r="P161" s="580"/>
      <c r="Q161" s="580"/>
      <c r="R161" s="580"/>
      <c r="S161" s="580"/>
      <c r="T161" s="580"/>
      <c r="U161" s="580"/>
      <c r="V161" s="580"/>
      <c r="W161" s="580"/>
      <c r="X161" s="580"/>
      <c r="Y161" s="580"/>
      <c r="Z161" s="580"/>
      <c r="AA161" s="580"/>
      <c r="AB161" s="580"/>
    </row>
    <row r="162" ht="18.75" customHeight="1">
      <c r="A162" s="570"/>
      <c r="B162" s="570"/>
      <c r="C162" s="580"/>
      <c r="D162" s="580"/>
      <c r="E162" s="580"/>
      <c r="F162" s="580"/>
      <c r="G162" s="580"/>
      <c r="H162" s="580"/>
      <c r="I162" s="580"/>
      <c r="J162" s="580"/>
      <c r="K162" s="580"/>
      <c r="L162" s="580"/>
      <c r="M162" s="580"/>
      <c r="N162" s="580"/>
      <c r="O162" s="580"/>
      <c r="P162" s="580"/>
      <c r="Q162" s="580"/>
      <c r="R162" s="580"/>
      <c r="S162" s="580"/>
      <c r="T162" s="580"/>
      <c r="U162" s="580"/>
      <c r="V162" s="580"/>
      <c r="W162" s="580"/>
      <c r="X162" s="580"/>
      <c r="Y162" s="580"/>
      <c r="Z162" s="580"/>
      <c r="AA162" s="580"/>
      <c r="AB162" s="580"/>
    </row>
    <row r="163" ht="18.75" customHeight="1">
      <c r="A163" s="570"/>
      <c r="B163" s="570"/>
      <c r="C163" s="580"/>
      <c r="D163" s="580"/>
      <c r="E163" s="580"/>
      <c r="F163" s="580"/>
      <c r="G163" s="580"/>
      <c r="H163" s="580"/>
      <c r="I163" s="580"/>
      <c r="J163" s="580"/>
      <c r="K163" s="580"/>
      <c r="L163" s="580"/>
      <c r="M163" s="580"/>
      <c r="N163" s="580"/>
      <c r="O163" s="580"/>
      <c r="P163" s="580"/>
      <c r="Q163" s="580"/>
      <c r="R163" s="580"/>
      <c r="S163" s="580"/>
      <c r="T163" s="580"/>
      <c r="U163" s="580"/>
      <c r="V163" s="580"/>
      <c r="W163" s="580"/>
      <c r="X163" s="580"/>
      <c r="Y163" s="580"/>
      <c r="Z163" s="580"/>
      <c r="AA163" s="580"/>
      <c r="AB163" s="580"/>
    </row>
    <row r="164" ht="18.75" customHeight="1">
      <c r="A164" s="570"/>
      <c r="B164" s="570"/>
      <c r="C164" s="580"/>
      <c r="D164" s="580"/>
      <c r="E164" s="580"/>
      <c r="F164" s="580"/>
      <c r="G164" s="580"/>
      <c r="H164" s="580"/>
      <c r="I164" s="580"/>
      <c r="J164" s="580"/>
      <c r="K164" s="580"/>
      <c r="L164" s="580"/>
      <c r="M164" s="580"/>
      <c r="N164" s="580"/>
      <c r="O164" s="580"/>
      <c r="P164" s="580"/>
      <c r="Q164" s="580"/>
      <c r="R164" s="580"/>
      <c r="S164" s="580"/>
      <c r="T164" s="580"/>
      <c r="U164" s="580"/>
      <c r="V164" s="580"/>
      <c r="W164" s="580"/>
      <c r="X164" s="580"/>
      <c r="Y164" s="580"/>
      <c r="Z164" s="580"/>
      <c r="AA164" s="580"/>
      <c r="AB164" s="580"/>
    </row>
    <row r="165" ht="18.75" customHeight="1">
      <c r="A165" s="570"/>
      <c r="B165" s="570"/>
      <c r="C165" s="580"/>
      <c r="D165" s="580"/>
      <c r="E165" s="580"/>
      <c r="F165" s="580"/>
      <c r="G165" s="580"/>
      <c r="H165" s="580"/>
      <c r="I165" s="580"/>
      <c r="J165" s="580"/>
      <c r="K165" s="580"/>
      <c r="L165" s="580"/>
      <c r="M165" s="580"/>
      <c r="N165" s="580"/>
      <c r="O165" s="580"/>
      <c r="P165" s="580"/>
      <c r="Q165" s="580"/>
      <c r="R165" s="580"/>
      <c r="S165" s="580"/>
      <c r="T165" s="580"/>
      <c r="U165" s="580"/>
      <c r="V165" s="580"/>
      <c r="W165" s="580"/>
      <c r="X165" s="580"/>
      <c r="Y165" s="580"/>
      <c r="Z165" s="580"/>
      <c r="AA165" s="580"/>
      <c r="AB165" s="580"/>
    </row>
    <row r="166" ht="18.75" customHeight="1">
      <c r="A166" s="570"/>
      <c r="B166" s="570"/>
      <c r="C166" s="580"/>
      <c r="D166" s="580"/>
      <c r="E166" s="580"/>
      <c r="F166" s="580"/>
      <c r="G166" s="580"/>
      <c r="H166" s="580"/>
      <c r="I166" s="580"/>
      <c r="J166" s="580"/>
      <c r="K166" s="580"/>
      <c r="L166" s="580"/>
      <c r="M166" s="580"/>
      <c r="N166" s="580"/>
      <c r="O166" s="580"/>
      <c r="P166" s="580"/>
      <c r="Q166" s="580"/>
      <c r="R166" s="580"/>
      <c r="S166" s="580"/>
      <c r="T166" s="580"/>
      <c r="U166" s="580"/>
      <c r="V166" s="580"/>
      <c r="W166" s="580"/>
      <c r="X166" s="580"/>
      <c r="Y166" s="580"/>
      <c r="Z166" s="580"/>
      <c r="AA166" s="580"/>
      <c r="AB166" s="580"/>
    </row>
    <row r="167" ht="18.75" customHeight="1">
      <c r="A167" s="570"/>
      <c r="B167" s="570"/>
      <c r="C167" s="580"/>
      <c r="D167" s="580"/>
      <c r="E167" s="580"/>
      <c r="F167" s="580"/>
      <c r="G167" s="580"/>
      <c r="H167" s="580"/>
      <c r="I167" s="580"/>
      <c r="J167" s="580"/>
      <c r="K167" s="580"/>
      <c r="L167" s="580"/>
      <c r="M167" s="580"/>
      <c r="N167" s="580"/>
      <c r="O167" s="580"/>
      <c r="P167" s="580"/>
      <c r="Q167" s="580"/>
      <c r="R167" s="580"/>
      <c r="S167" s="580"/>
      <c r="T167" s="580"/>
      <c r="U167" s="580"/>
      <c r="V167" s="580"/>
      <c r="W167" s="580"/>
      <c r="X167" s="580"/>
      <c r="Y167" s="580"/>
      <c r="Z167" s="580"/>
      <c r="AA167" s="580"/>
      <c r="AB167" s="580"/>
    </row>
    <row r="168" ht="18.75" customHeight="1">
      <c r="A168" s="570"/>
      <c r="B168" s="570"/>
      <c r="C168" s="580"/>
      <c r="D168" s="580"/>
      <c r="E168" s="580"/>
      <c r="F168" s="580"/>
      <c r="G168" s="580"/>
      <c r="H168" s="580"/>
      <c r="I168" s="580"/>
      <c r="J168" s="580"/>
      <c r="K168" s="580"/>
      <c r="L168" s="580"/>
      <c r="M168" s="580"/>
      <c r="N168" s="580"/>
      <c r="O168" s="580"/>
      <c r="P168" s="580"/>
      <c r="Q168" s="580"/>
      <c r="R168" s="580"/>
      <c r="S168" s="580"/>
      <c r="T168" s="580"/>
      <c r="U168" s="580"/>
      <c r="V168" s="580"/>
      <c r="W168" s="580"/>
      <c r="X168" s="580"/>
      <c r="Y168" s="580"/>
      <c r="Z168" s="580"/>
      <c r="AA168" s="580"/>
      <c r="AB168" s="580"/>
    </row>
    <row r="169" ht="18.75" customHeight="1">
      <c r="A169" s="570"/>
      <c r="B169" s="570"/>
      <c r="C169" s="580"/>
      <c r="D169" s="580"/>
      <c r="E169" s="580"/>
      <c r="F169" s="580"/>
      <c r="G169" s="580"/>
      <c r="H169" s="580"/>
      <c r="I169" s="580"/>
      <c r="J169" s="580"/>
      <c r="K169" s="580"/>
      <c r="L169" s="580"/>
      <c r="M169" s="580"/>
      <c r="N169" s="580"/>
      <c r="O169" s="580"/>
      <c r="P169" s="580"/>
      <c r="Q169" s="580"/>
      <c r="R169" s="580"/>
      <c r="S169" s="580"/>
      <c r="T169" s="580"/>
      <c r="U169" s="580"/>
      <c r="V169" s="580"/>
      <c r="W169" s="580"/>
      <c r="X169" s="580"/>
      <c r="Y169" s="580"/>
      <c r="Z169" s="580"/>
      <c r="AA169" s="580"/>
      <c r="AB169" s="580"/>
    </row>
    <row r="170" ht="18.75" customHeight="1">
      <c r="A170" s="570"/>
      <c r="B170" s="570"/>
      <c r="C170" s="580"/>
      <c r="D170" s="580"/>
      <c r="E170" s="580"/>
      <c r="F170" s="580"/>
      <c r="G170" s="580"/>
      <c r="H170" s="580"/>
      <c r="I170" s="580"/>
      <c r="J170" s="580"/>
      <c r="K170" s="580"/>
      <c r="L170" s="580"/>
      <c r="M170" s="580"/>
      <c r="N170" s="580"/>
      <c r="O170" s="580"/>
      <c r="P170" s="580"/>
      <c r="Q170" s="580"/>
      <c r="R170" s="580"/>
      <c r="S170" s="580"/>
      <c r="T170" s="580"/>
      <c r="U170" s="580"/>
      <c r="V170" s="580"/>
      <c r="W170" s="580"/>
      <c r="X170" s="580"/>
      <c r="Y170" s="580"/>
      <c r="Z170" s="580"/>
      <c r="AA170" s="580"/>
      <c r="AB170" s="580"/>
    </row>
    <row r="171" ht="18.75" customHeight="1">
      <c r="A171" s="570"/>
      <c r="B171" s="570"/>
      <c r="C171" s="580"/>
      <c r="D171" s="580"/>
      <c r="E171" s="580"/>
      <c r="F171" s="580"/>
      <c r="G171" s="580"/>
      <c r="H171" s="580"/>
      <c r="I171" s="580"/>
      <c r="J171" s="580"/>
      <c r="K171" s="580"/>
      <c r="L171" s="580"/>
      <c r="M171" s="580"/>
      <c r="N171" s="580"/>
      <c r="O171" s="580"/>
      <c r="P171" s="580"/>
      <c r="Q171" s="580"/>
      <c r="R171" s="580"/>
      <c r="S171" s="580"/>
      <c r="T171" s="580"/>
      <c r="U171" s="580"/>
      <c r="V171" s="580"/>
      <c r="W171" s="580"/>
      <c r="X171" s="580"/>
      <c r="Y171" s="580"/>
      <c r="Z171" s="580"/>
      <c r="AA171" s="580"/>
      <c r="AB171" s="580"/>
    </row>
    <row r="172" ht="18.75" customHeight="1">
      <c r="A172" s="570"/>
      <c r="B172" s="570"/>
      <c r="C172" s="580"/>
      <c r="D172" s="580"/>
      <c r="E172" s="580"/>
      <c r="F172" s="580"/>
      <c r="G172" s="580"/>
      <c r="H172" s="580"/>
      <c r="I172" s="580"/>
      <c r="J172" s="580"/>
      <c r="K172" s="580"/>
      <c r="L172" s="580"/>
      <c r="M172" s="580"/>
      <c r="N172" s="580"/>
      <c r="O172" s="580"/>
      <c r="P172" s="580"/>
      <c r="Q172" s="580"/>
      <c r="R172" s="580"/>
      <c r="S172" s="580"/>
      <c r="T172" s="580"/>
      <c r="U172" s="580"/>
      <c r="V172" s="580"/>
      <c r="W172" s="580"/>
      <c r="X172" s="580"/>
      <c r="Y172" s="580"/>
      <c r="Z172" s="580"/>
      <c r="AA172" s="580"/>
      <c r="AB172" s="580"/>
    </row>
    <row r="173" ht="18.75" customHeight="1">
      <c r="A173" s="570"/>
      <c r="B173" s="570"/>
      <c r="C173" s="580"/>
      <c r="D173" s="580"/>
      <c r="E173" s="580"/>
      <c r="F173" s="580"/>
      <c r="G173" s="580"/>
      <c r="H173" s="580"/>
      <c r="I173" s="580"/>
      <c r="J173" s="580"/>
      <c r="K173" s="580"/>
      <c r="L173" s="580"/>
      <c r="M173" s="580"/>
      <c r="N173" s="580"/>
      <c r="O173" s="580"/>
      <c r="P173" s="580"/>
      <c r="Q173" s="580"/>
      <c r="R173" s="580"/>
      <c r="S173" s="580"/>
      <c r="T173" s="580"/>
      <c r="U173" s="580"/>
      <c r="V173" s="580"/>
      <c r="W173" s="580"/>
      <c r="X173" s="580"/>
      <c r="Y173" s="580"/>
      <c r="Z173" s="580"/>
      <c r="AA173" s="580"/>
      <c r="AB173" s="580"/>
    </row>
    <row r="174" ht="18.75" customHeight="1">
      <c r="A174" s="570"/>
      <c r="B174" s="570"/>
      <c r="C174" s="580"/>
      <c r="D174" s="580"/>
      <c r="E174" s="580"/>
      <c r="F174" s="580"/>
      <c r="G174" s="580"/>
      <c r="H174" s="580"/>
      <c r="I174" s="580"/>
      <c r="J174" s="580"/>
      <c r="K174" s="580"/>
      <c r="L174" s="580"/>
      <c r="M174" s="580"/>
      <c r="N174" s="580"/>
      <c r="O174" s="580"/>
      <c r="P174" s="580"/>
      <c r="Q174" s="580"/>
      <c r="R174" s="580"/>
      <c r="S174" s="580"/>
      <c r="T174" s="580"/>
      <c r="U174" s="580"/>
      <c r="V174" s="580"/>
      <c r="W174" s="580"/>
      <c r="X174" s="580"/>
      <c r="Y174" s="580"/>
      <c r="Z174" s="580"/>
      <c r="AA174" s="580"/>
      <c r="AB174" s="580"/>
    </row>
    <row r="175" ht="15.75" customHeight="1">
      <c r="A175" s="570"/>
      <c r="B175" s="570"/>
      <c r="C175" s="580"/>
      <c r="D175" s="580"/>
      <c r="E175" s="580"/>
      <c r="F175" s="580"/>
      <c r="G175" s="580"/>
      <c r="H175" s="580"/>
      <c r="I175" s="580"/>
      <c r="J175" s="580"/>
      <c r="K175" s="580"/>
      <c r="L175" s="580"/>
      <c r="M175" s="580"/>
      <c r="N175" s="580"/>
      <c r="O175" s="580"/>
      <c r="P175" s="580"/>
      <c r="Q175" s="580"/>
      <c r="R175" s="580"/>
      <c r="S175" s="580"/>
      <c r="T175" s="580"/>
      <c r="U175" s="580"/>
      <c r="V175" s="580"/>
      <c r="W175" s="580"/>
      <c r="X175" s="580"/>
      <c r="Y175" s="580"/>
      <c r="Z175" s="580"/>
      <c r="AA175" s="580"/>
      <c r="AB175" s="580"/>
    </row>
    <row r="176" ht="15.75" customHeight="1">
      <c r="A176" s="570"/>
      <c r="B176" s="570"/>
      <c r="C176" s="580"/>
      <c r="D176" s="580"/>
      <c r="E176" s="580"/>
      <c r="F176" s="580"/>
      <c r="G176" s="580"/>
      <c r="H176" s="580"/>
      <c r="I176" s="580"/>
      <c r="J176" s="580"/>
      <c r="K176" s="580"/>
      <c r="L176" s="580"/>
      <c r="M176" s="580"/>
      <c r="N176" s="580"/>
      <c r="O176" s="580"/>
      <c r="P176" s="580"/>
      <c r="Q176" s="580"/>
      <c r="R176" s="580"/>
      <c r="S176" s="580"/>
      <c r="T176" s="580"/>
      <c r="U176" s="580"/>
      <c r="V176" s="580"/>
      <c r="W176" s="580"/>
      <c r="X176" s="580"/>
      <c r="Y176" s="580"/>
      <c r="Z176" s="580"/>
      <c r="AA176" s="580"/>
      <c r="AB176" s="580"/>
    </row>
    <row r="177" ht="15.75" customHeight="1">
      <c r="A177" s="570"/>
      <c r="B177" s="570"/>
      <c r="C177" s="580"/>
      <c r="D177" s="580"/>
      <c r="E177" s="580"/>
      <c r="F177" s="580"/>
      <c r="G177" s="580"/>
      <c r="H177" s="580"/>
      <c r="I177" s="580"/>
      <c r="J177" s="580"/>
      <c r="K177" s="580"/>
      <c r="L177" s="580"/>
      <c r="M177" s="580"/>
      <c r="N177" s="580"/>
      <c r="O177" s="580"/>
      <c r="P177" s="580"/>
      <c r="Q177" s="580"/>
      <c r="R177" s="580"/>
      <c r="S177" s="580"/>
      <c r="T177" s="580"/>
      <c r="U177" s="580"/>
      <c r="V177" s="580"/>
      <c r="W177" s="580"/>
      <c r="X177" s="580"/>
      <c r="Y177" s="580"/>
      <c r="Z177" s="580"/>
      <c r="AA177" s="580"/>
      <c r="AB177" s="580"/>
    </row>
    <row r="178" ht="15.75" customHeight="1">
      <c r="A178" s="570"/>
      <c r="B178" s="570"/>
      <c r="C178" s="580"/>
      <c r="D178" s="580"/>
      <c r="E178" s="580"/>
      <c r="F178" s="580"/>
      <c r="G178" s="580"/>
      <c r="H178" s="580"/>
      <c r="I178" s="580"/>
      <c r="J178" s="580"/>
      <c r="K178" s="580"/>
      <c r="L178" s="580"/>
      <c r="M178" s="580"/>
      <c r="N178" s="580"/>
      <c r="O178" s="580"/>
      <c r="P178" s="580"/>
      <c r="Q178" s="580"/>
      <c r="R178" s="580"/>
      <c r="S178" s="580"/>
      <c r="T178" s="580"/>
      <c r="U178" s="580"/>
      <c r="V178" s="580"/>
      <c r="W178" s="580"/>
      <c r="X178" s="580"/>
      <c r="Y178" s="580"/>
      <c r="Z178" s="580"/>
      <c r="AA178" s="580"/>
      <c r="AB178" s="580"/>
    </row>
    <row r="179" ht="15.75" customHeight="1">
      <c r="A179" s="570"/>
      <c r="B179" s="570"/>
      <c r="C179" s="580"/>
      <c r="D179" s="580"/>
      <c r="E179" s="580"/>
      <c r="F179" s="580"/>
      <c r="G179" s="580"/>
      <c r="H179" s="580"/>
      <c r="I179" s="580"/>
      <c r="J179" s="580"/>
      <c r="K179" s="580"/>
      <c r="L179" s="580"/>
      <c r="M179" s="580"/>
      <c r="N179" s="580"/>
      <c r="O179" s="580"/>
      <c r="P179" s="580"/>
      <c r="Q179" s="580"/>
      <c r="R179" s="580"/>
      <c r="S179" s="580"/>
      <c r="T179" s="580"/>
      <c r="U179" s="580"/>
      <c r="V179" s="580"/>
      <c r="W179" s="580"/>
      <c r="X179" s="580"/>
      <c r="Y179" s="580"/>
      <c r="Z179" s="580"/>
      <c r="AA179" s="580"/>
      <c r="AB179" s="580"/>
    </row>
    <row r="180" ht="15.75" customHeight="1">
      <c r="A180" s="570"/>
      <c r="B180" s="570"/>
      <c r="C180" s="580"/>
      <c r="D180" s="580"/>
      <c r="E180" s="580"/>
      <c r="F180" s="580"/>
      <c r="G180" s="580"/>
      <c r="H180" s="580"/>
      <c r="I180" s="580"/>
      <c r="J180" s="580"/>
      <c r="K180" s="580"/>
      <c r="L180" s="580"/>
      <c r="M180" s="580"/>
      <c r="N180" s="580"/>
      <c r="O180" s="580"/>
      <c r="P180" s="580"/>
      <c r="Q180" s="580"/>
      <c r="R180" s="580"/>
      <c r="S180" s="580"/>
      <c r="T180" s="580"/>
      <c r="U180" s="580"/>
      <c r="V180" s="580"/>
      <c r="W180" s="580"/>
      <c r="X180" s="580"/>
      <c r="Y180" s="580"/>
      <c r="Z180" s="580"/>
      <c r="AA180" s="580"/>
      <c r="AB180" s="580"/>
    </row>
    <row r="181" ht="15.75" customHeight="1">
      <c r="A181" s="570"/>
      <c r="B181" s="570"/>
      <c r="C181" s="580"/>
      <c r="D181" s="580"/>
      <c r="E181" s="580"/>
      <c r="F181" s="580"/>
      <c r="G181" s="580"/>
      <c r="H181" s="580"/>
      <c r="I181" s="580"/>
      <c r="J181" s="580"/>
      <c r="K181" s="580"/>
      <c r="L181" s="580"/>
      <c r="M181" s="580"/>
      <c r="N181" s="580"/>
      <c r="O181" s="580"/>
      <c r="P181" s="580"/>
      <c r="Q181" s="580"/>
      <c r="R181" s="580"/>
      <c r="S181" s="580"/>
      <c r="T181" s="580"/>
      <c r="U181" s="580"/>
      <c r="V181" s="580"/>
      <c r="W181" s="580"/>
      <c r="X181" s="580"/>
      <c r="Y181" s="580"/>
      <c r="Z181" s="580"/>
      <c r="AA181" s="580"/>
      <c r="AB181" s="580"/>
    </row>
    <row r="182" ht="15.75" customHeight="1">
      <c r="A182" s="570"/>
      <c r="B182" s="570"/>
      <c r="C182" s="580"/>
      <c r="D182" s="580"/>
      <c r="E182" s="580"/>
      <c r="F182" s="580"/>
      <c r="G182" s="580"/>
      <c r="H182" s="580"/>
      <c r="I182" s="580"/>
      <c r="J182" s="580"/>
      <c r="K182" s="580"/>
      <c r="L182" s="580"/>
      <c r="M182" s="580"/>
      <c r="N182" s="580"/>
      <c r="O182" s="580"/>
      <c r="P182" s="580"/>
      <c r="Q182" s="580"/>
      <c r="R182" s="580"/>
      <c r="S182" s="580"/>
      <c r="T182" s="580"/>
      <c r="U182" s="580"/>
      <c r="V182" s="580"/>
      <c r="W182" s="580"/>
      <c r="X182" s="580"/>
      <c r="Y182" s="580"/>
      <c r="Z182" s="580"/>
      <c r="AA182" s="580"/>
      <c r="AB182" s="580"/>
    </row>
    <row r="183" ht="15.75" customHeight="1">
      <c r="A183" s="570"/>
      <c r="B183" s="570"/>
      <c r="C183" s="580"/>
      <c r="D183" s="580"/>
      <c r="E183" s="580"/>
      <c r="F183" s="580"/>
      <c r="G183" s="580"/>
      <c r="H183" s="580"/>
      <c r="I183" s="580"/>
      <c r="J183" s="580"/>
      <c r="K183" s="580"/>
      <c r="L183" s="580"/>
      <c r="M183" s="580"/>
      <c r="N183" s="580"/>
      <c r="O183" s="580"/>
      <c r="P183" s="580"/>
      <c r="Q183" s="580"/>
      <c r="R183" s="580"/>
      <c r="S183" s="580"/>
      <c r="T183" s="580"/>
      <c r="U183" s="580"/>
      <c r="V183" s="580"/>
      <c r="W183" s="580"/>
      <c r="X183" s="580"/>
      <c r="Y183" s="580"/>
      <c r="Z183" s="580"/>
      <c r="AA183" s="580"/>
      <c r="AB183" s="580"/>
    </row>
    <row r="184" ht="15.75" customHeight="1">
      <c r="A184" s="570"/>
      <c r="B184" s="570"/>
      <c r="C184" s="580"/>
      <c r="D184" s="580"/>
      <c r="E184" s="580"/>
      <c r="F184" s="580"/>
      <c r="G184" s="580"/>
      <c r="H184" s="580"/>
      <c r="I184" s="580"/>
      <c r="J184" s="580"/>
      <c r="K184" s="580"/>
      <c r="L184" s="580"/>
      <c r="M184" s="580"/>
      <c r="N184" s="580"/>
      <c r="O184" s="580"/>
      <c r="P184" s="580"/>
      <c r="Q184" s="580"/>
      <c r="R184" s="580"/>
      <c r="S184" s="580"/>
      <c r="T184" s="580"/>
      <c r="U184" s="580"/>
      <c r="V184" s="580"/>
      <c r="W184" s="580"/>
      <c r="X184" s="580"/>
      <c r="Y184" s="580"/>
      <c r="Z184" s="580"/>
      <c r="AA184" s="580"/>
      <c r="AB184" s="580"/>
    </row>
    <row r="185" ht="15.75" customHeight="1">
      <c r="A185" s="570"/>
      <c r="B185" s="570"/>
      <c r="C185" s="580"/>
      <c r="D185" s="580"/>
      <c r="E185" s="580"/>
      <c r="F185" s="580"/>
      <c r="G185" s="580"/>
      <c r="H185" s="580"/>
      <c r="I185" s="580"/>
      <c r="J185" s="580"/>
      <c r="K185" s="580"/>
      <c r="L185" s="580"/>
      <c r="M185" s="580"/>
      <c r="N185" s="580"/>
      <c r="O185" s="580"/>
      <c r="P185" s="580"/>
      <c r="Q185" s="580"/>
      <c r="R185" s="580"/>
      <c r="S185" s="580"/>
      <c r="T185" s="580"/>
      <c r="U185" s="580"/>
      <c r="V185" s="580"/>
      <c r="W185" s="580"/>
      <c r="X185" s="580"/>
      <c r="Y185" s="580"/>
      <c r="Z185" s="580"/>
      <c r="AA185" s="580"/>
      <c r="AB185" s="580"/>
    </row>
    <row r="186" ht="15.75" customHeight="1">
      <c r="A186" s="570"/>
      <c r="B186" s="570"/>
      <c r="C186" s="580"/>
      <c r="D186" s="580"/>
      <c r="E186" s="580"/>
      <c r="F186" s="580"/>
      <c r="G186" s="580"/>
      <c r="H186" s="580"/>
      <c r="I186" s="580"/>
      <c r="J186" s="580"/>
      <c r="K186" s="580"/>
      <c r="L186" s="580"/>
      <c r="M186" s="580"/>
      <c r="N186" s="580"/>
      <c r="O186" s="580"/>
      <c r="P186" s="580"/>
      <c r="Q186" s="580"/>
      <c r="R186" s="580"/>
      <c r="S186" s="580"/>
      <c r="T186" s="580"/>
      <c r="U186" s="580"/>
      <c r="V186" s="580"/>
      <c r="W186" s="580"/>
      <c r="X186" s="580"/>
      <c r="Y186" s="580"/>
      <c r="Z186" s="580"/>
      <c r="AA186" s="580"/>
      <c r="AB186" s="580"/>
    </row>
    <row r="187" ht="15.75" customHeight="1">
      <c r="A187" s="570"/>
      <c r="B187" s="570"/>
      <c r="C187" s="580"/>
      <c r="D187" s="580"/>
      <c r="E187" s="580"/>
      <c r="F187" s="580"/>
      <c r="G187" s="580"/>
      <c r="H187" s="580"/>
      <c r="I187" s="580"/>
      <c r="J187" s="580"/>
      <c r="K187" s="580"/>
      <c r="L187" s="580"/>
      <c r="M187" s="580"/>
      <c r="N187" s="580"/>
      <c r="O187" s="580"/>
      <c r="P187" s="580"/>
      <c r="Q187" s="580"/>
      <c r="R187" s="580"/>
      <c r="S187" s="580"/>
      <c r="T187" s="580"/>
      <c r="U187" s="580"/>
      <c r="V187" s="580"/>
      <c r="W187" s="580"/>
      <c r="X187" s="580"/>
      <c r="Y187" s="580"/>
      <c r="Z187" s="580"/>
      <c r="AA187" s="580"/>
      <c r="AB187" s="580"/>
    </row>
    <row r="188" ht="15.75" customHeight="1">
      <c r="A188" s="570"/>
      <c r="B188" s="570"/>
      <c r="C188" s="580"/>
      <c r="D188" s="580"/>
      <c r="E188" s="580"/>
      <c r="F188" s="580"/>
      <c r="G188" s="580"/>
      <c r="H188" s="580"/>
      <c r="I188" s="580"/>
      <c r="J188" s="580"/>
      <c r="K188" s="580"/>
      <c r="L188" s="580"/>
      <c r="M188" s="580"/>
      <c r="N188" s="580"/>
      <c r="O188" s="580"/>
      <c r="P188" s="580"/>
      <c r="Q188" s="580"/>
      <c r="R188" s="580"/>
      <c r="S188" s="580"/>
      <c r="T188" s="580"/>
      <c r="U188" s="580"/>
      <c r="V188" s="580"/>
      <c r="W188" s="580"/>
      <c r="X188" s="580"/>
      <c r="Y188" s="580"/>
      <c r="Z188" s="580"/>
      <c r="AA188" s="580"/>
      <c r="AB188" s="580"/>
    </row>
    <row r="189" ht="15.75" customHeight="1">
      <c r="A189" s="570"/>
      <c r="B189" s="570"/>
      <c r="C189" s="580"/>
      <c r="D189" s="580"/>
      <c r="E189" s="580"/>
      <c r="F189" s="580"/>
      <c r="G189" s="580"/>
      <c r="H189" s="580"/>
      <c r="I189" s="580"/>
      <c r="J189" s="580"/>
      <c r="K189" s="580"/>
      <c r="L189" s="580"/>
      <c r="M189" s="580"/>
      <c r="N189" s="580"/>
      <c r="O189" s="580"/>
      <c r="P189" s="580"/>
      <c r="Q189" s="580"/>
      <c r="R189" s="580"/>
      <c r="S189" s="580"/>
      <c r="T189" s="580"/>
      <c r="U189" s="580"/>
      <c r="V189" s="580"/>
      <c r="W189" s="580"/>
      <c r="X189" s="580"/>
      <c r="Y189" s="580"/>
      <c r="Z189" s="580"/>
      <c r="AA189" s="580"/>
      <c r="AB189" s="580"/>
    </row>
    <row r="190" ht="15.75" customHeight="1">
      <c r="A190" s="570"/>
      <c r="B190" s="570"/>
      <c r="C190" s="580"/>
      <c r="D190" s="580"/>
      <c r="E190" s="580"/>
      <c r="F190" s="580"/>
      <c r="G190" s="580"/>
      <c r="H190" s="580"/>
      <c r="I190" s="580"/>
      <c r="J190" s="580"/>
      <c r="K190" s="580"/>
      <c r="L190" s="580"/>
      <c r="M190" s="580"/>
      <c r="N190" s="580"/>
      <c r="O190" s="580"/>
      <c r="P190" s="580"/>
      <c r="Q190" s="580"/>
      <c r="R190" s="580"/>
      <c r="S190" s="580"/>
      <c r="T190" s="580"/>
      <c r="U190" s="580"/>
      <c r="V190" s="580"/>
      <c r="W190" s="580"/>
      <c r="X190" s="580"/>
      <c r="Y190" s="580"/>
      <c r="Z190" s="580"/>
      <c r="AA190" s="580"/>
      <c r="AB190" s="580"/>
    </row>
    <row r="191" ht="15.75" customHeight="1">
      <c r="A191" s="570"/>
      <c r="B191" s="570"/>
      <c r="C191" s="580"/>
      <c r="D191" s="580"/>
      <c r="E191" s="580"/>
      <c r="F191" s="580"/>
      <c r="G191" s="580"/>
      <c r="H191" s="580"/>
      <c r="I191" s="580"/>
      <c r="J191" s="580"/>
      <c r="K191" s="580"/>
      <c r="L191" s="580"/>
      <c r="M191" s="580"/>
      <c r="N191" s="580"/>
      <c r="O191" s="580"/>
      <c r="P191" s="580"/>
      <c r="Q191" s="580"/>
      <c r="R191" s="580"/>
      <c r="S191" s="580"/>
      <c r="T191" s="580"/>
      <c r="U191" s="580"/>
      <c r="V191" s="580"/>
      <c r="W191" s="580"/>
      <c r="X191" s="580"/>
      <c r="Y191" s="580"/>
      <c r="Z191" s="580"/>
      <c r="AA191" s="580"/>
      <c r="AB191" s="580"/>
    </row>
    <row r="192" ht="15.75" customHeight="1">
      <c r="A192" s="570"/>
      <c r="B192" s="570"/>
      <c r="C192" s="580"/>
      <c r="D192" s="580"/>
      <c r="E192" s="580"/>
      <c r="F192" s="580"/>
      <c r="G192" s="580"/>
      <c r="H192" s="580"/>
      <c r="I192" s="580"/>
      <c r="J192" s="580"/>
      <c r="K192" s="580"/>
      <c r="L192" s="580"/>
      <c r="M192" s="580"/>
      <c r="N192" s="580"/>
      <c r="O192" s="580"/>
      <c r="P192" s="580"/>
      <c r="Q192" s="580"/>
      <c r="R192" s="580"/>
      <c r="S192" s="580"/>
      <c r="T192" s="580"/>
      <c r="U192" s="580"/>
      <c r="V192" s="580"/>
      <c r="W192" s="580"/>
      <c r="X192" s="580"/>
      <c r="Y192" s="580"/>
      <c r="Z192" s="580"/>
      <c r="AA192" s="580"/>
      <c r="AB192" s="580"/>
    </row>
    <row r="193" ht="15.75" customHeight="1">
      <c r="A193" s="570"/>
      <c r="B193" s="570"/>
      <c r="C193" s="580"/>
      <c r="D193" s="580"/>
      <c r="E193" s="580"/>
      <c r="F193" s="580"/>
      <c r="G193" s="580"/>
      <c r="H193" s="580"/>
      <c r="I193" s="580"/>
      <c r="J193" s="580"/>
      <c r="K193" s="580"/>
      <c r="L193" s="580"/>
      <c r="M193" s="580"/>
      <c r="N193" s="580"/>
      <c r="O193" s="580"/>
      <c r="P193" s="580"/>
      <c r="Q193" s="580"/>
      <c r="R193" s="580"/>
      <c r="S193" s="580"/>
      <c r="T193" s="580"/>
      <c r="U193" s="580"/>
      <c r="V193" s="580"/>
      <c r="W193" s="580"/>
      <c r="X193" s="580"/>
      <c r="Y193" s="580"/>
      <c r="Z193" s="580"/>
      <c r="AA193" s="580"/>
      <c r="AB193" s="580"/>
    </row>
    <row r="194" ht="15.75" customHeight="1">
      <c r="A194" s="570"/>
      <c r="B194" s="570"/>
      <c r="C194" s="580"/>
      <c r="D194" s="580"/>
      <c r="E194" s="580"/>
      <c r="F194" s="580"/>
      <c r="G194" s="580"/>
      <c r="H194" s="580"/>
      <c r="I194" s="580"/>
      <c r="J194" s="580"/>
      <c r="K194" s="580"/>
      <c r="L194" s="580"/>
      <c r="M194" s="580"/>
      <c r="N194" s="580"/>
      <c r="O194" s="580"/>
      <c r="P194" s="580"/>
      <c r="Q194" s="580"/>
      <c r="R194" s="580"/>
      <c r="S194" s="580"/>
      <c r="T194" s="580"/>
      <c r="U194" s="580"/>
      <c r="V194" s="580"/>
      <c r="W194" s="580"/>
      <c r="X194" s="580"/>
      <c r="Y194" s="580"/>
      <c r="Z194" s="580"/>
      <c r="AA194" s="580"/>
      <c r="AB194" s="580"/>
    </row>
    <row r="195" ht="15.75" customHeight="1">
      <c r="A195" s="570"/>
      <c r="B195" s="570"/>
      <c r="C195" s="580"/>
      <c r="D195" s="580"/>
      <c r="E195" s="580"/>
      <c r="F195" s="580"/>
      <c r="G195" s="580"/>
      <c r="H195" s="580"/>
      <c r="I195" s="580"/>
      <c r="J195" s="580"/>
      <c r="K195" s="580"/>
      <c r="L195" s="580"/>
      <c r="M195" s="580"/>
      <c r="N195" s="580"/>
      <c r="O195" s="580"/>
      <c r="P195" s="580"/>
      <c r="Q195" s="580"/>
      <c r="R195" s="580"/>
      <c r="S195" s="580"/>
      <c r="T195" s="580"/>
      <c r="U195" s="580"/>
      <c r="V195" s="580"/>
      <c r="W195" s="580"/>
      <c r="X195" s="580"/>
      <c r="Y195" s="580"/>
      <c r="Z195" s="580"/>
      <c r="AA195" s="580"/>
      <c r="AB195" s="580"/>
    </row>
    <row r="196" ht="15.75" customHeight="1">
      <c r="A196" s="570"/>
      <c r="B196" s="570"/>
      <c r="C196" s="580"/>
      <c r="D196" s="580"/>
      <c r="E196" s="580"/>
      <c r="F196" s="580"/>
      <c r="G196" s="580"/>
      <c r="H196" s="580"/>
      <c r="I196" s="580"/>
      <c r="J196" s="580"/>
      <c r="K196" s="580"/>
      <c r="L196" s="580"/>
      <c r="M196" s="580"/>
      <c r="N196" s="580"/>
      <c r="O196" s="580"/>
      <c r="P196" s="580"/>
      <c r="Q196" s="580"/>
      <c r="R196" s="580"/>
      <c r="S196" s="580"/>
      <c r="T196" s="580"/>
      <c r="U196" s="580"/>
      <c r="V196" s="580"/>
      <c r="W196" s="580"/>
      <c r="X196" s="580"/>
      <c r="Y196" s="580"/>
      <c r="Z196" s="580"/>
      <c r="AA196" s="580"/>
      <c r="AB196" s="580"/>
    </row>
    <row r="197" ht="15.75" customHeight="1">
      <c r="A197" s="570"/>
      <c r="B197" s="570"/>
      <c r="C197" s="580"/>
      <c r="D197" s="580"/>
      <c r="E197" s="580"/>
      <c r="F197" s="580"/>
      <c r="G197" s="580"/>
      <c r="H197" s="580"/>
      <c r="I197" s="580"/>
      <c r="J197" s="580"/>
      <c r="K197" s="580"/>
      <c r="L197" s="580"/>
      <c r="M197" s="580"/>
      <c r="N197" s="580"/>
      <c r="O197" s="580"/>
      <c r="P197" s="580"/>
      <c r="Q197" s="580"/>
      <c r="R197" s="580"/>
      <c r="S197" s="580"/>
      <c r="T197" s="580"/>
      <c r="U197" s="580"/>
      <c r="V197" s="580"/>
      <c r="W197" s="580"/>
      <c r="X197" s="580"/>
      <c r="Y197" s="580"/>
      <c r="Z197" s="580"/>
      <c r="AA197" s="580"/>
      <c r="AB197" s="580"/>
    </row>
    <row r="198" ht="15.75" customHeight="1">
      <c r="A198" s="570"/>
      <c r="B198" s="570"/>
      <c r="C198" s="580"/>
      <c r="D198" s="580"/>
      <c r="E198" s="580"/>
      <c r="F198" s="580"/>
      <c r="G198" s="580"/>
      <c r="H198" s="580"/>
      <c r="I198" s="580"/>
      <c r="J198" s="580"/>
      <c r="K198" s="580"/>
      <c r="L198" s="580"/>
      <c r="M198" s="580"/>
      <c r="N198" s="580"/>
      <c r="O198" s="580"/>
      <c r="P198" s="580"/>
      <c r="Q198" s="580"/>
      <c r="R198" s="580"/>
      <c r="S198" s="580"/>
      <c r="T198" s="580"/>
      <c r="U198" s="580"/>
      <c r="V198" s="580"/>
      <c r="W198" s="580"/>
      <c r="X198" s="580"/>
      <c r="Y198" s="580"/>
      <c r="Z198" s="580"/>
      <c r="AA198" s="580"/>
      <c r="AB198" s="580"/>
    </row>
    <row r="199" ht="15.75" customHeight="1">
      <c r="A199" s="570"/>
      <c r="B199" s="570"/>
      <c r="C199" s="580"/>
      <c r="D199" s="580"/>
      <c r="E199" s="580"/>
      <c r="F199" s="580"/>
      <c r="G199" s="580"/>
      <c r="H199" s="580"/>
      <c r="I199" s="580"/>
      <c r="J199" s="580"/>
      <c r="K199" s="580"/>
      <c r="L199" s="580"/>
      <c r="M199" s="580"/>
      <c r="N199" s="580"/>
      <c r="O199" s="580"/>
      <c r="P199" s="580"/>
      <c r="Q199" s="580"/>
      <c r="R199" s="580"/>
      <c r="S199" s="580"/>
      <c r="T199" s="580"/>
      <c r="U199" s="580"/>
      <c r="V199" s="580"/>
      <c r="W199" s="580"/>
      <c r="X199" s="580"/>
      <c r="Y199" s="580"/>
      <c r="Z199" s="580"/>
      <c r="AA199" s="580"/>
      <c r="AB199" s="580"/>
    </row>
    <row r="200" ht="15.75" customHeight="1">
      <c r="A200" s="570"/>
      <c r="B200" s="570"/>
      <c r="C200" s="580"/>
      <c r="D200" s="580"/>
      <c r="E200" s="580"/>
      <c r="F200" s="580"/>
      <c r="G200" s="580"/>
      <c r="H200" s="580"/>
      <c r="I200" s="580"/>
      <c r="J200" s="580"/>
      <c r="K200" s="580"/>
      <c r="L200" s="580"/>
      <c r="M200" s="580"/>
      <c r="N200" s="580"/>
      <c r="O200" s="580"/>
      <c r="P200" s="580"/>
      <c r="Q200" s="580"/>
      <c r="R200" s="580"/>
      <c r="S200" s="580"/>
      <c r="T200" s="580"/>
      <c r="U200" s="580"/>
      <c r="V200" s="580"/>
      <c r="W200" s="580"/>
      <c r="X200" s="580"/>
      <c r="Y200" s="580"/>
      <c r="Z200" s="580"/>
      <c r="AA200" s="580"/>
      <c r="AB200" s="580"/>
    </row>
    <row r="201" ht="15.75" customHeight="1">
      <c r="A201" s="570"/>
      <c r="B201" s="570"/>
      <c r="C201" s="580"/>
      <c r="D201" s="580"/>
      <c r="E201" s="580"/>
      <c r="F201" s="580"/>
      <c r="G201" s="580"/>
      <c r="H201" s="580"/>
      <c r="I201" s="580"/>
      <c r="J201" s="580"/>
      <c r="K201" s="580"/>
      <c r="L201" s="580"/>
      <c r="M201" s="580"/>
      <c r="N201" s="580"/>
      <c r="O201" s="580"/>
      <c r="P201" s="580"/>
      <c r="Q201" s="580"/>
      <c r="R201" s="580"/>
      <c r="S201" s="580"/>
      <c r="T201" s="580"/>
      <c r="U201" s="580"/>
      <c r="V201" s="580"/>
      <c r="W201" s="580"/>
      <c r="X201" s="580"/>
      <c r="Y201" s="580"/>
      <c r="Z201" s="580"/>
      <c r="AA201" s="580"/>
      <c r="AB201" s="580"/>
    </row>
    <row r="202" ht="15.75" customHeight="1">
      <c r="A202" s="570"/>
      <c r="B202" s="570"/>
      <c r="C202" s="580"/>
      <c r="D202" s="580"/>
      <c r="E202" s="580"/>
      <c r="F202" s="580"/>
      <c r="G202" s="580"/>
      <c r="H202" s="580"/>
      <c r="I202" s="580"/>
      <c r="J202" s="580"/>
      <c r="K202" s="580"/>
      <c r="L202" s="580"/>
      <c r="M202" s="580"/>
      <c r="N202" s="580"/>
      <c r="O202" s="580"/>
      <c r="P202" s="580"/>
      <c r="Q202" s="580"/>
      <c r="R202" s="580"/>
      <c r="S202" s="580"/>
      <c r="T202" s="580"/>
      <c r="U202" s="580"/>
      <c r="V202" s="580"/>
      <c r="W202" s="580"/>
      <c r="X202" s="580"/>
      <c r="Y202" s="580"/>
      <c r="Z202" s="580"/>
      <c r="AA202" s="580"/>
      <c r="AB202" s="580"/>
    </row>
    <row r="203" ht="15.75" customHeight="1">
      <c r="A203" s="570"/>
      <c r="B203" s="570"/>
      <c r="C203" s="580"/>
      <c r="D203" s="580"/>
      <c r="E203" s="580"/>
      <c r="F203" s="580"/>
      <c r="G203" s="580"/>
      <c r="H203" s="580"/>
      <c r="I203" s="580"/>
      <c r="J203" s="580"/>
      <c r="K203" s="580"/>
      <c r="L203" s="580"/>
      <c r="M203" s="580"/>
      <c r="N203" s="580"/>
      <c r="O203" s="580"/>
      <c r="P203" s="580"/>
      <c r="Q203" s="580"/>
      <c r="R203" s="580"/>
      <c r="S203" s="580"/>
      <c r="T203" s="580"/>
      <c r="U203" s="580"/>
      <c r="V203" s="580"/>
      <c r="W203" s="580"/>
      <c r="X203" s="580"/>
      <c r="Y203" s="580"/>
      <c r="Z203" s="580"/>
      <c r="AA203" s="580"/>
      <c r="AB203" s="580"/>
    </row>
    <row r="204" ht="15.75" customHeight="1">
      <c r="A204" s="570"/>
      <c r="B204" s="570"/>
      <c r="C204" s="580"/>
      <c r="D204" s="580"/>
      <c r="E204" s="580"/>
      <c r="F204" s="580"/>
      <c r="G204" s="580"/>
      <c r="H204" s="580"/>
      <c r="I204" s="580"/>
      <c r="J204" s="580"/>
      <c r="K204" s="580"/>
      <c r="L204" s="580"/>
      <c r="M204" s="580"/>
      <c r="N204" s="580"/>
      <c r="O204" s="580"/>
      <c r="P204" s="580"/>
      <c r="Q204" s="580"/>
      <c r="R204" s="580"/>
      <c r="S204" s="580"/>
      <c r="T204" s="580"/>
      <c r="U204" s="580"/>
      <c r="V204" s="580"/>
      <c r="W204" s="580"/>
      <c r="X204" s="580"/>
      <c r="Y204" s="580"/>
      <c r="Z204" s="580"/>
      <c r="AA204" s="580"/>
      <c r="AB204" s="580"/>
    </row>
    <row r="205" ht="15.75" customHeight="1">
      <c r="A205" s="570"/>
      <c r="B205" s="570"/>
      <c r="C205" s="580"/>
      <c r="D205" s="580"/>
      <c r="E205" s="580"/>
      <c r="F205" s="580"/>
      <c r="G205" s="580"/>
      <c r="H205" s="580"/>
      <c r="I205" s="580"/>
      <c r="J205" s="580"/>
      <c r="K205" s="580"/>
      <c r="L205" s="580"/>
      <c r="M205" s="580"/>
      <c r="N205" s="580"/>
      <c r="O205" s="580"/>
      <c r="P205" s="580"/>
      <c r="Q205" s="580"/>
      <c r="R205" s="580"/>
      <c r="S205" s="580"/>
      <c r="T205" s="580"/>
      <c r="U205" s="580"/>
      <c r="V205" s="580"/>
      <c r="W205" s="580"/>
      <c r="X205" s="580"/>
      <c r="Y205" s="580"/>
      <c r="Z205" s="580"/>
      <c r="AA205" s="580"/>
      <c r="AB205" s="580"/>
    </row>
    <row r="206" ht="15.75" customHeight="1">
      <c r="A206" s="570"/>
      <c r="B206" s="570"/>
      <c r="C206" s="580"/>
      <c r="D206" s="580"/>
      <c r="E206" s="580"/>
      <c r="F206" s="580"/>
      <c r="G206" s="580"/>
      <c r="H206" s="580"/>
      <c r="I206" s="580"/>
      <c r="J206" s="580"/>
      <c r="K206" s="580"/>
      <c r="L206" s="580"/>
      <c r="M206" s="580"/>
      <c r="N206" s="580"/>
      <c r="O206" s="580"/>
      <c r="P206" s="580"/>
      <c r="Q206" s="580"/>
      <c r="R206" s="580"/>
      <c r="S206" s="580"/>
      <c r="T206" s="580"/>
      <c r="U206" s="580"/>
      <c r="V206" s="580"/>
      <c r="W206" s="580"/>
      <c r="X206" s="580"/>
      <c r="Y206" s="580"/>
      <c r="Z206" s="580"/>
      <c r="AA206" s="580"/>
      <c r="AB206" s="580"/>
    </row>
    <row r="207" ht="15.75" customHeight="1">
      <c r="A207" s="570"/>
      <c r="B207" s="570"/>
      <c r="C207" s="580"/>
      <c r="D207" s="580"/>
      <c r="E207" s="580"/>
      <c r="F207" s="580"/>
      <c r="G207" s="580"/>
      <c r="H207" s="580"/>
      <c r="I207" s="580"/>
      <c r="J207" s="580"/>
      <c r="K207" s="580"/>
      <c r="L207" s="580"/>
      <c r="M207" s="580"/>
      <c r="N207" s="580"/>
      <c r="O207" s="580"/>
      <c r="P207" s="580"/>
      <c r="Q207" s="580"/>
      <c r="R207" s="580"/>
      <c r="S207" s="580"/>
      <c r="T207" s="580"/>
      <c r="U207" s="580"/>
      <c r="V207" s="580"/>
      <c r="W207" s="580"/>
      <c r="X207" s="580"/>
      <c r="Y207" s="580"/>
      <c r="Z207" s="580"/>
      <c r="AA207" s="580"/>
      <c r="AB207" s="580"/>
    </row>
    <row r="208" ht="15.75" customHeight="1">
      <c r="A208" s="570"/>
      <c r="B208" s="570"/>
      <c r="C208" s="580"/>
      <c r="D208" s="580"/>
      <c r="E208" s="580"/>
      <c r="F208" s="580"/>
      <c r="G208" s="580"/>
      <c r="H208" s="580"/>
      <c r="I208" s="580"/>
      <c r="J208" s="580"/>
      <c r="K208" s="580"/>
      <c r="L208" s="580"/>
      <c r="M208" s="580"/>
      <c r="N208" s="580"/>
      <c r="O208" s="580"/>
      <c r="P208" s="580"/>
      <c r="Q208" s="580"/>
      <c r="R208" s="580"/>
      <c r="S208" s="580"/>
      <c r="T208" s="580"/>
      <c r="U208" s="580"/>
      <c r="V208" s="580"/>
      <c r="W208" s="580"/>
      <c r="X208" s="580"/>
      <c r="Y208" s="580"/>
      <c r="Z208" s="580"/>
      <c r="AA208" s="580"/>
      <c r="AB208" s="580"/>
    </row>
    <row r="209" ht="15.75" customHeight="1">
      <c r="A209" s="570"/>
      <c r="B209" s="570"/>
      <c r="C209" s="580"/>
      <c r="D209" s="580"/>
      <c r="E209" s="580"/>
      <c r="F209" s="580"/>
      <c r="G209" s="580"/>
      <c r="H209" s="580"/>
      <c r="I209" s="580"/>
      <c r="J209" s="580"/>
      <c r="K209" s="580"/>
      <c r="L209" s="580"/>
      <c r="M209" s="580"/>
      <c r="N209" s="580"/>
      <c r="O209" s="580"/>
      <c r="P209" s="580"/>
      <c r="Q209" s="580"/>
      <c r="R209" s="580"/>
      <c r="S209" s="580"/>
      <c r="T209" s="580"/>
      <c r="U209" s="580"/>
      <c r="V209" s="580"/>
      <c r="W209" s="580"/>
      <c r="X209" s="580"/>
      <c r="Y209" s="580"/>
      <c r="Z209" s="580"/>
      <c r="AA209" s="580"/>
      <c r="AB209" s="580"/>
    </row>
    <row r="210" ht="15.75" customHeight="1">
      <c r="A210" s="570"/>
      <c r="B210" s="570"/>
      <c r="C210" s="580"/>
      <c r="D210" s="580"/>
      <c r="E210" s="580"/>
      <c r="F210" s="580"/>
      <c r="G210" s="580"/>
      <c r="H210" s="580"/>
      <c r="I210" s="580"/>
      <c r="J210" s="580"/>
      <c r="K210" s="580"/>
      <c r="L210" s="580"/>
      <c r="M210" s="580"/>
      <c r="N210" s="580"/>
      <c r="O210" s="580"/>
      <c r="P210" s="580"/>
      <c r="Q210" s="580"/>
      <c r="R210" s="580"/>
      <c r="S210" s="580"/>
      <c r="T210" s="580"/>
      <c r="U210" s="580"/>
      <c r="V210" s="580"/>
      <c r="W210" s="580"/>
      <c r="X210" s="580"/>
      <c r="Y210" s="580"/>
      <c r="Z210" s="580"/>
      <c r="AA210" s="580"/>
      <c r="AB210" s="580"/>
    </row>
    <row r="211" ht="15.75" customHeight="1">
      <c r="A211" s="570"/>
      <c r="B211" s="570"/>
      <c r="C211" s="580"/>
      <c r="D211" s="580"/>
      <c r="E211" s="580"/>
      <c r="F211" s="580"/>
      <c r="G211" s="580"/>
      <c r="H211" s="580"/>
      <c r="I211" s="580"/>
      <c r="J211" s="580"/>
      <c r="K211" s="580"/>
      <c r="L211" s="580"/>
      <c r="M211" s="580"/>
      <c r="N211" s="580"/>
      <c r="O211" s="580"/>
      <c r="P211" s="580"/>
      <c r="Q211" s="580"/>
      <c r="R211" s="580"/>
      <c r="S211" s="580"/>
      <c r="T211" s="580"/>
      <c r="U211" s="580"/>
      <c r="V211" s="580"/>
      <c r="W211" s="580"/>
      <c r="X211" s="580"/>
      <c r="Y211" s="580"/>
      <c r="Z211" s="580"/>
      <c r="AA211" s="580"/>
      <c r="AB211" s="580"/>
    </row>
    <row r="212" ht="15.75" customHeight="1">
      <c r="A212" s="570"/>
      <c r="B212" s="570"/>
      <c r="C212" s="580"/>
      <c r="D212" s="580"/>
      <c r="E212" s="580"/>
      <c r="F212" s="580"/>
      <c r="G212" s="580"/>
      <c r="H212" s="580"/>
      <c r="I212" s="580"/>
      <c r="J212" s="580"/>
      <c r="K212" s="580"/>
      <c r="L212" s="580"/>
      <c r="M212" s="580"/>
      <c r="N212" s="580"/>
      <c r="O212" s="580"/>
      <c r="P212" s="580"/>
      <c r="Q212" s="580"/>
      <c r="R212" s="580"/>
      <c r="S212" s="580"/>
      <c r="T212" s="580"/>
      <c r="U212" s="580"/>
      <c r="V212" s="580"/>
      <c r="W212" s="580"/>
      <c r="X212" s="580"/>
      <c r="Y212" s="580"/>
      <c r="Z212" s="580"/>
      <c r="AA212" s="580"/>
      <c r="AB212" s="580"/>
    </row>
    <row r="213" ht="15.75" customHeight="1">
      <c r="A213" s="570"/>
      <c r="B213" s="570"/>
      <c r="C213" s="580"/>
      <c r="D213" s="580"/>
      <c r="E213" s="580"/>
      <c r="F213" s="580"/>
      <c r="G213" s="580"/>
      <c r="H213" s="580"/>
      <c r="I213" s="580"/>
      <c r="J213" s="580"/>
      <c r="K213" s="580"/>
      <c r="L213" s="580"/>
      <c r="M213" s="580"/>
      <c r="N213" s="580"/>
      <c r="O213" s="580"/>
      <c r="P213" s="580"/>
      <c r="Q213" s="580"/>
      <c r="R213" s="580"/>
      <c r="S213" s="580"/>
      <c r="T213" s="580"/>
      <c r="U213" s="580"/>
      <c r="V213" s="580"/>
      <c r="W213" s="580"/>
      <c r="X213" s="580"/>
      <c r="Y213" s="580"/>
      <c r="Z213" s="580"/>
      <c r="AA213" s="580"/>
      <c r="AB213" s="580"/>
    </row>
    <row r="214" ht="15.75" customHeight="1">
      <c r="A214" s="570"/>
      <c r="B214" s="570"/>
      <c r="C214" s="580"/>
      <c r="D214" s="580"/>
      <c r="E214" s="580"/>
      <c r="F214" s="580"/>
      <c r="G214" s="580"/>
      <c r="H214" s="580"/>
      <c r="I214" s="580"/>
      <c r="J214" s="580"/>
      <c r="K214" s="580"/>
      <c r="L214" s="580"/>
      <c r="M214" s="580"/>
      <c r="N214" s="580"/>
      <c r="O214" s="580"/>
      <c r="P214" s="580"/>
      <c r="Q214" s="580"/>
      <c r="R214" s="580"/>
      <c r="S214" s="580"/>
      <c r="T214" s="580"/>
      <c r="U214" s="580"/>
      <c r="V214" s="580"/>
      <c r="W214" s="580"/>
      <c r="X214" s="580"/>
      <c r="Y214" s="580"/>
      <c r="Z214" s="580"/>
      <c r="AA214" s="580"/>
      <c r="AB214" s="580"/>
    </row>
    <row r="215" ht="15.75" customHeight="1">
      <c r="A215" s="570"/>
      <c r="B215" s="570"/>
      <c r="C215" s="580"/>
      <c r="D215" s="580"/>
      <c r="E215" s="580"/>
      <c r="F215" s="580"/>
      <c r="G215" s="580"/>
      <c r="H215" s="580"/>
      <c r="I215" s="580"/>
      <c r="J215" s="580"/>
      <c r="K215" s="580"/>
      <c r="L215" s="580"/>
      <c r="M215" s="580"/>
      <c r="N215" s="580"/>
      <c r="O215" s="580"/>
      <c r="P215" s="580"/>
      <c r="Q215" s="580"/>
      <c r="R215" s="580"/>
      <c r="S215" s="580"/>
      <c r="T215" s="580"/>
      <c r="U215" s="580"/>
      <c r="V215" s="580"/>
      <c r="W215" s="580"/>
      <c r="X215" s="580"/>
      <c r="Y215" s="580"/>
      <c r="Z215" s="580"/>
      <c r="AA215" s="580"/>
      <c r="AB215" s="580"/>
    </row>
    <row r="216" ht="15.75" customHeight="1">
      <c r="A216" s="570"/>
      <c r="B216" s="570"/>
      <c r="C216" s="580"/>
      <c r="D216" s="580"/>
      <c r="E216" s="580"/>
      <c r="F216" s="580"/>
      <c r="G216" s="580"/>
      <c r="H216" s="580"/>
      <c r="I216" s="580"/>
      <c r="J216" s="580"/>
      <c r="K216" s="580"/>
      <c r="L216" s="580"/>
      <c r="M216" s="580"/>
      <c r="N216" s="580"/>
      <c r="O216" s="580"/>
      <c r="P216" s="580"/>
      <c r="Q216" s="580"/>
      <c r="R216" s="580"/>
      <c r="S216" s="580"/>
      <c r="T216" s="580"/>
      <c r="U216" s="580"/>
      <c r="V216" s="580"/>
      <c r="W216" s="580"/>
      <c r="X216" s="580"/>
      <c r="Y216" s="580"/>
      <c r="Z216" s="580"/>
      <c r="AA216" s="580"/>
      <c r="AB216" s="580"/>
    </row>
    <row r="217" ht="15.75" customHeight="1">
      <c r="A217" s="570"/>
      <c r="B217" s="570"/>
      <c r="C217" s="580"/>
      <c r="D217" s="580"/>
      <c r="E217" s="580"/>
      <c r="F217" s="580"/>
      <c r="G217" s="580"/>
      <c r="H217" s="580"/>
      <c r="I217" s="580"/>
      <c r="J217" s="580"/>
      <c r="K217" s="580"/>
      <c r="L217" s="580"/>
      <c r="M217" s="580"/>
      <c r="N217" s="580"/>
      <c r="O217" s="580"/>
      <c r="P217" s="580"/>
      <c r="Q217" s="580"/>
      <c r="R217" s="580"/>
      <c r="S217" s="580"/>
      <c r="T217" s="580"/>
      <c r="U217" s="580"/>
      <c r="V217" s="580"/>
      <c r="W217" s="580"/>
      <c r="X217" s="580"/>
      <c r="Y217" s="580"/>
      <c r="Z217" s="580"/>
      <c r="AA217" s="580"/>
      <c r="AB217" s="580"/>
    </row>
    <row r="218" ht="15.75" customHeight="1">
      <c r="A218" s="570"/>
      <c r="B218" s="570"/>
      <c r="C218" s="580"/>
      <c r="D218" s="580"/>
      <c r="E218" s="580"/>
      <c r="F218" s="580"/>
      <c r="G218" s="580"/>
      <c r="H218" s="580"/>
      <c r="I218" s="580"/>
      <c r="J218" s="580"/>
      <c r="K218" s="580"/>
      <c r="L218" s="580"/>
      <c r="M218" s="580"/>
      <c r="N218" s="580"/>
      <c r="O218" s="580"/>
      <c r="P218" s="580"/>
      <c r="Q218" s="580"/>
      <c r="R218" s="580"/>
      <c r="S218" s="580"/>
      <c r="T218" s="580"/>
      <c r="U218" s="580"/>
      <c r="V218" s="580"/>
      <c r="W218" s="580"/>
      <c r="X218" s="580"/>
      <c r="Y218" s="580"/>
      <c r="Z218" s="580"/>
      <c r="AA218" s="580"/>
      <c r="AB218" s="580"/>
    </row>
    <row r="219" ht="15.75" customHeight="1">
      <c r="A219" s="570"/>
      <c r="B219" s="570"/>
      <c r="C219" s="580"/>
      <c r="D219" s="580"/>
      <c r="E219" s="580"/>
      <c r="F219" s="580"/>
      <c r="G219" s="580"/>
      <c r="H219" s="580"/>
      <c r="I219" s="580"/>
      <c r="J219" s="580"/>
      <c r="K219" s="580"/>
      <c r="L219" s="580"/>
      <c r="M219" s="580"/>
      <c r="N219" s="580"/>
      <c r="O219" s="580"/>
      <c r="P219" s="580"/>
      <c r="Q219" s="580"/>
      <c r="R219" s="580"/>
      <c r="S219" s="580"/>
      <c r="T219" s="580"/>
      <c r="U219" s="580"/>
      <c r="V219" s="580"/>
      <c r="W219" s="580"/>
      <c r="X219" s="580"/>
      <c r="Y219" s="580"/>
      <c r="Z219" s="580"/>
      <c r="AA219" s="580"/>
      <c r="AB219" s="580"/>
    </row>
    <row r="220" ht="15.75" customHeight="1">
      <c r="A220" s="570"/>
      <c r="B220" s="570"/>
      <c r="C220" s="580"/>
      <c r="D220" s="580"/>
      <c r="E220" s="580"/>
      <c r="F220" s="580"/>
      <c r="G220" s="580"/>
      <c r="H220" s="580"/>
      <c r="I220" s="580"/>
      <c r="J220" s="580"/>
      <c r="K220" s="580"/>
      <c r="L220" s="580"/>
      <c r="M220" s="580"/>
      <c r="N220" s="580"/>
      <c r="O220" s="580"/>
      <c r="P220" s="580"/>
      <c r="Q220" s="580"/>
      <c r="R220" s="580"/>
      <c r="S220" s="580"/>
      <c r="T220" s="580"/>
      <c r="U220" s="580"/>
      <c r="V220" s="580"/>
      <c r="W220" s="580"/>
      <c r="X220" s="580"/>
      <c r="Y220" s="580"/>
      <c r="Z220" s="580"/>
      <c r="AA220" s="580"/>
      <c r="AB220" s="580"/>
    </row>
    <row r="221" ht="15.75" customHeight="1">
      <c r="A221" s="570"/>
      <c r="B221" s="570"/>
      <c r="C221" s="580"/>
      <c r="D221" s="580"/>
      <c r="E221" s="580"/>
      <c r="F221" s="580"/>
      <c r="G221" s="580"/>
      <c r="H221" s="580"/>
      <c r="I221" s="580"/>
      <c r="J221" s="580"/>
      <c r="K221" s="580"/>
      <c r="L221" s="580"/>
      <c r="M221" s="580"/>
      <c r="N221" s="580"/>
      <c r="O221" s="580"/>
      <c r="P221" s="580"/>
      <c r="Q221" s="580"/>
      <c r="R221" s="580"/>
      <c r="S221" s="580"/>
      <c r="T221" s="580"/>
      <c r="U221" s="580"/>
      <c r="V221" s="580"/>
      <c r="W221" s="580"/>
      <c r="X221" s="580"/>
      <c r="Y221" s="580"/>
      <c r="Z221" s="580"/>
      <c r="AA221" s="580"/>
      <c r="AB221" s="580"/>
    </row>
    <row r="222" ht="15.75" customHeight="1">
      <c r="A222" s="570"/>
      <c r="B222" s="570"/>
      <c r="C222" s="580"/>
      <c r="D222" s="580"/>
      <c r="E222" s="580"/>
      <c r="F222" s="580"/>
      <c r="G222" s="580"/>
      <c r="H222" s="580"/>
      <c r="I222" s="580"/>
      <c r="J222" s="580"/>
      <c r="K222" s="580"/>
      <c r="L222" s="580"/>
      <c r="M222" s="580"/>
      <c r="N222" s="580"/>
      <c r="O222" s="580"/>
      <c r="P222" s="580"/>
      <c r="Q222" s="580"/>
      <c r="R222" s="580"/>
      <c r="S222" s="580"/>
      <c r="T222" s="580"/>
      <c r="U222" s="580"/>
      <c r="V222" s="580"/>
      <c r="W222" s="580"/>
      <c r="X222" s="580"/>
      <c r="Y222" s="580"/>
      <c r="Z222" s="580"/>
      <c r="AA222" s="580"/>
      <c r="AB222" s="580"/>
    </row>
    <row r="223" ht="15.75" customHeight="1">
      <c r="A223" s="570"/>
      <c r="B223" s="570"/>
      <c r="C223" s="580"/>
      <c r="D223" s="580"/>
      <c r="E223" s="580"/>
      <c r="F223" s="580"/>
      <c r="G223" s="580"/>
      <c r="H223" s="580"/>
      <c r="I223" s="580"/>
      <c r="J223" s="580"/>
      <c r="K223" s="580"/>
      <c r="L223" s="580"/>
      <c r="M223" s="580"/>
      <c r="N223" s="580"/>
      <c r="O223" s="580"/>
      <c r="P223" s="580"/>
      <c r="Q223" s="580"/>
      <c r="R223" s="580"/>
      <c r="S223" s="580"/>
      <c r="T223" s="580"/>
      <c r="U223" s="580"/>
      <c r="V223" s="580"/>
      <c r="W223" s="580"/>
      <c r="X223" s="580"/>
      <c r="Y223" s="580"/>
      <c r="Z223" s="580"/>
      <c r="AA223" s="580"/>
      <c r="AB223" s="580"/>
    </row>
    <row r="224" ht="15.75" customHeight="1">
      <c r="A224" s="570"/>
      <c r="B224" s="570"/>
      <c r="C224" s="580"/>
      <c r="D224" s="580"/>
      <c r="E224" s="580"/>
      <c r="F224" s="580"/>
      <c r="G224" s="580"/>
      <c r="H224" s="580"/>
      <c r="I224" s="580"/>
      <c r="J224" s="580"/>
      <c r="K224" s="580"/>
      <c r="L224" s="580"/>
      <c r="M224" s="580"/>
      <c r="N224" s="580"/>
      <c r="O224" s="580"/>
      <c r="P224" s="580"/>
      <c r="Q224" s="580"/>
      <c r="R224" s="580"/>
      <c r="S224" s="580"/>
      <c r="T224" s="580"/>
      <c r="U224" s="580"/>
      <c r="V224" s="580"/>
      <c r="W224" s="580"/>
      <c r="X224" s="580"/>
      <c r="Y224" s="580"/>
      <c r="Z224" s="580"/>
      <c r="AA224" s="580"/>
      <c r="AB224" s="580"/>
    </row>
    <row r="225" ht="15.75" customHeight="1">
      <c r="A225" s="570"/>
      <c r="B225" s="570"/>
      <c r="C225" s="580"/>
      <c r="D225" s="580"/>
      <c r="E225" s="580"/>
      <c r="F225" s="580"/>
      <c r="G225" s="580"/>
      <c r="H225" s="580"/>
      <c r="I225" s="580"/>
      <c r="J225" s="580"/>
      <c r="K225" s="580"/>
      <c r="L225" s="580"/>
      <c r="M225" s="580"/>
      <c r="N225" s="580"/>
      <c r="O225" s="580"/>
      <c r="P225" s="580"/>
      <c r="Q225" s="580"/>
      <c r="R225" s="580"/>
      <c r="S225" s="580"/>
      <c r="T225" s="580"/>
      <c r="U225" s="580"/>
      <c r="V225" s="580"/>
      <c r="W225" s="580"/>
      <c r="X225" s="580"/>
      <c r="Y225" s="580"/>
      <c r="Z225" s="580"/>
      <c r="AA225" s="580"/>
      <c r="AB225" s="580"/>
    </row>
    <row r="226" ht="15.75" customHeight="1">
      <c r="A226" s="570"/>
      <c r="B226" s="570"/>
      <c r="C226" s="580"/>
      <c r="D226" s="580"/>
      <c r="E226" s="580"/>
      <c r="F226" s="580"/>
      <c r="G226" s="580"/>
      <c r="H226" s="580"/>
      <c r="I226" s="580"/>
      <c r="J226" s="580"/>
      <c r="K226" s="580"/>
      <c r="L226" s="580"/>
      <c r="M226" s="580"/>
      <c r="N226" s="580"/>
      <c r="O226" s="580"/>
      <c r="P226" s="580"/>
      <c r="Q226" s="580"/>
      <c r="R226" s="580"/>
      <c r="S226" s="580"/>
      <c r="T226" s="580"/>
      <c r="U226" s="580"/>
      <c r="V226" s="580"/>
      <c r="W226" s="580"/>
      <c r="X226" s="580"/>
      <c r="Y226" s="580"/>
      <c r="Z226" s="580"/>
      <c r="AA226" s="580"/>
      <c r="AB226" s="580"/>
    </row>
    <row r="227" ht="15.75" customHeight="1">
      <c r="A227" s="570"/>
      <c r="B227" s="570"/>
      <c r="C227" s="580"/>
      <c r="D227" s="580"/>
      <c r="E227" s="580"/>
      <c r="F227" s="580"/>
      <c r="G227" s="580"/>
      <c r="H227" s="580"/>
      <c r="I227" s="580"/>
      <c r="J227" s="580"/>
      <c r="K227" s="580"/>
      <c r="L227" s="580"/>
      <c r="M227" s="580"/>
      <c r="N227" s="580"/>
      <c r="O227" s="580"/>
      <c r="P227" s="580"/>
      <c r="Q227" s="580"/>
      <c r="R227" s="580"/>
      <c r="S227" s="580"/>
      <c r="T227" s="580"/>
      <c r="U227" s="580"/>
      <c r="V227" s="580"/>
      <c r="W227" s="580"/>
      <c r="X227" s="580"/>
      <c r="Y227" s="580"/>
      <c r="Z227" s="580"/>
      <c r="AA227" s="580"/>
      <c r="AB227" s="580"/>
    </row>
    <row r="228" ht="15.75" customHeight="1">
      <c r="A228" s="570"/>
      <c r="B228" s="570"/>
      <c r="C228" s="580"/>
      <c r="D228" s="580"/>
      <c r="E228" s="580"/>
      <c r="F228" s="580"/>
      <c r="G228" s="580"/>
      <c r="H228" s="580"/>
      <c r="I228" s="580"/>
      <c r="J228" s="580"/>
      <c r="K228" s="580"/>
      <c r="L228" s="580"/>
      <c r="M228" s="580"/>
      <c r="N228" s="580"/>
      <c r="O228" s="580"/>
      <c r="P228" s="580"/>
      <c r="Q228" s="580"/>
      <c r="R228" s="580"/>
      <c r="S228" s="580"/>
      <c r="T228" s="580"/>
      <c r="U228" s="580"/>
      <c r="V228" s="580"/>
      <c r="W228" s="580"/>
      <c r="X228" s="580"/>
      <c r="Y228" s="580"/>
      <c r="Z228" s="580"/>
      <c r="AA228" s="580"/>
      <c r="AB228" s="580"/>
    </row>
    <row r="229" ht="15.75" customHeight="1">
      <c r="A229" s="570"/>
      <c r="B229" s="570"/>
      <c r="C229" s="580"/>
      <c r="D229" s="580"/>
      <c r="E229" s="580"/>
      <c r="F229" s="580"/>
      <c r="G229" s="580"/>
      <c r="H229" s="580"/>
      <c r="I229" s="580"/>
      <c r="J229" s="580"/>
      <c r="K229" s="580"/>
      <c r="L229" s="580"/>
      <c r="M229" s="580"/>
      <c r="N229" s="580"/>
      <c r="O229" s="580"/>
      <c r="P229" s="580"/>
      <c r="Q229" s="580"/>
      <c r="R229" s="580"/>
      <c r="S229" s="580"/>
      <c r="T229" s="580"/>
      <c r="U229" s="580"/>
      <c r="V229" s="580"/>
      <c r="W229" s="580"/>
      <c r="X229" s="580"/>
      <c r="Y229" s="580"/>
      <c r="Z229" s="580"/>
      <c r="AA229" s="580"/>
      <c r="AB229" s="580"/>
    </row>
    <row r="230" ht="15.75" customHeight="1">
      <c r="A230" s="570"/>
      <c r="B230" s="570"/>
      <c r="C230" s="580"/>
      <c r="D230" s="580"/>
      <c r="E230" s="580"/>
      <c r="F230" s="580"/>
      <c r="G230" s="580"/>
      <c r="H230" s="580"/>
      <c r="I230" s="580"/>
      <c r="J230" s="580"/>
      <c r="K230" s="580"/>
      <c r="L230" s="580"/>
      <c r="M230" s="580"/>
      <c r="N230" s="580"/>
      <c r="O230" s="580"/>
      <c r="P230" s="580"/>
      <c r="Q230" s="580"/>
      <c r="R230" s="580"/>
      <c r="S230" s="580"/>
      <c r="T230" s="580"/>
      <c r="U230" s="580"/>
      <c r="V230" s="580"/>
      <c r="W230" s="580"/>
      <c r="X230" s="580"/>
      <c r="Y230" s="580"/>
      <c r="Z230" s="580"/>
      <c r="AA230" s="580"/>
      <c r="AB230" s="580"/>
    </row>
    <row r="231" ht="15.75" customHeight="1">
      <c r="A231" s="570"/>
      <c r="B231" s="570"/>
      <c r="C231" s="580"/>
      <c r="D231" s="580"/>
      <c r="E231" s="580"/>
      <c r="F231" s="580"/>
      <c r="G231" s="580"/>
      <c r="H231" s="580"/>
      <c r="I231" s="580"/>
      <c r="J231" s="580"/>
      <c r="K231" s="580"/>
      <c r="L231" s="580"/>
      <c r="M231" s="580"/>
      <c r="N231" s="580"/>
      <c r="O231" s="580"/>
      <c r="P231" s="580"/>
      <c r="Q231" s="580"/>
      <c r="R231" s="580"/>
      <c r="S231" s="580"/>
      <c r="T231" s="580"/>
      <c r="U231" s="580"/>
      <c r="V231" s="580"/>
      <c r="W231" s="580"/>
      <c r="X231" s="580"/>
      <c r="Y231" s="580"/>
      <c r="Z231" s="580"/>
      <c r="AA231" s="580"/>
      <c r="AB231" s="580"/>
    </row>
    <row r="232" ht="15.75" customHeight="1">
      <c r="A232" s="570"/>
      <c r="B232" s="570"/>
      <c r="C232" s="580"/>
      <c r="D232" s="580"/>
      <c r="E232" s="580"/>
      <c r="F232" s="580"/>
      <c r="G232" s="580"/>
      <c r="H232" s="580"/>
      <c r="I232" s="580"/>
      <c r="J232" s="580"/>
      <c r="K232" s="580"/>
      <c r="L232" s="580"/>
      <c r="M232" s="580"/>
      <c r="N232" s="580"/>
      <c r="O232" s="580"/>
      <c r="P232" s="580"/>
      <c r="Q232" s="580"/>
      <c r="R232" s="580"/>
      <c r="S232" s="580"/>
      <c r="T232" s="580"/>
      <c r="U232" s="580"/>
      <c r="V232" s="580"/>
      <c r="W232" s="580"/>
      <c r="X232" s="580"/>
      <c r="Y232" s="580"/>
      <c r="Z232" s="580"/>
      <c r="AA232" s="580"/>
      <c r="AB232" s="580"/>
    </row>
    <row r="233" ht="15.75" customHeight="1">
      <c r="A233" s="570"/>
      <c r="B233" s="570"/>
      <c r="C233" s="580"/>
      <c r="D233" s="580"/>
      <c r="E233" s="580"/>
      <c r="F233" s="580"/>
      <c r="G233" s="580"/>
      <c r="H233" s="580"/>
      <c r="I233" s="580"/>
      <c r="J233" s="580"/>
      <c r="K233" s="580"/>
      <c r="L233" s="580"/>
      <c r="M233" s="580"/>
      <c r="N233" s="580"/>
      <c r="O233" s="580"/>
      <c r="P233" s="580"/>
      <c r="Q233" s="580"/>
      <c r="R233" s="580"/>
      <c r="S233" s="580"/>
      <c r="T233" s="580"/>
      <c r="U233" s="580"/>
      <c r="V233" s="580"/>
      <c r="W233" s="580"/>
      <c r="X233" s="580"/>
      <c r="Y233" s="580"/>
      <c r="Z233" s="580"/>
      <c r="AA233" s="580"/>
      <c r="AB233" s="580"/>
    </row>
    <row r="234" ht="15.75" customHeight="1">
      <c r="A234" s="570"/>
      <c r="B234" s="570"/>
      <c r="C234" s="580"/>
      <c r="D234" s="580"/>
      <c r="E234" s="580"/>
      <c r="F234" s="580"/>
      <c r="G234" s="580"/>
      <c r="H234" s="580"/>
      <c r="I234" s="580"/>
      <c r="J234" s="580"/>
      <c r="K234" s="580"/>
      <c r="L234" s="580"/>
      <c r="M234" s="580"/>
      <c r="N234" s="580"/>
      <c r="O234" s="580"/>
      <c r="P234" s="580"/>
      <c r="Q234" s="580"/>
      <c r="R234" s="580"/>
      <c r="S234" s="580"/>
      <c r="T234" s="580"/>
      <c r="U234" s="580"/>
      <c r="V234" s="580"/>
      <c r="W234" s="580"/>
      <c r="X234" s="580"/>
      <c r="Y234" s="580"/>
      <c r="Z234" s="580"/>
      <c r="AA234" s="580"/>
      <c r="AB234" s="580"/>
    </row>
    <row r="235" ht="15.75" customHeight="1">
      <c r="A235" s="570"/>
      <c r="B235" s="570"/>
      <c r="C235" s="580"/>
      <c r="D235" s="580"/>
      <c r="E235" s="580"/>
      <c r="F235" s="580"/>
      <c r="G235" s="580"/>
      <c r="H235" s="580"/>
      <c r="I235" s="580"/>
      <c r="J235" s="580"/>
      <c r="K235" s="580"/>
      <c r="L235" s="580"/>
      <c r="M235" s="580"/>
      <c r="N235" s="580"/>
      <c r="O235" s="580"/>
      <c r="P235" s="580"/>
      <c r="Q235" s="580"/>
      <c r="R235" s="580"/>
      <c r="S235" s="580"/>
      <c r="T235" s="580"/>
      <c r="U235" s="580"/>
      <c r="V235" s="580"/>
      <c r="W235" s="580"/>
      <c r="X235" s="580"/>
      <c r="Y235" s="580"/>
      <c r="Z235" s="580"/>
      <c r="AA235" s="580"/>
      <c r="AB235" s="580"/>
    </row>
    <row r="236" ht="15.75" customHeight="1">
      <c r="A236" s="570"/>
      <c r="B236" s="570"/>
      <c r="C236" s="580"/>
      <c r="D236" s="580"/>
      <c r="E236" s="580"/>
      <c r="F236" s="580"/>
      <c r="G236" s="580"/>
      <c r="H236" s="580"/>
      <c r="I236" s="580"/>
      <c r="J236" s="580"/>
      <c r="K236" s="580"/>
      <c r="L236" s="580"/>
      <c r="M236" s="580"/>
      <c r="N236" s="580"/>
      <c r="O236" s="580"/>
      <c r="P236" s="580"/>
      <c r="Q236" s="580"/>
      <c r="R236" s="580"/>
      <c r="S236" s="580"/>
      <c r="T236" s="580"/>
      <c r="U236" s="580"/>
      <c r="V236" s="580"/>
      <c r="W236" s="580"/>
      <c r="X236" s="580"/>
      <c r="Y236" s="580"/>
      <c r="Z236" s="580"/>
      <c r="AA236" s="580"/>
      <c r="AB236" s="580"/>
    </row>
    <row r="237" ht="15.75" customHeight="1">
      <c r="A237" s="570"/>
      <c r="B237" s="570"/>
      <c r="C237" s="580"/>
      <c r="D237" s="580"/>
      <c r="E237" s="580"/>
      <c r="F237" s="580"/>
      <c r="G237" s="580"/>
      <c r="H237" s="580"/>
      <c r="I237" s="580"/>
      <c r="J237" s="580"/>
      <c r="K237" s="580"/>
      <c r="L237" s="580"/>
      <c r="M237" s="580"/>
      <c r="N237" s="580"/>
      <c r="O237" s="580"/>
      <c r="P237" s="580"/>
      <c r="Q237" s="580"/>
      <c r="R237" s="580"/>
      <c r="S237" s="580"/>
      <c r="T237" s="580"/>
      <c r="U237" s="580"/>
      <c r="V237" s="580"/>
      <c r="W237" s="580"/>
      <c r="X237" s="580"/>
      <c r="Y237" s="580"/>
      <c r="Z237" s="580"/>
      <c r="AA237" s="580"/>
      <c r="AB237" s="580"/>
    </row>
    <row r="238" ht="15.75" customHeight="1">
      <c r="A238" s="570"/>
      <c r="B238" s="570"/>
      <c r="C238" s="580"/>
      <c r="D238" s="580"/>
      <c r="E238" s="580"/>
      <c r="F238" s="580"/>
      <c r="G238" s="580"/>
      <c r="H238" s="580"/>
      <c r="I238" s="580"/>
      <c r="J238" s="580"/>
      <c r="K238" s="580"/>
      <c r="L238" s="580"/>
      <c r="M238" s="580"/>
      <c r="N238" s="580"/>
      <c r="O238" s="580"/>
      <c r="P238" s="580"/>
      <c r="Q238" s="580"/>
      <c r="R238" s="580"/>
      <c r="S238" s="580"/>
      <c r="T238" s="580"/>
      <c r="U238" s="580"/>
      <c r="V238" s="580"/>
      <c r="W238" s="580"/>
      <c r="X238" s="580"/>
      <c r="Y238" s="580"/>
      <c r="Z238" s="580"/>
      <c r="AA238" s="580"/>
      <c r="AB238" s="580"/>
    </row>
    <row r="239" ht="15.75" customHeight="1">
      <c r="A239" s="570"/>
      <c r="B239" s="570"/>
      <c r="C239" s="580"/>
      <c r="D239" s="580"/>
      <c r="E239" s="580"/>
      <c r="F239" s="580"/>
      <c r="G239" s="580"/>
      <c r="H239" s="580"/>
      <c r="I239" s="580"/>
      <c r="J239" s="580"/>
      <c r="K239" s="580"/>
      <c r="L239" s="580"/>
      <c r="M239" s="580"/>
      <c r="N239" s="580"/>
      <c r="O239" s="580"/>
      <c r="P239" s="580"/>
      <c r="Q239" s="580"/>
      <c r="R239" s="580"/>
      <c r="S239" s="580"/>
      <c r="T239" s="580"/>
      <c r="U239" s="580"/>
      <c r="V239" s="580"/>
      <c r="W239" s="580"/>
      <c r="X239" s="580"/>
      <c r="Y239" s="580"/>
      <c r="Z239" s="580"/>
      <c r="AA239" s="580"/>
      <c r="AB239" s="580"/>
    </row>
    <row r="240" ht="15.75" customHeight="1">
      <c r="A240" s="570"/>
      <c r="B240" s="570"/>
      <c r="C240" s="580"/>
      <c r="D240" s="580"/>
      <c r="E240" s="580"/>
      <c r="F240" s="580"/>
      <c r="G240" s="580"/>
      <c r="H240" s="580"/>
      <c r="I240" s="580"/>
      <c r="J240" s="580"/>
      <c r="K240" s="580"/>
      <c r="L240" s="580"/>
      <c r="M240" s="580"/>
      <c r="N240" s="580"/>
      <c r="O240" s="580"/>
      <c r="P240" s="580"/>
      <c r="Q240" s="580"/>
      <c r="R240" s="580"/>
      <c r="S240" s="580"/>
      <c r="T240" s="580"/>
      <c r="U240" s="580"/>
      <c r="V240" s="580"/>
      <c r="W240" s="580"/>
      <c r="X240" s="580"/>
      <c r="Y240" s="580"/>
      <c r="Z240" s="580"/>
      <c r="AA240" s="580"/>
      <c r="AB240" s="580"/>
    </row>
    <row r="241" ht="15.75" customHeight="1">
      <c r="A241" s="570"/>
      <c r="B241" s="570"/>
      <c r="C241" s="580"/>
      <c r="D241" s="580"/>
      <c r="E241" s="580"/>
      <c r="F241" s="580"/>
      <c r="G241" s="580"/>
      <c r="H241" s="580"/>
      <c r="I241" s="580"/>
      <c r="J241" s="580"/>
      <c r="K241" s="580"/>
      <c r="L241" s="580"/>
      <c r="M241" s="580"/>
      <c r="N241" s="580"/>
      <c r="O241" s="580"/>
      <c r="P241" s="580"/>
      <c r="Q241" s="580"/>
      <c r="R241" s="580"/>
      <c r="S241" s="580"/>
      <c r="T241" s="580"/>
      <c r="U241" s="580"/>
      <c r="V241" s="580"/>
      <c r="W241" s="580"/>
      <c r="X241" s="580"/>
      <c r="Y241" s="580"/>
      <c r="Z241" s="580"/>
      <c r="AA241" s="580"/>
      <c r="AB241" s="580"/>
    </row>
    <row r="242" ht="15.75" customHeight="1">
      <c r="A242" s="570"/>
      <c r="B242" s="570"/>
      <c r="C242" s="580"/>
      <c r="D242" s="580"/>
      <c r="E242" s="580"/>
      <c r="F242" s="580"/>
      <c r="G242" s="580"/>
      <c r="H242" s="580"/>
      <c r="I242" s="580"/>
      <c r="J242" s="580"/>
      <c r="K242" s="580"/>
      <c r="L242" s="580"/>
      <c r="M242" s="580"/>
      <c r="N242" s="580"/>
      <c r="O242" s="580"/>
      <c r="P242" s="580"/>
      <c r="Q242" s="580"/>
      <c r="R242" s="580"/>
      <c r="S242" s="580"/>
      <c r="T242" s="580"/>
      <c r="U242" s="580"/>
      <c r="V242" s="580"/>
      <c r="W242" s="580"/>
      <c r="X242" s="580"/>
      <c r="Y242" s="580"/>
      <c r="Z242" s="580"/>
      <c r="AA242" s="580"/>
      <c r="AB242" s="580"/>
    </row>
    <row r="243" ht="15.75" customHeight="1">
      <c r="A243" s="570"/>
      <c r="B243" s="570"/>
      <c r="C243" s="580"/>
      <c r="D243" s="580"/>
      <c r="E243" s="580"/>
      <c r="F243" s="580"/>
      <c r="G243" s="580"/>
      <c r="H243" s="580"/>
      <c r="I243" s="580"/>
      <c r="J243" s="580"/>
      <c r="K243" s="580"/>
      <c r="L243" s="580"/>
      <c r="M243" s="580"/>
      <c r="N243" s="580"/>
      <c r="O243" s="580"/>
      <c r="P243" s="580"/>
      <c r="Q243" s="580"/>
      <c r="R243" s="580"/>
      <c r="S243" s="580"/>
      <c r="T243" s="580"/>
      <c r="U243" s="580"/>
      <c r="V243" s="580"/>
      <c r="W243" s="580"/>
      <c r="X243" s="580"/>
      <c r="Y243" s="580"/>
      <c r="Z243" s="580"/>
      <c r="AA243" s="580"/>
      <c r="AB243" s="580"/>
    </row>
    <row r="244" ht="15.75" customHeight="1">
      <c r="A244" s="570"/>
      <c r="B244" s="570"/>
      <c r="C244" s="580"/>
      <c r="D244" s="580"/>
      <c r="E244" s="580"/>
      <c r="F244" s="580"/>
      <c r="G244" s="580"/>
      <c r="H244" s="580"/>
      <c r="I244" s="580"/>
      <c r="J244" s="580"/>
      <c r="K244" s="580"/>
      <c r="L244" s="580"/>
      <c r="M244" s="580"/>
      <c r="N244" s="580"/>
      <c r="O244" s="580"/>
      <c r="P244" s="580"/>
      <c r="Q244" s="580"/>
      <c r="R244" s="580"/>
      <c r="S244" s="580"/>
      <c r="T244" s="580"/>
      <c r="U244" s="580"/>
      <c r="V244" s="580"/>
      <c r="W244" s="580"/>
      <c r="X244" s="580"/>
      <c r="Y244" s="580"/>
      <c r="Z244" s="580"/>
      <c r="AA244" s="580"/>
      <c r="AB244" s="580"/>
    </row>
    <row r="245" ht="15.75" customHeight="1">
      <c r="A245" s="570"/>
      <c r="B245" s="570"/>
      <c r="C245" s="580"/>
      <c r="D245" s="580"/>
      <c r="E245" s="580"/>
      <c r="F245" s="580"/>
      <c r="G245" s="580"/>
      <c r="H245" s="580"/>
      <c r="I245" s="580"/>
      <c r="J245" s="580"/>
      <c r="K245" s="580"/>
      <c r="L245" s="580"/>
      <c r="M245" s="580"/>
      <c r="N245" s="580"/>
      <c r="O245" s="580"/>
      <c r="P245" s="580"/>
      <c r="Q245" s="580"/>
      <c r="R245" s="580"/>
      <c r="S245" s="580"/>
      <c r="T245" s="580"/>
      <c r="U245" s="580"/>
      <c r="V245" s="580"/>
      <c r="W245" s="580"/>
      <c r="X245" s="580"/>
      <c r="Y245" s="580"/>
      <c r="Z245" s="580"/>
      <c r="AA245" s="580"/>
      <c r="AB245" s="580"/>
    </row>
    <row r="246" ht="15.75" customHeight="1">
      <c r="A246" s="570"/>
      <c r="B246" s="570"/>
      <c r="C246" s="580"/>
      <c r="D246" s="580"/>
      <c r="E246" s="580"/>
      <c r="F246" s="580"/>
      <c r="G246" s="580"/>
      <c r="H246" s="580"/>
      <c r="I246" s="580"/>
      <c r="J246" s="580"/>
      <c r="K246" s="580"/>
      <c r="L246" s="580"/>
      <c r="M246" s="580"/>
      <c r="N246" s="580"/>
      <c r="O246" s="580"/>
      <c r="P246" s="580"/>
      <c r="Q246" s="580"/>
      <c r="R246" s="580"/>
      <c r="S246" s="580"/>
      <c r="T246" s="580"/>
      <c r="U246" s="580"/>
      <c r="V246" s="580"/>
      <c r="W246" s="580"/>
      <c r="X246" s="580"/>
      <c r="Y246" s="580"/>
      <c r="Z246" s="580"/>
      <c r="AA246" s="580"/>
      <c r="AB246" s="580"/>
    </row>
    <row r="247" ht="15.75" customHeight="1">
      <c r="A247" s="570"/>
      <c r="B247" s="570"/>
      <c r="C247" s="580"/>
      <c r="D247" s="580"/>
      <c r="E247" s="580"/>
      <c r="F247" s="580"/>
      <c r="G247" s="580"/>
      <c r="H247" s="580"/>
      <c r="I247" s="580"/>
      <c r="J247" s="580"/>
      <c r="K247" s="580"/>
      <c r="L247" s="580"/>
      <c r="M247" s="580"/>
      <c r="N247" s="580"/>
      <c r="O247" s="580"/>
      <c r="P247" s="580"/>
      <c r="Q247" s="580"/>
      <c r="R247" s="580"/>
      <c r="S247" s="580"/>
      <c r="T247" s="580"/>
      <c r="U247" s="580"/>
      <c r="V247" s="580"/>
      <c r="W247" s="580"/>
      <c r="X247" s="580"/>
      <c r="Y247" s="580"/>
      <c r="Z247" s="580"/>
      <c r="AA247" s="580"/>
      <c r="AB247" s="580"/>
    </row>
    <row r="248" ht="15.75" customHeight="1">
      <c r="A248" s="570"/>
      <c r="B248" s="570"/>
      <c r="C248" s="580"/>
      <c r="D248" s="580"/>
      <c r="E248" s="580"/>
      <c r="F248" s="580"/>
      <c r="G248" s="580"/>
      <c r="H248" s="580"/>
      <c r="I248" s="580"/>
      <c r="J248" s="580"/>
      <c r="K248" s="580"/>
      <c r="L248" s="580"/>
      <c r="M248" s="580"/>
      <c r="N248" s="580"/>
      <c r="O248" s="580"/>
      <c r="P248" s="580"/>
      <c r="Q248" s="580"/>
      <c r="R248" s="580"/>
      <c r="S248" s="580"/>
      <c r="T248" s="580"/>
      <c r="U248" s="580"/>
      <c r="V248" s="580"/>
      <c r="W248" s="580"/>
      <c r="X248" s="580"/>
      <c r="Y248" s="580"/>
      <c r="Z248" s="580"/>
      <c r="AA248" s="580"/>
      <c r="AB248" s="580"/>
    </row>
    <row r="249" ht="15.75" customHeight="1">
      <c r="A249" s="570"/>
      <c r="B249" s="570"/>
      <c r="C249" s="580"/>
      <c r="D249" s="580"/>
      <c r="E249" s="580"/>
      <c r="F249" s="580"/>
      <c r="G249" s="580"/>
      <c r="H249" s="580"/>
      <c r="I249" s="580"/>
      <c r="J249" s="580"/>
      <c r="K249" s="580"/>
      <c r="L249" s="580"/>
      <c r="M249" s="580"/>
      <c r="N249" s="580"/>
      <c r="O249" s="580"/>
      <c r="P249" s="580"/>
      <c r="Q249" s="580"/>
      <c r="R249" s="580"/>
      <c r="S249" s="580"/>
      <c r="T249" s="580"/>
      <c r="U249" s="580"/>
      <c r="V249" s="580"/>
      <c r="W249" s="580"/>
      <c r="X249" s="580"/>
      <c r="Y249" s="580"/>
      <c r="Z249" s="580"/>
      <c r="AA249" s="580"/>
      <c r="AB249" s="580"/>
    </row>
    <row r="250" ht="15.75" customHeight="1">
      <c r="A250" s="570"/>
      <c r="B250" s="570"/>
      <c r="C250" s="580"/>
      <c r="D250" s="580"/>
      <c r="E250" s="580"/>
      <c r="F250" s="580"/>
      <c r="G250" s="580"/>
      <c r="H250" s="580"/>
      <c r="I250" s="580"/>
      <c r="J250" s="580"/>
      <c r="K250" s="580"/>
      <c r="L250" s="580"/>
      <c r="M250" s="580"/>
      <c r="N250" s="580"/>
      <c r="O250" s="580"/>
      <c r="P250" s="580"/>
      <c r="Q250" s="580"/>
      <c r="R250" s="580"/>
      <c r="S250" s="580"/>
      <c r="T250" s="580"/>
      <c r="U250" s="580"/>
      <c r="V250" s="580"/>
      <c r="W250" s="580"/>
      <c r="X250" s="580"/>
      <c r="Y250" s="580"/>
      <c r="Z250" s="580"/>
      <c r="AA250" s="580"/>
      <c r="AB250" s="580"/>
    </row>
    <row r="251" ht="15.75" customHeight="1">
      <c r="A251" s="570"/>
      <c r="B251" s="570"/>
      <c r="C251" s="580"/>
      <c r="D251" s="580"/>
      <c r="E251" s="580"/>
      <c r="F251" s="580"/>
      <c r="G251" s="580"/>
      <c r="H251" s="580"/>
      <c r="I251" s="580"/>
      <c r="J251" s="580"/>
      <c r="K251" s="580"/>
      <c r="L251" s="580"/>
      <c r="M251" s="580"/>
      <c r="N251" s="580"/>
      <c r="O251" s="580"/>
      <c r="P251" s="580"/>
      <c r="Q251" s="580"/>
      <c r="R251" s="580"/>
      <c r="S251" s="580"/>
      <c r="T251" s="580"/>
      <c r="U251" s="580"/>
      <c r="V251" s="580"/>
      <c r="W251" s="580"/>
      <c r="X251" s="580"/>
      <c r="Y251" s="580"/>
      <c r="Z251" s="580"/>
      <c r="AA251" s="580"/>
      <c r="AB251" s="580"/>
    </row>
    <row r="252" ht="15.75" customHeight="1">
      <c r="A252" s="570"/>
      <c r="B252" s="570"/>
      <c r="C252" s="580"/>
      <c r="D252" s="580"/>
      <c r="E252" s="580"/>
      <c r="F252" s="580"/>
      <c r="G252" s="580"/>
      <c r="H252" s="580"/>
      <c r="I252" s="580"/>
      <c r="J252" s="580"/>
      <c r="K252" s="580"/>
      <c r="L252" s="580"/>
      <c r="M252" s="580"/>
      <c r="N252" s="580"/>
      <c r="O252" s="580"/>
      <c r="P252" s="580"/>
      <c r="Q252" s="580"/>
      <c r="R252" s="580"/>
      <c r="S252" s="580"/>
      <c r="T252" s="580"/>
      <c r="U252" s="580"/>
      <c r="V252" s="580"/>
      <c r="W252" s="580"/>
      <c r="X252" s="580"/>
      <c r="Y252" s="580"/>
      <c r="Z252" s="580"/>
      <c r="AA252" s="580"/>
      <c r="AB252" s="580"/>
    </row>
    <row r="253" ht="15.75" customHeight="1">
      <c r="A253" s="570"/>
      <c r="B253" s="570"/>
      <c r="C253" s="580"/>
      <c r="D253" s="580"/>
      <c r="E253" s="580"/>
      <c r="F253" s="580"/>
      <c r="G253" s="580"/>
      <c r="H253" s="580"/>
      <c r="I253" s="580"/>
      <c r="J253" s="580"/>
      <c r="K253" s="580"/>
      <c r="L253" s="580"/>
      <c r="M253" s="580"/>
      <c r="N253" s="580"/>
      <c r="O253" s="580"/>
      <c r="P253" s="580"/>
      <c r="Q253" s="580"/>
      <c r="R253" s="580"/>
      <c r="S253" s="580"/>
      <c r="T253" s="580"/>
      <c r="U253" s="580"/>
      <c r="V253" s="580"/>
      <c r="W253" s="580"/>
      <c r="X253" s="580"/>
      <c r="Y253" s="580"/>
      <c r="Z253" s="580"/>
      <c r="AA253" s="580"/>
      <c r="AB253" s="580"/>
    </row>
    <row r="254" ht="15.75" customHeight="1">
      <c r="A254" s="570"/>
      <c r="B254" s="570"/>
      <c r="C254" s="580"/>
      <c r="D254" s="580"/>
      <c r="E254" s="580"/>
      <c r="F254" s="580"/>
      <c r="G254" s="580"/>
      <c r="H254" s="580"/>
      <c r="I254" s="580"/>
      <c r="J254" s="580"/>
      <c r="K254" s="580"/>
      <c r="L254" s="580"/>
      <c r="M254" s="580"/>
      <c r="N254" s="580"/>
      <c r="O254" s="580"/>
      <c r="P254" s="580"/>
      <c r="Q254" s="580"/>
      <c r="R254" s="580"/>
      <c r="S254" s="580"/>
      <c r="T254" s="580"/>
      <c r="U254" s="580"/>
      <c r="V254" s="580"/>
      <c r="W254" s="580"/>
      <c r="X254" s="580"/>
      <c r="Y254" s="580"/>
      <c r="Z254" s="580"/>
      <c r="AA254" s="580"/>
      <c r="AB254" s="580"/>
    </row>
    <row r="255" ht="15.75" customHeight="1">
      <c r="A255" s="570"/>
      <c r="B255" s="570"/>
      <c r="C255" s="580"/>
      <c r="D255" s="580"/>
      <c r="E255" s="580"/>
      <c r="F255" s="580"/>
      <c r="G255" s="580"/>
      <c r="H255" s="580"/>
      <c r="I255" s="580"/>
      <c r="J255" s="580"/>
      <c r="K255" s="580"/>
      <c r="L255" s="580"/>
      <c r="M255" s="580"/>
      <c r="N255" s="580"/>
      <c r="O255" s="580"/>
      <c r="P255" s="580"/>
      <c r="Q255" s="580"/>
      <c r="R255" s="580"/>
      <c r="S255" s="580"/>
      <c r="T255" s="580"/>
      <c r="U255" s="580"/>
      <c r="V255" s="580"/>
      <c r="W255" s="580"/>
      <c r="X255" s="580"/>
      <c r="Y255" s="580"/>
      <c r="Z255" s="580"/>
      <c r="AA255" s="580"/>
      <c r="AB255" s="580"/>
    </row>
    <row r="256" ht="15.75" customHeight="1">
      <c r="A256" s="570"/>
      <c r="B256" s="570"/>
      <c r="C256" s="580"/>
      <c r="D256" s="580"/>
      <c r="E256" s="580"/>
      <c r="F256" s="580"/>
      <c r="G256" s="580"/>
      <c r="H256" s="580"/>
      <c r="I256" s="580"/>
      <c r="J256" s="580"/>
      <c r="K256" s="580"/>
      <c r="L256" s="580"/>
      <c r="M256" s="580"/>
      <c r="N256" s="580"/>
      <c r="O256" s="580"/>
      <c r="P256" s="580"/>
      <c r="Q256" s="580"/>
      <c r="R256" s="580"/>
      <c r="S256" s="580"/>
      <c r="T256" s="580"/>
      <c r="U256" s="580"/>
      <c r="V256" s="580"/>
      <c r="W256" s="580"/>
      <c r="X256" s="580"/>
      <c r="Y256" s="580"/>
      <c r="Z256" s="580"/>
      <c r="AA256" s="580"/>
      <c r="AB256" s="580"/>
    </row>
    <row r="257" ht="15.75" customHeight="1">
      <c r="A257" s="570"/>
      <c r="B257" s="570"/>
      <c r="C257" s="580"/>
      <c r="D257" s="580"/>
      <c r="E257" s="580"/>
      <c r="F257" s="580"/>
      <c r="G257" s="580"/>
      <c r="H257" s="580"/>
      <c r="I257" s="580"/>
      <c r="J257" s="580"/>
      <c r="K257" s="580"/>
      <c r="L257" s="580"/>
      <c r="M257" s="580"/>
      <c r="N257" s="580"/>
      <c r="O257" s="580"/>
      <c r="P257" s="580"/>
      <c r="Q257" s="580"/>
      <c r="R257" s="580"/>
      <c r="S257" s="580"/>
      <c r="T257" s="580"/>
      <c r="U257" s="580"/>
      <c r="V257" s="580"/>
      <c r="W257" s="580"/>
      <c r="X257" s="580"/>
      <c r="Y257" s="580"/>
      <c r="Z257" s="580"/>
      <c r="AA257" s="580"/>
      <c r="AB257" s="580"/>
    </row>
    <row r="258" ht="15.75" customHeight="1">
      <c r="A258" s="570"/>
      <c r="B258" s="570"/>
      <c r="C258" s="580"/>
      <c r="D258" s="580"/>
      <c r="E258" s="580"/>
      <c r="F258" s="580"/>
      <c r="G258" s="580"/>
      <c r="H258" s="580"/>
      <c r="I258" s="580"/>
      <c r="J258" s="580"/>
      <c r="K258" s="580"/>
      <c r="L258" s="580"/>
      <c r="M258" s="580"/>
      <c r="N258" s="580"/>
      <c r="O258" s="580"/>
      <c r="P258" s="580"/>
      <c r="Q258" s="580"/>
      <c r="R258" s="580"/>
      <c r="S258" s="580"/>
      <c r="T258" s="580"/>
      <c r="U258" s="580"/>
      <c r="V258" s="580"/>
      <c r="W258" s="580"/>
      <c r="X258" s="580"/>
      <c r="Y258" s="580"/>
      <c r="Z258" s="580"/>
      <c r="AA258" s="580"/>
      <c r="AB258" s="580"/>
    </row>
    <row r="259" ht="15.75" customHeight="1">
      <c r="A259" s="570"/>
      <c r="B259" s="570"/>
      <c r="C259" s="580"/>
      <c r="D259" s="580"/>
      <c r="E259" s="580"/>
      <c r="F259" s="580"/>
      <c r="G259" s="580"/>
      <c r="H259" s="580"/>
      <c r="I259" s="580"/>
      <c r="J259" s="580"/>
      <c r="K259" s="580"/>
      <c r="L259" s="580"/>
      <c r="M259" s="580"/>
      <c r="N259" s="580"/>
      <c r="O259" s="580"/>
      <c r="P259" s="580"/>
      <c r="Q259" s="580"/>
      <c r="R259" s="580"/>
      <c r="S259" s="580"/>
      <c r="T259" s="580"/>
      <c r="U259" s="580"/>
      <c r="V259" s="580"/>
      <c r="W259" s="580"/>
      <c r="X259" s="580"/>
      <c r="Y259" s="580"/>
      <c r="Z259" s="580"/>
      <c r="AA259" s="580"/>
      <c r="AB259" s="580"/>
    </row>
    <row r="260" ht="15.75" customHeight="1">
      <c r="A260" s="570"/>
      <c r="B260" s="570"/>
      <c r="C260" s="580"/>
      <c r="D260" s="580"/>
      <c r="E260" s="580"/>
      <c r="F260" s="580"/>
      <c r="G260" s="580"/>
      <c r="H260" s="580"/>
      <c r="I260" s="580"/>
      <c r="J260" s="580"/>
      <c r="K260" s="580"/>
      <c r="L260" s="580"/>
      <c r="M260" s="580"/>
      <c r="N260" s="580"/>
      <c r="O260" s="580"/>
      <c r="P260" s="580"/>
      <c r="Q260" s="580"/>
      <c r="R260" s="580"/>
      <c r="S260" s="580"/>
      <c r="T260" s="580"/>
      <c r="U260" s="580"/>
      <c r="V260" s="580"/>
      <c r="W260" s="580"/>
      <c r="X260" s="580"/>
      <c r="Y260" s="580"/>
      <c r="Z260" s="580"/>
      <c r="AA260" s="580"/>
      <c r="AB260" s="580"/>
    </row>
    <row r="261" ht="15.75" customHeight="1">
      <c r="A261" s="570"/>
      <c r="B261" s="570"/>
      <c r="C261" s="580"/>
      <c r="D261" s="580"/>
      <c r="E261" s="580"/>
      <c r="F261" s="580"/>
      <c r="G261" s="580"/>
      <c r="H261" s="580"/>
      <c r="I261" s="580"/>
      <c r="J261" s="580"/>
      <c r="K261" s="580"/>
      <c r="L261" s="580"/>
      <c r="M261" s="580"/>
      <c r="N261" s="580"/>
      <c r="O261" s="580"/>
      <c r="P261" s="580"/>
      <c r="Q261" s="580"/>
      <c r="R261" s="580"/>
      <c r="S261" s="580"/>
      <c r="T261" s="580"/>
      <c r="U261" s="580"/>
      <c r="V261" s="580"/>
      <c r="W261" s="580"/>
      <c r="X261" s="580"/>
      <c r="Y261" s="580"/>
      <c r="Z261" s="580"/>
      <c r="AA261" s="580"/>
      <c r="AB261" s="580"/>
    </row>
    <row r="262" ht="15.75" customHeight="1">
      <c r="A262" s="570"/>
      <c r="B262" s="570"/>
      <c r="C262" s="580"/>
      <c r="D262" s="580"/>
      <c r="E262" s="580"/>
      <c r="F262" s="580"/>
      <c r="G262" s="580"/>
      <c r="H262" s="580"/>
      <c r="I262" s="580"/>
      <c r="J262" s="580"/>
      <c r="K262" s="580"/>
      <c r="L262" s="580"/>
      <c r="M262" s="580"/>
      <c r="N262" s="580"/>
      <c r="O262" s="580"/>
      <c r="P262" s="580"/>
      <c r="Q262" s="580"/>
      <c r="R262" s="580"/>
      <c r="S262" s="580"/>
      <c r="T262" s="580"/>
      <c r="U262" s="580"/>
      <c r="V262" s="580"/>
      <c r="W262" s="580"/>
      <c r="X262" s="580"/>
      <c r="Y262" s="580"/>
      <c r="Z262" s="580"/>
      <c r="AA262" s="580"/>
      <c r="AB262" s="580"/>
    </row>
    <row r="263" ht="15.75" customHeight="1">
      <c r="A263" s="570"/>
      <c r="B263" s="570"/>
      <c r="C263" s="580"/>
      <c r="D263" s="580"/>
      <c r="E263" s="580"/>
      <c r="F263" s="580"/>
      <c r="G263" s="580"/>
      <c r="H263" s="580"/>
      <c r="I263" s="580"/>
      <c r="J263" s="580"/>
      <c r="K263" s="580"/>
      <c r="L263" s="580"/>
      <c r="M263" s="580"/>
      <c r="N263" s="580"/>
      <c r="O263" s="580"/>
      <c r="P263" s="580"/>
      <c r="Q263" s="580"/>
      <c r="R263" s="580"/>
      <c r="S263" s="580"/>
      <c r="T263" s="580"/>
      <c r="U263" s="580"/>
      <c r="V263" s="580"/>
      <c r="W263" s="580"/>
      <c r="X263" s="580"/>
      <c r="Y263" s="580"/>
      <c r="Z263" s="580"/>
      <c r="AA263" s="580"/>
      <c r="AB263" s="580"/>
    </row>
    <row r="264" ht="15.75" customHeight="1">
      <c r="A264" s="570"/>
      <c r="B264" s="570"/>
      <c r="C264" s="580"/>
      <c r="D264" s="580"/>
      <c r="E264" s="580"/>
      <c r="F264" s="580"/>
      <c r="G264" s="580"/>
      <c r="H264" s="580"/>
      <c r="I264" s="580"/>
      <c r="J264" s="580"/>
      <c r="K264" s="580"/>
      <c r="L264" s="580"/>
      <c r="M264" s="580"/>
      <c r="N264" s="580"/>
      <c r="O264" s="580"/>
      <c r="P264" s="580"/>
      <c r="Q264" s="580"/>
      <c r="R264" s="580"/>
      <c r="S264" s="580"/>
      <c r="T264" s="580"/>
      <c r="U264" s="580"/>
      <c r="V264" s="580"/>
      <c r="W264" s="580"/>
      <c r="X264" s="580"/>
      <c r="Y264" s="580"/>
      <c r="Z264" s="580"/>
      <c r="AA264" s="580"/>
      <c r="AB264" s="580"/>
    </row>
    <row r="265" ht="15.75" customHeight="1">
      <c r="A265" s="570"/>
      <c r="B265" s="570"/>
      <c r="C265" s="580"/>
      <c r="D265" s="580"/>
      <c r="E265" s="580"/>
      <c r="F265" s="580"/>
      <c r="G265" s="580"/>
      <c r="H265" s="580"/>
      <c r="I265" s="580"/>
      <c r="J265" s="580"/>
      <c r="K265" s="580"/>
      <c r="L265" s="580"/>
      <c r="M265" s="580"/>
      <c r="N265" s="580"/>
      <c r="O265" s="580"/>
      <c r="P265" s="580"/>
      <c r="Q265" s="580"/>
      <c r="R265" s="580"/>
      <c r="S265" s="580"/>
      <c r="T265" s="580"/>
      <c r="U265" s="580"/>
      <c r="V265" s="580"/>
      <c r="W265" s="580"/>
      <c r="X265" s="580"/>
      <c r="Y265" s="580"/>
      <c r="Z265" s="580"/>
      <c r="AA265" s="580"/>
      <c r="AB265" s="580"/>
    </row>
    <row r="266" ht="15.75" customHeight="1">
      <c r="A266" s="570"/>
      <c r="B266" s="570"/>
      <c r="C266" s="580"/>
      <c r="D266" s="580"/>
      <c r="E266" s="580"/>
      <c r="F266" s="580"/>
      <c r="G266" s="580"/>
      <c r="H266" s="580"/>
      <c r="I266" s="580"/>
      <c r="J266" s="580"/>
      <c r="K266" s="580"/>
      <c r="L266" s="580"/>
      <c r="M266" s="580"/>
      <c r="N266" s="580"/>
      <c r="O266" s="580"/>
      <c r="P266" s="580"/>
      <c r="Q266" s="580"/>
      <c r="R266" s="580"/>
      <c r="S266" s="580"/>
      <c r="T266" s="580"/>
      <c r="U266" s="580"/>
      <c r="V266" s="580"/>
      <c r="W266" s="580"/>
      <c r="X266" s="580"/>
      <c r="Y266" s="580"/>
      <c r="Z266" s="580"/>
      <c r="AA266" s="580"/>
      <c r="AB266" s="580"/>
    </row>
    <row r="267" ht="15.75" customHeight="1">
      <c r="A267" s="570"/>
      <c r="B267" s="570"/>
      <c r="C267" s="580"/>
      <c r="D267" s="580"/>
      <c r="E267" s="580"/>
      <c r="F267" s="580"/>
      <c r="G267" s="580"/>
      <c r="H267" s="580"/>
      <c r="I267" s="580"/>
      <c r="J267" s="580"/>
      <c r="K267" s="580"/>
      <c r="L267" s="580"/>
      <c r="M267" s="580"/>
      <c r="N267" s="580"/>
      <c r="O267" s="580"/>
      <c r="P267" s="580"/>
      <c r="Q267" s="580"/>
      <c r="R267" s="580"/>
      <c r="S267" s="580"/>
      <c r="T267" s="580"/>
      <c r="U267" s="580"/>
      <c r="V267" s="580"/>
      <c r="W267" s="580"/>
      <c r="X267" s="580"/>
      <c r="Y267" s="580"/>
      <c r="Z267" s="580"/>
      <c r="AA267" s="580"/>
      <c r="AB267" s="580"/>
    </row>
    <row r="268" ht="15.75" customHeight="1">
      <c r="A268" s="570"/>
      <c r="B268" s="570"/>
      <c r="C268" s="580"/>
      <c r="D268" s="580"/>
      <c r="E268" s="580"/>
      <c r="F268" s="580"/>
      <c r="G268" s="580"/>
      <c r="H268" s="580"/>
      <c r="I268" s="580"/>
      <c r="J268" s="580"/>
      <c r="K268" s="580"/>
      <c r="L268" s="580"/>
      <c r="M268" s="580"/>
      <c r="N268" s="580"/>
      <c r="O268" s="580"/>
      <c r="P268" s="580"/>
      <c r="Q268" s="580"/>
      <c r="R268" s="580"/>
      <c r="S268" s="580"/>
      <c r="T268" s="580"/>
      <c r="U268" s="580"/>
      <c r="V268" s="580"/>
      <c r="W268" s="580"/>
      <c r="X268" s="580"/>
      <c r="Y268" s="580"/>
      <c r="Z268" s="580"/>
      <c r="AA268" s="580"/>
      <c r="AB268" s="580"/>
    </row>
    <row r="269" ht="15.75" customHeight="1">
      <c r="A269" s="570"/>
      <c r="B269" s="570"/>
      <c r="C269" s="580"/>
      <c r="D269" s="580"/>
      <c r="E269" s="580"/>
      <c r="F269" s="580"/>
      <c r="G269" s="580"/>
      <c r="H269" s="580"/>
      <c r="I269" s="580"/>
      <c r="J269" s="580"/>
      <c r="K269" s="580"/>
      <c r="L269" s="580"/>
      <c r="M269" s="580"/>
      <c r="N269" s="580"/>
      <c r="O269" s="580"/>
      <c r="P269" s="580"/>
      <c r="Q269" s="580"/>
      <c r="R269" s="580"/>
      <c r="S269" s="580"/>
      <c r="T269" s="580"/>
      <c r="U269" s="580"/>
      <c r="V269" s="580"/>
      <c r="W269" s="580"/>
      <c r="X269" s="580"/>
      <c r="Y269" s="580"/>
      <c r="Z269" s="580"/>
      <c r="AA269" s="580"/>
      <c r="AB269" s="580"/>
    </row>
    <row r="270" ht="15.75" customHeight="1">
      <c r="A270" s="570"/>
      <c r="B270" s="570"/>
      <c r="C270" s="580"/>
      <c r="D270" s="580"/>
      <c r="E270" s="580"/>
      <c r="F270" s="580"/>
      <c r="G270" s="580"/>
      <c r="H270" s="580"/>
      <c r="I270" s="580"/>
      <c r="J270" s="580"/>
      <c r="K270" s="580"/>
      <c r="L270" s="580"/>
      <c r="M270" s="580"/>
      <c r="N270" s="580"/>
      <c r="O270" s="580"/>
      <c r="P270" s="580"/>
      <c r="Q270" s="580"/>
      <c r="R270" s="580"/>
      <c r="S270" s="580"/>
      <c r="T270" s="580"/>
      <c r="U270" s="580"/>
      <c r="V270" s="580"/>
      <c r="W270" s="580"/>
      <c r="X270" s="580"/>
      <c r="Y270" s="580"/>
      <c r="Z270" s="580"/>
      <c r="AA270" s="580"/>
      <c r="AB270" s="580"/>
    </row>
    <row r="271" ht="15.75" customHeight="1">
      <c r="A271" s="570"/>
      <c r="B271" s="570"/>
      <c r="C271" s="580"/>
      <c r="D271" s="580"/>
      <c r="E271" s="580"/>
      <c r="F271" s="580"/>
      <c r="G271" s="580"/>
      <c r="H271" s="580"/>
      <c r="I271" s="580"/>
      <c r="J271" s="580"/>
      <c r="K271" s="580"/>
      <c r="L271" s="580"/>
      <c r="M271" s="580"/>
      <c r="N271" s="580"/>
      <c r="O271" s="580"/>
      <c r="P271" s="580"/>
      <c r="Q271" s="580"/>
      <c r="R271" s="580"/>
      <c r="S271" s="580"/>
      <c r="T271" s="580"/>
      <c r="U271" s="580"/>
      <c r="V271" s="580"/>
      <c r="W271" s="580"/>
      <c r="X271" s="580"/>
      <c r="Y271" s="580"/>
      <c r="Z271" s="580"/>
      <c r="AA271" s="580"/>
      <c r="AB271" s="580"/>
    </row>
    <row r="272" ht="15.75" customHeight="1">
      <c r="A272" s="570"/>
      <c r="B272" s="570"/>
      <c r="C272" s="580"/>
      <c r="D272" s="580"/>
      <c r="E272" s="580"/>
      <c r="F272" s="580"/>
      <c r="G272" s="580"/>
      <c r="H272" s="580"/>
      <c r="I272" s="580"/>
      <c r="J272" s="580"/>
      <c r="K272" s="580"/>
      <c r="L272" s="580"/>
      <c r="M272" s="580"/>
      <c r="N272" s="580"/>
      <c r="O272" s="580"/>
      <c r="P272" s="580"/>
      <c r="Q272" s="580"/>
      <c r="R272" s="580"/>
      <c r="S272" s="580"/>
      <c r="T272" s="580"/>
      <c r="U272" s="580"/>
      <c r="V272" s="580"/>
      <c r="W272" s="580"/>
      <c r="X272" s="580"/>
      <c r="Y272" s="580"/>
      <c r="Z272" s="580"/>
      <c r="AA272" s="580"/>
      <c r="AB272" s="580"/>
    </row>
    <row r="273" ht="15.75" customHeight="1">
      <c r="A273" s="570"/>
      <c r="B273" s="570"/>
      <c r="C273" s="580"/>
      <c r="D273" s="580"/>
      <c r="E273" s="580"/>
      <c r="F273" s="580"/>
      <c r="G273" s="580"/>
      <c r="H273" s="580"/>
      <c r="I273" s="580"/>
      <c r="J273" s="580"/>
      <c r="K273" s="580"/>
      <c r="L273" s="580"/>
      <c r="M273" s="580"/>
      <c r="N273" s="580"/>
      <c r="O273" s="580"/>
      <c r="P273" s="580"/>
      <c r="Q273" s="580"/>
      <c r="R273" s="580"/>
      <c r="S273" s="580"/>
      <c r="T273" s="580"/>
      <c r="U273" s="580"/>
      <c r="V273" s="580"/>
      <c r="W273" s="580"/>
      <c r="X273" s="580"/>
      <c r="Y273" s="580"/>
      <c r="Z273" s="580"/>
      <c r="AA273" s="580"/>
      <c r="AB273" s="580"/>
    </row>
    <row r="274" ht="15.75" customHeight="1">
      <c r="A274" s="570"/>
      <c r="B274" s="570"/>
      <c r="C274" s="580"/>
      <c r="D274" s="580"/>
      <c r="E274" s="580"/>
      <c r="F274" s="580"/>
      <c r="G274" s="580"/>
      <c r="H274" s="580"/>
      <c r="I274" s="580"/>
      <c r="J274" s="580"/>
      <c r="K274" s="580"/>
      <c r="L274" s="580"/>
      <c r="M274" s="580"/>
      <c r="N274" s="580"/>
      <c r="O274" s="580"/>
      <c r="P274" s="580"/>
      <c r="Q274" s="580"/>
      <c r="R274" s="580"/>
      <c r="S274" s="580"/>
      <c r="T274" s="580"/>
      <c r="U274" s="580"/>
      <c r="V274" s="580"/>
      <c r="W274" s="580"/>
      <c r="X274" s="580"/>
      <c r="Y274" s="580"/>
      <c r="Z274" s="580"/>
      <c r="AA274" s="580"/>
      <c r="AB274" s="580"/>
    </row>
    <row r="275" ht="15.75" customHeight="1">
      <c r="A275" s="570"/>
      <c r="B275" s="570"/>
      <c r="C275" s="580"/>
      <c r="D275" s="580"/>
      <c r="E275" s="580"/>
      <c r="F275" s="580"/>
      <c r="G275" s="580"/>
      <c r="H275" s="580"/>
      <c r="I275" s="580"/>
      <c r="J275" s="580"/>
      <c r="K275" s="580"/>
      <c r="L275" s="580"/>
      <c r="M275" s="580"/>
      <c r="N275" s="580"/>
      <c r="O275" s="580"/>
      <c r="P275" s="580"/>
      <c r="Q275" s="580"/>
      <c r="R275" s="580"/>
      <c r="S275" s="580"/>
      <c r="T275" s="580"/>
      <c r="U275" s="580"/>
      <c r="V275" s="580"/>
      <c r="W275" s="580"/>
      <c r="X275" s="580"/>
      <c r="Y275" s="580"/>
      <c r="Z275" s="580"/>
      <c r="AA275" s="580"/>
      <c r="AB275" s="580"/>
    </row>
    <row r="276" ht="15.75" customHeight="1">
      <c r="A276" s="570"/>
      <c r="B276" s="570"/>
      <c r="C276" s="580"/>
      <c r="D276" s="580"/>
      <c r="E276" s="580"/>
      <c r="F276" s="580"/>
      <c r="G276" s="580"/>
      <c r="H276" s="580"/>
      <c r="I276" s="580"/>
      <c r="J276" s="580"/>
      <c r="K276" s="580"/>
      <c r="L276" s="580"/>
      <c r="M276" s="580"/>
      <c r="N276" s="580"/>
      <c r="O276" s="580"/>
      <c r="P276" s="580"/>
      <c r="Q276" s="580"/>
      <c r="R276" s="580"/>
      <c r="S276" s="580"/>
      <c r="T276" s="580"/>
      <c r="U276" s="580"/>
      <c r="V276" s="580"/>
      <c r="W276" s="580"/>
      <c r="X276" s="580"/>
      <c r="Y276" s="580"/>
      <c r="Z276" s="580"/>
      <c r="AA276" s="580"/>
      <c r="AB276" s="580"/>
    </row>
    <row r="277" ht="15.75" customHeight="1">
      <c r="A277" s="570"/>
      <c r="B277" s="570"/>
      <c r="C277" s="580"/>
      <c r="D277" s="580"/>
      <c r="E277" s="580"/>
      <c r="F277" s="580"/>
      <c r="G277" s="580"/>
      <c r="H277" s="580"/>
      <c r="I277" s="580"/>
      <c r="J277" s="580"/>
      <c r="K277" s="580"/>
      <c r="L277" s="580"/>
      <c r="M277" s="580"/>
      <c r="N277" s="580"/>
      <c r="O277" s="580"/>
      <c r="P277" s="580"/>
      <c r="Q277" s="580"/>
      <c r="R277" s="580"/>
      <c r="S277" s="580"/>
      <c r="T277" s="580"/>
      <c r="U277" s="580"/>
      <c r="V277" s="580"/>
      <c r="W277" s="580"/>
      <c r="X277" s="580"/>
      <c r="Y277" s="580"/>
      <c r="Z277" s="580"/>
      <c r="AA277" s="580"/>
      <c r="AB277" s="580"/>
    </row>
    <row r="278" ht="15.75" customHeight="1">
      <c r="A278" s="570"/>
      <c r="B278" s="570"/>
      <c r="C278" s="580"/>
      <c r="D278" s="580"/>
      <c r="E278" s="580"/>
      <c r="F278" s="580"/>
      <c r="G278" s="580"/>
      <c r="H278" s="580"/>
      <c r="I278" s="580"/>
      <c r="J278" s="580"/>
      <c r="K278" s="580"/>
      <c r="L278" s="580"/>
      <c r="M278" s="580"/>
      <c r="N278" s="580"/>
      <c r="O278" s="580"/>
      <c r="P278" s="580"/>
      <c r="Q278" s="580"/>
      <c r="R278" s="580"/>
      <c r="S278" s="580"/>
      <c r="T278" s="580"/>
      <c r="U278" s="580"/>
      <c r="V278" s="580"/>
      <c r="W278" s="580"/>
      <c r="X278" s="580"/>
      <c r="Y278" s="580"/>
      <c r="Z278" s="580"/>
      <c r="AA278" s="580"/>
      <c r="AB278" s="580"/>
    </row>
    <row r="279" ht="15.75" customHeight="1">
      <c r="A279" s="570"/>
      <c r="B279" s="570"/>
      <c r="C279" s="580"/>
      <c r="D279" s="580"/>
      <c r="E279" s="580"/>
      <c r="F279" s="580"/>
      <c r="G279" s="580"/>
      <c r="H279" s="580"/>
      <c r="I279" s="580"/>
      <c r="J279" s="580"/>
      <c r="K279" s="580"/>
      <c r="L279" s="580"/>
      <c r="M279" s="580"/>
      <c r="N279" s="580"/>
      <c r="O279" s="580"/>
      <c r="P279" s="580"/>
      <c r="Q279" s="580"/>
      <c r="R279" s="580"/>
      <c r="S279" s="580"/>
      <c r="T279" s="580"/>
      <c r="U279" s="580"/>
      <c r="V279" s="580"/>
      <c r="W279" s="580"/>
      <c r="X279" s="580"/>
      <c r="Y279" s="580"/>
      <c r="Z279" s="580"/>
      <c r="AA279" s="580"/>
      <c r="AB279" s="580"/>
    </row>
    <row r="280" ht="15.75" customHeight="1">
      <c r="A280" s="570"/>
      <c r="B280" s="570"/>
      <c r="C280" s="580"/>
      <c r="D280" s="580"/>
      <c r="E280" s="580"/>
      <c r="F280" s="580"/>
      <c r="G280" s="580"/>
      <c r="H280" s="580"/>
      <c r="I280" s="580"/>
      <c r="J280" s="580"/>
      <c r="K280" s="580"/>
      <c r="L280" s="580"/>
      <c r="M280" s="580"/>
      <c r="N280" s="580"/>
      <c r="O280" s="580"/>
      <c r="P280" s="580"/>
      <c r="Q280" s="580"/>
      <c r="R280" s="580"/>
      <c r="S280" s="580"/>
      <c r="T280" s="580"/>
      <c r="U280" s="580"/>
      <c r="V280" s="580"/>
      <c r="W280" s="580"/>
      <c r="X280" s="580"/>
      <c r="Y280" s="580"/>
      <c r="Z280" s="580"/>
      <c r="AA280" s="580"/>
      <c r="AB280" s="580"/>
    </row>
    <row r="281" ht="15.75" customHeight="1">
      <c r="A281" s="570"/>
      <c r="B281" s="570"/>
      <c r="C281" s="580"/>
      <c r="D281" s="580"/>
      <c r="E281" s="580"/>
      <c r="F281" s="580"/>
      <c r="G281" s="580"/>
      <c r="H281" s="580"/>
      <c r="I281" s="580"/>
      <c r="J281" s="580"/>
      <c r="K281" s="580"/>
      <c r="L281" s="580"/>
      <c r="M281" s="580"/>
      <c r="N281" s="580"/>
      <c r="O281" s="580"/>
      <c r="P281" s="580"/>
      <c r="Q281" s="580"/>
      <c r="R281" s="580"/>
      <c r="S281" s="580"/>
      <c r="T281" s="580"/>
      <c r="U281" s="580"/>
      <c r="V281" s="580"/>
      <c r="W281" s="580"/>
      <c r="X281" s="580"/>
      <c r="Y281" s="580"/>
      <c r="Z281" s="580"/>
      <c r="AA281" s="580"/>
      <c r="AB281" s="580"/>
    </row>
    <row r="282" ht="15.75" customHeight="1">
      <c r="A282" s="570"/>
      <c r="B282" s="570"/>
      <c r="C282" s="580"/>
      <c r="D282" s="580"/>
      <c r="E282" s="580"/>
      <c r="F282" s="580"/>
      <c r="G282" s="580"/>
      <c r="H282" s="580"/>
      <c r="I282" s="580"/>
      <c r="J282" s="580"/>
      <c r="K282" s="580"/>
      <c r="L282" s="580"/>
      <c r="M282" s="580"/>
      <c r="N282" s="580"/>
      <c r="O282" s="580"/>
      <c r="P282" s="580"/>
      <c r="Q282" s="580"/>
      <c r="R282" s="580"/>
      <c r="S282" s="580"/>
      <c r="T282" s="580"/>
      <c r="U282" s="580"/>
      <c r="V282" s="580"/>
      <c r="W282" s="580"/>
      <c r="X282" s="580"/>
      <c r="Y282" s="580"/>
      <c r="Z282" s="580"/>
      <c r="AA282" s="580"/>
      <c r="AB282" s="580"/>
    </row>
    <row r="283" ht="15.75" customHeight="1">
      <c r="A283" s="570"/>
      <c r="B283" s="570"/>
      <c r="C283" s="580"/>
      <c r="D283" s="580"/>
      <c r="E283" s="580"/>
      <c r="F283" s="580"/>
      <c r="G283" s="580"/>
      <c r="H283" s="580"/>
      <c r="I283" s="580"/>
      <c r="J283" s="580"/>
      <c r="K283" s="580"/>
      <c r="L283" s="580"/>
      <c r="M283" s="580"/>
      <c r="N283" s="580"/>
      <c r="O283" s="580"/>
      <c r="P283" s="580"/>
      <c r="Q283" s="580"/>
      <c r="R283" s="580"/>
      <c r="S283" s="580"/>
      <c r="T283" s="580"/>
      <c r="U283" s="580"/>
      <c r="V283" s="580"/>
      <c r="W283" s="580"/>
      <c r="X283" s="580"/>
      <c r="Y283" s="580"/>
      <c r="Z283" s="580"/>
      <c r="AA283" s="580"/>
      <c r="AB283" s="580"/>
    </row>
    <row r="284" ht="15.75" customHeight="1">
      <c r="A284" s="570"/>
      <c r="B284" s="570"/>
      <c r="C284" s="580"/>
      <c r="D284" s="580"/>
      <c r="E284" s="580"/>
      <c r="F284" s="580"/>
      <c r="G284" s="580"/>
      <c r="H284" s="580"/>
      <c r="I284" s="580"/>
      <c r="J284" s="580"/>
      <c r="K284" s="580"/>
      <c r="L284" s="580"/>
      <c r="M284" s="580"/>
      <c r="N284" s="580"/>
      <c r="O284" s="580"/>
      <c r="P284" s="580"/>
      <c r="Q284" s="580"/>
      <c r="R284" s="580"/>
      <c r="S284" s="580"/>
      <c r="T284" s="580"/>
      <c r="U284" s="580"/>
      <c r="V284" s="580"/>
      <c r="W284" s="580"/>
      <c r="X284" s="580"/>
      <c r="Y284" s="580"/>
      <c r="Z284" s="580"/>
      <c r="AA284" s="580"/>
      <c r="AB284" s="580"/>
    </row>
    <row r="285" ht="15.75" customHeight="1">
      <c r="A285" s="570"/>
      <c r="B285" s="570"/>
      <c r="C285" s="580"/>
      <c r="D285" s="580"/>
      <c r="E285" s="580"/>
      <c r="F285" s="580"/>
      <c r="G285" s="580"/>
      <c r="H285" s="580"/>
      <c r="I285" s="580"/>
      <c r="J285" s="580"/>
      <c r="K285" s="580"/>
      <c r="L285" s="580"/>
      <c r="M285" s="580"/>
      <c r="N285" s="580"/>
      <c r="O285" s="580"/>
      <c r="P285" s="580"/>
      <c r="Q285" s="580"/>
      <c r="R285" s="580"/>
      <c r="S285" s="580"/>
      <c r="T285" s="580"/>
      <c r="U285" s="580"/>
      <c r="V285" s="580"/>
      <c r="W285" s="580"/>
      <c r="X285" s="580"/>
      <c r="Y285" s="580"/>
      <c r="Z285" s="580"/>
      <c r="AA285" s="580"/>
      <c r="AB285" s="580"/>
    </row>
    <row r="286" ht="15.75" customHeight="1">
      <c r="A286" s="570"/>
      <c r="B286" s="570"/>
      <c r="C286" s="580"/>
      <c r="D286" s="580"/>
      <c r="E286" s="580"/>
      <c r="F286" s="580"/>
      <c r="G286" s="580"/>
      <c r="H286" s="580"/>
      <c r="I286" s="580"/>
      <c r="J286" s="580"/>
      <c r="K286" s="580"/>
      <c r="L286" s="580"/>
      <c r="M286" s="580"/>
      <c r="N286" s="580"/>
      <c r="O286" s="580"/>
      <c r="P286" s="580"/>
      <c r="Q286" s="580"/>
      <c r="R286" s="580"/>
      <c r="S286" s="580"/>
      <c r="T286" s="580"/>
      <c r="U286" s="580"/>
      <c r="V286" s="580"/>
      <c r="W286" s="580"/>
      <c r="X286" s="580"/>
      <c r="Y286" s="580"/>
      <c r="Z286" s="580"/>
      <c r="AA286" s="580"/>
      <c r="AB286" s="580"/>
    </row>
    <row r="287" ht="15.75" customHeight="1">
      <c r="A287" s="570"/>
      <c r="B287" s="570"/>
      <c r="C287" s="580"/>
      <c r="D287" s="580"/>
      <c r="E287" s="580"/>
      <c r="F287" s="580"/>
      <c r="G287" s="580"/>
      <c r="H287" s="580"/>
      <c r="I287" s="580"/>
      <c r="J287" s="580"/>
      <c r="K287" s="580"/>
      <c r="L287" s="580"/>
      <c r="M287" s="580"/>
      <c r="N287" s="580"/>
      <c r="O287" s="580"/>
      <c r="P287" s="580"/>
      <c r="Q287" s="580"/>
      <c r="R287" s="580"/>
      <c r="S287" s="580"/>
      <c r="T287" s="580"/>
      <c r="U287" s="580"/>
      <c r="V287" s="580"/>
      <c r="W287" s="580"/>
      <c r="X287" s="580"/>
      <c r="Y287" s="580"/>
      <c r="Z287" s="580"/>
      <c r="AA287" s="580"/>
      <c r="AB287" s="580"/>
    </row>
    <row r="288" ht="15.75" customHeight="1">
      <c r="A288" s="570"/>
      <c r="B288" s="570"/>
      <c r="C288" s="580"/>
      <c r="D288" s="580"/>
      <c r="E288" s="580"/>
      <c r="F288" s="580"/>
      <c r="G288" s="580"/>
      <c r="H288" s="580"/>
      <c r="I288" s="580"/>
      <c r="J288" s="580"/>
      <c r="K288" s="580"/>
      <c r="L288" s="580"/>
      <c r="M288" s="580"/>
      <c r="N288" s="580"/>
      <c r="O288" s="580"/>
      <c r="P288" s="580"/>
      <c r="Q288" s="580"/>
      <c r="R288" s="580"/>
      <c r="S288" s="580"/>
      <c r="T288" s="580"/>
      <c r="U288" s="580"/>
      <c r="V288" s="580"/>
      <c r="W288" s="580"/>
      <c r="X288" s="580"/>
      <c r="Y288" s="580"/>
      <c r="Z288" s="580"/>
      <c r="AA288" s="580"/>
      <c r="AB288" s="580"/>
    </row>
    <row r="289" ht="15.75" customHeight="1">
      <c r="A289" s="570"/>
      <c r="B289" s="570"/>
      <c r="C289" s="580"/>
      <c r="D289" s="580"/>
      <c r="E289" s="580"/>
      <c r="F289" s="580"/>
      <c r="G289" s="580"/>
      <c r="H289" s="580"/>
      <c r="I289" s="580"/>
      <c r="J289" s="580"/>
      <c r="K289" s="580"/>
      <c r="L289" s="580"/>
      <c r="M289" s="580"/>
      <c r="N289" s="580"/>
      <c r="O289" s="580"/>
      <c r="P289" s="580"/>
      <c r="Q289" s="580"/>
      <c r="R289" s="580"/>
      <c r="S289" s="580"/>
      <c r="T289" s="580"/>
      <c r="U289" s="580"/>
      <c r="V289" s="580"/>
      <c r="W289" s="580"/>
      <c r="X289" s="580"/>
      <c r="Y289" s="580"/>
      <c r="Z289" s="580"/>
      <c r="AA289" s="580"/>
      <c r="AB289" s="580"/>
    </row>
    <row r="290" ht="15.75" customHeight="1">
      <c r="A290" s="570"/>
      <c r="B290" s="570"/>
      <c r="C290" s="580"/>
      <c r="D290" s="580"/>
      <c r="E290" s="580"/>
      <c r="F290" s="580"/>
      <c r="G290" s="580"/>
      <c r="H290" s="580"/>
      <c r="I290" s="580"/>
      <c r="J290" s="580"/>
      <c r="K290" s="580"/>
      <c r="L290" s="580"/>
      <c r="M290" s="580"/>
      <c r="N290" s="580"/>
      <c r="O290" s="580"/>
      <c r="P290" s="580"/>
      <c r="Q290" s="580"/>
      <c r="R290" s="580"/>
      <c r="S290" s="580"/>
      <c r="T290" s="580"/>
      <c r="U290" s="580"/>
      <c r="V290" s="580"/>
      <c r="W290" s="580"/>
      <c r="X290" s="580"/>
      <c r="Y290" s="580"/>
      <c r="Z290" s="580"/>
      <c r="AA290" s="580"/>
      <c r="AB290" s="580"/>
    </row>
    <row r="291" ht="15.75" customHeight="1">
      <c r="A291" s="570"/>
      <c r="B291" s="570"/>
      <c r="C291" s="580"/>
      <c r="D291" s="580"/>
      <c r="E291" s="580"/>
      <c r="F291" s="580"/>
      <c r="G291" s="580"/>
      <c r="H291" s="580"/>
      <c r="I291" s="580"/>
      <c r="J291" s="580"/>
      <c r="K291" s="580"/>
      <c r="L291" s="580"/>
      <c r="M291" s="580"/>
      <c r="N291" s="580"/>
      <c r="O291" s="580"/>
      <c r="P291" s="580"/>
      <c r="Q291" s="580"/>
      <c r="R291" s="580"/>
      <c r="S291" s="580"/>
      <c r="T291" s="580"/>
      <c r="U291" s="580"/>
      <c r="V291" s="580"/>
      <c r="W291" s="580"/>
      <c r="X291" s="580"/>
      <c r="Y291" s="580"/>
      <c r="Z291" s="580"/>
      <c r="AA291" s="580"/>
      <c r="AB291" s="580"/>
    </row>
    <row r="292" ht="15.75" customHeight="1">
      <c r="A292" s="570"/>
      <c r="B292" s="570"/>
      <c r="C292" s="580"/>
      <c r="D292" s="580"/>
      <c r="E292" s="580"/>
      <c r="F292" s="580"/>
      <c r="G292" s="580"/>
      <c r="H292" s="580"/>
      <c r="I292" s="580"/>
      <c r="J292" s="580"/>
      <c r="K292" s="580"/>
      <c r="L292" s="580"/>
      <c r="M292" s="580"/>
      <c r="N292" s="580"/>
      <c r="O292" s="580"/>
      <c r="P292" s="580"/>
      <c r="Q292" s="580"/>
      <c r="R292" s="580"/>
      <c r="S292" s="580"/>
      <c r="T292" s="580"/>
      <c r="U292" s="580"/>
      <c r="V292" s="580"/>
      <c r="W292" s="580"/>
      <c r="X292" s="580"/>
      <c r="Y292" s="580"/>
      <c r="Z292" s="580"/>
      <c r="AA292" s="580"/>
      <c r="AB292" s="580"/>
    </row>
    <row r="293" ht="15.75" customHeight="1">
      <c r="A293" s="570"/>
      <c r="B293" s="570"/>
      <c r="C293" s="580"/>
      <c r="D293" s="580"/>
      <c r="E293" s="580"/>
      <c r="F293" s="580"/>
      <c r="G293" s="580"/>
      <c r="H293" s="580"/>
      <c r="I293" s="580"/>
      <c r="J293" s="580"/>
      <c r="K293" s="580"/>
      <c r="L293" s="580"/>
      <c r="M293" s="580"/>
      <c r="N293" s="580"/>
      <c r="O293" s="580"/>
      <c r="P293" s="580"/>
      <c r="Q293" s="580"/>
      <c r="R293" s="580"/>
      <c r="S293" s="580"/>
      <c r="T293" s="580"/>
      <c r="U293" s="580"/>
      <c r="V293" s="580"/>
      <c r="W293" s="580"/>
      <c r="X293" s="580"/>
      <c r="Y293" s="580"/>
      <c r="Z293" s="580"/>
      <c r="AA293" s="580"/>
      <c r="AB293" s="580"/>
    </row>
    <row r="294" ht="15.75" customHeight="1">
      <c r="A294" s="570"/>
      <c r="B294" s="570"/>
      <c r="C294" s="580"/>
      <c r="D294" s="580"/>
      <c r="E294" s="580"/>
      <c r="F294" s="580"/>
      <c r="G294" s="580"/>
      <c r="H294" s="580"/>
      <c r="I294" s="580"/>
      <c r="J294" s="580"/>
      <c r="K294" s="580"/>
      <c r="L294" s="580"/>
      <c r="M294" s="580"/>
      <c r="N294" s="580"/>
      <c r="O294" s="580"/>
      <c r="P294" s="580"/>
      <c r="Q294" s="580"/>
      <c r="R294" s="580"/>
      <c r="S294" s="580"/>
      <c r="T294" s="580"/>
      <c r="U294" s="580"/>
      <c r="V294" s="580"/>
      <c r="W294" s="580"/>
      <c r="X294" s="580"/>
      <c r="Y294" s="580"/>
      <c r="Z294" s="580"/>
      <c r="AA294" s="580"/>
      <c r="AB294" s="580"/>
    </row>
    <row r="295" ht="15.75" customHeight="1">
      <c r="A295" s="570"/>
      <c r="B295" s="570"/>
      <c r="C295" s="580"/>
      <c r="D295" s="580"/>
      <c r="E295" s="580"/>
      <c r="F295" s="580"/>
      <c r="G295" s="580"/>
      <c r="H295" s="580"/>
      <c r="I295" s="580"/>
      <c r="J295" s="580"/>
      <c r="K295" s="580"/>
      <c r="L295" s="580"/>
      <c r="M295" s="580"/>
      <c r="N295" s="580"/>
      <c r="O295" s="580"/>
      <c r="P295" s="580"/>
      <c r="Q295" s="580"/>
      <c r="R295" s="580"/>
      <c r="S295" s="580"/>
      <c r="T295" s="580"/>
      <c r="U295" s="580"/>
      <c r="V295" s="580"/>
      <c r="W295" s="580"/>
      <c r="X295" s="580"/>
      <c r="Y295" s="580"/>
      <c r="Z295" s="580"/>
      <c r="AA295" s="580"/>
      <c r="AB295" s="580"/>
    </row>
    <row r="296" ht="15.75" customHeight="1">
      <c r="A296" s="570"/>
      <c r="B296" s="570"/>
      <c r="C296" s="580"/>
      <c r="D296" s="580"/>
      <c r="E296" s="580"/>
      <c r="F296" s="580"/>
      <c r="G296" s="580"/>
      <c r="H296" s="580"/>
      <c r="I296" s="580"/>
      <c r="J296" s="580"/>
      <c r="K296" s="580"/>
      <c r="L296" s="580"/>
      <c r="M296" s="580"/>
      <c r="N296" s="580"/>
      <c r="O296" s="580"/>
      <c r="P296" s="580"/>
      <c r="Q296" s="580"/>
      <c r="R296" s="580"/>
      <c r="S296" s="580"/>
      <c r="T296" s="580"/>
      <c r="U296" s="580"/>
      <c r="V296" s="580"/>
      <c r="W296" s="580"/>
      <c r="X296" s="580"/>
      <c r="Y296" s="580"/>
      <c r="Z296" s="580"/>
      <c r="AA296" s="580"/>
      <c r="AB296" s="580"/>
    </row>
    <row r="297" ht="15.75" customHeight="1">
      <c r="A297" s="570"/>
      <c r="B297" s="570"/>
      <c r="C297" s="580"/>
      <c r="D297" s="580"/>
      <c r="E297" s="580"/>
      <c r="F297" s="580"/>
      <c r="G297" s="580"/>
      <c r="H297" s="580"/>
      <c r="I297" s="580"/>
      <c r="J297" s="580"/>
      <c r="K297" s="580"/>
      <c r="L297" s="580"/>
      <c r="M297" s="580"/>
      <c r="N297" s="580"/>
      <c r="O297" s="580"/>
      <c r="P297" s="580"/>
      <c r="Q297" s="580"/>
      <c r="R297" s="580"/>
      <c r="S297" s="580"/>
      <c r="T297" s="580"/>
      <c r="U297" s="580"/>
      <c r="V297" s="580"/>
      <c r="W297" s="580"/>
      <c r="X297" s="580"/>
      <c r="Y297" s="580"/>
      <c r="Z297" s="580"/>
      <c r="AA297" s="580"/>
      <c r="AB297" s="580"/>
    </row>
    <row r="298" ht="15.75" customHeight="1">
      <c r="A298" s="570"/>
      <c r="B298" s="570"/>
      <c r="C298" s="580"/>
      <c r="D298" s="580"/>
      <c r="E298" s="580"/>
      <c r="F298" s="580"/>
      <c r="G298" s="580"/>
      <c r="H298" s="580"/>
      <c r="I298" s="580"/>
      <c r="J298" s="580"/>
      <c r="K298" s="580"/>
      <c r="L298" s="580"/>
      <c r="M298" s="580"/>
      <c r="N298" s="580"/>
      <c r="O298" s="580"/>
      <c r="P298" s="580"/>
      <c r="Q298" s="580"/>
      <c r="R298" s="580"/>
      <c r="S298" s="580"/>
      <c r="T298" s="580"/>
      <c r="U298" s="580"/>
      <c r="V298" s="580"/>
      <c r="W298" s="580"/>
      <c r="X298" s="580"/>
      <c r="Y298" s="580"/>
      <c r="Z298" s="580"/>
      <c r="AA298" s="580"/>
      <c r="AB298" s="580"/>
    </row>
    <row r="299" ht="15.75" customHeight="1">
      <c r="A299" s="570"/>
      <c r="B299" s="570"/>
      <c r="C299" s="580"/>
      <c r="D299" s="580"/>
      <c r="E299" s="580"/>
      <c r="F299" s="580"/>
      <c r="G299" s="580"/>
      <c r="H299" s="580"/>
      <c r="I299" s="580"/>
      <c r="J299" s="580"/>
      <c r="K299" s="580"/>
      <c r="L299" s="580"/>
      <c r="M299" s="580"/>
      <c r="N299" s="580"/>
      <c r="O299" s="580"/>
      <c r="P299" s="580"/>
      <c r="Q299" s="580"/>
      <c r="R299" s="580"/>
      <c r="S299" s="580"/>
      <c r="T299" s="580"/>
      <c r="U299" s="580"/>
      <c r="V299" s="580"/>
      <c r="W299" s="580"/>
      <c r="X299" s="580"/>
      <c r="Y299" s="580"/>
      <c r="Z299" s="580"/>
      <c r="AA299" s="580"/>
      <c r="AB299" s="580"/>
    </row>
    <row r="300" ht="15.75" customHeight="1">
      <c r="A300" s="570"/>
      <c r="B300" s="570"/>
      <c r="C300" s="580"/>
      <c r="D300" s="580"/>
      <c r="E300" s="580"/>
      <c r="F300" s="580"/>
      <c r="G300" s="580"/>
      <c r="H300" s="580"/>
      <c r="I300" s="580"/>
      <c r="J300" s="580"/>
      <c r="K300" s="580"/>
      <c r="L300" s="580"/>
      <c r="M300" s="580"/>
      <c r="N300" s="580"/>
      <c r="O300" s="580"/>
      <c r="P300" s="580"/>
      <c r="Q300" s="580"/>
      <c r="R300" s="580"/>
      <c r="S300" s="580"/>
      <c r="T300" s="580"/>
      <c r="U300" s="580"/>
      <c r="V300" s="580"/>
      <c r="W300" s="580"/>
      <c r="X300" s="580"/>
      <c r="Y300" s="580"/>
      <c r="Z300" s="580"/>
      <c r="AA300" s="580"/>
      <c r="AB300" s="580"/>
    </row>
    <row r="301" ht="15.75" customHeight="1">
      <c r="A301" s="570"/>
      <c r="B301" s="570"/>
      <c r="C301" s="580"/>
      <c r="D301" s="580"/>
      <c r="E301" s="580"/>
      <c r="F301" s="580"/>
      <c r="G301" s="580"/>
      <c r="H301" s="580"/>
      <c r="I301" s="580"/>
      <c r="J301" s="580"/>
      <c r="K301" s="580"/>
      <c r="L301" s="580"/>
      <c r="M301" s="580"/>
      <c r="N301" s="580"/>
      <c r="O301" s="580"/>
      <c r="P301" s="580"/>
      <c r="Q301" s="580"/>
      <c r="R301" s="580"/>
      <c r="S301" s="580"/>
      <c r="T301" s="580"/>
      <c r="U301" s="580"/>
      <c r="V301" s="580"/>
      <c r="W301" s="580"/>
      <c r="X301" s="580"/>
      <c r="Y301" s="580"/>
      <c r="Z301" s="580"/>
      <c r="AA301" s="580"/>
      <c r="AB301" s="580"/>
    </row>
    <row r="302" ht="15.75" customHeight="1">
      <c r="A302" s="570"/>
      <c r="B302" s="570"/>
      <c r="C302" s="580"/>
      <c r="D302" s="580"/>
      <c r="E302" s="580"/>
      <c r="F302" s="580"/>
      <c r="G302" s="580"/>
      <c r="H302" s="580"/>
      <c r="I302" s="580"/>
      <c r="J302" s="580"/>
      <c r="K302" s="580"/>
      <c r="L302" s="580"/>
      <c r="M302" s="580"/>
      <c r="N302" s="580"/>
      <c r="O302" s="580"/>
      <c r="P302" s="580"/>
      <c r="Q302" s="580"/>
      <c r="R302" s="580"/>
      <c r="S302" s="580"/>
      <c r="T302" s="580"/>
      <c r="U302" s="580"/>
      <c r="V302" s="580"/>
      <c r="W302" s="580"/>
      <c r="X302" s="580"/>
      <c r="Y302" s="580"/>
      <c r="Z302" s="580"/>
      <c r="AA302" s="580"/>
      <c r="AB302" s="580"/>
    </row>
    <row r="303" ht="15.75" customHeight="1">
      <c r="A303" s="570"/>
      <c r="B303" s="570"/>
      <c r="C303" s="580"/>
      <c r="D303" s="580"/>
      <c r="E303" s="580"/>
      <c r="F303" s="580"/>
      <c r="G303" s="580"/>
      <c r="H303" s="580"/>
      <c r="I303" s="580"/>
      <c r="J303" s="580"/>
      <c r="K303" s="580"/>
      <c r="L303" s="580"/>
      <c r="M303" s="580"/>
      <c r="N303" s="580"/>
      <c r="O303" s="580"/>
      <c r="P303" s="580"/>
      <c r="Q303" s="580"/>
      <c r="R303" s="580"/>
      <c r="S303" s="580"/>
      <c r="T303" s="580"/>
      <c r="U303" s="580"/>
      <c r="V303" s="580"/>
      <c r="W303" s="580"/>
      <c r="X303" s="580"/>
      <c r="Y303" s="580"/>
      <c r="Z303" s="580"/>
      <c r="AA303" s="580"/>
      <c r="AB303" s="580"/>
    </row>
    <row r="304" ht="15.75" customHeight="1">
      <c r="A304" s="570"/>
      <c r="B304" s="570"/>
      <c r="C304" s="580"/>
      <c r="D304" s="580"/>
      <c r="E304" s="580"/>
      <c r="F304" s="580"/>
      <c r="G304" s="580"/>
      <c r="H304" s="580"/>
      <c r="I304" s="580"/>
      <c r="J304" s="580"/>
      <c r="K304" s="580"/>
      <c r="L304" s="580"/>
      <c r="M304" s="580"/>
      <c r="N304" s="580"/>
      <c r="O304" s="580"/>
      <c r="P304" s="580"/>
      <c r="Q304" s="580"/>
      <c r="R304" s="580"/>
      <c r="S304" s="580"/>
      <c r="T304" s="580"/>
      <c r="U304" s="580"/>
      <c r="V304" s="580"/>
      <c r="W304" s="580"/>
      <c r="X304" s="580"/>
      <c r="Y304" s="580"/>
      <c r="Z304" s="580"/>
      <c r="AA304" s="580"/>
      <c r="AB304" s="580"/>
    </row>
    <row r="305" ht="15.75" customHeight="1">
      <c r="A305" s="570"/>
      <c r="B305" s="570"/>
      <c r="C305" s="580"/>
      <c r="D305" s="580"/>
      <c r="E305" s="580"/>
      <c r="F305" s="580"/>
      <c r="G305" s="580"/>
      <c r="H305" s="580"/>
      <c r="I305" s="580"/>
      <c r="J305" s="580"/>
      <c r="K305" s="580"/>
      <c r="L305" s="580"/>
      <c r="M305" s="580"/>
      <c r="N305" s="580"/>
      <c r="O305" s="580"/>
      <c r="P305" s="580"/>
      <c r="Q305" s="580"/>
      <c r="R305" s="580"/>
      <c r="S305" s="580"/>
      <c r="T305" s="580"/>
      <c r="U305" s="580"/>
      <c r="V305" s="580"/>
      <c r="W305" s="580"/>
      <c r="X305" s="580"/>
      <c r="Y305" s="580"/>
      <c r="Z305" s="580"/>
      <c r="AA305" s="580"/>
      <c r="AB305" s="580"/>
    </row>
    <row r="306" ht="15.75" customHeight="1">
      <c r="A306" s="570"/>
      <c r="B306" s="570"/>
      <c r="C306" s="580"/>
      <c r="D306" s="580"/>
      <c r="E306" s="580"/>
      <c r="F306" s="580"/>
      <c r="G306" s="580"/>
      <c r="H306" s="580"/>
      <c r="I306" s="580"/>
      <c r="J306" s="580"/>
      <c r="K306" s="580"/>
      <c r="L306" s="580"/>
      <c r="M306" s="580"/>
      <c r="N306" s="580"/>
      <c r="O306" s="580"/>
      <c r="P306" s="580"/>
      <c r="Q306" s="580"/>
      <c r="R306" s="580"/>
      <c r="S306" s="580"/>
      <c r="T306" s="580"/>
      <c r="U306" s="580"/>
      <c r="V306" s="580"/>
      <c r="W306" s="580"/>
      <c r="X306" s="580"/>
      <c r="Y306" s="580"/>
      <c r="Z306" s="580"/>
      <c r="AA306" s="580"/>
      <c r="AB306" s="580"/>
    </row>
    <row r="307" ht="15.75" customHeight="1">
      <c r="A307" s="570"/>
      <c r="B307" s="570"/>
      <c r="C307" s="580"/>
      <c r="D307" s="580"/>
      <c r="E307" s="580"/>
      <c r="F307" s="580"/>
      <c r="G307" s="580"/>
      <c r="H307" s="580"/>
      <c r="I307" s="580"/>
      <c r="J307" s="580"/>
      <c r="K307" s="580"/>
      <c r="L307" s="580"/>
      <c r="M307" s="580"/>
      <c r="N307" s="580"/>
      <c r="O307" s="580"/>
      <c r="P307" s="580"/>
      <c r="Q307" s="580"/>
      <c r="R307" s="580"/>
      <c r="S307" s="580"/>
      <c r="T307" s="580"/>
      <c r="U307" s="580"/>
      <c r="V307" s="580"/>
      <c r="W307" s="580"/>
      <c r="X307" s="580"/>
      <c r="Y307" s="580"/>
      <c r="Z307" s="580"/>
      <c r="AA307" s="580"/>
      <c r="AB307" s="580"/>
    </row>
    <row r="308" ht="15.75" customHeight="1">
      <c r="A308" s="570"/>
      <c r="B308" s="570"/>
      <c r="C308" s="580"/>
      <c r="D308" s="580"/>
      <c r="E308" s="580"/>
      <c r="F308" s="580"/>
      <c r="G308" s="580"/>
      <c r="H308" s="580"/>
      <c r="I308" s="580"/>
      <c r="J308" s="580"/>
      <c r="K308" s="580"/>
      <c r="L308" s="580"/>
      <c r="M308" s="580"/>
      <c r="N308" s="580"/>
      <c r="O308" s="580"/>
      <c r="P308" s="580"/>
      <c r="Q308" s="580"/>
      <c r="R308" s="580"/>
      <c r="S308" s="580"/>
      <c r="T308" s="580"/>
      <c r="U308" s="580"/>
      <c r="V308" s="580"/>
      <c r="W308" s="580"/>
      <c r="X308" s="580"/>
      <c r="Y308" s="580"/>
      <c r="Z308" s="580"/>
      <c r="AA308" s="580"/>
      <c r="AB308" s="580"/>
    </row>
    <row r="309" ht="15.75" customHeight="1">
      <c r="A309" s="570"/>
      <c r="B309" s="570"/>
      <c r="C309" s="580"/>
      <c r="D309" s="580"/>
      <c r="E309" s="580"/>
      <c r="F309" s="580"/>
      <c r="G309" s="580"/>
      <c r="H309" s="580"/>
      <c r="I309" s="580"/>
      <c r="J309" s="580"/>
      <c r="K309" s="580"/>
      <c r="L309" s="580"/>
      <c r="M309" s="580"/>
      <c r="N309" s="580"/>
      <c r="O309" s="580"/>
      <c r="P309" s="580"/>
      <c r="Q309" s="580"/>
      <c r="R309" s="580"/>
      <c r="S309" s="580"/>
      <c r="T309" s="580"/>
      <c r="U309" s="580"/>
      <c r="V309" s="580"/>
      <c r="W309" s="580"/>
      <c r="X309" s="580"/>
      <c r="Y309" s="580"/>
      <c r="Z309" s="580"/>
      <c r="AA309" s="580"/>
      <c r="AB309" s="580"/>
    </row>
    <row r="310" ht="15.75" customHeight="1">
      <c r="A310" s="570"/>
      <c r="B310" s="570"/>
      <c r="C310" s="580"/>
      <c r="D310" s="580"/>
      <c r="E310" s="580"/>
      <c r="F310" s="580"/>
      <c r="G310" s="580"/>
      <c r="H310" s="580"/>
      <c r="I310" s="580"/>
      <c r="J310" s="580"/>
      <c r="K310" s="580"/>
      <c r="L310" s="580"/>
      <c r="M310" s="580"/>
      <c r="N310" s="580"/>
      <c r="O310" s="580"/>
      <c r="P310" s="580"/>
      <c r="Q310" s="580"/>
      <c r="R310" s="580"/>
      <c r="S310" s="580"/>
      <c r="T310" s="580"/>
      <c r="U310" s="580"/>
      <c r="V310" s="580"/>
      <c r="W310" s="580"/>
      <c r="X310" s="580"/>
      <c r="Y310" s="580"/>
      <c r="Z310" s="580"/>
      <c r="AA310" s="580"/>
      <c r="AB310" s="580"/>
    </row>
    <row r="311" ht="15.75" customHeight="1">
      <c r="A311" s="570"/>
      <c r="B311" s="570"/>
      <c r="C311" s="580"/>
      <c r="D311" s="580"/>
      <c r="E311" s="580"/>
      <c r="F311" s="580"/>
      <c r="G311" s="580"/>
      <c r="H311" s="580"/>
      <c r="I311" s="580"/>
      <c r="J311" s="580"/>
      <c r="K311" s="580"/>
      <c r="L311" s="580"/>
      <c r="M311" s="580"/>
      <c r="N311" s="580"/>
      <c r="O311" s="580"/>
      <c r="P311" s="580"/>
      <c r="Q311" s="580"/>
      <c r="R311" s="580"/>
      <c r="S311" s="580"/>
      <c r="T311" s="580"/>
      <c r="U311" s="580"/>
      <c r="V311" s="580"/>
      <c r="W311" s="580"/>
      <c r="X311" s="580"/>
      <c r="Y311" s="580"/>
      <c r="Z311" s="580"/>
      <c r="AA311" s="580"/>
      <c r="AB311" s="580"/>
    </row>
    <row r="312" ht="15.75" customHeight="1">
      <c r="A312" s="570"/>
      <c r="B312" s="570"/>
      <c r="C312" s="580"/>
      <c r="D312" s="580"/>
      <c r="E312" s="580"/>
      <c r="F312" s="580"/>
      <c r="G312" s="580"/>
      <c r="H312" s="580"/>
      <c r="I312" s="580"/>
      <c r="J312" s="580"/>
      <c r="K312" s="580"/>
      <c r="L312" s="580"/>
      <c r="M312" s="580"/>
      <c r="N312" s="580"/>
      <c r="O312" s="580"/>
      <c r="P312" s="580"/>
      <c r="Q312" s="580"/>
      <c r="R312" s="580"/>
      <c r="S312" s="580"/>
      <c r="T312" s="580"/>
      <c r="U312" s="580"/>
      <c r="V312" s="580"/>
      <c r="W312" s="580"/>
      <c r="X312" s="580"/>
      <c r="Y312" s="580"/>
      <c r="Z312" s="580"/>
      <c r="AA312" s="580"/>
      <c r="AB312" s="580"/>
    </row>
    <row r="313" ht="15.75" customHeight="1">
      <c r="A313" s="570"/>
      <c r="B313" s="570"/>
      <c r="C313" s="580"/>
      <c r="D313" s="580"/>
      <c r="E313" s="580"/>
      <c r="F313" s="580"/>
      <c r="G313" s="580"/>
      <c r="H313" s="580"/>
      <c r="I313" s="580"/>
      <c r="J313" s="580"/>
      <c r="K313" s="580"/>
      <c r="L313" s="580"/>
      <c r="M313" s="580"/>
      <c r="N313" s="580"/>
      <c r="O313" s="580"/>
      <c r="P313" s="580"/>
      <c r="Q313" s="580"/>
      <c r="R313" s="580"/>
      <c r="S313" s="580"/>
      <c r="T313" s="580"/>
      <c r="U313" s="580"/>
      <c r="V313" s="580"/>
      <c r="W313" s="580"/>
      <c r="X313" s="580"/>
      <c r="Y313" s="580"/>
      <c r="Z313" s="580"/>
      <c r="AA313" s="580"/>
      <c r="AB313" s="580"/>
    </row>
    <row r="314" ht="15.75" customHeight="1">
      <c r="A314" s="570"/>
      <c r="B314" s="570"/>
      <c r="C314" s="580"/>
      <c r="D314" s="580"/>
      <c r="E314" s="580"/>
      <c r="F314" s="580"/>
      <c r="G314" s="580"/>
      <c r="H314" s="580"/>
      <c r="I314" s="580"/>
      <c r="J314" s="580"/>
      <c r="K314" s="580"/>
      <c r="L314" s="580"/>
      <c r="M314" s="580"/>
      <c r="N314" s="580"/>
      <c r="O314" s="580"/>
      <c r="P314" s="580"/>
      <c r="Q314" s="580"/>
      <c r="R314" s="580"/>
      <c r="S314" s="580"/>
      <c r="T314" s="580"/>
      <c r="U314" s="580"/>
      <c r="V314" s="580"/>
      <c r="W314" s="580"/>
      <c r="X314" s="580"/>
      <c r="Y314" s="580"/>
      <c r="Z314" s="580"/>
      <c r="AA314" s="580"/>
      <c r="AB314" s="580"/>
    </row>
    <row r="315" ht="15.75" customHeight="1">
      <c r="A315" s="570"/>
      <c r="B315" s="570"/>
      <c r="C315" s="580"/>
      <c r="D315" s="580"/>
      <c r="E315" s="580"/>
      <c r="F315" s="580"/>
      <c r="G315" s="580"/>
      <c r="H315" s="580"/>
      <c r="I315" s="580"/>
      <c r="J315" s="580"/>
      <c r="K315" s="580"/>
      <c r="L315" s="580"/>
      <c r="M315" s="580"/>
      <c r="N315" s="580"/>
      <c r="O315" s="580"/>
      <c r="P315" s="580"/>
      <c r="Q315" s="580"/>
      <c r="R315" s="580"/>
      <c r="S315" s="580"/>
      <c r="T315" s="580"/>
      <c r="U315" s="580"/>
      <c r="V315" s="580"/>
      <c r="W315" s="580"/>
      <c r="X315" s="580"/>
      <c r="Y315" s="580"/>
      <c r="Z315" s="580"/>
      <c r="AA315" s="580"/>
      <c r="AB315" s="580"/>
    </row>
    <row r="316" ht="15.75" customHeight="1">
      <c r="A316" s="570"/>
      <c r="B316" s="570"/>
      <c r="C316" s="580"/>
      <c r="D316" s="580"/>
      <c r="E316" s="580"/>
      <c r="F316" s="580"/>
      <c r="G316" s="580"/>
      <c r="H316" s="580"/>
      <c r="I316" s="580"/>
      <c r="J316" s="580"/>
      <c r="K316" s="580"/>
      <c r="L316" s="580"/>
      <c r="M316" s="580"/>
      <c r="N316" s="580"/>
      <c r="O316" s="580"/>
      <c r="P316" s="580"/>
      <c r="Q316" s="580"/>
      <c r="R316" s="580"/>
      <c r="S316" s="580"/>
      <c r="T316" s="580"/>
      <c r="U316" s="580"/>
      <c r="V316" s="580"/>
      <c r="W316" s="580"/>
      <c r="X316" s="580"/>
      <c r="Y316" s="580"/>
      <c r="Z316" s="580"/>
      <c r="AA316" s="580"/>
      <c r="AB316" s="580"/>
    </row>
    <row r="317" ht="15.75" customHeight="1">
      <c r="A317" s="570"/>
      <c r="B317" s="570"/>
      <c r="C317" s="580"/>
      <c r="D317" s="580"/>
      <c r="E317" s="580"/>
      <c r="F317" s="580"/>
      <c r="G317" s="580"/>
      <c r="H317" s="580"/>
      <c r="I317" s="580"/>
      <c r="J317" s="580"/>
      <c r="K317" s="580"/>
      <c r="L317" s="580"/>
      <c r="M317" s="580"/>
      <c r="N317" s="580"/>
      <c r="O317" s="580"/>
      <c r="P317" s="580"/>
      <c r="Q317" s="580"/>
      <c r="R317" s="580"/>
      <c r="S317" s="580"/>
      <c r="T317" s="580"/>
      <c r="U317" s="580"/>
      <c r="V317" s="580"/>
      <c r="W317" s="580"/>
      <c r="X317" s="580"/>
      <c r="Y317" s="580"/>
      <c r="Z317" s="580"/>
      <c r="AA317" s="580"/>
      <c r="AB317" s="580"/>
    </row>
    <row r="318" ht="15.75" customHeight="1">
      <c r="A318" s="570"/>
      <c r="B318" s="570"/>
      <c r="C318" s="580"/>
      <c r="D318" s="580"/>
      <c r="E318" s="580"/>
      <c r="F318" s="580"/>
      <c r="G318" s="580"/>
      <c r="H318" s="580"/>
      <c r="I318" s="580"/>
      <c r="J318" s="580"/>
      <c r="K318" s="580"/>
      <c r="L318" s="580"/>
      <c r="M318" s="580"/>
      <c r="N318" s="580"/>
      <c r="O318" s="580"/>
      <c r="P318" s="580"/>
      <c r="Q318" s="580"/>
      <c r="R318" s="580"/>
      <c r="S318" s="580"/>
      <c r="T318" s="580"/>
      <c r="U318" s="580"/>
      <c r="V318" s="580"/>
      <c r="W318" s="580"/>
      <c r="X318" s="580"/>
      <c r="Y318" s="580"/>
      <c r="Z318" s="580"/>
      <c r="AA318" s="580"/>
      <c r="AB318" s="580"/>
    </row>
    <row r="319" ht="15.75" customHeight="1">
      <c r="A319" s="570"/>
      <c r="B319" s="570"/>
      <c r="C319" s="580"/>
      <c r="D319" s="580"/>
      <c r="E319" s="580"/>
      <c r="F319" s="580"/>
      <c r="G319" s="580"/>
      <c r="H319" s="580"/>
      <c r="I319" s="580"/>
      <c r="J319" s="580"/>
      <c r="K319" s="580"/>
      <c r="L319" s="580"/>
      <c r="M319" s="580"/>
      <c r="N319" s="580"/>
      <c r="O319" s="580"/>
      <c r="P319" s="580"/>
      <c r="Q319" s="580"/>
      <c r="R319" s="580"/>
      <c r="S319" s="580"/>
      <c r="T319" s="580"/>
      <c r="U319" s="580"/>
      <c r="V319" s="580"/>
      <c r="W319" s="580"/>
      <c r="X319" s="580"/>
      <c r="Y319" s="580"/>
      <c r="Z319" s="580"/>
      <c r="AA319" s="580"/>
      <c r="AB319" s="580"/>
    </row>
    <row r="320" ht="15.75" customHeight="1">
      <c r="A320" s="570"/>
      <c r="B320" s="570"/>
      <c r="C320" s="580"/>
      <c r="D320" s="580"/>
      <c r="E320" s="580"/>
      <c r="F320" s="580"/>
      <c r="G320" s="580"/>
      <c r="H320" s="580"/>
      <c r="I320" s="580"/>
      <c r="J320" s="580"/>
      <c r="K320" s="580"/>
      <c r="L320" s="580"/>
      <c r="M320" s="580"/>
      <c r="N320" s="580"/>
      <c r="O320" s="580"/>
      <c r="P320" s="580"/>
      <c r="Q320" s="580"/>
      <c r="R320" s="580"/>
      <c r="S320" s="580"/>
      <c r="T320" s="580"/>
      <c r="U320" s="580"/>
      <c r="V320" s="580"/>
      <c r="W320" s="580"/>
      <c r="X320" s="580"/>
      <c r="Y320" s="580"/>
      <c r="Z320" s="580"/>
      <c r="AA320" s="580"/>
      <c r="AB320" s="580"/>
    </row>
    <row r="321" ht="15.75" customHeight="1">
      <c r="A321" s="570"/>
      <c r="B321" s="570"/>
      <c r="C321" s="580"/>
      <c r="D321" s="580"/>
      <c r="E321" s="580"/>
      <c r="F321" s="580"/>
      <c r="G321" s="580"/>
      <c r="H321" s="580"/>
      <c r="I321" s="580"/>
      <c r="J321" s="580"/>
      <c r="K321" s="580"/>
      <c r="L321" s="580"/>
      <c r="M321" s="580"/>
      <c r="N321" s="580"/>
      <c r="O321" s="580"/>
      <c r="P321" s="580"/>
      <c r="Q321" s="580"/>
      <c r="R321" s="580"/>
      <c r="S321" s="580"/>
      <c r="T321" s="580"/>
      <c r="U321" s="580"/>
      <c r="V321" s="580"/>
      <c r="W321" s="580"/>
      <c r="X321" s="580"/>
      <c r="Y321" s="580"/>
      <c r="Z321" s="580"/>
      <c r="AA321" s="580"/>
      <c r="AB321" s="580"/>
    </row>
    <row r="322" ht="15.75" customHeight="1">
      <c r="A322" s="570"/>
      <c r="B322" s="570"/>
      <c r="C322" s="580"/>
      <c r="D322" s="580"/>
      <c r="E322" s="580"/>
      <c r="F322" s="580"/>
      <c r="G322" s="580"/>
      <c r="H322" s="580"/>
      <c r="I322" s="580"/>
      <c r="J322" s="580"/>
      <c r="K322" s="580"/>
      <c r="L322" s="580"/>
      <c r="M322" s="580"/>
      <c r="N322" s="580"/>
      <c r="O322" s="580"/>
      <c r="P322" s="580"/>
      <c r="Q322" s="580"/>
      <c r="R322" s="580"/>
      <c r="S322" s="580"/>
      <c r="T322" s="580"/>
      <c r="U322" s="580"/>
      <c r="V322" s="580"/>
      <c r="W322" s="580"/>
      <c r="X322" s="580"/>
      <c r="Y322" s="580"/>
      <c r="Z322" s="580"/>
      <c r="AA322" s="580"/>
      <c r="AB322" s="580"/>
    </row>
    <row r="323" ht="15.75" customHeight="1">
      <c r="A323" s="570"/>
      <c r="B323" s="570"/>
      <c r="C323" s="580"/>
      <c r="D323" s="580"/>
      <c r="E323" s="580"/>
      <c r="F323" s="580"/>
      <c r="G323" s="580"/>
      <c r="H323" s="580"/>
      <c r="I323" s="580"/>
      <c r="J323" s="580"/>
      <c r="K323" s="580"/>
      <c r="L323" s="580"/>
      <c r="M323" s="580"/>
      <c r="N323" s="580"/>
      <c r="O323" s="580"/>
      <c r="P323" s="580"/>
      <c r="Q323" s="580"/>
      <c r="R323" s="580"/>
      <c r="S323" s="580"/>
      <c r="T323" s="580"/>
      <c r="U323" s="580"/>
      <c r="V323" s="580"/>
      <c r="W323" s="580"/>
      <c r="X323" s="580"/>
      <c r="Y323" s="580"/>
      <c r="Z323" s="580"/>
      <c r="AA323" s="580"/>
      <c r="AB323" s="580"/>
    </row>
    <row r="324" ht="15.75" customHeight="1">
      <c r="A324" s="570"/>
      <c r="B324" s="570"/>
      <c r="C324" s="580"/>
      <c r="D324" s="580"/>
      <c r="E324" s="580"/>
      <c r="F324" s="580"/>
      <c r="G324" s="580"/>
      <c r="H324" s="580"/>
      <c r="I324" s="580"/>
      <c r="J324" s="580"/>
      <c r="K324" s="580"/>
      <c r="L324" s="580"/>
      <c r="M324" s="580"/>
      <c r="N324" s="580"/>
      <c r="O324" s="580"/>
      <c r="P324" s="580"/>
      <c r="Q324" s="580"/>
      <c r="R324" s="580"/>
      <c r="S324" s="580"/>
      <c r="T324" s="580"/>
      <c r="U324" s="580"/>
      <c r="V324" s="580"/>
      <c r="W324" s="580"/>
      <c r="X324" s="580"/>
      <c r="Y324" s="580"/>
      <c r="Z324" s="580"/>
      <c r="AA324" s="580"/>
      <c r="AB324" s="580"/>
    </row>
    <row r="325" ht="15.75" customHeight="1">
      <c r="A325" s="570"/>
      <c r="B325" s="570"/>
      <c r="C325" s="580"/>
      <c r="D325" s="580"/>
      <c r="E325" s="580"/>
      <c r="F325" s="580"/>
      <c r="G325" s="580"/>
      <c r="H325" s="580"/>
      <c r="I325" s="580"/>
      <c r="J325" s="580"/>
      <c r="K325" s="580"/>
      <c r="L325" s="580"/>
      <c r="M325" s="580"/>
      <c r="N325" s="580"/>
      <c r="O325" s="580"/>
      <c r="P325" s="580"/>
      <c r="Q325" s="580"/>
      <c r="R325" s="580"/>
      <c r="S325" s="580"/>
      <c r="T325" s="580"/>
      <c r="U325" s="580"/>
      <c r="V325" s="580"/>
      <c r="W325" s="580"/>
      <c r="X325" s="580"/>
      <c r="Y325" s="580"/>
      <c r="Z325" s="580"/>
      <c r="AA325" s="580"/>
      <c r="AB325" s="580"/>
    </row>
    <row r="326" ht="15.75" customHeight="1">
      <c r="A326" s="570"/>
      <c r="B326" s="570"/>
      <c r="C326" s="580"/>
      <c r="D326" s="580"/>
      <c r="E326" s="580"/>
      <c r="F326" s="580"/>
      <c r="G326" s="580"/>
      <c r="H326" s="580"/>
      <c r="I326" s="580"/>
      <c r="J326" s="580"/>
      <c r="K326" s="580"/>
      <c r="L326" s="580"/>
      <c r="M326" s="580"/>
      <c r="N326" s="580"/>
      <c r="O326" s="580"/>
      <c r="P326" s="580"/>
      <c r="Q326" s="580"/>
      <c r="R326" s="580"/>
      <c r="S326" s="580"/>
      <c r="T326" s="580"/>
      <c r="U326" s="580"/>
      <c r="V326" s="580"/>
      <c r="W326" s="580"/>
      <c r="X326" s="580"/>
      <c r="Y326" s="580"/>
      <c r="Z326" s="580"/>
      <c r="AA326" s="580"/>
      <c r="AB326" s="580"/>
    </row>
    <row r="327" ht="15.75" customHeight="1">
      <c r="A327" s="570"/>
      <c r="B327" s="570"/>
      <c r="C327" s="580"/>
      <c r="D327" s="580"/>
      <c r="E327" s="580"/>
      <c r="F327" s="580"/>
      <c r="G327" s="580"/>
      <c r="H327" s="580"/>
      <c r="I327" s="580"/>
      <c r="J327" s="580"/>
      <c r="K327" s="580"/>
      <c r="L327" s="580"/>
      <c r="M327" s="580"/>
      <c r="N327" s="580"/>
      <c r="O327" s="580"/>
      <c r="P327" s="580"/>
      <c r="Q327" s="580"/>
      <c r="R327" s="580"/>
      <c r="S327" s="580"/>
      <c r="T327" s="580"/>
      <c r="U327" s="580"/>
      <c r="V327" s="580"/>
      <c r="W327" s="580"/>
      <c r="X327" s="580"/>
      <c r="Y327" s="580"/>
      <c r="Z327" s="580"/>
      <c r="AA327" s="580"/>
      <c r="AB327" s="580"/>
    </row>
    <row r="328" ht="15.75" customHeight="1">
      <c r="A328" s="570"/>
      <c r="B328" s="570"/>
      <c r="C328" s="580"/>
      <c r="D328" s="580"/>
      <c r="E328" s="580"/>
      <c r="F328" s="580"/>
      <c r="G328" s="580"/>
      <c r="H328" s="580"/>
      <c r="I328" s="580"/>
      <c r="J328" s="580"/>
      <c r="K328" s="580"/>
      <c r="L328" s="580"/>
      <c r="M328" s="580"/>
      <c r="N328" s="580"/>
      <c r="O328" s="580"/>
      <c r="P328" s="580"/>
      <c r="Q328" s="580"/>
      <c r="R328" s="580"/>
      <c r="S328" s="580"/>
      <c r="T328" s="580"/>
      <c r="U328" s="580"/>
      <c r="V328" s="580"/>
      <c r="W328" s="580"/>
      <c r="X328" s="580"/>
      <c r="Y328" s="580"/>
      <c r="Z328" s="580"/>
      <c r="AA328" s="580"/>
      <c r="AB328" s="580"/>
    </row>
    <row r="329" ht="15.75" customHeight="1">
      <c r="A329" s="570"/>
      <c r="B329" s="570"/>
      <c r="C329" s="580"/>
      <c r="D329" s="580"/>
      <c r="E329" s="580"/>
      <c r="F329" s="580"/>
      <c r="G329" s="580"/>
      <c r="H329" s="580"/>
      <c r="I329" s="580"/>
      <c r="J329" s="580"/>
      <c r="K329" s="580"/>
      <c r="L329" s="580"/>
      <c r="M329" s="580"/>
      <c r="N329" s="580"/>
      <c r="O329" s="580"/>
      <c r="P329" s="580"/>
      <c r="Q329" s="580"/>
      <c r="R329" s="580"/>
      <c r="S329" s="580"/>
      <c r="T329" s="580"/>
      <c r="U329" s="580"/>
      <c r="V329" s="580"/>
      <c r="W329" s="580"/>
      <c r="X329" s="580"/>
      <c r="Y329" s="580"/>
      <c r="Z329" s="580"/>
      <c r="AA329" s="580"/>
      <c r="AB329" s="580"/>
    </row>
    <row r="330" ht="15.75" customHeight="1">
      <c r="A330" s="570"/>
      <c r="B330" s="570"/>
      <c r="C330" s="580"/>
      <c r="D330" s="580"/>
      <c r="E330" s="580"/>
      <c r="F330" s="580"/>
      <c r="G330" s="580"/>
      <c r="H330" s="580"/>
      <c r="I330" s="580"/>
      <c r="J330" s="580"/>
      <c r="K330" s="580"/>
      <c r="L330" s="580"/>
      <c r="M330" s="580"/>
      <c r="N330" s="580"/>
      <c r="O330" s="580"/>
      <c r="P330" s="580"/>
      <c r="Q330" s="580"/>
      <c r="R330" s="580"/>
      <c r="S330" s="580"/>
      <c r="T330" s="580"/>
      <c r="U330" s="580"/>
      <c r="V330" s="580"/>
      <c r="W330" s="580"/>
      <c r="X330" s="580"/>
      <c r="Y330" s="580"/>
      <c r="Z330" s="580"/>
      <c r="AA330" s="580"/>
      <c r="AB330" s="580"/>
    </row>
    <row r="331" ht="15.75" customHeight="1">
      <c r="A331" s="570"/>
      <c r="B331" s="570"/>
      <c r="C331" s="580"/>
      <c r="D331" s="580"/>
      <c r="E331" s="580"/>
      <c r="F331" s="580"/>
      <c r="G331" s="580"/>
      <c r="H331" s="580"/>
      <c r="I331" s="580"/>
      <c r="J331" s="580"/>
      <c r="K331" s="580"/>
      <c r="L331" s="580"/>
      <c r="M331" s="580"/>
      <c r="N331" s="580"/>
      <c r="O331" s="580"/>
      <c r="P331" s="580"/>
      <c r="Q331" s="580"/>
      <c r="R331" s="580"/>
      <c r="S331" s="580"/>
      <c r="T331" s="580"/>
      <c r="U331" s="580"/>
      <c r="V331" s="580"/>
      <c r="W331" s="580"/>
      <c r="X331" s="580"/>
      <c r="Y331" s="580"/>
      <c r="Z331" s="580"/>
      <c r="AA331" s="580"/>
      <c r="AB331" s="580"/>
    </row>
    <row r="332" ht="15.75" customHeight="1">
      <c r="A332" s="570"/>
      <c r="B332" s="570"/>
      <c r="C332" s="580"/>
      <c r="D332" s="580"/>
      <c r="E332" s="580"/>
      <c r="F332" s="580"/>
      <c r="G332" s="580"/>
      <c r="H332" s="580"/>
      <c r="I332" s="580"/>
      <c r="J332" s="580"/>
      <c r="K332" s="580"/>
      <c r="L332" s="580"/>
      <c r="M332" s="580"/>
      <c r="N332" s="580"/>
      <c r="O332" s="580"/>
      <c r="P332" s="580"/>
      <c r="Q332" s="580"/>
      <c r="R332" s="580"/>
      <c r="S332" s="580"/>
      <c r="T332" s="580"/>
      <c r="U332" s="580"/>
      <c r="V332" s="580"/>
      <c r="W332" s="580"/>
      <c r="X332" s="580"/>
      <c r="Y332" s="580"/>
      <c r="Z332" s="580"/>
      <c r="AA332" s="580"/>
      <c r="AB332" s="580"/>
    </row>
    <row r="333" ht="15.75" customHeight="1">
      <c r="A333" s="570"/>
      <c r="B333" s="570"/>
      <c r="C333" s="580"/>
      <c r="D333" s="580"/>
      <c r="E333" s="580"/>
      <c r="F333" s="580"/>
      <c r="G333" s="580"/>
      <c r="H333" s="580"/>
      <c r="I333" s="580"/>
      <c r="J333" s="580"/>
      <c r="K333" s="580"/>
      <c r="L333" s="580"/>
      <c r="M333" s="580"/>
      <c r="N333" s="580"/>
      <c r="O333" s="580"/>
      <c r="P333" s="580"/>
      <c r="Q333" s="580"/>
      <c r="R333" s="580"/>
      <c r="S333" s="580"/>
      <c r="T333" s="580"/>
      <c r="U333" s="580"/>
      <c r="V333" s="580"/>
      <c r="W333" s="580"/>
      <c r="X333" s="580"/>
      <c r="Y333" s="580"/>
      <c r="Z333" s="580"/>
      <c r="AA333" s="580"/>
      <c r="AB333" s="580"/>
    </row>
    <row r="334" ht="15.75" customHeight="1">
      <c r="A334" s="570"/>
      <c r="B334" s="570"/>
      <c r="C334" s="580"/>
      <c r="D334" s="580"/>
      <c r="E334" s="580"/>
      <c r="F334" s="580"/>
      <c r="G334" s="580"/>
      <c r="H334" s="580"/>
      <c r="I334" s="580"/>
      <c r="J334" s="580"/>
      <c r="K334" s="580"/>
      <c r="L334" s="580"/>
      <c r="M334" s="580"/>
      <c r="N334" s="580"/>
      <c r="O334" s="580"/>
      <c r="P334" s="580"/>
      <c r="Q334" s="580"/>
      <c r="R334" s="580"/>
      <c r="S334" s="580"/>
      <c r="T334" s="580"/>
      <c r="U334" s="580"/>
      <c r="V334" s="580"/>
      <c r="W334" s="580"/>
      <c r="X334" s="580"/>
      <c r="Y334" s="580"/>
      <c r="Z334" s="580"/>
      <c r="AA334" s="580"/>
      <c r="AB334" s="580"/>
    </row>
    <row r="335" ht="15.75" customHeight="1">
      <c r="A335" s="570"/>
      <c r="B335" s="570"/>
      <c r="C335" s="580"/>
      <c r="D335" s="580"/>
      <c r="E335" s="580"/>
      <c r="F335" s="580"/>
      <c r="G335" s="580"/>
      <c r="H335" s="580"/>
      <c r="I335" s="580"/>
      <c r="J335" s="580"/>
      <c r="K335" s="580"/>
      <c r="L335" s="580"/>
      <c r="M335" s="580"/>
      <c r="N335" s="580"/>
      <c r="O335" s="580"/>
      <c r="P335" s="580"/>
      <c r="Q335" s="580"/>
      <c r="R335" s="580"/>
      <c r="S335" s="580"/>
      <c r="T335" s="580"/>
      <c r="U335" s="580"/>
      <c r="V335" s="580"/>
      <c r="W335" s="580"/>
      <c r="X335" s="580"/>
      <c r="Y335" s="580"/>
      <c r="Z335" s="580"/>
      <c r="AA335" s="580"/>
      <c r="AB335" s="580"/>
    </row>
    <row r="336" ht="15.75" customHeight="1">
      <c r="A336" s="570"/>
      <c r="B336" s="570"/>
      <c r="C336" s="580"/>
      <c r="D336" s="580"/>
      <c r="E336" s="580"/>
      <c r="F336" s="580"/>
      <c r="G336" s="580"/>
      <c r="H336" s="580"/>
      <c r="I336" s="580"/>
      <c r="J336" s="580"/>
      <c r="K336" s="580"/>
      <c r="L336" s="580"/>
      <c r="M336" s="580"/>
      <c r="N336" s="580"/>
      <c r="O336" s="580"/>
      <c r="P336" s="580"/>
      <c r="Q336" s="580"/>
      <c r="R336" s="580"/>
      <c r="S336" s="580"/>
      <c r="T336" s="580"/>
      <c r="U336" s="580"/>
      <c r="V336" s="580"/>
      <c r="W336" s="580"/>
      <c r="X336" s="580"/>
      <c r="Y336" s="580"/>
      <c r="Z336" s="580"/>
      <c r="AA336" s="580"/>
      <c r="AB336" s="580"/>
    </row>
    <row r="337" ht="15.75" customHeight="1">
      <c r="A337" s="570"/>
      <c r="B337" s="570"/>
      <c r="C337" s="580"/>
      <c r="D337" s="580"/>
      <c r="E337" s="580"/>
      <c r="F337" s="580"/>
      <c r="G337" s="580"/>
      <c r="H337" s="580"/>
      <c r="I337" s="580"/>
      <c r="J337" s="580"/>
      <c r="K337" s="580"/>
      <c r="L337" s="580"/>
      <c r="M337" s="580"/>
      <c r="N337" s="580"/>
      <c r="O337" s="580"/>
      <c r="P337" s="580"/>
      <c r="Q337" s="580"/>
      <c r="R337" s="580"/>
      <c r="S337" s="580"/>
      <c r="T337" s="580"/>
      <c r="U337" s="580"/>
      <c r="V337" s="580"/>
      <c r="W337" s="580"/>
      <c r="X337" s="580"/>
      <c r="Y337" s="580"/>
      <c r="Z337" s="580"/>
      <c r="AA337" s="580"/>
      <c r="AB337" s="580"/>
    </row>
    <row r="338" ht="15.75" customHeight="1">
      <c r="A338" s="570"/>
      <c r="B338" s="570"/>
      <c r="C338" s="580"/>
      <c r="D338" s="580"/>
      <c r="E338" s="580"/>
      <c r="F338" s="580"/>
      <c r="G338" s="580"/>
      <c r="H338" s="580"/>
      <c r="I338" s="580"/>
      <c r="J338" s="580"/>
      <c r="K338" s="580"/>
      <c r="L338" s="580"/>
      <c r="M338" s="580"/>
      <c r="N338" s="580"/>
      <c r="O338" s="580"/>
      <c r="P338" s="580"/>
      <c r="Q338" s="580"/>
      <c r="R338" s="580"/>
      <c r="S338" s="580"/>
      <c r="T338" s="580"/>
      <c r="U338" s="580"/>
      <c r="V338" s="580"/>
      <c r="W338" s="580"/>
      <c r="X338" s="580"/>
      <c r="Y338" s="580"/>
      <c r="Z338" s="580"/>
      <c r="AA338" s="580"/>
      <c r="AB338" s="580"/>
    </row>
    <row r="339" ht="15.75" customHeight="1">
      <c r="A339" s="570"/>
      <c r="B339" s="570"/>
      <c r="C339" s="580"/>
      <c r="D339" s="580"/>
      <c r="E339" s="580"/>
      <c r="F339" s="580"/>
      <c r="G339" s="580"/>
      <c r="H339" s="580"/>
      <c r="I339" s="580"/>
      <c r="J339" s="580"/>
      <c r="K339" s="580"/>
      <c r="L339" s="580"/>
      <c r="M339" s="580"/>
      <c r="N339" s="580"/>
      <c r="O339" s="580"/>
      <c r="P339" s="580"/>
      <c r="Q339" s="580"/>
      <c r="R339" s="580"/>
      <c r="S339" s="580"/>
      <c r="T339" s="580"/>
      <c r="U339" s="580"/>
      <c r="V339" s="580"/>
      <c r="W339" s="580"/>
      <c r="X339" s="580"/>
      <c r="Y339" s="580"/>
      <c r="Z339" s="580"/>
      <c r="AA339" s="580"/>
      <c r="AB339" s="580"/>
    </row>
    <row r="340" ht="15.75" customHeight="1">
      <c r="A340" s="570"/>
      <c r="B340" s="570"/>
      <c r="C340" s="580"/>
      <c r="D340" s="580"/>
      <c r="E340" s="580"/>
      <c r="F340" s="580"/>
      <c r="G340" s="580"/>
      <c r="H340" s="580"/>
      <c r="I340" s="580"/>
      <c r="J340" s="580"/>
      <c r="K340" s="580"/>
      <c r="L340" s="580"/>
      <c r="M340" s="580"/>
      <c r="N340" s="580"/>
      <c r="O340" s="580"/>
      <c r="P340" s="580"/>
      <c r="Q340" s="580"/>
      <c r="R340" s="580"/>
      <c r="S340" s="580"/>
      <c r="T340" s="580"/>
      <c r="U340" s="580"/>
      <c r="V340" s="580"/>
      <c r="W340" s="580"/>
      <c r="X340" s="580"/>
      <c r="Y340" s="580"/>
      <c r="Z340" s="580"/>
      <c r="AA340" s="580"/>
      <c r="AB340" s="580"/>
    </row>
    <row r="341" ht="15.75" customHeight="1">
      <c r="A341" s="570"/>
      <c r="B341" s="570"/>
      <c r="C341" s="580"/>
      <c r="D341" s="580"/>
      <c r="E341" s="580"/>
      <c r="F341" s="580"/>
      <c r="G341" s="580"/>
      <c r="H341" s="580"/>
      <c r="I341" s="580"/>
      <c r="J341" s="580"/>
      <c r="K341" s="580"/>
      <c r="L341" s="580"/>
      <c r="M341" s="580"/>
      <c r="N341" s="580"/>
      <c r="O341" s="580"/>
      <c r="P341" s="580"/>
      <c r="Q341" s="580"/>
      <c r="R341" s="580"/>
      <c r="S341" s="580"/>
      <c r="T341" s="580"/>
      <c r="U341" s="580"/>
      <c r="V341" s="580"/>
      <c r="W341" s="580"/>
      <c r="X341" s="580"/>
      <c r="Y341" s="580"/>
      <c r="Z341" s="580"/>
      <c r="AA341" s="580"/>
      <c r="AB341" s="580"/>
    </row>
    <row r="342" ht="15.75" customHeight="1">
      <c r="A342" s="570"/>
      <c r="B342" s="570"/>
      <c r="C342" s="580"/>
      <c r="D342" s="580"/>
      <c r="E342" s="580"/>
      <c r="F342" s="580"/>
      <c r="G342" s="580"/>
      <c r="H342" s="580"/>
      <c r="I342" s="580"/>
      <c r="J342" s="580"/>
      <c r="K342" s="580"/>
      <c r="L342" s="580"/>
      <c r="M342" s="580"/>
      <c r="N342" s="580"/>
      <c r="O342" s="580"/>
      <c r="P342" s="580"/>
      <c r="Q342" s="580"/>
      <c r="R342" s="580"/>
      <c r="S342" s="580"/>
      <c r="T342" s="580"/>
      <c r="U342" s="580"/>
      <c r="V342" s="580"/>
      <c r="W342" s="580"/>
      <c r="X342" s="580"/>
      <c r="Y342" s="580"/>
      <c r="Z342" s="580"/>
      <c r="AA342" s="580"/>
      <c r="AB342" s="580"/>
    </row>
    <row r="343" ht="15.75" customHeight="1">
      <c r="A343" s="570"/>
      <c r="B343" s="570"/>
      <c r="C343" s="580"/>
      <c r="D343" s="580"/>
      <c r="E343" s="580"/>
      <c r="F343" s="580"/>
      <c r="G343" s="580"/>
      <c r="H343" s="580"/>
      <c r="I343" s="580"/>
      <c r="J343" s="580"/>
      <c r="K343" s="580"/>
      <c r="L343" s="580"/>
      <c r="M343" s="580"/>
      <c r="N343" s="580"/>
      <c r="O343" s="580"/>
      <c r="P343" s="580"/>
      <c r="Q343" s="580"/>
      <c r="R343" s="580"/>
      <c r="S343" s="580"/>
      <c r="T343" s="580"/>
      <c r="U343" s="580"/>
      <c r="V343" s="580"/>
      <c r="W343" s="580"/>
      <c r="X343" s="580"/>
      <c r="Y343" s="580"/>
      <c r="Z343" s="580"/>
      <c r="AA343" s="580"/>
      <c r="AB343" s="580"/>
    </row>
    <row r="344" ht="15.75" customHeight="1">
      <c r="A344" s="570"/>
      <c r="B344" s="570"/>
      <c r="C344" s="580"/>
      <c r="D344" s="580"/>
      <c r="E344" s="580"/>
      <c r="F344" s="580"/>
      <c r="G344" s="580"/>
      <c r="H344" s="580"/>
      <c r="I344" s="580"/>
      <c r="J344" s="580"/>
      <c r="K344" s="580"/>
      <c r="L344" s="580"/>
      <c r="M344" s="580"/>
      <c r="N344" s="580"/>
      <c r="O344" s="580"/>
      <c r="P344" s="580"/>
      <c r="Q344" s="580"/>
      <c r="R344" s="580"/>
      <c r="S344" s="580"/>
      <c r="T344" s="580"/>
      <c r="U344" s="580"/>
      <c r="V344" s="580"/>
      <c r="W344" s="580"/>
      <c r="X344" s="580"/>
      <c r="Y344" s="580"/>
      <c r="Z344" s="580"/>
      <c r="AA344" s="580"/>
      <c r="AB344" s="580"/>
    </row>
    <row r="345" ht="15.75" customHeight="1">
      <c r="A345" s="570"/>
      <c r="B345" s="570"/>
      <c r="C345" s="580"/>
      <c r="D345" s="580"/>
      <c r="E345" s="580"/>
      <c r="F345" s="580"/>
      <c r="G345" s="580"/>
      <c r="H345" s="580"/>
      <c r="I345" s="580"/>
      <c r="J345" s="580"/>
      <c r="K345" s="580"/>
      <c r="L345" s="580"/>
      <c r="M345" s="580"/>
      <c r="N345" s="580"/>
      <c r="O345" s="580"/>
      <c r="P345" s="580"/>
      <c r="Q345" s="580"/>
      <c r="R345" s="580"/>
      <c r="S345" s="580"/>
      <c r="T345" s="580"/>
      <c r="U345" s="580"/>
      <c r="V345" s="580"/>
      <c r="W345" s="580"/>
      <c r="X345" s="580"/>
      <c r="Y345" s="580"/>
      <c r="Z345" s="580"/>
      <c r="AA345" s="580"/>
      <c r="AB345" s="580"/>
    </row>
    <row r="346" ht="15.75" customHeight="1">
      <c r="A346" s="570"/>
      <c r="B346" s="570"/>
      <c r="C346" s="580"/>
      <c r="D346" s="580"/>
      <c r="E346" s="580"/>
      <c r="F346" s="580"/>
      <c r="G346" s="580"/>
      <c r="H346" s="580"/>
      <c r="I346" s="580"/>
      <c r="J346" s="580"/>
      <c r="K346" s="580"/>
      <c r="L346" s="580"/>
      <c r="M346" s="580"/>
      <c r="N346" s="580"/>
      <c r="O346" s="580"/>
      <c r="P346" s="580"/>
      <c r="Q346" s="580"/>
      <c r="R346" s="580"/>
      <c r="S346" s="580"/>
      <c r="T346" s="580"/>
      <c r="U346" s="580"/>
      <c r="V346" s="580"/>
      <c r="W346" s="580"/>
      <c r="X346" s="580"/>
      <c r="Y346" s="580"/>
      <c r="Z346" s="580"/>
      <c r="AA346" s="580"/>
      <c r="AB346" s="580"/>
    </row>
    <row r="347" ht="15.75" customHeight="1">
      <c r="A347" s="570"/>
      <c r="B347" s="570"/>
      <c r="C347" s="580"/>
      <c r="D347" s="580"/>
      <c r="E347" s="580"/>
      <c r="F347" s="580"/>
      <c r="G347" s="580"/>
      <c r="H347" s="580"/>
      <c r="I347" s="580"/>
      <c r="J347" s="580"/>
      <c r="K347" s="580"/>
      <c r="L347" s="580"/>
      <c r="M347" s="580"/>
      <c r="N347" s="580"/>
      <c r="O347" s="580"/>
      <c r="P347" s="580"/>
      <c r="Q347" s="580"/>
      <c r="R347" s="580"/>
      <c r="S347" s="580"/>
      <c r="T347" s="580"/>
      <c r="U347" s="580"/>
      <c r="V347" s="580"/>
      <c r="W347" s="580"/>
      <c r="X347" s="580"/>
      <c r="Y347" s="580"/>
      <c r="Z347" s="580"/>
      <c r="AA347" s="580"/>
      <c r="AB347" s="580"/>
    </row>
    <row r="348" ht="15.75" customHeight="1">
      <c r="A348" s="570"/>
      <c r="B348" s="570"/>
      <c r="C348" s="580"/>
      <c r="D348" s="580"/>
      <c r="E348" s="580"/>
      <c r="F348" s="580"/>
      <c r="G348" s="580"/>
      <c r="H348" s="580"/>
      <c r="I348" s="580"/>
      <c r="J348" s="580"/>
      <c r="K348" s="580"/>
      <c r="L348" s="580"/>
      <c r="M348" s="580"/>
      <c r="N348" s="580"/>
      <c r="O348" s="580"/>
      <c r="P348" s="580"/>
      <c r="Q348" s="580"/>
      <c r="R348" s="580"/>
      <c r="S348" s="580"/>
      <c r="T348" s="580"/>
      <c r="U348" s="580"/>
      <c r="V348" s="580"/>
      <c r="W348" s="580"/>
      <c r="X348" s="580"/>
      <c r="Y348" s="580"/>
      <c r="Z348" s="580"/>
      <c r="AA348" s="580"/>
      <c r="AB348" s="580"/>
    </row>
    <row r="349" ht="15.75" customHeight="1">
      <c r="A349" s="570"/>
      <c r="B349" s="570"/>
      <c r="C349" s="580"/>
      <c r="D349" s="580"/>
      <c r="E349" s="580"/>
      <c r="F349" s="580"/>
      <c r="G349" s="580"/>
      <c r="H349" s="580"/>
      <c r="I349" s="580"/>
      <c r="J349" s="580"/>
      <c r="K349" s="580"/>
      <c r="L349" s="580"/>
      <c r="M349" s="580"/>
      <c r="N349" s="580"/>
      <c r="O349" s="580"/>
      <c r="P349" s="580"/>
      <c r="Q349" s="580"/>
      <c r="R349" s="580"/>
      <c r="S349" s="580"/>
      <c r="T349" s="580"/>
      <c r="U349" s="580"/>
      <c r="V349" s="580"/>
      <c r="W349" s="580"/>
      <c r="X349" s="580"/>
      <c r="Y349" s="580"/>
      <c r="Z349" s="580"/>
      <c r="AA349" s="580"/>
      <c r="AB349" s="580"/>
    </row>
    <row r="350" ht="15.75" customHeight="1">
      <c r="A350" s="570"/>
      <c r="B350" s="570"/>
      <c r="C350" s="580"/>
      <c r="D350" s="580"/>
      <c r="E350" s="580"/>
      <c r="F350" s="580"/>
      <c r="G350" s="580"/>
      <c r="H350" s="580"/>
      <c r="I350" s="580"/>
      <c r="J350" s="580"/>
      <c r="K350" s="580"/>
      <c r="L350" s="580"/>
      <c r="M350" s="580"/>
      <c r="N350" s="580"/>
      <c r="O350" s="580"/>
      <c r="P350" s="580"/>
      <c r="Q350" s="580"/>
      <c r="R350" s="580"/>
      <c r="S350" s="580"/>
      <c r="T350" s="580"/>
      <c r="U350" s="580"/>
      <c r="V350" s="580"/>
      <c r="W350" s="580"/>
      <c r="X350" s="580"/>
      <c r="Y350" s="580"/>
      <c r="Z350" s="580"/>
      <c r="AA350" s="580"/>
      <c r="AB350" s="580"/>
    </row>
    <row r="351" ht="15.75" customHeight="1">
      <c r="A351" s="570"/>
      <c r="B351" s="570"/>
      <c r="C351" s="580"/>
      <c r="D351" s="580"/>
      <c r="E351" s="580"/>
      <c r="F351" s="580"/>
      <c r="G351" s="580"/>
      <c r="H351" s="580"/>
      <c r="I351" s="580"/>
      <c r="J351" s="580"/>
      <c r="K351" s="580"/>
      <c r="L351" s="580"/>
      <c r="M351" s="580"/>
      <c r="N351" s="580"/>
      <c r="O351" s="580"/>
      <c r="P351" s="580"/>
      <c r="Q351" s="580"/>
      <c r="R351" s="580"/>
      <c r="S351" s="580"/>
      <c r="T351" s="580"/>
      <c r="U351" s="580"/>
      <c r="V351" s="580"/>
      <c r="W351" s="580"/>
      <c r="X351" s="580"/>
      <c r="Y351" s="580"/>
      <c r="Z351" s="580"/>
      <c r="AA351" s="580"/>
      <c r="AB351" s="580"/>
    </row>
    <row r="352" ht="15.75" customHeight="1">
      <c r="A352" s="570"/>
      <c r="B352" s="570"/>
      <c r="C352" s="580"/>
      <c r="D352" s="580"/>
      <c r="E352" s="580"/>
      <c r="F352" s="580"/>
      <c r="G352" s="580"/>
      <c r="H352" s="580"/>
      <c r="I352" s="580"/>
      <c r="J352" s="580"/>
      <c r="K352" s="580"/>
      <c r="L352" s="580"/>
      <c r="M352" s="580"/>
      <c r="N352" s="580"/>
      <c r="O352" s="580"/>
      <c r="P352" s="580"/>
      <c r="Q352" s="580"/>
      <c r="R352" s="580"/>
      <c r="S352" s="580"/>
      <c r="T352" s="580"/>
      <c r="U352" s="580"/>
      <c r="V352" s="580"/>
      <c r="W352" s="580"/>
      <c r="X352" s="580"/>
      <c r="Y352" s="580"/>
      <c r="Z352" s="580"/>
      <c r="AA352" s="580"/>
      <c r="AB352" s="580"/>
    </row>
    <row r="353" ht="15.75" customHeight="1">
      <c r="A353" s="570"/>
      <c r="B353" s="570"/>
      <c r="C353" s="580"/>
      <c r="D353" s="580"/>
      <c r="E353" s="580"/>
      <c r="F353" s="580"/>
      <c r="G353" s="580"/>
      <c r="H353" s="580"/>
      <c r="I353" s="580"/>
      <c r="J353" s="580"/>
      <c r="K353" s="580"/>
      <c r="L353" s="580"/>
      <c r="M353" s="580"/>
      <c r="N353" s="580"/>
      <c r="O353" s="580"/>
      <c r="P353" s="580"/>
      <c r="Q353" s="580"/>
      <c r="R353" s="580"/>
      <c r="S353" s="580"/>
      <c r="T353" s="580"/>
      <c r="U353" s="580"/>
      <c r="V353" s="580"/>
      <c r="W353" s="580"/>
      <c r="X353" s="580"/>
      <c r="Y353" s="580"/>
      <c r="Z353" s="580"/>
      <c r="AA353" s="580"/>
      <c r="AB353" s="580"/>
    </row>
    <row r="354" ht="15.75" customHeight="1">
      <c r="A354" s="570"/>
      <c r="B354" s="570"/>
      <c r="C354" s="580"/>
      <c r="D354" s="580"/>
      <c r="E354" s="580"/>
      <c r="F354" s="580"/>
      <c r="G354" s="580"/>
      <c r="H354" s="580"/>
      <c r="I354" s="580"/>
      <c r="J354" s="580"/>
      <c r="K354" s="580"/>
      <c r="L354" s="580"/>
      <c r="M354" s="580"/>
      <c r="N354" s="580"/>
      <c r="O354" s="580"/>
      <c r="P354" s="580"/>
      <c r="Q354" s="580"/>
      <c r="R354" s="580"/>
      <c r="S354" s="580"/>
      <c r="T354" s="580"/>
      <c r="U354" s="580"/>
      <c r="V354" s="580"/>
      <c r="W354" s="580"/>
      <c r="X354" s="580"/>
      <c r="Y354" s="580"/>
      <c r="Z354" s="580"/>
      <c r="AA354" s="580"/>
      <c r="AB354" s="580"/>
    </row>
    <row r="355" ht="15.75" customHeight="1">
      <c r="A355" s="570"/>
      <c r="B355" s="570"/>
      <c r="C355" s="580"/>
      <c r="D355" s="580"/>
      <c r="E355" s="580"/>
      <c r="F355" s="580"/>
      <c r="G355" s="580"/>
      <c r="H355" s="580"/>
      <c r="I355" s="580"/>
      <c r="J355" s="580"/>
      <c r="K355" s="580"/>
      <c r="L355" s="580"/>
      <c r="M355" s="580"/>
      <c r="N355" s="580"/>
      <c r="O355" s="580"/>
      <c r="P355" s="580"/>
      <c r="Q355" s="580"/>
      <c r="R355" s="580"/>
      <c r="S355" s="580"/>
      <c r="T355" s="580"/>
      <c r="U355" s="580"/>
      <c r="V355" s="580"/>
      <c r="W355" s="580"/>
      <c r="X355" s="580"/>
      <c r="Y355" s="580"/>
      <c r="Z355" s="580"/>
      <c r="AA355" s="580"/>
      <c r="AB355" s="580"/>
    </row>
    <row r="356" ht="15.75" customHeight="1">
      <c r="A356" s="570"/>
      <c r="B356" s="570"/>
      <c r="C356" s="580"/>
      <c r="D356" s="580"/>
      <c r="E356" s="580"/>
      <c r="F356" s="580"/>
      <c r="G356" s="580"/>
      <c r="H356" s="580"/>
      <c r="I356" s="580"/>
      <c r="J356" s="580"/>
      <c r="K356" s="580"/>
      <c r="L356" s="580"/>
      <c r="M356" s="580"/>
      <c r="N356" s="580"/>
      <c r="O356" s="580"/>
      <c r="P356" s="580"/>
      <c r="Q356" s="580"/>
      <c r="R356" s="580"/>
      <c r="S356" s="580"/>
      <c r="T356" s="580"/>
      <c r="U356" s="580"/>
      <c r="V356" s="580"/>
      <c r="W356" s="580"/>
      <c r="X356" s="580"/>
      <c r="Y356" s="580"/>
      <c r="Z356" s="580"/>
      <c r="AA356" s="580"/>
      <c r="AB356" s="580"/>
    </row>
    <row r="357" ht="15.75" customHeight="1">
      <c r="A357" s="570"/>
      <c r="B357" s="570"/>
      <c r="C357" s="580"/>
      <c r="D357" s="580"/>
      <c r="E357" s="580"/>
      <c r="F357" s="580"/>
      <c r="G357" s="580"/>
      <c r="H357" s="580"/>
      <c r="I357" s="580"/>
      <c r="J357" s="580"/>
      <c r="K357" s="580"/>
      <c r="L357" s="580"/>
      <c r="M357" s="580"/>
      <c r="N357" s="580"/>
      <c r="O357" s="580"/>
      <c r="P357" s="580"/>
      <c r="Q357" s="580"/>
      <c r="R357" s="580"/>
      <c r="S357" s="580"/>
      <c r="T357" s="580"/>
      <c r="U357" s="580"/>
      <c r="V357" s="580"/>
      <c r="W357" s="580"/>
      <c r="X357" s="580"/>
      <c r="Y357" s="580"/>
      <c r="Z357" s="580"/>
      <c r="AA357" s="580"/>
      <c r="AB357" s="580"/>
    </row>
    <row r="358" ht="15.75" customHeight="1">
      <c r="A358" s="570"/>
      <c r="B358" s="570"/>
      <c r="C358" s="580"/>
      <c r="D358" s="580"/>
      <c r="E358" s="580"/>
      <c r="F358" s="580"/>
      <c r="G358" s="580"/>
      <c r="H358" s="580"/>
      <c r="I358" s="580"/>
      <c r="J358" s="580"/>
      <c r="K358" s="580"/>
      <c r="L358" s="580"/>
      <c r="M358" s="580"/>
      <c r="N358" s="580"/>
      <c r="O358" s="580"/>
      <c r="P358" s="580"/>
      <c r="Q358" s="580"/>
      <c r="R358" s="580"/>
      <c r="S358" s="580"/>
      <c r="T358" s="580"/>
      <c r="U358" s="580"/>
      <c r="V358" s="580"/>
      <c r="W358" s="580"/>
      <c r="X358" s="580"/>
      <c r="Y358" s="580"/>
      <c r="Z358" s="580"/>
      <c r="AA358" s="580"/>
      <c r="AB358" s="580"/>
    </row>
    <row r="359" ht="15.75" customHeight="1">
      <c r="A359" s="570"/>
      <c r="B359" s="570"/>
      <c r="C359" s="580"/>
      <c r="D359" s="580"/>
      <c r="E359" s="580"/>
      <c r="F359" s="580"/>
      <c r="G359" s="580"/>
      <c r="H359" s="580"/>
      <c r="I359" s="580"/>
      <c r="J359" s="580"/>
      <c r="K359" s="580"/>
      <c r="L359" s="580"/>
      <c r="M359" s="580"/>
      <c r="N359" s="580"/>
      <c r="O359" s="580"/>
      <c r="P359" s="580"/>
      <c r="Q359" s="580"/>
      <c r="R359" s="580"/>
      <c r="S359" s="580"/>
      <c r="T359" s="580"/>
      <c r="U359" s="580"/>
      <c r="V359" s="580"/>
      <c r="W359" s="580"/>
      <c r="X359" s="580"/>
      <c r="Y359" s="580"/>
      <c r="Z359" s="580"/>
      <c r="AA359" s="580"/>
      <c r="AB359" s="580"/>
    </row>
    <row r="360" ht="15.75" customHeight="1">
      <c r="A360" s="570"/>
      <c r="B360" s="570"/>
      <c r="C360" s="580"/>
      <c r="D360" s="580"/>
      <c r="E360" s="580"/>
      <c r="F360" s="580"/>
      <c r="G360" s="580"/>
      <c r="H360" s="580"/>
      <c r="I360" s="580"/>
      <c r="J360" s="580"/>
      <c r="K360" s="580"/>
      <c r="L360" s="580"/>
      <c r="M360" s="580"/>
      <c r="N360" s="580"/>
      <c r="O360" s="580"/>
      <c r="P360" s="580"/>
      <c r="Q360" s="580"/>
      <c r="R360" s="580"/>
      <c r="S360" s="580"/>
      <c r="T360" s="580"/>
      <c r="U360" s="580"/>
      <c r="V360" s="580"/>
      <c r="W360" s="580"/>
      <c r="X360" s="580"/>
      <c r="Y360" s="580"/>
      <c r="Z360" s="580"/>
      <c r="AA360" s="580"/>
      <c r="AB360" s="580"/>
    </row>
    <row r="361" ht="15.75" customHeight="1">
      <c r="A361" s="570"/>
      <c r="B361" s="570"/>
      <c r="C361" s="580"/>
      <c r="D361" s="580"/>
      <c r="E361" s="580"/>
      <c r="F361" s="580"/>
      <c r="G361" s="580"/>
      <c r="H361" s="580"/>
      <c r="I361" s="580"/>
      <c r="J361" s="580"/>
      <c r="K361" s="580"/>
      <c r="L361" s="580"/>
      <c r="M361" s="580"/>
      <c r="N361" s="580"/>
      <c r="O361" s="580"/>
      <c r="P361" s="580"/>
      <c r="Q361" s="580"/>
      <c r="R361" s="580"/>
      <c r="S361" s="580"/>
      <c r="T361" s="580"/>
      <c r="U361" s="580"/>
      <c r="V361" s="580"/>
      <c r="W361" s="580"/>
      <c r="X361" s="580"/>
      <c r="Y361" s="580"/>
      <c r="Z361" s="580"/>
      <c r="AA361" s="580"/>
      <c r="AB361" s="580"/>
    </row>
    <row r="362" ht="15.75" customHeight="1">
      <c r="A362" s="570"/>
      <c r="B362" s="570"/>
      <c r="C362" s="580"/>
      <c r="D362" s="580"/>
      <c r="E362" s="580"/>
      <c r="F362" s="580"/>
      <c r="G362" s="580"/>
      <c r="H362" s="580"/>
      <c r="I362" s="580"/>
      <c r="J362" s="580"/>
      <c r="K362" s="580"/>
      <c r="L362" s="580"/>
      <c r="M362" s="580"/>
      <c r="N362" s="580"/>
      <c r="O362" s="580"/>
      <c r="P362" s="580"/>
      <c r="Q362" s="580"/>
      <c r="R362" s="580"/>
      <c r="S362" s="580"/>
      <c r="T362" s="580"/>
      <c r="U362" s="580"/>
      <c r="V362" s="580"/>
      <c r="W362" s="580"/>
      <c r="X362" s="580"/>
      <c r="Y362" s="580"/>
      <c r="Z362" s="580"/>
      <c r="AA362" s="580"/>
      <c r="AB362" s="580"/>
    </row>
    <row r="363" ht="15.75" customHeight="1">
      <c r="A363" s="570"/>
      <c r="B363" s="570"/>
      <c r="C363" s="580"/>
      <c r="D363" s="580"/>
      <c r="E363" s="580"/>
      <c r="F363" s="580"/>
      <c r="G363" s="580"/>
      <c r="H363" s="580"/>
      <c r="I363" s="580"/>
      <c r="J363" s="580"/>
      <c r="K363" s="580"/>
      <c r="L363" s="580"/>
      <c r="M363" s="580"/>
      <c r="N363" s="580"/>
      <c r="O363" s="580"/>
      <c r="P363" s="580"/>
      <c r="Q363" s="580"/>
      <c r="R363" s="580"/>
      <c r="S363" s="580"/>
      <c r="T363" s="580"/>
      <c r="U363" s="580"/>
      <c r="V363" s="580"/>
      <c r="W363" s="580"/>
      <c r="X363" s="580"/>
      <c r="Y363" s="580"/>
      <c r="Z363" s="580"/>
      <c r="AA363" s="580"/>
      <c r="AB363" s="580"/>
    </row>
    <row r="364" ht="15.75" customHeight="1">
      <c r="A364" s="570"/>
      <c r="B364" s="570"/>
      <c r="C364" s="580"/>
      <c r="D364" s="580"/>
      <c r="E364" s="580"/>
      <c r="F364" s="580"/>
      <c r="G364" s="580"/>
      <c r="H364" s="580"/>
      <c r="I364" s="580"/>
      <c r="J364" s="580"/>
      <c r="K364" s="580"/>
      <c r="L364" s="580"/>
      <c r="M364" s="580"/>
      <c r="N364" s="580"/>
      <c r="O364" s="580"/>
      <c r="P364" s="580"/>
      <c r="Q364" s="580"/>
      <c r="R364" s="580"/>
      <c r="S364" s="580"/>
      <c r="T364" s="580"/>
      <c r="U364" s="580"/>
      <c r="V364" s="580"/>
      <c r="W364" s="580"/>
      <c r="X364" s="580"/>
      <c r="Y364" s="580"/>
      <c r="Z364" s="580"/>
      <c r="AA364" s="580"/>
      <c r="AB364" s="580"/>
    </row>
    <row r="365" ht="15.75" customHeight="1">
      <c r="A365" s="570"/>
      <c r="B365" s="570"/>
      <c r="C365" s="580"/>
      <c r="D365" s="580"/>
      <c r="E365" s="580"/>
      <c r="F365" s="580"/>
      <c r="G365" s="580"/>
      <c r="H365" s="580"/>
      <c r="I365" s="580"/>
      <c r="J365" s="580"/>
      <c r="K365" s="580"/>
      <c r="L365" s="580"/>
      <c r="M365" s="580"/>
      <c r="N365" s="580"/>
      <c r="O365" s="580"/>
      <c r="P365" s="580"/>
      <c r="Q365" s="580"/>
      <c r="R365" s="580"/>
      <c r="S365" s="580"/>
      <c r="T365" s="580"/>
      <c r="U365" s="580"/>
      <c r="V365" s="580"/>
      <c r="W365" s="580"/>
      <c r="X365" s="580"/>
      <c r="Y365" s="580"/>
      <c r="Z365" s="580"/>
      <c r="AA365" s="580"/>
      <c r="AB365" s="580"/>
    </row>
    <row r="366" ht="15.75" customHeight="1">
      <c r="A366" s="570"/>
      <c r="B366" s="570"/>
      <c r="C366" s="580"/>
      <c r="D366" s="580"/>
      <c r="E366" s="580"/>
      <c r="F366" s="580"/>
      <c r="G366" s="580"/>
      <c r="H366" s="580"/>
      <c r="I366" s="580"/>
      <c r="J366" s="580"/>
      <c r="K366" s="580"/>
      <c r="L366" s="580"/>
      <c r="M366" s="580"/>
      <c r="N366" s="580"/>
      <c r="O366" s="580"/>
      <c r="P366" s="580"/>
      <c r="Q366" s="580"/>
      <c r="R366" s="580"/>
      <c r="S366" s="580"/>
      <c r="T366" s="580"/>
      <c r="U366" s="580"/>
      <c r="V366" s="580"/>
      <c r="W366" s="580"/>
      <c r="X366" s="580"/>
      <c r="Y366" s="580"/>
      <c r="Z366" s="580"/>
      <c r="AA366" s="580"/>
      <c r="AB366" s="580"/>
    </row>
    <row r="367" ht="15.75" customHeight="1">
      <c r="A367" s="570"/>
      <c r="B367" s="570"/>
      <c r="C367" s="580"/>
      <c r="D367" s="580"/>
      <c r="E367" s="580"/>
      <c r="F367" s="580"/>
      <c r="G367" s="580"/>
      <c r="H367" s="580"/>
      <c r="I367" s="580"/>
      <c r="J367" s="580"/>
      <c r="K367" s="580"/>
      <c r="L367" s="580"/>
      <c r="M367" s="580"/>
      <c r="N367" s="580"/>
      <c r="O367" s="580"/>
      <c r="P367" s="580"/>
      <c r="Q367" s="580"/>
      <c r="R367" s="580"/>
      <c r="S367" s="580"/>
      <c r="T367" s="580"/>
      <c r="U367" s="580"/>
      <c r="V367" s="580"/>
      <c r="W367" s="580"/>
      <c r="X367" s="580"/>
      <c r="Y367" s="580"/>
      <c r="Z367" s="580"/>
      <c r="AA367" s="580"/>
      <c r="AB367" s="580"/>
    </row>
    <row r="368" ht="15.75" customHeight="1">
      <c r="A368" s="570"/>
      <c r="B368" s="570"/>
      <c r="C368" s="580"/>
      <c r="D368" s="580"/>
      <c r="E368" s="580"/>
      <c r="F368" s="580"/>
      <c r="G368" s="580"/>
      <c r="H368" s="580"/>
      <c r="I368" s="580"/>
      <c r="J368" s="580"/>
      <c r="K368" s="580"/>
      <c r="L368" s="580"/>
      <c r="M368" s="580"/>
      <c r="N368" s="580"/>
      <c r="O368" s="580"/>
      <c r="P368" s="580"/>
      <c r="Q368" s="580"/>
      <c r="R368" s="580"/>
      <c r="S368" s="580"/>
      <c r="T368" s="580"/>
      <c r="U368" s="580"/>
      <c r="V368" s="580"/>
      <c r="W368" s="580"/>
      <c r="X368" s="580"/>
      <c r="Y368" s="580"/>
      <c r="Z368" s="580"/>
      <c r="AA368" s="580"/>
      <c r="AB368" s="580"/>
    </row>
    <row r="369" ht="15.75" customHeight="1">
      <c r="A369" s="570"/>
      <c r="B369" s="570"/>
      <c r="C369" s="580"/>
      <c r="D369" s="580"/>
      <c r="E369" s="580"/>
      <c r="F369" s="580"/>
      <c r="G369" s="580"/>
      <c r="H369" s="580"/>
      <c r="I369" s="580"/>
      <c r="J369" s="580"/>
      <c r="K369" s="580"/>
      <c r="L369" s="580"/>
      <c r="M369" s="580"/>
      <c r="N369" s="580"/>
      <c r="O369" s="580"/>
      <c r="P369" s="580"/>
      <c r="Q369" s="580"/>
      <c r="R369" s="580"/>
      <c r="S369" s="580"/>
      <c r="T369" s="580"/>
      <c r="U369" s="580"/>
      <c r="V369" s="580"/>
      <c r="W369" s="580"/>
      <c r="X369" s="580"/>
      <c r="Y369" s="580"/>
      <c r="Z369" s="580"/>
      <c r="AA369" s="580"/>
      <c r="AB369" s="580"/>
    </row>
    <row r="370" ht="15.75" customHeight="1">
      <c r="A370" s="570"/>
      <c r="B370" s="570"/>
      <c r="C370" s="580"/>
      <c r="D370" s="580"/>
      <c r="E370" s="580"/>
      <c r="F370" s="580"/>
      <c r="G370" s="580"/>
      <c r="H370" s="580"/>
      <c r="I370" s="580"/>
      <c r="J370" s="580"/>
      <c r="K370" s="580"/>
      <c r="L370" s="580"/>
      <c r="M370" s="580"/>
      <c r="N370" s="580"/>
      <c r="O370" s="580"/>
      <c r="P370" s="580"/>
      <c r="Q370" s="580"/>
      <c r="R370" s="580"/>
      <c r="S370" s="580"/>
      <c r="T370" s="580"/>
      <c r="U370" s="580"/>
      <c r="V370" s="580"/>
      <c r="W370" s="580"/>
      <c r="X370" s="580"/>
      <c r="Y370" s="580"/>
      <c r="Z370" s="580"/>
      <c r="AA370" s="580"/>
      <c r="AB370" s="580"/>
    </row>
    <row r="371" ht="15.75" customHeight="1">
      <c r="A371" s="570"/>
      <c r="B371" s="570"/>
      <c r="C371" s="580"/>
      <c r="D371" s="580"/>
      <c r="E371" s="580"/>
      <c r="F371" s="580"/>
      <c r="G371" s="580"/>
      <c r="H371" s="580"/>
      <c r="I371" s="580"/>
      <c r="J371" s="580"/>
      <c r="K371" s="580"/>
      <c r="L371" s="580"/>
      <c r="M371" s="580"/>
      <c r="N371" s="580"/>
      <c r="O371" s="580"/>
      <c r="P371" s="580"/>
      <c r="Q371" s="580"/>
      <c r="R371" s="580"/>
      <c r="S371" s="580"/>
      <c r="T371" s="580"/>
      <c r="U371" s="580"/>
      <c r="V371" s="580"/>
      <c r="W371" s="580"/>
      <c r="X371" s="580"/>
      <c r="Y371" s="580"/>
      <c r="Z371" s="580"/>
      <c r="AA371" s="580"/>
      <c r="AB371" s="580"/>
    </row>
    <row r="372" ht="15.75" customHeight="1">
      <c r="A372" s="570"/>
      <c r="B372" s="570"/>
      <c r="C372" s="580"/>
      <c r="D372" s="580"/>
      <c r="E372" s="580"/>
      <c r="F372" s="580"/>
      <c r="G372" s="580"/>
      <c r="H372" s="580"/>
      <c r="I372" s="580"/>
      <c r="J372" s="580"/>
      <c r="K372" s="580"/>
      <c r="L372" s="580"/>
      <c r="M372" s="580"/>
      <c r="N372" s="580"/>
      <c r="O372" s="580"/>
      <c r="P372" s="580"/>
      <c r="Q372" s="580"/>
      <c r="R372" s="580"/>
      <c r="S372" s="580"/>
      <c r="T372" s="580"/>
      <c r="U372" s="580"/>
      <c r="V372" s="580"/>
      <c r="W372" s="580"/>
      <c r="X372" s="580"/>
      <c r="Y372" s="580"/>
      <c r="Z372" s="580"/>
      <c r="AA372" s="580"/>
      <c r="AB372" s="580"/>
    </row>
    <row r="373" ht="15.75" customHeight="1">
      <c r="A373" s="570"/>
      <c r="B373" s="570"/>
      <c r="C373" s="580"/>
      <c r="D373" s="580"/>
      <c r="E373" s="580"/>
      <c r="F373" s="580"/>
      <c r="G373" s="580"/>
      <c r="H373" s="580"/>
      <c r="I373" s="580"/>
      <c r="J373" s="580"/>
      <c r="K373" s="580"/>
      <c r="L373" s="580"/>
      <c r="M373" s="580"/>
      <c r="N373" s="580"/>
      <c r="O373" s="580"/>
      <c r="P373" s="580"/>
      <c r="Q373" s="580"/>
      <c r="R373" s="580"/>
      <c r="S373" s="580"/>
      <c r="T373" s="580"/>
      <c r="U373" s="580"/>
      <c r="V373" s="580"/>
      <c r="W373" s="580"/>
      <c r="X373" s="580"/>
      <c r="Y373" s="580"/>
      <c r="Z373" s="580"/>
      <c r="AA373" s="580"/>
      <c r="AB373" s="580"/>
    </row>
    <row r="374" ht="15.75" customHeight="1">
      <c r="A374" s="570"/>
      <c r="B374" s="570"/>
      <c r="C374" s="580"/>
      <c r="D374" s="580"/>
      <c r="E374" s="580"/>
      <c r="F374" s="580"/>
      <c r="G374" s="580"/>
      <c r="H374" s="580"/>
      <c r="I374" s="580"/>
      <c r="J374" s="580"/>
      <c r="K374" s="580"/>
      <c r="L374" s="580"/>
      <c r="M374" s="580"/>
      <c r="N374" s="580"/>
      <c r="O374" s="580"/>
      <c r="P374" s="580"/>
      <c r="Q374" s="580"/>
      <c r="R374" s="580"/>
      <c r="S374" s="580"/>
      <c r="T374" s="580"/>
      <c r="U374" s="580"/>
      <c r="V374" s="580"/>
      <c r="W374" s="580"/>
      <c r="X374" s="580"/>
      <c r="Y374" s="580"/>
      <c r="Z374" s="580"/>
      <c r="AA374" s="580"/>
      <c r="AB374" s="580"/>
    </row>
    <row r="375" ht="15.75" customHeight="1">
      <c r="A375" s="570"/>
      <c r="B375" s="570"/>
      <c r="C375" s="580"/>
      <c r="D375" s="580"/>
      <c r="E375" s="580"/>
      <c r="F375" s="580"/>
      <c r="G375" s="580"/>
      <c r="H375" s="580"/>
      <c r="I375" s="580"/>
      <c r="J375" s="580"/>
      <c r="K375" s="580"/>
      <c r="L375" s="580"/>
      <c r="M375" s="580"/>
      <c r="N375" s="580"/>
      <c r="O375" s="580"/>
      <c r="P375" s="580"/>
      <c r="Q375" s="580"/>
      <c r="R375" s="580"/>
      <c r="S375" s="580"/>
      <c r="T375" s="580"/>
      <c r="U375" s="580"/>
      <c r="V375" s="580"/>
      <c r="W375" s="580"/>
      <c r="X375" s="580"/>
      <c r="Y375" s="580"/>
      <c r="Z375" s="580"/>
      <c r="AA375" s="580"/>
      <c r="AB375" s="580"/>
    </row>
    <row r="376" ht="15.75" customHeight="1">
      <c r="A376" s="570"/>
      <c r="B376" s="570"/>
      <c r="C376" s="580"/>
      <c r="D376" s="580"/>
      <c r="E376" s="580"/>
      <c r="F376" s="580"/>
      <c r="G376" s="580"/>
      <c r="H376" s="580"/>
      <c r="I376" s="580"/>
      <c r="J376" s="580"/>
      <c r="K376" s="580"/>
      <c r="L376" s="580"/>
      <c r="M376" s="580"/>
      <c r="N376" s="580"/>
      <c r="O376" s="580"/>
      <c r="P376" s="580"/>
      <c r="Q376" s="580"/>
      <c r="R376" s="580"/>
      <c r="S376" s="580"/>
      <c r="T376" s="580"/>
      <c r="U376" s="580"/>
      <c r="V376" s="580"/>
      <c r="W376" s="580"/>
      <c r="X376" s="580"/>
      <c r="Y376" s="580"/>
      <c r="Z376" s="580"/>
      <c r="AA376" s="580"/>
      <c r="AB376" s="580"/>
    </row>
    <row r="377" ht="15.75" customHeight="1">
      <c r="A377" s="570"/>
      <c r="B377" s="570"/>
      <c r="C377" s="580"/>
      <c r="D377" s="580"/>
      <c r="E377" s="580"/>
      <c r="F377" s="580"/>
      <c r="G377" s="580"/>
      <c r="H377" s="580"/>
      <c r="I377" s="580"/>
      <c r="J377" s="580"/>
      <c r="K377" s="580"/>
      <c r="L377" s="580"/>
      <c r="M377" s="580"/>
      <c r="N377" s="580"/>
      <c r="O377" s="580"/>
      <c r="P377" s="580"/>
      <c r="Q377" s="580"/>
      <c r="R377" s="580"/>
      <c r="S377" s="580"/>
      <c r="T377" s="580"/>
      <c r="U377" s="580"/>
      <c r="V377" s="580"/>
      <c r="W377" s="580"/>
      <c r="X377" s="580"/>
      <c r="Y377" s="580"/>
      <c r="Z377" s="580"/>
      <c r="AA377" s="580"/>
      <c r="AB377" s="580"/>
    </row>
    <row r="378" ht="15.75" customHeight="1">
      <c r="A378" s="570"/>
      <c r="B378" s="570"/>
      <c r="C378" s="580"/>
      <c r="D378" s="580"/>
      <c r="E378" s="580"/>
      <c r="F378" s="580"/>
      <c r="G378" s="580"/>
      <c r="H378" s="580"/>
      <c r="I378" s="580"/>
      <c r="J378" s="580"/>
      <c r="K378" s="580"/>
      <c r="L378" s="580"/>
      <c r="M378" s="580"/>
      <c r="N378" s="580"/>
      <c r="O378" s="580"/>
      <c r="P378" s="580"/>
      <c r="Q378" s="580"/>
      <c r="R378" s="580"/>
      <c r="S378" s="580"/>
      <c r="T378" s="580"/>
      <c r="U378" s="580"/>
      <c r="V378" s="580"/>
      <c r="W378" s="580"/>
      <c r="X378" s="580"/>
      <c r="Y378" s="580"/>
      <c r="Z378" s="580"/>
      <c r="AA378" s="580"/>
      <c r="AB378" s="580"/>
    </row>
    <row r="379" ht="15.75" customHeight="1">
      <c r="A379" s="570"/>
      <c r="B379" s="570"/>
      <c r="C379" s="580"/>
      <c r="D379" s="580"/>
      <c r="E379" s="580"/>
      <c r="F379" s="580"/>
      <c r="G379" s="580"/>
      <c r="H379" s="580"/>
      <c r="I379" s="580"/>
      <c r="J379" s="580"/>
      <c r="K379" s="580"/>
      <c r="L379" s="580"/>
      <c r="M379" s="580"/>
      <c r="N379" s="580"/>
      <c r="O379" s="580"/>
      <c r="P379" s="580"/>
      <c r="Q379" s="580"/>
      <c r="R379" s="580"/>
      <c r="S379" s="580"/>
      <c r="T379" s="580"/>
      <c r="U379" s="580"/>
      <c r="V379" s="580"/>
      <c r="W379" s="580"/>
      <c r="X379" s="580"/>
      <c r="Y379" s="580"/>
      <c r="Z379" s="580"/>
      <c r="AA379" s="580"/>
      <c r="AB379" s="580"/>
    </row>
    <row r="380" ht="15.75" customHeight="1">
      <c r="A380" s="570"/>
      <c r="B380" s="570"/>
      <c r="C380" s="580"/>
      <c r="D380" s="580"/>
      <c r="E380" s="580"/>
      <c r="F380" s="580"/>
      <c r="G380" s="580"/>
      <c r="H380" s="580"/>
      <c r="I380" s="580"/>
      <c r="J380" s="580"/>
      <c r="K380" s="580"/>
      <c r="L380" s="580"/>
      <c r="M380" s="580"/>
      <c r="N380" s="580"/>
      <c r="O380" s="580"/>
      <c r="P380" s="580"/>
      <c r="Q380" s="580"/>
      <c r="R380" s="580"/>
      <c r="S380" s="580"/>
      <c r="T380" s="580"/>
      <c r="U380" s="580"/>
      <c r="V380" s="580"/>
      <c r="W380" s="580"/>
      <c r="X380" s="580"/>
      <c r="Y380" s="580"/>
      <c r="Z380" s="580"/>
      <c r="AA380" s="580"/>
      <c r="AB380" s="580"/>
    </row>
    <row r="381" ht="15.75" customHeight="1">
      <c r="A381" s="570"/>
      <c r="B381" s="570"/>
      <c r="C381" s="580"/>
      <c r="D381" s="580"/>
      <c r="E381" s="580"/>
      <c r="F381" s="580"/>
      <c r="G381" s="580"/>
      <c r="H381" s="580"/>
      <c r="I381" s="580"/>
      <c r="J381" s="580"/>
      <c r="K381" s="580"/>
      <c r="L381" s="580"/>
      <c r="M381" s="580"/>
      <c r="N381" s="580"/>
      <c r="O381" s="580"/>
      <c r="P381" s="580"/>
      <c r="Q381" s="580"/>
      <c r="R381" s="580"/>
      <c r="S381" s="580"/>
      <c r="T381" s="580"/>
      <c r="U381" s="580"/>
      <c r="V381" s="580"/>
      <c r="W381" s="580"/>
      <c r="X381" s="580"/>
      <c r="Y381" s="580"/>
      <c r="Z381" s="580"/>
      <c r="AA381" s="580"/>
      <c r="AB381" s="580"/>
    </row>
    <row r="382" ht="15.75" customHeight="1">
      <c r="A382" s="570"/>
      <c r="B382" s="570"/>
      <c r="C382" s="580"/>
      <c r="D382" s="580"/>
      <c r="E382" s="580"/>
      <c r="F382" s="580"/>
      <c r="G382" s="580"/>
      <c r="H382" s="580"/>
      <c r="I382" s="580"/>
      <c r="J382" s="580"/>
      <c r="K382" s="580"/>
      <c r="L382" s="580"/>
      <c r="M382" s="580"/>
      <c r="N382" s="580"/>
      <c r="O382" s="580"/>
      <c r="P382" s="580"/>
      <c r="Q382" s="580"/>
      <c r="R382" s="580"/>
      <c r="S382" s="580"/>
      <c r="T382" s="580"/>
      <c r="U382" s="580"/>
      <c r="V382" s="580"/>
      <c r="W382" s="580"/>
      <c r="X382" s="580"/>
      <c r="Y382" s="580"/>
      <c r="Z382" s="580"/>
      <c r="AA382" s="580"/>
      <c r="AB382" s="580"/>
    </row>
    <row r="383" ht="15.75" customHeight="1">
      <c r="A383" s="570"/>
      <c r="B383" s="570"/>
      <c r="C383" s="580"/>
      <c r="D383" s="580"/>
      <c r="E383" s="580"/>
      <c r="F383" s="580"/>
      <c r="G383" s="580"/>
      <c r="H383" s="580"/>
      <c r="I383" s="580"/>
      <c r="J383" s="580"/>
      <c r="K383" s="580"/>
      <c r="L383" s="580"/>
      <c r="M383" s="580"/>
      <c r="N383" s="580"/>
      <c r="O383" s="580"/>
      <c r="P383" s="580"/>
      <c r="Q383" s="580"/>
      <c r="R383" s="580"/>
      <c r="S383" s="580"/>
      <c r="T383" s="580"/>
      <c r="U383" s="580"/>
      <c r="V383" s="580"/>
      <c r="W383" s="580"/>
      <c r="X383" s="580"/>
      <c r="Y383" s="580"/>
      <c r="Z383" s="580"/>
      <c r="AA383" s="580"/>
      <c r="AB383" s="580"/>
    </row>
    <row r="384" ht="15.75" customHeight="1">
      <c r="A384" s="570"/>
      <c r="B384" s="570"/>
      <c r="C384" s="580"/>
      <c r="D384" s="580"/>
      <c r="E384" s="580"/>
      <c r="F384" s="580"/>
      <c r="G384" s="580"/>
      <c r="H384" s="580"/>
      <c r="I384" s="580"/>
      <c r="J384" s="580"/>
      <c r="K384" s="580"/>
      <c r="L384" s="580"/>
      <c r="M384" s="580"/>
      <c r="N384" s="580"/>
      <c r="O384" s="580"/>
      <c r="P384" s="580"/>
      <c r="Q384" s="580"/>
      <c r="R384" s="580"/>
      <c r="S384" s="580"/>
      <c r="T384" s="580"/>
      <c r="U384" s="580"/>
      <c r="V384" s="580"/>
      <c r="W384" s="580"/>
      <c r="X384" s="580"/>
      <c r="Y384" s="580"/>
      <c r="Z384" s="580"/>
      <c r="AA384" s="580"/>
      <c r="AB384" s="580"/>
    </row>
    <row r="385" ht="15.75" customHeight="1">
      <c r="A385" s="570"/>
      <c r="B385" s="570"/>
      <c r="C385" s="580"/>
      <c r="D385" s="580"/>
      <c r="E385" s="580"/>
      <c r="F385" s="580"/>
      <c r="G385" s="580"/>
      <c r="H385" s="580"/>
      <c r="I385" s="580"/>
      <c r="J385" s="580"/>
      <c r="K385" s="580"/>
      <c r="L385" s="580"/>
      <c r="M385" s="580"/>
      <c r="N385" s="580"/>
      <c r="O385" s="580"/>
      <c r="P385" s="580"/>
      <c r="Q385" s="580"/>
      <c r="R385" s="580"/>
      <c r="S385" s="580"/>
      <c r="T385" s="580"/>
      <c r="U385" s="580"/>
      <c r="V385" s="580"/>
      <c r="W385" s="580"/>
      <c r="X385" s="580"/>
      <c r="Y385" s="580"/>
      <c r="Z385" s="580"/>
      <c r="AA385" s="580"/>
      <c r="AB385" s="580"/>
    </row>
    <row r="386" ht="15.75" customHeight="1">
      <c r="A386" s="570"/>
      <c r="B386" s="570"/>
      <c r="C386" s="580"/>
      <c r="D386" s="580"/>
      <c r="E386" s="580"/>
      <c r="F386" s="580"/>
      <c r="G386" s="580"/>
      <c r="H386" s="580"/>
      <c r="I386" s="580"/>
      <c r="J386" s="580"/>
      <c r="K386" s="580"/>
      <c r="L386" s="580"/>
      <c r="M386" s="580"/>
      <c r="N386" s="580"/>
      <c r="O386" s="580"/>
      <c r="P386" s="580"/>
      <c r="Q386" s="580"/>
      <c r="R386" s="580"/>
      <c r="S386" s="580"/>
      <c r="T386" s="580"/>
      <c r="U386" s="580"/>
      <c r="V386" s="580"/>
      <c r="W386" s="580"/>
      <c r="X386" s="580"/>
      <c r="Y386" s="580"/>
      <c r="Z386" s="580"/>
      <c r="AA386" s="580"/>
      <c r="AB386" s="580"/>
    </row>
    <row r="387" ht="15.75" customHeight="1">
      <c r="A387" s="570"/>
      <c r="B387" s="570"/>
      <c r="C387" s="580"/>
      <c r="D387" s="580"/>
      <c r="E387" s="580"/>
      <c r="F387" s="580"/>
      <c r="G387" s="580"/>
      <c r="H387" s="580"/>
      <c r="I387" s="580"/>
      <c r="J387" s="580"/>
      <c r="K387" s="580"/>
      <c r="L387" s="580"/>
      <c r="M387" s="580"/>
      <c r="N387" s="580"/>
      <c r="O387" s="580"/>
      <c r="P387" s="580"/>
      <c r="Q387" s="580"/>
      <c r="R387" s="580"/>
      <c r="S387" s="580"/>
      <c r="T387" s="580"/>
      <c r="U387" s="580"/>
      <c r="V387" s="580"/>
      <c r="W387" s="580"/>
      <c r="X387" s="580"/>
      <c r="Y387" s="580"/>
      <c r="Z387" s="580"/>
      <c r="AA387" s="580"/>
      <c r="AB387" s="580"/>
    </row>
    <row r="388" ht="15.75" customHeight="1">
      <c r="A388" s="570"/>
      <c r="B388" s="570"/>
      <c r="C388" s="580"/>
      <c r="D388" s="580"/>
      <c r="E388" s="580"/>
      <c r="F388" s="580"/>
      <c r="G388" s="580"/>
      <c r="H388" s="580"/>
      <c r="I388" s="580"/>
      <c r="J388" s="580"/>
      <c r="K388" s="580"/>
      <c r="L388" s="580"/>
      <c r="M388" s="580"/>
      <c r="N388" s="580"/>
      <c r="O388" s="580"/>
      <c r="P388" s="580"/>
      <c r="Q388" s="580"/>
      <c r="R388" s="580"/>
      <c r="S388" s="580"/>
      <c r="T388" s="580"/>
      <c r="U388" s="580"/>
      <c r="V388" s="580"/>
      <c r="W388" s="580"/>
      <c r="X388" s="580"/>
      <c r="Y388" s="580"/>
      <c r="Z388" s="580"/>
      <c r="AA388" s="580"/>
      <c r="AB388" s="580"/>
    </row>
    <row r="389" ht="15.75" customHeight="1">
      <c r="A389" s="570"/>
      <c r="B389" s="570"/>
      <c r="C389" s="580"/>
      <c r="D389" s="580"/>
      <c r="E389" s="580"/>
      <c r="F389" s="580"/>
      <c r="G389" s="580"/>
      <c r="H389" s="580"/>
      <c r="I389" s="580"/>
      <c r="J389" s="580"/>
      <c r="K389" s="580"/>
      <c r="L389" s="580"/>
      <c r="M389" s="580"/>
      <c r="N389" s="580"/>
      <c r="O389" s="580"/>
      <c r="P389" s="580"/>
      <c r="Q389" s="580"/>
      <c r="R389" s="580"/>
      <c r="S389" s="580"/>
      <c r="T389" s="580"/>
      <c r="U389" s="580"/>
      <c r="V389" s="580"/>
      <c r="W389" s="580"/>
      <c r="X389" s="580"/>
      <c r="Y389" s="580"/>
      <c r="Z389" s="580"/>
      <c r="AA389" s="580"/>
      <c r="AB389" s="580"/>
    </row>
    <row r="390" ht="15.75" customHeight="1">
      <c r="A390" s="570"/>
      <c r="B390" s="570"/>
      <c r="C390" s="580"/>
      <c r="D390" s="580"/>
      <c r="E390" s="580"/>
      <c r="F390" s="580"/>
      <c r="G390" s="580"/>
      <c r="H390" s="580"/>
      <c r="I390" s="580"/>
      <c r="J390" s="580"/>
      <c r="K390" s="580"/>
      <c r="L390" s="580"/>
      <c r="M390" s="580"/>
      <c r="N390" s="580"/>
      <c r="O390" s="580"/>
      <c r="P390" s="580"/>
      <c r="Q390" s="580"/>
      <c r="R390" s="580"/>
      <c r="S390" s="580"/>
      <c r="T390" s="580"/>
      <c r="U390" s="580"/>
      <c r="V390" s="580"/>
      <c r="W390" s="580"/>
      <c r="X390" s="580"/>
      <c r="Y390" s="580"/>
      <c r="Z390" s="580"/>
      <c r="AA390" s="580"/>
      <c r="AB390" s="580"/>
    </row>
    <row r="391" ht="15.75" customHeight="1">
      <c r="A391" s="570"/>
      <c r="B391" s="570"/>
      <c r="C391" s="580"/>
      <c r="D391" s="580"/>
      <c r="E391" s="580"/>
      <c r="F391" s="580"/>
      <c r="G391" s="580"/>
      <c r="H391" s="580"/>
      <c r="I391" s="580"/>
      <c r="J391" s="580"/>
      <c r="K391" s="580"/>
      <c r="L391" s="580"/>
      <c r="M391" s="580"/>
      <c r="N391" s="580"/>
      <c r="O391" s="580"/>
      <c r="P391" s="580"/>
      <c r="Q391" s="580"/>
      <c r="R391" s="580"/>
      <c r="S391" s="580"/>
      <c r="T391" s="580"/>
      <c r="U391" s="580"/>
      <c r="V391" s="580"/>
      <c r="W391" s="580"/>
      <c r="X391" s="580"/>
      <c r="Y391" s="580"/>
      <c r="Z391" s="580"/>
      <c r="AA391" s="580"/>
      <c r="AB391" s="580"/>
    </row>
    <row r="392" ht="15.75" customHeight="1">
      <c r="A392" s="570"/>
      <c r="B392" s="570"/>
      <c r="C392" s="580"/>
      <c r="D392" s="580"/>
      <c r="E392" s="580"/>
      <c r="F392" s="580"/>
      <c r="G392" s="580"/>
      <c r="H392" s="580"/>
      <c r="I392" s="580"/>
      <c r="J392" s="580"/>
      <c r="K392" s="580"/>
      <c r="L392" s="580"/>
      <c r="M392" s="580"/>
      <c r="N392" s="580"/>
      <c r="O392" s="580"/>
      <c r="P392" s="580"/>
      <c r="Q392" s="580"/>
      <c r="R392" s="580"/>
      <c r="S392" s="580"/>
      <c r="T392" s="580"/>
      <c r="U392" s="580"/>
      <c r="V392" s="580"/>
      <c r="W392" s="580"/>
      <c r="X392" s="580"/>
      <c r="Y392" s="580"/>
      <c r="Z392" s="580"/>
      <c r="AA392" s="580"/>
      <c r="AB392" s="580"/>
    </row>
    <row r="393" ht="15.75" customHeight="1">
      <c r="A393" s="570"/>
      <c r="B393" s="570"/>
      <c r="C393" s="580"/>
      <c r="D393" s="580"/>
      <c r="E393" s="580"/>
      <c r="F393" s="580"/>
      <c r="G393" s="580"/>
      <c r="H393" s="580"/>
      <c r="I393" s="580"/>
      <c r="J393" s="580"/>
      <c r="K393" s="580"/>
      <c r="L393" s="580"/>
      <c r="M393" s="580"/>
      <c r="N393" s="580"/>
      <c r="O393" s="580"/>
      <c r="P393" s="580"/>
      <c r="Q393" s="580"/>
      <c r="R393" s="580"/>
      <c r="S393" s="580"/>
      <c r="T393" s="580"/>
      <c r="U393" s="580"/>
      <c r="V393" s="580"/>
      <c r="W393" s="580"/>
      <c r="X393" s="580"/>
      <c r="Y393" s="580"/>
      <c r="Z393" s="580"/>
      <c r="AA393" s="580"/>
      <c r="AB393" s="580"/>
    </row>
    <row r="394" ht="15.75" customHeight="1">
      <c r="A394" s="570"/>
      <c r="B394" s="570"/>
      <c r="C394" s="580"/>
      <c r="D394" s="580"/>
      <c r="E394" s="580"/>
      <c r="F394" s="580"/>
      <c r="G394" s="580"/>
      <c r="H394" s="580"/>
      <c r="I394" s="580"/>
      <c r="J394" s="580"/>
      <c r="K394" s="580"/>
      <c r="L394" s="580"/>
      <c r="M394" s="580"/>
      <c r="N394" s="580"/>
      <c r="O394" s="580"/>
      <c r="P394" s="580"/>
      <c r="Q394" s="580"/>
      <c r="R394" s="580"/>
      <c r="S394" s="580"/>
      <c r="T394" s="580"/>
      <c r="U394" s="580"/>
      <c r="V394" s="580"/>
      <c r="W394" s="580"/>
      <c r="X394" s="580"/>
      <c r="Y394" s="580"/>
      <c r="Z394" s="580"/>
      <c r="AA394" s="580"/>
      <c r="AB394" s="580"/>
    </row>
    <row r="395" ht="15.75" customHeight="1">
      <c r="A395" s="570"/>
      <c r="B395" s="570"/>
      <c r="C395" s="580"/>
      <c r="D395" s="580"/>
      <c r="E395" s="580"/>
      <c r="F395" s="580"/>
      <c r="G395" s="580"/>
      <c r="H395" s="580"/>
      <c r="I395" s="580"/>
      <c r="J395" s="580"/>
      <c r="K395" s="580"/>
      <c r="L395" s="580"/>
      <c r="M395" s="580"/>
      <c r="N395" s="580"/>
      <c r="O395" s="580"/>
      <c r="P395" s="580"/>
      <c r="Q395" s="580"/>
      <c r="R395" s="580"/>
      <c r="S395" s="580"/>
      <c r="T395" s="580"/>
      <c r="U395" s="580"/>
      <c r="V395" s="580"/>
      <c r="W395" s="580"/>
      <c r="X395" s="580"/>
      <c r="Y395" s="580"/>
      <c r="Z395" s="580"/>
      <c r="AA395" s="580"/>
      <c r="AB395" s="580"/>
    </row>
    <row r="396" ht="15.75" customHeight="1">
      <c r="A396" s="570"/>
      <c r="B396" s="570"/>
      <c r="C396" s="580"/>
      <c r="D396" s="580"/>
      <c r="E396" s="580"/>
      <c r="F396" s="580"/>
      <c r="G396" s="580"/>
      <c r="H396" s="580"/>
      <c r="I396" s="580"/>
      <c r="J396" s="580"/>
      <c r="K396" s="580"/>
      <c r="L396" s="580"/>
      <c r="M396" s="580"/>
      <c r="N396" s="580"/>
      <c r="O396" s="580"/>
      <c r="P396" s="580"/>
      <c r="Q396" s="580"/>
      <c r="R396" s="580"/>
      <c r="S396" s="580"/>
      <c r="T396" s="580"/>
      <c r="U396" s="580"/>
      <c r="V396" s="580"/>
      <c r="W396" s="580"/>
      <c r="X396" s="580"/>
      <c r="Y396" s="580"/>
      <c r="Z396" s="580"/>
      <c r="AA396" s="580"/>
      <c r="AB396" s="580"/>
    </row>
    <row r="397" ht="15.75" customHeight="1">
      <c r="A397" s="570"/>
      <c r="B397" s="570"/>
      <c r="C397" s="580"/>
      <c r="D397" s="580"/>
      <c r="E397" s="580"/>
      <c r="F397" s="580"/>
      <c r="G397" s="580"/>
      <c r="H397" s="580"/>
      <c r="I397" s="580"/>
      <c r="J397" s="580"/>
      <c r="K397" s="580"/>
      <c r="L397" s="580"/>
      <c r="M397" s="580"/>
      <c r="N397" s="580"/>
      <c r="O397" s="580"/>
      <c r="P397" s="580"/>
      <c r="Q397" s="580"/>
      <c r="R397" s="580"/>
      <c r="S397" s="580"/>
      <c r="T397" s="580"/>
      <c r="U397" s="580"/>
      <c r="V397" s="580"/>
      <c r="W397" s="580"/>
      <c r="X397" s="580"/>
      <c r="Y397" s="580"/>
      <c r="Z397" s="580"/>
      <c r="AA397" s="580"/>
      <c r="AB397" s="580"/>
    </row>
    <row r="398" ht="15.75" customHeight="1">
      <c r="A398" s="570"/>
      <c r="B398" s="570"/>
      <c r="C398" s="580"/>
      <c r="D398" s="580"/>
      <c r="E398" s="580"/>
      <c r="F398" s="580"/>
      <c r="G398" s="580"/>
      <c r="H398" s="580"/>
      <c r="I398" s="580"/>
      <c r="J398" s="580"/>
      <c r="K398" s="580"/>
      <c r="L398" s="580"/>
      <c r="M398" s="580"/>
      <c r="N398" s="580"/>
      <c r="O398" s="580"/>
      <c r="P398" s="580"/>
      <c r="Q398" s="580"/>
      <c r="R398" s="580"/>
      <c r="S398" s="580"/>
      <c r="T398" s="580"/>
      <c r="U398" s="580"/>
      <c r="V398" s="580"/>
      <c r="W398" s="580"/>
      <c r="X398" s="580"/>
      <c r="Y398" s="580"/>
      <c r="Z398" s="580"/>
      <c r="AA398" s="580"/>
      <c r="AB398" s="580"/>
    </row>
    <row r="399" ht="15.75" customHeight="1">
      <c r="A399" s="570"/>
      <c r="B399" s="570"/>
      <c r="C399" s="580"/>
      <c r="D399" s="580"/>
      <c r="E399" s="580"/>
      <c r="F399" s="580"/>
      <c r="G399" s="580"/>
      <c r="H399" s="580"/>
      <c r="I399" s="580"/>
      <c r="J399" s="580"/>
      <c r="K399" s="580"/>
      <c r="L399" s="580"/>
      <c r="M399" s="580"/>
      <c r="N399" s="580"/>
      <c r="O399" s="580"/>
      <c r="P399" s="580"/>
      <c r="Q399" s="580"/>
      <c r="R399" s="580"/>
      <c r="S399" s="580"/>
      <c r="T399" s="580"/>
      <c r="U399" s="580"/>
      <c r="V399" s="580"/>
      <c r="W399" s="580"/>
      <c r="X399" s="580"/>
      <c r="Y399" s="580"/>
      <c r="Z399" s="580"/>
      <c r="AA399" s="580"/>
      <c r="AB399" s="580"/>
    </row>
    <row r="400" ht="15.75" customHeight="1">
      <c r="A400" s="570"/>
      <c r="B400" s="570"/>
      <c r="C400" s="580"/>
      <c r="D400" s="580"/>
      <c r="E400" s="580"/>
      <c r="F400" s="580"/>
      <c r="G400" s="580"/>
      <c r="H400" s="580"/>
      <c r="I400" s="580"/>
      <c r="J400" s="580"/>
      <c r="K400" s="580"/>
      <c r="L400" s="580"/>
      <c r="M400" s="580"/>
      <c r="N400" s="580"/>
      <c r="O400" s="580"/>
      <c r="P400" s="580"/>
      <c r="Q400" s="580"/>
      <c r="R400" s="580"/>
      <c r="S400" s="580"/>
      <c r="T400" s="580"/>
      <c r="U400" s="580"/>
      <c r="V400" s="580"/>
      <c r="W400" s="580"/>
      <c r="X400" s="580"/>
      <c r="Y400" s="580"/>
      <c r="Z400" s="580"/>
      <c r="AA400" s="580"/>
      <c r="AB400" s="580"/>
    </row>
    <row r="401" ht="15.75" customHeight="1">
      <c r="A401" s="570"/>
      <c r="B401" s="570"/>
      <c r="C401" s="580"/>
      <c r="D401" s="580"/>
      <c r="E401" s="580"/>
      <c r="F401" s="580"/>
      <c r="G401" s="580"/>
      <c r="H401" s="580"/>
      <c r="I401" s="580"/>
      <c r="J401" s="580"/>
      <c r="K401" s="580"/>
      <c r="L401" s="580"/>
      <c r="M401" s="580"/>
      <c r="N401" s="580"/>
      <c r="O401" s="580"/>
      <c r="P401" s="580"/>
      <c r="Q401" s="580"/>
      <c r="R401" s="580"/>
      <c r="S401" s="580"/>
      <c r="T401" s="580"/>
      <c r="U401" s="580"/>
      <c r="V401" s="580"/>
      <c r="W401" s="580"/>
      <c r="X401" s="580"/>
      <c r="Y401" s="580"/>
      <c r="Z401" s="580"/>
      <c r="AA401" s="580"/>
      <c r="AB401" s="580"/>
    </row>
    <row r="402" ht="15.75" customHeight="1">
      <c r="A402" s="570"/>
      <c r="B402" s="570"/>
      <c r="C402" s="580"/>
      <c r="D402" s="580"/>
      <c r="E402" s="580"/>
      <c r="F402" s="580"/>
      <c r="G402" s="580"/>
      <c r="H402" s="580"/>
      <c r="I402" s="580"/>
      <c r="J402" s="580"/>
      <c r="K402" s="580"/>
      <c r="L402" s="580"/>
      <c r="M402" s="580"/>
      <c r="N402" s="580"/>
      <c r="O402" s="580"/>
      <c r="P402" s="580"/>
      <c r="Q402" s="580"/>
      <c r="R402" s="580"/>
      <c r="S402" s="580"/>
      <c r="T402" s="580"/>
      <c r="U402" s="580"/>
      <c r="V402" s="580"/>
      <c r="W402" s="580"/>
      <c r="X402" s="580"/>
      <c r="Y402" s="580"/>
      <c r="Z402" s="580"/>
      <c r="AA402" s="580"/>
      <c r="AB402" s="580"/>
    </row>
    <row r="403" ht="15.75" customHeight="1">
      <c r="A403" s="570"/>
      <c r="B403" s="570"/>
      <c r="C403" s="580"/>
      <c r="D403" s="580"/>
      <c r="E403" s="580"/>
      <c r="F403" s="580"/>
      <c r="G403" s="580"/>
      <c r="H403" s="580"/>
      <c r="I403" s="580"/>
      <c r="J403" s="580"/>
      <c r="K403" s="580"/>
      <c r="L403" s="580"/>
      <c r="M403" s="580"/>
      <c r="N403" s="580"/>
      <c r="O403" s="580"/>
      <c r="P403" s="580"/>
      <c r="Q403" s="580"/>
      <c r="R403" s="580"/>
      <c r="S403" s="580"/>
      <c r="T403" s="580"/>
      <c r="U403" s="580"/>
      <c r="V403" s="580"/>
      <c r="W403" s="580"/>
      <c r="X403" s="580"/>
      <c r="Y403" s="580"/>
      <c r="Z403" s="580"/>
      <c r="AA403" s="580"/>
      <c r="AB403" s="580"/>
    </row>
    <row r="404" ht="15.75" customHeight="1">
      <c r="A404" s="570"/>
      <c r="B404" s="570"/>
      <c r="C404" s="580"/>
      <c r="D404" s="580"/>
      <c r="E404" s="580"/>
      <c r="F404" s="580"/>
      <c r="G404" s="580"/>
      <c r="H404" s="580"/>
      <c r="I404" s="580"/>
      <c r="J404" s="580"/>
      <c r="K404" s="580"/>
      <c r="L404" s="580"/>
      <c r="M404" s="580"/>
      <c r="N404" s="580"/>
      <c r="O404" s="580"/>
      <c r="P404" s="580"/>
      <c r="Q404" s="580"/>
      <c r="R404" s="580"/>
      <c r="S404" s="580"/>
      <c r="T404" s="580"/>
      <c r="U404" s="580"/>
      <c r="V404" s="580"/>
      <c r="W404" s="580"/>
      <c r="X404" s="580"/>
      <c r="Y404" s="580"/>
      <c r="Z404" s="580"/>
      <c r="AA404" s="580"/>
      <c r="AB404" s="580"/>
    </row>
    <row r="405" ht="15.75" customHeight="1">
      <c r="A405" s="570"/>
      <c r="B405" s="570"/>
      <c r="C405" s="580"/>
      <c r="D405" s="580"/>
      <c r="E405" s="580"/>
      <c r="F405" s="580"/>
      <c r="G405" s="580"/>
      <c r="H405" s="580"/>
      <c r="I405" s="580"/>
      <c r="J405" s="580"/>
      <c r="K405" s="580"/>
      <c r="L405" s="580"/>
      <c r="M405" s="580"/>
      <c r="N405" s="580"/>
      <c r="O405" s="580"/>
      <c r="P405" s="580"/>
      <c r="Q405" s="580"/>
      <c r="R405" s="580"/>
      <c r="S405" s="580"/>
      <c r="T405" s="580"/>
      <c r="U405" s="580"/>
      <c r="V405" s="580"/>
      <c r="W405" s="580"/>
      <c r="X405" s="580"/>
      <c r="Y405" s="580"/>
      <c r="Z405" s="580"/>
      <c r="AA405" s="580"/>
      <c r="AB405" s="580"/>
    </row>
    <row r="406" ht="15.75" customHeight="1">
      <c r="A406" s="570"/>
      <c r="B406" s="570"/>
      <c r="C406" s="580"/>
      <c r="D406" s="580"/>
      <c r="E406" s="580"/>
      <c r="F406" s="580"/>
      <c r="G406" s="580"/>
      <c r="H406" s="580"/>
      <c r="I406" s="580"/>
      <c r="J406" s="580"/>
      <c r="K406" s="580"/>
      <c r="L406" s="580"/>
      <c r="M406" s="580"/>
      <c r="N406" s="580"/>
      <c r="O406" s="580"/>
      <c r="P406" s="580"/>
      <c r="Q406" s="580"/>
      <c r="R406" s="580"/>
      <c r="S406" s="580"/>
      <c r="T406" s="580"/>
      <c r="U406" s="580"/>
      <c r="V406" s="580"/>
      <c r="W406" s="580"/>
      <c r="X406" s="580"/>
      <c r="Y406" s="580"/>
      <c r="Z406" s="580"/>
      <c r="AA406" s="580"/>
      <c r="AB406" s="580"/>
    </row>
    <row r="407" ht="15.75" customHeight="1">
      <c r="A407" s="570"/>
      <c r="B407" s="570"/>
      <c r="C407" s="580"/>
      <c r="D407" s="580"/>
      <c r="E407" s="580"/>
      <c r="F407" s="580"/>
      <c r="G407" s="580"/>
      <c r="H407" s="580"/>
      <c r="I407" s="580"/>
      <c r="J407" s="580"/>
      <c r="K407" s="580"/>
      <c r="L407" s="580"/>
      <c r="M407" s="580"/>
      <c r="N407" s="580"/>
      <c r="O407" s="580"/>
      <c r="P407" s="580"/>
      <c r="Q407" s="580"/>
      <c r="R407" s="580"/>
      <c r="S407" s="580"/>
      <c r="T407" s="580"/>
      <c r="U407" s="580"/>
      <c r="V407" s="580"/>
      <c r="W407" s="580"/>
      <c r="X407" s="580"/>
      <c r="Y407" s="580"/>
      <c r="Z407" s="580"/>
      <c r="AA407" s="580"/>
      <c r="AB407" s="580"/>
    </row>
    <row r="408" ht="15.75" customHeight="1">
      <c r="A408" s="570"/>
      <c r="B408" s="570"/>
      <c r="C408" s="580"/>
      <c r="D408" s="580"/>
      <c r="E408" s="580"/>
      <c r="F408" s="580"/>
      <c r="G408" s="580"/>
      <c r="H408" s="580"/>
      <c r="I408" s="580"/>
      <c r="J408" s="580"/>
      <c r="K408" s="580"/>
      <c r="L408" s="580"/>
      <c r="M408" s="580"/>
      <c r="N408" s="580"/>
      <c r="O408" s="580"/>
      <c r="P408" s="580"/>
      <c r="Q408" s="580"/>
      <c r="R408" s="580"/>
      <c r="S408" s="580"/>
      <c r="T408" s="580"/>
      <c r="U408" s="580"/>
      <c r="V408" s="580"/>
      <c r="W408" s="580"/>
      <c r="X408" s="580"/>
      <c r="Y408" s="580"/>
      <c r="Z408" s="580"/>
      <c r="AA408" s="580"/>
      <c r="AB408" s="580"/>
    </row>
    <row r="409" ht="15.75" customHeight="1">
      <c r="A409" s="570"/>
      <c r="B409" s="570"/>
      <c r="C409" s="580"/>
      <c r="D409" s="580"/>
      <c r="E409" s="580"/>
      <c r="F409" s="580"/>
      <c r="G409" s="580"/>
      <c r="H409" s="580"/>
      <c r="I409" s="580"/>
      <c r="J409" s="580"/>
      <c r="K409" s="580"/>
      <c r="L409" s="580"/>
      <c r="M409" s="580"/>
      <c r="N409" s="580"/>
      <c r="O409" s="580"/>
      <c r="P409" s="580"/>
      <c r="Q409" s="580"/>
      <c r="R409" s="580"/>
      <c r="S409" s="580"/>
      <c r="T409" s="580"/>
      <c r="U409" s="580"/>
      <c r="V409" s="580"/>
      <c r="W409" s="580"/>
      <c r="X409" s="580"/>
      <c r="Y409" s="580"/>
      <c r="Z409" s="580"/>
      <c r="AA409" s="580"/>
      <c r="AB409" s="580"/>
    </row>
    <row r="410" ht="15.75" customHeight="1">
      <c r="A410" s="570"/>
      <c r="B410" s="570"/>
      <c r="C410" s="580"/>
      <c r="D410" s="580"/>
      <c r="E410" s="580"/>
      <c r="F410" s="580"/>
      <c r="G410" s="580"/>
      <c r="H410" s="580"/>
      <c r="I410" s="580"/>
      <c r="J410" s="580"/>
      <c r="K410" s="580"/>
      <c r="L410" s="580"/>
      <c r="M410" s="580"/>
      <c r="N410" s="580"/>
      <c r="O410" s="580"/>
      <c r="P410" s="580"/>
      <c r="Q410" s="580"/>
      <c r="R410" s="580"/>
      <c r="S410" s="580"/>
      <c r="T410" s="580"/>
      <c r="U410" s="580"/>
      <c r="V410" s="580"/>
      <c r="W410" s="580"/>
      <c r="X410" s="580"/>
      <c r="Y410" s="580"/>
      <c r="Z410" s="580"/>
      <c r="AA410" s="580"/>
      <c r="AB410" s="580"/>
    </row>
    <row r="411" ht="15.75" customHeight="1">
      <c r="A411" s="570"/>
      <c r="B411" s="570"/>
      <c r="C411" s="580"/>
      <c r="D411" s="580"/>
      <c r="E411" s="580"/>
      <c r="F411" s="580"/>
      <c r="G411" s="580"/>
      <c r="H411" s="580"/>
      <c r="I411" s="580"/>
      <c r="J411" s="580"/>
      <c r="K411" s="580"/>
      <c r="L411" s="580"/>
      <c r="M411" s="580"/>
      <c r="N411" s="580"/>
      <c r="O411" s="580"/>
      <c r="P411" s="580"/>
      <c r="Q411" s="580"/>
      <c r="R411" s="580"/>
      <c r="S411" s="580"/>
      <c r="T411" s="580"/>
      <c r="U411" s="580"/>
      <c r="V411" s="580"/>
      <c r="W411" s="580"/>
      <c r="X411" s="580"/>
      <c r="Y411" s="580"/>
      <c r="Z411" s="580"/>
      <c r="AA411" s="580"/>
      <c r="AB411" s="580"/>
    </row>
    <row r="412" ht="15.75" customHeight="1">
      <c r="A412" s="570"/>
      <c r="B412" s="570"/>
      <c r="C412" s="580"/>
      <c r="D412" s="580"/>
      <c r="E412" s="580"/>
      <c r="F412" s="580"/>
      <c r="G412" s="580"/>
      <c r="H412" s="580"/>
      <c r="I412" s="580"/>
      <c r="J412" s="580"/>
      <c r="K412" s="580"/>
      <c r="L412" s="580"/>
      <c r="M412" s="580"/>
      <c r="N412" s="580"/>
      <c r="O412" s="580"/>
      <c r="P412" s="580"/>
      <c r="Q412" s="580"/>
      <c r="R412" s="580"/>
      <c r="S412" s="580"/>
      <c r="T412" s="580"/>
      <c r="U412" s="580"/>
      <c r="V412" s="580"/>
      <c r="W412" s="580"/>
      <c r="X412" s="580"/>
      <c r="Y412" s="580"/>
      <c r="Z412" s="580"/>
      <c r="AA412" s="580"/>
      <c r="AB412" s="580"/>
    </row>
    <row r="413" ht="15.75" customHeight="1">
      <c r="A413" s="570"/>
      <c r="B413" s="570"/>
      <c r="C413" s="580"/>
      <c r="D413" s="580"/>
      <c r="E413" s="580"/>
      <c r="F413" s="580"/>
      <c r="G413" s="580"/>
      <c r="H413" s="580"/>
      <c r="I413" s="580"/>
      <c r="J413" s="580"/>
      <c r="K413" s="580"/>
      <c r="L413" s="580"/>
      <c r="M413" s="580"/>
      <c r="N413" s="580"/>
      <c r="O413" s="580"/>
      <c r="P413" s="580"/>
      <c r="Q413" s="580"/>
      <c r="R413" s="580"/>
      <c r="S413" s="580"/>
      <c r="T413" s="580"/>
      <c r="U413" s="580"/>
      <c r="V413" s="580"/>
      <c r="W413" s="580"/>
      <c r="X413" s="580"/>
      <c r="Y413" s="580"/>
      <c r="Z413" s="580"/>
      <c r="AA413" s="580"/>
      <c r="AB413" s="580"/>
    </row>
    <row r="414" ht="15.75" customHeight="1">
      <c r="A414" s="570"/>
      <c r="B414" s="570"/>
      <c r="C414" s="580"/>
      <c r="D414" s="580"/>
      <c r="E414" s="580"/>
      <c r="F414" s="580"/>
      <c r="G414" s="580"/>
      <c r="H414" s="580"/>
      <c r="I414" s="580"/>
      <c r="J414" s="580"/>
      <c r="K414" s="580"/>
      <c r="L414" s="580"/>
      <c r="M414" s="580"/>
      <c r="N414" s="580"/>
      <c r="O414" s="580"/>
      <c r="P414" s="580"/>
      <c r="Q414" s="580"/>
      <c r="R414" s="580"/>
      <c r="S414" s="580"/>
      <c r="T414" s="580"/>
      <c r="U414" s="580"/>
      <c r="V414" s="580"/>
      <c r="W414" s="580"/>
      <c r="X414" s="580"/>
      <c r="Y414" s="580"/>
      <c r="Z414" s="580"/>
      <c r="AA414" s="580"/>
      <c r="AB414" s="580"/>
    </row>
    <row r="415" ht="15.75" customHeight="1">
      <c r="A415" s="570"/>
      <c r="B415" s="570"/>
      <c r="C415" s="580"/>
      <c r="D415" s="580"/>
      <c r="E415" s="580"/>
      <c r="F415" s="580"/>
      <c r="G415" s="580"/>
      <c r="H415" s="580"/>
      <c r="I415" s="580"/>
      <c r="J415" s="580"/>
      <c r="K415" s="580"/>
      <c r="L415" s="580"/>
      <c r="M415" s="580"/>
      <c r="N415" s="580"/>
      <c r="O415" s="580"/>
      <c r="P415" s="580"/>
      <c r="Q415" s="580"/>
      <c r="R415" s="580"/>
      <c r="S415" s="580"/>
      <c r="T415" s="580"/>
      <c r="U415" s="580"/>
      <c r="V415" s="580"/>
      <c r="W415" s="580"/>
      <c r="X415" s="580"/>
      <c r="Y415" s="580"/>
      <c r="Z415" s="580"/>
      <c r="AA415" s="580"/>
      <c r="AB415" s="580"/>
    </row>
    <row r="416" ht="15.75" customHeight="1">
      <c r="A416" s="570"/>
      <c r="B416" s="570"/>
      <c r="C416" s="580"/>
      <c r="D416" s="580"/>
      <c r="E416" s="580"/>
      <c r="F416" s="580"/>
      <c r="G416" s="580"/>
      <c r="H416" s="580"/>
      <c r="I416" s="580"/>
      <c r="J416" s="580"/>
      <c r="K416" s="580"/>
      <c r="L416" s="580"/>
      <c r="M416" s="580"/>
      <c r="N416" s="580"/>
      <c r="O416" s="580"/>
      <c r="P416" s="580"/>
      <c r="Q416" s="580"/>
      <c r="R416" s="580"/>
      <c r="S416" s="580"/>
      <c r="T416" s="580"/>
      <c r="U416" s="580"/>
      <c r="V416" s="580"/>
      <c r="W416" s="580"/>
      <c r="X416" s="580"/>
      <c r="Y416" s="580"/>
      <c r="Z416" s="580"/>
      <c r="AA416" s="580"/>
      <c r="AB416" s="580"/>
    </row>
    <row r="417" ht="15.75" customHeight="1">
      <c r="A417" s="570"/>
      <c r="B417" s="570"/>
      <c r="C417" s="580"/>
      <c r="D417" s="580"/>
      <c r="E417" s="580"/>
      <c r="F417" s="580"/>
      <c r="G417" s="580"/>
      <c r="H417" s="580"/>
      <c r="I417" s="580"/>
      <c r="J417" s="580"/>
      <c r="K417" s="580"/>
      <c r="L417" s="580"/>
      <c r="M417" s="580"/>
      <c r="N417" s="580"/>
      <c r="O417" s="580"/>
      <c r="P417" s="580"/>
      <c r="Q417" s="580"/>
      <c r="R417" s="580"/>
      <c r="S417" s="580"/>
      <c r="T417" s="580"/>
      <c r="U417" s="580"/>
      <c r="V417" s="580"/>
      <c r="W417" s="580"/>
      <c r="X417" s="580"/>
      <c r="Y417" s="580"/>
      <c r="Z417" s="580"/>
      <c r="AA417" s="580"/>
      <c r="AB417" s="580"/>
    </row>
    <row r="418" ht="15.75" customHeight="1">
      <c r="A418" s="570"/>
      <c r="B418" s="570"/>
      <c r="C418" s="580"/>
      <c r="D418" s="580"/>
      <c r="E418" s="580"/>
      <c r="F418" s="580"/>
      <c r="G418" s="580"/>
      <c r="H418" s="580"/>
      <c r="I418" s="580"/>
      <c r="J418" s="580"/>
      <c r="K418" s="580"/>
      <c r="L418" s="580"/>
      <c r="M418" s="580"/>
      <c r="N418" s="580"/>
      <c r="O418" s="580"/>
      <c r="P418" s="580"/>
      <c r="Q418" s="580"/>
      <c r="R418" s="580"/>
      <c r="S418" s="580"/>
      <c r="T418" s="580"/>
      <c r="U418" s="580"/>
      <c r="V418" s="580"/>
      <c r="W418" s="580"/>
      <c r="X418" s="580"/>
      <c r="Y418" s="580"/>
      <c r="Z418" s="580"/>
      <c r="AA418" s="580"/>
      <c r="AB418" s="580"/>
    </row>
    <row r="419" ht="15.75" customHeight="1">
      <c r="A419" s="570"/>
      <c r="B419" s="570"/>
      <c r="C419" s="580"/>
      <c r="D419" s="580"/>
      <c r="E419" s="580"/>
      <c r="F419" s="580"/>
      <c r="G419" s="580"/>
      <c r="H419" s="580"/>
      <c r="I419" s="580"/>
      <c r="J419" s="580"/>
      <c r="K419" s="580"/>
      <c r="L419" s="580"/>
      <c r="M419" s="580"/>
      <c r="N419" s="580"/>
      <c r="O419" s="580"/>
      <c r="P419" s="580"/>
      <c r="Q419" s="580"/>
      <c r="R419" s="580"/>
      <c r="S419" s="580"/>
      <c r="T419" s="580"/>
      <c r="U419" s="580"/>
      <c r="V419" s="580"/>
      <c r="W419" s="580"/>
      <c r="X419" s="580"/>
      <c r="Y419" s="580"/>
      <c r="Z419" s="580"/>
      <c r="AA419" s="580"/>
      <c r="AB419" s="580"/>
    </row>
    <row r="420" ht="15.75" customHeight="1">
      <c r="A420" s="570"/>
      <c r="B420" s="570"/>
      <c r="C420" s="580"/>
      <c r="D420" s="580"/>
      <c r="E420" s="580"/>
      <c r="F420" s="580"/>
      <c r="G420" s="580"/>
      <c r="H420" s="580"/>
      <c r="I420" s="580"/>
      <c r="J420" s="580"/>
      <c r="K420" s="580"/>
      <c r="L420" s="580"/>
      <c r="M420" s="580"/>
      <c r="N420" s="580"/>
      <c r="O420" s="580"/>
      <c r="P420" s="580"/>
      <c r="Q420" s="580"/>
      <c r="R420" s="580"/>
      <c r="S420" s="580"/>
      <c r="T420" s="580"/>
      <c r="U420" s="580"/>
      <c r="V420" s="580"/>
      <c r="W420" s="580"/>
      <c r="X420" s="580"/>
      <c r="Y420" s="580"/>
      <c r="Z420" s="580"/>
      <c r="AA420" s="580"/>
      <c r="AB420" s="580"/>
    </row>
    <row r="421" ht="15.75" customHeight="1">
      <c r="A421" s="570"/>
      <c r="B421" s="570"/>
      <c r="C421" s="580"/>
      <c r="D421" s="580"/>
      <c r="E421" s="580"/>
      <c r="F421" s="580"/>
      <c r="G421" s="580"/>
      <c r="H421" s="580"/>
      <c r="I421" s="580"/>
      <c r="J421" s="580"/>
      <c r="K421" s="580"/>
      <c r="L421" s="580"/>
      <c r="M421" s="580"/>
      <c r="N421" s="580"/>
      <c r="O421" s="580"/>
      <c r="P421" s="580"/>
      <c r="Q421" s="580"/>
      <c r="R421" s="580"/>
      <c r="S421" s="580"/>
      <c r="T421" s="580"/>
      <c r="U421" s="580"/>
      <c r="V421" s="580"/>
      <c r="W421" s="580"/>
      <c r="X421" s="580"/>
      <c r="Y421" s="580"/>
      <c r="Z421" s="580"/>
      <c r="AA421" s="580"/>
      <c r="AB421" s="580"/>
    </row>
    <row r="422" ht="15.75" customHeight="1">
      <c r="A422" s="570"/>
      <c r="B422" s="570"/>
      <c r="C422" s="580"/>
      <c r="D422" s="580"/>
      <c r="E422" s="580"/>
      <c r="F422" s="580"/>
      <c r="G422" s="580"/>
      <c r="H422" s="580"/>
      <c r="I422" s="580"/>
      <c r="J422" s="580"/>
      <c r="K422" s="580"/>
      <c r="L422" s="580"/>
      <c r="M422" s="580"/>
      <c r="N422" s="580"/>
      <c r="O422" s="580"/>
      <c r="P422" s="580"/>
      <c r="Q422" s="580"/>
      <c r="R422" s="580"/>
      <c r="S422" s="580"/>
      <c r="T422" s="580"/>
      <c r="U422" s="580"/>
      <c r="V422" s="580"/>
      <c r="W422" s="580"/>
      <c r="X422" s="580"/>
      <c r="Y422" s="580"/>
      <c r="Z422" s="580"/>
      <c r="AA422" s="580"/>
      <c r="AB422" s="580"/>
    </row>
    <row r="423" ht="15.75" customHeight="1">
      <c r="A423" s="570"/>
      <c r="B423" s="570"/>
      <c r="C423" s="580"/>
      <c r="D423" s="580"/>
      <c r="E423" s="580"/>
      <c r="F423" s="580"/>
      <c r="G423" s="580"/>
      <c r="H423" s="580"/>
      <c r="I423" s="580"/>
      <c r="J423" s="580"/>
      <c r="K423" s="580"/>
      <c r="L423" s="580"/>
      <c r="M423" s="580"/>
      <c r="N423" s="580"/>
      <c r="O423" s="580"/>
      <c r="P423" s="580"/>
      <c r="Q423" s="580"/>
      <c r="R423" s="580"/>
      <c r="S423" s="580"/>
      <c r="T423" s="580"/>
      <c r="U423" s="580"/>
      <c r="V423" s="580"/>
      <c r="W423" s="580"/>
      <c r="X423" s="580"/>
      <c r="Y423" s="580"/>
      <c r="Z423" s="580"/>
      <c r="AA423" s="580"/>
      <c r="AB423" s="580"/>
    </row>
    <row r="424" ht="15.75" customHeight="1">
      <c r="A424" s="570"/>
      <c r="B424" s="570"/>
      <c r="C424" s="580"/>
      <c r="D424" s="580"/>
      <c r="E424" s="580"/>
      <c r="F424" s="580"/>
      <c r="G424" s="580"/>
      <c r="H424" s="580"/>
      <c r="I424" s="580"/>
      <c r="J424" s="580"/>
      <c r="K424" s="580"/>
      <c r="L424" s="580"/>
      <c r="M424" s="580"/>
      <c r="N424" s="580"/>
      <c r="O424" s="580"/>
      <c r="P424" s="580"/>
      <c r="Q424" s="580"/>
      <c r="R424" s="580"/>
      <c r="S424" s="580"/>
      <c r="T424" s="580"/>
      <c r="U424" s="580"/>
      <c r="V424" s="580"/>
      <c r="W424" s="580"/>
      <c r="X424" s="580"/>
      <c r="Y424" s="580"/>
      <c r="Z424" s="580"/>
      <c r="AA424" s="580"/>
      <c r="AB424" s="580"/>
    </row>
    <row r="425" ht="15.75" customHeight="1">
      <c r="A425" s="570"/>
      <c r="B425" s="570"/>
      <c r="C425" s="580"/>
      <c r="D425" s="580"/>
      <c r="E425" s="580"/>
      <c r="F425" s="580"/>
      <c r="G425" s="580"/>
      <c r="H425" s="580"/>
      <c r="I425" s="580"/>
      <c r="J425" s="580"/>
      <c r="K425" s="580"/>
      <c r="L425" s="580"/>
      <c r="M425" s="580"/>
      <c r="N425" s="580"/>
      <c r="O425" s="580"/>
      <c r="P425" s="580"/>
      <c r="Q425" s="580"/>
      <c r="R425" s="580"/>
      <c r="S425" s="580"/>
      <c r="T425" s="580"/>
      <c r="U425" s="580"/>
      <c r="V425" s="580"/>
      <c r="W425" s="580"/>
      <c r="X425" s="580"/>
      <c r="Y425" s="580"/>
      <c r="Z425" s="580"/>
      <c r="AA425" s="580"/>
      <c r="AB425" s="580"/>
    </row>
    <row r="426" ht="15.75" customHeight="1">
      <c r="A426" s="570"/>
      <c r="B426" s="570"/>
      <c r="C426" s="580"/>
      <c r="D426" s="580"/>
      <c r="E426" s="580"/>
      <c r="F426" s="580"/>
      <c r="G426" s="580"/>
      <c r="H426" s="580"/>
      <c r="I426" s="580"/>
      <c r="J426" s="580"/>
      <c r="K426" s="580"/>
      <c r="L426" s="580"/>
      <c r="M426" s="580"/>
      <c r="N426" s="580"/>
      <c r="O426" s="580"/>
      <c r="P426" s="580"/>
      <c r="Q426" s="580"/>
      <c r="R426" s="580"/>
      <c r="S426" s="580"/>
      <c r="T426" s="580"/>
      <c r="U426" s="580"/>
      <c r="V426" s="580"/>
      <c r="W426" s="580"/>
      <c r="X426" s="580"/>
      <c r="Y426" s="580"/>
      <c r="Z426" s="580"/>
      <c r="AA426" s="580"/>
      <c r="AB426" s="580"/>
    </row>
    <row r="427" ht="15.75" customHeight="1">
      <c r="A427" s="570"/>
      <c r="B427" s="570"/>
      <c r="C427" s="580"/>
      <c r="D427" s="580"/>
      <c r="E427" s="580"/>
      <c r="F427" s="580"/>
      <c r="G427" s="580"/>
      <c r="H427" s="580"/>
      <c r="I427" s="580"/>
      <c r="J427" s="580"/>
      <c r="K427" s="580"/>
      <c r="L427" s="580"/>
      <c r="M427" s="580"/>
      <c r="N427" s="580"/>
      <c r="O427" s="580"/>
      <c r="P427" s="580"/>
      <c r="Q427" s="580"/>
      <c r="R427" s="580"/>
      <c r="S427" s="580"/>
      <c r="T427" s="580"/>
      <c r="U427" s="580"/>
      <c r="V427" s="580"/>
      <c r="W427" s="580"/>
      <c r="X427" s="580"/>
      <c r="Y427" s="580"/>
      <c r="Z427" s="580"/>
      <c r="AA427" s="580"/>
      <c r="AB427" s="580"/>
    </row>
    <row r="428" ht="15.75" customHeight="1">
      <c r="A428" s="570"/>
      <c r="B428" s="570"/>
      <c r="C428" s="580"/>
      <c r="D428" s="580"/>
      <c r="E428" s="580"/>
      <c r="F428" s="580"/>
      <c r="G428" s="580"/>
      <c r="H428" s="580"/>
      <c r="I428" s="580"/>
      <c r="J428" s="580"/>
      <c r="K428" s="580"/>
      <c r="L428" s="580"/>
      <c r="M428" s="580"/>
      <c r="N428" s="580"/>
      <c r="O428" s="580"/>
      <c r="P428" s="580"/>
      <c r="Q428" s="580"/>
      <c r="R428" s="580"/>
      <c r="S428" s="580"/>
      <c r="T428" s="580"/>
      <c r="U428" s="580"/>
      <c r="V428" s="580"/>
      <c r="W428" s="580"/>
      <c r="X428" s="580"/>
      <c r="Y428" s="580"/>
      <c r="Z428" s="580"/>
      <c r="AA428" s="580"/>
      <c r="AB428" s="580"/>
    </row>
    <row r="429" ht="15.75" customHeight="1">
      <c r="A429" s="570"/>
      <c r="B429" s="570"/>
      <c r="C429" s="580"/>
      <c r="D429" s="580"/>
      <c r="E429" s="580"/>
      <c r="F429" s="580"/>
      <c r="G429" s="580"/>
      <c r="H429" s="580"/>
      <c r="I429" s="580"/>
      <c r="J429" s="580"/>
      <c r="K429" s="580"/>
      <c r="L429" s="580"/>
      <c r="M429" s="580"/>
      <c r="N429" s="580"/>
      <c r="O429" s="580"/>
      <c r="P429" s="580"/>
      <c r="Q429" s="580"/>
      <c r="R429" s="580"/>
      <c r="S429" s="580"/>
      <c r="T429" s="580"/>
      <c r="U429" s="580"/>
      <c r="V429" s="580"/>
      <c r="W429" s="580"/>
      <c r="X429" s="580"/>
      <c r="Y429" s="580"/>
      <c r="Z429" s="580"/>
      <c r="AA429" s="580"/>
      <c r="AB429" s="580"/>
    </row>
    <row r="430" ht="15.75" customHeight="1">
      <c r="A430" s="570"/>
      <c r="B430" s="570"/>
      <c r="C430" s="580"/>
      <c r="D430" s="580"/>
      <c r="E430" s="580"/>
      <c r="F430" s="580"/>
      <c r="G430" s="580"/>
      <c r="H430" s="580"/>
      <c r="I430" s="580"/>
      <c r="J430" s="580"/>
      <c r="K430" s="580"/>
      <c r="L430" s="580"/>
      <c r="M430" s="580"/>
      <c r="N430" s="580"/>
      <c r="O430" s="580"/>
      <c r="P430" s="580"/>
      <c r="Q430" s="580"/>
      <c r="R430" s="580"/>
      <c r="S430" s="580"/>
      <c r="T430" s="580"/>
      <c r="U430" s="580"/>
      <c r="V430" s="580"/>
      <c r="W430" s="580"/>
      <c r="X430" s="580"/>
      <c r="Y430" s="580"/>
      <c r="Z430" s="580"/>
      <c r="AA430" s="580"/>
      <c r="AB430" s="580"/>
    </row>
    <row r="431" ht="15.75" customHeight="1">
      <c r="A431" s="570"/>
      <c r="B431" s="570"/>
      <c r="C431" s="580"/>
      <c r="D431" s="580"/>
      <c r="E431" s="580"/>
      <c r="F431" s="580"/>
      <c r="G431" s="580"/>
      <c r="H431" s="580"/>
      <c r="I431" s="580"/>
      <c r="J431" s="580"/>
      <c r="K431" s="580"/>
      <c r="L431" s="580"/>
      <c r="M431" s="580"/>
      <c r="N431" s="580"/>
      <c r="O431" s="580"/>
      <c r="P431" s="580"/>
      <c r="Q431" s="580"/>
      <c r="R431" s="580"/>
      <c r="S431" s="580"/>
      <c r="T431" s="580"/>
      <c r="U431" s="580"/>
      <c r="V431" s="580"/>
      <c r="W431" s="580"/>
      <c r="X431" s="580"/>
      <c r="Y431" s="580"/>
      <c r="Z431" s="580"/>
      <c r="AA431" s="580"/>
      <c r="AB431" s="580"/>
    </row>
    <row r="432" ht="15.75" customHeight="1">
      <c r="A432" s="570"/>
      <c r="B432" s="570"/>
      <c r="C432" s="580"/>
      <c r="D432" s="580"/>
      <c r="E432" s="580"/>
      <c r="F432" s="580"/>
      <c r="G432" s="580"/>
      <c r="H432" s="580"/>
      <c r="I432" s="580"/>
      <c r="J432" s="580"/>
      <c r="K432" s="580"/>
      <c r="L432" s="580"/>
      <c r="M432" s="580"/>
      <c r="N432" s="580"/>
      <c r="O432" s="580"/>
      <c r="P432" s="580"/>
      <c r="Q432" s="580"/>
      <c r="R432" s="580"/>
      <c r="S432" s="580"/>
      <c r="T432" s="580"/>
      <c r="U432" s="580"/>
      <c r="V432" s="580"/>
      <c r="W432" s="580"/>
      <c r="X432" s="580"/>
      <c r="Y432" s="580"/>
      <c r="Z432" s="580"/>
      <c r="AA432" s="580"/>
      <c r="AB432" s="580"/>
    </row>
    <row r="433" ht="15.75" customHeight="1">
      <c r="A433" s="570"/>
      <c r="B433" s="570"/>
      <c r="C433" s="580"/>
      <c r="D433" s="580"/>
      <c r="E433" s="580"/>
      <c r="F433" s="580"/>
      <c r="G433" s="580"/>
      <c r="H433" s="580"/>
      <c r="I433" s="580"/>
      <c r="J433" s="580"/>
      <c r="K433" s="580"/>
      <c r="L433" s="580"/>
      <c r="M433" s="580"/>
      <c r="N433" s="580"/>
      <c r="O433" s="580"/>
      <c r="P433" s="580"/>
      <c r="Q433" s="580"/>
      <c r="R433" s="580"/>
      <c r="S433" s="580"/>
      <c r="T433" s="580"/>
      <c r="U433" s="580"/>
      <c r="V433" s="580"/>
      <c r="W433" s="580"/>
      <c r="X433" s="580"/>
      <c r="Y433" s="580"/>
      <c r="Z433" s="580"/>
      <c r="AA433" s="580"/>
      <c r="AB433" s="580"/>
    </row>
    <row r="434" ht="15.75" customHeight="1">
      <c r="A434" s="570"/>
      <c r="B434" s="570"/>
      <c r="C434" s="580"/>
      <c r="D434" s="580"/>
      <c r="E434" s="580"/>
      <c r="F434" s="580"/>
      <c r="G434" s="580"/>
      <c r="H434" s="580"/>
      <c r="I434" s="580"/>
      <c r="J434" s="580"/>
      <c r="K434" s="580"/>
      <c r="L434" s="580"/>
      <c r="M434" s="580"/>
      <c r="N434" s="580"/>
      <c r="O434" s="580"/>
      <c r="P434" s="580"/>
      <c r="Q434" s="580"/>
      <c r="R434" s="580"/>
      <c r="S434" s="580"/>
      <c r="T434" s="580"/>
      <c r="U434" s="580"/>
      <c r="V434" s="580"/>
      <c r="W434" s="580"/>
      <c r="X434" s="580"/>
      <c r="Y434" s="580"/>
      <c r="Z434" s="580"/>
      <c r="AA434" s="580"/>
      <c r="AB434" s="580"/>
    </row>
    <row r="435" ht="15.75" customHeight="1">
      <c r="A435" s="570"/>
      <c r="B435" s="570"/>
      <c r="C435" s="580"/>
      <c r="D435" s="580"/>
      <c r="E435" s="580"/>
      <c r="F435" s="580"/>
      <c r="G435" s="580"/>
      <c r="H435" s="580"/>
      <c r="I435" s="580"/>
      <c r="J435" s="580"/>
      <c r="K435" s="580"/>
      <c r="L435" s="580"/>
      <c r="M435" s="580"/>
      <c r="N435" s="580"/>
      <c r="O435" s="580"/>
      <c r="P435" s="580"/>
      <c r="Q435" s="580"/>
      <c r="R435" s="580"/>
      <c r="S435" s="580"/>
      <c r="T435" s="580"/>
      <c r="U435" s="580"/>
      <c r="V435" s="580"/>
      <c r="W435" s="580"/>
      <c r="X435" s="580"/>
      <c r="Y435" s="580"/>
      <c r="Z435" s="580"/>
      <c r="AA435" s="580"/>
      <c r="AB435" s="580"/>
    </row>
    <row r="436" ht="15.75" customHeight="1">
      <c r="A436" s="570"/>
      <c r="B436" s="570"/>
      <c r="C436" s="580"/>
      <c r="D436" s="580"/>
      <c r="E436" s="580"/>
      <c r="F436" s="580"/>
      <c r="G436" s="580"/>
      <c r="H436" s="580"/>
      <c r="I436" s="580"/>
      <c r="J436" s="580"/>
      <c r="K436" s="580"/>
      <c r="L436" s="580"/>
      <c r="M436" s="580"/>
      <c r="N436" s="580"/>
      <c r="O436" s="580"/>
      <c r="P436" s="580"/>
      <c r="Q436" s="580"/>
      <c r="R436" s="580"/>
      <c r="S436" s="580"/>
      <c r="T436" s="580"/>
      <c r="U436" s="580"/>
      <c r="V436" s="580"/>
      <c r="W436" s="580"/>
      <c r="X436" s="580"/>
      <c r="Y436" s="580"/>
      <c r="Z436" s="580"/>
      <c r="AA436" s="580"/>
      <c r="AB436" s="580"/>
    </row>
    <row r="437" ht="15.75" customHeight="1">
      <c r="A437" s="570"/>
      <c r="B437" s="570"/>
      <c r="C437" s="580"/>
      <c r="D437" s="580"/>
      <c r="E437" s="580"/>
      <c r="F437" s="580"/>
      <c r="G437" s="580"/>
      <c r="H437" s="580"/>
      <c r="I437" s="580"/>
      <c r="J437" s="580"/>
      <c r="K437" s="580"/>
      <c r="L437" s="580"/>
      <c r="M437" s="580"/>
      <c r="N437" s="580"/>
      <c r="O437" s="580"/>
      <c r="P437" s="580"/>
      <c r="Q437" s="580"/>
      <c r="R437" s="580"/>
      <c r="S437" s="580"/>
      <c r="T437" s="580"/>
      <c r="U437" s="580"/>
      <c r="V437" s="580"/>
      <c r="W437" s="580"/>
      <c r="X437" s="580"/>
      <c r="Y437" s="580"/>
      <c r="Z437" s="580"/>
      <c r="AA437" s="580"/>
      <c r="AB437" s="580"/>
    </row>
    <row r="438" ht="15.75" customHeight="1">
      <c r="A438" s="570"/>
      <c r="B438" s="570"/>
      <c r="C438" s="580"/>
      <c r="D438" s="580"/>
      <c r="E438" s="580"/>
      <c r="F438" s="580"/>
      <c r="G438" s="580"/>
      <c r="H438" s="580"/>
      <c r="I438" s="580"/>
      <c r="J438" s="580"/>
      <c r="K438" s="580"/>
      <c r="L438" s="580"/>
      <c r="M438" s="580"/>
      <c r="N438" s="580"/>
      <c r="O438" s="580"/>
      <c r="P438" s="580"/>
      <c r="Q438" s="580"/>
      <c r="R438" s="580"/>
      <c r="S438" s="580"/>
      <c r="T438" s="580"/>
      <c r="U438" s="580"/>
      <c r="V438" s="580"/>
      <c r="W438" s="580"/>
      <c r="X438" s="580"/>
      <c r="Y438" s="580"/>
      <c r="Z438" s="580"/>
      <c r="AA438" s="580"/>
      <c r="AB438" s="580"/>
    </row>
    <row r="439" ht="15.75" customHeight="1">
      <c r="A439" s="570"/>
      <c r="B439" s="570"/>
      <c r="C439" s="580"/>
      <c r="D439" s="580"/>
      <c r="E439" s="580"/>
      <c r="F439" s="580"/>
      <c r="G439" s="580"/>
      <c r="H439" s="580"/>
      <c r="I439" s="580"/>
      <c r="J439" s="580"/>
      <c r="K439" s="580"/>
      <c r="L439" s="580"/>
      <c r="M439" s="580"/>
      <c r="N439" s="580"/>
      <c r="O439" s="580"/>
      <c r="P439" s="580"/>
      <c r="Q439" s="580"/>
      <c r="R439" s="580"/>
      <c r="S439" s="580"/>
      <c r="T439" s="580"/>
      <c r="U439" s="580"/>
      <c r="V439" s="580"/>
      <c r="W439" s="580"/>
      <c r="X439" s="580"/>
      <c r="Y439" s="580"/>
      <c r="Z439" s="580"/>
      <c r="AA439" s="580"/>
      <c r="AB439" s="580"/>
    </row>
    <row r="440" ht="15.75" customHeight="1">
      <c r="A440" s="570"/>
      <c r="B440" s="570"/>
      <c r="C440" s="580"/>
      <c r="D440" s="580"/>
      <c r="E440" s="580"/>
      <c r="F440" s="580"/>
      <c r="G440" s="580"/>
      <c r="H440" s="580"/>
      <c r="I440" s="580"/>
      <c r="J440" s="580"/>
      <c r="K440" s="580"/>
      <c r="L440" s="580"/>
      <c r="M440" s="580"/>
      <c r="N440" s="580"/>
      <c r="O440" s="580"/>
      <c r="P440" s="580"/>
      <c r="Q440" s="580"/>
      <c r="R440" s="580"/>
      <c r="S440" s="580"/>
      <c r="T440" s="580"/>
      <c r="U440" s="580"/>
      <c r="V440" s="580"/>
      <c r="W440" s="580"/>
      <c r="X440" s="580"/>
      <c r="Y440" s="580"/>
      <c r="Z440" s="580"/>
      <c r="AA440" s="580"/>
      <c r="AB440" s="580"/>
    </row>
    <row r="441" ht="15.75" customHeight="1">
      <c r="A441" s="570"/>
      <c r="B441" s="570"/>
      <c r="C441" s="580"/>
      <c r="D441" s="580"/>
      <c r="E441" s="580"/>
      <c r="F441" s="580"/>
      <c r="G441" s="580"/>
      <c r="H441" s="580"/>
      <c r="I441" s="580"/>
      <c r="J441" s="580"/>
      <c r="K441" s="580"/>
      <c r="L441" s="580"/>
      <c r="M441" s="580"/>
      <c r="N441" s="580"/>
      <c r="O441" s="580"/>
      <c r="P441" s="580"/>
      <c r="Q441" s="580"/>
      <c r="R441" s="580"/>
      <c r="S441" s="580"/>
      <c r="T441" s="580"/>
      <c r="U441" s="580"/>
      <c r="V441" s="580"/>
      <c r="W441" s="580"/>
      <c r="X441" s="580"/>
      <c r="Y441" s="580"/>
      <c r="Z441" s="580"/>
      <c r="AA441" s="580"/>
      <c r="AB441" s="580"/>
    </row>
    <row r="442" ht="15.75" customHeight="1">
      <c r="A442" s="570"/>
      <c r="B442" s="570"/>
      <c r="C442" s="580"/>
      <c r="D442" s="580"/>
      <c r="E442" s="580"/>
      <c r="F442" s="580"/>
      <c r="G442" s="580"/>
      <c r="H442" s="580"/>
      <c r="I442" s="580"/>
      <c r="J442" s="580"/>
      <c r="K442" s="580"/>
      <c r="L442" s="580"/>
      <c r="M442" s="580"/>
      <c r="N442" s="580"/>
      <c r="O442" s="580"/>
      <c r="P442" s="580"/>
      <c r="Q442" s="580"/>
      <c r="R442" s="580"/>
      <c r="S442" s="580"/>
      <c r="T442" s="580"/>
      <c r="U442" s="580"/>
      <c r="V442" s="580"/>
      <c r="W442" s="580"/>
      <c r="X442" s="580"/>
      <c r="Y442" s="580"/>
      <c r="Z442" s="580"/>
      <c r="AA442" s="580"/>
      <c r="AB442" s="580"/>
    </row>
    <row r="443" ht="15.75" customHeight="1">
      <c r="A443" s="570"/>
      <c r="B443" s="570"/>
      <c r="C443" s="580"/>
      <c r="D443" s="580"/>
      <c r="E443" s="580"/>
      <c r="F443" s="580"/>
      <c r="G443" s="580"/>
      <c r="H443" s="580"/>
      <c r="I443" s="580"/>
      <c r="J443" s="580"/>
      <c r="K443" s="580"/>
      <c r="L443" s="580"/>
      <c r="M443" s="580"/>
      <c r="N443" s="580"/>
      <c r="O443" s="580"/>
      <c r="P443" s="580"/>
      <c r="Q443" s="580"/>
      <c r="R443" s="580"/>
      <c r="S443" s="580"/>
      <c r="T443" s="580"/>
      <c r="U443" s="580"/>
      <c r="V443" s="580"/>
      <c r="W443" s="580"/>
      <c r="X443" s="580"/>
      <c r="Y443" s="580"/>
      <c r="Z443" s="580"/>
      <c r="AA443" s="580"/>
      <c r="AB443" s="580"/>
    </row>
    <row r="444" ht="15.75" customHeight="1">
      <c r="A444" s="570"/>
      <c r="B444" s="570"/>
      <c r="C444" s="580"/>
      <c r="D444" s="580"/>
      <c r="E444" s="580"/>
      <c r="F444" s="580"/>
      <c r="G444" s="580"/>
      <c r="H444" s="580"/>
      <c r="I444" s="580"/>
      <c r="J444" s="580"/>
      <c r="K444" s="580"/>
      <c r="L444" s="580"/>
      <c r="M444" s="580"/>
      <c r="N444" s="580"/>
      <c r="O444" s="580"/>
      <c r="P444" s="580"/>
      <c r="Q444" s="580"/>
      <c r="R444" s="580"/>
      <c r="S444" s="580"/>
      <c r="T444" s="580"/>
      <c r="U444" s="580"/>
      <c r="V444" s="580"/>
      <c r="W444" s="580"/>
      <c r="X444" s="580"/>
      <c r="Y444" s="580"/>
      <c r="Z444" s="580"/>
      <c r="AA444" s="580"/>
      <c r="AB444" s="580"/>
    </row>
    <row r="445" ht="15.75" customHeight="1">
      <c r="A445" s="570"/>
      <c r="B445" s="570"/>
      <c r="C445" s="580"/>
      <c r="D445" s="580"/>
      <c r="E445" s="580"/>
      <c r="F445" s="580"/>
      <c r="G445" s="580"/>
      <c r="H445" s="580"/>
      <c r="I445" s="580"/>
      <c r="J445" s="580"/>
      <c r="K445" s="580"/>
      <c r="L445" s="580"/>
      <c r="M445" s="580"/>
      <c r="N445" s="580"/>
      <c r="O445" s="580"/>
      <c r="P445" s="580"/>
      <c r="Q445" s="580"/>
      <c r="R445" s="580"/>
      <c r="S445" s="580"/>
      <c r="T445" s="580"/>
      <c r="U445" s="580"/>
      <c r="V445" s="580"/>
      <c r="W445" s="580"/>
      <c r="X445" s="580"/>
      <c r="Y445" s="580"/>
      <c r="Z445" s="580"/>
      <c r="AA445" s="580"/>
      <c r="AB445" s="580"/>
    </row>
    <row r="446" ht="15.75" customHeight="1">
      <c r="A446" s="570"/>
      <c r="B446" s="570"/>
      <c r="C446" s="580"/>
      <c r="D446" s="580"/>
      <c r="E446" s="580"/>
      <c r="F446" s="580"/>
      <c r="G446" s="580"/>
      <c r="H446" s="580"/>
      <c r="I446" s="580"/>
      <c r="J446" s="580"/>
      <c r="K446" s="580"/>
      <c r="L446" s="580"/>
      <c r="M446" s="580"/>
      <c r="N446" s="580"/>
      <c r="O446" s="580"/>
      <c r="P446" s="580"/>
      <c r="Q446" s="580"/>
      <c r="R446" s="580"/>
      <c r="S446" s="580"/>
      <c r="T446" s="580"/>
      <c r="U446" s="580"/>
      <c r="V446" s="580"/>
      <c r="W446" s="580"/>
      <c r="X446" s="580"/>
      <c r="Y446" s="580"/>
      <c r="Z446" s="580"/>
      <c r="AA446" s="580"/>
      <c r="AB446" s="580"/>
    </row>
    <row r="447" ht="15.75" customHeight="1">
      <c r="A447" s="570"/>
      <c r="B447" s="570"/>
      <c r="C447" s="580"/>
      <c r="D447" s="580"/>
      <c r="E447" s="580"/>
      <c r="F447" s="580"/>
      <c r="G447" s="580"/>
      <c r="H447" s="580"/>
      <c r="I447" s="580"/>
      <c r="J447" s="580"/>
      <c r="K447" s="580"/>
      <c r="L447" s="580"/>
      <c r="M447" s="580"/>
      <c r="N447" s="580"/>
      <c r="O447" s="580"/>
      <c r="P447" s="580"/>
      <c r="Q447" s="580"/>
      <c r="R447" s="580"/>
      <c r="S447" s="580"/>
      <c r="T447" s="580"/>
      <c r="U447" s="580"/>
      <c r="V447" s="580"/>
      <c r="W447" s="580"/>
      <c r="X447" s="580"/>
      <c r="Y447" s="580"/>
      <c r="Z447" s="580"/>
      <c r="AA447" s="580"/>
      <c r="AB447" s="580"/>
    </row>
    <row r="448" ht="15.75" customHeight="1">
      <c r="A448" s="570"/>
      <c r="B448" s="570"/>
      <c r="C448" s="580"/>
      <c r="D448" s="580"/>
      <c r="E448" s="580"/>
      <c r="F448" s="580"/>
      <c r="G448" s="580"/>
      <c r="H448" s="580"/>
      <c r="I448" s="580"/>
      <c r="J448" s="580"/>
      <c r="K448" s="580"/>
      <c r="L448" s="580"/>
      <c r="M448" s="580"/>
      <c r="N448" s="580"/>
      <c r="O448" s="580"/>
      <c r="P448" s="580"/>
      <c r="Q448" s="580"/>
      <c r="R448" s="580"/>
      <c r="S448" s="580"/>
      <c r="T448" s="580"/>
      <c r="U448" s="580"/>
      <c r="V448" s="580"/>
      <c r="W448" s="580"/>
      <c r="X448" s="580"/>
      <c r="Y448" s="580"/>
      <c r="Z448" s="580"/>
      <c r="AA448" s="580"/>
      <c r="AB448" s="580"/>
    </row>
    <row r="449" ht="15.75" customHeight="1">
      <c r="A449" s="570"/>
      <c r="B449" s="570"/>
      <c r="C449" s="580"/>
      <c r="D449" s="580"/>
      <c r="E449" s="580"/>
      <c r="F449" s="580"/>
      <c r="G449" s="580"/>
      <c r="H449" s="580"/>
      <c r="I449" s="580"/>
      <c r="J449" s="580"/>
      <c r="K449" s="580"/>
      <c r="L449" s="580"/>
      <c r="M449" s="580"/>
      <c r="N449" s="580"/>
      <c r="O449" s="580"/>
      <c r="P449" s="580"/>
      <c r="Q449" s="580"/>
      <c r="R449" s="580"/>
      <c r="S449" s="580"/>
      <c r="T449" s="580"/>
      <c r="U449" s="580"/>
      <c r="V449" s="580"/>
      <c r="W449" s="580"/>
      <c r="X449" s="580"/>
      <c r="Y449" s="580"/>
      <c r="Z449" s="580"/>
      <c r="AA449" s="580"/>
      <c r="AB449" s="580"/>
    </row>
    <row r="450" ht="15.75" customHeight="1">
      <c r="A450" s="570"/>
      <c r="B450" s="570"/>
      <c r="C450" s="580"/>
      <c r="D450" s="580"/>
      <c r="E450" s="580"/>
      <c r="F450" s="580"/>
      <c r="G450" s="580"/>
      <c r="H450" s="580"/>
      <c r="I450" s="580"/>
      <c r="J450" s="580"/>
      <c r="K450" s="580"/>
      <c r="L450" s="580"/>
      <c r="M450" s="580"/>
      <c r="N450" s="580"/>
      <c r="O450" s="580"/>
      <c r="P450" s="580"/>
      <c r="Q450" s="580"/>
      <c r="R450" s="580"/>
      <c r="S450" s="580"/>
      <c r="T450" s="580"/>
      <c r="U450" s="580"/>
      <c r="V450" s="580"/>
      <c r="W450" s="580"/>
      <c r="X450" s="580"/>
      <c r="Y450" s="580"/>
      <c r="Z450" s="580"/>
      <c r="AA450" s="580"/>
      <c r="AB450" s="580"/>
    </row>
    <row r="451" ht="15.75" customHeight="1">
      <c r="A451" s="570"/>
      <c r="B451" s="570"/>
      <c r="C451" s="580"/>
      <c r="D451" s="580"/>
      <c r="E451" s="580"/>
      <c r="F451" s="580"/>
      <c r="G451" s="580"/>
      <c r="H451" s="580"/>
      <c r="I451" s="580"/>
      <c r="J451" s="580"/>
      <c r="K451" s="580"/>
      <c r="L451" s="580"/>
      <c r="M451" s="580"/>
      <c r="N451" s="580"/>
      <c r="O451" s="580"/>
      <c r="P451" s="580"/>
      <c r="Q451" s="580"/>
      <c r="R451" s="580"/>
      <c r="S451" s="580"/>
      <c r="T451" s="580"/>
      <c r="U451" s="580"/>
      <c r="V451" s="580"/>
      <c r="W451" s="580"/>
      <c r="X451" s="580"/>
      <c r="Y451" s="580"/>
      <c r="Z451" s="580"/>
      <c r="AA451" s="580"/>
      <c r="AB451" s="580"/>
    </row>
    <row r="452" ht="15.75" customHeight="1">
      <c r="A452" s="570"/>
      <c r="B452" s="570"/>
      <c r="C452" s="580"/>
      <c r="D452" s="580"/>
      <c r="E452" s="580"/>
      <c r="F452" s="580"/>
      <c r="G452" s="580"/>
      <c r="H452" s="580"/>
      <c r="I452" s="580"/>
      <c r="J452" s="580"/>
      <c r="K452" s="580"/>
      <c r="L452" s="580"/>
      <c r="M452" s="580"/>
      <c r="N452" s="580"/>
      <c r="O452" s="580"/>
      <c r="P452" s="580"/>
      <c r="Q452" s="580"/>
      <c r="R452" s="580"/>
      <c r="S452" s="580"/>
      <c r="T452" s="580"/>
      <c r="U452" s="580"/>
      <c r="V452" s="580"/>
      <c r="W452" s="580"/>
      <c r="X452" s="580"/>
      <c r="Y452" s="580"/>
      <c r="Z452" s="580"/>
      <c r="AA452" s="580"/>
      <c r="AB452" s="580"/>
    </row>
    <row r="453" ht="15.75" customHeight="1">
      <c r="A453" s="570"/>
      <c r="B453" s="570"/>
      <c r="C453" s="580"/>
      <c r="D453" s="580"/>
      <c r="E453" s="580"/>
      <c r="F453" s="580"/>
      <c r="G453" s="580"/>
      <c r="H453" s="580"/>
      <c r="I453" s="580"/>
      <c r="J453" s="580"/>
      <c r="K453" s="580"/>
      <c r="L453" s="580"/>
      <c r="M453" s="580"/>
      <c r="N453" s="580"/>
      <c r="O453" s="580"/>
      <c r="P453" s="580"/>
      <c r="Q453" s="580"/>
      <c r="R453" s="580"/>
      <c r="S453" s="580"/>
      <c r="T453" s="580"/>
      <c r="U453" s="580"/>
      <c r="V453" s="580"/>
      <c r="W453" s="580"/>
      <c r="X453" s="580"/>
      <c r="Y453" s="580"/>
      <c r="Z453" s="580"/>
      <c r="AA453" s="580"/>
      <c r="AB453" s="580"/>
    </row>
    <row r="454" ht="15.75" customHeight="1">
      <c r="A454" s="570"/>
      <c r="B454" s="570"/>
      <c r="C454" s="580"/>
      <c r="D454" s="580"/>
      <c r="E454" s="580"/>
      <c r="F454" s="580"/>
      <c r="G454" s="580"/>
      <c r="H454" s="580"/>
      <c r="I454" s="580"/>
      <c r="J454" s="580"/>
      <c r="K454" s="580"/>
      <c r="L454" s="580"/>
      <c r="M454" s="580"/>
      <c r="N454" s="580"/>
      <c r="O454" s="580"/>
      <c r="P454" s="580"/>
      <c r="Q454" s="580"/>
      <c r="R454" s="580"/>
      <c r="S454" s="580"/>
      <c r="T454" s="580"/>
      <c r="U454" s="580"/>
      <c r="V454" s="580"/>
      <c r="W454" s="580"/>
      <c r="X454" s="580"/>
      <c r="Y454" s="580"/>
      <c r="Z454" s="580"/>
      <c r="AA454" s="580"/>
      <c r="AB454" s="580"/>
    </row>
    <row r="455" ht="15.75" customHeight="1">
      <c r="A455" s="570"/>
      <c r="B455" s="570"/>
      <c r="C455" s="580"/>
      <c r="D455" s="580"/>
      <c r="E455" s="580"/>
      <c r="F455" s="580"/>
      <c r="G455" s="580"/>
      <c r="H455" s="580"/>
      <c r="I455" s="580"/>
      <c r="J455" s="580"/>
      <c r="K455" s="580"/>
      <c r="L455" s="580"/>
      <c r="M455" s="580"/>
      <c r="N455" s="580"/>
      <c r="O455" s="580"/>
      <c r="P455" s="580"/>
      <c r="Q455" s="580"/>
      <c r="R455" s="580"/>
      <c r="S455" s="580"/>
      <c r="T455" s="580"/>
      <c r="U455" s="580"/>
      <c r="V455" s="580"/>
      <c r="W455" s="580"/>
      <c r="X455" s="580"/>
      <c r="Y455" s="580"/>
      <c r="Z455" s="580"/>
      <c r="AA455" s="580"/>
      <c r="AB455" s="580"/>
    </row>
    <row r="456" ht="15.75" customHeight="1">
      <c r="A456" s="570"/>
      <c r="B456" s="570"/>
      <c r="C456" s="580"/>
      <c r="D456" s="580"/>
      <c r="E456" s="580"/>
      <c r="F456" s="580"/>
      <c r="G456" s="580"/>
      <c r="H456" s="580"/>
      <c r="I456" s="580"/>
      <c r="J456" s="580"/>
      <c r="K456" s="580"/>
      <c r="L456" s="580"/>
      <c r="M456" s="580"/>
      <c r="N456" s="580"/>
      <c r="O456" s="580"/>
      <c r="P456" s="580"/>
      <c r="Q456" s="580"/>
      <c r="R456" s="580"/>
      <c r="S456" s="580"/>
      <c r="T456" s="580"/>
      <c r="U456" s="580"/>
      <c r="V456" s="580"/>
      <c r="W456" s="580"/>
      <c r="X456" s="580"/>
      <c r="Y456" s="580"/>
      <c r="Z456" s="580"/>
      <c r="AA456" s="580"/>
      <c r="AB456" s="580"/>
    </row>
    <row r="457" ht="15.75" customHeight="1">
      <c r="A457" s="570"/>
      <c r="B457" s="570"/>
      <c r="C457" s="580"/>
      <c r="D457" s="580"/>
      <c r="E457" s="580"/>
      <c r="F457" s="580"/>
      <c r="G457" s="580"/>
      <c r="H457" s="580"/>
      <c r="I457" s="580"/>
      <c r="J457" s="580"/>
      <c r="K457" s="580"/>
      <c r="L457" s="580"/>
      <c r="M457" s="580"/>
      <c r="N457" s="580"/>
      <c r="O457" s="580"/>
      <c r="P457" s="580"/>
      <c r="Q457" s="580"/>
      <c r="R457" s="580"/>
      <c r="S457" s="580"/>
      <c r="T457" s="580"/>
      <c r="U457" s="580"/>
      <c r="V457" s="580"/>
      <c r="W457" s="580"/>
      <c r="X457" s="580"/>
      <c r="Y457" s="580"/>
      <c r="Z457" s="580"/>
      <c r="AA457" s="580"/>
      <c r="AB457" s="580"/>
    </row>
    <row r="458" ht="15.75" customHeight="1">
      <c r="A458" s="570"/>
      <c r="B458" s="570"/>
      <c r="C458" s="580"/>
      <c r="D458" s="580"/>
      <c r="E458" s="580"/>
      <c r="F458" s="580"/>
      <c r="G458" s="580"/>
      <c r="H458" s="580"/>
      <c r="I458" s="580"/>
      <c r="J458" s="580"/>
      <c r="K458" s="580"/>
      <c r="L458" s="580"/>
      <c r="M458" s="580"/>
      <c r="N458" s="580"/>
      <c r="O458" s="580"/>
      <c r="P458" s="580"/>
      <c r="Q458" s="580"/>
      <c r="R458" s="580"/>
      <c r="S458" s="580"/>
      <c r="T458" s="580"/>
      <c r="U458" s="580"/>
      <c r="V458" s="580"/>
      <c r="W458" s="580"/>
      <c r="X458" s="580"/>
      <c r="Y458" s="580"/>
      <c r="Z458" s="580"/>
      <c r="AA458" s="580"/>
      <c r="AB458" s="580"/>
    </row>
    <row r="459" ht="15.75" customHeight="1">
      <c r="A459" s="570"/>
      <c r="B459" s="570"/>
      <c r="C459" s="580"/>
      <c r="D459" s="580"/>
      <c r="E459" s="580"/>
      <c r="F459" s="580"/>
      <c r="G459" s="580"/>
      <c r="H459" s="580"/>
      <c r="I459" s="580"/>
      <c r="J459" s="580"/>
      <c r="K459" s="580"/>
      <c r="L459" s="580"/>
      <c r="M459" s="580"/>
      <c r="N459" s="580"/>
      <c r="O459" s="580"/>
      <c r="P459" s="580"/>
      <c r="Q459" s="580"/>
      <c r="R459" s="580"/>
      <c r="S459" s="580"/>
      <c r="T459" s="580"/>
      <c r="U459" s="580"/>
      <c r="V459" s="580"/>
      <c r="W459" s="580"/>
      <c r="X459" s="580"/>
      <c r="Y459" s="580"/>
      <c r="Z459" s="580"/>
      <c r="AA459" s="580"/>
      <c r="AB459" s="580"/>
    </row>
    <row r="460" ht="15.75" customHeight="1">
      <c r="A460" s="570"/>
      <c r="B460" s="570"/>
      <c r="C460" s="580"/>
      <c r="D460" s="580"/>
      <c r="E460" s="580"/>
      <c r="F460" s="580"/>
      <c r="G460" s="580"/>
      <c r="H460" s="580"/>
      <c r="I460" s="580"/>
      <c r="J460" s="580"/>
      <c r="K460" s="580"/>
      <c r="L460" s="580"/>
      <c r="M460" s="580"/>
      <c r="N460" s="580"/>
      <c r="O460" s="580"/>
      <c r="P460" s="580"/>
      <c r="Q460" s="580"/>
      <c r="R460" s="580"/>
      <c r="S460" s="580"/>
      <c r="T460" s="580"/>
      <c r="U460" s="580"/>
      <c r="V460" s="580"/>
      <c r="W460" s="580"/>
      <c r="X460" s="580"/>
      <c r="Y460" s="580"/>
      <c r="Z460" s="580"/>
      <c r="AA460" s="580"/>
      <c r="AB460" s="580"/>
    </row>
    <row r="461" ht="15.75" customHeight="1">
      <c r="A461" s="570"/>
      <c r="B461" s="570"/>
      <c r="C461" s="580"/>
      <c r="D461" s="580"/>
      <c r="E461" s="580"/>
      <c r="F461" s="580"/>
      <c r="G461" s="580"/>
      <c r="H461" s="580"/>
      <c r="I461" s="580"/>
      <c r="J461" s="580"/>
      <c r="K461" s="580"/>
      <c r="L461" s="580"/>
      <c r="M461" s="580"/>
      <c r="N461" s="580"/>
      <c r="O461" s="580"/>
      <c r="P461" s="580"/>
      <c r="Q461" s="580"/>
      <c r="R461" s="580"/>
      <c r="S461" s="580"/>
      <c r="T461" s="580"/>
      <c r="U461" s="580"/>
      <c r="V461" s="580"/>
      <c r="W461" s="580"/>
      <c r="X461" s="580"/>
      <c r="Y461" s="580"/>
      <c r="Z461" s="580"/>
      <c r="AA461" s="580"/>
      <c r="AB461" s="580"/>
    </row>
    <row r="462" ht="15.75" customHeight="1">
      <c r="A462" s="570"/>
      <c r="B462" s="570"/>
      <c r="C462" s="580"/>
      <c r="D462" s="580"/>
      <c r="E462" s="580"/>
      <c r="F462" s="580"/>
      <c r="G462" s="580"/>
      <c r="H462" s="580"/>
      <c r="I462" s="580"/>
      <c r="J462" s="580"/>
      <c r="K462" s="580"/>
      <c r="L462" s="580"/>
      <c r="M462" s="580"/>
      <c r="N462" s="580"/>
      <c r="O462" s="580"/>
      <c r="P462" s="580"/>
      <c r="Q462" s="580"/>
      <c r="R462" s="580"/>
      <c r="S462" s="580"/>
      <c r="T462" s="580"/>
      <c r="U462" s="580"/>
      <c r="V462" s="580"/>
      <c r="W462" s="580"/>
      <c r="X462" s="580"/>
      <c r="Y462" s="580"/>
      <c r="Z462" s="580"/>
      <c r="AA462" s="580"/>
      <c r="AB462" s="580"/>
    </row>
    <row r="463" ht="15.75" customHeight="1">
      <c r="A463" s="570"/>
      <c r="B463" s="570"/>
      <c r="C463" s="580"/>
      <c r="D463" s="580"/>
      <c r="E463" s="580"/>
      <c r="F463" s="580"/>
      <c r="G463" s="580"/>
      <c r="H463" s="580"/>
      <c r="I463" s="580"/>
      <c r="J463" s="580"/>
      <c r="K463" s="580"/>
      <c r="L463" s="580"/>
      <c r="M463" s="580"/>
      <c r="N463" s="580"/>
      <c r="O463" s="580"/>
      <c r="P463" s="580"/>
      <c r="Q463" s="580"/>
      <c r="R463" s="580"/>
      <c r="S463" s="580"/>
      <c r="T463" s="580"/>
      <c r="U463" s="580"/>
      <c r="V463" s="580"/>
      <c r="W463" s="580"/>
      <c r="X463" s="580"/>
      <c r="Y463" s="580"/>
      <c r="Z463" s="580"/>
      <c r="AA463" s="580"/>
      <c r="AB463" s="580"/>
    </row>
    <row r="464" ht="15.75" customHeight="1">
      <c r="A464" s="570"/>
      <c r="B464" s="570"/>
      <c r="C464" s="580"/>
      <c r="D464" s="580"/>
      <c r="E464" s="580"/>
      <c r="F464" s="580"/>
      <c r="G464" s="580"/>
      <c r="H464" s="580"/>
      <c r="I464" s="580"/>
      <c r="J464" s="580"/>
      <c r="K464" s="580"/>
      <c r="L464" s="580"/>
      <c r="M464" s="580"/>
      <c r="N464" s="580"/>
      <c r="O464" s="580"/>
      <c r="P464" s="580"/>
      <c r="Q464" s="580"/>
      <c r="R464" s="580"/>
      <c r="S464" s="580"/>
      <c r="T464" s="580"/>
      <c r="U464" s="580"/>
      <c r="V464" s="580"/>
      <c r="W464" s="580"/>
      <c r="X464" s="580"/>
      <c r="Y464" s="580"/>
      <c r="Z464" s="580"/>
      <c r="AA464" s="580"/>
      <c r="AB464" s="580"/>
    </row>
    <row r="465" ht="15.75" customHeight="1">
      <c r="A465" s="570"/>
      <c r="B465" s="570"/>
      <c r="C465" s="580"/>
      <c r="D465" s="580"/>
      <c r="E465" s="580"/>
      <c r="F465" s="580"/>
      <c r="G465" s="580"/>
      <c r="H465" s="580"/>
      <c r="I465" s="580"/>
      <c r="J465" s="580"/>
      <c r="K465" s="580"/>
      <c r="L465" s="580"/>
      <c r="M465" s="580"/>
      <c r="N465" s="580"/>
      <c r="O465" s="580"/>
      <c r="P465" s="580"/>
      <c r="Q465" s="580"/>
      <c r="R465" s="580"/>
      <c r="S465" s="580"/>
      <c r="T465" s="580"/>
      <c r="U465" s="580"/>
      <c r="V465" s="580"/>
      <c r="W465" s="580"/>
      <c r="X465" s="580"/>
      <c r="Y465" s="580"/>
      <c r="Z465" s="580"/>
      <c r="AA465" s="580"/>
      <c r="AB465" s="580"/>
    </row>
    <row r="466" ht="15.75" customHeight="1">
      <c r="A466" s="570"/>
      <c r="B466" s="570"/>
      <c r="C466" s="580"/>
      <c r="D466" s="580"/>
      <c r="E466" s="580"/>
      <c r="F466" s="580"/>
      <c r="G466" s="580"/>
      <c r="H466" s="580"/>
      <c r="I466" s="580"/>
      <c r="J466" s="580"/>
      <c r="K466" s="580"/>
      <c r="L466" s="580"/>
      <c r="M466" s="580"/>
      <c r="N466" s="580"/>
      <c r="O466" s="580"/>
      <c r="P466" s="580"/>
      <c r="Q466" s="580"/>
      <c r="R466" s="580"/>
      <c r="S466" s="580"/>
      <c r="T466" s="580"/>
      <c r="U466" s="580"/>
      <c r="V466" s="580"/>
      <c r="W466" s="580"/>
      <c r="X466" s="580"/>
      <c r="Y466" s="580"/>
      <c r="Z466" s="580"/>
      <c r="AA466" s="580"/>
      <c r="AB466" s="580"/>
    </row>
    <row r="467" ht="15.75" customHeight="1">
      <c r="A467" s="570"/>
      <c r="B467" s="570"/>
      <c r="C467" s="580"/>
      <c r="D467" s="580"/>
      <c r="E467" s="580"/>
      <c r="F467" s="580"/>
      <c r="G467" s="580"/>
      <c r="H467" s="580"/>
      <c r="I467" s="580"/>
      <c r="J467" s="580"/>
      <c r="K467" s="580"/>
      <c r="L467" s="580"/>
      <c r="M467" s="580"/>
      <c r="N467" s="580"/>
      <c r="O467" s="580"/>
      <c r="P467" s="580"/>
      <c r="Q467" s="580"/>
      <c r="R467" s="580"/>
      <c r="S467" s="580"/>
      <c r="T467" s="580"/>
      <c r="U467" s="580"/>
      <c r="V467" s="580"/>
      <c r="W467" s="580"/>
      <c r="X467" s="580"/>
      <c r="Y467" s="580"/>
      <c r="Z467" s="580"/>
      <c r="AA467" s="580"/>
      <c r="AB467" s="580"/>
    </row>
    <row r="468" ht="15.75" customHeight="1">
      <c r="A468" s="570"/>
      <c r="B468" s="570"/>
      <c r="C468" s="580"/>
      <c r="D468" s="580"/>
      <c r="E468" s="580"/>
      <c r="F468" s="580"/>
      <c r="G468" s="580"/>
      <c r="H468" s="580"/>
      <c r="I468" s="580"/>
      <c r="J468" s="580"/>
      <c r="K468" s="580"/>
      <c r="L468" s="580"/>
      <c r="M468" s="580"/>
      <c r="N468" s="580"/>
      <c r="O468" s="580"/>
      <c r="P468" s="580"/>
      <c r="Q468" s="580"/>
      <c r="R468" s="580"/>
      <c r="S468" s="580"/>
      <c r="T468" s="580"/>
      <c r="U468" s="580"/>
      <c r="V468" s="580"/>
      <c r="W468" s="580"/>
      <c r="X468" s="580"/>
      <c r="Y468" s="580"/>
      <c r="Z468" s="580"/>
      <c r="AA468" s="580"/>
      <c r="AB468" s="580"/>
    </row>
    <row r="469" ht="15.75" customHeight="1">
      <c r="A469" s="570"/>
      <c r="B469" s="570"/>
      <c r="C469" s="580"/>
      <c r="D469" s="580"/>
      <c r="E469" s="580"/>
      <c r="F469" s="580"/>
      <c r="G469" s="580"/>
      <c r="H469" s="580"/>
      <c r="I469" s="580"/>
      <c r="J469" s="580"/>
      <c r="K469" s="580"/>
      <c r="L469" s="580"/>
      <c r="M469" s="580"/>
      <c r="N469" s="580"/>
      <c r="O469" s="580"/>
      <c r="P469" s="580"/>
      <c r="Q469" s="580"/>
      <c r="R469" s="580"/>
      <c r="S469" s="580"/>
      <c r="T469" s="580"/>
      <c r="U469" s="580"/>
      <c r="V469" s="580"/>
      <c r="W469" s="580"/>
      <c r="X469" s="580"/>
      <c r="Y469" s="580"/>
      <c r="Z469" s="580"/>
      <c r="AA469" s="580"/>
      <c r="AB469" s="580"/>
    </row>
    <row r="470" ht="15.75" customHeight="1">
      <c r="A470" s="570"/>
      <c r="B470" s="570"/>
      <c r="C470" s="580"/>
      <c r="D470" s="580"/>
      <c r="E470" s="580"/>
      <c r="F470" s="580"/>
      <c r="G470" s="580"/>
      <c r="H470" s="580"/>
      <c r="I470" s="580"/>
      <c r="J470" s="580"/>
      <c r="K470" s="580"/>
      <c r="L470" s="580"/>
      <c r="M470" s="580"/>
      <c r="N470" s="580"/>
      <c r="O470" s="580"/>
      <c r="P470" s="580"/>
      <c r="Q470" s="580"/>
      <c r="R470" s="580"/>
      <c r="S470" s="580"/>
      <c r="T470" s="580"/>
      <c r="U470" s="580"/>
      <c r="V470" s="580"/>
      <c r="W470" s="580"/>
      <c r="X470" s="580"/>
      <c r="Y470" s="580"/>
      <c r="Z470" s="580"/>
      <c r="AA470" s="580"/>
      <c r="AB470" s="580"/>
    </row>
    <row r="471" ht="15.75" customHeight="1">
      <c r="A471" s="570"/>
      <c r="B471" s="570"/>
      <c r="C471" s="580"/>
      <c r="D471" s="580"/>
      <c r="E471" s="580"/>
      <c r="F471" s="580"/>
      <c r="G471" s="580"/>
      <c r="H471" s="580"/>
      <c r="I471" s="580"/>
      <c r="J471" s="580"/>
      <c r="K471" s="580"/>
      <c r="L471" s="580"/>
      <c r="M471" s="580"/>
      <c r="N471" s="580"/>
      <c r="O471" s="580"/>
      <c r="P471" s="580"/>
      <c r="Q471" s="580"/>
      <c r="R471" s="580"/>
      <c r="S471" s="580"/>
      <c r="T471" s="580"/>
      <c r="U471" s="580"/>
      <c r="V471" s="580"/>
      <c r="W471" s="580"/>
      <c r="X471" s="580"/>
      <c r="Y471" s="580"/>
      <c r="Z471" s="580"/>
      <c r="AA471" s="580"/>
      <c r="AB471" s="580"/>
    </row>
    <row r="472" ht="15.75" customHeight="1">
      <c r="A472" s="570"/>
      <c r="B472" s="570"/>
      <c r="C472" s="580"/>
      <c r="D472" s="580"/>
      <c r="E472" s="580"/>
      <c r="F472" s="580"/>
      <c r="G472" s="580"/>
      <c r="H472" s="580"/>
      <c r="I472" s="580"/>
      <c r="J472" s="580"/>
      <c r="K472" s="580"/>
      <c r="L472" s="580"/>
      <c r="M472" s="580"/>
      <c r="N472" s="580"/>
      <c r="O472" s="580"/>
      <c r="P472" s="580"/>
      <c r="Q472" s="580"/>
      <c r="R472" s="580"/>
      <c r="S472" s="580"/>
      <c r="T472" s="580"/>
      <c r="U472" s="580"/>
      <c r="V472" s="580"/>
      <c r="W472" s="580"/>
      <c r="X472" s="580"/>
      <c r="Y472" s="580"/>
      <c r="Z472" s="580"/>
      <c r="AA472" s="580"/>
      <c r="AB472" s="580"/>
    </row>
    <row r="473" ht="15.75" customHeight="1">
      <c r="A473" s="570"/>
      <c r="B473" s="570"/>
      <c r="C473" s="580"/>
      <c r="D473" s="580"/>
      <c r="E473" s="580"/>
      <c r="F473" s="580"/>
      <c r="G473" s="580"/>
      <c r="H473" s="580"/>
      <c r="I473" s="580"/>
      <c r="J473" s="580"/>
      <c r="K473" s="580"/>
      <c r="L473" s="580"/>
      <c r="M473" s="580"/>
      <c r="N473" s="580"/>
      <c r="O473" s="580"/>
      <c r="P473" s="580"/>
      <c r="Q473" s="580"/>
      <c r="R473" s="580"/>
      <c r="S473" s="580"/>
      <c r="T473" s="580"/>
      <c r="U473" s="580"/>
      <c r="V473" s="580"/>
      <c r="W473" s="580"/>
      <c r="X473" s="580"/>
      <c r="Y473" s="580"/>
      <c r="Z473" s="580"/>
      <c r="AA473" s="580"/>
      <c r="AB473" s="580"/>
    </row>
    <row r="474" ht="15.75" customHeight="1">
      <c r="A474" s="570"/>
      <c r="B474" s="570"/>
      <c r="C474" s="580"/>
      <c r="D474" s="580"/>
      <c r="E474" s="580"/>
      <c r="F474" s="580"/>
      <c r="G474" s="580"/>
      <c r="H474" s="580"/>
      <c r="I474" s="580"/>
      <c r="J474" s="580"/>
      <c r="K474" s="580"/>
      <c r="L474" s="580"/>
      <c r="M474" s="580"/>
      <c r="N474" s="580"/>
      <c r="O474" s="580"/>
      <c r="P474" s="580"/>
      <c r="Q474" s="580"/>
      <c r="R474" s="580"/>
      <c r="S474" s="580"/>
      <c r="T474" s="580"/>
      <c r="U474" s="580"/>
      <c r="V474" s="580"/>
      <c r="W474" s="580"/>
      <c r="X474" s="580"/>
      <c r="Y474" s="580"/>
      <c r="Z474" s="580"/>
      <c r="AA474" s="580"/>
      <c r="AB474" s="580"/>
    </row>
    <row r="475" ht="15.75" customHeight="1">
      <c r="A475" s="570"/>
      <c r="B475" s="570"/>
      <c r="C475" s="580"/>
      <c r="D475" s="580"/>
      <c r="E475" s="580"/>
      <c r="F475" s="580"/>
      <c r="G475" s="580"/>
      <c r="H475" s="580"/>
      <c r="I475" s="580"/>
      <c r="J475" s="580"/>
      <c r="K475" s="580"/>
      <c r="L475" s="580"/>
      <c r="M475" s="580"/>
      <c r="N475" s="580"/>
      <c r="O475" s="580"/>
      <c r="P475" s="580"/>
      <c r="Q475" s="580"/>
      <c r="R475" s="580"/>
      <c r="S475" s="580"/>
      <c r="T475" s="580"/>
      <c r="U475" s="580"/>
      <c r="V475" s="580"/>
      <c r="W475" s="580"/>
      <c r="X475" s="580"/>
      <c r="Y475" s="580"/>
      <c r="Z475" s="580"/>
      <c r="AA475" s="580"/>
      <c r="AB475" s="580"/>
    </row>
    <row r="476" ht="15.75" customHeight="1">
      <c r="A476" s="570"/>
      <c r="B476" s="570"/>
      <c r="C476" s="580"/>
      <c r="D476" s="580"/>
      <c r="E476" s="580"/>
      <c r="F476" s="580"/>
      <c r="G476" s="580"/>
      <c r="H476" s="580"/>
      <c r="I476" s="580"/>
      <c r="J476" s="580"/>
      <c r="K476" s="580"/>
      <c r="L476" s="580"/>
      <c r="M476" s="580"/>
      <c r="N476" s="580"/>
      <c r="O476" s="580"/>
      <c r="P476" s="580"/>
      <c r="Q476" s="580"/>
      <c r="R476" s="580"/>
      <c r="S476" s="580"/>
      <c r="T476" s="580"/>
      <c r="U476" s="580"/>
      <c r="V476" s="580"/>
      <c r="W476" s="580"/>
      <c r="X476" s="580"/>
      <c r="Y476" s="580"/>
      <c r="Z476" s="580"/>
      <c r="AA476" s="580"/>
      <c r="AB476" s="580"/>
    </row>
    <row r="477" ht="15.75" customHeight="1">
      <c r="A477" s="570"/>
      <c r="B477" s="570"/>
      <c r="C477" s="580"/>
      <c r="D477" s="580"/>
      <c r="E477" s="580"/>
      <c r="F477" s="580"/>
      <c r="G477" s="580"/>
      <c r="H477" s="580"/>
      <c r="I477" s="580"/>
      <c r="J477" s="580"/>
      <c r="K477" s="580"/>
      <c r="L477" s="580"/>
      <c r="M477" s="580"/>
      <c r="N477" s="580"/>
      <c r="O477" s="580"/>
      <c r="P477" s="580"/>
      <c r="Q477" s="580"/>
      <c r="R477" s="580"/>
      <c r="S477" s="580"/>
      <c r="T477" s="580"/>
      <c r="U477" s="580"/>
      <c r="V477" s="580"/>
      <c r="W477" s="580"/>
      <c r="X477" s="580"/>
      <c r="Y477" s="580"/>
      <c r="Z477" s="580"/>
      <c r="AA477" s="580"/>
      <c r="AB477" s="580"/>
    </row>
    <row r="478" ht="15.75" customHeight="1">
      <c r="A478" s="570"/>
      <c r="B478" s="570"/>
      <c r="C478" s="580"/>
      <c r="D478" s="580"/>
      <c r="E478" s="580"/>
      <c r="F478" s="580"/>
      <c r="G478" s="580"/>
      <c r="H478" s="580"/>
      <c r="I478" s="580"/>
      <c r="J478" s="580"/>
      <c r="K478" s="580"/>
      <c r="L478" s="580"/>
      <c r="M478" s="580"/>
      <c r="N478" s="580"/>
      <c r="O478" s="580"/>
      <c r="P478" s="580"/>
      <c r="Q478" s="580"/>
      <c r="R478" s="580"/>
      <c r="S478" s="580"/>
      <c r="T478" s="580"/>
      <c r="U478" s="580"/>
      <c r="V478" s="580"/>
      <c r="W478" s="580"/>
      <c r="X478" s="580"/>
      <c r="Y478" s="580"/>
      <c r="Z478" s="580"/>
      <c r="AA478" s="580"/>
      <c r="AB478" s="580"/>
    </row>
    <row r="479" ht="15.75" customHeight="1">
      <c r="A479" s="570"/>
      <c r="B479" s="570"/>
      <c r="C479" s="580"/>
      <c r="D479" s="580"/>
      <c r="E479" s="580"/>
      <c r="F479" s="580"/>
      <c r="G479" s="580"/>
      <c r="H479" s="580"/>
      <c r="I479" s="580"/>
      <c r="J479" s="580"/>
      <c r="K479" s="580"/>
      <c r="L479" s="580"/>
      <c r="M479" s="580"/>
      <c r="N479" s="580"/>
      <c r="O479" s="580"/>
      <c r="P479" s="580"/>
      <c r="Q479" s="580"/>
      <c r="R479" s="580"/>
      <c r="S479" s="580"/>
      <c r="T479" s="580"/>
      <c r="U479" s="580"/>
      <c r="V479" s="580"/>
      <c r="W479" s="580"/>
      <c r="X479" s="580"/>
      <c r="Y479" s="580"/>
      <c r="Z479" s="580"/>
      <c r="AA479" s="580"/>
      <c r="AB479" s="580"/>
    </row>
    <row r="480" ht="15.75" customHeight="1">
      <c r="A480" s="570"/>
      <c r="B480" s="570"/>
      <c r="C480" s="580"/>
      <c r="D480" s="580"/>
      <c r="E480" s="580"/>
      <c r="F480" s="580"/>
      <c r="G480" s="580"/>
      <c r="H480" s="580"/>
      <c r="I480" s="580"/>
      <c r="J480" s="580"/>
      <c r="K480" s="580"/>
      <c r="L480" s="580"/>
      <c r="M480" s="580"/>
      <c r="N480" s="580"/>
      <c r="O480" s="580"/>
      <c r="P480" s="580"/>
      <c r="Q480" s="580"/>
      <c r="R480" s="580"/>
      <c r="S480" s="580"/>
      <c r="T480" s="580"/>
      <c r="U480" s="580"/>
      <c r="V480" s="580"/>
      <c r="W480" s="580"/>
      <c r="X480" s="580"/>
      <c r="Y480" s="580"/>
      <c r="Z480" s="580"/>
      <c r="AA480" s="580"/>
      <c r="AB480" s="580"/>
    </row>
    <row r="481" ht="15.75" customHeight="1">
      <c r="A481" s="570"/>
      <c r="B481" s="570"/>
      <c r="C481" s="580"/>
      <c r="D481" s="580"/>
      <c r="E481" s="580"/>
      <c r="F481" s="580"/>
      <c r="G481" s="580"/>
      <c r="H481" s="580"/>
      <c r="I481" s="580"/>
      <c r="J481" s="580"/>
      <c r="K481" s="580"/>
      <c r="L481" s="580"/>
      <c r="M481" s="580"/>
      <c r="N481" s="580"/>
      <c r="O481" s="580"/>
      <c r="P481" s="580"/>
      <c r="Q481" s="580"/>
      <c r="R481" s="580"/>
      <c r="S481" s="580"/>
      <c r="T481" s="580"/>
      <c r="U481" s="580"/>
      <c r="V481" s="580"/>
      <c r="W481" s="580"/>
      <c r="X481" s="580"/>
      <c r="Y481" s="580"/>
      <c r="Z481" s="580"/>
      <c r="AA481" s="580"/>
      <c r="AB481" s="580"/>
    </row>
    <row r="482" ht="15.75" customHeight="1">
      <c r="A482" s="570"/>
      <c r="B482" s="570"/>
      <c r="C482" s="580"/>
      <c r="D482" s="580"/>
      <c r="E482" s="580"/>
      <c r="F482" s="580"/>
      <c r="G482" s="580"/>
      <c r="H482" s="580"/>
      <c r="I482" s="580"/>
      <c r="J482" s="580"/>
      <c r="K482" s="580"/>
      <c r="L482" s="580"/>
      <c r="M482" s="580"/>
      <c r="N482" s="580"/>
      <c r="O482" s="580"/>
      <c r="P482" s="580"/>
      <c r="Q482" s="580"/>
      <c r="R482" s="580"/>
      <c r="S482" s="580"/>
      <c r="T482" s="580"/>
      <c r="U482" s="580"/>
      <c r="V482" s="580"/>
      <c r="W482" s="580"/>
      <c r="X482" s="580"/>
      <c r="Y482" s="580"/>
      <c r="Z482" s="580"/>
      <c r="AA482" s="580"/>
      <c r="AB482" s="580"/>
    </row>
    <row r="483" ht="15.75" customHeight="1">
      <c r="A483" s="570"/>
      <c r="B483" s="570"/>
      <c r="C483" s="580"/>
      <c r="D483" s="580"/>
      <c r="E483" s="580"/>
      <c r="F483" s="580"/>
      <c r="G483" s="580"/>
      <c r="H483" s="580"/>
      <c r="I483" s="580"/>
      <c r="J483" s="580"/>
      <c r="K483" s="580"/>
      <c r="L483" s="580"/>
      <c r="M483" s="580"/>
      <c r="N483" s="580"/>
      <c r="O483" s="580"/>
      <c r="P483" s="580"/>
      <c r="Q483" s="580"/>
      <c r="R483" s="580"/>
      <c r="S483" s="580"/>
      <c r="T483" s="580"/>
      <c r="U483" s="580"/>
      <c r="V483" s="580"/>
      <c r="W483" s="580"/>
      <c r="X483" s="580"/>
      <c r="Y483" s="580"/>
      <c r="Z483" s="580"/>
      <c r="AA483" s="580"/>
      <c r="AB483" s="580"/>
    </row>
    <row r="484" ht="15.75" customHeight="1">
      <c r="A484" s="570"/>
      <c r="B484" s="570"/>
      <c r="C484" s="580"/>
      <c r="D484" s="580"/>
      <c r="E484" s="580"/>
      <c r="F484" s="580"/>
      <c r="G484" s="580"/>
      <c r="H484" s="580"/>
      <c r="I484" s="580"/>
      <c r="J484" s="580"/>
      <c r="K484" s="580"/>
      <c r="L484" s="580"/>
      <c r="M484" s="580"/>
      <c r="N484" s="580"/>
      <c r="O484" s="580"/>
      <c r="P484" s="580"/>
      <c r="Q484" s="580"/>
      <c r="R484" s="580"/>
      <c r="S484" s="580"/>
      <c r="T484" s="580"/>
      <c r="U484" s="580"/>
      <c r="V484" s="580"/>
      <c r="W484" s="580"/>
      <c r="X484" s="580"/>
      <c r="Y484" s="580"/>
      <c r="Z484" s="580"/>
      <c r="AA484" s="580"/>
      <c r="AB484" s="580"/>
    </row>
    <row r="485" ht="15.75" customHeight="1">
      <c r="A485" s="570"/>
      <c r="B485" s="570"/>
      <c r="C485" s="580"/>
      <c r="D485" s="580"/>
      <c r="E485" s="580"/>
      <c r="F485" s="580"/>
      <c r="G485" s="580"/>
      <c r="H485" s="580"/>
      <c r="I485" s="580"/>
      <c r="J485" s="580"/>
      <c r="K485" s="580"/>
      <c r="L485" s="580"/>
      <c r="M485" s="580"/>
      <c r="N485" s="580"/>
      <c r="O485" s="580"/>
      <c r="P485" s="580"/>
      <c r="Q485" s="580"/>
      <c r="R485" s="580"/>
      <c r="S485" s="580"/>
      <c r="T485" s="580"/>
      <c r="U485" s="580"/>
      <c r="V485" s="580"/>
      <c r="W485" s="580"/>
      <c r="X485" s="580"/>
      <c r="Y485" s="580"/>
      <c r="Z485" s="580"/>
      <c r="AA485" s="580"/>
      <c r="AB485" s="580"/>
    </row>
    <row r="486" ht="15.75" customHeight="1">
      <c r="A486" s="570"/>
      <c r="B486" s="570"/>
      <c r="C486" s="580"/>
      <c r="D486" s="580"/>
      <c r="E486" s="580"/>
      <c r="F486" s="580"/>
      <c r="G486" s="580"/>
      <c r="H486" s="580"/>
      <c r="I486" s="580"/>
      <c r="J486" s="580"/>
      <c r="K486" s="580"/>
      <c r="L486" s="580"/>
      <c r="M486" s="580"/>
      <c r="N486" s="580"/>
      <c r="O486" s="580"/>
      <c r="P486" s="580"/>
      <c r="Q486" s="580"/>
      <c r="R486" s="580"/>
      <c r="S486" s="580"/>
      <c r="T486" s="580"/>
      <c r="U486" s="580"/>
      <c r="V486" s="580"/>
      <c r="W486" s="580"/>
      <c r="X486" s="580"/>
      <c r="Y486" s="580"/>
      <c r="Z486" s="580"/>
      <c r="AA486" s="580"/>
      <c r="AB486" s="580"/>
    </row>
    <row r="487" ht="15.75" customHeight="1">
      <c r="A487" s="570"/>
      <c r="B487" s="570"/>
      <c r="C487" s="580"/>
      <c r="D487" s="580"/>
      <c r="E487" s="580"/>
      <c r="F487" s="580"/>
      <c r="G487" s="580"/>
      <c r="H487" s="580"/>
      <c r="I487" s="580"/>
      <c r="J487" s="580"/>
      <c r="K487" s="580"/>
      <c r="L487" s="580"/>
      <c r="M487" s="580"/>
      <c r="N487" s="580"/>
      <c r="O487" s="580"/>
      <c r="P487" s="580"/>
      <c r="Q487" s="580"/>
      <c r="R487" s="580"/>
      <c r="S487" s="580"/>
      <c r="T487" s="580"/>
      <c r="U487" s="580"/>
      <c r="V487" s="580"/>
      <c r="W487" s="580"/>
      <c r="X487" s="580"/>
      <c r="Y487" s="580"/>
      <c r="Z487" s="580"/>
      <c r="AA487" s="580"/>
      <c r="AB487" s="580"/>
    </row>
    <row r="488" ht="15.75" customHeight="1">
      <c r="A488" s="570"/>
      <c r="B488" s="570"/>
      <c r="C488" s="580"/>
      <c r="D488" s="580"/>
      <c r="E488" s="580"/>
      <c r="F488" s="580"/>
      <c r="G488" s="580"/>
      <c r="H488" s="580"/>
      <c r="I488" s="580"/>
      <c r="J488" s="580"/>
      <c r="K488" s="580"/>
      <c r="L488" s="580"/>
      <c r="M488" s="580"/>
      <c r="N488" s="580"/>
      <c r="O488" s="580"/>
      <c r="P488" s="580"/>
      <c r="Q488" s="580"/>
      <c r="R488" s="580"/>
      <c r="S488" s="580"/>
      <c r="T488" s="580"/>
      <c r="U488" s="580"/>
      <c r="V488" s="580"/>
      <c r="W488" s="580"/>
      <c r="X488" s="580"/>
      <c r="Y488" s="580"/>
      <c r="Z488" s="580"/>
      <c r="AA488" s="580"/>
      <c r="AB488" s="580"/>
    </row>
    <row r="489" ht="15.75" customHeight="1">
      <c r="A489" s="570"/>
      <c r="B489" s="570"/>
      <c r="C489" s="580"/>
      <c r="D489" s="580"/>
      <c r="E489" s="580"/>
      <c r="F489" s="580"/>
      <c r="G489" s="580"/>
      <c r="H489" s="580"/>
      <c r="I489" s="580"/>
      <c r="J489" s="580"/>
      <c r="K489" s="580"/>
      <c r="L489" s="580"/>
      <c r="M489" s="580"/>
      <c r="N489" s="580"/>
      <c r="O489" s="580"/>
      <c r="P489" s="580"/>
      <c r="Q489" s="580"/>
      <c r="R489" s="580"/>
      <c r="S489" s="580"/>
      <c r="T489" s="580"/>
      <c r="U489" s="580"/>
      <c r="V489" s="580"/>
      <c r="W489" s="580"/>
      <c r="X489" s="580"/>
      <c r="Y489" s="580"/>
      <c r="Z489" s="580"/>
      <c r="AA489" s="580"/>
      <c r="AB489" s="580"/>
    </row>
    <row r="490" ht="15.75" customHeight="1">
      <c r="A490" s="570"/>
      <c r="B490" s="570"/>
      <c r="C490" s="580"/>
      <c r="D490" s="580"/>
      <c r="E490" s="580"/>
      <c r="F490" s="580"/>
      <c r="G490" s="580"/>
      <c r="H490" s="580"/>
      <c r="I490" s="580"/>
      <c r="J490" s="580"/>
      <c r="K490" s="580"/>
      <c r="L490" s="580"/>
      <c r="M490" s="580"/>
      <c r="N490" s="580"/>
      <c r="O490" s="580"/>
      <c r="P490" s="580"/>
      <c r="Q490" s="580"/>
      <c r="R490" s="580"/>
      <c r="S490" s="580"/>
      <c r="T490" s="580"/>
      <c r="U490" s="580"/>
      <c r="V490" s="580"/>
      <c r="W490" s="580"/>
      <c r="X490" s="580"/>
      <c r="Y490" s="580"/>
      <c r="Z490" s="580"/>
      <c r="AA490" s="580"/>
      <c r="AB490" s="580"/>
    </row>
    <row r="491" ht="15.75" customHeight="1">
      <c r="A491" s="570"/>
      <c r="B491" s="570"/>
      <c r="C491" s="580"/>
      <c r="D491" s="580"/>
      <c r="E491" s="580"/>
      <c r="F491" s="580"/>
      <c r="G491" s="580"/>
      <c r="H491" s="580"/>
      <c r="I491" s="580"/>
      <c r="J491" s="580"/>
      <c r="K491" s="580"/>
      <c r="L491" s="580"/>
      <c r="M491" s="580"/>
      <c r="N491" s="580"/>
      <c r="O491" s="580"/>
      <c r="P491" s="580"/>
      <c r="Q491" s="580"/>
      <c r="R491" s="580"/>
      <c r="S491" s="580"/>
      <c r="T491" s="580"/>
      <c r="U491" s="580"/>
      <c r="V491" s="580"/>
      <c r="W491" s="580"/>
      <c r="X491" s="580"/>
      <c r="Y491" s="580"/>
      <c r="Z491" s="580"/>
      <c r="AA491" s="580"/>
      <c r="AB491" s="580"/>
    </row>
    <row r="492" ht="15.75" customHeight="1">
      <c r="A492" s="570"/>
      <c r="B492" s="570"/>
      <c r="C492" s="580"/>
      <c r="D492" s="580"/>
      <c r="E492" s="580"/>
      <c r="F492" s="580"/>
      <c r="G492" s="580"/>
      <c r="H492" s="580"/>
      <c r="I492" s="580"/>
      <c r="J492" s="580"/>
      <c r="K492" s="580"/>
      <c r="L492" s="580"/>
      <c r="M492" s="580"/>
      <c r="N492" s="580"/>
      <c r="O492" s="580"/>
      <c r="P492" s="580"/>
      <c r="Q492" s="580"/>
      <c r="R492" s="580"/>
      <c r="S492" s="580"/>
      <c r="T492" s="580"/>
      <c r="U492" s="580"/>
      <c r="V492" s="580"/>
      <c r="W492" s="580"/>
      <c r="X492" s="580"/>
      <c r="Y492" s="580"/>
      <c r="Z492" s="580"/>
      <c r="AA492" s="580"/>
      <c r="AB492" s="580"/>
    </row>
    <row r="493" ht="15.75" customHeight="1">
      <c r="A493" s="570"/>
      <c r="B493" s="570"/>
      <c r="C493" s="580"/>
      <c r="D493" s="580"/>
      <c r="E493" s="580"/>
      <c r="F493" s="580"/>
      <c r="G493" s="580"/>
      <c r="H493" s="580"/>
      <c r="I493" s="580"/>
      <c r="J493" s="580"/>
      <c r="K493" s="580"/>
      <c r="L493" s="580"/>
      <c r="M493" s="580"/>
      <c r="N493" s="580"/>
      <c r="O493" s="580"/>
      <c r="P493" s="580"/>
      <c r="Q493" s="580"/>
      <c r="R493" s="580"/>
      <c r="S493" s="580"/>
      <c r="T493" s="580"/>
      <c r="U493" s="580"/>
      <c r="V493" s="580"/>
      <c r="W493" s="580"/>
      <c r="X493" s="580"/>
      <c r="Y493" s="580"/>
      <c r="Z493" s="580"/>
      <c r="AA493" s="580"/>
      <c r="AB493" s="580"/>
    </row>
    <row r="494" ht="15.75" customHeight="1">
      <c r="A494" s="570"/>
      <c r="B494" s="570"/>
      <c r="C494" s="580"/>
      <c r="D494" s="580"/>
      <c r="E494" s="580"/>
      <c r="F494" s="580"/>
      <c r="G494" s="580"/>
      <c r="H494" s="580"/>
      <c r="I494" s="580"/>
      <c r="J494" s="580"/>
      <c r="K494" s="580"/>
      <c r="L494" s="580"/>
      <c r="M494" s="580"/>
      <c r="N494" s="580"/>
      <c r="O494" s="580"/>
      <c r="P494" s="580"/>
      <c r="Q494" s="580"/>
      <c r="R494" s="580"/>
      <c r="S494" s="580"/>
      <c r="T494" s="580"/>
      <c r="U494" s="580"/>
      <c r="V494" s="580"/>
      <c r="W494" s="580"/>
      <c r="X494" s="580"/>
      <c r="Y494" s="580"/>
      <c r="Z494" s="580"/>
      <c r="AA494" s="580"/>
      <c r="AB494" s="580"/>
    </row>
    <row r="495" ht="15.75" customHeight="1">
      <c r="A495" s="570"/>
      <c r="B495" s="570"/>
      <c r="C495" s="580"/>
      <c r="D495" s="580"/>
      <c r="E495" s="580"/>
      <c r="F495" s="580"/>
      <c r="G495" s="580"/>
      <c r="H495" s="580"/>
      <c r="I495" s="580"/>
      <c r="J495" s="580"/>
      <c r="K495" s="580"/>
      <c r="L495" s="580"/>
      <c r="M495" s="580"/>
      <c r="N495" s="580"/>
      <c r="O495" s="580"/>
      <c r="P495" s="580"/>
      <c r="Q495" s="580"/>
      <c r="R495" s="580"/>
      <c r="S495" s="580"/>
      <c r="T495" s="580"/>
      <c r="U495" s="580"/>
      <c r="V495" s="580"/>
      <c r="W495" s="580"/>
      <c r="X495" s="580"/>
      <c r="Y495" s="580"/>
      <c r="Z495" s="580"/>
      <c r="AA495" s="580"/>
      <c r="AB495" s="580"/>
    </row>
    <row r="496" ht="15.75" customHeight="1">
      <c r="A496" s="570"/>
      <c r="B496" s="570"/>
      <c r="C496" s="580"/>
      <c r="D496" s="580"/>
      <c r="E496" s="580"/>
      <c r="F496" s="580"/>
      <c r="G496" s="580"/>
      <c r="H496" s="580"/>
      <c r="I496" s="580"/>
      <c r="J496" s="580"/>
      <c r="K496" s="580"/>
      <c r="L496" s="580"/>
      <c r="M496" s="580"/>
      <c r="N496" s="580"/>
      <c r="O496" s="580"/>
      <c r="P496" s="580"/>
      <c r="Q496" s="580"/>
      <c r="R496" s="580"/>
      <c r="S496" s="580"/>
      <c r="T496" s="580"/>
      <c r="U496" s="580"/>
      <c r="V496" s="580"/>
      <c r="W496" s="580"/>
      <c r="X496" s="580"/>
      <c r="Y496" s="580"/>
      <c r="Z496" s="580"/>
      <c r="AA496" s="580"/>
      <c r="AB496" s="580"/>
    </row>
    <row r="497" ht="15.75" customHeight="1">
      <c r="A497" s="570"/>
      <c r="B497" s="570"/>
      <c r="C497" s="580"/>
      <c r="D497" s="580"/>
      <c r="E497" s="580"/>
      <c r="F497" s="580"/>
      <c r="G497" s="580"/>
      <c r="H497" s="580"/>
      <c r="I497" s="580"/>
      <c r="J497" s="580"/>
      <c r="K497" s="580"/>
      <c r="L497" s="580"/>
      <c r="M497" s="580"/>
      <c r="N497" s="580"/>
      <c r="O497" s="580"/>
      <c r="P497" s="580"/>
      <c r="Q497" s="580"/>
      <c r="R497" s="580"/>
      <c r="S497" s="580"/>
      <c r="T497" s="580"/>
      <c r="U497" s="580"/>
      <c r="V497" s="580"/>
      <c r="W497" s="580"/>
      <c r="X497" s="580"/>
      <c r="Y497" s="580"/>
      <c r="Z497" s="580"/>
      <c r="AA497" s="580"/>
      <c r="AB497" s="580"/>
    </row>
    <row r="498" ht="15.75" customHeight="1">
      <c r="A498" s="570"/>
      <c r="B498" s="570"/>
      <c r="C498" s="580"/>
      <c r="D498" s="580"/>
      <c r="E498" s="580"/>
      <c r="F498" s="580"/>
      <c r="G498" s="580"/>
      <c r="H498" s="580"/>
      <c r="I498" s="580"/>
      <c r="J498" s="580"/>
      <c r="K498" s="580"/>
      <c r="L498" s="580"/>
      <c r="M498" s="580"/>
      <c r="N498" s="580"/>
      <c r="O498" s="580"/>
      <c r="P498" s="580"/>
      <c r="Q498" s="580"/>
      <c r="R498" s="580"/>
      <c r="S498" s="580"/>
      <c r="T498" s="580"/>
      <c r="U498" s="580"/>
      <c r="V498" s="580"/>
      <c r="W498" s="580"/>
      <c r="X498" s="580"/>
      <c r="Y498" s="580"/>
      <c r="Z498" s="580"/>
      <c r="AA498" s="580"/>
      <c r="AB498" s="580"/>
    </row>
    <row r="499" ht="15.75" customHeight="1">
      <c r="A499" s="570"/>
      <c r="B499" s="570"/>
      <c r="C499" s="580"/>
      <c r="D499" s="580"/>
      <c r="E499" s="580"/>
      <c r="F499" s="580"/>
      <c r="G499" s="580"/>
      <c r="H499" s="580"/>
      <c r="I499" s="580"/>
      <c r="J499" s="580"/>
      <c r="K499" s="580"/>
      <c r="L499" s="580"/>
      <c r="M499" s="580"/>
      <c r="N499" s="580"/>
      <c r="O499" s="580"/>
      <c r="P499" s="580"/>
      <c r="Q499" s="580"/>
      <c r="R499" s="580"/>
      <c r="S499" s="580"/>
      <c r="T499" s="580"/>
      <c r="U499" s="580"/>
      <c r="V499" s="580"/>
      <c r="W499" s="580"/>
      <c r="X499" s="580"/>
      <c r="Y499" s="580"/>
      <c r="Z499" s="580"/>
      <c r="AA499" s="580"/>
      <c r="AB499" s="580"/>
    </row>
    <row r="500" ht="15.75" customHeight="1">
      <c r="A500" s="570"/>
      <c r="B500" s="570"/>
      <c r="C500" s="580"/>
      <c r="D500" s="580"/>
      <c r="E500" s="580"/>
      <c r="F500" s="580"/>
      <c r="G500" s="580"/>
      <c r="H500" s="580"/>
      <c r="I500" s="580"/>
      <c r="J500" s="580"/>
      <c r="K500" s="580"/>
      <c r="L500" s="580"/>
      <c r="M500" s="580"/>
      <c r="N500" s="580"/>
      <c r="O500" s="580"/>
      <c r="P500" s="580"/>
      <c r="Q500" s="580"/>
      <c r="R500" s="580"/>
      <c r="S500" s="580"/>
      <c r="T500" s="580"/>
      <c r="U500" s="580"/>
      <c r="V500" s="580"/>
      <c r="W500" s="580"/>
      <c r="X500" s="580"/>
      <c r="Y500" s="580"/>
      <c r="Z500" s="580"/>
      <c r="AA500" s="580"/>
      <c r="AB500" s="580"/>
    </row>
    <row r="501" ht="15.75" customHeight="1">
      <c r="A501" s="570"/>
      <c r="B501" s="570"/>
      <c r="C501" s="580"/>
      <c r="D501" s="580"/>
      <c r="E501" s="580"/>
      <c r="F501" s="580"/>
      <c r="G501" s="580"/>
      <c r="H501" s="580"/>
      <c r="I501" s="580"/>
      <c r="J501" s="580"/>
      <c r="K501" s="580"/>
      <c r="L501" s="580"/>
      <c r="M501" s="580"/>
      <c r="N501" s="580"/>
      <c r="O501" s="580"/>
      <c r="P501" s="580"/>
      <c r="Q501" s="580"/>
      <c r="R501" s="580"/>
      <c r="S501" s="580"/>
      <c r="T501" s="580"/>
      <c r="U501" s="580"/>
      <c r="V501" s="580"/>
      <c r="W501" s="580"/>
      <c r="X501" s="580"/>
      <c r="Y501" s="580"/>
      <c r="Z501" s="580"/>
      <c r="AA501" s="580"/>
      <c r="AB501" s="580"/>
    </row>
    <row r="502" ht="15.75" customHeight="1">
      <c r="A502" s="570"/>
      <c r="B502" s="570"/>
      <c r="C502" s="580"/>
      <c r="D502" s="580"/>
      <c r="E502" s="580"/>
      <c r="F502" s="580"/>
      <c r="G502" s="580"/>
      <c r="H502" s="580"/>
      <c r="I502" s="580"/>
      <c r="J502" s="580"/>
      <c r="K502" s="580"/>
      <c r="L502" s="580"/>
      <c r="M502" s="580"/>
      <c r="N502" s="580"/>
      <c r="O502" s="580"/>
      <c r="P502" s="580"/>
      <c r="Q502" s="580"/>
      <c r="R502" s="580"/>
      <c r="S502" s="580"/>
      <c r="T502" s="580"/>
      <c r="U502" s="580"/>
      <c r="V502" s="580"/>
      <c r="W502" s="580"/>
      <c r="X502" s="580"/>
      <c r="Y502" s="580"/>
      <c r="Z502" s="580"/>
      <c r="AA502" s="580"/>
      <c r="AB502" s="580"/>
    </row>
    <row r="503" ht="15.75" customHeight="1">
      <c r="A503" s="570"/>
      <c r="B503" s="570"/>
      <c r="C503" s="580"/>
      <c r="D503" s="580"/>
      <c r="E503" s="580"/>
      <c r="F503" s="580"/>
      <c r="G503" s="580"/>
      <c r="H503" s="580"/>
      <c r="I503" s="580"/>
      <c r="J503" s="580"/>
      <c r="K503" s="580"/>
      <c r="L503" s="580"/>
      <c r="M503" s="580"/>
      <c r="N503" s="580"/>
      <c r="O503" s="580"/>
      <c r="P503" s="580"/>
      <c r="Q503" s="580"/>
      <c r="R503" s="580"/>
      <c r="S503" s="580"/>
      <c r="T503" s="580"/>
      <c r="U503" s="580"/>
      <c r="V503" s="580"/>
      <c r="W503" s="580"/>
      <c r="X503" s="580"/>
      <c r="Y503" s="580"/>
      <c r="Z503" s="580"/>
      <c r="AA503" s="580"/>
      <c r="AB503" s="580"/>
    </row>
    <row r="504" ht="15.75" customHeight="1">
      <c r="A504" s="570"/>
      <c r="B504" s="570"/>
      <c r="C504" s="580"/>
      <c r="D504" s="580"/>
      <c r="E504" s="580"/>
      <c r="F504" s="580"/>
      <c r="G504" s="580"/>
      <c r="H504" s="580"/>
      <c r="I504" s="580"/>
      <c r="J504" s="580"/>
      <c r="K504" s="580"/>
      <c r="L504" s="580"/>
      <c r="M504" s="580"/>
      <c r="N504" s="580"/>
      <c r="O504" s="580"/>
      <c r="P504" s="580"/>
      <c r="Q504" s="580"/>
      <c r="R504" s="580"/>
      <c r="S504" s="580"/>
      <c r="T504" s="580"/>
      <c r="U504" s="580"/>
      <c r="V504" s="580"/>
      <c r="W504" s="580"/>
      <c r="X504" s="580"/>
      <c r="Y504" s="580"/>
      <c r="Z504" s="580"/>
      <c r="AA504" s="580"/>
      <c r="AB504" s="580"/>
    </row>
    <row r="505" ht="15.75" customHeight="1">
      <c r="A505" s="570"/>
      <c r="B505" s="570"/>
      <c r="C505" s="580"/>
      <c r="D505" s="580"/>
      <c r="E505" s="580"/>
      <c r="F505" s="580"/>
      <c r="G505" s="580"/>
      <c r="H505" s="580"/>
      <c r="I505" s="580"/>
      <c r="J505" s="580"/>
      <c r="K505" s="580"/>
      <c r="L505" s="580"/>
      <c r="M505" s="580"/>
      <c r="N505" s="580"/>
      <c r="O505" s="580"/>
      <c r="P505" s="580"/>
      <c r="Q505" s="580"/>
      <c r="R505" s="580"/>
      <c r="S505" s="580"/>
      <c r="T505" s="580"/>
      <c r="U505" s="580"/>
      <c r="V505" s="580"/>
      <c r="W505" s="580"/>
      <c r="X505" s="580"/>
      <c r="Y505" s="580"/>
      <c r="Z505" s="580"/>
      <c r="AA505" s="580"/>
      <c r="AB505" s="580"/>
    </row>
    <row r="506" ht="15.75" customHeight="1">
      <c r="A506" s="570"/>
      <c r="B506" s="570"/>
      <c r="C506" s="580"/>
      <c r="D506" s="580"/>
      <c r="E506" s="580"/>
      <c r="F506" s="580"/>
      <c r="G506" s="580"/>
      <c r="H506" s="580"/>
      <c r="I506" s="580"/>
      <c r="J506" s="580"/>
      <c r="K506" s="580"/>
      <c r="L506" s="580"/>
      <c r="M506" s="580"/>
      <c r="N506" s="580"/>
      <c r="O506" s="580"/>
      <c r="P506" s="580"/>
      <c r="Q506" s="580"/>
      <c r="R506" s="580"/>
      <c r="S506" s="580"/>
      <c r="T506" s="580"/>
      <c r="U506" s="580"/>
      <c r="V506" s="580"/>
      <c r="W506" s="580"/>
      <c r="X506" s="580"/>
      <c r="Y506" s="580"/>
      <c r="Z506" s="580"/>
      <c r="AA506" s="580"/>
      <c r="AB506" s="580"/>
    </row>
    <row r="507" ht="15.75" customHeight="1">
      <c r="A507" s="570"/>
      <c r="B507" s="570"/>
      <c r="C507" s="580"/>
      <c r="D507" s="580"/>
      <c r="E507" s="580"/>
      <c r="F507" s="580"/>
      <c r="G507" s="580"/>
      <c r="H507" s="580"/>
      <c r="I507" s="580"/>
      <c r="J507" s="580"/>
      <c r="K507" s="580"/>
      <c r="L507" s="580"/>
      <c r="M507" s="580"/>
      <c r="N507" s="580"/>
      <c r="O507" s="580"/>
      <c r="P507" s="580"/>
      <c r="Q507" s="580"/>
      <c r="R507" s="580"/>
      <c r="S507" s="580"/>
      <c r="T507" s="580"/>
      <c r="U507" s="580"/>
      <c r="V507" s="580"/>
      <c r="W507" s="580"/>
      <c r="X507" s="580"/>
      <c r="Y507" s="580"/>
      <c r="Z507" s="580"/>
      <c r="AA507" s="580"/>
      <c r="AB507" s="580"/>
    </row>
    <row r="508" ht="15.75" customHeight="1">
      <c r="A508" s="570"/>
      <c r="B508" s="570"/>
      <c r="C508" s="580"/>
      <c r="D508" s="580"/>
      <c r="E508" s="580"/>
      <c r="F508" s="580"/>
      <c r="G508" s="580"/>
      <c r="H508" s="580"/>
      <c r="I508" s="580"/>
      <c r="J508" s="580"/>
      <c r="K508" s="580"/>
      <c r="L508" s="580"/>
      <c r="M508" s="580"/>
      <c r="N508" s="580"/>
      <c r="O508" s="580"/>
      <c r="P508" s="580"/>
      <c r="Q508" s="580"/>
      <c r="R508" s="580"/>
      <c r="S508" s="580"/>
      <c r="T508" s="580"/>
      <c r="U508" s="580"/>
      <c r="V508" s="580"/>
      <c r="W508" s="580"/>
      <c r="X508" s="580"/>
      <c r="Y508" s="580"/>
      <c r="Z508" s="580"/>
      <c r="AA508" s="580"/>
      <c r="AB508" s="580"/>
    </row>
    <row r="509" ht="15.75" customHeight="1">
      <c r="A509" s="570"/>
      <c r="B509" s="570"/>
      <c r="C509" s="580"/>
      <c r="D509" s="580"/>
      <c r="E509" s="580"/>
      <c r="F509" s="580"/>
      <c r="G509" s="580"/>
      <c r="H509" s="580"/>
      <c r="I509" s="580"/>
      <c r="J509" s="580"/>
      <c r="K509" s="580"/>
      <c r="L509" s="580"/>
      <c r="M509" s="580"/>
      <c r="N509" s="580"/>
      <c r="O509" s="580"/>
      <c r="P509" s="580"/>
      <c r="Q509" s="580"/>
      <c r="R509" s="580"/>
      <c r="S509" s="580"/>
      <c r="T509" s="580"/>
      <c r="U509" s="580"/>
      <c r="V509" s="580"/>
      <c r="W509" s="580"/>
      <c r="X509" s="580"/>
      <c r="Y509" s="580"/>
      <c r="Z509" s="580"/>
      <c r="AA509" s="580"/>
      <c r="AB509" s="580"/>
    </row>
    <row r="510" ht="15.75" customHeight="1">
      <c r="A510" s="570"/>
      <c r="B510" s="570"/>
      <c r="C510" s="580"/>
      <c r="D510" s="580"/>
      <c r="E510" s="580"/>
      <c r="F510" s="580"/>
      <c r="G510" s="580"/>
      <c r="H510" s="580"/>
      <c r="I510" s="580"/>
      <c r="J510" s="580"/>
      <c r="K510" s="580"/>
      <c r="L510" s="580"/>
      <c r="M510" s="580"/>
      <c r="N510" s="580"/>
      <c r="O510" s="580"/>
      <c r="P510" s="580"/>
      <c r="Q510" s="580"/>
      <c r="R510" s="580"/>
      <c r="S510" s="580"/>
      <c r="T510" s="580"/>
      <c r="U510" s="580"/>
      <c r="V510" s="580"/>
      <c r="W510" s="580"/>
      <c r="X510" s="580"/>
      <c r="Y510" s="580"/>
      <c r="Z510" s="580"/>
      <c r="AA510" s="580"/>
      <c r="AB510" s="580"/>
    </row>
    <row r="511" ht="15.75" customHeight="1">
      <c r="A511" s="570"/>
      <c r="B511" s="570"/>
      <c r="C511" s="580"/>
      <c r="D511" s="580"/>
      <c r="E511" s="580"/>
      <c r="F511" s="580"/>
      <c r="G511" s="580"/>
      <c r="H511" s="580"/>
      <c r="I511" s="580"/>
      <c r="J511" s="580"/>
      <c r="K511" s="580"/>
      <c r="L511" s="580"/>
      <c r="M511" s="580"/>
      <c r="N511" s="580"/>
      <c r="O511" s="580"/>
      <c r="P511" s="580"/>
      <c r="Q511" s="580"/>
      <c r="R511" s="580"/>
      <c r="S511" s="580"/>
      <c r="T511" s="580"/>
      <c r="U511" s="580"/>
      <c r="V511" s="580"/>
      <c r="W511" s="580"/>
      <c r="X511" s="580"/>
      <c r="Y511" s="580"/>
      <c r="Z511" s="580"/>
      <c r="AA511" s="580"/>
      <c r="AB511" s="580"/>
    </row>
    <row r="512" ht="15.75" customHeight="1">
      <c r="A512" s="570"/>
      <c r="B512" s="570"/>
      <c r="C512" s="580"/>
      <c r="D512" s="580"/>
      <c r="E512" s="580"/>
      <c r="F512" s="580"/>
      <c r="G512" s="580"/>
      <c r="H512" s="580"/>
      <c r="I512" s="580"/>
      <c r="J512" s="580"/>
      <c r="K512" s="580"/>
      <c r="L512" s="580"/>
      <c r="M512" s="580"/>
      <c r="N512" s="580"/>
      <c r="O512" s="580"/>
      <c r="P512" s="580"/>
      <c r="Q512" s="580"/>
      <c r="R512" s="580"/>
      <c r="S512" s="580"/>
      <c r="T512" s="580"/>
      <c r="U512" s="580"/>
      <c r="V512" s="580"/>
      <c r="W512" s="580"/>
      <c r="X512" s="580"/>
      <c r="Y512" s="580"/>
      <c r="Z512" s="580"/>
      <c r="AA512" s="580"/>
      <c r="AB512" s="580"/>
    </row>
    <row r="513" ht="15.75" customHeight="1">
      <c r="A513" s="570"/>
      <c r="B513" s="570"/>
      <c r="C513" s="580"/>
      <c r="D513" s="580"/>
      <c r="E513" s="580"/>
      <c r="F513" s="580"/>
      <c r="G513" s="580"/>
      <c r="H513" s="580"/>
      <c r="I513" s="580"/>
      <c r="J513" s="580"/>
      <c r="K513" s="580"/>
      <c r="L513" s="580"/>
      <c r="M513" s="580"/>
      <c r="N513" s="580"/>
      <c r="O513" s="580"/>
      <c r="P513" s="580"/>
      <c r="Q513" s="580"/>
      <c r="R513" s="580"/>
      <c r="S513" s="580"/>
      <c r="T513" s="580"/>
      <c r="U513" s="580"/>
      <c r="V513" s="580"/>
      <c r="W513" s="580"/>
      <c r="X513" s="580"/>
      <c r="Y513" s="580"/>
      <c r="Z513" s="580"/>
      <c r="AA513" s="580"/>
      <c r="AB513" s="580"/>
    </row>
    <row r="514" ht="15.75" customHeight="1">
      <c r="A514" s="570"/>
      <c r="B514" s="570"/>
      <c r="C514" s="580"/>
      <c r="D514" s="580"/>
      <c r="E514" s="580"/>
      <c r="F514" s="580"/>
      <c r="G514" s="580"/>
      <c r="H514" s="580"/>
      <c r="I514" s="580"/>
      <c r="J514" s="580"/>
      <c r="K514" s="580"/>
      <c r="L514" s="580"/>
      <c r="M514" s="580"/>
      <c r="N514" s="580"/>
      <c r="O514" s="580"/>
      <c r="P514" s="580"/>
      <c r="Q514" s="580"/>
      <c r="R514" s="580"/>
      <c r="S514" s="580"/>
      <c r="T514" s="580"/>
      <c r="U514" s="580"/>
      <c r="V514" s="580"/>
      <c r="W514" s="580"/>
      <c r="X514" s="580"/>
      <c r="Y514" s="580"/>
      <c r="Z514" s="580"/>
      <c r="AA514" s="580"/>
      <c r="AB514" s="580"/>
    </row>
    <row r="515" ht="15.75" customHeight="1">
      <c r="A515" s="570"/>
      <c r="B515" s="570"/>
      <c r="C515" s="580"/>
      <c r="D515" s="580"/>
      <c r="E515" s="580"/>
      <c r="F515" s="580"/>
      <c r="G515" s="580"/>
      <c r="H515" s="580"/>
      <c r="I515" s="580"/>
      <c r="J515" s="580"/>
      <c r="K515" s="580"/>
      <c r="L515" s="580"/>
      <c r="M515" s="580"/>
      <c r="N515" s="580"/>
      <c r="O515" s="580"/>
      <c r="P515" s="580"/>
      <c r="Q515" s="580"/>
      <c r="R515" s="580"/>
      <c r="S515" s="580"/>
      <c r="T515" s="580"/>
      <c r="U515" s="580"/>
      <c r="V515" s="580"/>
      <c r="W515" s="580"/>
      <c r="X515" s="580"/>
      <c r="Y515" s="580"/>
      <c r="Z515" s="580"/>
      <c r="AA515" s="580"/>
      <c r="AB515" s="580"/>
    </row>
    <row r="516" ht="15.75" customHeight="1">
      <c r="A516" s="570"/>
      <c r="B516" s="570"/>
      <c r="C516" s="580"/>
      <c r="D516" s="580"/>
      <c r="E516" s="580"/>
      <c r="F516" s="580"/>
      <c r="G516" s="580"/>
      <c r="H516" s="580"/>
      <c r="I516" s="580"/>
      <c r="J516" s="580"/>
      <c r="K516" s="580"/>
      <c r="L516" s="580"/>
      <c r="M516" s="580"/>
      <c r="N516" s="580"/>
      <c r="O516" s="580"/>
      <c r="P516" s="580"/>
      <c r="Q516" s="580"/>
      <c r="R516" s="580"/>
      <c r="S516" s="580"/>
      <c r="T516" s="580"/>
      <c r="U516" s="580"/>
      <c r="V516" s="580"/>
      <c r="W516" s="580"/>
      <c r="X516" s="580"/>
      <c r="Y516" s="580"/>
      <c r="Z516" s="580"/>
      <c r="AA516" s="580"/>
      <c r="AB516" s="580"/>
    </row>
    <row r="517" ht="15.75" customHeight="1">
      <c r="A517" s="570"/>
      <c r="B517" s="570"/>
      <c r="C517" s="580"/>
      <c r="D517" s="580"/>
      <c r="E517" s="580"/>
      <c r="F517" s="580"/>
      <c r="G517" s="580"/>
      <c r="H517" s="580"/>
      <c r="I517" s="580"/>
      <c r="J517" s="580"/>
      <c r="K517" s="580"/>
      <c r="L517" s="580"/>
      <c r="M517" s="580"/>
      <c r="N517" s="580"/>
      <c r="O517" s="580"/>
      <c r="P517" s="580"/>
      <c r="Q517" s="580"/>
      <c r="R517" s="580"/>
      <c r="S517" s="580"/>
      <c r="T517" s="580"/>
      <c r="U517" s="580"/>
      <c r="V517" s="580"/>
      <c r="W517" s="580"/>
      <c r="X517" s="580"/>
      <c r="Y517" s="580"/>
      <c r="Z517" s="580"/>
      <c r="AA517" s="580"/>
      <c r="AB517" s="580"/>
    </row>
    <row r="518" ht="15.75" customHeight="1">
      <c r="A518" s="570"/>
      <c r="B518" s="570"/>
      <c r="C518" s="580"/>
      <c r="D518" s="580"/>
      <c r="E518" s="580"/>
      <c r="F518" s="580"/>
      <c r="G518" s="580"/>
      <c r="H518" s="580"/>
      <c r="I518" s="580"/>
      <c r="J518" s="580"/>
      <c r="K518" s="580"/>
      <c r="L518" s="580"/>
      <c r="M518" s="580"/>
      <c r="N518" s="580"/>
      <c r="O518" s="580"/>
      <c r="P518" s="580"/>
      <c r="Q518" s="580"/>
      <c r="R518" s="580"/>
      <c r="S518" s="580"/>
      <c r="T518" s="580"/>
      <c r="U518" s="580"/>
      <c r="V518" s="580"/>
      <c r="W518" s="580"/>
      <c r="X518" s="580"/>
      <c r="Y518" s="580"/>
      <c r="Z518" s="580"/>
      <c r="AA518" s="580"/>
      <c r="AB518" s="580"/>
    </row>
    <row r="519" ht="15.75" customHeight="1">
      <c r="A519" s="570"/>
      <c r="B519" s="570"/>
      <c r="C519" s="580"/>
      <c r="D519" s="580"/>
      <c r="E519" s="580"/>
      <c r="F519" s="580"/>
      <c r="G519" s="580"/>
      <c r="H519" s="580"/>
      <c r="I519" s="580"/>
      <c r="J519" s="580"/>
      <c r="K519" s="580"/>
      <c r="L519" s="580"/>
      <c r="M519" s="580"/>
      <c r="N519" s="580"/>
      <c r="O519" s="580"/>
      <c r="P519" s="580"/>
      <c r="Q519" s="580"/>
      <c r="R519" s="580"/>
      <c r="S519" s="580"/>
      <c r="T519" s="580"/>
      <c r="U519" s="580"/>
      <c r="V519" s="580"/>
      <c r="W519" s="580"/>
      <c r="X519" s="580"/>
      <c r="Y519" s="580"/>
      <c r="Z519" s="580"/>
      <c r="AA519" s="580"/>
      <c r="AB519" s="580"/>
    </row>
    <row r="520" ht="15.75" customHeight="1">
      <c r="A520" s="570"/>
      <c r="B520" s="570"/>
      <c r="C520" s="580"/>
      <c r="D520" s="580"/>
      <c r="E520" s="580"/>
      <c r="F520" s="580"/>
      <c r="G520" s="580"/>
      <c r="H520" s="580"/>
      <c r="I520" s="580"/>
      <c r="J520" s="580"/>
      <c r="K520" s="580"/>
      <c r="L520" s="580"/>
      <c r="M520" s="580"/>
      <c r="N520" s="580"/>
      <c r="O520" s="580"/>
      <c r="P520" s="580"/>
      <c r="Q520" s="580"/>
      <c r="R520" s="580"/>
      <c r="S520" s="580"/>
      <c r="T520" s="580"/>
      <c r="U520" s="580"/>
      <c r="V520" s="580"/>
      <c r="W520" s="580"/>
      <c r="X520" s="580"/>
      <c r="Y520" s="580"/>
      <c r="Z520" s="580"/>
      <c r="AA520" s="580"/>
      <c r="AB520" s="580"/>
    </row>
    <row r="521" ht="15.75" customHeight="1">
      <c r="A521" s="570"/>
      <c r="B521" s="570"/>
      <c r="C521" s="580"/>
      <c r="D521" s="580"/>
      <c r="E521" s="580"/>
      <c r="F521" s="580"/>
      <c r="G521" s="580"/>
      <c r="H521" s="580"/>
      <c r="I521" s="580"/>
      <c r="J521" s="580"/>
      <c r="K521" s="580"/>
      <c r="L521" s="580"/>
      <c r="M521" s="580"/>
      <c r="N521" s="580"/>
      <c r="O521" s="580"/>
      <c r="P521" s="580"/>
      <c r="Q521" s="580"/>
      <c r="R521" s="580"/>
      <c r="S521" s="580"/>
      <c r="T521" s="580"/>
      <c r="U521" s="580"/>
      <c r="V521" s="580"/>
      <c r="W521" s="580"/>
      <c r="X521" s="580"/>
      <c r="Y521" s="580"/>
      <c r="Z521" s="580"/>
      <c r="AA521" s="580"/>
      <c r="AB521" s="580"/>
    </row>
    <row r="522" ht="15.75" customHeight="1">
      <c r="A522" s="570"/>
      <c r="B522" s="570"/>
      <c r="C522" s="580"/>
      <c r="D522" s="580"/>
      <c r="E522" s="580"/>
      <c r="F522" s="580"/>
      <c r="G522" s="580"/>
      <c r="H522" s="580"/>
      <c r="I522" s="580"/>
      <c r="J522" s="580"/>
      <c r="K522" s="580"/>
      <c r="L522" s="580"/>
      <c r="M522" s="580"/>
      <c r="N522" s="580"/>
      <c r="O522" s="580"/>
      <c r="P522" s="580"/>
      <c r="Q522" s="580"/>
      <c r="R522" s="580"/>
      <c r="S522" s="580"/>
      <c r="T522" s="580"/>
      <c r="U522" s="580"/>
      <c r="V522" s="580"/>
      <c r="W522" s="580"/>
      <c r="X522" s="580"/>
      <c r="Y522" s="580"/>
      <c r="Z522" s="580"/>
      <c r="AA522" s="580"/>
      <c r="AB522" s="580"/>
    </row>
    <row r="523" ht="15.75" customHeight="1">
      <c r="A523" s="570"/>
      <c r="B523" s="570"/>
      <c r="C523" s="580"/>
      <c r="D523" s="580"/>
      <c r="E523" s="580"/>
      <c r="F523" s="580"/>
      <c r="G523" s="580"/>
      <c r="H523" s="580"/>
      <c r="I523" s="580"/>
      <c r="J523" s="580"/>
      <c r="K523" s="580"/>
      <c r="L523" s="580"/>
      <c r="M523" s="580"/>
      <c r="N523" s="580"/>
      <c r="O523" s="580"/>
      <c r="P523" s="580"/>
      <c r="Q523" s="580"/>
      <c r="R523" s="580"/>
      <c r="S523" s="580"/>
      <c r="T523" s="580"/>
      <c r="U523" s="580"/>
      <c r="V523" s="580"/>
      <c r="W523" s="580"/>
      <c r="X523" s="580"/>
      <c r="Y523" s="580"/>
      <c r="Z523" s="580"/>
      <c r="AA523" s="580"/>
      <c r="AB523" s="580"/>
    </row>
    <row r="524" ht="15.75" customHeight="1">
      <c r="A524" s="570"/>
      <c r="B524" s="570"/>
      <c r="C524" s="580"/>
      <c r="D524" s="580"/>
      <c r="E524" s="580"/>
      <c r="F524" s="580"/>
      <c r="G524" s="580"/>
      <c r="H524" s="580"/>
      <c r="I524" s="580"/>
      <c r="J524" s="580"/>
      <c r="K524" s="580"/>
      <c r="L524" s="580"/>
      <c r="M524" s="580"/>
      <c r="N524" s="580"/>
      <c r="O524" s="580"/>
      <c r="P524" s="580"/>
      <c r="Q524" s="580"/>
      <c r="R524" s="580"/>
      <c r="S524" s="580"/>
      <c r="T524" s="580"/>
      <c r="U524" s="580"/>
      <c r="V524" s="580"/>
      <c r="W524" s="580"/>
      <c r="X524" s="580"/>
      <c r="Y524" s="580"/>
      <c r="Z524" s="580"/>
      <c r="AA524" s="580"/>
      <c r="AB524" s="580"/>
    </row>
    <row r="525" ht="15.75" customHeight="1">
      <c r="A525" s="570"/>
      <c r="B525" s="570"/>
      <c r="C525" s="580"/>
      <c r="D525" s="580"/>
      <c r="E525" s="580"/>
      <c r="F525" s="580"/>
      <c r="G525" s="580"/>
      <c r="H525" s="580"/>
      <c r="I525" s="580"/>
      <c r="J525" s="580"/>
      <c r="K525" s="580"/>
      <c r="L525" s="580"/>
      <c r="M525" s="580"/>
      <c r="N525" s="580"/>
      <c r="O525" s="580"/>
      <c r="P525" s="580"/>
      <c r="Q525" s="580"/>
      <c r="R525" s="580"/>
      <c r="S525" s="580"/>
      <c r="T525" s="580"/>
      <c r="U525" s="580"/>
      <c r="V525" s="580"/>
      <c r="W525" s="580"/>
      <c r="X525" s="580"/>
      <c r="Y525" s="580"/>
      <c r="Z525" s="580"/>
      <c r="AA525" s="580"/>
      <c r="AB525" s="580"/>
    </row>
    <row r="526" ht="15.75" customHeight="1">
      <c r="A526" s="570"/>
      <c r="B526" s="570"/>
      <c r="C526" s="580"/>
      <c r="D526" s="580"/>
      <c r="E526" s="580"/>
      <c r="F526" s="580"/>
      <c r="G526" s="580"/>
      <c r="H526" s="580"/>
      <c r="I526" s="580"/>
      <c r="J526" s="580"/>
      <c r="K526" s="580"/>
      <c r="L526" s="580"/>
      <c r="M526" s="580"/>
      <c r="N526" s="580"/>
      <c r="O526" s="580"/>
      <c r="P526" s="580"/>
      <c r="Q526" s="580"/>
      <c r="R526" s="580"/>
      <c r="S526" s="580"/>
      <c r="T526" s="580"/>
      <c r="U526" s="580"/>
      <c r="V526" s="580"/>
      <c r="W526" s="580"/>
      <c r="X526" s="580"/>
      <c r="Y526" s="580"/>
      <c r="Z526" s="580"/>
      <c r="AA526" s="580"/>
      <c r="AB526" s="580"/>
    </row>
    <row r="527" ht="15.75" customHeight="1">
      <c r="A527" s="570"/>
      <c r="B527" s="570"/>
      <c r="C527" s="580"/>
      <c r="D527" s="580"/>
      <c r="E527" s="580"/>
      <c r="F527" s="580"/>
      <c r="G527" s="580"/>
      <c r="H527" s="580"/>
      <c r="I527" s="580"/>
      <c r="J527" s="580"/>
      <c r="K527" s="580"/>
      <c r="L527" s="580"/>
      <c r="M527" s="580"/>
      <c r="N527" s="580"/>
      <c r="O527" s="580"/>
      <c r="P527" s="580"/>
      <c r="Q527" s="580"/>
      <c r="R527" s="580"/>
      <c r="S527" s="580"/>
      <c r="T527" s="580"/>
      <c r="U527" s="580"/>
      <c r="V527" s="580"/>
      <c r="W527" s="580"/>
      <c r="X527" s="580"/>
      <c r="Y527" s="580"/>
      <c r="Z527" s="580"/>
      <c r="AA527" s="580"/>
      <c r="AB527" s="580"/>
    </row>
    <row r="528" ht="15.75" customHeight="1">
      <c r="A528" s="570"/>
      <c r="B528" s="570"/>
      <c r="C528" s="580"/>
      <c r="D528" s="580"/>
      <c r="E528" s="580"/>
      <c r="F528" s="580"/>
      <c r="G528" s="580"/>
      <c r="H528" s="580"/>
      <c r="I528" s="580"/>
      <c r="J528" s="580"/>
      <c r="K528" s="580"/>
      <c r="L528" s="580"/>
      <c r="M528" s="580"/>
      <c r="N528" s="580"/>
      <c r="O528" s="580"/>
      <c r="P528" s="580"/>
      <c r="Q528" s="580"/>
      <c r="R528" s="580"/>
      <c r="S528" s="580"/>
      <c r="T528" s="580"/>
      <c r="U528" s="580"/>
      <c r="V528" s="580"/>
      <c r="W528" s="580"/>
      <c r="X528" s="580"/>
      <c r="Y528" s="580"/>
      <c r="Z528" s="580"/>
      <c r="AA528" s="580"/>
      <c r="AB528" s="580"/>
    </row>
    <row r="529" ht="15.75" customHeight="1">
      <c r="A529" s="570"/>
      <c r="B529" s="570"/>
      <c r="C529" s="580"/>
      <c r="D529" s="580"/>
      <c r="E529" s="580"/>
      <c r="F529" s="580"/>
      <c r="G529" s="580"/>
      <c r="H529" s="580"/>
      <c r="I529" s="580"/>
      <c r="J529" s="580"/>
      <c r="K529" s="580"/>
      <c r="L529" s="580"/>
      <c r="M529" s="580"/>
      <c r="N529" s="580"/>
      <c r="O529" s="580"/>
      <c r="P529" s="580"/>
      <c r="Q529" s="580"/>
      <c r="R529" s="580"/>
      <c r="S529" s="580"/>
      <c r="T529" s="580"/>
      <c r="U529" s="580"/>
      <c r="V529" s="580"/>
      <c r="W529" s="580"/>
      <c r="X529" s="580"/>
      <c r="Y529" s="580"/>
      <c r="Z529" s="580"/>
      <c r="AA529" s="580"/>
      <c r="AB529" s="580"/>
    </row>
    <row r="530" ht="15.75" customHeight="1">
      <c r="A530" s="570"/>
      <c r="B530" s="570"/>
      <c r="C530" s="580"/>
      <c r="D530" s="580"/>
      <c r="E530" s="580"/>
      <c r="F530" s="580"/>
      <c r="G530" s="580"/>
      <c r="H530" s="580"/>
      <c r="I530" s="580"/>
      <c r="J530" s="580"/>
      <c r="K530" s="580"/>
      <c r="L530" s="580"/>
      <c r="M530" s="580"/>
      <c r="N530" s="580"/>
      <c r="O530" s="580"/>
      <c r="P530" s="580"/>
      <c r="Q530" s="580"/>
      <c r="R530" s="580"/>
      <c r="S530" s="580"/>
      <c r="T530" s="580"/>
      <c r="U530" s="580"/>
      <c r="V530" s="580"/>
      <c r="W530" s="580"/>
      <c r="X530" s="580"/>
      <c r="Y530" s="580"/>
      <c r="Z530" s="580"/>
      <c r="AA530" s="580"/>
      <c r="AB530" s="580"/>
    </row>
    <row r="531" ht="15.75" customHeight="1">
      <c r="A531" s="570"/>
      <c r="B531" s="570"/>
      <c r="C531" s="580"/>
      <c r="D531" s="580"/>
      <c r="E531" s="580"/>
      <c r="F531" s="580"/>
      <c r="G531" s="580"/>
      <c r="H531" s="580"/>
      <c r="I531" s="580"/>
      <c r="J531" s="580"/>
      <c r="K531" s="580"/>
      <c r="L531" s="580"/>
      <c r="M531" s="580"/>
      <c r="N531" s="580"/>
      <c r="O531" s="580"/>
      <c r="P531" s="580"/>
      <c r="Q531" s="580"/>
      <c r="R531" s="580"/>
      <c r="S531" s="580"/>
      <c r="T531" s="580"/>
      <c r="U531" s="580"/>
      <c r="V531" s="580"/>
      <c r="W531" s="580"/>
      <c r="X531" s="580"/>
      <c r="Y531" s="580"/>
      <c r="Z531" s="580"/>
      <c r="AA531" s="580"/>
      <c r="AB531" s="580"/>
    </row>
    <row r="532" ht="15.75" customHeight="1">
      <c r="A532" s="570"/>
      <c r="B532" s="570"/>
      <c r="C532" s="580"/>
      <c r="D532" s="580"/>
      <c r="E532" s="580"/>
      <c r="F532" s="580"/>
      <c r="G532" s="580"/>
      <c r="H532" s="580"/>
      <c r="I532" s="580"/>
      <c r="J532" s="580"/>
      <c r="K532" s="580"/>
      <c r="L532" s="580"/>
      <c r="M532" s="580"/>
      <c r="N532" s="580"/>
      <c r="O532" s="580"/>
      <c r="P532" s="580"/>
      <c r="Q532" s="580"/>
      <c r="R532" s="580"/>
      <c r="S532" s="580"/>
      <c r="T532" s="580"/>
      <c r="U532" s="580"/>
      <c r="V532" s="580"/>
      <c r="W532" s="580"/>
      <c r="X532" s="580"/>
      <c r="Y532" s="580"/>
      <c r="Z532" s="580"/>
      <c r="AA532" s="580"/>
      <c r="AB532" s="580"/>
    </row>
    <row r="533" ht="15.75" customHeight="1">
      <c r="A533" s="570"/>
      <c r="B533" s="570"/>
      <c r="C533" s="580"/>
      <c r="D533" s="580"/>
      <c r="E533" s="580"/>
      <c r="F533" s="580"/>
      <c r="G533" s="580"/>
      <c r="H533" s="580"/>
      <c r="I533" s="580"/>
      <c r="J533" s="580"/>
      <c r="K533" s="580"/>
      <c r="L533" s="580"/>
      <c r="M533" s="580"/>
      <c r="N533" s="580"/>
      <c r="O533" s="580"/>
      <c r="P533" s="580"/>
      <c r="Q533" s="580"/>
      <c r="R533" s="580"/>
      <c r="S533" s="580"/>
      <c r="T533" s="580"/>
      <c r="U533" s="580"/>
      <c r="V533" s="580"/>
      <c r="W533" s="580"/>
      <c r="X533" s="580"/>
      <c r="Y533" s="580"/>
      <c r="Z533" s="580"/>
      <c r="AA533" s="580"/>
      <c r="AB533" s="580"/>
    </row>
    <row r="534" ht="15.75" customHeight="1">
      <c r="A534" s="570"/>
      <c r="B534" s="570"/>
      <c r="C534" s="580"/>
      <c r="D534" s="580"/>
      <c r="E534" s="580"/>
      <c r="F534" s="580"/>
      <c r="G534" s="580"/>
      <c r="H534" s="580"/>
      <c r="I534" s="580"/>
      <c r="J534" s="580"/>
      <c r="K534" s="580"/>
      <c r="L534" s="580"/>
      <c r="M534" s="580"/>
      <c r="N534" s="580"/>
      <c r="O534" s="580"/>
      <c r="P534" s="580"/>
      <c r="Q534" s="580"/>
      <c r="R534" s="580"/>
      <c r="S534" s="580"/>
      <c r="T534" s="580"/>
      <c r="U534" s="580"/>
      <c r="V534" s="580"/>
      <c r="W534" s="580"/>
      <c r="X534" s="580"/>
      <c r="Y534" s="580"/>
      <c r="Z534" s="580"/>
      <c r="AA534" s="580"/>
      <c r="AB534" s="580"/>
    </row>
    <row r="535" ht="15.75" customHeight="1">
      <c r="A535" s="570"/>
      <c r="B535" s="570"/>
      <c r="C535" s="580"/>
      <c r="D535" s="580"/>
      <c r="E535" s="580"/>
      <c r="F535" s="580"/>
      <c r="G535" s="580"/>
      <c r="H535" s="580"/>
      <c r="I535" s="580"/>
      <c r="J535" s="580"/>
      <c r="K535" s="580"/>
      <c r="L535" s="580"/>
      <c r="M535" s="580"/>
      <c r="N535" s="580"/>
      <c r="O535" s="580"/>
      <c r="P535" s="580"/>
      <c r="Q535" s="580"/>
      <c r="R535" s="580"/>
      <c r="S535" s="580"/>
      <c r="T535" s="580"/>
      <c r="U535" s="580"/>
      <c r="V535" s="580"/>
      <c r="W535" s="580"/>
      <c r="X535" s="580"/>
      <c r="Y535" s="580"/>
      <c r="Z535" s="580"/>
      <c r="AA535" s="580"/>
      <c r="AB535" s="580"/>
    </row>
    <row r="536" ht="15.75" customHeight="1">
      <c r="A536" s="570"/>
      <c r="B536" s="570"/>
      <c r="C536" s="580"/>
      <c r="D536" s="580"/>
      <c r="E536" s="580"/>
      <c r="F536" s="580"/>
      <c r="G536" s="580"/>
      <c r="H536" s="580"/>
      <c r="I536" s="580"/>
      <c r="J536" s="580"/>
      <c r="K536" s="580"/>
      <c r="L536" s="580"/>
      <c r="M536" s="580"/>
      <c r="N536" s="580"/>
      <c r="O536" s="580"/>
      <c r="P536" s="580"/>
      <c r="Q536" s="580"/>
      <c r="R536" s="580"/>
      <c r="S536" s="580"/>
      <c r="T536" s="580"/>
      <c r="U536" s="580"/>
      <c r="V536" s="580"/>
      <c r="W536" s="580"/>
      <c r="X536" s="580"/>
      <c r="Y536" s="580"/>
      <c r="Z536" s="580"/>
      <c r="AA536" s="580"/>
      <c r="AB536" s="580"/>
    </row>
    <row r="537" ht="15.75" customHeight="1">
      <c r="A537" s="570"/>
      <c r="B537" s="570"/>
      <c r="C537" s="580"/>
      <c r="D537" s="580"/>
      <c r="E537" s="580"/>
      <c r="F537" s="580"/>
      <c r="G537" s="580"/>
      <c r="H537" s="580"/>
      <c r="I537" s="580"/>
      <c r="J537" s="580"/>
      <c r="K537" s="580"/>
      <c r="L537" s="580"/>
      <c r="M537" s="580"/>
      <c r="N537" s="580"/>
      <c r="O537" s="580"/>
      <c r="P537" s="580"/>
      <c r="Q537" s="580"/>
      <c r="R537" s="580"/>
      <c r="S537" s="580"/>
      <c r="T537" s="580"/>
      <c r="U537" s="580"/>
      <c r="V537" s="580"/>
      <c r="W537" s="580"/>
      <c r="X537" s="580"/>
      <c r="Y537" s="580"/>
      <c r="Z537" s="580"/>
      <c r="AA537" s="580"/>
      <c r="AB537" s="580"/>
    </row>
    <row r="538" ht="15.75" customHeight="1">
      <c r="A538" s="570"/>
      <c r="B538" s="570"/>
      <c r="C538" s="580"/>
      <c r="D538" s="580"/>
      <c r="E538" s="580"/>
      <c r="F538" s="580"/>
      <c r="G538" s="580"/>
      <c r="H538" s="580"/>
      <c r="I538" s="580"/>
      <c r="J538" s="580"/>
      <c r="K538" s="580"/>
      <c r="L538" s="580"/>
      <c r="M538" s="580"/>
      <c r="N538" s="580"/>
      <c r="O538" s="580"/>
      <c r="P538" s="580"/>
      <c r="Q538" s="580"/>
      <c r="R538" s="580"/>
      <c r="S538" s="580"/>
      <c r="T538" s="580"/>
      <c r="U538" s="580"/>
      <c r="V538" s="580"/>
      <c r="W538" s="580"/>
      <c r="X538" s="580"/>
      <c r="Y538" s="580"/>
      <c r="Z538" s="580"/>
      <c r="AA538" s="580"/>
      <c r="AB538" s="580"/>
    </row>
    <row r="539" ht="15.75" customHeight="1">
      <c r="A539" s="570"/>
      <c r="B539" s="570"/>
      <c r="C539" s="580"/>
      <c r="D539" s="580"/>
      <c r="E539" s="580"/>
      <c r="F539" s="580"/>
      <c r="G539" s="580"/>
      <c r="H539" s="580"/>
      <c r="I539" s="580"/>
      <c r="J539" s="580"/>
      <c r="K539" s="580"/>
      <c r="L539" s="580"/>
      <c r="M539" s="580"/>
      <c r="N539" s="580"/>
      <c r="O539" s="580"/>
      <c r="P539" s="580"/>
      <c r="Q539" s="580"/>
      <c r="R539" s="580"/>
      <c r="S539" s="580"/>
      <c r="T539" s="580"/>
      <c r="U539" s="580"/>
      <c r="V539" s="580"/>
      <c r="W539" s="580"/>
      <c r="X539" s="580"/>
      <c r="Y539" s="580"/>
      <c r="Z539" s="580"/>
      <c r="AA539" s="580"/>
      <c r="AB539" s="580"/>
    </row>
    <row r="540" ht="15.75" customHeight="1">
      <c r="A540" s="570"/>
      <c r="B540" s="570"/>
      <c r="C540" s="580"/>
      <c r="D540" s="580"/>
      <c r="E540" s="580"/>
      <c r="F540" s="580"/>
      <c r="G540" s="580"/>
      <c r="H540" s="580"/>
      <c r="I540" s="580"/>
      <c r="J540" s="580"/>
      <c r="K540" s="580"/>
      <c r="L540" s="580"/>
      <c r="M540" s="580"/>
      <c r="N540" s="580"/>
      <c r="O540" s="580"/>
      <c r="P540" s="580"/>
      <c r="Q540" s="580"/>
      <c r="R540" s="580"/>
      <c r="S540" s="580"/>
      <c r="T540" s="580"/>
      <c r="U540" s="580"/>
      <c r="V540" s="580"/>
      <c r="W540" s="580"/>
      <c r="X540" s="580"/>
      <c r="Y540" s="580"/>
      <c r="Z540" s="580"/>
      <c r="AA540" s="580"/>
      <c r="AB540" s="580"/>
    </row>
    <row r="541" ht="15.75" customHeight="1">
      <c r="A541" s="570"/>
      <c r="B541" s="570"/>
      <c r="C541" s="580"/>
      <c r="D541" s="580"/>
      <c r="E541" s="580"/>
      <c r="F541" s="580"/>
      <c r="G541" s="580"/>
      <c r="H541" s="580"/>
      <c r="I541" s="580"/>
      <c r="J541" s="580"/>
      <c r="K541" s="580"/>
      <c r="L541" s="580"/>
      <c r="M541" s="580"/>
      <c r="N541" s="580"/>
      <c r="O541" s="580"/>
      <c r="P541" s="580"/>
      <c r="Q541" s="580"/>
      <c r="R541" s="580"/>
      <c r="S541" s="580"/>
      <c r="T541" s="580"/>
      <c r="U541" s="580"/>
      <c r="V541" s="580"/>
      <c r="W541" s="580"/>
      <c r="X541" s="580"/>
      <c r="Y541" s="580"/>
      <c r="Z541" s="580"/>
      <c r="AA541" s="580"/>
      <c r="AB541" s="580"/>
    </row>
    <row r="542" ht="15.75" customHeight="1">
      <c r="A542" s="570"/>
      <c r="B542" s="570"/>
      <c r="C542" s="580"/>
      <c r="D542" s="580"/>
      <c r="E542" s="580"/>
      <c r="F542" s="580"/>
      <c r="G542" s="580"/>
      <c r="H542" s="580"/>
      <c r="I542" s="580"/>
      <c r="J542" s="580"/>
      <c r="K542" s="580"/>
      <c r="L542" s="580"/>
      <c r="M542" s="580"/>
      <c r="N542" s="580"/>
      <c r="O542" s="580"/>
      <c r="P542" s="580"/>
      <c r="Q542" s="580"/>
      <c r="R542" s="580"/>
      <c r="S542" s="580"/>
      <c r="T542" s="580"/>
      <c r="U542" s="580"/>
      <c r="V542" s="580"/>
      <c r="W542" s="580"/>
      <c r="X542" s="580"/>
      <c r="Y542" s="580"/>
      <c r="Z542" s="580"/>
      <c r="AA542" s="580"/>
      <c r="AB542" s="580"/>
    </row>
    <row r="543" ht="15.75" customHeight="1">
      <c r="A543" s="570"/>
      <c r="B543" s="570"/>
      <c r="C543" s="580"/>
      <c r="D543" s="580"/>
      <c r="E543" s="580"/>
      <c r="F543" s="580"/>
      <c r="G543" s="580"/>
      <c r="H543" s="580"/>
      <c r="I543" s="580"/>
      <c r="J543" s="580"/>
      <c r="K543" s="580"/>
      <c r="L543" s="580"/>
      <c r="M543" s="580"/>
      <c r="N543" s="580"/>
      <c r="O543" s="580"/>
      <c r="P543" s="580"/>
      <c r="Q543" s="580"/>
      <c r="R543" s="580"/>
      <c r="S543" s="580"/>
      <c r="T543" s="580"/>
      <c r="U543" s="580"/>
      <c r="V543" s="580"/>
      <c r="W543" s="580"/>
      <c r="X543" s="580"/>
      <c r="Y543" s="580"/>
      <c r="Z543" s="580"/>
      <c r="AA543" s="580"/>
      <c r="AB543" s="580"/>
    </row>
    <row r="544" ht="15.75" customHeight="1">
      <c r="A544" s="570"/>
      <c r="B544" s="570"/>
      <c r="C544" s="580"/>
      <c r="D544" s="580"/>
      <c r="E544" s="580"/>
      <c r="F544" s="580"/>
      <c r="G544" s="580"/>
      <c r="H544" s="580"/>
      <c r="I544" s="580"/>
      <c r="J544" s="580"/>
      <c r="K544" s="580"/>
      <c r="L544" s="580"/>
      <c r="M544" s="580"/>
      <c r="N544" s="580"/>
      <c r="O544" s="580"/>
      <c r="P544" s="580"/>
      <c r="Q544" s="580"/>
      <c r="R544" s="580"/>
      <c r="S544" s="580"/>
      <c r="T544" s="580"/>
      <c r="U544" s="580"/>
      <c r="V544" s="580"/>
      <c r="W544" s="580"/>
      <c r="X544" s="580"/>
      <c r="Y544" s="580"/>
      <c r="Z544" s="580"/>
      <c r="AA544" s="580"/>
      <c r="AB544" s="580"/>
    </row>
    <row r="545" ht="15.75" customHeight="1">
      <c r="A545" s="570"/>
      <c r="B545" s="570"/>
      <c r="C545" s="580"/>
      <c r="D545" s="580"/>
      <c r="E545" s="580"/>
      <c r="F545" s="580"/>
      <c r="G545" s="580"/>
      <c r="H545" s="580"/>
      <c r="I545" s="580"/>
      <c r="J545" s="580"/>
      <c r="K545" s="580"/>
      <c r="L545" s="580"/>
      <c r="M545" s="580"/>
      <c r="N545" s="580"/>
      <c r="O545" s="580"/>
      <c r="P545" s="580"/>
      <c r="Q545" s="580"/>
      <c r="R545" s="580"/>
      <c r="S545" s="580"/>
      <c r="T545" s="580"/>
      <c r="U545" s="580"/>
      <c r="V545" s="580"/>
      <c r="W545" s="580"/>
      <c r="X545" s="580"/>
      <c r="Y545" s="580"/>
      <c r="Z545" s="580"/>
      <c r="AA545" s="580"/>
      <c r="AB545" s="580"/>
    </row>
    <row r="546" ht="15.75" customHeight="1">
      <c r="A546" s="570"/>
      <c r="B546" s="570"/>
      <c r="C546" s="580"/>
      <c r="D546" s="580"/>
      <c r="E546" s="580"/>
      <c r="F546" s="580"/>
      <c r="G546" s="580"/>
      <c r="H546" s="580"/>
      <c r="I546" s="580"/>
      <c r="J546" s="580"/>
      <c r="K546" s="580"/>
      <c r="L546" s="580"/>
      <c r="M546" s="580"/>
      <c r="N546" s="580"/>
      <c r="O546" s="580"/>
      <c r="P546" s="580"/>
      <c r="Q546" s="580"/>
      <c r="R546" s="580"/>
      <c r="S546" s="580"/>
      <c r="T546" s="580"/>
      <c r="U546" s="580"/>
      <c r="V546" s="580"/>
      <c r="W546" s="580"/>
      <c r="X546" s="580"/>
      <c r="Y546" s="580"/>
      <c r="Z546" s="580"/>
      <c r="AA546" s="580"/>
      <c r="AB546" s="580"/>
    </row>
    <row r="547" ht="15.75" customHeight="1">
      <c r="A547" s="570"/>
      <c r="B547" s="570"/>
      <c r="C547" s="580"/>
      <c r="D547" s="580"/>
      <c r="E547" s="580"/>
      <c r="F547" s="580"/>
      <c r="G547" s="580"/>
      <c r="H547" s="580"/>
      <c r="I547" s="580"/>
      <c r="J547" s="580"/>
      <c r="K547" s="580"/>
      <c r="L547" s="580"/>
      <c r="M547" s="580"/>
      <c r="N547" s="580"/>
      <c r="O547" s="580"/>
      <c r="P547" s="580"/>
      <c r="Q547" s="580"/>
      <c r="R547" s="580"/>
      <c r="S547" s="580"/>
      <c r="T547" s="580"/>
      <c r="U547" s="580"/>
      <c r="V547" s="580"/>
      <c r="W547" s="580"/>
      <c r="X547" s="580"/>
      <c r="Y547" s="580"/>
      <c r="Z547" s="580"/>
      <c r="AA547" s="580"/>
      <c r="AB547" s="580"/>
    </row>
    <row r="548" ht="15.75" customHeight="1">
      <c r="A548" s="570"/>
      <c r="B548" s="570"/>
      <c r="C548" s="580"/>
      <c r="D548" s="580"/>
      <c r="E548" s="580"/>
      <c r="F548" s="580"/>
      <c r="G548" s="580"/>
      <c r="H548" s="580"/>
      <c r="I548" s="580"/>
      <c r="J548" s="580"/>
      <c r="K548" s="580"/>
      <c r="L548" s="580"/>
      <c r="M548" s="580"/>
      <c r="N548" s="580"/>
      <c r="O548" s="580"/>
      <c r="P548" s="580"/>
      <c r="Q548" s="580"/>
      <c r="R548" s="580"/>
      <c r="S548" s="580"/>
      <c r="T548" s="580"/>
      <c r="U548" s="580"/>
      <c r="V548" s="580"/>
      <c r="W548" s="580"/>
      <c r="X548" s="580"/>
      <c r="Y548" s="580"/>
      <c r="Z548" s="580"/>
      <c r="AA548" s="580"/>
      <c r="AB548" s="580"/>
    </row>
    <row r="549" ht="15.75" customHeight="1">
      <c r="A549" s="570"/>
      <c r="B549" s="570"/>
      <c r="C549" s="580"/>
      <c r="D549" s="580"/>
      <c r="E549" s="580"/>
      <c r="F549" s="580"/>
      <c r="G549" s="580"/>
      <c r="H549" s="580"/>
      <c r="I549" s="580"/>
      <c r="J549" s="580"/>
      <c r="K549" s="580"/>
      <c r="L549" s="580"/>
      <c r="M549" s="580"/>
      <c r="N549" s="580"/>
      <c r="O549" s="580"/>
      <c r="P549" s="580"/>
      <c r="Q549" s="580"/>
      <c r="R549" s="580"/>
      <c r="S549" s="580"/>
      <c r="T549" s="580"/>
      <c r="U549" s="580"/>
      <c r="V549" s="580"/>
      <c r="W549" s="580"/>
      <c r="X549" s="580"/>
      <c r="Y549" s="580"/>
      <c r="Z549" s="580"/>
      <c r="AA549" s="580"/>
      <c r="AB549" s="580"/>
    </row>
    <row r="550" ht="15.75" customHeight="1">
      <c r="A550" s="570"/>
      <c r="B550" s="570"/>
      <c r="C550" s="580"/>
      <c r="D550" s="580"/>
      <c r="E550" s="580"/>
      <c r="F550" s="580"/>
      <c r="G550" s="580"/>
      <c r="H550" s="580"/>
      <c r="I550" s="580"/>
      <c r="J550" s="580"/>
      <c r="K550" s="580"/>
      <c r="L550" s="580"/>
      <c r="M550" s="580"/>
      <c r="N550" s="580"/>
      <c r="O550" s="580"/>
      <c r="P550" s="580"/>
      <c r="Q550" s="580"/>
      <c r="R550" s="580"/>
      <c r="S550" s="580"/>
      <c r="T550" s="580"/>
      <c r="U550" s="580"/>
      <c r="V550" s="580"/>
      <c r="W550" s="580"/>
      <c r="X550" s="580"/>
      <c r="Y550" s="580"/>
      <c r="Z550" s="580"/>
      <c r="AA550" s="580"/>
      <c r="AB550" s="580"/>
    </row>
    <row r="551" ht="15.75" customHeight="1">
      <c r="A551" s="570"/>
      <c r="B551" s="570"/>
      <c r="C551" s="580"/>
      <c r="D551" s="580"/>
      <c r="E551" s="580"/>
      <c r="F551" s="580"/>
      <c r="G551" s="580"/>
      <c r="H551" s="580"/>
      <c r="I551" s="580"/>
      <c r="J551" s="580"/>
      <c r="K551" s="580"/>
      <c r="L551" s="580"/>
      <c r="M551" s="580"/>
      <c r="N551" s="580"/>
      <c r="O551" s="580"/>
      <c r="P551" s="580"/>
      <c r="Q551" s="580"/>
      <c r="R551" s="580"/>
      <c r="S551" s="580"/>
      <c r="T551" s="580"/>
      <c r="U551" s="580"/>
      <c r="V551" s="580"/>
      <c r="W551" s="580"/>
      <c r="X551" s="580"/>
      <c r="Y551" s="580"/>
      <c r="Z551" s="580"/>
      <c r="AA551" s="580"/>
      <c r="AB551" s="580"/>
    </row>
    <row r="552" ht="15.75" customHeight="1">
      <c r="A552" s="570"/>
      <c r="B552" s="570"/>
      <c r="C552" s="580"/>
      <c r="D552" s="580"/>
      <c r="E552" s="580"/>
      <c r="F552" s="580"/>
      <c r="G552" s="580"/>
      <c r="H552" s="580"/>
      <c r="I552" s="580"/>
      <c r="J552" s="580"/>
      <c r="K552" s="580"/>
      <c r="L552" s="580"/>
      <c r="M552" s="580"/>
      <c r="N552" s="580"/>
      <c r="O552" s="580"/>
      <c r="P552" s="580"/>
      <c r="Q552" s="580"/>
      <c r="R552" s="580"/>
      <c r="S552" s="580"/>
      <c r="T552" s="580"/>
      <c r="U552" s="580"/>
      <c r="V552" s="580"/>
      <c r="W552" s="580"/>
      <c r="X552" s="580"/>
      <c r="Y552" s="580"/>
      <c r="Z552" s="580"/>
      <c r="AA552" s="580"/>
      <c r="AB552" s="580"/>
    </row>
    <row r="553" ht="15.75" customHeight="1">
      <c r="A553" s="570"/>
      <c r="B553" s="570"/>
      <c r="C553" s="580"/>
      <c r="D553" s="580"/>
      <c r="E553" s="580"/>
      <c r="F553" s="580"/>
      <c r="G553" s="580"/>
      <c r="H553" s="580"/>
      <c r="I553" s="580"/>
      <c r="J553" s="580"/>
      <c r="K553" s="580"/>
      <c r="L553" s="580"/>
      <c r="M553" s="580"/>
      <c r="N553" s="580"/>
      <c r="O553" s="580"/>
      <c r="P553" s="580"/>
      <c r="Q553" s="580"/>
      <c r="R553" s="580"/>
      <c r="S553" s="580"/>
      <c r="T553" s="580"/>
      <c r="U553" s="580"/>
      <c r="V553" s="580"/>
      <c r="W553" s="580"/>
      <c r="X553" s="580"/>
      <c r="Y553" s="580"/>
      <c r="Z553" s="580"/>
      <c r="AA553" s="580"/>
      <c r="AB553" s="580"/>
    </row>
    <row r="554" ht="15.75" customHeight="1">
      <c r="A554" s="570"/>
      <c r="B554" s="570"/>
      <c r="C554" s="580"/>
      <c r="D554" s="580"/>
      <c r="E554" s="580"/>
      <c r="F554" s="580"/>
      <c r="G554" s="580"/>
      <c r="H554" s="580"/>
      <c r="I554" s="580"/>
      <c r="J554" s="580"/>
      <c r="K554" s="580"/>
      <c r="L554" s="580"/>
      <c r="M554" s="580"/>
      <c r="N554" s="580"/>
      <c r="O554" s="580"/>
      <c r="P554" s="580"/>
      <c r="Q554" s="580"/>
      <c r="R554" s="580"/>
      <c r="S554" s="580"/>
      <c r="T554" s="580"/>
      <c r="U554" s="580"/>
      <c r="V554" s="580"/>
      <c r="W554" s="580"/>
      <c r="X554" s="580"/>
      <c r="Y554" s="580"/>
      <c r="Z554" s="580"/>
      <c r="AA554" s="580"/>
      <c r="AB554" s="580"/>
    </row>
    <row r="555" ht="15.75" customHeight="1">
      <c r="A555" s="570"/>
      <c r="B555" s="570"/>
      <c r="C555" s="580"/>
      <c r="D555" s="580"/>
      <c r="E555" s="580"/>
      <c r="F555" s="580"/>
      <c r="G555" s="580"/>
      <c r="H555" s="580"/>
      <c r="I555" s="580"/>
      <c r="J555" s="580"/>
      <c r="K555" s="580"/>
      <c r="L555" s="580"/>
      <c r="M555" s="580"/>
      <c r="N555" s="580"/>
      <c r="O555" s="580"/>
      <c r="P555" s="580"/>
      <c r="Q555" s="580"/>
      <c r="R555" s="580"/>
      <c r="S555" s="580"/>
      <c r="T555" s="580"/>
      <c r="U555" s="580"/>
      <c r="V555" s="580"/>
      <c r="W555" s="580"/>
      <c r="X555" s="580"/>
      <c r="Y555" s="580"/>
      <c r="Z555" s="580"/>
      <c r="AA555" s="580"/>
      <c r="AB555" s="580"/>
    </row>
    <row r="556" ht="15.75" customHeight="1">
      <c r="A556" s="570"/>
      <c r="B556" s="570"/>
      <c r="C556" s="580"/>
      <c r="D556" s="580"/>
      <c r="E556" s="580"/>
      <c r="F556" s="580"/>
      <c r="G556" s="580"/>
      <c r="H556" s="580"/>
      <c r="I556" s="580"/>
      <c r="J556" s="580"/>
      <c r="K556" s="580"/>
      <c r="L556" s="580"/>
      <c r="M556" s="580"/>
      <c r="N556" s="580"/>
      <c r="O556" s="580"/>
      <c r="P556" s="580"/>
      <c r="Q556" s="580"/>
      <c r="R556" s="580"/>
      <c r="S556" s="580"/>
      <c r="T556" s="580"/>
      <c r="U556" s="580"/>
      <c r="V556" s="580"/>
      <c r="W556" s="580"/>
      <c r="X556" s="580"/>
      <c r="Y556" s="580"/>
      <c r="Z556" s="580"/>
      <c r="AA556" s="580"/>
      <c r="AB556" s="580"/>
    </row>
    <row r="557" ht="15.75" customHeight="1">
      <c r="A557" s="570"/>
      <c r="B557" s="570"/>
      <c r="C557" s="580"/>
      <c r="D557" s="580"/>
      <c r="E557" s="580"/>
      <c r="F557" s="580"/>
      <c r="G557" s="580"/>
      <c r="H557" s="580"/>
      <c r="I557" s="580"/>
      <c r="J557" s="580"/>
      <c r="K557" s="580"/>
      <c r="L557" s="580"/>
      <c r="M557" s="580"/>
      <c r="N557" s="580"/>
      <c r="O557" s="580"/>
      <c r="P557" s="580"/>
      <c r="Q557" s="580"/>
      <c r="R557" s="580"/>
      <c r="S557" s="580"/>
      <c r="T557" s="580"/>
      <c r="U557" s="580"/>
      <c r="V557" s="580"/>
      <c r="W557" s="580"/>
      <c r="X557" s="580"/>
      <c r="Y557" s="580"/>
      <c r="Z557" s="580"/>
      <c r="AA557" s="580"/>
      <c r="AB557" s="580"/>
    </row>
    <row r="558" ht="15.75" customHeight="1">
      <c r="A558" s="570"/>
      <c r="B558" s="570"/>
      <c r="C558" s="580"/>
      <c r="D558" s="580"/>
      <c r="E558" s="580"/>
      <c r="F558" s="580"/>
      <c r="G558" s="580"/>
      <c r="H558" s="580"/>
      <c r="I558" s="580"/>
      <c r="J558" s="580"/>
      <c r="K558" s="580"/>
      <c r="L558" s="580"/>
      <c r="M558" s="580"/>
      <c r="N558" s="580"/>
      <c r="O558" s="580"/>
      <c r="P558" s="580"/>
      <c r="Q558" s="580"/>
      <c r="R558" s="580"/>
      <c r="S558" s="580"/>
      <c r="T558" s="580"/>
      <c r="U558" s="580"/>
      <c r="V558" s="580"/>
      <c r="W558" s="580"/>
      <c r="X558" s="580"/>
      <c r="Y558" s="580"/>
      <c r="Z558" s="580"/>
      <c r="AA558" s="580"/>
      <c r="AB558" s="580"/>
    </row>
    <row r="559" ht="15.75" customHeight="1">
      <c r="A559" s="570"/>
      <c r="B559" s="570"/>
      <c r="C559" s="580"/>
      <c r="D559" s="580"/>
      <c r="E559" s="580"/>
      <c r="F559" s="580"/>
      <c r="G559" s="580"/>
      <c r="H559" s="580"/>
      <c r="I559" s="580"/>
      <c r="J559" s="580"/>
      <c r="K559" s="580"/>
      <c r="L559" s="580"/>
      <c r="M559" s="580"/>
      <c r="N559" s="580"/>
      <c r="O559" s="580"/>
      <c r="P559" s="580"/>
      <c r="Q559" s="580"/>
      <c r="R559" s="580"/>
      <c r="S559" s="580"/>
      <c r="T559" s="580"/>
      <c r="U559" s="580"/>
      <c r="V559" s="580"/>
      <c r="W559" s="580"/>
      <c r="X559" s="580"/>
      <c r="Y559" s="580"/>
      <c r="Z559" s="580"/>
      <c r="AA559" s="580"/>
      <c r="AB559" s="580"/>
    </row>
    <row r="560" ht="15.75" customHeight="1">
      <c r="A560" s="570"/>
      <c r="B560" s="570"/>
      <c r="C560" s="580"/>
      <c r="D560" s="580"/>
      <c r="E560" s="580"/>
      <c r="F560" s="580"/>
      <c r="G560" s="580"/>
      <c r="H560" s="580"/>
      <c r="I560" s="580"/>
      <c r="J560" s="580"/>
      <c r="K560" s="580"/>
      <c r="L560" s="580"/>
      <c r="M560" s="580"/>
      <c r="N560" s="580"/>
      <c r="O560" s="580"/>
      <c r="P560" s="580"/>
      <c r="Q560" s="580"/>
      <c r="R560" s="580"/>
      <c r="S560" s="580"/>
      <c r="T560" s="580"/>
      <c r="U560" s="580"/>
      <c r="V560" s="580"/>
      <c r="W560" s="580"/>
      <c r="X560" s="580"/>
      <c r="Y560" s="580"/>
      <c r="Z560" s="580"/>
      <c r="AA560" s="580"/>
      <c r="AB560" s="580"/>
    </row>
    <row r="561" ht="15.75" customHeight="1">
      <c r="A561" s="570"/>
      <c r="B561" s="570"/>
      <c r="C561" s="580"/>
      <c r="D561" s="580"/>
      <c r="E561" s="580"/>
      <c r="F561" s="580"/>
      <c r="G561" s="580"/>
      <c r="H561" s="580"/>
      <c r="I561" s="580"/>
      <c r="J561" s="580"/>
      <c r="K561" s="580"/>
      <c r="L561" s="580"/>
      <c r="M561" s="580"/>
      <c r="N561" s="580"/>
      <c r="O561" s="580"/>
      <c r="P561" s="580"/>
      <c r="Q561" s="580"/>
      <c r="R561" s="580"/>
      <c r="S561" s="580"/>
      <c r="T561" s="580"/>
      <c r="U561" s="580"/>
      <c r="V561" s="580"/>
      <c r="W561" s="580"/>
      <c r="X561" s="580"/>
      <c r="Y561" s="580"/>
      <c r="Z561" s="580"/>
      <c r="AA561" s="580"/>
      <c r="AB561" s="580"/>
    </row>
    <row r="562" ht="15.75" customHeight="1">
      <c r="A562" s="570"/>
      <c r="B562" s="570"/>
      <c r="C562" s="580"/>
      <c r="D562" s="580"/>
      <c r="E562" s="580"/>
      <c r="F562" s="580"/>
      <c r="G562" s="580"/>
      <c r="H562" s="580"/>
      <c r="I562" s="580"/>
      <c r="J562" s="580"/>
      <c r="K562" s="580"/>
      <c r="L562" s="580"/>
      <c r="M562" s="580"/>
      <c r="N562" s="580"/>
      <c r="O562" s="580"/>
      <c r="P562" s="580"/>
      <c r="Q562" s="580"/>
      <c r="R562" s="580"/>
      <c r="S562" s="580"/>
      <c r="T562" s="580"/>
      <c r="U562" s="580"/>
      <c r="V562" s="580"/>
      <c r="W562" s="580"/>
      <c r="X562" s="580"/>
      <c r="Y562" s="580"/>
      <c r="Z562" s="580"/>
      <c r="AA562" s="580"/>
      <c r="AB562" s="580"/>
    </row>
    <row r="563" ht="15.75" customHeight="1">
      <c r="A563" s="570"/>
      <c r="B563" s="570"/>
      <c r="C563" s="580"/>
      <c r="D563" s="580"/>
      <c r="E563" s="580"/>
      <c r="F563" s="580"/>
      <c r="G563" s="580"/>
      <c r="H563" s="580"/>
      <c r="I563" s="580"/>
      <c r="J563" s="580"/>
      <c r="K563" s="580"/>
      <c r="L563" s="580"/>
      <c r="M563" s="580"/>
      <c r="N563" s="580"/>
      <c r="O563" s="580"/>
      <c r="P563" s="580"/>
      <c r="Q563" s="580"/>
      <c r="R563" s="580"/>
      <c r="S563" s="580"/>
      <c r="T563" s="580"/>
      <c r="U563" s="580"/>
      <c r="V563" s="580"/>
      <c r="W563" s="580"/>
      <c r="X563" s="580"/>
      <c r="Y563" s="580"/>
      <c r="Z563" s="580"/>
      <c r="AA563" s="580"/>
      <c r="AB563" s="580"/>
    </row>
    <row r="564" ht="15.75" customHeight="1">
      <c r="A564" s="570"/>
      <c r="B564" s="570"/>
      <c r="C564" s="580"/>
      <c r="D564" s="580"/>
      <c r="E564" s="580"/>
      <c r="F564" s="580"/>
      <c r="G564" s="580"/>
      <c r="H564" s="580"/>
      <c r="I564" s="580"/>
      <c r="J564" s="580"/>
      <c r="K564" s="580"/>
      <c r="L564" s="580"/>
      <c r="M564" s="580"/>
      <c r="N564" s="580"/>
      <c r="O564" s="580"/>
      <c r="P564" s="580"/>
      <c r="Q564" s="580"/>
      <c r="R564" s="580"/>
      <c r="S564" s="580"/>
      <c r="T564" s="580"/>
      <c r="U564" s="580"/>
      <c r="V564" s="580"/>
      <c r="W564" s="580"/>
      <c r="X564" s="580"/>
      <c r="Y564" s="580"/>
      <c r="Z564" s="580"/>
      <c r="AA564" s="580"/>
      <c r="AB564" s="580"/>
    </row>
    <row r="565" ht="15.75" customHeight="1">
      <c r="A565" s="570"/>
      <c r="B565" s="570"/>
      <c r="C565" s="580"/>
      <c r="D565" s="580"/>
      <c r="E565" s="580"/>
      <c r="F565" s="580"/>
      <c r="G565" s="580"/>
      <c r="H565" s="580"/>
      <c r="I565" s="580"/>
      <c r="J565" s="580"/>
      <c r="K565" s="580"/>
      <c r="L565" s="580"/>
      <c r="M565" s="580"/>
      <c r="N565" s="580"/>
      <c r="O565" s="580"/>
      <c r="P565" s="580"/>
      <c r="Q565" s="580"/>
      <c r="R565" s="580"/>
      <c r="S565" s="580"/>
      <c r="T565" s="580"/>
      <c r="U565" s="580"/>
      <c r="V565" s="580"/>
      <c r="W565" s="580"/>
      <c r="X565" s="580"/>
      <c r="Y565" s="580"/>
      <c r="Z565" s="580"/>
      <c r="AA565" s="580"/>
      <c r="AB565" s="580"/>
    </row>
    <row r="566" ht="15.75" customHeight="1">
      <c r="A566" s="570"/>
      <c r="B566" s="570"/>
      <c r="C566" s="580"/>
      <c r="D566" s="580"/>
      <c r="E566" s="580"/>
      <c r="F566" s="580"/>
      <c r="G566" s="580"/>
      <c r="H566" s="580"/>
      <c r="I566" s="580"/>
      <c r="J566" s="580"/>
      <c r="K566" s="580"/>
      <c r="L566" s="580"/>
      <c r="M566" s="580"/>
      <c r="N566" s="580"/>
      <c r="O566" s="580"/>
      <c r="P566" s="580"/>
      <c r="Q566" s="580"/>
      <c r="R566" s="580"/>
      <c r="S566" s="580"/>
      <c r="T566" s="580"/>
      <c r="U566" s="580"/>
      <c r="V566" s="580"/>
      <c r="W566" s="580"/>
      <c r="X566" s="580"/>
      <c r="Y566" s="580"/>
      <c r="Z566" s="580"/>
      <c r="AA566" s="580"/>
      <c r="AB566" s="580"/>
    </row>
    <row r="567" ht="15.75" customHeight="1">
      <c r="A567" s="570"/>
      <c r="B567" s="570"/>
      <c r="C567" s="580"/>
      <c r="D567" s="580"/>
      <c r="E567" s="580"/>
      <c r="F567" s="580"/>
      <c r="G567" s="580"/>
      <c r="H567" s="580"/>
      <c r="I567" s="580"/>
      <c r="J567" s="580"/>
      <c r="K567" s="580"/>
      <c r="L567" s="580"/>
      <c r="M567" s="580"/>
      <c r="N567" s="580"/>
      <c r="O567" s="580"/>
      <c r="P567" s="580"/>
      <c r="Q567" s="580"/>
      <c r="R567" s="580"/>
      <c r="S567" s="580"/>
      <c r="T567" s="580"/>
      <c r="U567" s="580"/>
      <c r="V567" s="580"/>
      <c r="W567" s="580"/>
      <c r="X567" s="580"/>
      <c r="Y567" s="580"/>
      <c r="Z567" s="580"/>
      <c r="AA567" s="580"/>
      <c r="AB567" s="580"/>
    </row>
    <row r="568" ht="15.75" customHeight="1">
      <c r="A568" s="570"/>
      <c r="B568" s="570"/>
      <c r="C568" s="580"/>
      <c r="D568" s="580"/>
      <c r="E568" s="580"/>
      <c r="F568" s="580"/>
      <c r="G568" s="580"/>
      <c r="H568" s="580"/>
      <c r="I568" s="580"/>
      <c r="J568" s="580"/>
      <c r="K568" s="580"/>
      <c r="L568" s="580"/>
      <c r="M568" s="580"/>
      <c r="N568" s="580"/>
      <c r="O568" s="580"/>
      <c r="P568" s="580"/>
      <c r="Q568" s="580"/>
      <c r="R568" s="580"/>
      <c r="S568" s="580"/>
      <c r="T568" s="580"/>
      <c r="U568" s="580"/>
      <c r="V568" s="580"/>
      <c r="W568" s="580"/>
      <c r="X568" s="580"/>
      <c r="Y568" s="580"/>
      <c r="Z568" s="580"/>
      <c r="AA568" s="580"/>
      <c r="AB568" s="580"/>
    </row>
    <row r="569" ht="15.75" customHeight="1">
      <c r="A569" s="570"/>
      <c r="B569" s="570"/>
      <c r="C569" s="580"/>
      <c r="D569" s="580"/>
      <c r="E569" s="580"/>
      <c r="F569" s="580"/>
      <c r="G569" s="580"/>
      <c r="H569" s="580"/>
      <c r="I569" s="580"/>
      <c r="J569" s="580"/>
      <c r="K569" s="580"/>
      <c r="L569" s="580"/>
      <c r="M569" s="580"/>
      <c r="N569" s="580"/>
      <c r="O569" s="580"/>
      <c r="P569" s="580"/>
      <c r="Q569" s="580"/>
      <c r="R569" s="580"/>
      <c r="S569" s="580"/>
      <c r="T569" s="580"/>
      <c r="U569" s="580"/>
      <c r="V569" s="580"/>
      <c r="W569" s="580"/>
      <c r="X569" s="580"/>
      <c r="Y569" s="580"/>
      <c r="Z569" s="580"/>
      <c r="AA569" s="580"/>
      <c r="AB569" s="580"/>
    </row>
    <row r="570" ht="15.75" customHeight="1">
      <c r="A570" s="570"/>
      <c r="B570" s="570"/>
      <c r="C570" s="580"/>
      <c r="D570" s="580"/>
      <c r="E570" s="580"/>
      <c r="F570" s="580"/>
      <c r="G570" s="580"/>
      <c r="H570" s="580"/>
      <c r="I570" s="580"/>
      <c r="J570" s="580"/>
      <c r="K570" s="580"/>
      <c r="L570" s="580"/>
      <c r="M570" s="580"/>
      <c r="N570" s="580"/>
      <c r="O570" s="580"/>
      <c r="P570" s="580"/>
      <c r="Q570" s="580"/>
      <c r="R570" s="580"/>
      <c r="S570" s="580"/>
      <c r="T570" s="580"/>
      <c r="U570" s="580"/>
      <c r="V570" s="580"/>
      <c r="W570" s="580"/>
      <c r="X570" s="580"/>
      <c r="Y570" s="580"/>
      <c r="Z570" s="580"/>
      <c r="AA570" s="580"/>
      <c r="AB570" s="580"/>
    </row>
    <row r="571" ht="15.75" customHeight="1">
      <c r="A571" s="570"/>
      <c r="B571" s="570"/>
      <c r="C571" s="580"/>
      <c r="D571" s="580"/>
      <c r="E571" s="580"/>
      <c r="F571" s="580"/>
      <c r="G571" s="580"/>
      <c r="H571" s="580"/>
      <c r="I571" s="580"/>
      <c r="J571" s="580"/>
      <c r="K571" s="580"/>
      <c r="L571" s="580"/>
      <c r="M571" s="580"/>
      <c r="N571" s="580"/>
      <c r="O571" s="580"/>
      <c r="P571" s="580"/>
      <c r="Q571" s="580"/>
      <c r="R571" s="580"/>
      <c r="S571" s="580"/>
      <c r="T571" s="580"/>
      <c r="U571" s="580"/>
      <c r="V571" s="580"/>
      <c r="W571" s="580"/>
      <c r="X571" s="580"/>
      <c r="Y571" s="580"/>
      <c r="Z571" s="580"/>
      <c r="AA571" s="580"/>
      <c r="AB571" s="580"/>
    </row>
    <row r="572" ht="15.75" customHeight="1">
      <c r="A572" s="570"/>
      <c r="B572" s="570"/>
      <c r="C572" s="580"/>
      <c r="D572" s="580"/>
      <c r="E572" s="580"/>
      <c r="F572" s="580"/>
      <c r="G572" s="580"/>
      <c r="H572" s="580"/>
      <c r="I572" s="580"/>
      <c r="J572" s="580"/>
      <c r="K572" s="580"/>
      <c r="L572" s="580"/>
      <c r="M572" s="580"/>
      <c r="N572" s="580"/>
      <c r="O572" s="580"/>
      <c r="P572" s="580"/>
      <c r="Q572" s="580"/>
      <c r="R572" s="580"/>
      <c r="S572" s="580"/>
      <c r="T572" s="580"/>
      <c r="U572" s="580"/>
      <c r="V572" s="580"/>
      <c r="W572" s="580"/>
      <c r="X572" s="580"/>
      <c r="Y572" s="580"/>
      <c r="Z572" s="580"/>
      <c r="AA572" s="580"/>
      <c r="AB572" s="580"/>
    </row>
    <row r="573" ht="15.75" customHeight="1">
      <c r="A573" s="570"/>
      <c r="B573" s="570"/>
      <c r="C573" s="580"/>
      <c r="D573" s="580"/>
      <c r="E573" s="580"/>
      <c r="F573" s="580"/>
      <c r="G573" s="580"/>
      <c r="H573" s="580"/>
      <c r="I573" s="580"/>
      <c r="J573" s="580"/>
      <c r="K573" s="580"/>
      <c r="L573" s="580"/>
      <c r="M573" s="580"/>
      <c r="N573" s="580"/>
      <c r="O573" s="580"/>
      <c r="P573" s="580"/>
      <c r="Q573" s="580"/>
      <c r="R573" s="580"/>
      <c r="S573" s="580"/>
      <c r="T573" s="580"/>
      <c r="U573" s="580"/>
      <c r="V573" s="580"/>
      <c r="W573" s="580"/>
      <c r="X573" s="580"/>
      <c r="Y573" s="580"/>
      <c r="Z573" s="580"/>
      <c r="AA573" s="580"/>
      <c r="AB573" s="580"/>
    </row>
    <row r="574" ht="15.75" customHeight="1">
      <c r="A574" s="570"/>
      <c r="B574" s="570"/>
      <c r="C574" s="580"/>
      <c r="D574" s="580"/>
      <c r="E574" s="580"/>
      <c r="F574" s="580"/>
      <c r="G574" s="580"/>
      <c r="H574" s="580"/>
      <c r="I574" s="580"/>
      <c r="J574" s="580"/>
      <c r="K574" s="580"/>
      <c r="L574" s="580"/>
      <c r="M574" s="580"/>
      <c r="N574" s="580"/>
      <c r="O574" s="580"/>
      <c r="P574" s="580"/>
      <c r="Q574" s="580"/>
      <c r="R574" s="580"/>
      <c r="S574" s="580"/>
      <c r="T574" s="580"/>
      <c r="U574" s="580"/>
      <c r="V574" s="580"/>
      <c r="W574" s="580"/>
      <c r="X574" s="580"/>
      <c r="Y574" s="580"/>
      <c r="Z574" s="580"/>
      <c r="AA574" s="580"/>
      <c r="AB574" s="580"/>
    </row>
    <row r="575" ht="15.75" customHeight="1">
      <c r="A575" s="570"/>
      <c r="B575" s="570"/>
      <c r="C575" s="580"/>
      <c r="D575" s="580"/>
      <c r="E575" s="580"/>
      <c r="F575" s="580"/>
      <c r="G575" s="580"/>
      <c r="H575" s="580"/>
      <c r="I575" s="580"/>
      <c r="J575" s="580"/>
      <c r="K575" s="580"/>
      <c r="L575" s="580"/>
      <c r="M575" s="580"/>
      <c r="N575" s="580"/>
      <c r="O575" s="580"/>
      <c r="P575" s="580"/>
      <c r="Q575" s="580"/>
      <c r="R575" s="580"/>
      <c r="S575" s="580"/>
      <c r="T575" s="580"/>
      <c r="U575" s="580"/>
      <c r="V575" s="580"/>
      <c r="W575" s="580"/>
      <c r="X575" s="580"/>
      <c r="Y575" s="580"/>
      <c r="Z575" s="580"/>
      <c r="AA575" s="580"/>
      <c r="AB575" s="580"/>
    </row>
    <row r="576" ht="15.75" customHeight="1">
      <c r="A576" s="570"/>
      <c r="B576" s="570"/>
      <c r="C576" s="580"/>
      <c r="D576" s="580"/>
      <c r="E576" s="580"/>
      <c r="F576" s="580"/>
      <c r="G576" s="580"/>
      <c r="H576" s="580"/>
      <c r="I576" s="580"/>
      <c r="J576" s="580"/>
      <c r="K576" s="580"/>
      <c r="L576" s="580"/>
      <c r="M576" s="580"/>
      <c r="N576" s="580"/>
      <c r="O576" s="580"/>
      <c r="P576" s="580"/>
      <c r="Q576" s="580"/>
      <c r="R576" s="580"/>
      <c r="S576" s="580"/>
      <c r="T576" s="580"/>
      <c r="U576" s="580"/>
      <c r="V576" s="580"/>
      <c r="W576" s="580"/>
      <c r="X576" s="580"/>
      <c r="Y576" s="580"/>
      <c r="Z576" s="580"/>
      <c r="AA576" s="580"/>
      <c r="AB576" s="580"/>
    </row>
    <row r="577" ht="15.75" customHeight="1">
      <c r="A577" s="570"/>
      <c r="B577" s="570"/>
      <c r="C577" s="580"/>
      <c r="D577" s="580"/>
      <c r="E577" s="580"/>
      <c r="F577" s="580"/>
      <c r="G577" s="580"/>
      <c r="H577" s="580"/>
      <c r="I577" s="580"/>
      <c r="J577" s="580"/>
      <c r="K577" s="580"/>
      <c r="L577" s="580"/>
      <c r="M577" s="580"/>
      <c r="N577" s="580"/>
      <c r="O577" s="580"/>
      <c r="P577" s="580"/>
      <c r="Q577" s="580"/>
      <c r="R577" s="580"/>
      <c r="S577" s="580"/>
      <c r="T577" s="580"/>
      <c r="U577" s="580"/>
      <c r="V577" s="580"/>
      <c r="W577" s="580"/>
      <c r="X577" s="580"/>
      <c r="Y577" s="580"/>
      <c r="Z577" s="580"/>
      <c r="AA577" s="580"/>
      <c r="AB577" s="580"/>
    </row>
    <row r="578" ht="15.75" customHeight="1">
      <c r="A578" s="570"/>
      <c r="B578" s="570"/>
      <c r="C578" s="580"/>
      <c r="D578" s="580"/>
      <c r="E578" s="580"/>
      <c r="F578" s="580"/>
      <c r="G578" s="580"/>
      <c r="H578" s="580"/>
      <c r="I578" s="580"/>
      <c r="J578" s="580"/>
      <c r="K578" s="580"/>
      <c r="L578" s="580"/>
      <c r="M578" s="580"/>
      <c r="N578" s="580"/>
      <c r="O578" s="580"/>
      <c r="P578" s="580"/>
      <c r="Q578" s="580"/>
      <c r="R578" s="580"/>
      <c r="S578" s="580"/>
      <c r="T578" s="580"/>
      <c r="U578" s="580"/>
      <c r="V578" s="580"/>
      <c r="W578" s="580"/>
      <c r="X578" s="580"/>
      <c r="Y578" s="580"/>
      <c r="Z578" s="580"/>
      <c r="AA578" s="580"/>
      <c r="AB578" s="580"/>
    </row>
    <row r="579" ht="15.75" customHeight="1">
      <c r="A579" s="570"/>
      <c r="B579" s="570"/>
      <c r="C579" s="580"/>
      <c r="D579" s="580"/>
      <c r="E579" s="580"/>
      <c r="F579" s="580"/>
      <c r="G579" s="580"/>
      <c r="H579" s="580"/>
      <c r="I579" s="580"/>
      <c r="J579" s="580"/>
      <c r="K579" s="580"/>
      <c r="L579" s="580"/>
      <c r="M579" s="580"/>
      <c r="N579" s="580"/>
      <c r="O579" s="580"/>
      <c r="P579" s="580"/>
      <c r="Q579" s="580"/>
      <c r="R579" s="580"/>
      <c r="S579" s="580"/>
      <c r="T579" s="580"/>
      <c r="U579" s="580"/>
      <c r="V579" s="580"/>
      <c r="W579" s="580"/>
      <c r="X579" s="580"/>
      <c r="Y579" s="580"/>
      <c r="Z579" s="580"/>
      <c r="AA579" s="580"/>
      <c r="AB579" s="580"/>
    </row>
    <row r="580" ht="15.75" customHeight="1">
      <c r="A580" s="570"/>
      <c r="B580" s="570"/>
      <c r="C580" s="580"/>
      <c r="D580" s="580"/>
      <c r="E580" s="580"/>
      <c r="F580" s="580"/>
      <c r="G580" s="580"/>
      <c r="H580" s="580"/>
      <c r="I580" s="580"/>
      <c r="J580" s="580"/>
      <c r="K580" s="580"/>
      <c r="L580" s="580"/>
      <c r="M580" s="580"/>
      <c r="N580" s="580"/>
      <c r="O580" s="580"/>
      <c r="P580" s="580"/>
      <c r="Q580" s="580"/>
      <c r="R580" s="580"/>
      <c r="S580" s="580"/>
      <c r="T580" s="580"/>
      <c r="U580" s="580"/>
      <c r="V580" s="580"/>
      <c r="W580" s="580"/>
      <c r="X580" s="580"/>
      <c r="Y580" s="580"/>
      <c r="Z580" s="580"/>
      <c r="AA580" s="580"/>
      <c r="AB580" s="580"/>
    </row>
    <row r="581" ht="15.75" customHeight="1">
      <c r="A581" s="570"/>
      <c r="B581" s="570"/>
      <c r="C581" s="580"/>
      <c r="D581" s="580"/>
      <c r="E581" s="580"/>
      <c r="F581" s="580"/>
      <c r="G581" s="580"/>
      <c r="H581" s="580"/>
      <c r="I581" s="580"/>
      <c r="J581" s="580"/>
      <c r="K581" s="580"/>
      <c r="L581" s="580"/>
      <c r="M581" s="580"/>
      <c r="N581" s="580"/>
      <c r="O581" s="580"/>
      <c r="P581" s="580"/>
      <c r="Q581" s="580"/>
      <c r="R581" s="580"/>
      <c r="S581" s="580"/>
      <c r="T581" s="580"/>
      <c r="U581" s="580"/>
      <c r="V581" s="580"/>
      <c r="W581" s="580"/>
      <c r="X581" s="580"/>
      <c r="Y581" s="580"/>
      <c r="Z581" s="580"/>
      <c r="AA581" s="580"/>
      <c r="AB581" s="580"/>
    </row>
    <row r="582" ht="15.75" customHeight="1">
      <c r="A582" s="570"/>
      <c r="B582" s="570"/>
      <c r="C582" s="580"/>
      <c r="D582" s="580"/>
      <c r="E582" s="580"/>
      <c r="F582" s="580"/>
      <c r="G582" s="580"/>
      <c r="H582" s="580"/>
      <c r="I582" s="580"/>
      <c r="J582" s="580"/>
      <c r="K582" s="580"/>
      <c r="L582" s="580"/>
      <c r="M582" s="580"/>
      <c r="N582" s="580"/>
      <c r="O582" s="580"/>
      <c r="P582" s="580"/>
      <c r="Q582" s="580"/>
      <c r="R582" s="580"/>
      <c r="S582" s="580"/>
      <c r="T582" s="580"/>
      <c r="U582" s="580"/>
      <c r="V582" s="580"/>
      <c r="W582" s="580"/>
      <c r="X582" s="580"/>
      <c r="Y582" s="580"/>
      <c r="Z582" s="580"/>
      <c r="AA582" s="580"/>
      <c r="AB582" s="580"/>
    </row>
    <row r="583" ht="15.75" customHeight="1">
      <c r="A583" s="570"/>
      <c r="B583" s="570"/>
      <c r="C583" s="580"/>
      <c r="D583" s="580"/>
      <c r="E583" s="580"/>
      <c r="F583" s="580"/>
      <c r="G583" s="580"/>
      <c r="H583" s="580"/>
      <c r="I583" s="580"/>
      <c r="J583" s="580"/>
      <c r="K583" s="580"/>
      <c r="L583" s="580"/>
      <c r="M583" s="580"/>
      <c r="N583" s="580"/>
      <c r="O583" s="580"/>
      <c r="P583" s="580"/>
      <c r="Q583" s="580"/>
      <c r="R583" s="580"/>
      <c r="S583" s="580"/>
      <c r="T583" s="580"/>
      <c r="U583" s="580"/>
      <c r="V583" s="580"/>
      <c r="W583" s="580"/>
      <c r="X583" s="580"/>
      <c r="Y583" s="580"/>
      <c r="Z583" s="580"/>
      <c r="AA583" s="580"/>
      <c r="AB583" s="580"/>
    </row>
    <row r="584" ht="15.75" customHeight="1">
      <c r="A584" s="570"/>
      <c r="B584" s="570"/>
      <c r="C584" s="580"/>
      <c r="D584" s="580"/>
      <c r="E584" s="580"/>
      <c r="F584" s="580"/>
      <c r="G584" s="580"/>
      <c r="H584" s="580"/>
      <c r="I584" s="580"/>
      <c r="J584" s="580"/>
      <c r="K584" s="580"/>
      <c r="L584" s="580"/>
      <c r="M584" s="580"/>
      <c r="N584" s="580"/>
      <c r="O584" s="580"/>
      <c r="P584" s="580"/>
      <c r="Q584" s="580"/>
      <c r="R584" s="580"/>
      <c r="S584" s="580"/>
      <c r="T584" s="580"/>
      <c r="U584" s="580"/>
      <c r="V584" s="580"/>
      <c r="W584" s="580"/>
      <c r="X584" s="580"/>
      <c r="Y584" s="580"/>
      <c r="Z584" s="580"/>
      <c r="AA584" s="580"/>
      <c r="AB584" s="580"/>
    </row>
    <row r="585" ht="15.75" customHeight="1">
      <c r="A585" s="570"/>
      <c r="B585" s="570"/>
      <c r="C585" s="580"/>
      <c r="D585" s="580"/>
      <c r="E585" s="580"/>
      <c r="F585" s="580"/>
      <c r="G585" s="580"/>
      <c r="H585" s="580"/>
      <c r="I585" s="580"/>
      <c r="J585" s="580"/>
      <c r="K585" s="580"/>
      <c r="L585" s="580"/>
      <c r="M585" s="580"/>
      <c r="N585" s="580"/>
      <c r="O585" s="580"/>
      <c r="P585" s="580"/>
      <c r="Q585" s="580"/>
      <c r="R585" s="580"/>
      <c r="S585" s="580"/>
      <c r="T585" s="580"/>
      <c r="U585" s="580"/>
      <c r="V585" s="580"/>
      <c r="W585" s="580"/>
      <c r="X585" s="580"/>
      <c r="Y585" s="580"/>
      <c r="Z585" s="580"/>
      <c r="AA585" s="580"/>
      <c r="AB585" s="580"/>
    </row>
    <row r="586" ht="15.75" customHeight="1">
      <c r="A586" s="570"/>
      <c r="B586" s="570"/>
      <c r="C586" s="580"/>
      <c r="D586" s="580"/>
      <c r="E586" s="580"/>
      <c r="F586" s="580"/>
      <c r="G586" s="580"/>
      <c r="H586" s="580"/>
      <c r="I586" s="580"/>
      <c r="J586" s="580"/>
      <c r="K586" s="580"/>
      <c r="L586" s="580"/>
      <c r="M586" s="580"/>
      <c r="N586" s="580"/>
      <c r="O586" s="580"/>
      <c r="P586" s="580"/>
      <c r="Q586" s="580"/>
      <c r="R586" s="580"/>
      <c r="S586" s="580"/>
      <c r="T586" s="580"/>
      <c r="U586" s="580"/>
      <c r="V586" s="580"/>
      <c r="W586" s="580"/>
      <c r="X586" s="580"/>
      <c r="Y586" s="580"/>
      <c r="Z586" s="580"/>
      <c r="AA586" s="580"/>
      <c r="AB586" s="580"/>
    </row>
    <row r="587" ht="15.75" customHeight="1">
      <c r="A587" s="570"/>
      <c r="B587" s="570"/>
      <c r="C587" s="580"/>
      <c r="D587" s="580"/>
      <c r="E587" s="580"/>
      <c r="F587" s="580"/>
      <c r="G587" s="580"/>
      <c r="H587" s="580"/>
      <c r="I587" s="580"/>
      <c r="J587" s="580"/>
      <c r="K587" s="580"/>
      <c r="L587" s="580"/>
      <c r="M587" s="580"/>
      <c r="N587" s="580"/>
      <c r="O587" s="580"/>
      <c r="P587" s="580"/>
      <c r="Q587" s="580"/>
      <c r="R587" s="580"/>
      <c r="S587" s="580"/>
      <c r="T587" s="580"/>
      <c r="U587" s="580"/>
      <c r="V587" s="580"/>
      <c r="W587" s="580"/>
      <c r="X587" s="580"/>
      <c r="Y587" s="580"/>
      <c r="Z587" s="580"/>
      <c r="AA587" s="580"/>
      <c r="AB587" s="580"/>
    </row>
    <row r="588" ht="15.75" customHeight="1">
      <c r="A588" s="570"/>
      <c r="B588" s="570"/>
      <c r="C588" s="580"/>
      <c r="D588" s="580"/>
      <c r="E588" s="580"/>
      <c r="F588" s="580"/>
      <c r="G588" s="580"/>
      <c r="H588" s="580"/>
      <c r="I588" s="580"/>
      <c r="J588" s="580"/>
      <c r="K588" s="580"/>
      <c r="L588" s="580"/>
      <c r="M588" s="580"/>
      <c r="N588" s="580"/>
      <c r="O588" s="580"/>
      <c r="P588" s="580"/>
      <c r="Q588" s="580"/>
      <c r="R588" s="580"/>
      <c r="S588" s="580"/>
      <c r="T588" s="580"/>
      <c r="U588" s="580"/>
      <c r="V588" s="580"/>
      <c r="W588" s="580"/>
      <c r="X588" s="580"/>
      <c r="Y588" s="580"/>
      <c r="Z588" s="580"/>
      <c r="AA588" s="580"/>
      <c r="AB588" s="580"/>
    </row>
    <row r="589" ht="15.75" customHeight="1">
      <c r="A589" s="570"/>
      <c r="B589" s="570"/>
      <c r="C589" s="580"/>
      <c r="D589" s="580"/>
      <c r="E589" s="580"/>
      <c r="F589" s="580"/>
      <c r="G589" s="580"/>
      <c r="H589" s="580"/>
      <c r="I589" s="580"/>
      <c r="J589" s="580"/>
      <c r="K589" s="580"/>
      <c r="L589" s="580"/>
      <c r="M589" s="580"/>
      <c r="N589" s="580"/>
      <c r="O589" s="580"/>
      <c r="P589" s="580"/>
      <c r="Q589" s="580"/>
      <c r="R589" s="580"/>
      <c r="S589" s="580"/>
      <c r="T589" s="580"/>
      <c r="U589" s="580"/>
      <c r="V589" s="580"/>
      <c r="W589" s="580"/>
      <c r="X589" s="580"/>
      <c r="Y589" s="580"/>
      <c r="Z589" s="580"/>
      <c r="AA589" s="580"/>
      <c r="AB589" s="580"/>
    </row>
    <row r="590" ht="15.75" customHeight="1">
      <c r="A590" s="570"/>
      <c r="B590" s="570"/>
      <c r="C590" s="580"/>
      <c r="D590" s="580"/>
      <c r="E590" s="580"/>
      <c r="F590" s="580"/>
      <c r="G590" s="580"/>
      <c r="H590" s="580"/>
      <c r="I590" s="580"/>
      <c r="J590" s="580"/>
      <c r="K590" s="580"/>
      <c r="L590" s="580"/>
      <c r="M590" s="580"/>
      <c r="N590" s="580"/>
      <c r="O590" s="580"/>
      <c r="P590" s="580"/>
      <c r="Q590" s="580"/>
      <c r="R590" s="580"/>
      <c r="S590" s="580"/>
      <c r="T590" s="580"/>
      <c r="U590" s="580"/>
      <c r="V590" s="580"/>
      <c r="W590" s="580"/>
      <c r="X590" s="580"/>
      <c r="Y590" s="580"/>
      <c r="Z590" s="580"/>
      <c r="AA590" s="580"/>
      <c r="AB590" s="580"/>
    </row>
    <row r="591" ht="15.75" customHeight="1">
      <c r="A591" s="570"/>
      <c r="B591" s="570"/>
      <c r="C591" s="580"/>
      <c r="D591" s="580"/>
      <c r="E591" s="580"/>
      <c r="F591" s="580"/>
      <c r="G591" s="580"/>
      <c r="H591" s="580"/>
      <c r="I591" s="580"/>
      <c r="J591" s="580"/>
      <c r="K591" s="580"/>
      <c r="L591" s="580"/>
      <c r="M591" s="580"/>
      <c r="N591" s="580"/>
      <c r="O591" s="580"/>
      <c r="P591" s="580"/>
      <c r="Q591" s="580"/>
      <c r="R591" s="580"/>
      <c r="S591" s="580"/>
      <c r="T591" s="580"/>
      <c r="U591" s="580"/>
      <c r="V591" s="580"/>
      <c r="W591" s="580"/>
      <c r="X591" s="580"/>
      <c r="Y591" s="580"/>
      <c r="Z591" s="580"/>
      <c r="AA591" s="580"/>
      <c r="AB591" s="580"/>
    </row>
    <row r="592" ht="15.75" customHeight="1">
      <c r="A592" s="570"/>
      <c r="B592" s="570"/>
      <c r="C592" s="580"/>
      <c r="D592" s="580"/>
      <c r="E592" s="580"/>
      <c r="F592" s="580"/>
      <c r="G592" s="580"/>
      <c r="H592" s="580"/>
      <c r="I592" s="580"/>
      <c r="J592" s="580"/>
      <c r="K592" s="580"/>
      <c r="L592" s="580"/>
      <c r="M592" s="580"/>
      <c r="N592" s="580"/>
      <c r="O592" s="580"/>
      <c r="P592" s="580"/>
      <c r="Q592" s="580"/>
      <c r="R592" s="580"/>
      <c r="S592" s="580"/>
      <c r="T592" s="580"/>
      <c r="U592" s="580"/>
      <c r="V592" s="580"/>
      <c r="W592" s="580"/>
      <c r="X592" s="580"/>
      <c r="Y592" s="580"/>
      <c r="Z592" s="580"/>
      <c r="AA592" s="580"/>
      <c r="AB592" s="580"/>
    </row>
    <row r="593" ht="15.75" customHeight="1">
      <c r="A593" s="570"/>
      <c r="B593" s="570"/>
      <c r="C593" s="580"/>
      <c r="D593" s="580"/>
      <c r="E593" s="580"/>
      <c r="F593" s="580"/>
      <c r="G593" s="580"/>
      <c r="H593" s="580"/>
      <c r="I593" s="580"/>
      <c r="J593" s="580"/>
      <c r="K593" s="580"/>
      <c r="L593" s="580"/>
      <c r="M593" s="580"/>
      <c r="N593" s="580"/>
      <c r="O593" s="580"/>
      <c r="P593" s="580"/>
      <c r="Q593" s="580"/>
      <c r="R593" s="580"/>
      <c r="S593" s="580"/>
      <c r="T593" s="580"/>
      <c r="U593" s="580"/>
      <c r="V593" s="580"/>
      <c r="W593" s="580"/>
      <c r="X593" s="580"/>
      <c r="Y593" s="580"/>
      <c r="Z593" s="580"/>
      <c r="AA593" s="580"/>
      <c r="AB593" s="580"/>
    </row>
    <row r="594" ht="15.75" customHeight="1">
      <c r="A594" s="570"/>
      <c r="B594" s="570"/>
      <c r="C594" s="580"/>
      <c r="D594" s="580"/>
      <c r="E594" s="580"/>
      <c r="F594" s="580"/>
      <c r="G594" s="580"/>
      <c r="H594" s="580"/>
      <c r="I594" s="580"/>
      <c r="J594" s="580"/>
      <c r="K594" s="580"/>
      <c r="L594" s="580"/>
      <c r="M594" s="580"/>
      <c r="N594" s="580"/>
      <c r="O594" s="580"/>
      <c r="P594" s="580"/>
      <c r="Q594" s="580"/>
      <c r="R594" s="580"/>
      <c r="S594" s="580"/>
      <c r="T594" s="580"/>
      <c r="U594" s="580"/>
      <c r="V594" s="580"/>
      <c r="W594" s="580"/>
      <c r="X594" s="580"/>
      <c r="Y594" s="580"/>
      <c r="Z594" s="580"/>
      <c r="AA594" s="580"/>
      <c r="AB594" s="580"/>
    </row>
    <row r="595" ht="15.75" customHeight="1">
      <c r="A595" s="570"/>
      <c r="B595" s="570"/>
      <c r="C595" s="580"/>
      <c r="D595" s="580"/>
      <c r="E595" s="580"/>
      <c r="F595" s="580"/>
      <c r="G595" s="580"/>
      <c r="H595" s="580"/>
      <c r="I595" s="580"/>
      <c r="J595" s="580"/>
      <c r="K595" s="580"/>
      <c r="L595" s="580"/>
      <c r="M595" s="580"/>
      <c r="N595" s="580"/>
      <c r="O595" s="580"/>
      <c r="P595" s="580"/>
      <c r="Q595" s="580"/>
      <c r="R595" s="580"/>
      <c r="S595" s="580"/>
      <c r="T595" s="580"/>
      <c r="U595" s="580"/>
      <c r="V595" s="580"/>
      <c r="W595" s="580"/>
      <c r="X595" s="580"/>
      <c r="Y595" s="580"/>
      <c r="Z595" s="580"/>
      <c r="AA595" s="580"/>
      <c r="AB595" s="580"/>
    </row>
    <row r="596" ht="15.75" customHeight="1">
      <c r="A596" s="570"/>
      <c r="B596" s="570"/>
      <c r="C596" s="580"/>
      <c r="D596" s="580"/>
      <c r="E596" s="580"/>
      <c r="F596" s="580"/>
      <c r="G596" s="580"/>
      <c r="H596" s="580"/>
      <c r="I596" s="580"/>
      <c r="J596" s="580"/>
      <c r="K596" s="580"/>
      <c r="L596" s="580"/>
      <c r="M596" s="580"/>
      <c r="N596" s="580"/>
      <c r="O596" s="580"/>
      <c r="P596" s="580"/>
      <c r="Q596" s="580"/>
      <c r="R596" s="580"/>
      <c r="S596" s="580"/>
      <c r="T596" s="580"/>
      <c r="U596" s="580"/>
      <c r="V596" s="580"/>
      <c r="W596" s="580"/>
      <c r="X596" s="580"/>
      <c r="Y596" s="580"/>
      <c r="Z596" s="580"/>
      <c r="AA596" s="580"/>
      <c r="AB596" s="580"/>
    </row>
    <row r="597" ht="15.75" customHeight="1">
      <c r="A597" s="570"/>
      <c r="B597" s="570"/>
      <c r="C597" s="580"/>
      <c r="D597" s="580"/>
      <c r="E597" s="580"/>
      <c r="F597" s="580"/>
      <c r="G597" s="580"/>
      <c r="H597" s="580"/>
      <c r="I597" s="580"/>
      <c r="J597" s="580"/>
      <c r="K597" s="580"/>
      <c r="L597" s="580"/>
      <c r="M597" s="580"/>
      <c r="N597" s="580"/>
      <c r="O597" s="580"/>
      <c r="P597" s="580"/>
      <c r="Q597" s="580"/>
      <c r="R597" s="580"/>
      <c r="S597" s="580"/>
      <c r="T597" s="580"/>
      <c r="U597" s="580"/>
      <c r="V597" s="580"/>
      <c r="W597" s="580"/>
      <c r="X597" s="580"/>
      <c r="Y597" s="580"/>
      <c r="Z597" s="580"/>
      <c r="AA597" s="580"/>
      <c r="AB597" s="580"/>
    </row>
    <row r="598" ht="15.75" customHeight="1">
      <c r="A598" s="570"/>
      <c r="B598" s="570"/>
      <c r="C598" s="580"/>
      <c r="D598" s="580"/>
      <c r="E598" s="580"/>
      <c r="F598" s="580"/>
      <c r="G598" s="580"/>
      <c r="H598" s="580"/>
      <c r="I598" s="580"/>
      <c r="J598" s="580"/>
      <c r="K598" s="580"/>
      <c r="L598" s="580"/>
      <c r="M598" s="580"/>
      <c r="N598" s="580"/>
      <c r="O598" s="580"/>
      <c r="P598" s="580"/>
      <c r="Q598" s="580"/>
      <c r="R598" s="580"/>
      <c r="S598" s="580"/>
      <c r="T598" s="580"/>
      <c r="U598" s="580"/>
      <c r="V598" s="580"/>
      <c r="W598" s="580"/>
      <c r="X598" s="580"/>
      <c r="Y598" s="580"/>
      <c r="Z598" s="580"/>
      <c r="AA598" s="580"/>
      <c r="AB598" s="580"/>
    </row>
    <row r="599" ht="15.75" customHeight="1">
      <c r="A599" s="570"/>
      <c r="B599" s="570"/>
      <c r="C599" s="580"/>
      <c r="D599" s="580"/>
      <c r="E599" s="580"/>
      <c r="F599" s="580"/>
      <c r="G599" s="580"/>
      <c r="H599" s="580"/>
      <c r="I599" s="580"/>
      <c r="J599" s="580"/>
      <c r="K599" s="580"/>
      <c r="L599" s="580"/>
      <c r="M599" s="580"/>
      <c r="N599" s="580"/>
      <c r="O599" s="580"/>
      <c r="P599" s="580"/>
      <c r="Q599" s="580"/>
      <c r="R599" s="580"/>
      <c r="S599" s="580"/>
      <c r="T599" s="580"/>
      <c r="U599" s="580"/>
      <c r="V599" s="580"/>
      <c r="W599" s="580"/>
      <c r="X599" s="580"/>
      <c r="Y599" s="580"/>
      <c r="Z599" s="580"/>
      <c r="AA599" s="580"/>
      <c r="AB599" s="580"/>
    </row>
    <row r="600" ht="15.75" customHeight="1">
      <c r="A600" s="570"/>
      <c r="B600" s="570"/>
      <c r="C600" s="580"/>
      <c r="D600" s="580"/>
      <c r="E600" s="580"/>
      <c r="F600" s="580"/>
      <c r="G600" s="580"/>
      <c r="H600" s="580"/>
      <c r="I600" s="580"/>
      <c r="J600" s="580"/>
      <c r="K600" s="580"/>
      <c r="L600" s="580"/>
      <c r="M600" s="580"/>
      <c r="N600" s="580"/>
      <c r="O600" s="580"/>
      <c r="P600" s="580"/>
      <c r="Q600" s="580"/>
      <c r="R600" s="580"/>
      <c r="S600" s="580"/>
      <c r="T600" s="580"/>
      <c r="U600" s="580"/>
      <c r="V600" s="580"/>
      <c r="W600" s="580"/>
      <c r="X600" s="580"/>
      <c r="Y600" s="580"/>
      <c r="Z600" s="580"/>
      <c r="AA600" s="580"/>
      <c r="AB600" s="580"/>
    </row>
    <row r="601" ht="15.75" customHeight="1">
      <c r="A601" s="570"/>
      <c r="B601" s="570"/>
      <c r="C601" s="580"/>
      <c r="D601" s="580"/>
      <c r="E601" s="580"/>
      <c r="F601" s="580"/>
      <c r="G601" s="580"/>
      <c r="H601" s="580"/>
      <c r="I601" s="580"/>
      <c r="J601" s="580"/>
      <c r="K601" s="580"/>
      <c r="L601" s="580"/>
      <c r="M601" s="580"/>
      <c r="N601" s="580"/>
      <c r="O601" s="580"/>
      <c r="P601" s="580"/>
      <c r="Q601" s="580"/>
      <c r="R601" s="580"/>
      <c r="S601" s="580"/>
      <c r="T601" s="580"/>
      <c r="U601" s="580"/>
      <c r="V601" s="580"/>
      <c r="W601" s="580"/>
      <c r="X601" s="580"/>
      <c r="Y601" s="580"/>
      <c r="Z601" s="580"/>
      <c r="AA601" s="580"/>
      <c r="AB601" s="580"/>
    </row>
    <row r="602" ht="15.75" customHeight="1">
      <c r="A602" s="570"/>
      <c r="B602" s="570"/>
      <c r="C602" s="580"/>
      <c r="D602" s="580"/>
      <c r="E602" s="580"/>
      <c r="F602" s="580"/>
      <c r="G602" s="580"/>
      <c r="H602" s="580"/>
      <c r="I602" s="580"/>
      <c r="J602" s="580"/>
      <c r="K602" s="580"/>
      <c r="L602" s="580"/>
      <c r="M602" s="580"/>
      <c r="N602" s="580"/>
      <c r="O602" s="580"/>
      <c r="P602" s="580"/>
      <c r="Q602" s="580"/>
      <c r="R602" s="580"/>
      <c r="S602" s="580"/>
      <c r="T602" s="580"/>
      <c r="U602" s="580"/>
      <c r="V602" s="580"/>
      <c r="W602" s="580"/>
      <c r="X602" s="580"/>
      <c r="Y602" s="580"/>
      <c r="Z602" s="580"/>
      <c r="AA602" s="580"/>
      <c r="AB602" s="580"/>
    </row>
    <row r="603" ht="15.75" customHeight="1">
      <c r="A603" s="570"/>
      <c r="B603" s="570"/>
      <c r="C603" s="580"/>
      <c r="D603" s="580"/>
      <c r="E603" s="580"/>
      <c r="F603" s="580"/>
      <c r="G603" s="580"/>
      <c r="H603" s="580"/>
      <c r="I603" s="580"/>
      <c r="J603" s="580"/>
      <c r="K603" s="580"/>
      <c r="L603" s="580"/>
      <c r="M603" s="580"/>
      <c r="N603" s="580"/>
      <c r="O603" s="580"/>
      <c r="P603" s="580"/>
      <c r="Q603" s="580"/>
      <c r="R603" s="580"/>
      <c r="S603" s="580"/>
      <c r="T603" s="580"/>
      <c r="U603" s="580"/>
      <c r="V603" s="580"/>
      <c r="W603" s="580"/>
      <c r="X603" s="580"/>
      <c r="Y603" s="580"/>
      <c r="Z603" s="580"/>
      <c r="AA603" s="580"/>
      <c r="AB603" s="580"/>
    </row>
    <row r="604" ht="15.75" customHeight="1">
      <c r="A604" s="570"/>
      <c r="B604" s="570"/>
      <c r="C604" s="580"/>
      <c r="D604" s="580"/>
      <c r="E604" s="580"/>
      <c r="F604" s="580"/>
      <c r="G604" s="580"/>
      <c r="H604" s="580"/>
      <c r="I604" s="580"/>
      <c r="J604" s="580"/>
      <c r="K604" s="580"/>
      <c r="L604" s="580"/>
      <c r="M604" s="580"/>
      <c r="N604" s="580"/>
      <c r="O604" s="580"/>
      <c r="P604" s="580"/>
      <c r="Q604" s="580"/>
      <c r="R604" s="580"/>
      <c r="S604" s="580"/>
      <c r="T604" s="580"/>
      <c r="U604" s="580"/>
      <c r="V604" s="580"/>
      <c r="W604" s="580"/>
      <c r="X604" s="580"/>
      <c r="Y604" s="580"/>
      <c r="Z604" s="580"/>
      <c r="AA604" s="580"/>
      <c r="AB604" s="580"/>
    </row>
    <row r="605" ht="15.75" customHeight="1">
      <c r="A605" s="570"/>
      <c r="B605" s="570"/>
      <c r="C605" s="580"/>
      <c r="D605" s="580"/>
      <c r="E605" s="580"/>
      <c r="F605" s="580"/>
      <c r="G605" s="580"/>
      <c r="H605" s="580"/>
      <c r="I605" s="580"/>
      <c r="J605" s="580"/>
      <c r="K605" s="580"/>
      <c r="L605" s="580"/>
      <c r="M605" s="580"/>
      <c r="N605" s="580"/>
      <c r="O605" s="580"/>
      <c r="P605" s="580"/>
      <c r="Q605" s="580"/>
      <c r="R605" s="580"/>
      <c r="S605" s="580"/>
      <c r="T605" s="580"/>
      <c r="U605" s="580"/>
      <c r="V605" s="580"/>
      <c r="W605" s="580"/>
      <c r="X605" s="580"/>
      <c r="Y605" s="580"/>
      <c r="Z605" s="580"/>
      <c r="AA605" s="580"/>
      <c r="AB605" s="580"/>
    </row>
    <row r="606" ht="15.75" customHeight="1">
      <c r="A606" s="570"/>
      <c r="B606" s="570"/>
      <c r="C606" s="580"/>
      <c r="D606" s="580"/>
      <c r="E606" s="580"/>
      <c r="F606" s="580"/>
      <c r="G606" s="580"/>
      <c r="H606" s="580"/>
      <c r="I606" s="580"/>
      <c r="J606" s="580"/>
      <c r="K606" s="580"/>
      <c r="L606" s="580"/>
      <c r="M606" s="580"/>
      <c r="N606" s="580"/>
      <c r="O606" s="580"/>
      <c r="P606" s="580"/>
      <c r="Q606" s="580"/>
      <c r="R606" s="580"/>
      <c r="S606" s="580"/>
      <c r="T606" s="580"/>
      <c r="U606" s="580"/>
      <c r="V606" s="580"/>
      <c r="W606" s="580"/>
      <c r="X606" s="580"/>
      <c r="Y606" s="580"/>
      <c r="Z606" s="580"/>
      <c r="AA606" s="580"/>
      <c r="AB606" s="580"/>
    </row>
    <row r="607" ht="15.75" customHeight="1">
      <c r="A607" s="570"/>
      <c r="B607" s="570"/>
      <c r="C607" s="580"/>
      <c r="D607" s="580"/>
      <c r="E607" s="580"/>
      <c r="F607" s="580"/>
      <c r="G607" s="580"/>
      <c r="H607" s="580"/>
      <c r="I607" s="580"/>
      <c r="J607" s="580"/>
      <c r="K607" s="580"/>
      <c r="L607" s="580"/>
      <c r="M607" s="580"/>
      <c r="N607" s="580"/>
      <c r="O607" s="580"/>
      <c r="P607" s="580"/>
      <c r="Q607" s="580"/>
      <c r="R607" s="580"/>
      <c r="S607" s="580"/>
      <c r="T607" s="580"/>
      <c r="U607" s="580"/>
      <c r="V607" s="580"/>
      <c r="W607" s="580"/>
      <c r="X607" s="580"/>
      <c r="Y607" s="580"/>
      <c r="Z607" s="580"/>
      <c r="AA607" s="580"/>
      <c r="AB607" s="580"/>
    </row>
    <row r="608" ht="15.75" customHeight="1">
      <c r="A608" s="570"/>
      <c r="B608" s="570"/>
      <c r="C608" s="580"/>
      <c r="D608" s="580"/>
      <c r="E608" s="580"/>
      <c r="F608" s="580"/>
      <c r="G608" s="580"/>
      <c r="H608" s="580"/>
      <c r="I608" s="580"/>
      <c r="J608" s="580"/>
      <c r="K608" s="580"/>
      <c r="L608" s="580"/>
      <c r="M608" s="580"/>
      <c r="N608" s="580"/>
      <c r="O608" s="580"/>
      <c r="P608" s="580"/>
      <c r="Q608" s="580"/>
      <c r="R608" s="580"/>
      <c r="S608" s="580"/>
      <c r="T608" s="580"/>
      <c r="U608" s="580"/>
      <c r="V608" s="580"/>
      <c r="W608" s="580"/>
      <c r="X608" s="580"/>
      <c r="Y608" s="580"/>
      <c r="Z608" s="580"/>
      <c r="AA608" s="580"/>
      <c r="AB608" s="580"/>
    </row>
    <row r="609" ht="15.75" customHeight="1">
      <c r="A609" s="570"/>
      <c r="B609" s="570"/>
      <c r="C609" s="580"/>
      <c r="D609" s="580"/>
      <c r="E609" s="580"/>
      <c r="F609" s="580"/>
      <c r="G609" s="580"/>
      <c r="H609" s="580"/>
      <c r="I609" s="580"/>
      <c r="J609" s="580"/>
      <c r="K609" s="580"/>
      <c r="L609" s="580"/>
      <c r="M609" s="580"/>
      <c r="N609" s="580"/>
      <c r="O609" s="580"/>
      <c r="P609" s="580"/>
      <c r="Q609" s="580"/>
      <c r="R609" s="580"/>
      <c r="S609" s="580"/>
      <c r="T609" s="580"/>
      <c r="U609" s="580"/>
      <c r="V609" s="580"/>
      <c r="W609" s="580"/>
      <c r="X609" s="580"/>
      <c r="Y609" s="580"/>
      <c r="Z609" s="580"/>
      <c r="AA609" s="580"/>
      <c r="AB609" s="580"/>
    </row>
    <row r="610" ht="15.75" customHeight="1">
      <c r="A610" s="570"/>
      <c r="B610" s="570"/>
      <c r="C610" s="580"/>
      <c r="D610" s="580"/>
      <c r="E610" s="580"/>
      <c r="F610" s="580"/>
      <c r="G610" s="580"/>
      <c r="H610" s="580"/>
      <c r="I610" s="580"/>
      <c r="J610" s="580"/>
      <c r="K610" s="580"/>
      <c r="L610" s="580"/>
      <c r="M610" s="580"/>
      <c r="N610" s="580"/>
      <c r="O610" s="580"/>
      <c r="P610" s="580"/>
      <c r="Q610" s="580"/>
      <c r="R610" s="580"/>
      <c r="S610" s="580"/>
      <c r="T610" s="580"/>
      <c r="U610" s="580"/>
      <c r="V610" s="580"/>
      <c r="W610" s="580"/>
      <c r="X610" s="580"/>
      <c r="Y610" s="580"/>
      <c r="Z610" s="580"/>
      <c r="AA610" s="580"/>
      <c r="AB610" s="580"/>
    </row>
    <row r="611" ht="15.75" customHeight="1">
      <c r="A611" s="570"/>
      <c r="B611" s="570"/>
      <c r="C611" s="580"/>
      <c r="D611" s="580"/>
      <c r="E611" s="580"/>
      <c r="F611" s="580"/>
      <c r="G611" s="580"/>
      <c r="H611" s="580"/>
      <c r="I611" s="580"/>
      <c r="J611" s="580"/>
      <c r="K611" s="580"/>
      <c r="L611" s="580"/>
      <c r="M611" s="580"/>
      <c r="N611" s="580"/>
      <c r="O611" s="580"/>
      <c r="P611" s="580"/>
      <c r="Q611" s="580"/>
      <c r="R611" s="580"/>
      <c r="S611" s="580"/>
      <c r="T611" s="580"/>
      <c r="U611" s="580"/>
      <c r="V611" s="580"/>
      <c r="W611" s="580"/>
      <c r="X611" s="580"/>
      <c r="Y611" s="580"/>
      <c r="Z611" s="580"/>
      <c r="AA611" s="580"/>
      <c r="AB611" s="580"/>
    </row>
    <row r="612" ht="15.75" customHeight="1">
      <c r="A612" s="570"/>
      <c r="B612" s="570"/>
      <c r="C612" s="580"/>
      <c r="D612" s="580"/>
      <c r="E612" s="580"/>
      <c r="F612" s="580"/>
      <c r="G612" s="580"/>
      <c r="H612" s="580"/>
      <c r="I612" s="580"/>
      <c r="J612" s="580"/>
      <c r="K612" s="580"/>
      <c r="L612" s="580"/>
      <c r="M612" s="580"/>
      <c r="N612" s="580"/>
      <c r="O612" s="580"/>
      <c r="P612" s="580"/>
      <c r="Q612" s="580"/>
      <c r="R612" s="580"/>
      <c r="S612" s="580"/>
      <c r="T612" s="580"/>
      <c r="U612" s="580"/>
      <c r="V612" s="580"/>
      <c r="W612" s="580"/>
      <c r="X612" s="580"/>
      <c r="Y612" s="580"/>
      <c r="Z612" s="580"/>
      <c r="AA612" s="580"/>
      <c r="AB612" s="580"/>
    </row>
    <row r="613" ht="15.75" customHeight="1">
      <c r="A613" s="570"/>
      <c r="B613" s="570"/>
      <c r="C613" s="580"/>
      <c r="D613" s="580"/>
      <c r="E613" s="580"/>
      <c r="F613" s="580"/>
      <c r="G613" s="580"/>
      <c r="H613" s="580"/>
      <c r="I613" s="580"/>
      <c r="J613" s="580"/>
      <c r="K613" s="580"/>
      <c r="L613" s="580"/>
      <c r="M613" s="580"/>
      <c r="N613" s="580"/>
      <c r="O613" s="580"/>
      <c r="P613" s="580"/>
      <c r="Q613" s="580"/>
      <c r="R613" s="580"/>
      <c r="S613" s="580"/>
      <c r="T613" s="580"/>
      <c r="U613" s="580"/>
      <c r="V613" s="580"/>
      <c r="W613" s="580"/>
      <c r="X613" s="580"/>
      <c r="Y613" s="580"/>
      <c r="Z613" s="580"/>
      <c r="AA613" s="580"/>
      <c r="AB613" s="580"/>
    </row>
    <row r="614" ht="15.75" customHeight="1">
      <c r="A614" s="570"/>
      <c r="B614" s="570"/>
      <c r="C614" s="580"/>
      <c r="D614" s="580"/>
      <c r="E614" s="580"/>
      <c r="F614" s="580"/>
      <c r="G614" s="580"/>
      <c r="H614" s="580"/>
      <c r="I614" s="580"/>
      <c r="J614" s="580"/>
      <c r="K614" s="580"/>
      <c r="L614" s="580"/>
      <c r="M614" s="580"/>
      <c r="N614" s="580"/>
      <c r="O614" s="580"/>
      <c r="P614" s="580"/>
      <c r="Q614" s="580"/>
      <c r="R614" s="580"/>
      <c r="S614" s="580"/>
      <c r="T614" s="580"/>
      <c r="U614" s="580"/>
      <c r="V614" s="580"/>
      <c r="W614" s="580"/>
      <c r="X614" s="580"/>
      <c r="Y614" s="580"/>
      <c r="Z614" s="580"/>
      <c r="AA614" s="580"/>
      <c r="AB614" s="580"/>
    </row>
    <row r="615" ht="15.75" customHeight="1">
      <c r="A615" s="570"/>
      <c r="B615" s="570"/>
      <c r="C615" s="580"/>
      <c r="D615" s="580"/>
      <c r="E615" s="580"/>
      <c r="F615" s="580"/>
      <c r="G615" s="580"/>
      <c r="H615" s="580"/>
      <c r="I615" s="580"/>
      <c r="J615" s="580"/>
      <c r="K615" s="580"/>
      <c r="L615" s="580"/>
      <c r="M615" s="580"/>
      <c r="N615" s="580"/>
      <c r="O615" s="580"/>
      <c r="P615" s="580"/>
      <c r="Q615" s="580"/>
      <c r="R615" s="580"/>
      <c r="S615" s="580"/>
      <c r="T615" s="580"/>
      <c r="U615" s="580"/>
      <c r="V615" s="580"/>
      <c r="W615" s="580"/>
      <c r="X615" s="580"/>
      <c r="Y615" s="580"/>
      <c r="Z615" s="580"/>
      <c r="AA615" s="580"/>
      <c r="AB615" s="580"/>
    </row>
    <row r="616" ht="15.75" customHeight="1">
      <c r="A616" s="570"/>
      <c r="B616" s="570"/>
      <c r="C616" s="580"/>
      <c r="D616" s="580"/>
      <c r="E616" s="580"/>
      <c r="F616" s="580"/>
      <c r="G616" s="580"/>
      <c r="H616" s="580"/>
      <c r="I616" s="580"/>
      <c r="J616" s="580"/>
      <c r="K616" s="580"/>
      <c r="L616" s="580"/>
      <c r="M616" s="580"/>
      <c r="N616" s="580"/>
      <c r="O616" s="580"/>
      <c r="P616" s="580"/>
      <c r="Q616" s="580"/>
      <c r="R616" s="580"/>
      <c r="S616" s="580"/>
      <c r="T616" s="580"/>
      <c r="U616" s="580"/>
      <c r="V616" s="580"/>
      <c r="W616" s="580"/>
      <c r="X616" s="580"/>
      <c r="Y616" s="580"/>
      <c r="Z616" s="580"/>
      <c r="AA616" s="580"/>
      <c r="AB616" s="580"/>
    </row>
    <row r="617" ht="15.75" customHeight="1">
      <c r="A617" s="570"/>
      <c r="B617" s="570"/>
      <c r="C617" s="580"/>
      <c r="D617" s="580"/>
      <c r="E617" s="580"/>
      <c r="F617" s="580"/>
      <c r="G617" s="580"/>
      <c r="H617" s="580"/>
      <c r="I617" s="580"/>
      <c r="J617" s="580"/>
      <c r="K617" s="580"/>
      <c r="L617" s="580"/>
      <c r="M617" s="580"/>
      <c r="N617" s="580"/>
      <c r="O617" s="580"/>
      <c r="P617" s="580"/>
      <c r="Q617" s="580"/>
      <c r="R617" s="580"/>
      <c r="S617" s="580"/>
      <c r="T617" s="580"/>
      <c r="U617" s="580"/>
      <c r="V617" s="580"/>
      <c r="W617" s="580"/>
      <c r="X617" s="580"/>
      <c r="Y617" s="580"/>
      <c r="Z617" s="580"/>
      <c r="AA617" s="580"/>
      <c r="AB617" s="580"/>
    </row>
    <row r="618" ht="15.75" customHeight="1">
      <c r="A618" s="570"/>
      <c r="B618" s="570"/>
      <c r="C618" s="580"/>
      <c r="D618" s="580"/>
      <c r="E618" s="580"/>
      <c r="F618" s="580"/>
      <c r="G618" s="580"/>
      <c r="H618" s="580"/>
      <c r="I618" s="580"/>
      <c r="J618" s="580"/>
      <c r="K618" s="580"/>
      <c r="L618" s="580"/>
      <c r="M618" s="580"/>
      <c r="N618" s="580"/>
      <c r="O618" s="580"/>
      <c r="P618" s="580"/>
      <c r="Q618" s="580"/>
      <c r="R618" s="580"/>
      <c r="S618" s="580"/>
      <c r="T618" s="580"/>
      <c r="U618" s="580"/>
      <c r="V618" s="580"/>
      <c r="W618" s="580"/>
      <c r="X618" s="580"/>
      <c r="Y618" s="580"/>
      <c r="Z618" s="580"/>
      <c r="AA618" s="580"/>
      <c r="AB618" s="580"/>
    </row>
    <row r="619" ht="15.75" customHeight="1">
      <c r="A619" s="570"/>
      <c r="B619" s="570"/>
      <c r="C619" s="580"/>
      <c r="D619" s="580"/>
      <c r="E619" s="580"/>
      <c r="F619" s="580"/>
      <c r="G619" s="580"/>
      <c r="H619" s="580"/>
      <c r="I619" s="580"/>
      <c r="J619" s="580"/>
      <c r="K619" s="580"/>
      <c r="L619" s="580"/>
      <c r="M619" s="580"/>
      <c r="N619" s="580"/>
      <c r="O619" s="580"/>
      <c r="P619" s="580"/>
      <c r="Q619" s="580"/>
      <c r="R619" s="580"/>
      <c r="S619" s="580"/>
      <c r="T619" s="580"/>
      <c r="U619" s="580"/>
      <c r="V619" s="580"/>
      <c r="W619" s="580"/>
      <c r="X619" s="580"/>
      <c r="Y619" s="580"/>
      <c r="Z619" s="580"/>
      <c r="AA619" s="580"/>
      <c r="AB619" s="580"/>
    </row>
    <row r="620" ht="15.75" customHeight="1">
      <c r="A620" s="570"/>
      <c r="B620" s="570"/>
      <c r="C620" s="580"/>
      <c r="D620" s="580"/>
      <c r="E620" s="580"/>
      <c r="F620" s="580"/>
      <c r="G620" s="580"/>
      <c r="H620" s="580"/>
      <c r="I620" s="580"/>
      <c r="J620" s="580"/>
      <c r="K620" s="580"/>
      <c r="L620" s="580"/>
      <c r="M620" s="580"/>
      <c r="N620" s="580"/>
      <c r="O620" s="580"/>
      <c r="P620" s="580"/>
      <c r="Q620" s="580"/>
      <c r="R620" s="580"/>
      <c r="S620" s="580"/>
      <c r="T620" s="580"/>
      <c r="U620" s="580"/>
      <c r="V620" s="580"/>
      <c r="W620" s="580"/>
      <c r="X620" s="580"/>
      <c r="Y620" s="580"/>
      <c r="Z620" s="580"/>
      <c r="AA620" s="580"/>
      <c r="AB620" s="580"/>
    </row>
    <row r="621" ht="15.75" customHeight="1">
      <c r="A621" s="570"/>
      <c r="B621" s="570"/>
      <c r="C621" s="580"/>
      <c r="D621" s="580"/>
      <c r="E621" s="580"/>
      <c r="F621" s="580"/>
      <c r="G621" s="580"/>
      <c r="H621" s="580"/>
      <c r="I621" s="580"/>
      <c r="J621" s="580"/>
      <c r="K621" s="580"/>
      <c r="L621" s="580"/>
      <c r="M621" s="580"/>
      <c r="N621" s="580"/>
      <c r="O621" s="580"/>
      <c r="P621" s="580"/>
      <c r="Q621" s="580"/>
      <c r="R621" s="580"/>
      <c r="S621" s="580"/>
      <c r="T621" s="580"/>
      <c r="U621" s="580"/>
      <c r="V621" s="580"/>
      <c r="W621" s="580"/>
      <c r="X621" s="580"/>
      <c r="Y621" s="580"/>
      <c r="Z621" s="580"/>
      <c r="AA621" s="580"/>
      <c r="AB621" s="580"/>
    </row>
    <row r="622" ht="15.75" customHeight="1">
      <c r="A622" s="570"/>
      <c r="B622" s="570"/>
      <c r="C622" s="580"/>
      <c r="D622" s="580"/>
      <c r="E622" s="580"/>
      <c r="F622" s="580"/>
      <c r="G622" s="580"/>
      <c r="H622" s="580"/>
      <c r="I622" s="580"/>
      <c r="J622" s="580"/>
      <c r="K622" s="580"/>
      <c r="L622" s="580"/>
      <c r="M622" s="580"/>
      <c r="N622" s="580"/>
      <c r="O622" s="580"/>
      <c r="P622" s="580"/>
      <c r="Q622" s="580"/>
      <c r="R622" s="580"/>
      <c r="S622" s="580"/>
      <c r="T622" s="580"/>
      <c r="U622" s="580"/>
      <c r="V622" s="580"/>
      <c r="W622" s="580"/>
      <c r="X622" s="580"/>
      <c r="Y622" s="580"/>
      <c r="Z622" s="580"/>
      <c r="AA622" s="580"/>
      <c r="AB622" s="580"/>
    </row>
    <row r="623" ht="15.75" customHeight="1">
      <c r="A623" s="570"/>
      <c r="B623" s="570"/>
      <c r="C623" s="580"/>
      <c r="D623" s="580"/>
      <c r="E623" s="580"/>
      <c r="F623" s="580"/>
      <c r="G623" s="580"/>
      <c r="H623" s="580"/>
      <c r="I623" s="580"/>
      <c r="J623" s="580"/>
      <c r="K623" s="580"/>
      <c r="L623" s="580"/>
      <c r="M623" s="580"/>
      <c r="N623" s="580"/>
      <c r="O623" s="580"/>
      <c r="P623" s="580"/>
      <c r="Q623" s="580"/>
      <c r="R623" s="580"/>
      <c r="S623" s="580"/>
      <c r="T623" s="580"/>
      <c r="U623" s="580"/>
      <c r="V623" s="580"/>
      <c r="W623" s="580"/>
      <c r="X623" s="580"/>
      <c r="Y623" s="580"/>
      <c r="Z623" s="580"/>
      <c r="AA623" s="580"/>
      <c r="AB623" s="580"/>
    </row>
    <row r="624" ht="15.75" customHeight="1">
      <c r="A624" s="570"/>
      <c r="B624" s="570"/>
      <c r="C624" s="580"/>
      <c r="D624" s="580"/>
      <c r="E624" s="580"/>
      <c r="F624" s="580"/>
      <c r="G624" s="580"/>
      <c r="H624" s="580"/>
      <c r="I624" s="580"/>
      <c r="J624" s="580"/>
      <c r="K624" s="580"/>
      <c r="L624" s="580"/>
      <c r="M624" s="580"/>
      <c r="N624" s="580"/>
      <c r="O624" s="580"/>
      <c r="P624" s="580"/>
      <c r="Q624" s="580"/>
      <c r="R624" s="580"/>
      <c r="S624" s="580"/>
      <c r="T624" s="580"/>
      <c r="U624" s="580"/>
      <c r="V624" s="580"/>
      <c r="W624" s="580"/>
      <c r="X624" s="580"/>
      <c r="Y624" s="580"/>
      <c r="Z624" s="580"/>
      <c r="AA624" s="580"/>
      <c r="AB624" s="580"/>
    </row>
    <row r="625" ht="15.75" customHeight="1">
      <c r="A625" s="570"/>
      <c r="B625" s="570"/>
      <c r="C625" s="580"/>
      <c r="D625" s="580"/>
      <c r="E625" s="580"/>
      <c r="F625" s="580"/>
      <c r="G625" s="580"/>
      <c r="H625" s="580"/>
      <c r="I625" s="580"/>
      <c r="J625" s="580"/>
      <c r="K625" s="580"/>
      <c r="L625" s="580"/>
      <c r="M625" s="580"/>
      <c r="N625" s="580"/>
      <c r="O625" s="580"/>
      <c r="P625" s="580"/>
      <c r="Q625" s="580"/>
      <c r="R625" s="580"/>
      <c r="S625" s="580"/>
      <c r="T625" s="580"/>
      <c r="U625" s="580"/>
      <c r="V625" s="580"/>
      <c r="W625" s="580"/>
      <c r="X625" s="580"/>
      <c r="Y625" s="580"/>
      <c r="Z625" s="580"/>
      <c r="AA625" s="580"/>
      <c r="AB625" s="580"/>
    </row>
    <row r="626" ht="15.75" customHeight="1">
      <c r="A626" s="570"/>
      <c r="B626" s="570"/>
      <c r="C626" s="580"/>
      <c r="D626" s="580"/>
      <c r="E626" s="580"/>
      <c r="F626" s="580"/>
      <c r="G626" s="580"/>
      <c r="H626" s="580"/>
      <c r="I626" s="580"/>
      <c r="J626" s="580"/>
      <c r="K626" s="580"/>
      <c r="L626" s="580"/>
      <c r="M626" s="580"/>
      <c r="N626" s="580"/>
      <c r="O626" s="580"/>
      <c r="P626" s="580"/>
      <c r="Q626" s="580"/>
      <c r="R626" s="580"/>
      <c r="S626" s="580"/>
      <c r="T626" s="580"/>
      <c r="U626" s="580"/>
      <c r="V626" s="580"/>
      <c r="W626" s="580"/>
      <c r="X626" s="580"/>
      <c r="Y626" s="580"/>
      <c r="Z626" s="580"/>
      <c r="AA626" s="580"/>
      <c r="AB626" s="580"/>
    </row>
    <row r="627" ht="15.75" customHeight="1">
      <c r="A627" s="570"/>
      <c r="B627" s="570"/>
      <c r="C627" s="580"/>
      <c r="D627" s="580"/>
      <c r="E627" s="580"/>
      <c r="F627" s="580"/>
      <c r="G627" s="580"/>
      <c r="H627" s="580"/>
      <c r="I627" s="580"/>
      <c r="J627" s="580"/>
      <c r="K627" s="580"/>
      <c r="L627" s="580"/>
      <c r="M627" s="580"/>
      <c r="N627" s="580"/>
      <c r="O627" s="580"/>
      <c r="P627" s="580"/>
      <c r="Q627" s="580"/>
      <c r="R627" s="580"/>
      <c r="S627" s="580"/>
      <c r="T627" s="580"/>
      <c r="U627" s="580"/>
      <c r="V627" s="580"/>
      <c r="W627" s="580"/>
      <c r="X627" s="580"/>
      <c r="Y627" s="580"/>
      <c r="Z627" s="580"/>
      <c r="AA627" s="580"/>
      <c r="AB627" s="580"/>
    </row>
    <row r="628" ht="15.75" customHeight="1">
      <c r="A628" s="570"/>
      <c r="B628" s="570"/>
      <c r="C628" s="580"/>
      <c r="D628" s="580"/>
      <c r="E628" s="580"/>
      <c r="F628" s="580"/>
      <c r="G628" s="580"/>
      <c r="H628" s="580"/>
      <c r="I628" s="580"/>
      <c r="J628" s="580"/>
      <c r="K628" s="580"/>
      <c r="L628" s="580"/>
      <c r="M628" s="580"/>
      <c r="N628" s="580"/>
      <c r="O628" s="580"/>
      <c r="P628" s="580"/>
      <c r="Q628" s="580"/>
      <c r="R628" s="580"/>
      <c r="S628" s="580"/>
      <c r="T628" s="580"/>
      <c r="U628" s="580"/>
      <c r="V628" s="580"/>
      <c r="W628" s="580"/>
      <c r="X628" s="580"/>
      <c r="Y628" s="580"/>
      <c r="Z628" s="580"/>
      <c r="AA628" s="580"/>
      <c r="AB628" s="580"/>
    </row>
    <row r="629" ht="15.75" customHeight="1">
      <c r="A629" s="570"/>
      <c r="B629" s="570"/>
      <c r="C629" s="580"/>
      <c r="D629" s="580"/>
      <c r="E629" s="580"/>
      <c r="F629" s="580"/>
      <c r="G629" s="580"/>
      <c r="H629" s="580"/>
      <c r="I629" s="580"/>
      <c r="J629" s="580"/>
      <c r="K629" s="580"/>
      <c r="L629" s="580"/>
      <c r="M629" s="580"/>
      <c r="N629" s="580"/>
      <c r="O629" s="580"/>
      <c r="P629" s="580"/>
      <c r="Q629" s="580"/>
      <c r="R629" s="580"/>
      <c r="S629" s="580"/>
      <c r="T629" s="580"/>
      <c r="U629" s="580"/>
      <c r="V629" s="580"/>
      <c r="W629" s="580"/>
      <c r="X629" s="580"/>
      <c r="Y629" s="580"/>
      <c r="Z629" s="580"/>
      <c r="AA629" s="580"/>
      <c r="AB629" s="580"/>
    </row>
    <row r="630" ht="15.75" customHeight="1">
      <c r="A630" s="570"/>
      <c r="B630" s="570"/>
      <c r="C630" s="580"/>
      <c r="D630" s="580"/>
      <c r="E630" s="580"/>
      <c r="F630" s="580"/>
      <c r="G630" s="580"/>
      <c r="H630" s="580"/>
      <c r="I630" s="580"/>
      <c r="J630" s="580"/>
      <c r="K630" s="580"/>
      <c r="L630" s="580"/>
      <c r="M630" s="580"/>
      <c r="N630" s="580"/>
      <c r="O630" s="580"/>
      <c r="P630" s="580"/>
      <c r="Q630" s="580"/>
      <c r="R630" s="580"/>
      <c r="S630" s="580"/>
      <c r="T630" s="580"/>
      <c r="U630" s="580"/>
      <c r="V630" s="580"/>
      <c r="W630" s="580"/>
      <c r="X630" s="580"/>
      <c r="Y630" s="580"/>
      <c r="Z630" s="580"/>
      <c r="AA630" s="580"/>
      <c r="AB630" s="580"/>
    </row>
    <row r="631" ht="15.75" customHeight="1">
      <c r="A631" s="570"/>
      <c r="B631" s="570"/>
      <c r="C631" s="580"/>
      <c r="D631" s="580"/>
      <c r="E631" s="580"/>
      <c r="F631" s="580"/>
      <c r="G631" s="580"/>
      <c r="H631" s="580"/>
      <c r="I631" s="580"/>
      <c r="J631" s="580"/>
      <c r="K631" s="580"/>
      <c r="L631" s="580"/>
      <c r="M631" s="580"/>
      <c r="N631" s="580"/>
      <c r="O631" s="580"/>
      <c r="P631" s="580"/>
      <c r="Q631" s="580"/>
      <c r="R631" s="580"/>
      <c r="S631" s="580"/>
      <c r="T631" s="580"/>
      <c r="U631" s="580"/>
      <c r="V631" s="580"/>
      <c r="W631" s="580"/>
      <c r="X631" s="580"/>
      <c r="Y631" s="580"/>
      <c r="Z631" s="580"/>
      <c r="AA631" s="580"/>
      <c r="AB631" s="580"/>
    </row>
    <row r="632" ht="15.75" customHeight="1">
      <c r="A632" s="570"/>
      <c r="B632" s="570"/>
      <c r="C632" s="580"/>
      <c r="D632" s="580"/>
      <c r="E632" s="580"/>
      <c r="F632" s="580"/>
      <c r="G632" s="580"/>
      <c r="H632" s="580"/>
      <c r="I632" s="580"/>
      <c r="J632" s="580"/>
      <c r="K632" s="580"/>
      <c r="L632" s="580"/>
      <c r="M632" s="580"/>
      <c r="N632" s="580"/>
      <c r="O632" s="580"/>
      <c r="P632" s="580"/>
      <c r="Q632" s="580"/>
      <c r="R632" s="580"/>
      <c r="S632" s="580"/>
      <c r="T632" s="580"/>
      <c r="U632" s="580"/>
      <c r="V632" s="580"/>
      <c r="W632" s="580"/>
      <c r="X632" s="580"/>
      <c r="Y632" s="580"/>
      <c r="Z632" s="580"/>
      <c r="AA632" s="580"/>
      <c r="AB632" s="580"/>
    </row>
    <row r="633" ht="15.75" customHeight="1">
      <c r="A633" s="570"/>
      <c r="B633" s="570"/>
      <c r="C633" s="580"/>
      <c r="D633" s="580"/>
      <c r="E633" s="580"/>
      <c r="F633" s="580"/>
      <c r="G633" s="580"/>
      <c r="H633" s="580"/>
      <c r="I633" s="580"/>
      <c r="J633" s="580"/>
      <c r="K633" s="580"/>
      <c r="L633" s="580"/>
      <c r="M633" s="580"/>
      <c r="N633" s="580"/>
      <c r="O633" s="580"/>
      <c r="P633" s="580"/>
      <c r="Q633" s="580"/>
      <c r="R633" s="580"/>
      <c r="S633" s="580"/>
      <c r="T633" s="580"/>
      <c r="U633" s="580"/>
      <c r="V633" s="580"/>
      <c r="W633" s="580"/>
      <c r="X633" s="580"/>
      <c r="Y633" s="580"/>
      <c r="Z633" s="580"/>
      <c r="AA633" s="580"/>
      <c r="AB633" s="580"/>
    </row>
    <row r="634" ht="15.75" customHeight="1">
      <c r="A634" s="570"/>
      <c r="B634" s="570"/>
      <c r="C634" s="580"/>
      <c r="D634" s="580"/>
      <c r="E634" s="580"/>
      <c r="F634" s="580"/>
      <c r="G634" s="580"/>
      <c r="H634" s="580"/>
      <c r="I634" s="580"/>
      <c r="J634" s="580"/>
      <c r="K634" s="580"/>
      <c r="L634" s="580"/>
      <c r="M634" s="580"/>
      <c r="N634" s="580"/>
      <c r="O634" s="580"/>
      <c r="P634" s="580"/>
      <c r="Q634" s="580"/>
      <c r="R634" s="580"/>
      <c r="S634" s="580"/>
      <c r="T634" s="580"/>
      <c r="U634" s="580"/>
      <c r="V634" s="580"/>
      <c r="W634" s="580"/>
      <c r="X634" s="580"/>
      <c r="Y634" s="580"/>
      <c r="Z634" s="580"/>
      <c r="AA634" s="580"/>
      <c r="AB634" s="580"/>
    </row>
    <row r="635" ht="15.75" customHeight="1">
      <c r="A635" s="570"/>
      <c r="B635" s="570"/>
      <c r="C635" s="580"/>
      <c r="D635" s="580"/>
      <c r="E635" s="580"/>
      <c r="F635" s="580"/>
      <c r="G635" s="580"/>
      <c r="H635" s="580"/>
      <c r="I635" s="580"/>
      <c r="J635" s="580"/>
      <c r="K635" s="580"/>
      <c r="L635" s="580"/>
      <c r="M635" s="580"/>
      <c r="N635" s="580"/>
      <c r="O635" s="580"/>
      <c r="P635" s="580"/>
      <c r="Q635" s="580"/>
      <c r="R635" s="580"/>
      <c r="S635" s="580"/>
      <c r="T635" s="580"/>
      <c r="U635" s="580"/>
      <c r="V635" s="580"/>
      <c r="W635" s="580"/>
      <c r="X635" s="580"/>
      <c r="Y635" s="580"/>
      <c r="Z635" s="580"/>
      <c r="AA635" s="580"/>
      <c r="AB635" s="580"/>
    </row>
    <row r="636" ht="15.75" customHeight="1">
      <c r="A636" s="570"/>
      <c r="B636" s="570"/>
      <c r="C636" s="580"/>
      <c r="D636" s="580"/>
      <c r="E636" s="580"/>
      <c r="F636" s="580"/>
      <c r="G636" s="580"/>
      <c r="H636" s="580"/>
      <c r="I636" s="580"/>
      <c r="J636" s="580"/>
      <c r="K636" s="580"/>
      <c r="L636" s="580"/>
      <c r="M636" s="580"/>
      <c r="N636" s="580"/>
      <c r="O636" s="580"/>
      <c r="P636" s="580"/>
      <c r="Q636" s="580"/>
      <c r="R636" s="580"/>
      <c r="S636" s="580"/>
      <c r="T636" s="580"/>
      <c r="U636" s="580"/>
      <c r="V636" s="580"/>
      <c r="W636" s="580"/>
      <c r="X636" s="580"/>
      <c r="Y636" s="580"/>
      <c r="Z636" s="580"/>
      <c r="AA636" s="580"/>
      <c r="AB636" s="580"/>
    </row>
    <row r="637" ht="15.75" customHeight="1">
      <c r="A637" s="570"/>
      <c r="B637" s="570"/>
      <c r="C637" s="580"/>
      <c r="D637" s="580"/>
      <c r="E637" s="580"/>
      <c r="F637" s="580"/>
      <c r="G637" s="580"/>
      <c r="H637" s="580"/>
      <c r="I637" s="580"/>
      <c r="J637" s="580"/>
      <c r="K637" s="580"/>
      <c r="L637" s="580"/>
      <c r="M637" s="580"/>
      <c r="N637" s="580"/>
      <c r="O637" s="580"/>
      <c r="P637" s="580"/>
      <c r="Q637" s="580"/>
      <c r="R637" s="580"/>
      <c r="S637" s="580"/>
      <c r="T637" s="580"/>
      <c r="U637" s="580"/>
      <c r="V637" s="580"/>
      <c r="W637" s="580"/>
      <c r="X637" s="580"/>
      <c r="Y637" s="580"/>
      <c r="Z637" s="580"/>
      <c r="AA637" s="580"/>
      <c r="AB637" s="580"/>
    </row>
    <row r="638" ht="15.75" customHeight="1">
      <c r="A638" s="570"/>
      <c r="B638" s="570"/>
      <c r="C638" s="580"/>
      <c r="D638" s="580"/>
      <c r="E638" s="580"/>
      <c r="F638" s="580"/>
      <c r="G638" s="580"/>
      <c r="H638" s="580"/>
      <c r="I638" s="580"/>
      <c r="J638" s="580"/>
      <c r="K638" s="580"/>
      <c r="L638" s="580"/>
      <c r="M638" s="580"/>
      <c r="N638" s="580"/>
      <c r="O638" s="580"/>
      <c r="P638" s="580"/>
      <c r="Q638" s="580"/>
      <c r="R638" s="580"/>
      <c r="S638" s="580"/>
      <c r="T638" s="580"/>
      <c r="U638" s="580"/>
      <c r="V638" s="580"/>
      <c r="W638" s="580"/>
      <c r="X638" s="580"/>
      <c r="Y638" s="580"/>
      <c r="Z638" s="580"/>
      <c r="AA638" s="580"/>
      <c r="AB638" s="580"/>
    </row>
    <row r="639" ht="15.75" customHeight="1">
      <c r="A639" s="570"/>
      <c r="B639" s="570"/>
      <c r="C639" s="580"/>
      <c r="D639" s="580"/>
      <c r="E639" s="580"/>
      <c r="F639" s="580"/>
      <c r="G639" s="580"/>
      <c r="H639" s="580"/>
      <c r="I639" s="580"/>
      <c r="J639" s="580"/>
      <c r="K639" s="580"/>
      <c r="L639" s="580"/>
      <c r="M639" s="580"/>
      <c r="N639" s="580"/>
      <c r="O639" s="580"/>
      <c r="P639" s="580"/>
      <c r="Q639" s="580"/>
      <c r="R639" s="580"/>
      <c r="S639" s="580"/>
      <c r="T639" s="580"/>
      <c r="U639" s="580"/>
      <c r="V639" s="580"/>
      <c r="W639" s="580"/>
      <c r="X639" s="580"/>
      <c r="Y639" s="580"/>
      <c r="Z639" s="580"/>
      <c r="AA639" s="580"/>
      <c r="AB639" s="580"/>
    </row>
    <row r="640" ht="15.75" customHeight="1">
      <c r="A640" s="570"/>
      <c r="B640" s="570"/>
      <c r="C640" s="580"/>
      <c r="D640" s="580"/>
      <c r="E640" s="580"/>
      <c r="F640" s="580"/>
      <c r="G640" s="580"/>
      <c r="H640" s="580"/>
      <c r="I640" s="580"/>
      <c r="J640" s="580"/>
      <c r="K640" s="580"/>
      <c r="L640" s="580"/>
      <c r="M640" s="580"/>
      <c r="N640" s="580"/>
      <c r="O640" s="580"/>
      <c r="P640" s="580"/>
      <c r="Q640" s="580"/>
      <c r="R640" s="580"/>
      <c r="S640" s="580"/>
      <c r="T640" s="580"/>
      <c r="U640" s="580"/>
      <c r="V640" s="580"/>
      <c r="W640" s="580"/>
      <c r="X640" s="580"/>
      <c r="Y640" s="580"/>
      <c r="Z640" s="580"/>
      <c r="AA640" s="580"/>
      <c r="AB640" s="580"/>
    </row>
    <row r="641" ht="15.75" customHeight="1">
      <c r="A641" s="570"/>
      <c r="B641" s="570"/>
      <c r="C641" s="580"/>
      <c r="D641" s="580"/>
      <c r="E641" s="580"/>
      <c r="F641" s="580"/>
      <c r="G641" s="580"/>
      <c r="H641" s="580"/>
      <c r="I641" s="580"/>
      <c r="J641" s="580"/>
      <c r="K641" s="580"/>
      <c r="L641" s="580"/>
      <c r="M641" s="580"/>
      <c r="N641" s="580"/>
      <c r="O641" s="580"/>
      <c r="P641" s="580"/>
      <c r="Q641" s="580"/>
      <c r="R641" s="580"/>
      <c r="S641" s="580"/>
      <c r="T641" s="580"/>
      <c r="U641" s="580"/>
      <c r="V641" s="580"/>
      <c r="W641" s="580"/>
      <c r="X641" s="580"/>
      <c r="Y641" s="580"/>
      <c r="Z641" s="580"/>
      <c r="AA641" s="580"/>
      <c r="AB641" s="580"/>
    </row>
    <row r="642" ht="15.75" customHeight="1">
      <c r="A642" s="570"/>
      <c r="B642" s="570"/>
      <c r="C642" s="580"/>
      <c r="D642" s="580"/>
      <c r="E642" s="580"/>
      <c r="F642" s="580"/>
      <c r="G642" s="580"/>
      <c r="H642" s="580"/>
      <c r="I642" s="580"/>
      <c r="J642" s="580"/>
      <c r="K642" s="580"/>
      <c r="L642" s="580"/>
      <c r="M642" s="580"/>
      <c r="N642" s="580"/>
      <c r="O642" s="580"/>
      <c r="P642" s="580"/>
      <c r="Q642" s="580"/>
      <c r="R642" s="580"/>
      <c r="S642" s="580"/>
      <c r="T642" s="580"/>
      <c r="U642" s="580"/>
      <c r="V642" s="580"/>
      <c r="W642" s="580"/>
      <c r="X642" s="580"/>
      <c r="Y642" s="580"/>
      <c r="Z642" s="580"/>
      <c r="AA642" s="580"/>
      <c r="AB642" s="580"/>
    </row>
    <row r="643" ht="15.75" customHeight="1">
      <c r="A643" s="570"/>
      <c r="B643" s="570"/>
      <c r="C643" s="580"/>
      <c r="D643" s="580"/>
      <c r="E643" s="580"/>
      <c r="F643" s="580"/>
      <c r="G643" s="580"/>
      <c r="H643" s="580"/>
      <c r="I643" s="580"/>
      <c r="J643" s="580"/>
      <c r="K643" s="580"/>
      <c r="L643" s="580"/>
      <c r="M643" s="580"/>
      <c r="N643" s="580"/>
      <c r="O643" s="580"/>
      <c r="P643" s="580"/>
      <c r="Q643" s="580"/>
      <c r="R643" s="580"/>
      <c r="S643" s="580"/>
      <c r="T643" s="580"/>
      <c r="U643" s="580"/>
      <c r="V643" s="580"/>
      <c r="W643" s="580"/>
      <c r="X643" s="580"/>
      <c r="Y643" s="580"/>
      <c r="Z643" s="580"/>
      <c r="AA643" s="580"/>
      <c r="AB643" s="580"/>
    </row>
    <row r="644" ht="15.75" customHeight="1">
      <c r="A644" s="570"/>
      <c r="B644" s="570"/>
      <c r="C644" s="580"/>
      <c r="D644" s="580"/>
      <c r="E644" s="580"/>
      <c r="F644" s="580"/>
      <c r="G644" s="580"/>
      <c r="H644" s="580"/>
      <c r="I644" s="580"/>
      <c r="J644" s="580"/>
      <c r="K644" s="580"/>
      <c r="L644" s="580"/>
      <c r="M644" s="580"/>
      <c r="N644" s="580"/>
      <c r="O644" s="580"/>
      <c r="P644" s="580"/>
      <c r="Q644" s="580"/>
      <c r="R644" s="580"/>
      <c r="S644" s="580"/>
      <c r="T644" s="580"/>
      <c r="U644" s="580"/>
      <c r="V644" s="580"/>
      <c r="W644" s="580"/>
      <c r="X644" s="580"/>
      <c r="Y644" s="580"/>
      <c r="Z644" s="580"/>
      <c r="AA644" s="580"/>
      <c r="AB644" s="580"/>
    </row>
    <row r="645" ht="15.75" customHeight="1">
      <c r="A645" s="570"/>
      <c r="B645" s="570"/>
      <c r="C645" s="580"/>
      <c r="D645" s="580"/>
      <c r="E645" s="580"/>
      <c r="F645" s="580"/>
      <c r="G645" s="580"/>
      <c r="H645" s="580"/>
      <c r="I645" s="580"/>
      <c r="J645" s="580"/>
      <c r="K645" s="580"/>
      <c r="L645" s="580"/>
      <c r="M645" s="580"/>
      <c r="N645" s="580"/>
      <c r="O645" s="580"/>
      <c r="P645" s="580"/>
      <c r="Q645" s="580"/>
      <c r="R645" s="580"/>
      <c r="S645" s="580"/>
      <c r="T645" s="580"/>
      <c r="U645" s="580"/>
      <c r="V645" s="580"/>
      <c r="W645" s="580"/>
      <c r="X645" s="580"/>
      <c r="Y645" s="580"/>
      <c r="Z645" s="580"/>
      <c r="AA645" s="580"/>
      <c r="AB645" s="580"/>
    </row>
    <row r="646" ht="15.75" customHeight="1">
      <c r="A646" s="570"/>
      <c r="B646" s="570"/>
      <c r="C646" s="580"/>
      <c r="D646" s="580"/>
      <c r="E646" s="580"/>
      <c r="F646" s="580"/>
      <c r="G646" s="580"/>
      <c r="H646" s="580"/>
      <c r="I646" s="580"/>
      <c r="J646" s="580"/>
      <c r="K646" s="580"/>
      <c r="L646" s="580"/>
      <c r="M646" s="580"/>
      <c r="N646" s="580"/>
      <c r="O646" s="580"/>
      <c r="P646" s="580"/>
      <c r="Q646" s="580"/>
      <c r="R646" s="580"/>
      <c r="S646" s="580"/>
      <c r="T646" s="580"/>
      <c r="U646" s="580"/>
      <c r="V646" s="580"/>
      <c r="W646" s="580"/>
      <c r="X646" s="580"/>
      <c r="Y646" s="580"/>
      <c r="Z646" s="580"/>
      <c r="AA646" s="580"/>
      <c r="AB646" s="580"/>
    </row>
    <row r="647" ht="15.75" customHeight="1">
      <c r="A647" s="570"/>
      <c r="B647" s="570"/>
      <c r="C647" s="580"/>
      <c r="D647" s="580"/>
      <c r="E647" s="580"/>
      <c r="F647" s="580"/>
      <c r="G647" s="580"/>
      <c r="H647" s="580"/>
      <c r="I647" s="580"/>
      <c r="J647" s="580"/>
      <c r="K647" s="580"/>
      <c r="L647" s="580"/>
      <c r="M647" s="580"/>
      <c r="N647" s="580"/>
      <c r="O647" s="580"/>
      <c r="P647" s="580"/>
      <c r="Q647" s="580"/>
      <c r="R647" s="580"/>
      <c r="S647" s="580"/>
      <c r="T647" s="580"/>
      <c r="U647" s="580"/>
      <c r="V647" s="580"/>
      <c r="W647" s="580"/>
      <c r="X647" s="580"/>
      <c r="Y647" s="580"/>
      <c r="Z647" s="580"/>
      <c r="AA647" s="580"/>
      <c r="AB647" s="580"/>
    </row>
    <row r="648" ht="15.75" customHeight="1">
      <c r="A648" s="570"/>
      <c r="B648" s="570"/>
      <c r="C648" s="580"/>
      <c r="D648" s="580"/>
      <c r="E648" s="580"/>
      <c r="F648" s="580"/>
      <c r="G648" s="580"/>
      <c r="H648" s="580"/>
      <c r="I648" s="580"/>
      <c r="J648" s="580"/>
      <c r="K648" s="580"/>
      <c r="L648" s="580"/>
      <c r="M648" s="580"/>
      <c r="N648" s="580"/>
      <c r="O648" s="580"/>
      <c r="P648" s="580"/>
      <c r="Q648" s="580"/>
      <c r="R648" s="580"/>
      <c r="S648" s="580"/>
      <c r="T648" s="580"/>
      <c r="U648" s="580"/>
      <c r="V648" s="580"/>
      <c r="W648" s="580"/>
      <c r="X648" s="580"/>
      <c r="Y648" s="580"/>
      <c r="Z648" s="580"/>
      <c r="AA648" s="580"/>
      <c r="AB648" s="580"/>
    </row>
    <row r="649" ht="15.75" customHeight="1">
      <c r="A649" s="570"/>
      <c r="B649" s="570"/>
      <c r="C649" s="580"/>
      <c r="D649" s="580"/>
      <c r="E649" s="580"/>
      <c r="F649" s="580"/>
      <c r="G649" s="580"/>
      <c r="H649" s="580"/>
      <c r="I649" s="580"/>
      <c r="J649" s="580"/>
      <c r="K649" s="580"/>
      <c r="L649" s="580"/>
      <c r="M649" s="580"/>
      <c r="N649" s="580"/>
      <c r="O649" s="580"/>
      <c r="P649" s="580"/>
      <c r="Q649" s="580"/>
      <c r="R649" s="580"/>
      <c r="S649" s="580"/>
      <c r="T649" s="580"/>
      <c r="U649" s="580"/>
      <c r="V649" s="580"/>
      <c r="W649" s="580"/>
      <c r="X649" s="580"/>
      <c r="Y649" s="580"/>
      <c r="Z649" s="580"/>
      <c r="AA649" s="580"/>
      <c r="AB649" s="580"/>
    </row>
    <row r="650" ht="15.75" customHeight="1">
      <c r="A650" s="570"/>
      <c r="B650" s="570"/>
      <c r="C650" s="580"/>
      <c r="D650" s="580"/>
      <c r="E650" s="580"/>
      <c r="F650" s="580"/>
      <c r="G650" s="580"/>
      <c r="H650" s="580"/>
      <c r="I650" s="580"/>
      <c r="J650" s="580"/>
      <c r="K650" s="580"/>
      <c r="L650" s="580"/>
      <c r="M650" s="580"/>
      <c r="N650" s="580"/>
      <c r="O650" s="580"/>
      <c r="P650" s="580"/>
      <c r="Q650" s="580"/>
      <c r="R650" s="580"/>
      <c r="S650" s="580"/>
      <c r="T650" s="580"/>
      <c r="U650" s="580"/>
      <c r="V650" s="580"/>
      <c r="W650" s="580"/>
      <c r="X650" s="580"/>
      <c r="Y650" s="580"/>
      <c r="Z650" s="580"/>
      <c r="AA650" s="580"/>
      <c r="AB650" s="580"/>
    </row>
    <row r="651" ht="15.75" customHeight="1">
      <c r="A651" s="570"/>
      <c r="B651" s="570"/>
      <c r="C651" s="580"/>
      <c r="D651" s="580"/>
      <c r="E651" s="580"/>
      <c r="F651" s="580"/>
      <c r="G651" s="580"/>
      <c r="H651" s="580"/>
      <c r="I651" s="580"/>
      <c r="J651" s="580"/>
      <c r="K651" s="580"/>
      <c r="L651" s="580"/>
      <c r="M651" s="580"/>
      <c r="N651" s="580"/>
      <c r="O651" s="580"/>
      <c r="P651" s="580"/>
      <c r="Q651" s="580"/>
      <c r="R651" s="580"/>
      <c r="S651" s="580"/>
      <c r="T651" s="580"/>
      <c r="U651" s="580"/>
      <c r="V651" s="580"/>
      <c r="W651" s="580"/>
      <c r="X651" s="580"/>
      <c r="Y651" s="580"/>
      <c r="Z651" s="580"/>
      <c r="AA651" s="580"/>
      <c r="AB651" s="580"/>
    </row>
    <row r="652" ht="15.75" customHeight="1">
      <c r="A652" s="570"/>
      <c r="B652" s="570"/>
      <c r="C652" s="580"/>
      <c r="D652" s="580"/>
      <c r="E652" s="580"/>
      <c r="F652" s="580"/>
      <c r="G652" s="580"/>
      <c r="H652" s="580"/>
      <c r="I652" s="580"/>
      <c r="J652" s="580"/>
      <c r="K652" s="580"/>
      <c r="L652" s="580"/>
      <c r="M652" s="580"/>
      <c r="N652" s="580"/>
      <c r="O652" s="580"/>
      <c r="P652" s="580"/>
      <c r="Q652" s="580"/>
      <c r="R652" s="580"/>
      <c r="S652" s="580"/>
      <c r="T652" s="580"/>
      <c r="U652" s="580"/>
      <c r="V652" s="580"/>
      <c r="W652" s="580"/>
      <c r="X652" s="580"/>
      <c r="Y652" s="580"/>
      <c r="Z652" s="580"/>
      <c r="AA652" s="580"/>
      <c r="AB652" s="580"/>
    </row>
    <row r="653" ht="15.75" customHeight="1">
      <c r="A653" s="570"/>
      <c r="B653" s="570"/>
      <c r="C653" s="580"/>
      <c r="D653" s="580"/>
      <c r="E653" s="580"/>
      <c r="F653" s="580"/>
      <c r="G653" s="580"/>
      <c r="H653" s="580"/>
      <c r="I653" s="580"/>
      <c r="J653" s="580"/>
      <c r="K653" s="580"/>
      <c r="L653" s="580"/>
      <c r="M653" s="580"/>
      <c r="N653" s="580"/>
      <c r="O653" s="580"/>
      <c r="P653" s="580"/>
      <c r="Q653" s="580"/>
      <c r="R653" s="580"/>
      <c r="S653" s="580"/>
      <c r="T653" s="580"/>
      <c r="U653" s="580"/>
      <c r="V653" s="580"/>
      <c r="W653" s="580"/>
      <c r="X653" s="580"/>
      <c r="Y653" s="580"/>
      <c r="Z653" s="580"/>
      <c r="AA653" s="580"/>
      <c r="AB653" s="580"/>
    </row>
    <row r="654" ht="15.75" customHeight="1">
      <c r="A654" s="570"/>
      <c r="B654" s="570"/>
      <c r="C654" s="580"/>
      <c r="D654" s="580"/>
      <c r="E654" s="580"/>
      <c r="F654" s="580"/>
      <c r="G654" s="580"/>
      <c r="H654" s="580"/>
      <c r="I654" s="580"/>
      <c r="J654" s="580"/>
      <c r="K654" s="580"/>
      <c r="L654" s="580"/>
      <c r="M654" s="580"/>
      <c r="N654" s="580"/>
      <c r="O654" s="580"/>
      <c r="P654" s="580"/>
      <c r="Q654" s="580"/>
      <c r="R654" s="580"/>
      <c r="S654" s="580"/>
      <c r="T654" s="580"/>
      <c r="U654" s="580"/>
      <c r="V654" s="580"/>
      <c r="W654" s="580"/>
      <c r="X654" s="580"/>
      <c r="Y654" s="580"/>
      <c r="Z654" s="580"/>
      <c r="AA654" s="580"/>
      <c r="AB654" s="580"/>
    </row>
    <row r="655" ht="15.75" customHeight="1">
      <c r="A655" s="570"/>
      <c r="B655" s="570"/>
      <c r="C655" s="580"/>
      <c r="D655" s="580"/>
      <c r="E655" s="580"/>
      <c r="F655" s="580"/>
      <c r="G655" s="580"/>
      <c r="H655" s="580"/>
      <c r="I655" s="580"/>
      <c r="J655" s="580"/>
      <c r="K655" s="580"/>
      <c r="L655" s="580"/>
      <c r="M655" s="580"/>
      <c r="N655" s="580"/>
      <c r="O655" s="580"/>
      <c r="P655" s="580"/>
      <c r="Q655" s="580"/>
      <c r="R655" s="580"/>
      <c r="S655" s="580"/>
      <c r="T655" s="580"/>
      <c r="U655" s="580"/>
      <c r="V655" s="580"/>
      <c r="W655" s="580"/>
      <c r="X655" s="580"/>
      <c r="Y655" s="580"/>
      <c r="Z655" s="580"/>
      <c r="AA655" s="580"/>
      <c r="AB655" s="580"/>
    </row>
    <row r="656" ht="15.75" customHeight="1">
      <c r="A656" s="570"/>
      <c r="B656" s="570"/>
      <c r="C656" s="580"/>
      <c r="D656" s="580"/>
      <c r="E656" s="580"/>
      <c r="F656" s="580"/>
      <c r="G656" s="580"/>
      <c r="H656" s="580"/>
      <c r="I656" s="580"/>
      <c r="J656" s="580"/>
      <c r="K656" s="580"/>
      <c r="L656" s="580"/>
      <c r="M656" s="580"/>
      <c r="N656" s="580"/>
      <c r="O656" s="580"/>
      <c r="P656" s="580"/>
      <c r="Q656" s="580"/>
      <c r="R656" s="580"/>
      <c r="S656" s="580"/>
      <c r="T656" s="580"/>
      <c r="U656" s="580"/>
      <c r="V656" s="580"/>
      <c r="W656" s="580"/>
      <c r="X656" s="580"/>
      <c r="Y656" s="580"/>
      <c r="Z656" s="580"/>
      <c r="AA656" s="580"/>
      <c r="AB656" s="580"/>
    </row>
    <row r="657" ht="15.75" customHeight="1">
      <c r="A657" s="570"/>
      <c r="B657" s="570"/>
      <c r="C657" s="580"/>
      <c r="D657" s="580"/>
      <c r="E657" s="580"/>
      <c r="F657" s="580"/>
      <c r="G657" s="580"/>
      <c r="H657" s="580"/>
      <c r="I657" s="580"/>
      <c r="J657" s="580"/>
      <c r="K657" s="580"/>
      <c r="L657" s="580"/>
      <c r="M657" s="580"/>
      <c r="N657" s="580"/>
      <c r="O657" s="580"/>
      <c r="P657" s="580"/>
      <c r="Q657" s="580"/>
      <c r="R657" s="580"/>
      <c r="S657" s="580"/>
      <c r="T657" s="580"/>
      <c r="U657" s="580"/>
      <c r="V657" s="580"/>
      <c r="W657" s="580"/>
      <c r="X657" s="580"/>
      <c r="Y657" s="580"/>
      <c r="Z657" s="580"/>
      <c r="AA657" s="580"/>
      <c r="AB657" s="580"/>
    </row>
    <row r="658" ht="15.75" customHeight="1">
      <c r="A658" s="570"/>
      <c r="B658" s="570"/>
      <c r="C658" s="580"/>
      <c r="D658" s="580"/>
      <c r="E658" s="580"/>
      <c r="F658" s="580"/>
      <c r="G658" s="580"/>
      <c r="H658" s="580"/>
      <c r="I658" s="580"/>
      <c r="J658" s="580"/>
      <c r="K658" s="580"/>
      <c r="L658" s="580"/>
      <c r="M658" s="580"/>
      <c r="N658" s="580"/>
      <c r="O658" s="580"/>
      <c r="P658" s="580"/>
      <c r="Q658" s="580"/>
      <c r="R658" s="580"/>
      <c r="S658" s="580"/>
      <c r="T658" s="580"/>
      <c r="U658" s="580"/>
      <c r="V658" s="580"/>
      <c r="W658" s="580"/>
      <c r="X658" s="580"/>
      <c r="Y658" s="580"/>
      <c r="Z658" s="580"/>
      <c r="AA658" s="580"/>
      <c r="AB658" s="580"/>
    </row>
    <row r="659" ht="15.75" customHeight="1">
      <c r="A659" s="570"/>
      <c r="B659" s="570"/>
      <c r="C659" s="580"/>
      <c r="D659" s="580"/>
      <c r="E659" s="580"/>
      <c r="F659" s="580"/>
      <c r="G659" s="580"/>
      <c r="H659" s="580"/>
      <c r="I659" s="580"/>
      <c r="J659" s="580"/>
      <c r="K659" s="580"/>
      <c r="L659" s="580"/>
      <c r="M659" s="580"/>
      <c r="N659" s="580"/>
      <c r="O659" s="580"/>
      <c r="P659" s="580"/>
      <c r="Q659" s="580"/>
      <c r="R659" s="580"/>
      <c r="S659" s="580"/>
      <c r="T659" s="580"/>
      <c r="U659" s="580"/>
      <c r="V659" s="580"/>
      <c r="W659" s="580"/>
      <c r="X659" s="580"/>
      <c r="Y659" s="580"/>
      <c r="Z659" s="580"/>
      <c r="AA659" s="580"/>
      <c r="AB659" s="580"/>
    </row>
    <row r="660" ht="15.75" customHeight="1">
      <c r="A660" s="570"/>
      <c r="B660" s="570"/>
      <c r="C660" s="580"/>
      <c r="D660" s="580"/>
      <c r="E660" s="580"/>
      <c r="F660" s="580"/>
      <c r="G660" s="580"/>
      <c r="H660" s="580"/>
      <c r="I660" s="580"/>
      <c r="J660" s="580"/>
      <c r="K660" s="580"/>
      <c r="L660" s="580"/>
      <c r="M660" s="580"/>
      <c r="N660" s="580"/>
      <c r="O660" s="580"/>
      <c r="P660" s="580"/>
      <c r="Q660" s="580"/>
      <c r="R660" s="580"/>
      <c r="S660" s="580"/>
      <c r="T660" s="580"/>
      <c r="U660" s="580"/>
      <c r="V660" s="580"/>
      <c r="W660" s="580"/>
      <c r="X660" s="580"/>
      <c r="Y660" s="580"/>
      <c r="Z660" s="580"/>
      <c r="AA660" s="580"/>
      <c r="AB660" s="580"/>
    </row>
    <row r="661" ht="15.75" customHeight="1">
      <c r="A661" s="570"/>
      <c r="B661" s="570"/>
      <c r="C661" s="580"/>
      <c r="D661" s="580"/>
      <c r="E661" s="580"/>
      <c r="F661" s="580"/>
      <c r="G661" s="580"/>
      <c r="H661" s="580"/>
      <c r="I661" s="580"/>
      <c r="J661" s="580"/>
      <c r="K661" s="580"/>
      <c r="L661" s="580"/>
      <c r="M661" s="580"/>
      <c r="N661" s="580"/>
      <c r="O661" s="580"/>
      <c r="P661" s="580"/>
      <c r="Q661" s="580"/>
      <c r="R661" s="580"/>
      <c r="S661" s="580"/>
      <c r="T661" s="580"/>
      <c r="U661" s="580"/>
      <c r="V661" s="580"/>
      <c r="W661" s="580"/>
      <c r="X661" s="580"/>
      <c r="Y661" s="580"/>
      <c r="Z661" s="580"/>
      <c r="AA661" s="580"/>
      <c r="AB661" s="580"/>
    </row>
    <row r="662" ht="15.75" customHeight="1">
      <c r="A662" s="570"/>
      <c r="B662" s="570"/>
      <c r="C662" s="580"/>
      <c r="D662" s="580"/>
      <c r="E662" s="580"/>
      <c r="F662" s="580"/>
      <c r="G662" s="580"/>
      <c r="H662" s="580"/>
      <c r="I662" s="580"/>
      <c r="J662" s="580"/>
      <c r="K662" s="580"/>
      <c r="L662" s="580"/>
      <c r="M662" s="580"/>
      <c r="N662" s="580"/>
      <c r="O662" s="580"/>
      <c r="P662" s="580"/>
      <c r="Q662" s="580"/>
      <c r="R662" s="580"/>
      <c r="S662" s="580"/>
      <c r="T662" s="580"/>
      <c r="U662" s="580"/>
      <c r="V662" s="580"/>
      <c r="W662" s="580"/>
      <c r="X662" s="580"/>
      <c r="Y662" s="580"/>
      <c r="Z662" s="580"/>
      <c r="AA662" s="580"/>
      <c r="AB662" s="580"/>
    </row>
    <row r="663" ht="15.75" customHeight="1">
      <c r="A663" s="570"/>
      <c r="B663" s="570"/>
      <c r="C663" s="580"/>
      <c r="D663" s="580"/>
      <c r="E663" s="580"/>
      <c r="F663" s="580"/>
      <c r="G663" s="580"/>
      <c r="H663" s="580"/>
      <c r="I663" s="580"/>
      <c r="J663" s="580"/>
      <c r="K663" s="580"/>
      <c r="L663" s="580"/>
      <c r="M663" s="580"/>
      <c r="N663" s="580"/>
      <c r="O663" s="580"/>
      <c r="P663" s="580"/>
      <c r="Q663" s="580"/>
      <c r="R663" s="580"/>
      <c r="S663" s="580"/>
      <c r="T663" s="580"/>
      <c r="U663" s="580"/>
      <c r="V663" s="580"/>
      <c r="W663" s="580"/>
      <c r="X663" s="580"/>
      <c r="Y663" s="580"/>
      <c r="Z663" s="580"/>
      <c r="AA663" s="580"/>
      <c r="AB663" s="580"/>
    </row>
    <row r="664" ht="15.75" customHeight="1">
      <c r="A664" s="570"/>
      <c r="B664" s="570"/>
      <c r="C664" s="580"/>
      <c r="D664" s="580"/>
      <c r="E664" s="580"/>
      <c r="F664" s="580"/>
      <c r="G664" s="580"/>
      <c r="H664" s="580"/>
      <c r="I664" s="580"/>
      <c r="J664" s="580"/>
      <c r="K664" s="580"/>
      <c r="L664" s="580"/>
      <c r="M664" s="580"/>
      <c r="N664" s="580"/>
      <c r="O664" s="580"/>
      <c r="P664" s="580"/>
      <c r="Q664" s="580"/>
      <c r="R664" s="580"/>
      <c r="S664" s="580"/>
      <c r="T664" s="580"/>
      <c r="U664" s="580"/>
      <c r="V664" s="580"/>
      <c r="W664" s="580"/>
      <c r="X664" s="580"/>
      <c r="Y664" s="580"/>
      <c r="Z664" s="580"/>
      <c r="AA664" s="580"/>
      <c r="AB664" s="580"/>
    </row>
    <row r="665" ht="15.75" customHeight="1">
      <c r="A665" s="570"/>
      <c r="B665" s="570"/>
      <c r="C665" s="580"/>
      <c r="D665" s="580"/>
      <c r="E665" s="580"/>
      <c r="F665" s="580"/>
      <c r="G665" s="580"/>
      <c r="H665" s="580"/>
      <c r="I665" s="580"/>
      <c r="J665" s="580"/>
      <c r="K665" s="580"/>
      <c r="L665" s="580"/>
      <c r="M665" s="580"/>
      <c r="N665" s="580"/>
      <c r="O665" s="580"/>
      <c r="P665" s="580"/>
      <c r="Q665" s="580"/>
      <c r="R665" s="580"/>
      <c r="S665" s="580"/>
      <c r="T665" s="580"/>
      <c r="U665" s="580"/>
      <c r="V665" s="580"/>
      <c r="W665" s="580"/>
      <c r="X665" s="580"/>
      <c r="Y665" s="580"/>
      <c r="Z665" s="580"/>
      <c r="AA665" s="580"/>
      <c r="AB665" s="580"/>
    </row>
    <row r="666" ht="15.75" customHeight="1">
      <c r="A666" s="570"/>
      <c r="B666" s="570"/>
      <c r="C666" s="580"/>
      <c r="D666" s="580"/>
      <c r="E666" s="580"/>
      <c r="F666" s="580"/>
      <c r="G666" s="580"/>
      <c r="H666" s="580"/>
      <c r="I666" s="580"/>
      <c r="J666" s="580"/>
      <c r="K666" s="580"/>
      <c r="L666" s="580"/>
      <c r="M666" s="580"/>
      <c r="N666" s="580"/>
      <c r="O666" s="580"/>
      <c r="P666" s="580"/>
      <c r="Q666" s="580"/>
      <c r="R666" s="580"/>
      <c r="S666" s="580"/>
      <c r="T666" s="580"/>
      <c r="U666" s="580"/>
      <c r="V666" s="580"/>
      <c r="W666" s="580"/>
      <c r="X666" s="580"/>
      <c r="Y666" s="580"/>
      <c r="Z666" s="580"/>
      <c r="AA666" s="580"/>
      <c r="AB666" s="580"/>
    </row>
    <row r="667" ht="15.75" customHeight="1">
      <c r="A667" s="570"/>
      <c r="B667" s="570"/>
      <c r="C667" s="580"/>
      <c r="D667" s="580"/>
      <c r="E667" s="580"/>
      <c r="F667" s="580"/>
      <c r="G667" s="580"/>
      <c r="H667" s="580"/>
      <c r="I667" s="580"/>
      <c r="J667" s="580"/>
      <c r="K667" s="580"/>
      <c r="L667" s="580"/>
      <c r="M667" s="580"/>
      <c r="N667" s="580"/>
      <c r="O667" s="580"/>
      <c r="P667" s="580"/>
      <c r="Q667" s="580"/>
      <c r="R667" s="580"/>
      <c r="S667" s="580"/>
      <c r="T667" s="580"/>
      <c r="U667" s="580"/>
      <c r="V667" s="580"/>
      <c r="W667" s="580"/>
      <c r="X667" s="580"/>
      <c r="Y667" s="580"/>
      <c r="Z667" s="580"/>
      <c r="AA667" s="580"/>
      <c r="AB667" s="580"/>
    </row>
    <row r="668" ht="15.75" customHeight="1">
      <c r="A668" s="570"/>
      <c r="B668" s="570"/>
      <c r="C668" s="580"/>
      <c r="D668" s="580"/>
      <c r="E668" s="580"/>
      <c r="F668" s="580"/>
      <c r="G668" s="580"/>
      <c r="H668" s="580"/>
      <c r="I668" s="580"/>
      <c r="J668" s="580"/>
      <c r="K668" s="580"/>
      <c r="L668" s="580"/>
      <c r="M668" s="580"/>
      <c r="N668" s="580"/>
      <c r="O668" s="580"/>
      <c r="P668" s="580"/>
      <c r="Q668" s="580"/>
      <c r="R668" s="580"/>
      <c r="S668" s="580"/>
      <c r="T668" s="580"/>
      <c r="U668" s="580"/>
      <c r="V668" s="580"/>
      <c r="W668" s="580"/>
      <c r="X668" s="580"/>
      <c r="Y668" s="580"/>
      <c r="Z668" s="580"/>
      <c r="AA668" s="580"/>
      <c r="AB668" s="580"/>
    </row>
    <row r="669" ht="15.75" customHeight="1">
      <c r="A669" s="570"/>
      <c r="B669" s="570"/>
      <c r="C669" s="580"/>
      <c r="D669" s="580"/>
      <c r="E669" s="580"/>
      <c r="F669" s="580"/>
      <c r="G669" s="580"/>
      <c r="H669" s="580"/>
      <c r="I669" s="580"/>
      <c r="J669" s="580"/>
      <c r="K669" s="580"/>
      <c r="L669" s="580"/>
      <c r="M669" s="580"/>
      <c r="N669" s="580"/>
      <c r="O669" s="580"/>
      <c r="P669" s="580"/>
      <c r="Q669" s="580"/>
      <c r="R669" s="580"/>
      <c r="S669" s="580"/>
      <c r="T669" s="580"/>
      <c r="U669" s="580"/>
      <c r="V669" s="580"/>
      <c r="W669" s="580"/>
      <c r="X669" s="580"/>
      <c r="Y669" s="580"/>
      <c r="Z669" s="580"/>
      <c r="AA669" s="580"/>
      <c r="AB669" s="580"/>
    </row>
    <row r="670" ht="15.75" customHeight="1">
      <c r="A670" s="570"/>
      <c r="B670" s="570"/>
      <c r="C670" s="580"/>
      <c r="D670" s="580"/>
      <c r="E670" s="580"/>
      <c r="F670" s="580"/>
      <c r="G670" s="580"/>
      <c r="H670" s="580"/>
      <c r="I670" s="580"/>
      <c r="J670" s="580"/>
      <c r="K670" s="580"/>
      <c r="L670" s="580"/>
      <c r="M670" s="580"/>
      <c r="N670" s="580"/>
      <c r="O670" s="580"/>
      <c r="P670" s="580"/>
      <c r="Q670" s="580"/>
      <c r="R670" s="580"/>
      <c r="S670" s="580"/>
      <c r="T670" s="580"/>
      <c r="U670" s="580"/>
      <c r="V670" s="580"/>
      <c r="W670" s="580"/>
      <c r="X670" s="580"/>
      <c r="Y670" s="580"/>
      <c r="Z670" s="580"/>
      <c r="AA670" s="580"/>
      <c r="AB670" s="580"/>
    </row>
    <row r="671" ht="15.75" customHeight="1">
      <c r="A671" s="570"/>
      <c r="B671" s="570"/>
      <c r="C671" s="580"/>
      <c r="D671" s="580"/>
      <c r="E671" s="580"/>
      <c r="F671" s="580"/>
      <c r="G671" s="580"/>
      <c r="H671" s="580"/>
      <c r="I671" s="580"/>
      <c r="J671" s="580"/>
      <c r="K671" s="580"/>
      <c r="L671" s="580"/>
      <c r="M671" s="580"/>
      <c r="N671" s="580"/>
      <c r="O671" s="580"/>
      <c r="P671" s="580"/>
      <c r="Q671" s="580"/>
      <c r="R671" s="580"/>
      <c r="S671" s="580"/>
      <c r="T671" s="580"/>
      <c r="U671" s="580"/>
      <c r="V671" s="580"/>
      <c r="W671" s="580"/>
      <c r="X671" s="580"/>
      <c r="Y671" s="580"/>
      <c r="Z671" s="580"/>
      <c r="AA671" s="580"/>
      <c r="AB671" s="580"/>
    </row>
    <row r="672" ht="15.75" customHeight="1">
      <c r="A672" s="570"/>
      <c r="B672" s="570"/>
      <c r="C672" s="580"/>
      <c r="D672" s="580"/>
      <c r="E672" s="580"/>
      <c r="F672" s="580"/>
      <c r="G672" s="580"/>
      <c r="H672" s="580"/>
      <c r="I672" s="580"/>
      <c r="J672" s="580"/>
      <c r="K672" s="580"/>
      <c r="L672" s="580"/>
      <c r="M672" s="580"/>
      <c r="N672" s="580"/>
      <c r="O672" s="580"/>
      <c r="P672" s="580"/>
      <c r="Q672" s="580"/>
      <c r="R672" s="580"/>
      <c r="S672" s="580"/>
      <c r="T672" s="580"/>
      <c r="U672" s="580"/>
      <c r="V672" s="580"/>
      <c r="W672" s="580"/>
      <c r="X672" s="580"/>
      <c r="Y672" s="580"/>
      <c r="Z672" s="580"/>
      <c r="AA672" s="580"/>
      <c r="AB672" s="580"/>
    </row>
    <row r="673" ht="15.75" customHeight="1">
      <c r="A673" s="570"/>
      <c r="B673" s="570"/>
      <c r="C673" s="580"/>
      <c r="D673" s="580"/>
      <c r="E673" s="580"/>
      <c r="F673" s="580"/>
      <c r="G673" s="580"/>
      <c r="H673" s="580"/>
      <c r="I673" s="580"/>
      <c r="J673" s="580"/>
      <c r="K673" s="580"/>
      <c r="L673" s="580"/>
      <c r="M673" s="580"/>
      <c r="N673" s="580"/>
      <c r="O673" s="580"/>
      <c r="P673" s="580"/>
      <c r="Q673" s="580"/>
      <c r="R673" s="580"/>
      <c r="S673" s="580"/>
      <c r="T673" s="580"/>
      <c r="U673" s="580"/>
      <c r="V673" s="580"/>
      <c r="W673" s="580"/>
      <c r="X673" s="580"/>
      <c r="Y673" s="580"/>
      <c r="Z673" s="580"/>
      <c r="AA673" s="580"/>
      <c r="AB673" s="580"/>
    </row>
    <row r="674" ht="15.75" customHeight="1">
      <c r="A674" s="570"/>
      <c r="B674" s="570"/>
      <c r="C674" s="580"/>
      <c r="D674" s="580"/>
      <c r="E674" s="580"/>
      <c r="F674" s="580"/>
      <c r="G674" s="580"/>
      <c r="H674" s="580"/>
      <c r="I674" s="580"/>
      <c r="J674" s="580"/>
      <c r="K674" s="580"/>
      <c r="L674" s="580"/>
      <c r="M674" s="580"/>
      <c r="N674" s="580"/>
      <c r="O674" s="580"/>
      <c r="P674" s="580"/>
      <c r="Q674" s="580"/>
      <c r="R674" s="580"/>
      <c r="S674" s="580"/>
      <c r="T674" s="580"/>
      <c r="U674" s="580"/>
      <c r="V674" s="580"/>
      <c r="W674" s="580"/>
      <c r="X674" s="580"/>
      <c r="Y674" s="580"/>
      <c r="Z674" s="580"/>
      <c r="AA674" s="580"/>
      <c r="AB674" s="580"/>
    </row>
    <row r="675" ht="15.75" customHeight="1">
      <c r="A675" s="570"/>
      <c r="B675" s="570"/>
      <c r="C675" s="580"/>
      <c r="D675" s="580"/>
      <c r="E675" s="580"/>
      <c r="F675" s="580"/>
      <c r="G675" s="580"/>
      <c r="H675" s="580"/>
      <c r="I675" s="580"/>
      <c r="J675" s="580"/>
      <c r="K675" s="580"/>
      <c r="L675" s="580"/>
      <c r="M675" s="580"/>
      <c r="N675" s="580"/>
      <c r="O675" s="580"/>
      <c r="P675" s="580"/>
      <c r="Q675" s="580"/>
      <c r="R675" s="580"/>
      <c r="S675" s="580"/>
      <c r="T675" s="580"/>
      <c r="U675" s="580"/>
      <c r="V675" s="580"/>
      <c r="W675" s="580"/>
      <c r="X675" s="580"/>
      <c r="Y675" s="580"/>
      <c r="Z675" s="580"/>
      <c r="AA675" s="580"/>
      <c r="AB675" s="580"/>
    </row>
    <row r="676" ht="15.75" customHeight="1">
      <c r="A676" s="570"/>
      <c r="B676" s="570"/>
      <c r="C676" s="580"/>
      <c r="D676" s="580"/>
      <c r="E676" s="580"/>
      <c r="F676" s="580"/>
      <c r="G676" s="580"/>
      <c r="H676" s="580"/>
      <c r="I676" s="580"/>
      <c r="J676" s="580"/>
      <c r="K676" s="580"/>
      <c r="L676" s="580"/>
      <c r="M676" s="580"/>
      <c r="N676" s="580"/>
      <c r="O676" s="580"/>
      <c r="P676" s="580"/>
      <c r="Q676" s="580"/>
      <c r="R676" s="580"/>
      <c r="S676" s="580"/>
      <c r="T676" s="580"/>
      <c r="U676" s="580"/>
      <c r="V676" s="580"/>
      <c r="W676" s="580"/>
      <c r="X676" s="580"/>
      <c r="Y676" s="580"/>
      <c r="Z676" s="580"/>
      <c r="AA676" s="580"/>
      <c r="AB676" s="580"/>
    </row>
    <row r="677" ht="15.75" customHeight="1">
      <c r="A677" s="570"/>
      <c r="B677" s="570"/>
      <c r="C677" s="580"/>
      <c r="D677" s="580"/>
      <c r="E677" s="580"/>
      <c r="F677" s="580"/>
      <c r="G677" s="580"/>
      <c r="H677" s="580"/>
      <c r="I677" s="580"/>
      <c r="J677" s="580"/>
      <c r="K677" s="580"/>
      <c r="L677" s="580"/>
      <c r="M677" s="580"/>
      <c r="N677" s="580"/>
      <c r="O677" s="580"/>
      <c r="P677" s="580"/>
      <c r="Q677" s="580"/>
      <c r="R677" s="580"/>
      <c r="S677" s="580"/>
      <c r="T677" s="580"/>
      <c r="U677" s="580"/>
      <c r="V677" s="580"/>
      <c r="W677" s="580"/>
      <c r="X677" s="580"/>
      <c r="Y677" s="580"/>
      <c r="Z677" s="580"/>
      <c r="AA677" s="580"/>
      <c r="AB677" s="580"/>
    </row>
    <row r="678" ht="15.75" customHeight="1">
      <c r="A678" s="570"/>
      <c r="B678" s="570"/>
      <c r="C678" s="580"/>
      <c r="D678" s="580"/>
      <c r="E678" s="580"/>
      <c r="F678" s="580"/>
      <c r="G678" s="580"/>
      <c r="H678" s="580"/>
      <c r="I678" s="580"/>
      <c r="J678" s="580"/>
      <c r="K678" s="580"/>
      <c r="L678" s="580"/>
      <c r="M678" s="580"/>
      <c r="N678" s="580"/>
      <c r="O678" s="580"/>
      <c r="P678" s="580"/>
      <c r="Q678" s="580"/>
      <c r="R678" s="580"/>
      <c r="S678" s="580"/>
      <c r="T678" s="580"/>
      <c r="U678" s="580"/>
      <c r="V678" s="580"/>
      <c r="W678" s="580"/>
      <c r="X678" s="580"/>
      <c r="Y678" s="580"/>
      <c r="Z678" s="580"/>
      <c r="AA678" s="580"/>
      <c r="AB678" s="580"/>
    </row>
    <row r="679" ht="15.75" customHeight="1">
      <c r="A679" s="570"/>
      <c r="B679" s="570"/>
      <c r="C679" s="580"/>
      <c r="D679" s="580"/>
      <c r="E679" s="580"/>
      <c r="F679" s="580"/>
      <c r="G679" s="580"/>
      <c r="H679" s="580"/>
      <c r="I679" s="580"/>
      <c r="J679" s="580"/>
      <c r="K679" s="580"/>
      <c r="L679" s="580"/>
      <c r="M679" s="580"/>
      <c r="N679" s="580"/>
      <c r="O679" s="580"/>
      <c r="P679" s="580"/>
      <c r="Q679" s="580"/>
      <c r="R679" s="580"/>
      <c r="S679" s="580"/>
      <c r="T679" s="580"/>
      <c r="U679" s="580"/>
      <c r="V679" s="580"/>
      <c r="W679" s="580"/>
      <c r="X679" s="580"/>
      <c r="Y679" s="580"/>
      <c r="Z679" s="580"/>
      <c r="AA679" s="580"/>
      <c r="AB679" s="580"/>
    </row>
    <row r="680" ht="15.75" customHeight="1">
      <c r="A680" s="570"/>
      <c r="B680" s="570"/>
      <c r="C680" s="580"/>
      <c r="D680" s="580"/>
      <c r="E680" s="580"/>
      <c r="F680" s="580"/>
      <c r="G680" s="580"/>
      <c r="H680" s="580"/>
      <c r="I680" s="580"/>
      <c r="J680" s="580"/>
      <c r="K680" s="580"/>
      <c r="L680" s="580"/>
      <c r="M680" s="580"/>
      <c r="N680" s="580"/>
      <c r="O680" s="580"/>
      <c r="P680" s="580"/>
      <c r="Q680" s="580"/>
      <c r="R680" s="580"/>
      <c r="S680" s="580"/>
      <c r="T680" s="580"/>
      <c r="U680" s="580"/>
      <c r="V680" s="580"/>
      <c r="W680" s="580"/>
      <c r="X680" s="580"/>
      <c r="Y680" s="580"/>
      <c r="Z680" s="580"/>
      <c r="AA680" s="580"/>
      <c r="AB680" s="580"/>
    </row>
    <row r="681" ht="15.75" customHeight="1">
      <c r="A681" s="570"/>
      <c r="B681" s="570"/>
      <c r="C681" s="580"/>
      <c r="D681" s="580"/>
      <c r="E681" s="580"/>
      <c r="F681" s="580"/>
      <c r="G681" s="580"/>
      <c r="H681" s="580"/>
      <c r="I681" s="580"/>
      <c r="J681" s="580"/>
      <c r="K681" s="580"/>
      <c r="L681" s="580"/>
      <c r="M681" s="580"/>
      <c r="N681" s="580"/>
      <c r="O681" s="580"/>
      <c r="P681" s="580"/>
      <c r="Q681" s="580"/>
      <c r="R681" s="580"/>
      <c r="S681" s="580"/>
      <c r="T681" s="580"/>
      <c r="U681" s="580"/>
      <c r="V681" s="580"/>
      <c r="W681" s="580"/>
      <c r="X681" s="580"/>
      <c r="Y681" s="580"/>
      <c r="Z681" s="580"/>
      <c r="AA681" s="580"/>
      <c r="AB681" s="580"/>
    </row>
    <row r="682" ht="15.75" customHeight="1">
      <c r="A682" s="570"/>
      <c r="B682" s="570"/>
      <c r="C682" s="580"/>
      <c r="D682" s="580"/>
      <c r="E682" s="580"/>
      <c r="F682" s="580"/>
      <c r="G682" s="580"/>
      <c r="H682" s="580"/>
      <c r="I682" s="580"/>
      <c r="J682" s="580"/>
      <c r="K682" s="580"/>
      <c r="L682" s="580"/>
      <c r="M682" s="580"/>
      <c r="N682" s="580"/>
      <c r="O682" s="580"/>
      <c r="P682" s="580"/>
      <c r="Q682" s="580"/>
      <c r="R682" s="580"/>
      <c r="S682" s="580"/>
      <c r="T682" s="580"/>
      <c r="U682" s="580"/>
      <c r="V682" s="580"/>
      <c r="W682" s="580"/>
      <c r="X682" s="580"/>
      <c r="Y682" s="580"/>
      <c r="Z682" s="580"/>
      <c r="AA682" s="580"/>
      <c r="AB682" s="580"/>
    </row>
    <row r="683" ht="15.75" customHeight="1">
      <c r="A683" s="570"/>
      <c r="B683" s="570"/>
      <c r="C683" s="580"/>
      <c r="D683" s="580"/>
      <c r="E683" s="580"/>
      <c r="F683" s="580"/>
      <c r="G683" s="580"/>
      <c r="H683" s="580"/>
      <c r="I683" s="580"/>
      <c r="J683" s="580"/>
      <c r="K683" s="580"/>
      <c r="L683" s="580"/>
      <c r="M683" s="580"/>
      <c r="N683" s="580"/>
      <c r="O683" s="580"/>
      <c r="P683" s="580"/>
      <c r="Q683" s="580"/>
      <c r="R683" s="580"/>
      <c r="S683" s="580"/>
      <c r="T683" s="580"/>
      <c r="U683" s="580"/>
      <c r="V683" s="580"/>
      <c r="W683" s="580"/>
      <c r="X683" s="580"/>
      <c r="Y683" s="580"/>
      <c r="Z683" s="580"/>
      <c r="AA683" s="580"/>
      <c r="AB683" s="580"/>
    </row>
    <row r="684" ht="15.75" customHeight="1">
      <c r="A684" s="570"/>
      <c r="B684" s="570"/>
      <c r="C684" s="580"/>
      <c r="D684" s="580"/>
      <c r="E684" s="580"/>
      <c r="F684" s="580"/>
      <c r="G684" s="580"/>
      <c r="H684" s="580"/>
      <c r="I684" s="580"/>
      <c r="J684" s="580"/>
      <c r="K684" s="580"/>
      <c r="L684" s="580"/>
      <c r="M684" s="580"/>
      <c r="N684" s="580"/>
      <c r="O684" s="580"/>
      <c r="P684" s="580"/>
      <c r="Q684" s="580"/>
      <c r="R684" s="580"/>
      <c r="S684" s="580"/>
      <c r="T684" s="580"/>
      <c r="U684" s="580"/>
      <c r="V684" s="580"/>
      <c r="W684" s="580"/>
      <c r="X684" s="580"/>
      <c r="Y684" s="580"/>
      <c r="Z684" s="580"/>
      <c r="AA684" s="580"/>
      <c r="AB684" s="580"/>
    </row>
    <row r="685" ht="15.75" customHeight="1">
      <c r="A685" s="570"/>
      <c r="B685" s="570"/>
      <c r="C685" s="580"/>
      <c r="D685" s="580"/>
      <c r="E685" s="580"/>
      <c r="F685" s="580"/>
      <c r="G685" s="580"/>
      <c r="H685" s="580"/>
      <c r="I685" s="580"/>
      <c r="J685" s="580"/>
      <c r="K685" s="580"/>
      <c r="L685" s="580"/>
      <c r="M685" s="580"/>
      <c r="N685" s="580"/>
      <c r="O685" s="580"/>
      <c r="P685" s="580"/>
      <c r="Q685" s="580"/>
      <c r="R685" s="580"/>
      <c r="S685" s="580"/>
      <c r="T685" s="580"/>
      <c r="U685" s="580"/>
      <c r="V685" s="580"/>
      <c r="W685" s="580"/>
      <c r="X685" s="580"/>
      <c r="Y685" s="580"/>
      <c r="Z685" s="580"/>
      <c r="AA685" s="580"/>
      <c r="AB685" s="580"/>
    </row>
    <row r="686" ht="15.75" customHeight="1">
      <c r="A686" s="570"/>
      <c r="B686" s="570"/>
      <c r="C686" s="580"/>
      <c r="D686" s="580"/>
      <c r="E686" s="580"/>
      <c r="F686" s="580"/>
      <c r="G686" s="580"/>
      <c r="H686" s="580"/>
      <c r="I686" s="580"/>
      <c r="J686" s="580"/>
      <c r="K686" s="580"/>
      <c r="L686" s="580"/>
      <c r="M686" s="580"/>
      <c r="N686" s="580"/>
      <c r="O686" s="580"/>
      <c r="P686" s="580"/>
      <c r="Q686" s="580"/>
      <c r="R686" s="580"/>
      <c r="S686" s="580"/>
      <c r="T686" s="580"/>
      <c r="U686" s="580"/>
      <c r="V686" s="580"/>
      <c r="W686" s="580"/>
      <c r="X686" s="580"/>
      <c r="Y686" s="580"/>
      <c r="Z686" s="580"/>
      <c r="AA686" s="580"/>
      <c r="AB686" s="580"/>
    </row>
    <row r="687" ht="15.75" customHeight="1">
      <c r="A687" s="570"/>
      <c r="B687" s="570"/>
      <c r="C687" s="580"/>
      <c r="D687" s="580"/>
      <c r="E687" s="580"/>
      <c r="F687" s="580"/>
      <c r="G687" s="580"/>
      <c r="H687" s="580"/>
      <c r="I687" s="580"/>
      <c r="J687" s="580"/>
      <c r="K687" s="580"/>
      <c r="L687" s="580"/>
      <c r="M687" s="580"/>
      <c r="N687" s="580"/>
      <c r="O687" s="580"/>
      <c r="P687" s="580"/>
      <c r="Q687" s="580"/>
      <c r="R687" s="580"/>
      <c r="S687" s="580"/>
      <c r="T687" s="580"/>
      <c r="U687" s="580"/>
      <c r="V687" s="580"/>
      <c r="W687" s="580"/>
      <c r="X687" s="580"/>
      <c r="Y687" s="580"/>
      <c r="Z687" s="580"/>
      <c r="AA687" s="580"/>
      <c r="AB687" s="580"/>
    </row>
    <row r="688" ht="15.75" customHeight="1">
      <c r="A688" s="570"/>
      <c r="B688" s="570"/>
      <c r="C688" s="580"/>
      <c r="D688" s="580"/>
      <c r="E688" s="580"/>
      <c r="F688" s="580"/>
      <c r="G688" s="580"/>
      <c r="H688" s="580"/>
      <c r="I688" s="580"/>
      <c r="J688" s="580"/>
      <c r="K688" s="580"/>
      <c r="L688" s="580"/>
      <c r="M688" s="580"/>
      <c r="N688" s="580"/>
      <c r="O688" s="580"/>
      <c r="P688" s="580"/>
      <c r="Q688" s="580"/>
      <c r="R688" s="580"/>
      <c r="S688" s="580"/>
      <c r="T688" s="580"/>
      <c r="U688" s="580"/>
      <c r="V688" s="580"/>
      <c r="W688" s="580"/>
      <c r="X688" s="580"/>
      <c r="Y688" s="580"/>
      <c r="Z688" s="580"/>
      <c r="AA688" s="580"/>
      <c r="AB688" s="580"/>
    </row>
    <row r="689" ht="15.75" customHeight="1">
      <c r="A689" s="570"/>
      <c r="B689" s="570"/>
      <c r="C689" s="580"/>
      <c r="D689" s="580"/>
      <c r="E689" s="580"/>
      <c r="F689" s="580"/>
      <c r="G689" s="580"/>
      <c r="H689" s="580"/>
      <c r="I689" s="580"/>
      <c r="J689" s="580"/>
      <c r="K689" s="580"/>
      <c r="L689" s="580"/>
      <c r="M689" s="580"/>
      <c r="N689" s="580"/>
      <c r="O689" s="580"/>
      <c r="P689" s="580"/>
      <c r="Q689" s="580"/>
      <c r="R689" s="580"/>
      <c r="S689" s="580"/>
      <c r="T689" s="580"/>
      <c r="U689" s="580"/>
      <c r="V689" s="580"/>
      <c r="W689" s="580"/>
      <c r="X689" s="580"/>
      <c r="Y689" s="580"/>
      <c r="Z689" s="580"/>
      <c r="AA689" s="580"/>
      <c r="AB689" s="580"/>
    </row>
    <row r="690" ht="15.75" customHeight="1">
      <c r="A690" s="570"/>
      <c r="B690" s="570"/>
      <c r="C690" s="580"/>
      <c r="D690" s="580"/>
      <c r="E690" s="580"/>
      <c r="F690" s="580"/>
      <c r="G690" s="580"/>
      <c r="H690" s="580"/>
      <c r="I690" s="580"/>
      <c r="J690" s="580"/>
      <c r="K690" s="580"/>
      <c r="L690" s="580"/>
      <c r="M690" s="580"/>
      <c r="N690" s="580"/>
      <c r="O690" s="580"/>
      <c r="P690" s="580"/>
      <c r="Q690" s="580"/>
      <c r="R690" s="580"/>
      <c r="S690" s="580"/>
      <c r="T690" s="580"/>
      <c r="U690" s="580"/>
      <c r="V690" s="580"/>
      <c r="W690" s="580"/>
      <c r="X690" s="580"/>
      <c r="Y690" s="580"/>
      <c r="Z690" s="580"/>
      <c r="AA690" s="580"/>
      <c r="AB690" s="580"/>
    </row>
    <row r="691" ht="15.75" customHeight="1">
      <c r="A691" s="570"/>
      <c r="B691" s="570"/>
      <c r="C691" s="580"/>
      <c r="D691" s="580"/>
      <c r="E691" s="580"/>
      <c r="F691" s="580"/>
      <c r="G691" s="580"/>
      <c r="H691" s="580"/>
      <c r="I691" s="580"/>
      <c r="J691" s="580"/>
      <c r="K691" s="580"/>
      <c r="L691" s="580"/>
      <c r="M691" s="580"/>
      <c r="N691" s="580"/>
      <c r="O691" s="580"/>
      <c r="P691" s="580"/>
      <c r="Q691" s="580"/>
      <c r="R691" s="580"/>
      <c r="S691" s="580"/>
      <c r="T691" s="580"/>
      <c r="U691" s="580"/>
      <c r="V691" s="580"/>
      <c r="W691" s="580"/>
      <c r="X691" s="580"/>
      <c r="Y691" s="580"/>
      <c r="Z691" s="580"/>
      <c r="AA691" s="580"/>
      <c r="AB691" s="580"/>
    </row>
    <row r="692" ht="15.75" customHeight="1">
      <c r="A692" s="570"/>
      <c r="B692" s="570"/>
      <c r="C692" s="580"/>
      <c r="D692" s="580"/>
      <c r="E692" s="580"/>
      <c r="F692" s="580"/>
      <c r="G692" s="580"/>
      <c r="H692" s="580"/>
      <c r="I692" s="580"/>
      <c r="J692" s="580"/>
      <c r="K692" s="580"/>
      <c r="L692" s="580"/>
      <c r="M692" s="580"/>
      <c r="N692" s="580"/>
      <c r="O692" s="580"/>
      <c r="P692" s="580"/>
      <c r="Q692" s="580"/>
      <c r="R692" s="580"/>
      <c r="S692" s="580"/>
      <c r="T692" s="580"/>
      <c r="U692" s="580"/>
      <c r="V692" s="580"/>
      <c r="W692" s="580"/>
      <c r="X692" s="580"/>
      <c r="Y692" s="580"/>
      <c r="Z692" s="580"/>
      <c r="AA692" s="580"/>
      <c r="AB692" s="580"/>
    </row>
    <row r="693" ht="15.75" customHeight="1">
      <c r="A693" s="570"/>
      <c r="B693" s="570"/>
      <c r="C693" s="580"/>
      <c r="D693" s="580"/>
      <c r="E693" s="580"/>
      <c r="F693" s="580"/>
      <c r="G693" s="580"/>
      <c r="H693" s="580"/>
      <c r="I693" s="580"/>
      <c r="J693" s="580"/>
      <c r="K693" s="580"/>
      <c r="L693" s="580"/>
      <c r="M693" s="580"/>
      <c r="N693" s="580"/>
      <c r="O693" s="580"/>
      <c r="P693" s="580"/>
      <c r="Q693" s="580"/>
      <c r="R693" s="580"/>
      <c r="S693" s="580"/>
      <c r="T693" s="580"/>
      <c r="U693" s="580"/>
      <c r="V693" s="580"/>
      <c r="W693" s="580"/>
      <c r="X693" s="580"/>
      <c r="Y693" s="580"/>
      <c r="Z693" s="580"/>
      <c r="AA693" s="580"/>
      <c r="AB693" s="580"/>
    </row>
    <row r="694" ht="15.75" customHeight="1">
      <c r="A694" s="570"/>
      <c r="B694" s="570"/>
      <c r="C694" s="580"/>
      <c r="D694" s="580"/>
      <c r="E694" s="580"/>
      <c r="F694" s="580"/>
      <c r="G694" s="580"/>
      <c r="H694" s="580"/>
      <c r="I694" s="580"/>
      <c r="J694" s="580"/>
      <c r="K694" s="580"/>
      <c r="L694" s="580"/>
      <c r="M694" s="580"/>
      <c r="N694" s="580"/>
      <c r="O694" s="580"/>
      <c r="P694" s="580"/>
      <c r="Q694" s="580"/>
      <c r="R694" s="580"/>
      <c r="S694" s="580"/>
      <c r="T694" s="580"/>
      <c r="U694" s="580"/>
      <c r="V694" s="580"/>
      <c r="W694" s="580"/>
      <c r="X694" s="580"/>
      <c r="Y694" s="580"/>
      <c r="Z694" s="580"/>
      <c r="AA694" s="580"/>
      <c r="AB694" s="580"/>
    </row>
    <row r="695" ht="15.75" customHeight="1">
      <c r="A695" s="570"/>
      <c r="B695" s="570"/>
      <c r="C695" s="580"/>
      <c r="D695" s="580"/>
      <c r="E695" s="580"/>
      <c r="F695" s="580"/>
      <c r="G695" s="580"/>
      <c r="H695" s="580"/>
      <c r="I695" s="580"/>
      <c r="J695" s="580"/>
      <c r="K695" s="580"/>
      <c r="L695" s="580"/>
      <c r="M695" s="580"/>
      <c r="N695" s="580"/>
      <c r="O695" s="580"/>
      <c r="P695" s="580"/>
      <c r="Q695" s="580"/>
      <c r="R695" s="580"/>
      <c r="S695" s="580"/>
      <c r="T695" s="580"/>
      <c r="U695" s="580"/>
      <c r="V695" s="580"/>
      <c r="W695" s="580"/>
      <c r="X695" s="580"/>
      <c r="Y695" s="580"/>
      <c r="Z695" s="580"/>
      <c r="AA695" s="580"/>
      <c r="AB695" s="580"/>
    </row>
    <row r="696" ht="15.75" customHeight="1">
      <c r="A696" s="570"/>
      <c r="B696" s="570"/>
      <c r="C696" s="580"/>
      <c r="D696" s="580"/>
      <c r="E696" s="580"/>
      <c r="F696" s="580"/>
      <c r="G696" s="580"/>
      <c r="H696" s="580"/>
      <c r="I696" s="580"/>
      <c r="J696" s="580"/>
      <c r="K696" s="580"/>
      <c r="L696" s="580"/>
      <c r="M696" s="580"/>
      <c r="N696" s="580"/>
      <c r="O696" s="580"/>
      <c r="P696" s="580"/>
      <c r="Q696" s="580"/>
      <c r="R696" s="580"/>
      <c r="S696" s="580"/>
      <c r="T696" s="580"/>
      <c r="U696" s="580"/>
      <c r="V696" s="580"/>
      <c r="W696" s="580"/>
      <c r="X696" s="580"/>
      <c r="Y696" s="580"/>
      <c r="Z696" s="580"/>
      <c r="AA696" s="580"/>
      <c r="AB696" s="580"/>
    </row>
    <row r="697" ht="15.75" customHeight="1">
      <c r="A697" s="570"/>
      <c r="B697" s="570"/>
      <c r="C697" s="580"/>
      <c r="D697" s="580"/>
      <c r="E697" s="580"/>
      <c r="F697" s="580"/>
      <c r="G697" s="580"/>
      <c r="H697" s="580"/>
      <c r="I697" s="580"/>
      <c r="J697" s="580"/>
      <c r="K697" s="580"/>
      <c r="L697" s="580"/>
      <c r="M697" s="580"/>
      <c r="N697" s="580"/>
      <c r="O697" s="580"/>
      <c r="P697" s="580"/>
      <c r="Q697" s="580"/>
      <c r="R697" s="580"/>
      <c r="S697" s="580"/>
      <c r="T697" s="580"/>
      <c r="U697" s="580"/>
      <c r="V697" s="580"/>
      <c r="W697" s="580"/>
      <c r="X697" s="580"/>
      <c r="Y697" s="580"/>
      <c r="Z697" s="580"/>
      <c r="AA697" s="580"/>
      <c r="AB697" s="580"/>
    </row>
    <row r="698" ht="15.75" customHeight="1">
      <c r="A698" s="570"/>
      <c r="B698" s="570"/>
      <c r="C698" s="580"/>
      <c r="D698" s="580"/>
      <c r="E698" s="580"/>
      <c r="F698" s="580"/>
      <c r="G698" s="580"/>
      <c r="H698" s="580"/>
      <c r="I698" s="580"/>
      <c r="J698" s="580"/>
      <c r="K698" s="580"/>
      <c r="L698" s="580"/>
      <c r="M698" s="580"/>
      <c r="N698" s="580"/>
      <c r="O698" s="580"/>
      <c r="P698" s="580"/>
      <c r="Q698" s="580"/>
      <c r="R698" s="580"/>
      <c r="S698" s="580"/>
      <c r="T698" s="580"/>
      <c r="U698" s="580"/>
      <c r="V698" s="580"/>
      <c r="W698" s="580"/>
      <c r="X698" s="580"/>
      <c r="Y698" s="580"/>
      <c r="Z698" s="580"/>
      <c r="AA698" s="580"/>
      <c r="AB698" s="580"/>
    </row>
    <row r="699" ht="15.75" customHeight="1">
      <c r="A699" s="570"/>
      <c r="B699" s="570"/>
      <c r="C699" s="580"/>
      <c r="D699" s="580"/>
      <c r="E699" s="580"/>
      <c r="F699" s="580"/>
      <c r="G699" s="580"/>
      <c r="H699" s="580"/>
      <c r="I699" s="580"/>
      <c r="J699" s="580"/>
      <c r="K699" s="580"/>
      <c r="L699" s="580"/>
      <c r="M699" s="580"/>
      <c r="N699" s="580"/>
      <c r="O699" s="580"/>
      <c r="P699" s="580"/>
      <c r="Q699" s="580"/>
      <c r="R699" s="580"/>
      <c r="S699" s="580"/>
      <c r="T699" s="580"/>
      <c r="U699" s="580"/>
      <c r="V699" s="580"/>
      <c r="W699" s="580"/>
      <c r="X699" s="580"/>
      <c r="Y699" s="580"/>
      <c r="Z699" s="580"/>
      <c r="AA699" s="580"/>
      <c r="AB699" s="580"/>
    </row>
    <row r="700" ht="15.75" customHeight="1">
      <c r="A700" s="570"/>
      <c r="B700" s="570"/>
      <c r="C700" s="580"/>
      <c r="D700" s="580"/>
      <c r="E700" s="580"/>
      <c r="F700" s="580"/>
      <c r="G700" s="580"/>
      <c r="H700" s="580"/>
      <c r="I700" s="580"/>
      <c r="J700" s="580"/>
      <c r="K700" s="580"/>
      <c r="L700" s="580"/>
      <c r="M700" s="580"/>
      <c r="N700" s="580"/>
      <c r="O700" s="580"/>
      <c r="P700" s="580"/>
      <c r="Q700" s="580"/>
      <c r="R700" s="580"/>
      <c r="S700" s="580"/>
      <c r="T700" s="580"/>
      <c r="U700" s="580"/>
      <c r="V700" s="580"/>
      <c r="W700" s="580"/>
      <c r="X700" s="580"/>
      <c r="Y700" s="580"/>
      <c r="Z700" s="580"/>
      <c r="AA700" s="580"/>
      <c r="AB700" s="580"/>
    </row>
    <row r="701" ht="15.75" customHeight="1">
      <c r="A701" s="570"/>
      <c r="B701" s="570"/>
      <c r="C701" s="580"/>
      <c r="D701" s="580"/>
      <c r="E701" s="580"/>
      <c r="F701" s="580"/>
      <c r="G701" s="580"/>
      <c r="H701" s="580"/>
      <c r="I701" s="580"/>
      <c r="J701" s="580"/>
      <c r="K701" s="580"/>
      <c r="L701" s="580"/>
      <c r="M701" s="580"/>
      <c r="N701" s="580"/>
      <c r="O701" s="580"/>
      <c r="P701" s="580"/>
      <c r="Q701" s="580"/>
      <c r="R701" s="580"/>
      <c r="S701" s="580"/>
      <c r="T701" s="580"/>
      <c r="U701" s="580"/>
      <c r="V701" s="580"/>
      <c r="W701" s="580"/>
      <c r="X701" s="580"/>
      <c r="Y701" s="580"/>
      <c r="Z701" s="580"/>
      <c r="AA701" s="580"/>
      <c r="AB701" s="580"/>
    </row>
    <row r="702" ht="15.75" customHeight="1">
      <c r="A702" s="570"/>
      <c r="B702" s="570"/>
      <c r="C702" s="580"/>
      <c r="D702" s="580"/>
      <c r="E702" s="580"/>
      <c r="F702" s="580"/>
      <c r="G702" s="580"/>
      <c r="H702" s="580"/>
      <c r="I702" s="580"/>
      <c r="J702" s="580"/>
      <c r="K702" s="580"/>
      <c r="L702" s="580"/>
      <c r="M702" s="580"/>
      <c r="N702" s="580"/>
      <c r="O702" s="580"/>
      <c r="P702" s="580"/>
      <c r="Q702" s="580"/>
      <c r="R702" s="580"/>
      <c r="S702" s="580"/>
      <c r="T702" s="580"/>
      <c r="U702" s="580"/>
      <c r="V702" s="580"/>
      <c r="W702" s="580"/>
      <c r="X702" s="580"/>
      <c r="Y702" s="580"/>
      <c r="Z702" s="580"/>
      <c r="AA702" s="580"/>
      <c r="AB702" s="580"/>
    </row>
    <row r="703" ht="15.75" customHeight="1">
      <c r="A703" s="570"/>
      <c r="B703" s="570"/>
      <c r="C703" s="580"/>
      <c r="D703" s="580"/>
      <c r="E703" s="580"/>
      <c r="F703" s="580"/>
      <c r="G703" s="580"/>
      <c r="H703" s="580"/>
      <c r="I703" s="580"/>
      <c r="J703" s="580"/>
      <c r="K703" s="580"/>
      <c r="L703" s="580"/>
      <c r="M703" s="580"/>
      <c r="N703" s="580"/>
      <c r="O703" s="580"/>
      <c r="P703" s="580"/>
      <c r="Q703" s="580"/>
      <c r="R703" s="580"/>
      <c r="S703" s="580"/>
      <c r="T703" s="580"/>
      <c r="U703" s="580"/>
      <c r="V703" s="580"/>
      <c r="W703" s="580"/>
      <c r="X703" s="580"/>
      <c r="Y703" s="580"/>
      <c r="Z703" s="580"/>
      <c r="AA703" s="580"/>
      <c r="AB703" s="580"/>
    </row>
    <row r="704" ht="15.75" customHeight="1">
      <c r="A704" s="570"/>
      <c r="B704" s="570"/>
      <c r="C704" s="580"/>
      <c r="D704" s="580"/>
      <c r="E704" s="580"/>
      <c r="F704" s="580"/>
      <c r="G704" s="580"/>
      <c r="H704" s="580"/>
      <c r="I704" s="580"/>
      <c r="J704" s="580"/>
      <c r="K704" s="580"/>
      <c r="L704" s="580"/>
      <c r="M704" s="580"/>
      <c r="N704" s="580"/>
      <c r="O704" s="580"/>
      <c r="P704" s="580"/>
      <c r="Q704" s="580"/>
      <c r="R704" s="580"/>
      <c r="S704" s="580"/>
      <c r="T704" s="580"/>
      <c r="U704" s="580"/>
      <c r="V704" s="580"/>
      <c r="W704" s="580"/>
      <c r="X704" s="580"/>
      <c r="Y704" s="580"/>
      <c r="Z704" s="580"/>
      <c r="AA704" s="580"/>
      <c r="AB704" s="580"/>
    </row>
    <row r="705" ht="15.75" customHeight="1">
      <c r="A705" s="570"/>
      <c r="B705" s="570"/>
      <c r="C705" s="580"/>
      <c r="D705" s="580"/>
      <c r="E705" s="580"/>
      <c r="F705" s="580"/>
      <c r="G705" s="580"/>
      <c r="H705" s="580"/>
      <c r="I705" s="580"/>
      <c r="J705" s="580"/>
      <c r="K705" s="580"/>
      <c r="L705" s="580"/>
      <c r="M705" s="580"/>
      <c r="N705" s="580"/>
      <c r="O705" s="580"/>
      <c r="P705" s="580"/>
      <c r="Q705" s="580"/>
      <c r="R705" s="580"/>
      <c r="S705" s="580"/>
      <c r="T705" s="580"/>
      <c r="U705" s="580"/>
      <c r="V705" s="580"/>
      <c r="W705" s="580"/>
      <c r="X705" s="580"/>
      <c r="Y705" s="580"/>
      <c r="Z705" s="580"/>
      <c r="AA705" s="580"/>
      <c r="AB705" s="580"/>
    </row>
    <row r="706" ht="15.75" customHeight="1">
      <c r="A706" s="570"/>
      <c r="B706" s="570"/>
      <c r="C706" s="580"/>
      <c r="D706" s="580"/>
      <c r="E706" s="580"/>
      <c r="F706" s="580"/>
      <c r="G706" s="580"/>
      <c r="H706" s="580"/>
      <c r="I706" s="580"/>
      <c r="J706" s="580"/>
      <c r="K706" s="580"/>
      <c r="L706" s="580"/>
      <c r="M706" s="580"/>
      <c r="N706" s="580"/>
      <c r="O706" s="580"/>
      <c r="P706" s="580"/>
      <c r="Q706" s="580"/>
      <c r="R706" s="580"/>
      <c r="S706" s="580"/>
      <c r="T706" s="580"/>
      <c r="U706" s="580"/>
      <c r="V706" s="580"/>
      <c r="W706" s="580"/>
      <c r="X706" s="580"/>
      <c r="Y706" s="580"/>
      <c r="Z706" s="580"/>
      <c r="AA706" s="580"/>
      <c r="AB706" s="580"/>
    </row>
    <row r="707" ht="15.75" customHeight="1">
      <c r="A707" s="570"/>
      <c r="B707" s="570"/>
      <c r="C707" s="580"/>
      <c r="D707" s="580"/>
      <c r="E707" s="580"/>
      <c r="F707" s="580"/>
      <c r="G707" s="580"/>
      <c r="H707" s="580"/>
      <c r="I707" s="580"/>
      <c r="J707" s="580"/>
      <c r="K707" s="580"/>
      <c r="L707" s="580"/>
      <c r="M707" s="580"/>
      <c r="N707" s="580"/>
      <c r="O707" s="580"/>
      <c r="P707" s="580"/>
      <c r="Q707" s="580"/>
      <c r="R707" s="580"/>
      <c r="S707" s="580"/>
      <c r="T707" s="580"/>
      <c r="U707" s="580"/>
      <c r="V707" s="580"/>
      <c r="W707" s="580"/>
      <c r="X707" s="580"/>
      <c r="Y707" s="580"/>
      <c r="Z707" s="580"/>
      <c r="AA707" s="580"/>
      <c r="AB707" s="580"/>
    </row>
    <row r="708" ht="15.75" customHeight="1">
      <c r="A708" s="570"/>
      <c r="B708" s="570"/>
      <c r="C708" s="580"/>
      <c r="D708" s="580"/>
      <c r="E708" s="580"/>
      <c r="F708" s="580"/>
      <c r="G708" s="580"/>
      <c r="H708" s="580"/>
      <c r="I708" s="580"/>
      <c r="J708" s="580"/>
      <c r="K708" s="580"/>
      <c r="L708" s="580"/>
      <c r="M708" s="580"/>
      <c r="N708" s="580"/>
      <c r="O708" s="580"/>
      <c r="P708" s="580"/>
      <c r="Q708" s="580"/>
      <c r="R708" s="580"/>
      <c r="S708" s="580"/>
      <c r="T708" s="580"/>
      <c r="U708" s="580"/>
      <c r="V708" s="580"/>
      <c r="W708" s="580"/>
      <c r="X708" s="580"/>
      <c r="Y708" s="580"/>
      <c r="Z708" s="580"/>
      <c r="AA708" s="580"/>
      <c r="AB708" s="580"/>
    </row>
    <row r="709" ht="15.75" customHeight="1">
      <c r="A709" s="570"/>
      <c r="B709" s="570"/>
      <c r="C709" s="580"/>
      <c r="D709" s="580"/>
      <c r="E709" s="580"/>
      <c r="F709" s="580"/>
      <c r="G709" s="580"/>
      <c r="H709" s="580"/>
      <c r="I709" s="580"/>
      <c r="J709" s="580"/>
      <c r="K709" s="580"/>
      <c r="L709" s="580"/>
      <c r="M709" s="580"/>
      <c r="N709" s="580"/>
      <c r="O709" s="580"/>
      <c r="P709" s="580"/>
      <c r="Q709" s="580"/>
      <c r="R709" s="580"/>
      <c r="S709" s="580"/>
      <c r="T709" s="580"/>
      <c r="U709" s="580"/>
      <c r="V709" s="580"/>
      <c r="W709" s="580"/>
      <c r="X709" s="580"/>
      <c r="Y709" s="580"/>
      <c r="Z709" s="580"/>
      <c r="AA709" s="580"/>
      <c r="AB709" s="580"/>
    </row>
    <row r="710" ht="15.75" customHeight="1">
      <c r="A710" s="570"/>
      <c r="B710" s="570"/>
      <c r="C710" s="580"/>
      <c r="D710" s="580"/>
      <c r="E710" s="580"/>
      <c r="F710" s="580"/>
      <c r="G710" s="580"/>
      <c r="H710" s="580"/>
      <c r="I710" s="580"/>
      <c r="J710" s="580"/>
      <c r="K710" s="580"/>
      <c r="L710" s="580"/>
      <c r="M710" s="580"/>
      <c r="N710" s="580"/>
      <c r="O710" s="580"/>
      <c r="P710" s="580"/>
      <c r="Q710" s="580"/>
      <c r="R710" s="580"/>
      <c r="S710" s="580"/>
      <c r="T710" s="580"/>
      <c r="U710" s="580"/>
      <c r="V710" s="580"/>
      <c r="W710" s="580"/>
      <c r="X710" s="580"/>
      <c r="Y710" s="580"/>
      <c r="Z710" s="580"/>
      <c r="AA710" s="580"/>
      <c r="AB710" s="580"/>
    </row>
    <row r="711" ht="15.75" customHeight="1">
      <c r="A711" s="570"/>
      <c r="B711" s="570"/>
      <c r="C711" s="580"/>
      <c r="D711" s="580"/>
      <c r="E711" s="580"/>
      <c r="F711" s="580"/>
      <c r="G711" s="580"/>
      <c r="H711" s="580"/>
      <c r="I711" s="580"/>
      <c r="J711" s="580"/>
      <c r="K711" s="580"/>
      <c r="L711" s="580"/>
      <c r="M711" s="580"/>
      <c r="N711" s="580"/>
      <c r="O711" s="580"/>
      <c r="P711" s="580"/>
      <c r="Q711" s="580"/>
      <c r="R711" s="580"/>
      <c r="S711" s="580"/>
      <c r="T711" s="580"/>
      <c r="U711" s="580"/>
      <c r="V711" s="580"/>
      <c r="W711" s="580"/>
      <c r="X711" s="580"/>
      <c r="Y711" s="580"/>
      <c r="Z711" s="580"/>
      <c r="AA711" s="580"/>
      <c r="AB711" s="580"/>
    </row>
    <row r="712" ht="15.75" customHeight="1">
      <c r="A712" s="570"/>
      <c r="B712" s="570"/>
      <c r="C712" s="580"/>
      <c r="D712" s="580"/>
      <c r="E712" s="580"/>
      <c r="F712" s="580"/>
      <c r="G712" s="580"/>
      <c r="H712" s="580"/>
      <c r="I712" s="580"/>
      <c r="J712" s="580"/>
      <c r="K712" s="580"/>
      <c r="L712" s="580"/>
      <c r="M712" s="580"/>
      <c r="N712" s="580"/>
      <c r="O712" s="580"/>
      <c r="P712" s="580"/>
      <c r="Q712" s="580"/>
      <c r="R712" s="580"/>
      <c r="S712" s="580"/>
      <c r="T712" s="580"/>
      <c r="U712" s="580"/>
      <c r="V712" s="580"/>
      <c r="W712" s="580"/>
      <c r="X712" s="580"/>
      <c r="Y712" s="580"/>
      <c r="Z712" s="580"/>
      <c r="AA712" s="580"/>
      <c r="AB712" s="580"/>
    </row>
    <row r="713" ht="15.75" customHeight="1">
      <c r="A713" s="570"/>
      <c r="B713" s="570"/>
      <c r="C713" s="580"/>
      <c r="D713" s="580"/>
      <c r="E713" s="580"/>
      <c r="F713" s="580"/>
      <c r="G713" s="580"/>
      <c r="H713" s="580"/>
      <c r="I713" s="580"/>
      <c r="J713" s="580"/>
      <c r="K713" s="580"/>
      <c r="L713" s="580"/>
      <c r="M713" s="580"/>
      <c r="N713" s="580"/>
      <c r="O713" s="580"/>
      <c r="P713" s="580"/>
      <c r="Q713" s="580"/>
      <c r="R713" s="580"/>
      <c r="S713" s="580"/>
      <c r="T713" s="580"/>
      <c r="U713" s="580"/>
      <c r="V713" s="580"/>
      <c r="W713" s="580"/>
      <c r="X713" s="580"/>
      <c r="Y713" s="580"/>
      <c r="Z713" s="580"/>
      <c r="AA713" s="580"/>
      <c r="AB713" s="580"/>
    </row>
    <row r="714" ht="15.75" customHeight="1">
      <c r="A714" s="570"/>
      <c r="B714" s="570"/>
      <c r="C714" s="580"/>
      <c r="D714" s="580"/>
      <c r="E714" s="580"/>
      <c r="F714" s="580"/>
      <c r="G714" s="580"/>
      <c r="H714" s="580"/>
      <c r="I714" s="580"/>
      <c r="J714" s="580"/>
      <c r="K714" s="580"/>
      <c r="L714" s="580"/>
      <c r="M714" s="580"/>
      <c r="N714" s="580"/>
      <c r="O714" s="580"/>
      <c r="P714" s="580"/>
      <c r="Q714" s="580"/>
      <c r="R714" s="580"/>
      <c r="S714" s="580"/>
      <c r="T714" s="580"/>
      <c r="U714" s="580"/>
      <c r="V714" s="580"/>
      <c r="W714" s="580"/>
      <c r="X714" s="580"/>
      <c r="Y714" s="580"/>
      <c r="Z714" s="580"/>
      <c r="AA714" s="580"/>
      <c r="AB714" s="580"/>
    </row>
    <row r="715" ht="15.75" customHeight="1">
      <c r="A715" s="570"/>
      <c r="B715" s="570"/>
      <c r="C715" s="580"/>
      <c r="D715" s="580"/>
      <c r="E715" s="580"/>
      <c r="F715" s="580"/>
      <c r="G715" s="580"/>
      <c r="H715" s="580"/>
      <c r="I715" s="580"/>
      <c r="J715" s="580"/>
      <c r="K715" s="580"/>
      <c r="L715" s="580"/>
      <c r="M715" s="580"/>
      <c r="N715" s="580"/>
      <c r="O715" s="580"/>
      <c r="P715" s="580"/>
      <c r="Q715" s="580"/>
      <c r="R715" s="580"/>
      <c r="S715" s="580"/>
      <c r="T715" s="580"/>
      <c r="U715" s="580"/>
      <c r="V715" s="580"/>
      <c r="W715" s="580"/>
      <c r="X715" s="580"/>
      <c r="Y715" s="580"/>
      <c r="Z715" s="580"/>
      <c r="AA715" s="580"/>
      <c r="AB715" s="580"/>
    </row>
    <row r="716" ht="15.75" customHeight="1">
      <c r="A716" s="570"/>
      <c r="B716" s="570"/>
      <c r="C716" s="580"/>
      <c r="D716" s="580"/>
      <c r="E716" s="580"/>
      <c r="F716" s="580"/>
      <c r="G716" s="580"/>
      <c r="H716" s="580"/>
      <c r="I716" s="580"/>
      <c r="J716" s="580"/>
      <c r="K716" s="580"/>
      <c r="L716" s="580"/>
      <c r="M716" s="580"/>
      <c r="N716" s="580"/>
      <c r="O716" s="580"/>
      <c r="P716" s="580"/>
      <c r="Q716" s="580"/>
      <c r="R716" s="580"/>
      <c r="S716" s="580"/>
      <c r="T716" s="580"/>
      <c r="U716" s="580"/>
      <c r="V716" s="580"/>
      <c r="W716" s="580"/>
      <c r="X716" s="580"/>
      <c r="Y716" s="580"/>
      <c r="Z716" s="580"/>
      <c r="AA716" s="580"/>
      <c r="AB716" s="580"/>
    </row>
    <row r="717" ht="15.75" customHeight="1">
      <c r="A717" s="570"/>
      <c r="B717" s="570"/>
      <c r="C717" s="580"/>
      <c r="D717" s="580"/>
      <c r="E717" s="580"/>
      <c r="F717" s="580"/>
      <c r="G717" s="580"/>
      <c r="H717" s="580"/>
      <c r="I717" s="580"/>
      <c r="J717" s="580"/>
      <c r="K717" s="580"/>
      <c r="L717" s="580"/>
      <c r="M717" s="580"/>
      <c r="N717" s="580"/>
      <c r="O717" s="580"/>
      <c r="P717" s="580"/>
      <c r="Q717" s="580"/>
      <c r="R717" s="580"/>
      <c r="S717" s="580"/>
      <c r="T717" s="580"/>
      <c r="U717" s="580"/>
      <c r="V717" s="580"/>
      <c r="W717" s="580"/>
      <c r="X717" s="580"/>
      <c r="Y717" s="580"/>
      <c r="Z717" s="580"/>
      <c r="AA717" s="580"/>
      <c r="AB717" s="580"/>
    </row>
    <row r="718" ht="15.75" customHeight="1">
      <c r="A718" s="570"/>
      <c r="B718" s="570"/>
      <c r="C718" s="580"/>
      <c r="D718" s="580"/>
      <c r="E718" s="580"/>
      <c r="F718" s="580"/>
      <c r="G718" s="580"/>
      <c r="H718" s="580"/>
      <c r="I718" s="580"/>
      <c r="J718" s="580"/>
      <c r="K718" s="580"/>
      <c r="L718" s="580"/>
      <c r="M718" s="580"/>
      <c r="N718" s="580"/>
      <c r="O718" s="580"/>
      <c r="P718" s="580"/>
      <c r="Q718" s="580"/>
      <c r="R718" s="580"/>
      <c r="S718" s="580"/>
      <c r="T718" s="580"/>
      <c r="U718" s="580"/>
      <c r="V718" s="580"/>
      <c r="W718" s="580"/>
      <c r="X718" s="580"/>
      <c r="Y718" s="580"/>
      <c r="Z718" s="580"/>
      <c r="AA718" s="580"/>
      <c r="AB718" s="580"/>
    </row>
    <row r="719" ht="15.75" customHeight="1">
      <c r="A719" s="570"/>
      <c r="B719" s="570"/>
      <c r="C719" s="580"/>
      <c r="D719" s="580"/>
      <c r="E719" s="580"/>
      <c r="F719" s="580"/>
      <c r="G719" s="580"/>
      <c r="H719" s="580"/>
      <c r="I719" s="580"/>
      <c r="J719" s="580"/>
      <c r="K719" s="580"/>
      <c r="L719" s="580"/>
      <c r="M719" s="580"/>
      <c r="N719" s="580"/>
      <c r="O719" s="580"/>
      <c r="P719" s="580"/>
      <c r="Q719" s="580"/>
      <c r="R719" s="580"/>
      <c r="S719" s="580"/>
      <c r="T719" s="580"/>
      <c r="U719" s="580"/>
      <c r="V719" s="580"/>
      <c r="W719" s="580"/>
      <c r="X719" s="580"/>
      <c r="Y719" s="580"/>
      <c r="Z719" s="580"/>
      <c r="AA719" s="580"/>
      <c r="AB719" s="580"/>
    </row>
    <row r="720" ht="15.75" customHeight="1">
      <c r="A720" s="570"/>
      <c r="B720" s="570"/>
      <c r="C720" s="580"/>
      <c r="D720" s="580"/>
      <c r="E720" s="580"/>
      <c r="F720" s="580"/>
      <c r="G720" s="580"/>
      <c r="H720" s="580"/>
      <c r="I720" s="580"/>
      <c r="J720" s="580"/>
      <c r="K720" s="580"/>
      <c r="L720" s="580"/>
      <c r="M720" s="580"/>
      <c r="N720" s="580"/>
      <c r="O720" s="580"/>
      <c r="P720" s="580"/>
      <c r="Q720" s="580"/>
      <c r="R720" s="580"/>
      <c r="S720" s="580"/>
      <c r="T720" s="580"/>
      <c r="U720" s="580"/>
      <c r="V720" s="580"/>
      <c r="W720" s="580"/>
      <c r="X720" s="580"/>
      <c r="Y720" s="580"/>
      <c r="Z720" s="580"/>
      <c r="AA720" s="580"/>
      <c r="AB720" s="580"/>
    </row>
    <row r="721" ht="15.75" customHeight="1">
      <c r="A721" s="570"/>
      <c r="B721" s="570"/>
      <c r="C721" s="580"/>
      <c r="D721" s="580"/>
      <c r="E721" s="580"/>
      <c r="F721" s="580"/>
      <c r="G721" s="580"/>
      <c r="H721" s="580"/>
      <c r="I721" s="580"/>
      <c r="J721" s="580"/>
      <c r="K721" s="580"/>
      <c r="L721" s="580"/>
      <c r="M721" s="580"/>
      <c r="N721" s="580"/>
      <c r="O721" s="580"/>
      <c r="P721" s="580"/>
      <c r="Q721" s="580"/>
      <c r="R721" s="580"/>
      <c r="S721" s="580"/>
      <c r="T721" s="580"/>
      <c r="U721" s="580"/>
      <c r="V721" s="580"/>
      <c r="W721" s="580"/>
      <c r="X721" s="580"/>
      <c r="Y721" s="580"/>
      <c r="Z721" s="580"/>
      <c r="AA721" s="580"/>
      <c r="AB721" s="580"/>
    </row>
    <row r="722" ht="15.75" customHeight="1">
      <c r="A722" s="570"/>
      <c r="B722" s="570"/>
      <c r="C722" s="580"/>
      <c r="D722" s="580"/>
      <c r="E722" s="580"/>
      <c r="F722" s="580"/>
      <c r="G722" s="580"/>
      <c r="H722" s="580"/>
      <c r="I722" s="580"/>
      <c r="J722" s="580"/>
      <c r="K722" s="580"/>
      <c r="L722" s="580"/>
      <c r="M722" s="580"/>
      <c r="N722" s="580"/>
      <c r="O722" s="580"/>
      <c r="P722" s="580"/>
      <c r="Q722" s="580"/>
      <c r="R722" s="580"/>
      <c r="S722" s="580"/>
      <c r="T722" s="580"/>
      <c r="U722" s="580"/>
      <c r="V722" s="580"/>
      <c r="W722" s="580"/>
      <c r="X722" s="580"/>
      <c r="Y722" s="580"/>
      <c r="Z722" s="580"/>
      <c r="AA722" s="580"/>
      <c r="AB722" s="580"/>
    </row>
    <row r="723" ht="15.75" customHeight="1">
      <c r="A723" s="570"/>
      <c r="B723" s="570"/>
      <c r="C723" s="580"/>
      <c r="D723" s="580"/>
      <c r="E723" s="580"/>
      <c r="F723" s="580"/>
      <c r="G723" s="580"/>
      <c r="H723" s="580"/>
      <c r="I723" s="580"/>
      <c r="J723" s="580"/>
      <c r="K723" s="580"/>
      <c r="L723" s="580"/>
      <c r="M723" s="580"/>
      <c r="N723" s="580"/>
      <c r="O723" s="580"/>
      <c r="P723" s="580"/>
      <c r="Q723" s="580"/>
      <c r="R723" s="580"/>
      <c r="S723" s="580"/>
      <c r="T723" s="580"/>
      <c r="U723" s="580"/>
      <c r="V723" s="580"/>
      <c r="W723" s="580"/>
      <c r="X723" s="580"/>
      <c r="Y723" s="580"/>
      <c r="Z723" s="580"/>
      <c r="AA723" s="580"/>
      <c r="AB723" s="580"/>
    </row>
    <row r="724" ht="15.75" customHeight="1">
      <c r="A724" s="570"/>
      <c r="B724" s="570"/>
      <c r="C724" s="580"/>
      <c r="D724" s="580"/>
      <c r="E724" s="580"/>
      <c r="F724" s="580"/>
      <c r="G724" s="580"/>
      <c r="H724" s="580"/>
      <c r="I724" s="580"/>
      <c r="J724" s="580"/>
      <c r="K724" s="580"/>
      <c r="L724" s="580"/>
      <c r="M724" s="580"/>
      <c r="N724" s="580"/>
      <c r="O724" s="580"/>
      <c r="P724" s="580"/>
      <c r="Q724" s="580"/>
      <c r="R724" s="580"/>
      <c r="S724" s="580"/>
      <c r="T724" s="580"/>
      <c r="U724" s="580"/>
      <c r="V724" s="580"/>
      <c r="W724" s="580"/>
      <c r="X724" s="580"/>
      <c r="Y724" s="580"/>
      <c r="Z724" s="580"/>
      <c r="AA724" s="580"/>
      <c r="AB724" s="580"/>
    </row>
    <row r="725" ht="15.75" customHeight="1">
      <c r="A725" s="570"/>
      <c r="B725" s="570"/>
      <c r="C725" s="580"/>
      <c r="D725" s="580"/>
      <c r="E725" s="580"/>
      <c r="F725" s="580"/>
      <c r="G725" s="580"/>
      <c r="H725" s="580"/>
      <c r="I725" s="580"/>
      <c r="J725" s="580"/>
      <c r="K725" s="580"/>
      <c r="L725" s="580"/>
      <c r="M725" s="580"/>
      <c r="N725" s="580"/>
      <c r="O725" s="580"/>
      <c r="P725" s="580"/>
      <c r="Q725" s="580"/>
      <c r="R725" s="580"/>
      <c r="S725" s="580"/>
      <c r="T725" s="580"/>
      <c r="U725" s="580"/>
      <c r="V725" s="580"/>
      <c r="W725" s="580"/>
      <c r="X725" s="580"/>
      <c r="Y725" s="580"/>
      <c r="Z725" s="580"/>
      <c r="AA725" s="580"/>
      <c r="AB725" s="580"/>
    </row>
    <row r="726" ht="15.75" customHeight="1">
      <c r="A726" s="570"/>
      <c r="B726" s="570"/>
      <c r="C726" s="580"/>
      <c r="D726" s="580"/>
      <c r="E726" s="580"/>
      <c r="F726" s="580"/>
      <c r="G726" s="580"/>
      <c r="H726" s="580"/>
      <c r="I726" s="580"/>
      <c r="J726" s="580"/>
      <c r="K726" s="580"/>
      <c r="L726" s="580"/>
      <c r="M726" s="580"/>
      <c r="N726" s="580"/>
      <c r="O726" s="580"/>
      <c r="P726" s="580"/>
      <c r="Q726" s="580"/>
      <c r="R726" s="580"/>
      <c r="S726" s="580"/>
      <c r="T726" s="580"/>
      <c r="U726" s="580"/>
      <c r="V726" s="580"/>
      <c r="W726" s="580"/>
      <c r="X726" s="580"/>
      <c r="Y726" s="580"/>
      <c r="Z726" s="580"/>
      <c r="AA726" s="580"/>
      <c r="AB726" s="580"/>
    </row>
    <row r="727" ht="15.75" customHeight="1">
      <c r="A727" s="570"/>
      <c r="B727" s="570"/>
      <c r="C727" s="580"/>
      <c r="D727" s="580"/>
      <c r="E727" s="580"/>
      <c r="F727" s="580"/>
      <c r="G727" s="580"/>
      <c r="H727" s="580"/>
      <c r="I727" s="580"/>
      <c r="J727" s="580"/>
      <c r="K727" s="580"/>
      <c r="L727" s="580"/>
      <c r="M727" s="580"/>
      <c r="N727" s="580"/>
      <c r="O727" s="580"/>
      <c r="P727" s="580"/>
      <c r="Q727" s="580"/>
      <c r="R727" s="580"/>
      <c r="S727" s="580"/>
      <c r="T727" s="580"/>
      <c r="U727" s="580"/>
      <c r="V727" s="580"/>
      <c r="W727" s="580"/>
      <c r="X727" s="580"/>
      <c r="Y727" s="580"/>
      <c r="Z727" s="580"/>
      <c r="AA727" s="580"/>
      <c r="AB727" s="580"/>
    </row>
    <row r="728" ht="15.75" customHeight="1">
      <c r="A728" s="570"/>
      <c r="B728" s="570"/>
      <c r="C728" s="580"/>
      <c r="D728" s="580"/>
      <c r="E728" s="580"/>
      <c r="F728" s="580"/>
      <c r="G728" s="580"/>
      <c r="H728" s="580"/>
      <c r="I728" s="580"/>
      <c r="J728" s="580"/>
      <c r="K728" s="580"/>
      <c r="L728" s="580"/>
      <c r="M728" s="580"/>
      <c r="N728" s="580"/>
      <c r="O728" s="580"/>
      <c r="P728" s="580"/>
      <c r="Q728" s="580"/>
      <c r="R728" s="580"/>
      <c r="S728" s="580"/>
      <c r="T728" s="580"/>
      <c r="U728" s="580"/>
      <c r="V728" s="580"/>
      <c r="W728" s="580"/>
      <c r="X728" s="580"/>
      <c r="Y728" s="580"/>
      <c r="Z728" s="580"/>
      <c r="AA728" s="580"/>
      <c r="AB728" s="580"/>
    </row>
    <row r="729" ht="15.75" customHeight="1">
      <c r="A729" s="570"/>
      <c r="B729" s="570"/>
      <c r="C729" s="580"/>
      <c r="D729" s="580"/>
      <c r="E729" s="580"/>
      <c r="F729" s="580"/>
      <c r="G729" s="580"/>
      <c r="H729" s="580"/>
      <c r="I729" s="580"/>
      <c r="J729" s="580"/>
      <c r="K729" s="580"/>
      <c r="L729" s="580"/>
      <c r="M729" s="580"/>
      <c r="N729" s="580"/>
      <c r="O729" s="580"/>
      <c r="P729" s="580"/>
      <c r="Q729" s="580"/>
      <c r="R729" s="580"/>
      <c r="S729" s="580"/>
      <c r="T729" s="580"/>
      <c r="U729" s="580"/>
      <c r="V729" s="580"/>
      <c r="W729" s="580"/>
      <c r="X729" s="580"/>
      <c r="Y729" s="580"/>
      <c r="Z729" s="580"/>
      <c r="AA729" s="580"/>
      <c r="AB729" s="580"/>
    </row>
    <row r="730" ht="15.75" customHeight="1">
      <c r="A730" s="570"/>
      <c r="B730" s="570"/>
      <c r="C730" s="580"/>
      <c r="D730" s="580"/>
      <c r="E730" s="580"/>
      <c r="F730" s="580"/>
      <c r="G730" s="580"/>
      <c r="H730" s="580"/>
      <c r="I730" s="580"/>
      <c r="J730" s="580"/>
      <c r="K730" s="580"/>
      <c r="L730" s="580"/>
      <c r="M730" s="580"/>
      <c r="N730" s="580"/>
      <c r="O730" s="580"/>
      <c r="P730" s="580"/>
      <c r="Q730" s="580"/>
      <c r="R730" s="580"/>
      <c r="S730" s="580"/>
      <c r="T730" s="580"/>
      <c r="U730" s="580"/>
      <c r="V730" s="580"/>
      <c r="W730" s="580"/>
      <c r="X730" s="580"/>
      <c r="Y730" s="580"/>
      <c r="Z730" s="580"/>
      <c r="AA730" s="580"/>
      <c r="AB730" s="580"/>
    </row>
    <row r="731" ht="15.75" customHeight="1">
      <c r="A731" s="570"/>
      <c r="B731" s="570"/>
      <c r="C731" s="580"/>
      <c r="D731" s="580"/>
      <c r="E731" s="580"/>
      <c r="F731" s="580"/>
      <c r="G731" s="580"/>
      <c r="H731" s="580"/>
      <c r="I731" s="580"/>
      <c r="J731" s="580"/>
      <c r="K731" s="580"/>
      <c r="L731" s="580"/>
      <c r="M731" s="580"/>
      <c r="N731" s="580"/>
      <c r="O731" s="580"/>
      <c r="P731" s="580"/>
      <c r="Q731" s="580"/>
      <c r="R731" s="580"/>
      <c r="S731" s="580"/>
      <c r="T731" s="580"/>
      <c r="U731" s="580"/>
      <c r="V731" s="580"/>
      <c r="W731" s="580"/>
      <c r="X731" s="580"/>
      <c r="Y731" s="580"/>
      <c r="Z731" s="580"/>
      <c r="AA731" s="580"/>
      <c r="AB731" s="580"/>
    </row>
    <row r="732" ht="15.75" customHeight="1">
      <c r="A732" s="570"/>
      <c r="B732" s="570"/>
      <c r="C732" s="580"/>
      <c r="D732" s="580"/>
      <c r="E732" s="580"/>
      <c r="F732" s="580"/>
      <c r="G732" s="580"/>
      <c r="H732" s="580"/>
      <c r="I732" s="580"/>
      <c r="J732" s="580"/>
      <c r="K732" s="580"/>
      <c r="L732" s="580"/>
      <c r="M732" s="580"/>
      <c r="N732" s="580"/>
      <c r="O732" s="580"/>
      <c r="P732" s="580"/>
      <c r="Q732" s="580"/>
      <c r="R732" s="580"/>
      <c r="S732" s="580"/>
      <c r="T732" s="580"/>
      <c r="U732" s="580"/>
      <c r="V732" s="580"/>
      <c r="W732" s="580"/>
      <c r="X732" s="580"/>
      <c r="Y732" s="580"/>
      <c r="Z732" s="580"/>
      <c r="AA732" s="580"/>
      <c r="AB732" s="580"/>
    </row>
    <row r="733" ht="15.75" customHeight="1">
      <c r="A733" s="570"/>
      <c r="B733" s="570"/>
      <c r="C733" s="580"/>
      <c r="D733" s="580"/>
      <c r="E733" s="580"/>
      <c r="F733" s="580"/>
      <c r="G733" s="580"/>
      <c r="H733" s="580"/>
      <c r="I733" s="580"/>
      <c r="J733" s="580"/>
      <c r="K733" s="580"/>
      <c r="L733" s="580"/>
      <c r="M733" s="580"/>
      <c r="N733" s="580"/>
      <c r="O733" s="580"/>
      <c r="P733" s="580"/>
      <c r="Q733" s="580"/>
      <c r="R733" s="580"/>
      <c r="S733" s="580"/>
      <c r="T733" s="580"/>
      <c r="U733" s="580"/>
      <c r="V733" s="580"/>
      <c r="W733" s="580"/>
      <c r="X733" s="580"/>
      <c r="Y733" s="580"/>
      <c r="Z733" s="580"/>
      <c r="AA733" s="580"/>
      <c r="AB733" s="580"/>
    </row>
    <row r="734" ht="15.75" customHeight="1">
      <c r="A734" s="570"/>
      <c r="B734" s="570"/>
      <c r="C734" s="580"/>
      <c r="D734" s="580"/>
      <c r="E734" s="580"/>
      <c r="F734" s="580"/>
      <c r="G734" s="580"/>
      <c r="H734" s="580"/>
      <c r="I734" s="580"/>
      <c r="J734" s="580"/>
      <c r="K734" s="580"/>
      <c r="L734" s="580"/>
      <c r="M734" s="580"/>
      <c r="N734" s="580"/>
      <c r="O734" s="580"/>
      <c r="P734" s="580"/>
      <c r="Q734" s="580"/>
      <c r="R734" s="580"/>
      <c r="S734" s="580"/>
      <c r="T734" s="580"/>
      <c r="U734" s="580"/>
      <c r="V734" s="580"/>
      <c r="W734" s="580"/>
      <c r="X734" s="580"/>
      <c r="Y734" s="580"/>
      <c r="Z734" s="580"/>
      <c r="AA734" s="580"/>
      <c r="AB734" s="580"/>
    </row>
    <row r="735" ht="15.75" customHeight="1">
      <c r="A735" s="570"/>
      <c r="B735" s="570"/>
      <c r="C735" s="580"/>
      <c r="D735" s="580"/>
      <c r="E735" s="580"/>
      <c r="F735" s="580"/>
      <c r="G735" s="580"/>
      <c r="H735" s="580"/>
      <c r="I735" s="580"/>
      <c r="J735" s="580"/>
      <c r="K735" s="580"/>
      <c r="L735" s="580"/>
      <c r="M735" s="580"/>
      <c r="N735" s="580"/>
      <c r="O735" s="580"/>
      <c r="P735" s="580"/>
      <c r="Q735" s="580"/>
      <c r="R735" s="580"/>
      <c r="S735" s="580"/>
      <c r="T735" s="580"/>
      <c r="U735" s="580"/>
      <c r="V735" s="580"/>
      <c r="W735" s="580"/>
      <c r="X735" s="580"/>
      <c r="Y735" s="580"/>
      <c r="Z735" s="580"/>
      <c r="AA735" s="580"/>
      <c r="AB735" s="580"/>
    </row>
    <row r="736" ht="15.75" customHeight="1">
      <c r="A736" s="570"/>
      <c r="B736" s="570"/>
      <c r="C736" s="580"/>
      <c r="D736" s="580"/>
      <c r="E736" s="580"/>
      <c r="F736" s="580"/>
      <c r="G736" s="580"/>
      <c r="H736" s="580"/>
      <c r="I736" s="580"/>
      <c r="J736" s="580"/>
      <c r="K736" s="580"/>
      <c r="L736" s="580"/>
      <c r="M736" s="580"/>
      <c r="N736" s="580"/>
      <c r="O736" s="580"/>
      <c r="P736" s="580"/>
      <c r="Q736" s="580"/>
      <c r="R736" s="580"/>
      <c r="S736" s="580"/>
      <c r="T736" s="580"/>
      <c r="U736" s="580"/>
      <c r="V736" s="580"/>
      <c r="W736" s="580"/>
      <c r="X736" s="580"/>
      <c r="Y736" s="580"/>
      <c r="Z736" s="580"/>
      <c r="AA736" s="580"/>
      <c r="AB736" s="580"/>
    </row>
    <row r="737" ht="15.75" customHeight="1">
      <c r="A737" s="570"/>
      <c r="B737" s="570"/>
      <c r="C737" s="580"/>
      <c r="D737" s="580"/>
      <c r="E737" s="580"/>
      <c r="F737" s="580"/>
      <c r="G737" s="580"/>
      <c r="H737" s="580"/>
      <c r="I737" s="580"/>
      <c r="J737" s="580"/>
      <c r="K737" s="580"/>
      <c r="L737" s="580"/>
      <c r="M737" s="580"/>
      <c r="N737" s="580"/>
      <c r="O737" s="580"/>
      <c r="P737" s="580"/>
      <c r="Q737" s="580"/>
      <c r="R737" s="580"/>
      <c r="S737" s="580"/>
      <c r="T737" s="580"/>
      <c r="U737" s="580"/>
      <c r="V737" s="580"/>
      <c r="W737" s="580"/>
      <c r="X737" s="580"/>
      <c r="Y737" s="580"/>
      <c r="Z737" s="580"/>
      <c r="AA737" s="580"/>
      <c r="AB737" s="580"/>
    </row>
    <row r="738" ht="15.75" customHeight="1">
      <c r="A738" s="570"/>
      <c r="B738" s="570"/>
      <c r="C738" s="580"/>
      <c r="D738" s="580"/>
      <c r="E738" s="580"/>
      <c r="F738" s="580"/>
      <c r="G738" s="580"/>
      <c r="H738" s="580"/>
      <c r="I738" s="580"/>
      <c r="J738" s="580"/>
      <c r="K738" s="580"/>
      <c r="L738" s="580"/>
      <c r="M738" s="580"/>
      <c r="N738" s="580"/>
      <c r="O738" s="580"/>
      <c r="P738" s="580"/>
      <c r="Q738" s="580"/>
      <c r="R738" s="580"/>
      <c r="S738" s="580"/>
      <c r="T738" s="580"/>
      <c r="U738" s="580"/>
      <c r="V738" s="580"/>
      <c r="W738" s="580"/>
      <c r="X738" s="580"/>
      <c r="Y738" s="580"/>
      <c r="Z738" s="580"/>
      <c r="AA738" s="580"/>
      <c r="AB738" s="580"/>
    </row>
    <row r="739" ht="15.75" customHeight="1">
      <c r="A739" s="570"/>
      <c r="B739" s="570"/>
      <c r="C739" s="580"/>
      <c r="D739" s="580"/>
      <c r="E739" s="580"/>
      <c r="F739" s="580"/>
      <c r="G739" s="580"/>
      <c r="H739" s="580"/>
      <c r="I739" s="580"/>
      <c r="J739" s="580"/>
      <c r="K739" s="580"/>
      <c r="L739" s="580"/>
      <c r="M739" s="580"/>
      <c r="N739" s="580"/>
      <c r="O739" s="580"/>
      <c r="P739" s="580"/>
      <c r="Q739" s="580"/>
      <c r="R739" s="580"/>
      <c r="S739" s="580"/>
      <c r="T739" s="580"/>
      <c r="U739" s="580"/>
      <c r="V739" s="580"/>
      <c r="W739" s="580"/>
      <c r="X739" s="580"/>
      <c r="Y739" s="580"/>
      <c r="Z739" s="580"/>
      <c r="AA739" s="580"/>
      <c r="AB739" s="580"/>
    </row>
    <row r="740" ht="15.75" customHeight="1">
      <c r="A740" s="570"/>
      <c r="B740" s="570"/>
      <c r="C740" s="580"/>
      <c r="D740" s="580"/>
      <c r="E740" s="580"/>
      <c r="F740" s="580"/>
      <c r="G740" s="580"/>
      <c r="H740" s="580"/>
      <c r="I740" s="580"/>
      <c r="J740" s="580"/>
      <c r="K740" s="580"/>
      <c r="L740" s="580"/>
      <c r="M740" s="580"/>
      <c r="N740" s="580"/>
      <c r="O740" s="580"/>
      <c r="P740" s="580"/>
      <c r="Q740" s="580"/>
      <c r="R740" s="580"/>
      <c r="S740" s="580"/>
      <c r="T740" s="580"/>
      <c r="U740" s="580"/>
      <c r="V740" s="580"/>
      <c r="W740" s="580"/>
      <c r="X740" s="580"/>
      <c r="Y740" s="580"/>
      <c r="Z740" s="580"/>
      <c r="AA740" s="580"/>
      <c r="AB740" s="580"/>
    </row>
    <row r="741" ht="15.75" customHeight="1">
      <c r="A741" s="570"/>
      <c r="B741" s="570"/>
      <c r="C741" s="580"/>
      <c r="D741" s="580"/>
      <c r="E741" s="580"/>
      <c r="F741" s="580"/>
      <c r="G741" s="580"/>
      <c r="H741" s="580"/>
      <c r="I741" s="580"/>
      <c r="J741" s="580"/>
      <c r="K741" s="580"/>
      <c r="L741" s="580"/>
      <c r="M741" s="580"/>
      <c r="N741" s="580"/>
      <c r="O741" s="580"/>
      <c r="P741" s="580"/>
      <c r="Q741" s="580"/>
      <c r="R741" s="580"/>
      <c r="S741" s="580"/>
      <c r="T741" s="580"/>
      <c r="U741" s="580"/>
      <c r="V741" s="580"/>
      <c r="W741" s="580"/>
      <c r="X741" s="580"/>
      <c r="Y741" s="580"/>
      <c r="Z741" s="580"/>
      <c r="AA741" s="580"/>
      <c r="AB741" s="580"/>
    </row>
    <row r="742" ht="15.75" customHeight="1">
      <c r="A742" s="570"/>
      <c r="B742" s="570"/>
      <c r="C742" s="580"/>
      <c r="D742" s="580"/>
      <c r="E742" s="580"/>
      <c r="F742" s="580"/>
      <c r="G742" s="580"/>
      <c r="H742" s="580"/>
      <c r="I742" s="580"/>
      <c r="J742" s="580"/>
      <c r="K742" s="580"/>
      <c r="L742" s="580"/>
      <c r="M742" s="580"/>
      <c r="N742" s="580"/>
      <c r="O742" s="580"/>
      <c r="P742" s="580"/>
      <c r="Q742" s="580"/>
      <c r="R742" s="580"/>
      <c r="S742" s="580"/>
      <c r="T742" s="580"/>
      <c r="U742" s="580"/>
      <c r="V742" s="580"/>
      <c r="W742" s="580"/>
      <c r="X742" s="580"/>
      <c r="Y742" s="580"/>
      <c r="Z742" s="580"/>
      <c r="AA742" s="580"/>
      <c r="AB742" s="580"/>
    </row>
    <row r="743" ht="15.75" customHeight="1">
      <c r="A743" s="570"/>
      <c r="B743" s="570"/>
      <c r="C743" s="580"/>
      <c r="D743" s="580"/>
      <c r="E743" s="580"/>
      <c r="F743" s="580"/>
      <c r="G743" s="580"/>
      <c r="H743" s="580"/>
      <c r="I743" s="580"/>
      <c r="J743" s="580"/>
      <c r="K743" s="580"/>
      <c r="L743" s="580"/>
      <c r="M743" s="580"/>
      <c r="N743" s="580"/>
      <c r="O743" s="580"/>
      <c r="P743" s="580"/>
      <c r="Q743" s="580"/>
      <c r="R743" s="580"/>
      <c r="S743" s="580"/>
      <c r="T743" s="580"/>
      <c r="U743" s="580"/>
      <c r="V743" s="580"/>
      <c r="W743" s="580"/>
      <c r="X743" s="580"/>
      <c r="Y743" s="580"/>
      <c r="Z743" s="580"/>
      <c r="AA743" s="580"/>
      <c r="AB743" s="580"/>
    </row>
    <row r="744" ht="15.75" customHeight="1">
      <c r="A744" s="570"/>
      <c r="B744" s="570"/>
      <c r="C744" s="580"/>
      <c r="D744" s="580"/>
      <c r="E744" s="580"/>
      <c r="F744" s="580"/>
      <c r="G744" s="580"/>
      <c r="H744" s="580"/>
      <c r="I744" s="580"/>
      <c r="J744" s="580"/>
      <c r="K744" s="580"/>
      <c r="L744" s="580"/>
      <c r="M744" s="580"/>
      <c r="N744" s="580"/>
      <c r="O744" s="580"/>
      <c r="P744" s="580"/>
      <c r="Q744" s="580"/>
      <c r="R744" s="580"/>
      <c r="S744" s="580"/>
      <c r="T744" s="580"/>
      <c r="U744" s="580"/>
      <c r="V744" s="580"/>
      <c r="W744" s="580"/>
      <c r="X744" s="580"/>
      <c r="Y744" s="580"/>
      <c r="Z744" s="580"/>
      <c r="AA744" s="580"/>
      <c r="AB744" s="580"/>
    </row>
    <row r="745" ht="15.75" customHeight="1">
      <c r="A745" s="570"/>
      <c r="B745" s="570"/>
      <c r="C745" s="580"/>
      <c r="D745" s="580"/>
      <c r="E745" s="580"/>
      <c r="F745" s="580"/>
      <c r="G745" s="580"/>
      <c r="H745" s="580"/>
      <c r="I745" s="580"/>
      <c r="J745" s="580"/>
      <c r="K745" s="580"/>
      <c r="L745" s="580"/>
      <c r="M745" s="580"/>
      <c r="N745" s="580"/>
      <c r="O745" s="580"/>
      <c r="P745" s="580"/>
      <c r="Q745" s="580"/>
      <c r="R745" s="580"/>
      <c r="S745" s="580"/>
      <c r="T745" s="580"/>
      <c r="U745" s="580"/>
      <c r="V745" s="580"/>
      <c r="W745" s="580"/>
      <c r="X745" s="580"/>
      <c r="Y745" s="580"/>
      <c r="Z745" s="580"/>
      <c r="AA745" s="580"/>
      <c r="AB745" s="580"/>
    </row>
    <row r="746" ht="15.75" customHeight="1">
      <c r="A746" s="570"/>
      <c r="B746" s="570"/>
      <c r="C746" s="580"/>
      <c r="D746" s="580"/>
      <c r="E746" s="580"/>
      <c r="F746" s="580"/>
      <c r="G746" s="580"/>
      <c r="H746" s="580"/>
      <c r="I746" s="580"/>
      <c r="J746" s="580"/>
      <c r="K746" s="580"/>
      <c r="L746" s="580"/>
      <c r="M746" s="580"/>
      <c r="N746" s="580"/>
      <c r="O746" s="580"/>
      <c r="P746" s="580"/>
      <c r="Q746" s="580"/>
      <c r="R746" s="580"/>
      <c r="S746" s="580"/>
      <c r="T746" s="580"/>
      <c r="U746" s="580"/>
      <c r="V746" s="580"/>
      <c r="W746" s="580"/>
      <c r="X746" s="580"/>
      <c r="Y746" s="580"/>
      <c r="Z746" s="580"/>
      <c r="AA746" s="580"/>
      <c r="AB746" s="580"/>
    </row>
    <row r="747" ht="15.75" customHeight="1">
      <c r="A747" s="570"/>
      <c r="B747" s="570"/>
      <c r="C747" s="580"/>
      <c r="D747" s="580"/>
      <c r="E747" s="580"/>
      <c r="F747" s="580"/>
      <c r="G747" s="580"/>
      <c r="H747" s="580"/>
      <c r="I747" s="580"/>
      <c r="J747" s="580"/>
      <c r="K747" s="580"/>
      <c r="L747" s="580"/>
      <c r="M747" s="580"/>
      <c r="N747" s="580"/>
      <c r="O747" s="580"/>
      <c r="P747" s="580"/>
      <c r="Q747" s="580"/>
      <c r="R747" s="580"/>
      <c r="S747" s="580"/>
      <c r="T747" s="580"/>
      <c r="U747" s="580"/>
      <c r="V747" s="580"/>
      <c r="W747" s="580"/>
      <c r="X747" s="580"/>
      <c r="Y747" s="580"/>
      <c r="Z747" s="580"/>
      <c r="AA747" s="580"/>
      <c r="AB747" s="580"/>
    </row>
    <row r="748" ht="15.75" customHeight="1">
      <c r="A748" s="570"/>
      <c r="B748" s="570"/>
      <c r="C748" s="580"/>
      <c r="D748" s="580"/>
      <c r="E748" s="580"/>
      <c r="F748" s="580"/>
      <c r="G748" s="580"/>
      <c r="H748" s="580"/>
      <c r="I748" s="580"/>
      <c r="J748" s="580"/>
      <c r="K748" s="580"/>
      <c r="L748" s="580"/>
      <c r="M748" s="580"/>
      <c r="N748" s="580"/>
      <c r="O748" s="580"/>
      <c r="P748" s="580"/>
      <c r="Q748" s="580"/>
      <c r="R748" s="580"/>
      <c r="S748" s="580"/>
      <c r="T748" s="580"/>
      <c r="U748" s="580"/>
      <c r="V748" s="580"/>
      <c r="W748" s="580"/>
      <c r="X748" s="580"/>
      <c r="Y748" s="580"/>
      <c r="Z748" s="580"/>
      <c r="AA748" s="580"/>
      <c r="AB748" s="580"/>
    </row>
    <row r="749" ht="15.75" customHeight="1">
      <c r="A749" s="570"/>
      <c r="B749" s="570"/>
      <c r="C749" s="580"/>
      <c r="D749" s="580"/>
      <c r="E749" s="580"/>
      <c r="F749" s="580"/>
      <c r="G749" s="580"/>
      <c r="H749" s="580"/>
      <c r="I749" s="580"/>
      <c r="J749" s="580"/>
      <c r="K749" s="580"/>
      <c r="L749" s="580"/>
      <c r="M749" s="580"/>
      <c r="N749" s="580"/>
      <c r="O749" s="580"/>
      <c r="P749" s="580"/>
      <c r="Q749" s="580"/>
      <c r="R749" s="580"/>
      <c r="S749" s="580"/>
      <c r="T749" s="580"/>
      <c r="U749" s="580"/>
      <c r="V749" s="580"/>
      <c r="W749" s="580"/>
      <c r="X749" s="580"/>
      <c r="Y749" s="580"/>
      <c r="Z749" s="580"/>
      <c r="AA749" s="580"/>
      <c r="AB749" s="580"/>
    </row>
    <row r="750" ht="15.75" customHeight="1">
      <c r="A750" s="570"/>
      <c r="B750" s="570"/>
      <c r="C750" s="580"/>
      <c r="D750" s="580"/>
      <c r="E750" s="580"/>
      <c r="F750" s="580"/>
      <c r="G750" s="580"/>
      <c r="H750" s="580"/>
      <c r="I750" s="580"/>
      <c r="J750" s="580"/>
      <c r="K750" s="580"/>
      <c r="L750" s="580"/>
      <c r="M750" s="580"/>
      <c r="N750" s="580"/>
      <c r="O750" s="580"/>
      <c r="P750" s="580"/>
      <c r="Q750" s="580"/>
      <c r="R750" s="580"/>
      <c r="S750" s="580"/>
      <c r="T750" s="580"/>
      <c r="U750" s="580"/>
      <c r="V750" s="580"/>
      <c r="W750" s="580"/>
      <c r="X750" s="580"/>
      <c r="Y750" s="580"/>
      <c r="Z750" s="580"/>
      <c r="AA750" s="580"/>
      <c r="AB750" s="580"/>
    </row>
    <row r="751" ht="15.75" customHeight="1">
      <c r="A751" s="570"/>
      <c r="B751" s="570"/>
      <c r="C751" s="580"/>
      <c r="D751" s="580"/>
      <c r="E751" s="580"/>
      <c r="F751" s="580"/>
      <c r="G751" s="580"/>
      <c r="H751" s="580"/>
      <c r="I751" s="580"/>
      <c r="J751" s="580"/>
      <c r="K751" s="580"/>
      <c r="L751" s="580"/>
      <c r="M751" s="580"/>
      <c r="N751" s="580"/>
      <c r="O751" s="580"/>
      <c r="P751" s="580"/>
      <c r="Q751" s="580"/>
      <c r="R751" s="580"/>
      <c r="S751" s="580"/>
      <c r="T751" s="580"/>
      <c r="U751" s="580"/>
      <c r="V751" s="580"/>
      <c r="W751" s="580"/>
      <c r="X751" s="580"/>
      <c r="Y751" s="580"/>
      <c r="Z751" s="580"/>
      <c r="AA751" s="580"/>
      <c r="AB751" s="580"/>
    </row>
    <row r="752" ht="15.75" customHeight="1">
      <c r="A752" s="570"/>
      <c r="B752" s="570"/>
      <c r="C752" s="580"/>
      <c r="D752" s="580"/>
      <c r="E752" s="580"/>
      <c r="F752" s="580"/>
      <c r="G752" s="580"/>
      <c r="H752" s="580"/>
      <c r="I752" s="580"/>
      <c r="J752" s="580"/>
      <c r="K752" s="580"/>
      <c r="L752" s="580"/>
      <c r="M752" s="580"/>
      <c r="N752" s="580"/>
      <c r="O752" s="580"/>
      <c r="P752" s="580"/>
      <c r="Q752" s="580"/>
      <c r="R752" s="580"/>
      <c r="S752" s="580"/>
      <c r="T752" s="580"/>
      <c r="U752" s="580"/>
      <c r="V752" s="580"/>
      <c r="W752" s="580"/>
      <c r="X752" s="580"/>
      <c r="Y752" s="580"/>
      <c r="Z752" s="580"/>
      <c r="AA752" s="580"/>
      <c r="AB752" s="580"/>
    </row>
    <row r="753" ht="15.75" customHeight="1">
      <c r="A753" s="570"/>
      <c r="B753" s="570"/>
      <c r="C753" s="580"/>
      <c r="D753" s="580"/>
      <c r="E753" s="580"/>
      <c r="F753" s="580"/>
      <c r="G753" s="580"/>
      <c r="H753" s="580"/>
      <c r="I753" s="580"/>
      <c r="J753" s="580"/>
      <c r="K753" s="580"/>
      <c r="L753" s="580"/>
      <c r="M753" s="580"/>
      <c r="N753" s="580"/>
      <c r="O753" s="580"/>
      <c r="P753" s="580"/>
      <c r="Q753" s="580"/>
      <c r="R753" s="580"/>
      <c r="S753" s="580"/>
      <c r="T753" s="580"/>
      <c r="U753" s="580"/>
      <c r="V753" s="580"/>
      <c r="W753" s="580"/>
      <c r="X753" s="580"/>
      <c r="Y753" s="580"/>
      <c r="Z753" s="580"/>
      <c r="AA753" s="580"/>
      <c r="AB753" s="580"/>
    </row>
    <row r="754" ht="15.75" customHeight="1">
      <c r="A754" s="570"/>
      <c r="B754" s="570"/>
      <c r="C754" s="580"/>
      <c r="D754" s="580"/>
      <c r="E754" s="580"/>
      <c r="F754" s="580"/>
      <c r="G754" s="580"/>
      <c r="H754" s="580"/>
      <c r="I754" s="580"/>
      <c r="J754" s="580"/>
      <c r="K754" s="580"/>
      <c r="L754" s="580"/>
      <c r="M754" s="580"/>
      <c r="N754" s="580"/>
      <c r="O754" s="580"/>
      <c r="P754" s="580"/>
      <c r="Q754" s="580"/>
      <c r="R754" s="580"/>
      <c r="S754" s="580"/>
      <c r="T754" s="580"/>
      <c r="U754" s="580"/>
      <c r="V754" s="580"/>
      <c r="W754" s="580"/>
      <c r="X754" s="580"/>
      <c r="Y754" s="580"/>
      <c r="Z754" s="580"/>
      <c r="AA754" s="580"/>
      <c r="AB754" s="580"/>
    </row>
    <row r="755" ht="15.75" customHeight="1">
      <c r="A755" s="570"/>
      <c r="B755" s="570"/>
      <c r="C755" s="580"/>
      <c r="D755" s="580"/>
      <c r="E755" s="580"/>
      <c r="F755" s="580"/>
      <c r="G755" s="580"/>
      <c r="H755" s="580"/>
      <c r="I755" s="580"/>
      <c r="J755" s="580"/>
      <c r="K755" s="580"/>
      <c r="L755" s="580"/>
      <c r="M755" s="580"/>
      <c r="N755" s="580"/>
      <c r="O755" s="580"/>
      <c r="P755" s="580"/>
      <c r="Q755" s="580"/>
      <c r="R755" s="580"/>
      <c r="S755" s="580"/>
      <c r="T755" s="580"/>
      <c r="U755" s="580"/>
      <c r="V755" s="580"/>
      <c r="W755" s="580"/>
      <c r="X755" s="580"/>
      <c r="Y755" s="580"/>
      <c r="Z755" s="580"/>
      <c r="AA755" s="580"/>
      <c r="AB755" s="580"/>
    </row>
    <row r="756" ht="15.75" customHeight="1">
      <c r="A756" s="570"/>
      <c r="B756" s="570"/>
      <c r="C756" s="580"/>
      <c r="D756" s="580"/>
      <c r="E756" s="580"/>
      <c r="F756" s="580"/>
      <c r="G756" s="580"/>
      <c r="H756" s="580"/>
      <c r="I756" s="580"/>
      <c r="J756" s="580"/>
      <c r="K756" s="580"/>
      <c r="L756" s="580"/>
      <c r="M756" s="580"/>
      <c r="N756" s="580"/>
      <c r="O756" s="580"/>
      <c r="P756" s="580"/>
      <c r="Q756" s="580"/>
      <c r="R756" s="580"/>
      <c r="S756" s="580"/>
      <c r="T756" s="580"/>
      <c r="U756" s="580"/>
      <c r="V756" s="580"/>
      <c r="W756" s="580"/>
      <c r="X756" s="580"/>
      <c r="Y756" s="580"/>
      <c r="Z756" s="580"/>
      <c r="AA756" s="580"/>
      <c r="AB756" s="580"/>
    </row>
    <row r="757" ht="15.75" customHeight="1">
      <c r="A757" s="570"/>
      <c r="B757" s="570"/>
      <c r="C757" s="580"/>
      <c r="D757" s="580"/>
      <c r="E757" s="580"/>
      <c r="F757" s="580"/>
      <c r="G757" s="580"/>
      <c r="H757" s="580"/>
      <c r="I757" s="580"/>
      <c r="J757" s="580"/>
      <c r="K757" s="580"/>
      <c r="L757" s="580"/>
      <c r="M757" s="580"/>
      <c r="N757" s="580"/>
      <c r="O757" s="580"/>
      <c r="P757" s="580"/>
      <c r="Q757" s="580"/>
      <c r="R757" s="580"/>
      <c r="S757" s="580"/>
      <c r="T757" s="580"/>
      <c r="U757" s="580"/>
      <c r="V757" s="580"/>
      <c r="W757" s="580"/>
      <c r="X757" s="580"/>
      <c r="Y757" s="580"/>
      <c r="Z757" s="580"/>
      <c r="AA757" s="580"/>
      <c r="AB757" s="580"/>
    </row>
    <row r="758" ht="15.75" customHeight="1">
      <c r="A758" s="570"/>
      <c r="B758" s="570"/>
      <c r="C758" s="580"/>
      <c r="D758" s="580"/>
      <c r="E758" s="580"/>
      <c r="F758" s="580"/>
      <c r="G758" s="580"/>
      <c r="H758" s="580"/>
      <c r="I758" s="580"/>
      <c r="J758" s="580"/>
      <c r="K758" s="580"/>
      <c r="L758" s="580"/>
      <c r="M758" s="580"/>
      <c r="N758" s="580"/>
      <c r="O758" s="580"/>
      <c r="P758" s="580"/>
      <c r="Q758" s="580"/>
      <c r="R758" s="580"/>
      <c r="S758" s="580"/>
      <c r="T758" s="580"/>
      <c r="U758" s="580"/>
      <c r="V758" s="580"/>
      <c r="W758" s="580"/>
      <c r="X758" s="580"/>
      <c r="Y758" s="580"/>
      <c r="Z758" s="580"/>
      <c r="AA758" s="580"/>
      <c r="AB758" s="580"/>
    </row>
    <row r="759" ht="15.75" customHeight="1">
      <c r="A759" s="570"/>
      <c r="B759" s="570"/>
      <c r="C759" s="580"/>
      <c r="D759" s="580"/>
      <c r="E759" s="580"/>
      <c r="F759" s="580"/>
      <c r="G759" s="580"/>
      <c r="H759" s="580"/>
      <c r="I759" s="580"/>
      <c r="J759" s="580"/>
      <c r="K759" s="580"/>
      <c r="L759" s="580"/>
      <c r="M759" s="580"/>
      <c r="N759" s="580"/>
      <c r="O759" s="580"/>
      <c r="P759" s="580"/>
      <c r="Q759" s="580"/>
      <c r="R759" s="580"/>
      <c r="S759" s="580"/>
      <c r="T759" s="580"/>
      <c r="U759" s="580"/>
      <c r="V759" s="580"/>
      <c r="W759" s="580"/>
      <c r="X759" s="580"/>
      <c r="Y759" s="580"/>
      <c r="Z759" s="580"/>
      <c r="AA759" s="580"/>
      <c r="AB759" s="580"/>
    </row>
    <row r="760" ht="15.75" customHeight="1">
      <c r="A760" s="570"/>
      <c r="B760" s="570"/>
      <c r="C760" s="580"/>
      <c r="D760" s="580"/>
      <c r="E760" s="580"/>
      <c r="F760" s="580"/>
      <c r="G760" s="580"/>
      <c r="H760" s="580"/>
      <c r="I760" s="580"/>
      <c r="J760" s="580"/>
      <c r="K760" s="580"/>
      <c r="L760" s="580"/>
      <c r="M760" s="580"/>
      <c r="N760" s="580"/>
      <c r="O760" s="580"/>
      <c r="P760" s="580"/>
      <c r="Q760" s="580"/>
      <c r="R760" s="580"/>
      <c r="S760" s="580"/>
      <c r="T760" s="580"/>
      <c r="U760" s="580"/>
      <c r="V760" s="580"/>
      <c r="W760" s="580"/>
      <c r="X760" s="580"/>
      <c r="Y760" s="580"/>
      <c r="Z760" s="580"/>
      <c r="AA760" s="580"/>
      <c r="AB760" s="580"/>
    </row>
    <row r="761" ht="15.75" customHeight="1">
      <c r="A761" s="570"/>
      <c r="B761" s="570"/>
      <c r="C761" s="580"/>
      <c r="D761" s="580"/>
      <c r="E761" s="580"/>
      <c r="F761" s="580"/>
      <c r="G761" s="580"/>
      <c r="H761" s="580"/>
      <c r="I761" s="580"/>
      <c r="J761" s="580"/>
      <c r="K761" s="580"/>
      <c r="L761" s="580"/>
      <c r="M761" s="580"/>
      <c r="N761" s="580"/>
      <c r="O761" s="580"/>
      <c r="P761" s="580"/>
      <c r="Q761" s="580"/>
      <c r="R761" s="580"/>
      <c r="S761" s="580"/>
      <c r="T761" s="580"/>
      <c r="U761" s="580"/>
      <c r="V761" s="580"/>
      <c r="W761" s="580"/>
      <c r="X761" s="580"/>
      <c r="Y761" s="580"/>
      <c r="Z761" s="580"/>
      <c r="AA761" s="580"/>
      <c r="AB761" s="580"/>
    </row>
    <row r="762" ht="15.75" customHeight="1">
      <c r="A762" s="570"/>
      <c r="B762" s="570"/>
      <c r="C762" s="580"/>
      <c r="D762" s="580"/>
      <c r="E762" s="580"/>
      <c r="F762" s="580"/>
      <c r="G762" s="580"/>
      <c r="H762" s="580"/>
      <c r="I762" s="580"/>
      <c r="J762" s="580"/>
      <c r="K762" s="580"/>
      <c r="L762" s="580"/>
      <c r="M762" s="580"/>
      <c r="N762" s="580"/>
      <c r="O762" s="580"/>
      <c r="P762" s="580"/>
      <c r="Q762" s="580"/>
      <c r="R762" s="580"/>
      <c r="S762" s="580"/>
      <c r="T762" s="580"/>
      <c r="U762" s="580"/>
      <c r="V762" s="580"/>
      <c r="W762" s="580"/>
      <c r="X762" s="580"/>
      <c r="Y762" s="580"/>
      <c r="Z762" s="580"/>
      <c r="AA762" s="580"/>
      <c r="AB762" s="580"/>
    </row>
    <row r="763" ht="15.75" customHeight="1">
      <c r="A763" s="570"/>
      <c r="B763" s="570"/>
      <c r="C763" s="580"/>
      <c r="D763" s="580"/>
      <c r="E763" s="580"/>
      <c r="F763" s="580"/>
      <c r="G763" s="580"/>
      <c r="H763" s="580"/>
      <c r="I763" s="580"/>
      <c r="J763" s="580"/>
      <c r="K763" s="580"/>
      <c r="L763" s="580"/>
      <c r="M763" s="580"/>
      <c r="N763" s="580"/>
      <c r="O763" s="580"/>
      <c r="P763" s="580"/>
      <c r="Q763" s="580"/>
      <c r="R763" s="580"/>
      <c r="S763" s="580"/>
      <c r="T763" s="580"/>
      <c r="U763" s="580"/>
      <c r="V763" s="580"/>
      <c r="W763" s="580"/>
      <c r="X763" s="580"/>
      <c r="Y763" s="580"/>
      <c r="Z763" s="580"/>
      <c r="AA763" s="580"/>
      <c r="AB763" s="580"/>
    </row>
    <row r="764" ht="15.75" customHeight="1">
      <c r="A764" s="570"/>
      <c r="B764" s="570"/>
      <c r="C764" s="580"/>
      <c r="D764" s="580"/>
      <c r="E764" s="580"/>
      <c r="F764" s="580"/>
      <c r="G764" s="580"/>
      <c r="H764" s="580"/>
      <c r="I764" s="580"/>
      <c r="J764" s="580"/>
      <c r="K764" s="580"/>
      <c r="L764" s="580"/>
      <c r="M764" s="580"/>
      <c r="N764" s="580"/>
      <c r="O764" s="580"/>
      <c r="P764" s="580"/>
      <c r="Q764" s="580"/>
      <c r="R764" s="580"/>
      <c r="S764" s="580"/>
      <c r="T764" s="580"/>
      <c r="U764" s="580"/>
      <c r="V764" s="580"/>
      <c r="W764" s="580"/>
      <c r="X764" s="580"/>
      <c r="Y764" s="580"/>
      <c r="Z764" s="580"/>
      <c r="AA764" s="580"/>
      <c r="AB764" s="580"/>
    </row>
    <row r="765" ht="15.75" customHeight="1">
      <c r="A765" s="570"/>
      <c r="B765" s="570"/>
      <c r="C765" s="580"/>
      <c r="D765" s="580"/>
      <c r="E765" s="580"/>
      <c r="F765" s="580"/>
      <c r="G765" s="580"/>
      <c r="H765" s="580"/>
      <c r="I765" s="580"/>
      <c r="J765" s="580"/>
      <c r="K765" s="580"/>
      <c r="L765" s="580"/>
      <c r="M765" s="580"/>
      <c r="N765" s="580"/>
      <c r="O765" s="580"/>
      <c r="P765" s="580"/>
      <c r="Q765" s="580"/>
      <c r="R765" s="580"/>
      <c r="S765" s="580"/>
      <c r="T765" s="580"/>
      <c r="U765" s="580"/>
      <c r="V765" s="580"/>
      <c r="W765" s="580"/>
      <c r="X765" s="580"/>
      <c r="Y765" s="580"/>
      <c r="Z765" s="580"/>
      <c r="AA765" s="580"/>
      <c r="AB765" s="580"/>
    </row>
    <row r="766" ht="15.75" customHeight="1">
      <c r="A766" s="570"/>
      <c r="B766" s="570"/>
      <c r="C766" s="580"/>
      <c r="D766" s="580"/>
      <c r="E766" s="580"/>
      <c r="F766" s="580"/>
      <c r="G766" s="580"/>
      <c r="H766" s="580"/>
      <c r="I766" s="580"/>
      <c r="J766" s="580"/>
      <c r="K766" s="580"/>
      <c r="L766" s="580"/>
      <c r="M766" s="580"/>
      <c r="N766" s="580"/>
      <c r="O766" s="580"/>
      <c r="P766" s="580"/>
      <c r="Q766" s="580"/>
      <c r="R766" s="580"/>
      <c r="S766" s="580"/>
      <c r="T766" s="580"/>
      <c r="U766" s="580"/>
      <c r="V766" s="580"/>
      <c r="W766" s="580"/>
      <c r="X766" s="580"/>
      <c r="Y766" s="580"/>
      <c r="Z766" s="580"/>
      <c r="AA766" s="580"/>
      <c r="AB766" s="580"/>
    </row>
    <row r="767" ht="15.75" customHeight="1">
      <c r="A767" s="570"/>
      <c r="B767" s="570"/>
      <c r="C767" s="580"/>
      <c r="D767" s="580"/>
      <c r="E767" s="580"/>
      <c r="F767" s="580"/>
      <c r="G767" s="580"/>
      <c r="H767" s="580"/>
      <c r="I767" s="580"/>
      <c r="J767" s="580"/>
      <c r="K767" s="580"/>
      <c r="L767" s="580"/>
      <c r="M767" s="580"/>
      <c r="N767" s="580"/>
      <c r="O767" s="580"/>
      <c r="P767" s="580"/>
      <c r="Q767" s="580"/>
      <c r="R767" s="580"/>
      <c r="S767" s="580"/>
      <c r="T767" s="580"/>
      <c r="U767" s="580"/>
      <c r="V767" s="580"/>
      <c r="W767" s="580"/>
      <c r="X767" s="580"/>
      <c r="Y767" s="580"/>
      <c r="Z767" s="580"/>
      <c r="AA767" s="580"/>
      <c r="AB767" s="580"/>
    </row>
    <row r="768" ht="15.75" customHeight="1">
      <c r="A768" s="570"/>
      <c r="B768" s="570"/>
      <c r="C768" s="580"/>
      <c r="D768" s="580"/>
      <c r="E768" s="580"/>
      <c r="F768" s="580"/>
      <c r="G768" s="580"/>
      <c r="H768" s="580"/>
      <c r="I768" s="580"/>
      <c r="J768" s="580"/>
      <c r="K768" s="580"/>
      <c r="L768" s="580"/>
      <c r="M768" s="580"/>
      <c r="N768" s="580"/>
      <c r="O768" s="580"/>
      <c r="P768" s="580"/>
      <c r="Q768" s="580"/>
      <c r="R768" s="580"/>
      <c r="S768" s="580"/>
      <c r="T768" s="580"/>
      <c r="U768" s="580"/>
      <c r="V768" s="580"/>
      <c r="W768" s="580"/>
      <c r="X768" s="580"/>
      <c r="Y768" s="580"/>
      <c r="Z768" s="580"/>
      <c r="AA768" s="580"/>
      <c r="AB768" s="580"/>
    </row>
    <row r="769" ht="15.75" customHeight="1">
      <c r="A769" s="570"/>
      <c r="B769" s="570"/>
      <c r="C769" s="580"/>
      <c r="D769" s="580"/>
      <c r="E769" s="580"/>
      <c r="F769" s="580"/>
      <c r="G769" s="580"/>
      <c r="H769" s="580"/>
      <c r="I769" s="580"/>
      <c r="J769" s="580"/>
      <c r="K769" s="580"/>
      <c r="L769" s="580"/>
      <c r="M769" s="580"/>
      <c r="N769" s="580"/>
      <c r="O769" s="580"/>
      <c r="P769" s="580"/>
      <c r="Q769" s="580"/>
      <c r="R769" s="580"/>
      <c r="S769" s="580"/>
      <c r="T769" s="580"/>
      <c r="U769" s="580"/>
      <c r="V769" s="580"/>
      <c r="W769" s="580"/>
      <c r="X769" s="580"/>
      <c r="Y769" s="580"/>
      <c r="Z769" s="580"/>
      <c r="AA769" s="580"/>
      <c r="AB769" s="580"/>
    </row>
    <row r="770" ht="15.75" customHeight="1">
      <c r="A770" s="570"/>
      <c r="B770" s="570"/>
      <c r="C770" s="580"/>
      <c r="D770" s="580"/>
      <c r="E770" s="580"/>
      <c r="F770" s="580"/>
      <c r="G770" s="580"/>
      <c r="H770" s="580"/>
      <c r="I770" s="580"/>
      <c r="J770" s="580"/>
      <c r="K770" s="580"/>
      <c r="L770" s="580"/>
      <c r="M770" s="580"/>
      <c r="N770" s="580"/>
      <c r="O770" s="580"/>
      <c r="P770" s="580"/>
      <c r="Q770" s="580"/>
      <c r="R770" s="580"/>
      <c r="S770" s="580"/>
      <c r="T770" s="580"/>
      <c r="U770" s="580"/>
      <c r="V770" s="580"/>
      <c r="W770" s="580"/>
      <c r="X770" s="580"/>
      <c r="Y770" s="580"/>
      <c r="Z770" s="580"/>
      <c r="AA770" s="580"/>
      <c r="AB770" s="580"/>
    </row>
    <row r="771" ht="15.75" customHeight="1">
      <c r="A771" s="570"/>
      <c r="B771" s="570"/>
      <c r="C771" s="580"/>
      <c r="D771" s="580"/>
      <c r="E771" s="580"/>
      <c r="F771" s="580"/>
      <c r="G771" s="580"/>
      <c r="H771" s="580"/>
      <c r="I771" s="580"/>
      <c r="J771" s="580"/>
      <c r="K771" s="580"/>
      <c r="L771" s="580"/>
      <c r="M771" s="580"/>
      <c r="N771" s="580"/>
      <c r="O771" s="580"/>
      <c r="P771" s="580"/>
      <c r="Q771" s="580"/>
      <c r="R771" s="580"/>
      <c r="S771" s="580"/>
      <c r="T771" s="580"/>
      <c r="U771" s="580"/>
      <c r="V771" s="580"/>
      <c r="W771" s="580"/>
      <c r="X771" s="580"/>
      <c r="Y771" s="580"/>
      <c r="Z771" s="580"/>
      <c r="AA771" s="580"/>
      <c r="AB771" s="580"/>
    </row>
    <row r="772" ht="15.75" customHeight="1">
      <c r="A772" s="570"/>
      <c r="B772" s="570"/>
      <c r="C772" s="580"/>
      <c r="D772" s="580"/>
      <c r="E772" s="580"/>
      <c r="F772" s="580"/>
      <c r="G772" s="580"/>
      <c r="H772" s="580"/>
      <c r="I772" s="580"/>
      <c r="J772" s="580"/>
      <c r="K772" s="580"/>
      <c r="L772" s="580"/>
      <c r="M772" s="580"/>
      <c r="N772" s="580"/>
      <c r="O772" s="580"/>
      <c r="P772" s="580"/>
      <c r="Q772" s="580"/>
      <c r="R772" s="580"/>
      <c r="S772" s="580"/>
      <c r="T772" s="580"/>
      <c r="U772" s="580"/>
      <c r="V772" s="580"/>
      <c r="W772" s="580"/>
      <c r="X772" s="580"/>
      <c r="Y772" s="580"/>
      <c r="Z772" s="580"/>
      <c r="AA772" s="580"/>
      <c r="AB772" s="580"/>
    </row>
    <row r="773" ht="15.75" customHeight="1">
      <c r="A773" s="570"/>
      <c r="B773" s="570"/>
      <c r="C773" s="580"/>
      <c r="D773" s="580"/>
      <c r="E773" s="580"/>
      <c r="F773" s="580"/>
      <c r="G773" s="580"/>
      <c r="H773" s="580"/>
      <c r="I773" s="580"/>
      <c r="J773" s="580"/>
      <c r="K773" s="580"/>
      <c r="L773" s="580"/>
      <c r="M773" s="580"/>
      <c r="N773" s="580"/>
      <c r="O773" s="580"/>
      <c r="P773" s="580"/>
      <c r="Q773" s="580"/>
      <c r="R773" s="580"/>
      <c r="S773" s="580"/>
      <c r="T773" s="580"/>
      <c r="U773" s="580"/>
      <c r="V773" s="580"/>
      <c r="W773" s="580"/>
      <c r="X773" s="580"/>
      <c r="Y773" s="580"/>
      <c r="Z773" s="580"/>
      <c r="AA773" s="580"/>
      <c r="AB773" s="580"/>
    </row>
    <row r="774" ht="15.75" customHeight="1">
      <c r="A774" s="570"/>
      <c r="B774" s="570"/>
      <c r="C774" s="580"/>
      <c r="D774" s="580"/>
      <c r="E774" s="580"/>
      <c r="F774" s="580"/>
      <c r="G774" s="580"/>
      <c r="H774" s="580"/>
      <c r="I774" s="580"/>
      <c r="J774" s="580"/>
      <c r="K774" s="580"/>
      <c r="L774" s="580"/>
      <c r="M774" s="580"/>
      <c r="N774" s="580"/>
      <c r="O774" s="580"/>
      <c r="P774" s="580"/>
      <c r="Q774" s="580"/>
      <c r="R774" s="580"/>
      <c r="S774" s="580"/>
      <c r="T774" s="580"/>
      <c r="U774" s="580"/>
      <c r="V774" s="580"/>
      <c r="W774" s="580"/>
      <c r="X774" s="580"/>
      <c r="Y774" s="580"/>
      <c r="Z774" s="580"/>
      <c r="AA774" s="580"/>
      <c r="AB774" s="580"/>
    </row>
    <row r="775" ht="15.75" customHeight="1">
      <c r="A775" s="570"/>
      <c r="B775" s="570"/>
      <c r="C775" s="580"/>
      <c r="D775" s="580"/>
      <c r="E775" s="580"/>
      <c r="F775" s="580"/>
      <c r="G775" s="580"/>
      <c r="H775" s="580"/>
      <c r="I775" s="580"/>
      <c r="J775" s="580"/>
      <c r="K775" s="580"/>
      <c r="L775" s="580"/>
      <c r="M775" s="580"/>
      <c r="N775" s="580"/>
      <c r="O775" s="580"/>
      <c r="P775" s="580"/>
      <c r="Q775" s="580"/>
      <c r="R775" s="580"/>
      <c r="S775" s="580"/>
      <c r="T775" s="580"/>
      <c r="U775" s="580"/>
      <c r="V775" s="580"/>
      <c r="W775" s="580"/>
      <c r="X775" s="580"/>
      <c r="Y775" s="580"/>
      <c r="Z775" s="580"/>
      <c r="AA775" s="580"/>
      <c r="AB775" s="580"/>
    </row>
    <row r="776" ht="15.75" customHeight="1">
      <c r="A776" s="570"/>
      <c r="B776" s="570"/>
      <c r="C776" s="580"/>
      <c r="D776" s="580"/>
      <c r="E776" s="580"/>
      <c r="F776" s="580"/>
      <c r="G776" s="580"/>
      <c r="H776" s="580"/>
      <c r="I776" s="580"/>
      <c r="J776" s="580"/>
      <c r="K776" s="580"/>
      <c r="L776" s="580"/>
      <c r="M776" s="580"/>
      <c r="N776" s="580"/>
      <c r="O776" s="580"/>
      <c r="P776" s="580"/>
      <c r="Q776" s="580"/>
      <c r="R776" s="580"/>
      <c r="S776" s="580"/>
      <c r="T776" s="580"/>
      <c r="U776" s="580"/>
      <c r="V776" s="580"/>
      <c r="W776" s="580"/>
      <c r="X776" s="580"/>
      <c r="Y776" s="580"/>
      <c r="Z776" s="580"/>
      <c r="AA776" s="580"/>
      <c r="AB776" s="580"/>
    </row>
    <row r="777" ht="15.75" customHeight="1">
      <c r="A777" s="570"/>
      <c r="B777" s="570"/>
      <c r="C777" s="580"/>
      <c r="D777" s="580"/>
      <c r="E777" s="580"/>
      <c r="F777" s="580"/>
      <c r="G777" s="580"/>
      <c r="H777" s="580"/>
      <c r="I777" s="580"/>
      <c r="J777" s="580"/>
      <c r="K777" s="580"/>
      <c r="L777" s="580"/>
      <c r="M777" s="580"/>
      <c r="N777" s="580"/>
      <c r="O777" s="580"/>
      <c r="P777" s="580"/>
      <c r="Q777" s="580"/>
      <c r="R777" s="580"/>
      <c r="S777" s="580"/>
      <c r="T777" s="580"/>
      <c r="U777" s="580"/>
      <c r="V777" s="580"/>
      <c r="W777" s="580"/>
      <c r="X777" s="580"/>
      <c r="Y777" s="580"/>
      <c r="Z777" s="580"/>
      <c r="AA777" s="580"/>
      <c r="AB777" s="580"/>
    </row>
    <row r="778" ht="15.75" customHeight="1">
      <c r="A778" s="570"/>
      <c r="B778" s="570"/>
      <c r="C778" s="580"/>
      <c r="D778" s="580"/>
      <c r="E778" s="580"/>
      <c r="F778" s="580"/>
      <c r="G778" s="580"/>
      <c r="H778" s="580"/>
      <c r="I778" s="580"/>
      <c r="J778" s="580"/>
      <c r="K778" s="580"/>
      <c r="L778" s="580"/>
      <c r="M778" s="580"/>
      <c r="N778" s="580"/>
      <c r="O778" s="580"/>
      <c r="P778" s="580"/>
      <c r="Q778" s="580"/>
      <c r="R778" s="580"/>
      <c r="S778" s="580"/>
      <c r="T778" s="580"/>
      <c r="U778" s="580"/>
      <c r="V778" s="580"/>
      <c r="W778" s="580"/>
      <c r="X778" s="580"/>
      <c r="Y778" s="580"/>
      <c r="Z778" s="580"/>
      <c r="AA778" s="580"/>
      <c r="AB778" s="580"/>
    </row>
    <row r="779" ht="15.75" customHeight="1">
      <c r="A779" s="570"/>
      <c r="B779" s="570"/>
      <c r="C779" s="580"/>
      <c r="D779" s="580"/>
      <c r="E779" s="580"/>
      <c r="F779" s="580"/>
      <c r="G779" s="580"/>
      <c r="H779" s="580"/>
      <c r="I779" s="580"/>
      <c r="J779" s="580"/>
      <c r="K779" s="580"/>
      <c r="L779" s="580"/>
      <c r="M779" s="580"/>
      <c r="N779" s="580"/>
      <c r="O779" s="580"/>
      <c r="P779" s="580"/>
      <c r="Q779" s="580"/>
      <c r="R779" s="580"/>
      <c r="S779" s="580"/>
      <c r="T779" s="580"/>
      <c r="U779" s="580"/>
      <c r="V779" s="580"/>
      <c r="W779" s="580"/>
      <c r="X779" s="580"/>
      <c r="Y779" s="580"/>
      <c r="Z779" s="580"/>
      <c r="AA779" s="580"/>
      <c r="AB779" s="580"/>
    </row>
    <row r="780" ht="15.75" customHeight="1">
      <c r="A780" s="570"/>
      <c r="B780" s="570"/>
      <c r="C780" s="580"/>
      <c r="D780" s="580"/>
      <c r="E780" s="580"/>
      <c r="F780" s="580"/>
      <c r="G780" s="580"/>
      <c r="H780" s="580"/>
      <c r="I780" s="580"/>
      <c r="J780" s="580"/>
      <c r="K780" s="580"/>
      <c r="L780" s="580"/>
      <c r="M780" s="580"/>
      <c r="N780" s="580"/>
      <c r="O780" s="580"/>
      <c r="P780" s="580"/>
      <c r="Q780" s="580"/>
      <c r="R780" s="580"/>
      <c r="S780" s="580"/>
      <c r="T780" s="580"/>
      <c r="U780" s="580"/>
      <c r="V780" s="580"/>
      <c r="W780" s="580"/>
      <c r="X780" s="580"/>
      <c r="Y780" s="580"/>
      <c r="Z780" s="580"/>
      <c r="AA780" s="580"/>
      <c r="AB780" s="580"/>
    </row>
    <row r="781" ht="15.75" customHeight="1">
      <c r="A781" s="570"/>
      <c r="B781" s="570"/>
      <c r="C781" s="580"/>
      <c r="D781" s="580"/>
      <c r="E781" s="580"/>
      <c r="F781" s="580"/>
      <c r="G781" s="580"/>
      <c r="H781" s="580"/>
      <c r="I781" s="580"/>
      <c r="J781" s="580"/>
      <c r="K781" s="580"/>
      <c r="L781" s="580"/>
      <c r="M781" s="580"/>
      <c r="N781" s="580"/>
      <c r="O781" s="580"/>
      <c r="P781" s="580"/>
      <c r="Q781" s="580"/>
      <c r="R781" s="580"/>
      <c r="S781" s="580"/>
      <c r="T781" s="580"/>
      <c r="U781" s="580"/>
      <c r="V781" s="580"/>
      <c r="W781" s="580"/>
      <c r="X781" s="580"/>
      <c r="Y781" s="580"/>
      <c r="Z781" s="580"/>
      <c r="AA781" s="580"/>
      <c r="AB781" s="580"/>
    </row>
    <row r="782" ht="15.75" customHeight="1">
      <c r="A782" s="570"/>
      <c r="B782" s="570"/>
      <c r="C782" s="580"/>
      <c r="D782" s="580"/>
      <c r="E782" s="580"/>
      <c r="F782" s="580"/>
      <c r="G782" s="580"/>
      <c r="H782" s="580"/>
      <c r="I782" s="580"/>
      <c r="J782" s="580"/>
      <c r="K782" s="580"/>
      <c r="L782" s="580"/>
      <c r="M782" s="580"/>
      <c r="N782" s="580"/>
      <c r="O782" s="580"/>
      <c r="P782" s="580"/>
      <c r="Q782" s="580"/>
      <c r="R782" s="580"/>
      <c r="S782" s="580"/>
      <c r="T782" s="580"/>
      <c r="U782" s="580"/>
      <c r="V782" s="580"/>
      <c r="W782" s="580"/>
      <c r="X782" s="580"/>
      <c r="Y782" s="580"/>
      <c r="Z782" s="580"/>
      <c r="AA782" s="580"/>
      <c r="AB782" s="580"/>
    </row>
    <row r="783" ht="15.75" customHeight="1">
      <c r="A783" s="570"/>
      <c r="B783" s="570"/>
      <c r="C783" s="580"/>
      <c r="D783" s="580"/>
      <c r="E783" s="580"/>
      <c r="F783" s="580"/>
      <c r="G783" s="580"/>
      <c r="H783" s="580"/>
      <c r="I783" s="580"/>
      <c r="J783" s="580"/>
      <c r="K783" s="580"/>
      <c r="L783" s="580"/>
      <c r="M783" s="580"/>
      <c r="N783" s="580"/>
      <c r="O783" s="580"/>
      <c r="P783" s="580"/>
      <c r="Q783" s="580"/>
      <c r="R783" s="580"/>
      <c r="S783" s="580"/>
      <c r="T783" s="580"/>
      <c r="U783" s="580"/>
      <c r="V783" s="580"/>
      <c r="W783" s="580"/>
      <c r="X783" s="580"/>
      <c r="Y783" s="580"/>
      <c r="Z783" s="580"/>
      <c r="AA783" s="580"/>
      <c r="AB783" s="580"/>
    </row>
    <row r="784" ht="15.75" customHeight="1">
      <c r="A784" s="570"/>
      <c r="B784" s="570"/>
      <c r="C784" s="580"/>
      <c r="D784" s="580"/>
      <c r="E784" s="580"/>
      <c r="F784" s="580"/>
      <c r="G784" s="580"/>
      <c r="H784" s="580"/>
      <c r="I784" s="580"/>
      <c r="J784" s="580"/>
      <c r="K784" s="580"/>
      <c r="L784" s="580"/>
      <c r="M784" s="580"/>
      <c r="N784" s="580"/>
      <c r="O784" s="580"/>
      <c r="P784" s="580"/>
      <c r="Q784" s="580"/>
      <c r="R784" s="580"/>
      <c r="S784" s="580"/>
      <c r="T784" s="580"/>
      <c r="U784" s="580"/>
      <c r="V784" s="580"/>
      <c r="W784" s="580"/>
      <c r="X784" s="580"/>
      <c r="Y784" s="580"/>
      <c r="Z784" s="580"/>
      <c r="AA784" s="580"/>
      <c r="AB784" s="580"/>
    </row>
    <row r="785" ht="15.75" customHeight="1">
      <c r="A785" s="570"/>
      <c r="B785" s="570"/>
      <c r="C785" s="580"/>
      <c r="D785" s="580"/>
      <c r="E785" s="580"/>
      <c r="F785" s="580"/>
      <c r="G785" s="580"/>
      <c r="H785" s="580"/>
      <c r="I785" s="580"/>
      <c r="J785" s="580"/>
      <c r="K785" s="580"/>
      <c r="L785" s="580"/>
      <c r="M785" s="580"/>
      <c r="N785" s="580"/>
      <c r="O785" s="580"/>
      <c r="P785" s="580"/>
      <c r="Q785" s="580"/>
      <c r="R785" s="580"/>
      <c r="S785" s="580"/>
      <c r="T785" s="580"/>
      <c r="U785" s="580"/>
      <c r="V785" s="580"/>
      <c r="W785" s="580"/>
      <c r="X785" s="580"/>
      <c r="Y785" s="580"/>
      <c r="Z785" s="580"/>
      <c r="AA785" s="580"/>
      <c r="AB785" s="580"/>
    </row>
    <row r="786" ht="15.75" customHeight="1">
      <c r="A786" s="570"/>
      <c r="B786" s="570"/>
      <c r="C786" s="580"/>
      <c r="D786" s="580"/>
      <c r="E786" s="580"/>
      <c r="F786" s="580"/>
      <c r="G786" s="580"/>
      <c r="H786" s="580"/>
      <c r="I786" s="580"/>
      <c r="J786" s="580"/>
      <c r="K786" s="580"/>
      <c r="L786" s="580"/>
      <c r="M786" s="580"/>
      <c r="N786" s="580"/>
      <c r="O786" s="580"/>
      <c r="P786" s="580"/>
      <c r="Q786" s="580"/>
      <c r="R786" s="580"/>
      <c r="S786" s="580"/>
      <c r="T786" s="580"/>
      <c r="U786" s="580"/>
      <c r="V786" s="580"/>
      <c r="W786" s="580"/>
      <c r="X786" s="580"/>
      <c r="Y786" s="580"/>
      <c r="Z786" s="580"/>
      <c r="AA786" s="580"/>
      <c r="AB786" s="580"/>
    </row>
    <row r="787" ht="15.75" customHeight="1">
      <c r="A787" s="570"/>
      <c r="B787" s="570"/>
      <c r="C787" s="580"/>
      <c r="D787" s="580"/>
      <c r="E787" s="580"/>
      <c r="F787" s="580"/>
      <c r="G787" s="580"/>
      <c r="H787" s="580"/>
      <c r="I787" s="580"/>
      <c r="J787" s="580"/>
      <c r="K787" s="580"/>
      <c r="L787" s="580"/>
      <c r="M787" s="580"/>
      <c r="N787" s="580"/>
      <c r="O787" s="580"/>
      <c r="P787" s="580"/>
      <c r="Q787" s="580"/>
      <c r="R787" s="580"/>
      <c r="S787" s="580"/>
      <c r="T787" s="580"/>
      <c r="U787" s="580"/>
      <c r="V787" s="580"/>
      <c r="W787" s="580"/>
      <c r="X787" s="580"/>
      <c r="Y787" s="580"/>
      <c r="Z787" s="580"/>
      <c r="AA787" s="580"/>
      <c r="AB787" s="580"/>
    </row>
    <row r="788" ht="15.75" customHeight="1">
      <c r="A788" s="570"/>
      <c r="B788" s="570"/>
      <c r="C788" s="580"/>
      <c r="D788" s="580"/>
      <c r="E788" s="580"/>
      <c r="F788" s="580"/>
      <c r="G788" s="580"/>
      <c r="H788" s="580"/>
      <c r="I788" s="580"/>
      <c r="J788" s="580"/>
      <c r="K788" s="580"/>
      <c r="L788" s="580"/>
      <c r="M788" s="580"/>
      <c r="N788" s="580"/>
      <c r="O788" s="580"/>
      <c r="P788" s="580"/>
      <c r="Q788" s="580"/>
      <c r="R788" s="580"/>
      <c r="S788" s="580"/>
      <c r="T788" s="580"/>
      <c r="U788" s="580"/>
      <c r="V788" s="580"/>
      <c r="W788" s="580"/>
      <c r="X788" s="580"/>
      <c r="Y788" s="580"/>
      <c r="Z788" s="580"/>
      <c r="AA788" s="580"/>
      <c r="AB788" s="580"/>
    </row>
    <row r="789" ht="15.75" customHeight="1">
      <c r="A789" s="570"/>
      <c r="B789" s="570"/>
      <c r="C789" s="580"/>
      <c r="D789" s="580"/>
      <c r="E789" s="580"/>
      <c r="F789" s="580"/>
      <c r="G789" s="580"/>
      <c r="H789" s="580"/>
      <c r="I789" s="580"/>
      <c r="J789" s="580"/>
      <c r="K789" s="580"/>
      <c r="L789" s="580"/>
      <c r="M789" s="580"/>
      <c r="N789" s="580"/>
      <c r="O789" s="580"/>
      <c r="P789" s="580"/>
      <c r="Q789" s="580"/>
      <c r="R789" s="580"/>
      <c r="S789" s="580"/>
      <c r="T789" s="580"/>
      <c r="U789" s="580"/>
      <c r="V789" s="580"/>
      <c r="W789" s="580"/>
      <c r="X789" s="580"/>
      <c r="Y789" s="580"/>
      <c r="Z789" s="580"/>
      <c r="AA789" s="580"/>
      <c r="AB789" s="580"/>
    </row>
    <row r="790" ht="15.75" customHeight="1">
      <c r="A790" s="570"/>
      <c r="B790" s="570"/>
      <c r="C790" s="580"/>
      <c r="D790" s="580"/>
      <c r="E790" s="580"/>
      <c r="F790" s="580"/>
      <c r="G790" s="580"/>
      <c r="H790" s="580"/>
      <c r="I790" s="580"/>
      <c r="J790" s="580"/>
      <c r="K790" s="580"/>
      <c r="L790" s="580"/>
      <c r="M790" s="580"/>
      <c r="N790" s="580"/>
      <c r="O790" s="580"/>
      <c r="P790" s="580"/>
      <c r="Q790" s="580"/>
      <c r="R790" s="580"/>
      <c r="S790" s="580"/>
      <c r="T790" s="580"/>
      <c r="U790" s="580"/>
      <c r="V790" s="580"/>
      <c r="W790" s="580"/>
      <c r="X790" s="580"/>
      <c r="Y790" s="580"/>
      <c r="Z790" s="580"/>
      <c r="AA790" s="580"/>
      <c r="AB790" s="580"/>
    </row>
    <row r="791" ht="15.75" customHeight="1">
      <c r="A791" s="570"/>
      <c r="B791" s="570"/>
      <c r="C791" s="580"/>
      <c r="D791" s="580"/>
      <c r="E791" s="580"/>
      <c r="F791" s="580"/>
      <c r="G791" s="580"/>
      <c r="H791" s="580"/>
      <c r="I791" s="580"/>
      <c r="J791" s="580"/>
      <c r="K791" s="580"/>
      <c r="L791" s="580"/>
      <c r="M791" s="580"/>
      <c r="N791" s="580"/>
      <c r="O791" s="580"/>
      <c r="P791" s="580"/>
      <c r="Q791" s="580"/>
      <c r="R791" s="580"/>
      <c r="S791" s="580"/>
      <c r="T791" s="580"/>
      <c r="U791" s="580"/>
      <c r="V791" s="580"/>
      <c r="W791" s="580"/>
      <c r="X791" s="580"/>
      <c r="Y791" s="580"/>
      <c r="Z791" s="580"/>
      <c r="AA791" s="580"/>
      <c r="AB791" s="580"/>
    </row>
    <row r="792" ht="15.75" customHeight="1">
      <c r="A792" s="570"/>
      <c r="B792" s="570"/>
      <c r="C792" s="580"/>
      <c r="D792" s="580"/>
      <c r="E792" s="580"/>
      <c r="F792" s="580"/>
      <c r="G792" s="580"/>
      <c r="H792" s="580"/>
      <c r="I792" s="580"/>
      <c r="J792" s="580"/>
      <c r="K792" s="580"/>
      <c r="L792" s="580"/>
      <c r="M792" s="580"/>
      <c r="N792" s="580"/>
      <c r="O792" s="580"/>
      <c r="P792" s="580"/>
      <c r="Q792" s="580"/>
      <c r="R792" s="580"/>
      <c r="S792" s="580"/>
      <c r="T792" s="580"/>
      <c r="U792" s="580"/>
      <c r="V792" s="580"/>
      <c r="W792" s="580"/>
      <c r="X792" s="580"/>
      <c r="Y792" s="580"/>
      <c r="Z792" s="580"/>
      <c r="AA792" s="580"/>
      <c r="AB792" s="580"/>
    </row>
    <row r="793" ht="15.75" customHeight="1">
      <c r="A793" s="570"/>
      <c r="B793" s="570"/>
      <c r="C793" s="580"/>
      <c r="D793" s="580"/>
      <c r="E793" s="580"/>
      <c r="F793" s="580"/>
      <c r="G793" s="580"/>
      <c r="H793" s="580"/>
      <c r="I793" s="580"/>
      <c r="J793" s="580"/>
      <c r="K793" s="580"/>
      <c r="L793" s="580"/>
      <c r="M793" s="580"/>
      <c r="N793" s="580"/>
      <c r="O793" s="580"/>
      <c r="P793" s="580"/>
      <c r="Q793" s="580"/>
      <c r="R793" s="580"/>
      <c r="S793" s="580"/>
      <c r="T793" s="580"/>
      <c r="U793" s="580"/>
      <c r="V793" s="580"/>
      <c r="W793" s="580"/>
      <c r="X793" s="580"/>
      <c r="Y793" s="580"/>
      <c r="Z793" s="580"/>
      <c r="AA793" s="580"/>
      <c r="AB793" s="580"/>
    </row>
    <row r="794" ht="15.75" customHeight="1">
      <c r="A794" s="570"/>
      <c r="B794" s="570"/>
      <c r="C794" s="580"/>
      <c r="D794" s="580"/>
      <c r="E794" s="580"/>
      <c r="F794" s="580"/>
      <c r="G794" s="580"/>
      <c r="H794" s="580"/>
      <c r="I794" s="580"/>
      <c r="J794" s="580"/>
      <c r="K794" s="580"/>
      <c r="L794" s="580"/>
      <c r="M794" s="580"/>
      <c r="N794" s="580"/>
      <c r="O794" s="580"/>
      <c r="P794" s="580"/>
      <c r="Q794" s="580"/>
      <c r="R794" s="580"/>
      <c r="S794" s="580"/>
      <c r="T794" s="580"/>
      <c r="U794" s="580"/>
      <c r="V794" s="580"/>
      <c r="W794" s="580"/>
      <c r="X794" s="580"/>
      <c r="Y794" s="580"/>
      <c r="Z794" s="580"/>
      <c r="AA794" s="580"/>
      <c r="AB794" s="580"/>
    </row>
    <row r="795" ht="15.75" customHeight="1">
      <c r="A795" s="570"/>
      <c r="B795" s="570"/>
      <c r="C795" s="580"/>
      <c r="D795" s="580"/>
      <c r="E795" s="580"/>
      <c r="F795" s="580"/>
      <c r="G795" s="580"/>
      <c r="H795" s="580"/>
      <c r="I795" s="580"/>
      <c r="J795" s="580"/>
      <c r="K795" s="580"/>
      <c r="L795" s="580"/>
      <c r="M795" s="580"/>
      <c r="N795" s="580"/>
      <c r="O795" s="580"/>
      <c r="P795" s="580"/>
      <c r="Q795" s="580"/>
      <c r="R795" s="580"/>
      <c r="S795" s="580"/>
      <c r="T795" s="580"/>
      <c r="U795" s="580"/>
      <c r="V795" s="580"/>
      <c r="W795" s="580"/>
      <c r="X795" s="580"/>
      <c r="Y795" s="580"/>
      <c r="Z795" s="580"/>
      <c r="AA795" s="580"/>
      <c r="AB795" s="580"/>
    </row>
    <row r="796" ht="15.75" customHeight="1">
      <c r="A796" s="570"/>
      <c r="B796" s="570"/>
      <c r="C796" s="580"/>
      <c r="D796" s="580"/>
      <c r="E796" s="580"/>
      <c r="F796" s="580"/>
      <c r="G796" s="580"/>
      <c r="H796" s="580"/>
      <c r="I796" s="580"/>
      <c r="J796" s="580"/>
      <c r="K796" s="580"/>
      <c r="L796" s="580"/>
      <c r="M796" s="580"/>
      <c r="N796" s="580"/>
      <c r="O796" s="580"/>
      <c r="P796" s="580"/>
      <c r="Q796" s="580"/>
      <c r="R796" s="580"/>
      <c r="S796" s="580"/>
      <c r="T796" s="580"/>
      <c r="U796" s="580"/>
      <c r="V796" s="580"/>
      <c r="W796" s="580"/>
      <c r="X796" s="580"/>
      <c r="Y796" s="580"/>
      <c r="Z796" s="580"/>
      <c r="AA796" s="580"/>
      <c r="AB796" s="580"/>
    </row>
    <row r="797" ht="15.75" customHeight="1">
      <c r="A797" s="570"/>
      <c r="B797" s="570"/>
      <c r="C797" s="580"/>
      <c r="D797" s="580"/>
      <c r="E797" s="580"/>
      <c r="F797" s="580"/>
      <c r="G797" s="580"/>
      <c r="H797" s="580"/>
      <c r="I797" s="580"/>
      <c r="J797" s="580"/>
      <c r="K797" s="580"/>
      <c r="L797" s="580"/>
      <c r="M797" s="580"/>
      <c r="N797" s="580"/>
      <c r="O797" s="580"/>
      <c r="P797" s="580"/>
      <c r="Q797" s="580"/>
      <c r="R797" s="580"/>
      <c r="S797" s="580"/>
      <c r="T797" s="580"/>
      <c r="U797" s="580"/>
      <c r="V797" s="580"/>
      <c r="W797" s="580"/>
      <c r="X797" s="580"/>
      <c r="Y797" s="580"/>
      <c r="Z797" s="580"/>
      <c r="AA797" s="580"/>
      <c r="AB797" s="580"/>
    </row>
    <row r="798" ht="15.75" customHeight="1">
      <c r="A798" s="570"/>
      <c r="B798" s="570"/>
      <c r="C798" s="580"/>
      <c r="D798" s="580"/>
      <c r="E798" s="580"/>
      <c r="F798" s="580"/>
      <c r="G798" s="580"/>
      <c r="H798" s="580"/>
      <c r="I798" s="580"/>
      <c r="J798" s="580"/>
      <c r="K798" s="580"/>
      <c r="L798" s="580"/>
      <c r="M798" s="580"/>
      <c r="N798" s="580"/>
      <c r="O798" s="580"/>
      <c r="P798" s="580"/>
      <c r="Q798" s="580"/>
      <c r="R798" s="580"/>
      <c r="S798" s="580"/>
      <c r="T798" s="580"/>
      <c r="U798" s="580"/>
      <c r="V798" s="580"/>
      <c r="W798" s="580"/>
      <c r="X798" s="580"/>
      <c r="Y798" s="580"/>
      <c r="Z798" s="580"/>
      <c r="AA798" s="580"/>
      <c r="AB798" s="580"/>
    </row>
    <row r="799" ht="15.75" customHeight="1">
      <c r="A799" s="570"/>
      <c r="B799" s="570"/>
      <c r="C799" s="580"/>
      <c r="D799" s="580"/>
      <c r="E799" s="580"/>
      <c r="F799" s="580"/>
      <c r="G799" s="580"/>
      <c r="H799" s="580"/>
      <c r="I799" s="580"/>
      <c r="J799" s="580"/>
      <c r="K799" s="580"/>
      <c r="L799" s="580"/>
      <c r="M799" s="580"/>
      <c r="N799" s="580"/>
      <c r="O799" s="580"/>
      <c r="P799" s="580"/>
      <c r="Q799" s="580"/>
      <c r="R799" s="580"/>
      <c r="S799" s="580"/>
      <c r="T799" s="580"/>
      <c r="U799" s="580"/>
      <c r="V799" s="580"/>
      <c r="W799" s="580"/>
      <c r="X799" s="580"/>
      <c r="Y799" s="580"/>
      <c r="Z799" s="580"/>
      <c r="AA799" s="580"/>
      <c r="AB799" s="580"/>
    </row>
    <row r="800" ht="15.75" customHeight="1">
      <c r="A800" s="570"/>
      <c r="B800" s="570"/>
      <c r="C800" s="580"/>
      <c r="D800" s="580"/>
      <c r="E800" s="580"/>
      <c r="F800" s="580"/>
      <c r="G800" s="580"/>
      <c r="H800" s="580"/>
      <c r="I800" s="580"/>
      <c r="J800" s="580"/>
      <c r="K800" s="580"/>
      <c r="L800" s="580"/>
      <c r="M800" s="580"/>
      <c r="N800" s="580"/>
      <c r="O800" s="580"/>
      <c r="P800" s="580"/>
      <c r="Q800" s="580"/>
      <c r="R800" s="580"/>
      <c r="S800" s="580"/>
      <c r="T800" s="580"/>
      <c r="U800" s="580"/>
      <c r="V800" s="580"/>
      <c r="W800" s="580"/>
      <c r="X800" s="580"/>
      <c r="Y800" s="580"/>
      <c r="Z800" s="580"/>
      <c r="AA800" s="580"/>
      <c r="AB800" s="580"/>
    </row>
    <row r="801" ht="15.75" customHeight="1">
      <c r="A801" s="570"/>
      <c r="B801" s="570"/>
      <c r="C801" s="580"/>
      <c r="D801" s="580"/>
      <c r="E801" s="580"/>
      <c r="F801" s="580"/>
      <c r="G801" s="580"/>
      <c r="H801" s="580"/>
      <c r="I801" s="580"/>
      <c r="J801" s="580"/>
      <c r="K801" s="580"/>
      <c r="L801" s="580"/>
      <c r="M801" s="580"/>
      <c r="N801" s="580"/>
      <c r="O801" s="580"/>
      <c r="P801" s="580"/>
      <c r="Q801" s="580"/>
      <c r="R801" s="580"/>
      <c r="S801" s="580"/>
      <c r="T801" s="580"/>
      <c r="U801" s="580"/>
      <c r="V801" s="580"/>
      <c r="W801" s="580"/>
      <c r="X801" s="580"/>
      <c r="Y801" s="580"/>
      <c r="Z801" s="580"/>
      <c r="AA801" s="580"/>
      <c r="AB801" s="580"/>
    </row>
    <row r="802" ht="15.75" customHeight="1">
      <c r="A802" s="570"/>
      <c r="B802" s="570"/>
      <c r="C802" s="580"/>
      <c r="D802" s="580"/>
      <c r="E802" s="580"/>
      <c r="F802" s="580"/>
      <c r="G802" s="580"/>
      <c r="H802" s="580"/>
      <c r="I802" s="580"/>
      <c r="J802" s="580"/>
      <c r="K802" s="580"/>
      <c r="L802" s="580"/>
      <c r="M802" s="580"/>
      <c r="N802" s="580"/>
      <c r="O802" s="580"/>
      <c r="P802" s="580"/>
      <c r="Q802" s="580"/>
      <c r="R802" s="580"/>
      <c r="S802" s="580"/>
      <c r="T802" s="580"/>
      <c r="U802" s="580"/>
      <c r="V802" s="580"/>
      <c r="W802" s="580"/>
      <c r="X802" s="580"/>
      <c r="Y802" s="580"/>
      <c r="Z802" s="580"/>
      <c r="AA802" s="580"/>
      <c r="AB802" s="580"/>
    </row>
    <row r="803" ht="15.75" customHeight="1">
      <c r="A803" s="570"/>
      <c r="B803" s="570"/>
      <c r="C803" s="580"/>
      <c r="D803" s="580"/>
      <c r="E803" s="580"/>
      <c r="F803" s="580"/>
      <c r="G803" s="580"/>
      <c r="H803" s="580"/>
      <c r="I803" s="580"/>
      <c r="J803" s="580"/>
      <c r="K803" s="580"/>
      <c r="L803" s="580"/>
      <c r="M803" s="580"/>
      <c r="N803" s="580"/>
      <c r="O803" s="580"/>
      <c r="P803" s="580"/>
      <c r="Q803" s="580"/>
      <c r="R803" s="580"/>
      <c r="S803" s="580"/>
      <c r="T803" s="580"/>
      <c r="U803" s="580"/>
      <c r="V803" s="580"/>
      <c r="W803" s="580"/>
      <c r="X803" s="580"/>
      <c r="Y803" s="580"/>
      <c r="Z803" s="580"/>
      <c r="AA803" s="580"/>
      <c r="AB803" s="580"/>
    </row>
    <row r="804" ht="15.75" customHeight="1">
      <c r="A804" s="570"/>
      <c r="B804" s="570"/>
      <c r="C804" s="580"/>
      <c r="D804" s="580"/>
      <c r="E804" s="580"/>
      <c r="F804" s="580"/>
      <c r="G804" s="580"/>
      <c r="H804" s="580"/>
      <c r="I804" s="580"/>
      <c r="J804" s="580"/>
      <c r="K804" s="580"/>
      <c r="L804" s="580"/>
      <c r="M804" s="580"/>
      <c r="N804" s="580"/>
      <c r="O804" s="580"/>
      <c r="P804" s="580"/>
      <c r="Q804" s="580"/>
      <c r="R804" s="580"/>
      <c r="S804" s="580"/>
      <c r="T804" s="580"/>
      <c r="U804" s="580"/>
      <c r="V804" s="580"/>
      <c r="W804" s="580"/>
      <c r="X804" s="580"/>
      <c r="Y804" s="580"/>
      <c r="Z804" s="580"/>
      <c r="AA804" s="580"/>
      <c r="AB804" s="580"/>
    </row>
    <row r="805" ht="15.75" customHeight="1">
      <c r="A805" s="570"/>
      <c r="B805" s="570"/>
      <c r="C805" s="580"/>
      <c r="D805" s="580"/>
      <c r="E805" s="580"/>
      <c r="F805" s="580"/>
      <c r="G805" s="580"/>
      <c r="H805" s="580"/>
      <c r="I805" s="580"/>
      <c r="J805" s="580"/>
      <c r="K805" s="580"/>
      <c r="L805" s="580"/>
      <c r="M805" s="580"/>
      <c r="N805" s="580"/>
      <c r="O805" s="580"/>
      <c r="P805" s="580"/>
      <c r="Q805" s="580"/>
      <c r="R805" s="580"/>
      <c r="S805" s="580"/>
      <c r="T805" s="580"/>
      <c r="U805" s="580"/>
      <c r="V805" s="580"/>
      <c r="W805" s="580"/>
      <c r="X805" s="580"/>
      <c r="Y805" s="580"/>
      <c r="Z805" s="580"/>
      <c r="AA805" s="580"/>
      <c r="AB805" s="580"/>
    </row>
    <row r="806" ht="15.75" customHeight="1">
      <c r="A806" s="570"/>
      <c r="B806" s="570"/>
      <c r="C806" s="580"/>
      <c r="D806" s="580"/>
      <c r="E806" s="580"/>
      <c r="F806" s="580"/>
      <c r="G806" s="580"/>
      <c r="H806" s="580"/>
      <c r="I806" s="580"/>
      <c r="J806" s="580"/>
      <c r="K806" s="580"/>
      <c r="L806" s="580"/>
      <c r="M806" s="580"/>
      <c r="N806" s="580"/>
      <c r="O806" s="580"/>
      <c r="P806" s="580"/>
      <c r="Q806" s="580"/>
      <c r="R806" s="580"/>
      <c r="S806" s="580"/>
      <c r="T806" s="580"/>
      <c r="U806" s="580"/>
      <c r="V806" s="580"/>
      <c r="W806" s="580"/>
      <c r="X806" s="580"/>
      <c r="Y806" s="580"/>
      <c r="Z806" s="580"/>
      <c r="AA806" s="580"/>
      <c r="AB806" s="580"/>
    </row>
    <row r="807" ht="15.75" customHeight="1">
      <c r="A807" s="570"/>
      <c r="B807" s="570"/>
      <c r="C807" s="580"/>
      <c r="D807" s="580"/>
      <c r="E807" s="580"/>
      <c r="F807" s="580"/>
      <c r="G807" s="580"/>
      <c r="H807" s="580"/>
      <c r="I807" s="580"/>
      <c r="J807" s="580"/>
      <c r="K807" s="580"/>
      <c r="L807" s="580"/>
      <c r="M807" s="580"/>
      <c r="N807" s="580"/>
      <c r="O807" s="580"/>
      <c r="P807" s="580"/>
      <c r="Q807" s="580"/>
      <c r="R807" s="580"/>
      <c r="S807" s="580"/>
      <c r="T807" s="580"/>
      <c r="U807" s="580"/>
      <c r="V807" s="580"/>
      <c r="W807" s="580"/>
      <c r="X807" s="580"/>
      <c r="Y807" s="580"/>
      <c r="Z807" s="580"/>
      <c r="AA807" s="580"/>
      <c r="AB807" s="580"/>
    </row>
    <row r="808" ht="15.75" customHeight="1">
      <c r="A808" s="570"/>
      <c r="B808" s="570"/>
      <c r="C808" s="580"/>
      <c r="D808" s="580"/>
      <c r="E808" s="580"/>
      <c r="F808" s="580"/>
      <c r="G808" s="580"/>
      <c r="H808" s="580"/>
      <c r="I808" s="580"/>
      <c r="J808" s="580"/>
      <c r="K808" s="580"/>
      <c r="L808" s="580"/>
      <c r="M808" s="580"/>
      <c r="N808" s="580"/>
      <c r="O808" s="580"/>
      <c r="P808" s="580"/>
      <c r="Q808" s="580"/>
      <c r="R808" s="580"/>
      <c r="S808" s="580"/>
      <c r="T808" s="580"/>
      <c r="U808" s="580"/>
      <c r="V808" s="580"/>
      <c r="W808" s="580"/>
      <c r="X808" s="580"/>
      <c r="Y808" s="580"/>
      <c r="Z808" s="580"/>
      <c r="AA808" s="580"/>
      <c r="AB808" s="580"/>
    </row>
    <row r="809" ht="15.75" customHeight="1">
      <c r="A809" s="570"/>
      <c r="B809" s="570"/>
      <c r="C809" s="580"/>
      <c r="D809" s="580"/>
      <c r="E809" s="580"/>
      <c r="F809" s="580"/>
      <c r="G809" s="580"/>
      <c r="H809" s="580"/>
      <c r="I809" s="580"/>
      <c r="J809" s="580"/>
      <c r="K809" s="580"/>
      <c r="L809" s="580"/>
      <c r="M809" s="580"/>
      <c r="N809" s="580"/>
      <c r="O809" s="580"/>
      <c r="P809" s="580"/>
      <c r="Q809" s="580"/>
      <c r="R809" s="580"/>
      <c r="S809" s="580"/>
      <c r="T809" s="580"/>
      <c r="U809" s="580"/>
      <c r="V809" s="580"/>
      <c r="W809" s="580"/>
      <c r="X809" s="580"/>
      <c r="Y809" s="580"/>
      <c r="Z809" s="580"/>
      <c r="AA809" s="580"/>
      <c r="AB809" s="580"/>
    </row>
    <row r="810" ht="15.75" customHeight="1">
      <c r="A810" s="570"/>
      <c r="B810" s="570"/>
      <c r="C810" s="580"/>
      <c r="D810" s="580"/>
      <c r="E810" s="580"/>
      <c r="F810" s="580"/>
      <c r="G810" s="580"/>
      <c r="H810" s="580"/>
      <c r="I810" s="580"/>
      <c r="J810" s="580"/>
      <c r="K810" s="580"/>
      <c r="L810" s="580"/>
      <c r="M810" s="580"/>
      <c r="N810" s="580"/>
      <c r="O810" s="580"/>
      <c r="P810" s="580"/>
      <c r="Q810" s="580"/>
      <c r="R810" s="580"/>
      <c r="S810" s="580"/>
      <c r="T810" s="580"/>
      <c r="U810" s="580"/>
      <c r="V810" s="580"/>
      <c r="W810" s="580"/>
      <c r="X810" s="580"/>
      <c r="Y810" s="580"/>
      <c r="Z810" s="580"/>
      <c r="AA810" s="580"/>
      <c r="AB810" s="580"/>
    </row>
    <row r="811" ht="15.75" customHeight="1">
      <c r="A811" s="570"/>
      <c r="B811" s="570"/>
      <c r="C811" s="580"/>
      <c r="D811" s="580"/>
      <c r="E811" s="580"/>
      <c r="F811" s="580"/>
      <c r="G811" s="580"/>
      <c r="H811" s="580"/>
      <c r="I811" s="580"/>
      <c r="J811" s="580"/>
      <c r="K811" s="580"/>
      <c r="L811" s="580"/>
      <c r="M811" s="580"/>
      <c r="N811" s="580"/>
      <c r="O811" s="580"/>
      <c r="P811" s="580"/>
      <c r="Q811" s="580"/>
      <c r="R811" s="580"/>
      <c r="S811" s="580"/>
      <c r="T811" s="580"/>
      <c r="U811" s="580"/>
      <c r="V811" s="580"/>
      <c r="W811" s="580"/>
      <c r="X811" s="580"/>
      <c r="Y811" s="580"/>
      <c r="Z811" s="580"/>
      <c r="AA811" s="580"/>
      <c r="AB811" s="580"/>
    </row>
    <row r="812" ht="15.75" customHeight="1">
      <c r="A812" s="570"/>
      <c r="B812" s="570"/>
      <c r="C812" s="580"/>
      <c r="D812" s="580"/>
      <c r="E812" s="580"/>
      <c r="F812" s="580"/>
      <c r="G812" s="580"/>
      <c r="H812" s="580"/>
      <c r="I812" s="580"/>
      <c r="J812" s="580"/>
      <c r="K812" s="580"/>
      <c r="L812" s="580"/>
      <c r="M812" s="580"/>
      <c r="N812" s="580"/>
      <c r="O812" s="580"/>
      <c r="P812" s="580"/>
      <c r="Q812" s="580"/>
      <c r="R812" s="580"/>
      <c r="S812" s="580"/>
      <c r="T812" s="580"/>
      <c r="U812" s="580"/>
      <c r="V812" s="580"/>
      <c r="W812" s="580"/>
      <c r="X812" s="580"/>
      <c r="Y812" s="580"/>
      <c r="Z812" s="580"/>
      <c r="AA812" s="580"/>
      <c r="AB812" s="580"/>
    </row>
    <row r="813" ht="15.75" customHeight="1">
      <c r="A813" s="570"/>
      <c r="B813" s="570"/>
      <c r="C813" s="580"/>
      <c r="D813" s="580"/>
      <c r="E813" s="580"/>
      <c r="F813" s="580"/>
      <c r="G813" s="580"/>
      <c r="H813" s="580"/>
      <c r="I813" s="580"/>
      <c r="J813" s="580"/>
      <c r="K813" s="580"/>
      <c r="L813" s="580"/>
      <c r="M813" s="580"/>
      <c r="N813" s="580"/>
      <c r="O813" s="580"/>
      <c r="P813" s="580"/>
      <c r="Q813" s="580"/>
      <c r="R813" s="580"/>
      <c r="S813" s="580"/>
      <c r="T813" s="580"/>
      <c r="U813" s="580"/>
      <c r="V813" s="580"/>
      <c r="W813" s="580"/>
      <c r="X813" s="580"/>
      <c r="Y813" s="580"/>
      <c r="Z813" s="580"/>
      <c r="AA813" s="580"/>
      <c r="AB813" s="580"/>
    </row>
    <row r="814" ht="15.75" customHeight="1">
      <c r="A814" s="570"/>
      <c r="B814" s="570"/>
      <c r="C814" s="580"/>
      <c r="D814" s="580"/>
      <c r="E814" s="580"/>
      <c r="F814" s="580"/>
      <c r="G814" s="580"/>
      <c r="H814" s="580"/>
      <c r="I814" s="580"/>
      <c r="J814" s="580"/>
      <c r="K814" s="580"/>
      <c r="L814" s="580"/>
      <c r="M814" s="580"/>
      <c r="N814" s="580"/>
      <c r="O814" s="580"/>
      <c r="P814" s="580"/>
      <c r="Q814" s="580"/>
      <c r="R814" s="580"/>
      <c r="S814" s="580"/>
      <c r="T814" s="580"/>
      <c r="U814" s="580"/>
      <c r="V814" s="580"/>
      <c r="W814" s="580"/>
      <c r="X814" s="580"/>
      <c r="Y814" s="580"/>
      <c r="Z814" s="580"/>
      <c r="AA814" s="580"/>
      <c r="AB814" s="580"/>
    </row>
    <row r="815" ht="15.75" customHeight="1">
      <c r="A815" s="570"/>
      <c r="B815" s="570"/>
      <c r="C815" s="580"/>
      <c r="D815" s="580"/>
      <c r="E815" s="580"/>
      <c r="F815" s="580"/>
      <c r="G815" s="580"/>
      <c r="H815" s="580"/>
      <c r="I815" s="580"/>
      <c r="J815" s="580"/>
      <c r="K815" s="580"/>
      <c r="L815" s="580"/>
      <c r="M815" s="580"/>
      <c r="N815" s="580"/>
      <c r="O815" s="580"/>
      <c r="P815" s="580"/>
      <c r="Q815" s="580"/>
      <c r="R815" s="580"/>
      <c r="S815" s="580"/>
      <c r="T815" s="580"/>
      <c r="U815" s="580"/>
      <c r="V815" s="580"/>
      <c r="W815" s="580"/>
      <c r="X815" s="580"/>
      <c r="Y815" s="580"/>
      <c r="Z815" s="580"/>
      <c r="AA815" s="580"/>
      <c r="AB815" s="580"/>
    </row>
    <row r="816" ht="15.75" customHeight="1">
      <c r="A816" s="570"/>
      <c r="B816" s="570"/>
      <c r="C816" s="580"/>
      <c r="D816" s="580"/>
      <c r="E816" s="580"/>
      <c r="F816" s="580"/>
      <c r="G816" s="580"/>
      <c r="H816" s="580"/>
      <c r="I816" s="580"/>
      <c r="J816" s="580"/>
      <c r="K816" s="580"/>
      <c r="L816" s="580"/>
      <c r="M816" s="580"/>
      <c r="N816" s="580"/>
      <c r="O816" s="580"/>
      <c r="P816" s="580"/>
      <c r="Q816" s="580"/>
      <c r="R816" s="580"/>
      <c r="S816" s="580"/>
      <c r="T816" s="580"/>
      <c r="U816" s="580"/>
      <c r="V816" s="580"/>
      <c r="W816" s="580"/>
      <c r="X816" s="580"/>
      <c r="Y816" s="580"/>
      <c r="Z816" s="580"/>
      <c r="AA816" s="580"/>
      <c r="AB816" s="580"/>
    </row>
    <row r="817" ht="15.75" customHeight="1">
      <c r="A817" s="570"/>
      <c r="B817" s="570"/>
      <c r="C817" s="580"/>
      <c r="D817" s="580"/>
      <c r="E817" s="580"/>
      <c r="F817" s="580"/>
      <c r="G817" s="580"/>
      <c r="H817" s="580"/>
      <c r="I817" s="580"/>
      <c r="J817" s="580"/>
      <c r="K817" s="580"/>
      <c r="L817" s="580"/>
      <c r="M817" s="580"/>
      <c r="N817" s="580"/>
      <c r="O817" s="580"/>
      <c r="P817" s="580"/>
      <c r="Q817" s="580"/>
      <c r="R817" s="580"/>
      <c r="S817" s="580"/>
      <c r="T817" s="580"/>
      <c r="U817" s="580"/>
      <c r="V817" s="580"/>
      <c r="W817" s="580"/>
      <c r="X817" s="580"/>
      <c r="Y817" s="580"/>
      <c r="Z817" s="580"/>
      <c r="AA817" s="580"/>
      <c r="AB817" s="580"/>
    </row>
    <row r="818" ht="15.75" customHeight="1">
      <c r="A818" s="570"/>
      <c r="B818" s="570"/>
      <c r="C818" s="580"/>
      <c r="D818" s="580"/>
      <c r="E818" s="580"/>
      <c r="F818" s="580"/>
      <c r="G818" s="580"/>
      <c r="H818" s="580"/>
      <c r="I818" s="580"/>
      <c r="J818" s="580"/>
      <c r="K818" s="580"/>
      <c r="L818" s="580"/>
      <c r="M818" s="580"/>
      <c r="N818" s="580"/>
      <c r="O818" s="580"/>
      <c r="P818" s="580"/>
      <c r="Q818" s="580"/>
      <c r="R818" s="580"/>
      <c r="S818" s="580"/>
      <c r="T818" s="580"/>
      <c r="U818" s="580"/>
      <c r="V818" s="580"/>
      <c r="W818" s="580"/>
      <c r="X818" s="580"/>
      <c r="Y818" s="580"/>
      <c r="Z818" s="580"/>
      <c r="AA818" s="580"/>
      <c r="AB818" s="580"/>
    </row>
    <row r="819" ht="15.75" customHeight="1">
      <c r="A819" s="570"/>
      <c r="B819" s="570"/>
      <c r="C819" s="580"/>
      <c r="D819" s="580"/>
      <c r="E819" s="580"/>
      <c r="F819" s="580"/>
      <c r="G819" s="580"/>
      <c r="H819" s="580"/>
      <c r="I819" s="580"/>
      <c r="J819" s="580"/>
      <c r="K819" s="580"/>
      <c r="L819" s="580"/>
      <c r="M819" s="580"/>
      <c r="N819" s="580"/>
      <c r="O819" s="580"/>
      <c r="P819" s="580"/>
      <c r="Q819" s="580"/>
      <c r="R819" s="580"/>
      <c r="S819" s="580"/>
      <c r="T819" s="580"/>
      <c r="U819" s="580"/>
      <c r="V819" s="580"/>
      <c r="W819" s="580"/>
      <c r="X819" s="580"/>
      <c r="Y819" s="580"/>
      <c r="Z819" s="580"/>
      <c r="AA819" s="580"/>
      <c r="AB819" s="580"/>
    </row>
    <row r="820" ht="15.75" customHeight="1">
      <c r="A820" s="570"/>
      <c r="B820" s="570"/>
      <c r="C820" s="580"/>
      <c r="D820" s="580"/>
      <c r="E820" s="580"/>
      <c r="F820" s="580"/>
      <c r="G820" s="580"/>
      <c r="H820" s="580"/>
      <c r="I820" s="580"/>
      <c r="J820" s="580"/>
      <c r="K820" s="580"/>
      <c r="L820" s="580"/>
      <c r="M820" s="580"/>
      <c r="N820" s="580"/>
      <c r="O820" s="580"/>
      <c r="P820" s="580"/>
      <c r="Q820" s="580"/>
      <c r="R820" s="580"/>
      <c r="S820" s="580"/>
      <c r="T820" s="580"/>
      <c r="U820" s="580"/>
      <c r="V820" s="580"/>
      <c r="W820" s="580"/>
      <c r="X820" s="580"/>
      <c r="Y820" s="580"/>
      <c r="Z820" s="580"/>
      <c r="AA820" s="580"/>
      <c r="AB820" s="580"/>
    </row>
    <row r="821" ht="15.75" customHeight="1">
      <c r="A821" s="570"/>
      <c r="B821" s="570"/>
      <c r="C821" s="580"/>
      <c r="D821" s="580"/>
      <c r="E821" s="580"/>
      <c r="F821" s="580"/>
      <c r="G821" s="580"/>
      <c r="H821" s="580"/>
      <c r="I821" s="580"/>
      <c r="J821" s="580"/>
      <c r="K821" s="580"/>
      <c r="L821" s="580"/>
      <c r="M821" s="580"/>
      <c r="N821" s="580"/>
      <c r="O821" s="580"/>
      <c r="P821" s="580"/>
      <c r="Q821" s="580"/>
      <c r="R821" s="580"/>
      <c r="S821" s="580"/>
      <c r="T821" s="580"/>
      <c r="U821" s="580"/>
      <c r="V821" s="580"/>
      <c r="W821" s="580"/>
      <c r="X821" s="580"/>
      <c r="Y821" s="580"/>
      <c r="Z821" s="580"/>
      <c r="AA821" s="580"/>
      <c r="AB821" s="580"/>
    </row>
    <row r="822" ht="15.75" customHeight="1">
      <c r="A822" s="570"/>
      <c r="B822" s="570"/>
      <c r="C822" s="580"/>
      <c r="D822" s="580"/>
      <c r="E822" s="580"/>
      <c r="F822" s="580"/>
      <c r="G822" s="580"/>
      <c r="H822" s="580"/>
      <c r="I822" s="580"/>
      <c r="J822" s="580"/>
      <c r="K822" s="580"/>
      <c r="L822" s="580"/>
      <c r="M822" s="580"/>
      <c r="N822" s="580"/>
      <c r="O822" s="580"/>
      <c r="P822" s="580"/>
      <c r="Q822" s="580"/>
      <c r="R822" s="580"/>
      <c r="S822" s="580"/>
      <c r="T822" s="580"/>
      <c r="U822" s="580"/>
      <c r="V822" s="580"/>
      <c r="W822" s="580"/>
      <c r="X822" s="580"/>
      <c r="Y822" s="580"/>
      <c r="Z822" s="580"/>
      <c r="AA822" s="580"/>
      <c r="AB822" s="580"/>
    </row>
    <row r="823" ht="15.75" customHeight="1">
      <c r="A823" s="570"/>
      <c r="B823" s="570"/>
      <c r="C823" s="580"/>
      <c r="D823" s="580"/>
      <c r="E823" s="580"/>
      <c r="F823" s="580"/>
      <c r="G823" s="580"/>
      <c r="H823" s="580"/>
      <c r="I823" s="580"/>
      <c r="J823" s="580"/>
      <c r="K823" s="580"/>
      <c r="L823" s="580"/>
      <c r="M823" s="580"/>
      <c r="N823" s="580"/>
      <c r="O823" s="580"/>
      <c r="P823" s="580"/>
      <c r="Q823" s="580"/>
      <c r="R823" s="580"/>
      <c r="S823" s="580"/>
      <c r="T823" s="580"/>
      <c r="U823" s="580"/>
      <c r="V823" s="580"/>
      <c r="W823" s="580"/>
      <c r="X823" s="580"/>
      <c r="Y823" s="580"/>
      <c r="Z823" s="580"/>
      <c r="AA823" s="580"/>
      <c r="AB823" s="580"/>
    </row>
    <row r="824" ht="15.75" customHeight="1">
      <c r="A824" s="570"/>
      <c r="B824" s="570"/>
      <c r="C824" s="580"/>
      <c r="D824" s="580"/>
      <c r="E824" s="580"/>
      <c r="F824" s="580"/>
      <c r="G824" s="580"/>
      <c r="H824" s="580"/>
      <c r="I824" s="580"/>
      <c r="J824" s="580"/>
      <c r="K824" s="580"/>
      <c r="L824" s="580"/>
      <c r="M824" s="580"/>
      <c r="N824" s="580"/>
      <c r="O824" s="580"/>
      <c r="P824" s="580"/>
      <c r="Q824" s="580"/>
      <c r="R824" s="580"/>
      <c r="S824" s="580"/>
      <c r="T824" s="580"/>
      <c r="U824" s="580"/>
      <c r="V824" s="580"/>
      <c r="W824" s="580"/>
      <c r="X824" s="580"/>
      <c r="Y824" s="580"/>
      <c r="Z824" s="580"/>
      <c r="AA824" s="580"/>
      <c r="AB824" s="580"/>
    </row>
    <row r="825" ht="15.75" customHeight="1">
      <c r="A825" s="570"/>
      <c r="B825" s="570"/>
      <c r="C825" s="580"/>
      <c r="D825" s="580"/>
      <c r="E825" s="580"/>
      <c r="F825" s="580"/>
      <c r="G825" s="580"/>
      <c r="H825" s="580"/>
      <c r="I825" s="580"/>
      <c r="J825" s="580"/>
      <c r="K825" s="580"/>
      <c r="L825" s="580"/>
      <c r="M825" s="580"/>
      <c r="N825" s="580"/>
      <c r="O825" s="580"/>
      <c r="P825" s="580"/>
      <c r="Q825" s="580"/>
      <c r="R825" s="580"/>
      <c r="S825" s="580"/>
      <c r="T825" s="580"/>
      <c r="U825" s="580"/>
      <c r="V825" s="580"/>
      <c r="W825" s="580"/>
      <c r="X825" s="580"/>
      <c r="Y825" s="580"/>
      <c r="Z825" s="580"/>
      <c r="AA825" s="580"/>
      <c r="AB825" s="580"/>
    </row>
    <row r="826" ht="15.75" customHeight="1">
      <c r="A826" s="570"/>
      <c r="B826" s="570"/>
      <c r="C826" s="580"/>
      <c r="D826" s="580"/>
      <c r="E826" s="580"/>
      <c r="F826" s="580"/>
      <c r="G826" s="580"/>
      <c r="H826" s="580"/>
      <c r="I826" s="580"/>
      <c r="J826" s="580"/>
      <c r="K826" s="580"/>
      <c r="L826" s="580"/>
      <c r="M826" s="580"/>
      <c r="N826" s="580"/>
      <c r="O826" s="580"/>
      <c r="P826" s="580"/>
      <c r="Q826" s="580"/>
      <c r="R826" s="580"/>
      <c r="S826" s="580"/>
      <c r="T826" s="580"/>
      <c r="U826" s="580"/>
      <c r="V826" s="580"/>
      <c r="W826" s="580"/>
      <c r="X826" s="580"/>
      <c r="Y826" s="580"/>
      <c r="Z826" s="580"/>
      <c r="AA826" s="580"/>
      <c r="AB826" s="580"/>
    </row>
    <row r="827" ht="15.75" customHeight="1">
      <c r="A827" s="570"/>
      <c r="B827" s="570"/>
      <c r="C827" s="580"/>
      <c r="D827" s="580"/>
      <c r="E827" s="580"/>
      <c r="F827" s="580"/>
      <c r="G827" s="580"/>
      <c r="H827" s="580"/>
      <c r="I827" s="580"/>
      <c r="J827" s="580"/>
      <c r="K827" s="580"/>
      <c r="L827" s="580"/>
      <c r="M827" s="580"/>
      <c r="N827" s="580"/>
      <c r="O827" s="580"/>
      <c r="P827" s="580"/>
      <c r="Q827" s="580"/>
      <c r="R827" s="580"/>
      <c r="S827" s="580"/>
      <c r="T827" s="580"/>
      <c r="U827" s="580"/>
      <c r="V827" s="580"/>
      <c r="W827" s="580"/>
      <c r="X827" s="580"/>
      <c r="Y827" s="580"/>
      <c r="Z827" s="580"/>
      <c r="AA827" s="580"/>
      <c r="AB827" s="580"/>
    </row>
    <row r="828" ht="15.75" customHeight="1">
      <c r="A828" s="570"/>
      <c r="B828" s="570"/>
      <c r="C828" s="580"/>
      <c r="D828" s="580"/>
      <c r="E828" s="580"/>
      <c r="F828" s="580"/>
      <c r="G828" s="580"/>
      <c r="H828" s="580"/>
      <c r="I828" s="580"/>
      <c r="J828" s="580"/>
      <c r="K828" s="580"/>
      <c r="L828" s="580"/>
      <c r="M828" s="580"/>
      <c r="N828" s="580"/>
      <c r="O828" s="580"/>
      <c r="P828" s="580"/>
      <c r="Q828" s="580"/>
      <c r="R828" s="580"/>
      <c r="S828" s="580"/>
      <c r="T828" s="580"/>
      <c r="U828" s="580"/>
      <c r="V828" s="580"/>
      <c r="W828" s="580"/>
      <c r="X828" s="580"/>
      <c r="Y828" s="580"/>
      <c r="Z828" s="580"/>
      <c r="AA828" s="580"/>
      <c r="AB828" s="580"/>
    </row>
    <row r="829" ht="15.75" customHeight="1">
      <c r="A829" s="570"/>
      <c r="B829" s="570"/>
      <c r="C829" s="580"/>
      <c r="D829" s="580"/>
      <c r="E829" s="580"/>
      <c r="F829" s="580"/>
      <c r="G829" s="580"/>
      <c r="H829" s="580"/>
      <c r="I829" s="580"/>
      <c r="J829" s="580"/>
      <c r="K829" s="580"/>
      <c r="L829" s="580"/>
      <c r="M829" s="580"/>
      <c r="N829" s="580"/>
      <c r="O829" s="580"/>
      <c r="P829" s="580"/>
      <c r="Q829" s="580"/>
      <c r="R829" s="580"/>
      <c r="S829" s="580"/>
      <c r="T829" s="580"/>
      <c r="U829" s="580"/>
      <c r="V829" s="580"/>
      <c r="W829" s="580"/>
      <c r="X829" s="580"/>
      <c r="Y829" s="580"/>
      <c r="Z829" s="580"/>
      <c r="AA829" s="580"/>
      <c r="AB829" s="580"/>
    </row>
    <row r="830" ht="15.75" customHeight="1">
      <c r="A830" s="570"/>
      <c r="B830" s="570"/>
      <c r="C830" s="580"/>
      <c r="D830" s="580"/>
      <c r="E830" s="580"/>
      <c r="F830" s="580"/>
      <c r="G830" s="580"/>
      <c r="H830" s="580"/>
      <c r="I830" s="580"/>
      <c r="J830" s="580"/>
      <c r="K830" s="580"/>
      <c r="L830" s="580"/>
      <c r="M830" s="580"/>
      <c r="N830" s="580"/>
      <c r="O830" s="580"/>
      <c r="P830" s="580"/>
      <c r="Q830" s="580"/>
      <c r="R830" s="580"/>
      <c r="S830" s="580"/>
      <c r="T830" s="580"/>
      <c r="U830" s="580"/>
      <c r="V830" s="580"/>
      <c r="W830" s="580"/>
      <c r="X830" s="580"/>
      <c r="Y830" s="580"/>
      <c r="Z830" s="580"/>
      <c r="AA830" s="580"/>
      <c r="AB830" s="580"/>
    </row>
    <row r="831" ht="15.75" customHeight="1">
      <c r="A831" s="570"/>
      <c r="B831" s="570"/>
      <c r="C831" s="580"/>
      <c r="D831" s="580"/>
      <c r="E831" s="580"/>
      <c r="F831" s="580"/>
      <c r="G831" s="580"/>
      <c r="H831" s="580"/>
      <c r="I831" s="580"/>
      <c r="J831" s="580"/>
      <c r="K831" s="580"/>
      <c r="L831" s="580"/>
      <c r="M831" s="580"/>
      <c r="N831" s="580"/>
      <c r="O831" s="580"/>
      <c r="P831" s="580"/>
      <c r="Q831" s="580"/>
      <c r="R831" s="580"/>
      <c r="S831" s="580"/>
      <c r="T831" s="580"/>
      <c r="U831" s="580"/>
      <c r="V831" s="580"/>
      <c r="W831" s="580"/>
      <c r="X831" s="580"/>
      <c r="Y831" s="580"/>
      <c r="Z831" s="580"/>
      <c r="AA831" s="580"/>
      <c r="AB831" s="580"/>
    </row>
    <row r="832" ht="15.75" customHeight="1">
      <c r="A832" s="570"/>
      <c r="B832" s="570"/>
      <c r="C832" s="580"/>
      <c r="D832" s="580"/>
      <c r="E832" s="580"/>
      <c r="F832" s="580"/>
      <c r="G832" s="580"/>
      <c r="H832" s="580"/>
      <c r="I832" s="580"/>
      <c r="J832" s="580"/>
      <c r="K832" s="580"/>
      <c r="L832" s="580"/>
      <c r="M832" s="580"/>
      <c r="N832" s="580"/>
      <c r="O832" s="580"/>
      <c r="P832" s="580"/>
      <c r="Q832" s="580"/>
      <c r="R832" s="580"/>
      <c r="S832" s="580"/>
      <c r="T832" s="580"/>
      <c r="U832" s="580"/>
      <c r="V832" s="580"/>
      <c r="W832" s="580"/>
      <c r="X832" s="580"/>
      <c r="Y832" s="580"/>
      <c r="Z832" s="580"/>
      <c r="AA832" s="580"/>
      <c r="AB832" s="580"/>
    </row>
    <row r="833" ht="15.75" customHeight="1">
      <c r="A833" s="570"/>
      <c r="B833" s="570"/>
      <c r="C833" s="580"/>
      <c r="D833" s="580"/>
      <c r="E833" s="580"/>
      <c r="F833" s="580"/>
      <c r="G833" s="580"/>
      <c r="H833" s="580"/>
      <c r="I833" s="580"/>
      <c r="J833" s="580"/>
      <c r="K833" s="580"/>
      <c r="L833" s="580"/>
      <c r="M833" s="580"/>
      <c r="N833" s="580"/>
      <c r="O833" s="580"/>
      <c r="P833" s="580"/>
      <c r="Q833" s="580"/>
      <c r="R833" s="580"/>
      <c r="S833" s="580"/>
      <c r="T833" s="580"/>
      <c r="U833" s="580"/>
      <c r="V833" s="580"/>
      <c r="W833" s="580"/>
      <c r="X833" s="580"/>
      <c r="Y833" s="580"/>
      <c r="Z833" s="580"/>
      <c r="AA833" s="580"/>
      <c r="AB833" s="580"/>
    </row>
    <row r="834" ht="15.75" customHeight="1">
      <c r="A834" s="570"/>
      <c r="B834" s="570"/>
      <c r="C834" s="580"/>
      <c r="D834" s="580"/>
      <c r="E834" s="580"/>
      <c r="F834" s="580"/>
      <c r="G834" s="580"/>
      <c r="H834" s="580"/>
      <c r="I834" s="580"/>
      <c r="J834" s="580"/>
      <c r="K834" s="580"/>
      <c r="L834" s="580"/>
      <c r="M834" s="580"/>
      <c r="N834" s="580"/>
      <c r="O834" s="580"/>
      <c r="P834" s="580"/>
      <c r="Q834" s="580"/>
      <c r="R834" s="580"/>
      <c r="S834" s="580"/>
      <c r="T834" s="580"/>
      <c r="U834" s="580"/>
      <c r="V834" s="580"/>
      <c r="W834" s="580"/>
      <c r="X834" s="580"/>
      <c r="Y834" s="580"/>
      <c r="Z834" s="580"/>
      <c r="AA834" s="580"/>
      <c r="AB834" s="580"/>
    </row>
    <row r="835" ht="15.75" customHeight="1">
      <c r="A835" s="570"/>
      <c r="B835" s="570"/>
      <c r="C835" s="580"/>
      <c r="D835" s="580"/>
      <c r="E835" s="580"/>
      <c r="F835" s="580"/>
      <c r="G835" s="580"/>
      <c r="H835" s="580"/>
      <c r="I835" s="580"/>
      <c r="J835" s="580"/>
      <c r="K835" s="580"/>
      <c r="L835" s="580"/>
      <c r="M835" s="580"/>
      <c r="N835" s="580"/>
      <c r="O835" s="580"/>
      <c r="P835" s="580"/>
      <c r="Q835" s="580"/>
      <c r="R835" s="580"/>
      <c r="S835" s="580"/>
      <c r="T835" s="580"/>
      <c r="U835" s="580"/>
      <c r="V835" s="580"/>
      <c r="W835" s="580"/>
      <c r="X835" s="580"/>
      <c r="Y835" s="580"/>
      <c r="Z835" s="580"/>
      <c r="AA835" s="580"/>
      <c r="AB835" s="580"/>
    </row>
    <row r="836" ht="15.75" customHeight="1">
      <c r="A836" s="570"/>
      <c r="B836" s="570"/>
      <c r="C836" s="580"/>
      <c r="D836" s="580"/>
      <c r="E836" s="580"/>
      <c r="F836" s="580"/>
      <c r="G836" s="580"/>
      <c r="H836" s="580"/>
      <c r="I836" s="580"/>
      <c r="J836" s="580"/>
      <c r="K836" s="580"/>
      <c r="L836" s="580"/>
      <c r="M836" s="580"/>
      <c r="N836" s="580"/>
      <c r="O836" s="580"/>
      <c r="P836" s="580"/>
      <c r="Q836" s="580"/>
      <c r="R836" s="580"/>
      <c r="S836" s="580"/>
      <c r="T836" s="580"/>
      <c r="U836" s="580"/>
      <c r="V836" s="580"/>
      <c r="W836" s="580"/>
      <c r="X836" s="580"/>
      <c r="Y836" s="580"/>
      <c r="Z836" s="580"/>
      <c r="AA836" s="580"/>
      <c r="AB836" s="580"/>
    </row>
    <row r="837" ht="15.75" customHeight="1">
      <c r="A837" s="570"/>
      <c r="B837" s="570"/>
      <c r="C837" s="580"/>
      <c r="D837" s="580"/>
      <c r="E837" s="580"/>
      <c r="F837" s="580"/>
      <c r="G837" s="580"/>
      <c r="H837" s="580"/>
      <c r="I837" s="580"/>
      <c r="J837" s="580"/>
      <c r="K837" s="580"/>
      <c r="L837" s="580"/>
      <c r="M837" s="580"/>
      <c r="N837" s="580"/>
      <c r="O837" s="580"/>
      <c r="P837" s="580"/>
      <c r="Q837" s="580"/>
      <c r="R837" s="580"/>
      <c r="S837" s="580"/>
      <c r="T837" s="580"/>
      <c r="U837" s="580"/>
      <c r="V837" s="580"/>
      <c r="W837" s="580"/>
      <c r="X837" s="580"/>
      <c r="Y837" s="580"/>
      <c r="Z837" s="580"/>
      <c r="AA837" s="580"/>
      <c r="AB837" s="580"/>
    </row>
    <row r="838" ht="15.75" customHeight="1">
      <c r="A838" s="570"/>
      <c r="B838" s="570"/>
      <c r="C838" s="580"/>
      <c r="D838" s="580"/>
      <c r="E838" s="580"/>
      <c r="F838" s="580"/>
      <c r="G838" s="580"/>
      <c r="H838" s="580"/>
      <c r="I838" s="580"/>
      <c r="J838" s="580"/>
      <c r="K838" s="580"/>
      <c r="L838" s="580"/>
      <c r="M838" s="580"/>
      <c r="N838" s="580"/>
      <c r="O838" s="580"/>
      <c r="P838" s="580"/>
      <c r="Q838" s="580"/>
      <c r="R838" s="580"/>
      <c r="S838" s="580"/>
      <c r="T838" s="580"/>
      <c r="U838" s="580"/>
      <c r="V838" s="580"/>
      <c r="W838" s="580"/>
      <c r="X838" s="580"/>
      <c r="Y838" s="580"/>
      <c r="Z838" s="580"/>
      <c r="AA838" s="580"/>
      <c r="AB838" s="580"/>
    </row>
    <row r="839" ht="15.75" customHeight="1">
      <c r="A839" s="570"/>
      <c r="B839" s="570"/>
      <c r="C839" s="580"/>
      <c r="D839" s="580"/>
      <c r="E839" s="580"/>
      <c r="F839" s="580"/>
      <c r="G839" s="580"/>
      <c r="H839" s="580"/>
      <c r="I839" s="580"/>
      <c r="J839" s="580"/>
      <c r="K839" s="580"/>
      <c r="L839" s="580"/>
      <c r="M839" s="580"/>
      <c r="N839" s="580"/>
      <c r="O839" s="580"/>
      <c r="P839" s="580"/>
      <c r="Q839" s="580"/>
      <c r="R839" s="580"/>
      <c r="S839" s="580"/>
      <c r="T839" s="580"/>
      <c r="U839" s="580"/>
      <c r="V839" s="580"/>
      <c r="W839" s="580"/>
      <c r="X839" s="580"/>
      <c r="Y839" s="580"/>
      <c r="Z839" s="580"/>
      <c r="AA839" s="580"/>
      <c r="AB839" s="580"/>
    </row>
    <row r="840" ht="15.75" customHeight="1">
      <c r="A840" s="570"/>
      <c r="B840" s="570"/>
      <c r="C840" s="580"/>
      <c r="D840" s="580"/>
      <c r="E840" s="580"/>
      <c r="F840" s="580"/>
      <c r="G840" s="580"/>
      <c r="H840" s="580"/>
      <c r="I840" s="580"/>
      <c r="J840" s="580"/>
      <c r="K840" s="580"/>
      <c r="L840" s="580"/>
      <c r="M840" s="580"/>
      <c r="N840" s="580"/>
      <c r="O840" s="580"/>
      <c r="P840" s="580"/>
      <c r="Q840" s="580"/>
      <c r="R840" s="580"/>
      <c r="S840" s="580"/>
      <c r="T840" s="580"/>
      <c r="U840" s="580"/>
      <c r="V840" s="580"/>
      <c r="W840" s="580"/>
      <c r="X840" s="580"/>
      <c r="Y840" s="580"/>
      <c r="Z840" s="580"/>
      <c r="AA840" s="580"/>
      <c r="AB840" s="580"/>
    </row>
    <row r="841" ht="15.75" customHeight="1">
      <c r="A841" s="570"/>
      <c r="B841" s="570"/>
      <c r="C841" s="580"/>
      <c r="D841" s="580"/>
      <c r="E841" s="580"/>
      <c r="F841" s="580"/>
      <c r="G841" s="580"/>
      <c r="H841" s="580"/>
      <c r="I841" s="580"/>
      <c r="J841" s="580"/>
      <c r="K841" s="580"/>
      <c r="L841" s="580"/>
      <c r="M841" s="580"/>
      <c r="N841" s="580"/>
      <c r="O841" s="580"/>
      <c r="P841" s="580"/>
      <c r="Q841" s="580"/>
      <c r="R841" s="580"/>
      <c r="S841" s="580"/>
      <c r="T841" s="580"/>
      <c r="U841" s="580"/>
      <c r="V841" s="580"/>
      <c r="W841" s="580"/>
      <c r="X841" s="580"/>
      <c r="Y841" s="580"/>
      <c r="Z841" s="580"/>
      <c r="AA841" s="580"/>
      <c r="AB841" s="580"/>
    </row>
    <row r="842" ht="15.75" customHeight="1">
      <c r="A842" s="570"/>
      <c r="B842" s="570"/>
      <c r="C842" s="580"/>
      <c r="D842" s="580"/>
      <c r="E842" s="580"/>
      <c r="F842" s="580"/>
      <c r="G842" s="580"/>
      <c r="H842" s="580"/>
      <c r="I842" s="580"/>
      <c r="J842" s="580"/>
      <c r="K842" s="580"/>
      <c r="L842" s="580"/>
      <c r="M842" s="580"/>
      <c r="N842" s="580"/>
      <c r="O842" s="580"/>
      <c r="P842" s="580"/>
      <c r="Q842" s="580"/>
      <c r="R842" s="580"/>
      <c r="S842" s="580"/>
      <c r="T842" s="580"/>
      <c r="U842" s="580"/>
      <c r="V842" s="580"/>
      <c r="W842" s="580"/>
      <c r="X842" s="580"/>
      <c r="Y842" s="580"/>
      <c r="Z842" s="580"/>
      <c r="AA842" s="580"/>
      <c r="AB842" s="580"/>
    </row>
    <row r="843" ht="15.75" customHeight="1">
      <c r="A843" s="570"/>
      <c r="B843" s="570"/>
      <c r="C843" s="580"/>
      <c r="D843" s="580"/>
      <c r="E843" s="580"/>
      <c r="F843" s="580"/>
      <c r="G843" s="580"/>
      <c r="H843" s="580"/>
      <c r="I843" s="580"/>
      <c r="J843" s="580"/>
      <c r="K843" s="580"/>
      <c r="L843" s="580"/>
      <c r="M843" s="580"/>
      <c r="N843" s="580"/>
      <c r="O843" s="580"/>
      <c r="P843" s="580"/>
      <c r="Q843" s="580"/>
      <c r="R843" s="580"/>
      <c r="S843" s="580"/>
      <c r="T843" s="580"/>
      <c r="U843" s="580"/>
      <c r="V843" s="580"/>
      <c r="W843" s="580"/>
      <c r="X843" s="580"/>
      <c r="Y843" s="580"/>
      <c r="Z843" s="580"/>
      <c r="AA843" s="580"/>
      <c r="AB843" s="580"/>
    </row>
    <row r="844" ht="15.75" customHeight="1">
      <c r="A844" s="570"/>
      <c r="B844" s="570"/>
      <c r="C844" s="580"/>
      <c r="D844" s="580"/>
      <c r="E844" s="580"/>
      <c r="F844" s="580"/>
      <c r="G844" s="580"/>
      <c r="H844" s="580"/>
      <c r="I844" s="580"/>
      <c r="J844" s="580"/>
      <c r="K844" s="580"/>
      <c r="L844" s="580"/>
      <c r="M844" s="580"/>
      <c r="N844" s="580"/>
      <c r="O844" s="580"/>
      <c r="P844" s="580"/>
      <c r="Q844" s="580"/>
      <c r="R844" s="580"/>
      <c r="S844" s="580"/>
      <c r="T844" s="580"/>
      <c r="U844" s="580"/>
      <c r="V844" s="580"/>
      <c r="W844" s="580"/>
      <c r="X844" s="580"/>
      <c r="Y844" s="580"/>
      <c r="Z844" s="580"/>
      <c r="AA844" s="580"/>
      <c r="AB844" s="580"/>
    </row>
    <row r="845" ht="15.75" customHeight="1">
      <c r="A845" s="570"/>
      <c r="B845" s="570"/>
      <c r="C845" s="580"/>
      <c r="D845" s="580"/>
      <c r="E845" s="580"/>
      <c r="F845" s="580"/>
      <c r="G845" s="580"/>
      <c r="H845" s="580"/>
      <c r="I845" s="580"/>
      <c r="J845" s="580"/>
      <c r="K845" s="580"/>
      <c r="L845" s="580"/>
      <c r="M845" s="580"/>
      <c r="N845" s="580"/>
      <c r="O845" s="580"/>
      <c r="P845" s="580"/>
      <c r="Q845" s="580"/>
      <c r="R845" s="580"/>
      <c r="S845" s="580"/>
      <c r="T845" s="580"/>
      <c r="U845" s="580"/>
      <c r="V845" s="580"/>
      <c r="W845" s="580"/>
      <c r="X845" s="580"/>
      <c r="Y845" s="580"/>
      <c r="Z845" s="580"/>
      <c r="AA845" s="580"/>
      <c r="AB845" s="580"/>
    </row>
    <row r="846" ht="15.75" customHeight="1">
      <c r="A846" s="570"/>
      <c r="B846" s="570"/>
      <c r="C846" s="580"/>
      <c r="D846" s="580"/>
      <c r="E846" s="580"/>
      <c r="F846" s="580"/>
      <c r="G846" s="580"/>
      <c r="H846" s="580"/>
      <c r="I846" s="580"/>
      <c r="J846" s="580"/>
      <c r="K846" s="580"/>
      <c r="L846" s="580"/>
      <c r="M846" s="580"/>
      <c r="N846" s="580"/>
      <c r="O846" s="580"/>
      <c r="P846" s="580"/>
      <c r="Q846" s="580"/>
      <c r="R846" s="580"/>
      <c r="S846" s="580"/>
      <c r="T846" s="580"/>
      <c r="U846" s="580"/>
      <c r="V846" s="580"/>
      <c r="W846" s="580"/>
      <c r="X846" s="580"/>
      <c r="Y846" s="580"/>
      <c r="Z846" s="580"/>
      <c r="AA846" s="580"/>
      <c r="AB846" s="580"/>
    </row>
    <row r="847" ht="15.75" customHeight="1">
      <c r="A847" s="570"/>
      <c r="B847" s="570"/>
      <c r="C847" s="580"/>
      <c r="D847" s="580"/>
      <c r="E847" s="580"/>
      <c r="F847" s="580"/>
      <c r="G847" s="580"/>
      <c r="H847" s="580"/>
      <c r="I847" s="580"/>
      <c r="J847" s="580"/>
      <c r="K847" s="580"/>
      <c r="L847" s="580"/>
      <c r="M847" s="580"/>
      <c r="N847" s="580"/>
      <c r="O847" s="580"/>
      <c r="P847" s="580"/>
      <c r="Q847" s="580"/>
      <c r="R847" s="580"/>
      <c r="S847" s="580"/>
      <c r="T847" s="580"/>
      <c r="U847" s="580"/>
      <c r="V847" s="580"/>
      <c r="W847" s="580"/>
      <c r="X847" s="580"/>
      <c r="Y847" s="580"/>
      <c r="Z847" s="580"/>
      <c r="AA847" s="580"/>
      <c r="AB847" s="580"/>
    </row>
    <row r="848" ht="15.75" customHeight="1">
      <c r="A848" s="570"/>
      <c r="B848" s="570"/>
      <c r="C848" s="580"/>
      <c r="D848" s="580"/>
      <c r="E848" s="580"/>
      <c r="F848" s="580"/>
      <c r="G848" s="580"/>
      <c r="H848" s="580"/>
      <c r="I848" s="580"/>
      <c r="J848" s="580"/>
      <c r="K848" s="580"/>
      <c r="L848" s="580"/>
      <c r="M848" s="580"/>
      <c r="N848" s="580"/>
      <c r="O848" s="580"/>
      <c r="P848" s="580"/>
      <c r="Q848" s="580"/>
      <c r="R848" s="580"/>
      <c r="S848" s="580"/>
      <c r="T848" s="580"/>
      <c r="U848" s="580"/>
      <c r="V848" s="580"/>
      <c r="W848" s="580"/>
      <c r="X848" s="580"/>
      <c r="Y848" s="580"/>
      <c r="Z848" s="580"/>
      <c r="AA848" s="580"/>
      <c r="AB848" s="580"/>
    </row>
    <row r="849" ht="15.75" customHeight="1">
      <c r="A849" s="570"/>
      <c r="B849" s="570"/>
      <c r="C849" s="580"/>
      <c r="D849" s="580"/>
      <c r="E849" s="580"/>
      <c r="F849" s="580"/>
      <c r="G849" s="580"/>
      <c r="H849" s="580"/>
      <c r="I849" s="580"/>
      <c r="J849" s="580"/>
      <c r="K849" s="580"/>
      <c r="L849" s="580"/>
      <c r="M849" s="580"/>
      <c r="N849" s="580"/>
      <c r="O849" s="580"/>
      <c r="P849" s="580"/>
      <c r="Q849" s="580"/>
      <c r="R849" s="580"/>
      <c r="S849" s="580"/>
      <c r="T849" s="580"/>
      <c r="U849" s="580"/>
      <c r="V849" s="580"/>
      <c r="W849" s="580"/>
      <c r="X849" s="580"/>
      <c r="Y849" s="580"/>
      <c r="Z849" s="580"/>
      <c r="AA849" s="580"/>
      <c r="AB849" s="580"/>
    </row>
    <row r="850" ht="15.75" customHeight="1">
      <c r="A850" s="570"/>
      <c r="B850" s="570"/>
      <c r="C850" s="580"/>
      <c r="D850" s="580"/>
      <c r="E850" s="580"/>
      <c r="F850" s="580"/>
      <c r="G850" s="580"/>
      <c r="H850" s="580"/>
      <c r="I850" s="580"/>
      <c r="J850" s="580"/>
      <c r="K850" s="580"/>
      <c r="L850" s="580"/>
      <c r="M850" s="580"/>
      <c r="N850" s="580"/>
      <c r="O850" s="580"/>
      <c r="P850" s="580"/>
      <c r="Q850" s="580"/>
      <c r="R850" s="580"/>
      <c r="S850" s="580"/>
      <c r="T850" s="580"/>
      <c r="U850" s="580"/>
      <c r="V850" s="580"/>
      <c r="W850" s="580"/>
      <c r="X850" s="580"/>
      <c r="Y850" s="580"/>
      <c r="Z850" s="580"/>
      <c r="AA850" s="580"/>
      <c r="AB850" s="580"/>
    </row>
    <row r="851" ht="15.75" customHeight="1">
      <c r="A851" s="570"/>
      <c r="B851" s="570"/>
      <c r="C851" s="580"/>
      <c r="D851" s="580"/>
      <c r="E851" s="580"/>
      <c r="F851" s="580"/>
      <c r="G851" s="580"/>
      <c r="H851" s="580"/>
      <c r="I851" s="580"/>
      <c r="J851" s="580"/>
      <c r="K851" s="580"/>
      <c r="L851" s="580"/>
      <c r="M851" s="580"/>
      <c r="N851" s="580"/>
      <c r="O851" s="580"/>
      <c r="P851" s="580"/>
      <c r="Q851" s="580"/>
      <c r="R851" s="580"/>
      <c r="S851" s="580"/>
      <c r="T851" s="580"/>
      <c r="U851" s="580"/>
      <c r="V851" s="580"/>
      <c r="W851" s="580"/>
      <c r="X851" s="580"/>
      <c r="Y851" s="580"/>
      <c r="Z851" s="580"/>
      <c r="AA851" s="580"/>
      <c r="AB851" s="580"/>
    </row>
    <row r="852" ht="15.75" customHeight="1">
      <c r="A852" s="570"/>
      <c r="B852" s="570"/>
      <c r="C852" s="580"/>
      <c r="D852" s="580"/>
      <c r="E852" s="580"/>
      <c r="F852" s="580"/>
      <c r="G852" s="580"/>
      <c r="H852" s="580"/>
      <c r="I852" s="580"/>
      <c r="J852" s="580"/>
      <c r="K852" s="580"/>
      <c r="L852" s="580"/>
      <c r="M852" s="580"/>
      <c r="N852" s="580"/>
      <c r="O852" s="580"/>
      <c r="P852" s="580"/>
      <c r="Q852" s="580"/>
      <c r="R852" s="580"/>
      <c r="S852" s="580"/>
      <c r="T852" s="580"/>
      <c r="U852" s="580"/>
      <c r="V852" s="580"/>
      <c r="W852" s="580"/>
      <c r="X852" s="580"/>
      <c r="Y852" s="580"/>
      <c r="Z852" s="580"/>
      <c r="AA852" s="580"/>
      <c r="AB852" s="580"/>
    </row>
    <row r="853" ht="15.75" customHeight="1">
      <c r="A853" s="570"/>
      <c r="B853" s="570"/>
      <c r="C853" s="580"/>
      <c r="D853" s="580"/>
      <c r="E853" s="580"/>
      <c r="F853" s="580"/>
      <c r="G853" s="580"/>
      <c r="H853" s="580"/>
      <c r="I853" s="580"/>
      <c r="J853" s="580"/>
      <c r="K853" s="580"/>
      <c r="L853" s="580"/>
      <c r="M853" s="580"/>
      <c r="N853" s="580"/>
      <c r="O853" s="580"/>
      <c r="P853" s="580"/>
      <c r="Q853" s="580"/>
      <c r="R853" s="580"/>
      <c r="S853" s="580"/>
      <c r="T853" s="580"/>
      <c r="U853" s="580"/>
      <c r="V853" s="580"/>
      <c r="W853" s="580"/>
      <c r="X853" s="580"/>
      <c r="Y853" s="580"/>
      <c r="Z853" s="580"/>
      <c r="AA853" s="580"/>
      <c r="AB853" s="580"/>
    </row>
    <row r="854" ht="15.75" customHeight="1">
      <c r="A854" s="570"/>
      <c r="B854" s="570"/>
      <c r="C854" s="580"/>
      <c r="D854" s="580"/>
      <c r="E854" s="580"/>
      <c r="F854" s="580"/>
      <c r="G854" s="580"/>
      <c r="H854" s="580"/>
      <c r="I854" s="580"/>
      <c r="J854" s="580"/>
      <c r="K854" s="580"/>
      <c r="L854" s="580"/>
      <c r="M854" s="580"/>
      <c r="N854" s="580"/>
      <c r="O854" s="580"/>
      <c r="P854" s="580"/>
      <c r="Q854" s="580"/>
      <c r="R854" s="580"/>
      <c r="S854" s="580"/>
      <c r="T854" s="580"/>
      <c r="U854" s="580"/>
      <c r="V854" s="580"/>
      <c r="W854" s="580"/>
      <c r="X854" s="580"/>
      <c r="Y854" s="580"/>
      <c r="Z854" s="580"/>
      <c r="AA854" s="580"/>
      <c r="AB854" s="580"/>
    </row>
    <row r="855" ht="15.75" customHeight="1">
      <c r="A855" s="570"/>
      <c r="B855" s="570"/>
      <c r="C855" s="580"/>
      <c r="D855" s="580"/>
      <c r="E855" s="580"/>
      <c r="F855" s="580"/>
      <c r="G855" s="580"/>
      <c r="H855" s="580"/>
      <c r="I855" s="580"/>
      <c r="J855" s="580"/>
      <c r="K855" s="580"/>
      <c r="L855" s="580"/>
      <c r="M855" s="580"/>
      <c r="N855" s="580"/>
      <c r="O855" s="580"/>
      <c r="P855" s="580"/>
      <c r="Q855" s="580"/>
      <c r="R855" s="580"/>
      <c r="S855" s="580"/>
      <c r="T855" s="580"/>
      <c r="U855" s="580"/>
      <c r="V855" s="580"/>
      <c r="W855" s="580"/>
      <c r="X855" s="580"/>
      <c r="Y855" s="580"/>
      <c r="Z855" s="580"/>
      <c r="AA855" s="580"/>
      <c r="AB855" s="580"/>
    </row>
    <row r="856" ht="15.75" customHeight="1">
      <c r="A856" s="570"/>
      <c r="B856" s="570"/>
      <c r="C856" s="580"/>
      <c r="D856" s="580"/>
      <c r="E856" s="580"/>
      <c r="F856" s="580"/>
      <c r="G856" s="580"/>
      <c r="H856" s="580"/>
      <c r="I856" s="580"/>
      <c r="J856" s="580"/>
      <c r="K856" s="580"/>
      <c r="L856" s="580"/>
      <c r="M856" s="580"/>
      <c r="N856" s="580"/>
      <c r="O856" s="580"/>
      <c r="P856" s="580"/>
      <c r="Q856" s="580"/>
      <c r="R856" s="580"/>
      <c r="S856" s="580"/>
      <c r="T856" s="580"/>
      <c r="U856" s="580"/>
      <c r="V856" s="580"/>
      <c r="W856" s="580"/>
      <c r="X856" s="580"/>
      <c r="Y856" s="580"/>
      <c r="Z856" s="580"/>
      <c r="AA856" s="580"/>
      <c r="AB856" s="580"/>
    </row>
    <row r="857" ht="15.75" customHeight="1">
      <c r="A857" s="570"/>
      <c r="B857" s="570"/>
      <c r="C857" s="580"/>
      <c r="D857" s="580"/>
      <c r="E857" s="580"/>
      <c r="F857" s="580"/>
      <c r="G857" s="580"/>
      <c r="H857" s="580"/>
      <c r="I857" s="580"/>
      <c r="J857" s="580"/>
      <c r="K857" s="580"/>
      <c r="L857" s="580"/>
      <c r="M857" s="580"/>
      <c r="N857" s="580"/>
      <c r="O857" s="580"/>
      <c r="P857" s="580"/>
      <c r="Q857" s="580"/>
      <c r="R857" s="580"/>
      <c r="S857" s="580"/>
      <c r="T857" s="580"/>
      <c r="U857" s="580"/>
      <c r="V857" s="580"/>
      <c r="W857" s="580"/>
      <c r="X857" s="580"/>
      <c r="Y857" s="580"/>
      <c r="Z857" s="580"/>
      <c r="AA857" s="580"/>
      <c r="AB857" s="580"/>
    </row>
    <row r="858" ht="15.75" customHeight="1">
      <c r="A858" s="570"/>
      <c r="B858" s="570"/>
      <c r="C858" s="580"/>
      <c r="D858" s="580"/>
      <c r="E858" s="580"/>
      <c r="F858" s="580"/>
      <c r="G858" s="580"/>
      <c r="H858" s="580"/>
      <c r="I858" s="580"/>
      <c r="J858" s="580"/>
      <c r="K858" s="580"/>
      <c r="L858" s="580"/>
      <c r="M858" s="580"/>
      <c r="N858" s="580"/>
      <c r="O858" s="580"/>
      <c r="P858" s="580"/>
      <c r="Q858" s="580"/>
      <c r="R858" s="580"/>
      <c r="S858" s="580"/>
      <c r="T858" s="580"/>
      <c r="U858" s="580"/>
      <c r="V858" s="580"/>
      <c r="W858" s="580"/>
      <c r="X858" s="580"/>
      <c r="Y858" s="580"/>
      <c r="Z858" s="580"/>
      <c r="AA858" s="580"/>
      <c r="AB858" s="580"/>
    </row>
    <row r="859" ht="15.75" customHeight="1">
      <c r="A859" s="570"/>
      <c r="B859" s="570"/>
      <c r="C859" s="580"/>
      <c r="D859" s="580"/>
      <c r="E859" s="580"/>
      <c r="F859" s="580"/>
      <c r="G859" s="580"/>
      <c r="H859" s="580"/>
      <c r="I859" s="580"/>
      <c r="J859" s="580"/>
      <c r="K859" s="580"/>
      <c r="L859" s="580"/>
      <c r="M859" s="580"/>
      <c r="N859" s="580"/>
      <c r="O859" s="580"/>
      <c r="P859" s="580"/>
      <c r="Q859" s="580"/>
      <c r="R859" s="580"/>
      <c r="S859" s="580"/>
      <c r="T859" s="580"/>
      <c r="U859" s="580"/>
      <c r="V859" s="580"/>
      <c r="W859" s="580"/>
      <c r="X859" s="580"/>
      <c r="Y859" s="580"/>
      <c r="Z859" s="580"/>
      <c r="AA859" s="580"/>
      <c r="AB859" s="580"/>
    </row>
    <row r="860" ht="15.75" customHeight="1">
      <c r="A860" s="570"/>
      <c r="B860" s="570"/>
      <c r="C860" s="580"/>
      <c r="D860" s="580"/>
      <c r="E860" s="580"/>
      <c r="F860" s="580"/>
      <c r="G860" s="580"/>
      <c r="H860" s="580"/>
      <c r="I860" s="580"/>
      <c r="J860" s="580"/>
      <c r="K860" s="580"/>
      <c r="L860" s="580"/>
      <c r="M860" s="580"/>
      <c r="N860" s="580"/>
      <c r="O860" s="580"/>
      <c r="P860" s="580"/>
      <c r="Q860" s="580"/>
      <c r="R860" s="580"/>
      <c r="S860" s="580"/>
      <c r="T860" s="580"/>
      <c r="U860" s="580"/>
      <c r="V860" s="580"/>
      <c r="W860" s="580"/>
      <c r="X860" s="580"/>
      <c r="Y860" s="580"/>
      <c r="Z860" s="580"/>
      <c r="AA860" s="580"/>
      <c r="AB860" s="580"/>
    </row>
    <row r="861" ht="15.75" customHeight="1">
      <c r="A861" s="570"/>
      <c r="B861" s="570"/>
      <c r="C861" s="580"/>
      <c r="D861" s="580"/>
      <c r="E861" s="580"/>
      <c r="F861" s="580"/>
      <c r="G861" s="580"/>
      <c r="H861" s="580"/>
      <c r="I861" s="580"/>
      <c r="J861" s="580"/>
      <c r="K861" s="580"/>
      <c r="L861" s="580"/>
      <c r="M861" s="580"/>
      <c r="N861" s="580"/>
      <c r="O861" s="580"/>
      <c r="P861" s="580"/>
      <c r="Q861" s="580"/>
      <c r="R861" s="580"/>
      <c r="S861" s="580"/>
      <c r="T861" s="580"/>
      <c r="U861" s="580"/>
      <c r="V861" s="580"/>
      <c r="W861" s="580"/>
      <c r="X861" s="580"/>
      <c r="Y861" s="580"/>
      <c r="Z861" s="580"/>
      <c r="AA861" s="580"/>
      <c r="AB861" s="580"/>
    </row>
    <row r="862" ht="15.75" customHeight="1">
      <c r="A862" s="570"/>
      <c r="B862" s="570"/>
      <c r="C862" s="580"/>
      <c r="D862" s="580"/>
      <c r="E862" s="580"/>
      <c r="F862" s="580"/>
      <c r="G862" s="580"/>
      <c r="H862" s="580"/>
      <c r="I862" s="580"/>
      <c r="J862" s="580"/>
      <c r="K862" s="580"/>
      <c r="L862" s="580"/>
      <c r="M862" s="580"/>
      <c r="N862" s="580"/>
      <c r="O862" s="580"/>
      <c r="P862" s="580"/>
      <c r="Q862" s="580"/>
      <c r="R862" s="580"/>
      <c r="S862" s="580"/>
      <c r="T862" s="580"/>
      <c r="U862" s="580"/>
      <c r="V862" s="580"/>
      <c r="W862" s="580"/>
      <c r="X862" s="580"/>
      <c r="Y862" s="580"/>
      <c r="Z862" s="580"/>
      <c r="AA862" s="580"/>
      <c r="AB862" s="580"/>
    </row>
    <row r="863" ht="15.75" customHeight="1">
      <c r="A863" s="570"/>
      <c r="B863" s="570"/>
      <c r="C863" s="580"/>
      <c r="D863" s="580"/>
      <c r="E863" s="580"/>
      <c r="F863" s="580"/>
      <c r="G863" s="580"/>
      <c r="H863" s="580"/>
      <c r="I863" s="580"/>
      <c r="J863" s="580"/>
      <c r="K863" s="580"/>
      <c r="L863" s="580"/>
      <c r="M863" s="580"/>
      <c r="N863" s="580"/>
      <c r="O863" s="580"/>
      <c r="P863" s="580"/>
      <c r="Q863" s="580"/>
      <c r="R863" s="580"/>
      <c r="S863" s="580"/>
      <c r="T863" s="580"/>
      <c r="U863" s="580"/>
      <c r="V863" s="580"/>
      <c r="W863" s="580"/>
      <c r="X863" s="580"/>
      <c r="Y863" s="580"/>
      <c r="Z863" s="580"/>
      <c r="AA863" s="580"/>
      <c r="AB863" s="580"/>
    </row>
    <row r="864" ht="15.75" customHeight="1">
      <c r="A864" s="570"/>
      <c r="B864" s="570"/>
      <c r="C864" s="580"/>
      <c r="D864" s="580"/>
      <c r="E864" s="580"/>
      <c r="F864" s="580"/>
      <c r="G864" s="580"/>
      <c r="H864" s="580"/>
      <c r="I864" s="580"/>
      <c r="J864" s="580"/>
      <c r="K864" s="580"/>
      <c r="L864" s="580"/>
      <c r="M864" s="580"/>
      <c r="N864" s="580"/>
      <c r="O864" s="580"/>
      <c r="P864" s="580"/>
      <c r="Q864" s="580"/>
      <c r="R864" s="580"/>
      <c r="S864" s="580"/>
      <c r="T864" s="580"/>
      <c r="U864" s="580"/>
      <c r="V864" s="580"/>
      <c r="W864" s="580"/>
      <c r="X864" s="580"/>
      <c r="Y864" s="580"/>
      <c r="Z864" s="580"/>
      <c r="AA864" s="580"/>
      <c r="AB864" s="580"/>
    </row>
    <row r="865" ht="15.75" customHeight="1">
      <c r="A865" s="570"/>
      <c r="B865" s="570"/>
      <c r="C865" s="580"/>
      <c r="D865" s="580"/>
      <c r="E865" s="580"/>
      <c r="F865" s="580"/>
      <c r="G865" s="580"/>
      <c r="H865" s="580"/>
      <c r="I865" s="580"/>
      <c r="J865" s="580"/>
      <c r="K865" s="580"/>
      <c r="L865" s="580"/>
      <c r="M865" s="580"/>
      <c r="N865" s="580"/>
      <c r="O865" s="580"/>
      <c r="P865" s="580"/>
      <c r="Q865" s="580"/>
      <c r="R865" s="580"/>
      <c r="S865" s="580"/>
      <c r="T865" s="580"/>
      <c r="U865" s="580"/>
      <c r="V865" s="580"/>
      <c r="W865" s="580"/>
      <c r="X865" s="580"/>
      <c r="Y865" s="580"/>
      <c r="Z865" s="580"/>
      <c r="AA865" s="580"/>
      <c r="AB865" s="580"/>
    </row>
    <row r="866" ht="15.75" customHeight="1">
      <c r="A866" s="570"/>
      <c r="B866" s="570"/>
      <c r="C866" s="580"/>
      <c r="D866" s="580"/>
      <c r="E866" s="580"/>
      <c r="F866" s="580"/>
      <c r="G866" s="580"/>
      <c r="H866" s="580"/>
      <c r="I866" s="580"/>
      <c r="J866" s="580"/>
      <c r="K866" s="580"/>
      <c r="L866" s="580"/>
      <c r="M866" s="580"/>
      <c r="N866" s="580"/>
      <c r="O866" s="580"/>
      <c r="P866" s="580"/>
      <c r="Q866" s="580"/>
      <c r="R866" s="580"/>
      <c r="S866" s="580"/>
      <c r="T866" s="580"/>
      <c r="U866" s="580"/>
      <c r="V866" s="580"/>
      <c r="W866" s="580"/>
      <c r="X866" s="580"/>
      <c r="Y866" s="580"/>
      <c r="Z866" s="580"/>
      <c r="AA866" s="580"/>
      <c r="AB866" s="580"/>
    </row>
    <row r="867" ht="15.75" customHeight="1">
      <c r="A867" s="570"/>
      <c r="B867" s="570"/>
      <c r="C867" s="580"/>
      <c r="D867" s="580"/>
      <c r="E867" s="580"/>
      <c r="F867" s="580"/>
      <c r="G867" s="580"/>
      <c r="H867" s="580"/>
      <c r="I867" s="580"/>
      <c r="J867" s="580"/>
      <c r="K867" s="580"/>
      <c r="L867" s="580"/>
      <c r="M867" s="580"/>
      <c r="N867" s="580"/>
      <c r="O867" s="580"/>
      <c r="P867" s="580"/>
      <c r="Q867" s="580"/>
      <c r="R867" s="580"/>
      <c r="S867" s="580"/>
      <c r="T867" s="580"/>
      <c r="U867" s="580"/>
      <c r="V867" s="580"/>
      <c r="W867" s="580"/>
      <c r="X867" s="580"/>
      <c r="Y867" s="580"/>
      <c r="Z867" s="580"/>
      <c r="AA867" s="580"/>
      <c r="AB867" s="580"/>
    </row>
    <row r="868" ht="15.75" customHeight="1">
      <c r="A868" s="570"/>
      <c r="B868" s="570"/>
      <c r="C868" s="580"/>
      <c r="D868" s="580"/>
      <c r="E868" s="580"/>
      <c r="F868" s="580"/>
      <c r="G868" s="580"/>
      <c r="H868" s="580"/>
      <c r="I868" s="580"/>
      <c r="J868" s="580"/>
      <c r="K868" s="580"/>
      <c r="L868" s="580"/>
      <c r="M868" s="580"/>
      <c r="N868" s="580"/>
      <c r="O868" s="580"/>
      <c r="P868" s="580"/>
      <c r="Q868" s="580"/>
      <c r="R868" s="580"/>
      <c r="S868" s="580"/>
      <c r="T868" s="580"/>
      <c r="U868" s="580"/>
      <c r="V868" s="580"/>
      <c r="W868" s="580"/>
      <c r="X868" s="580"/>
      <c r="Y868" s="580"/>
      <c r="Z868" s="580"/>
      <c r="AA868" s="580"/>
      <c r="AB868" s="580"/>
    </row>
    <row r="869" ht="15.75" customHeight="1">
      <c r="A869" s="570"/>
      <c r="B869" s="570"/>
      <c r="C869" s="580"/>
      <c r="D869" s="580"/>
      <c r="E869" s="580"/>
      <c r="F869" s="580"/>
      <c r="G869" s="580"/>
      <c r="H869" s="580"/>
      <c r="I869" s="580"/>
      <c r="J869" s="580"/>
      <c r="K869" s="580"/>
      <c r="L869" s="580"/>
      <c r="M869" s="580"/>
      <c r="N869" s="580"/>
      <c r="O869" s="580"/>
      <c r="P869" s="580"/>
      <c r="Q869" s="580"/>
      <c r="R869" s="580"/>
      <c r="S869" s="580"/>
      <c r="T869" s="580"/>
      <c r="U869" s="580"/>
      <c r="V869" s="580"/>
      <c r="W869" s="580"/>
      <c r="X869" s="580"/>
      <c r="Y869" s="580"/>
      <c r="Z869" s="580"/>
      <c r="AA869" s="580"/>
      <c r="AB869" s="580"/>
    </row>
    <row r="870" ht="15.75" customHeight="1">
      <c r="A870" s="570"/>
      <c r="B870" s="570"/>
      <c r="C870" s="580"/>
      <c r="D870" s="580"/>
      <c r="E870" s="580"/>
      <c r="F870" s="580"/>
      <c r="G870" s="580"/>
      <c r="H870" s="580"/>
      <c r="I870" s="580"/>
      <c r="J870" s="580"/>
      <c r="K870" s="580"/>
      <c r="L870" s="580"/>
      <c r="M870" s="580"/>
      <c r="N870" s="580"/>
      <c r="O870" s="580"/>
      <c r="P870" s="580"/>
      <c r="Q870" s="580"/>
      <c r="R870" s="580"/>
      <c r="S870" s="580"/>
      <c r="T870" s="580"/>
      <c r="U870" s="580"/>
      <c r="V870" s="580"/>
      <c r="W870" s="580"/>
      <c r="X870" s="580"/>
      <c r="Y870" s="580"/>
      <c r="Z870" s="580"/>
      <c r="AA870" s="580"/>
      <c r="AB870" s="580"/>
    </row>
    <row r="871" ht="15.75" customHeight="1">
      <c r="A871" s="570"/>
      <c r="B871" s="570"/>
      <c r="C871" s="580"/>
      <c r="D871" s="580"/>
      <c r="E871" s="580"/>
      <c r="F871" s="580"/>
      <c r="G871" s="580"/>
      <c r="H871" s="580"/>
      <c r="I871" s="580"/>
      <c r="J871" s="580"/>
      <c r="K871" s="580"/>
      <c r="L871" s="580"/>
      <c r="M871" s="580"/>
      <c r="N871" s="580"/>
      <c r="O871" s="580"/>
      <c r="P871" s="580"/>
      <c r="Q871" s="580"/>
      <c r="R871" s="580"/>
      <c r="S871" s="580"/>
      <c r="T871" s="580"/>
      <c r="U871" s="580"/>
      <c r="V871" s="580"/>
      <c r="W871" s="580"/>
      <c r="X871" s="580"/>
      <c r="Y871" s="580"/>
      <c r="Z871" s="580"/>
      <c r="AA871" s="580"/>
      <c r="AB871" s="580"/>
    </row>
    <row r="872" ht="15.75" customHeight="1">
      <c r="A872" s="570"/>
      <c r="B872" s="570"/>
      <c r="C872" s="580"/>
      <c r="D872" s="580"/>
      <c r="E872" s="580"/>
      <c r="F872" s="580"/>
      <c r="G872" s="580"/>
      <c r="H872" s="580"/>
      <c r="I872" s="580"/>
      <c r="J872" s="580"/>
      <c r="K872" s="580"/>
      <c r="L872" s="580"/>
      <c r="M872" s="580"/>
      <c r="N872" s="580"/>
      <c r="O872" s="580"/>
      <c r="P872" s="580"/>
      <c r="Q872" s="580"/>
      <c r="R872" s="580"/>
      <c r="S872" s="580"/>
      <c r="T872" s="580"/>
      <c r="U872" s="580"/>
      <c r="V872" s="580"/>
      <c r="W872" s="580"/>
      <c r="X872" s="580"/>
      <c r="Y872" s="580"/>
      <c r="Z872" s="580"/>
      <c r="AA872" s="580"/>
      <c r="AB872" s="580"/>
    </row>
    <row r="873" ht="15.75" customHeight="1">
      <c r="A873" s="570"/>
      <c r="B873" s="570"/>
      <c r="C873" s="580"/>
      <c r="D873" s="580"/>
      <c r="E873" s="580"/>
      <c r="F873" s="580"/>
      <c r="G873" s="580"/>
      <c r="H873" s="580"/>
      <c r="I873" s="580"/>
      <c r="J873" s="580"/>
      <c r="K873" s="580"/>
      <c r="L873" s="580"/>
      <c r="M873" s="580"/>
      <c r="N873" s="580"/>
      <c r="O873" s="580"/>
      <c r="P873" s="580"/>
      <c r="Q873" s="580"/>
      <c r="R873" s="580"/>
      <c r="S873" s="580"/>
      <c r="T873" s="580"/>
      <c r="U873" s="580"/>
      <c r="V873" s="580"/>
      <c r="W873" s="580"/>
      <c r="X873" s="580"/>
      <c r="Y873" s="580"/>
      <c r="Z873" s="580"/>
      <c r="AA873" s="580"/>
      <c r="AB873" s="580"/>
    </row>
    <row r="874" ht="15.75" customHeight="1">
      <c r="A874" s="570"/>
      <c r="B874" s="570"/>
      <c r="C874" s="580"/>
      <c r="D874" s="580"/>
      <c r="E874" s="580"/>
      <c r="F874" s="580"/>
      <c r="G874" s="580"/>
      <c r="H874" s="580"/>
      <c r="I874" s="580"/>
      <c r="J874" s="580"/>
      <c r="K874" s="580"/>
      <c r="L874" s="580"/>
      <c r="M874" s="580"/>
      <c r="N874" s="580"/>
      <c r="O874" s="580"/>
      <c r="P874" s="580"/>
      <c r="Q874" s="580"/>
      <c r="R874" s="580"/>
      <c r="S874" s="580"/>
      <c r="T874" s="580"/>
      <c r="U874" s="580"/>
      <c r="V874" s="580"/>
      <c r="W874" s="580"/>
      <c r="X874" s="580"/>
      <c r="Y874" s="580"/>
      <c r="Z874" s="580"/>
      <c r="AA874" s="580"/>
      <c r="AB874" s="580"/>
    </row>
    <row r="875" ht="15.75" customHeight="1">
      <c r="A875" s="570"/>
      <c r="B875" s="570"/>
      <c r="C875" s="580"/>
      <c r="D875" s="580"/>
      <c r="E875" s="580"/>
      <c r="F875" s="580"/>
      <c r="G875" s="580"/>
      <c r="H875" s="580"/>
      <c r="I875" s="580"/>
      <c r="J875" s="580"/>
      <c r="K875" s="580"/>
      <c r="L875" s="580"/>
      <c r="M875" s="580"/>
      <c r="N875" s="580"/>
      <c r="O875" s="580"/>
      <c r="P875" s="580"/>
      <c r="Q875" s="580"/>
      <c r="R875" s="580"/>
      <c r="S875" s="580"/>
      <c r="T875" s="580"/>
      <c r="U875" s="580"/>
      <c r="V875" s="580"/>
      <c r="W875" s="580"/>
      <c r="X875" s="580"/>
      <c r="Y875" s="580"/>
      <c r="Z875" s="580"/>
      <c r="AA875" s="580"/>
      <c r="AB875" s="580"/>
    </row>
    <row r="876" ht="15.75" customHeight="1">
      <c r="A876" s="570"/>
      <c r="B876" s="570"/>
      <c r="C876" s="580"/>
      <c r="D876" s="580"/>
      <c r="E876" s="580"/>
      <c r="F876" s="580"/>
      <c r="G876" s="580"/>
      <c r="H876" s="580"/>
      <c r="I876" s="580"/>
      <c r="J876" s="580"/>
      <c r="K876" s="580"/>
      <c r="L876" s="580"/>
      <c r="M876" s="580"/>
      <c r="N876" s="580"/>
      <c r="O876" s="580"/>
      <c r="P876" s="580"/>
      <c r="Q876" s="580"/>
      <c r="R876" s="580"/>
      <c r="S876" s="580"/>
      <c r="T876" s="580"/>
      <c r="U876" s="580"/>
      <c r="V876" s="580"/>
      <c r="W876" s="580"/>
      <c r="X876" s="580"/>
      <c r="Y876" s="580"/>
      <c r="Z876" s="580"/>
      <c r="AA876" s="580"/>
      <c r="AB876" s="580"/>
    </row>
    <row r="877" ht="15.75" customHeight="1">
      <c r="A877" s="570"/>
      <c r="B877" s="570"/>
      <c r="C877" s="580"/>
      <c r="D877" s="580"/>
      <c r="E877" s="580"/>
      <c r="F877" s="580"/>
      <c r="G877" s="580"/>
      <c r="H877" s="580"/>
      <c r="I877" s="580"/>
      <c r="J877" s="580"/>
      <c r="K877" s="580"/>
      <c r="L877" s="580"/>
      <c r="M877" s="580"/>
      <c r="N877" s="580"/>
      <c r="O877" s="580"/>
      <c r="P877" s="580"/>
      <c r="Q877" s="580"/>
      <c r="R877" s="580"/>
      <c r="S877" s="580"/>
      <c r="T877" s="580"/>
      <c r="U877" s="580"/>
      <c r="V877" s="580"/>
      <c r="W877" s="580"/>
      <c r="X877" s="580"/>
      <c r="Y877" s="580"/>
      <c r="Z877" s="580"/>
      <c r="AA877" s="580"/>
      <c r="AB877" s="580"/>
    </row>
    <row r="878" ht="15.75" customHeight="1">
      <c r="A878" s="570"/>
      <c r="B878" s="570"/>
      <c r="C878" s="580"/>
      <c r="D878" s="580"/>
      <c r="E878" s="580"/>
      <c r="F878" s="580"/>
      <c r="G878" s="580"/>
      <c r="H878" s="580"/>
      <c r="I878" s="580"/>
      <c r="J878" s="580"/>
      <c r="K878" s="580"/>
      <c r="L878" s="580"/>
      <c r="M878" s="580"/>
      <c r="N878" s="580"/>
      <c r="O878" s="580"/>
      <c r="P878" s="580"/>
      <c r="Q878" s="580"/>
      <c r="R878" s="580"/>
      <c r="S878" s="580"/>
      <c r="T878" s="580"/>
      <c r="U878" s="580"/>
      <c r="V878" s="580"/>
      <c r="W878" s="580"/>
      <c r="X878" s="580"/>
      <c r="Y878" s="580"/>
      <c r="Z878" s="580"/>
      <c r="AA878" s="580"/>
      <c r="AB878" s="580"/>
    </row>
    <row r="879" ht="15.75" customHeight="1">
      <c r="A879" s="570"/>
      <c r="B879" s="570"/>
      <c r="C879" s="580"/>
      <c r="D879" s="580"/>
      <c r="E879" s="580"/>
      <c r="F879" s="580"/>
      <c r="G879" s="580"/>
      <c r="H879" s="580"/>
      <c r="I879" s="580"/>
      <c r="J879" s="580"/>
      <c r="K879" s="580"/>
      <c r="L879" s="580"/>
      <c r="M879" s="580"/>
      <c r="N879" s="580"/>
      <c r="O879" s="580"/>
      <c r="P879" s="580"/>
      <c r="Q879" s="580"/>
      <c r="R879" s="580"/>
      <c r="S879" s="580"/>
      <c r="T879" s="580"/>
      <c r="U879" s="580"/>
      <c r="V879" s="580"/>
      <c r="W879" s="580"/>
      <c r="X879" s="580"/>
      <c r="Y879" s="580"/>
      <c r="Z879" s="580"/>
      <c r="AA879" s="580"/>
      <c r="AB879" s="580"/>
    </row>
    <row r="880" ht="15.75" customHeight="1">
      <c r="A880" s="570"/>
      <c r="B880" s="570"/>
      <c r="C880" s="580"/>
      <c r="D880" s="580"/>
      <c r="E880" s="580"/>
      <c r="F880" s="580"/>
      <c r="G880" s="580"/>
      <c r="H880" s="580"/>
      <c r="I880" s="580"/>
      <c r="J880" s="580"/>
      <c r="K880" s="580"/>
      <c r="L880" s="580"/>
      <c r="M880" s="580"/>
      <c r="N880" s="580"/>
      <c r="O880" s="580"/>
      <c r="P880" s="580"/>
      <c r="Q880" s="580"/>
      <c r="R880" s="580"/>
      <c r="S880" s="580"/>
      <c r="T880" s="580"/>
      <c r="U880" s="580"/>
      <c r="V880" s="580"/>
      <c r="W880" s="580"/>
      <c r="X880" s="580"/>
      <c r="Y880" s="580"/>
      <c r="Z880" s="580"/>
      <c r="AA880" s="580"/>
      <c r="AB880" s="580"/>
    </row>
    <row r="881" ht="15.75" customHeight="1">
      <c r="A881" s="570"/>
      <c r="B881" s="570"/>
      <c r="C881" s="580"/>
      <c r="D881" s="580"/>
      <c r="E881" s="580"/>
      <c r="F881" s="580"/>
      <c r="G881" s="580"/>
      <c r="H881" s="580"/>
      <c r="I881" s="580"/>
      <c r="J881" s="580"/>
      <c r="K881" s="580"/>
      <c r="L881" s="580"/>
      <c r="M881" s="580"/>
      <c r="N881" s="580"/>
      <c r="O881" s="580"/>
      <c r="P881" s="580"/>
      <c r="Q881" s="580"/>
      <c r="R881" s="580"/>
      <c r="S881" s="580"/>
      <c r="T881" s="580"/>
      <c r="U881" s="580"/>
      <c r="V881" s="580"/>
      <c r="W881" s="580"/>
      <c r="X881" s="580"/>
      <c r="Y881" s="580"/>
      <c r="Z881" s="580"/>
      <c r="AA881" s="580"/>
      <c r="AB881" s="580"/>
    </row>
    <row r="882" ht="15.75" customHeight="1">
      <c r="A882" s="570"/>
      <c r="B882" s="570"/>
      <c r="C882" s="580"/>
      <c r="D882" s="580"/>
      <c r="E882" s="580"/>
      <c r="F882" s="580"/>
      <c r="G882" s="580"/>
      <c r="H882" s="580"/>
      <c r="I882" s="580"/>
      <c r="J882" s="580"/>
      <c r="K882" s="580"/>
      <c r="L882" s="580"/>
      <c r="M882" s="580"/>
      <c r="N882" s="580"/>
      <c r="O882" s="580"/>
      <c r="P882" s="580"/>
      <c r="Q882" s="580"/>
      <c r="R882" s="580"/>
      <c r="S882" s="580"/>
      <c r="T882" s="580"/>
      <c r="U882" s="580"/>
      <c r="V882" s="580"/>
      <c r="W882" s="580"/>
      <c r="X882" s="580"/>
      <c r="Y882" s="580"/>
      <c r="Z882" s="580"/>
      <c r="AA882" s="580"/>
      <c r="AB882" s="580"/>
    </row>
    <row r="883" ht="15.75" customHeight="1">
      <c r="A883" s="570"/>
      <c r="B883" s="570"/>
      <c r="C883" s="580"/>
      <c r="D883" s="580"/>
      <c r="E883" s="580"/>
      <c r="F883" s="580"/>
      <c r="G883" s="580"/>
      <c r="H883" s="580"/>
      <c r="I883" s="580"/>
      <c r="J883" s="580"/>
      <c r="K883" s="580"/>
      <c r="L883" s="580"/>
      <c r="M883" s="580"/>
      <c r="N883" s="580"/>
      <c r="O883" s="580"/>
      <c r="P883" s="580"/>
      <c r="Q883" s="580"/>
      <c r="R883" s="580"/>
      <c r="S883" s="580"/>
      <c r="T883" s="580"/>
      <c r="U883" s="580"/>
      <c r="V883" s="580"/>
      <c r="W883" s="580"/>
      <c r="X883" s="580"/>
      <c r="Y883" s="580"/>
      <c r="Z883" s="580"/>
      <c r="AA883" s="580"/>
      <c r="AB883" s="580"/>
    </row>
    <row r="884" ht="15.75" customHeight="1">
      <c r="A884" s="570"/>
      <c r="B884" s="570"/>
      <c r="C884" s="580"/>
      <c r="D884" s="580"/>
      <c r="E884" s="580"/>
      <c r="F884" s="580"/>
      <c r="G884" s="580"/>
      <c r="H884" s="580"/>
      <c r="I884" s="580"/>
      <c r="J884" s="580"/>
      <c r="K884" s="580"/>
      <c r="L884" s="580"/>
      <c r="M884" s="580"/>
      <c r="N884" s="580"/>
      <c r="O884" s="580"/>
      <c r="P884" s="580"/>
      <c r="Q884" s="580"/>
      <c r="R884" s="580"/>
      <c r="S884" s="580"/>
      <c r="T884" s="580"/>
      <c r="U884" s="580"/>
      <c r="V884" s="580"/>
      <c r="W884" s="580"/>
      <c r="X884" s="580"/>
      <c r="Y884" s="580"/>
      <c r="Z884" s="580"/>
      <c r="AA884" s="580"/>
      <c r="AB884" s="580"/>
    </row>
    <row r="885" ht="15.75" customHeight="1">
      <c r="A885" s="570"/>
      <c r="B885" s="570"/>
      <c r="C885" s="580"/>
      <c r="D885" s="580"/>
      <c r="E885" s="580"/>
      <c r="F885" s="580"/>
      <c r="G885" s="580"/>
      <c r="H885" s="580"/>
      <c r="I885" s="580"/>
      <c r="J885" s="580"/>
      <c r="K885" s="580"/>
      <c r="L885" s="580"/>
      <c r="M885" s="580"/>
      <c r="N885" s="580"/>
      <c r="O885" s="580"/>
      <c r="P885" s="580"/>
      <c r="Q885" s="580"/>
      <c r="R885" s="580"/>
      <c r="S885" s="580"/>
      <c r="T885" s="580"/>
      <c r="U885" s="580"/>
      <c r="V885" s="580"/>
      <c r="W885" s="580"/>
      <c r="X885" s="580"/>
      <c r="Y885" s="580"/>
      <c r="Z885" s="580"/>
      <c r="AA885" s="580"/>
      <c r="AB885" s="580"/>
    </row>
    <row r="886" ht="15.75" customHeight="1">
      <c r="A886" s="570"/>
      <c r="B886" s="570"/>
      <c r="C886" s="580"/>
      <c r="D886" s="580"/>
      <c r="E886" s="580"/>
      <c r="F886" s="580"/>
      <c r="G886" s="580"/>
      <c r="H886" s="580"/>
      <c r="I886" s="580"/>
      <c r="J886" s="580"/>
      <c r="K886" s="580"/>
      <c r="L886" s="580"/>
      <c r="M886" s="580"/>
      <c r="N886" s="580"/>
      <c r="O886" s="580"/>
      <c r="P886" s="580"/>
      <c r="Q886" s="580"/>
      <c r="R886" s="580"/>
      <c r="S886" s="580"/>
      <c r="T886" s="580"/>
      <c r="U886" s="580"/>
      <c r="V886" s="580"/>
      <c r="W886" s="580"/>
      <c r="X886" s="580"/>
      <c r="Y886" s="580"/>
      <c r="Z886" s="580"/>
      <c r="AA886" s="580"/>
      <c r="AB886" s="580"/>
    </row>
    <row r="887" ht="15.75" customHeight="1">
      <c r="A887" s="570"/>
      <c r="B887" s="570"/>
      <c r="C887" s="580"/>
      <c r="D887" s="580"/>
      <c r="E887" s="580"/>
      <c r="F887" s="580"/>
      <c r="G887" s="580"/>
      <c r="H887" s="580"/>
      <c r="I887" s="580"/>
      <c r="J887" s="580"/>
      <c r="K887" s="580"/>
      <c r="L887" s="580"/>
      <c r="M887" s="580"/>
      <c r="N887" s="580"/>
      <c r="O887" s="580"/>
      <c r="P887" s="580"/>
      <c r="Q887" s="580"/>
      <c r="R887" s="580"/>
      <c r="S887" s="580"/>
      <c r="T887" s="580"/>
      <c r="U887" s="580"/>
      <c r="V887" s="580"/>
      <c r="W887" s="580"/>
      <c r="X887" s="580"/>
      <c r="Y887" s="580"/>
      <c r="Z887" s="580"/>
      <c r="AA887" s="580"/>
      <c r="AB887" s="580"/>
    </row>
    <row r="888" ht="15.75" customHeight="1">
      <c r="A888" s="570"/>
      <c r="B888" s="570"/>
      <c r="C888" s="580"/>
      <c r="D888" s="580"/>
      <c r="E888" s="580"/>
      <c r="F888" s="580"/>
      <c r="G888" s="580"/>
      <c r="H888" s="580"/>
      <c r="I888" s="580"/>
      <c r="J888" s="580"/>
      <c r="K888" s="580"/>
      <c r="L888" s="580"/>
      <c r="M888" s="580"/>
      <c r="N888" s="580"/>
      <c r="O888" s="580"/>
      <c r="P888" s="580"/>
      <c r="Q888" s="580"/>
      <c r="R888" s="580"/>
      <c r="S888" s="580"/>
      <c r="T888" s="580"/>
      <c r="U888" s="580"/>
      <c r="V888" s="580"/>
      <c r="W888" s="580"/>
      <c r="X888" s="580"/>
      <c r="Y888" s="580"/>
      <c r="Z888" s="580"/>
      <c r="AA888" s="580"/>
      <c r="AB888" s="580"/>
    </row>
    <row r="889" ht="15.75" customHeight="1">
      <c r="A889" s="570"/>
      <c r="B889" s="570"/>
      <c r="C889" s="580"/>
      <c r="D889" s="580"/>
      <c r="E889" s="580"/>
      <c r="F889" s="580"/>
      <c r="G889" s="580"/>
      <c r="H889" s="580"/>
      <c r="I889" s="580"/>
      <c r="J889" s="580"/>
      <c r="K889" s="580"/>
      <c r="L889" s="580"/>
      <c r="M889" s="580"/>
      <c r="N889" s="580"/>
      <c r="O889" s="580"/>
      <c r="P889" s="580"/>
      <c r="Q889" s="580"/>
      <c r="R889" s="580"/>
      <c r="S889" s="580"/>
      <c r="T889" s="580"/>
      <c r="U889" s="580"/>
      <c r="V889" s="580"/>
      <c r="W889" s="580"/>
      <c r="X889" s="580"/>
      <c r="Y889" s="580"/>
      <c r="Z889" s="580"/>
      <c r="AA889" s="580"/>
      <c r="AB889" s="580"/>
    </row>
    <row r="890" ht="15.75" customHeight="1">
      <c r="A890" s="570"/>
      <c r="B890" s="570"/>
      <c r="C890" s="580"/>
      <c r="D890" s="580"/>
      <c r="E890" s="580"/>
      <c r="F890" s="580"/>
      <c r="G890" s="580"/>
      <c r="H890" s="580"/>
      <c r="I890" s="580"/>
      <c r="J890" s="580"/>
      <c r="K890" s="580"/>
      <c r="L890" s="580"/>
      <c r="M890" s="580"/>
      <c r="N890" s="580"/>
      <c r="O890" s="580"/>
      <c r="P890" s="580"/>
      <c r="Q890" s="580"/>
      <c r="R890" s="580"/>
      <c r="S890" s="580"/>
      <c r="T890" s="580"/>
      <c r="U890" s="580"/>
      <c r="V890" s="580"/>
      <c r="W890" s="580"/>
      <c r="X890" s="580"/>
      <c r="Y890" s="580"/>
      <c r="Z890" s="580"/>
      <c r="AA890" s="580"/>
      <c r="AB890" s="580"/>
    </row>
    <row r="891" ht="15.75" customHeight="1">
      <c r="A891" s="570"/>
      <c r="B891" s="570"/>
      <c r="C891" s="580"/>
      <c r="D891" s="580"/>
      <c r="E891" s="580"/>
      <c r="F891" s="580"/>
      <c r="G891" s="580"/>
      <c r="H891" s="580"/>
      <c r="I891" s="580"/>
      <c r="J891" s="580"/>
      <c r="K891" s="580"/>
      <c r="L891" s="580"/>
      <c r="M891" s="580"/>
      <c r="N891" s="580"/>
      <c r="O891" s="580"/>
      <c r="P891" s="580"/>
      <c r="Q891" s="580"/>
      <c r="R891" s="580"/>
      <c r="S891" s="580"/>
      <c r="T891" s="580"/>
      <c r="U891" s="580"/>
      <c r="V891" s="580"/>
      <c r="W891" s="580"/>
      <c r="X891" s="580"/>
      <c r="Y891" s="580"/>
      <c r="Z891" s="580"/>
      <c r="AA891" s="580"/>
      <c r="AB891" s="580"/>
    </row>
    <row r="892" ht="15.75" customHeight="1">
      <c r="A892" s="570"/>
      <c r="B892" s="570"/>
      <c r="C892" s="580"/>
      <c r="D892" s="580"/>
      <c r="E892" s="580"/>
      <c r="F892" s="580"/>
      <c r="G892" s="580"/>
      <c r="H892" s="580"/>
      <c r="I892" s="580"/>
      <c r="J892" s="580"/>
      <c r="K892" s="580"/>
      <c r="L892" s="580"/>
      <c r="M892" s="580"/>
      <c r="N892" s="580"/>
      <c r="O892" s="580"/>
      <c r="P892" s="580"/>
      <c r="Q892" s="580"/>
      <c r="R892" s="580"/>
      <c r="S892" s="580"/>
      <c r="T892" s="580"/>
      <c r="U892" s="580"/>
      <c r="V892" s="580"/>
      <c r="W892" s="580"/>
      <c r="X892" s="580"/>
      <c r="Y892" s="580"/>
      <c r="Z892" s="580"/>
      <c r="AA892" s="580"/>
      <c r="AB892" s="580"/>
    </row>
    <row r="893" ht="15.75" customHeight="1">
      <c r="A893" s="570"/>
      <c r="B893" s="570"/>
      <c r="C893" s="580"/>
      <c r="D893" s="580"/>
      <c r="E893" s="580"/>
      <c r="F893" s="580"/>
      <c r="G893" s="580"/>
      <c r="H893" s="580"/>
      <c r="I893" s="580"/>
      <c r="J893" s="580"/>
      <c r="K893" s="580"/>
      <c r="L893" s="580"/>
      <c r="M893" s="580"/>
      <c r="N893" s="580"/>
      <c r="O893" s="580"/>
      <c r="P893" s="580"/>
      <c r="Q893" s="580"/>
      <c r="R893" s="580"/>
      <c r="S893" s="580"/>
      <c r="T893" s="580"/>
      <c r="U893" s="580"/>
      <c r="V893" s="580"/>
      <c r="W893" s="580"/>
      <c r="X893" s="580"/>
      <c r="Y893" s="580"/>
      <c r="Z893" s="580"/>
      <c r="AA893" s="580"/>
      <c r="AB893" s="580"/>
    </row>
    <row r="894" ht="15.75" customHeight="1">
      <c r="A894" s="570"/>
      <c r="B894" s="570"/>
      <c r="C894" s="580"/>
      <c r="D894" s="580"/>
      <c r="E894" s="580"/>
      <c r="F894" s="580"/>
      <c r="G894" s="580"/>
      <c r="H894" s="580"/>
      <c r="I894" s="580"/>
      <c r="J894" s="580"/>
      <c r="K894" s="580"/>
      <c r="L894" s="580"/>
      <c r="M894" s="580"/>
      <c r="N894" s="580"/>
      <c r="O894" s="580"/>
      <c r="P894" s="580"/>
      <c r="Q894" s="580"/>
      <c r="R894" s="580"/>
      <c r="S894" s="580"/>
      <c r="T894" s="580"/>
      <c r="U894" s="580"/>
      <c r="V894" s="580"/>
      <c r="W894" s="580"/>
      <c r="X894" s="580"/>
      <c r="Y894" s="580"/>
      <c r="Z894" s="580"/>
      <c r="AA894" s="580"/>
      <c r="AB894" s="580"/>
    </row>
    <row r="895" ht="15.75" customHeight="1">
      <c r="A895" s="570"/>
      <c r="B895" s="570"/>
      <c r="C895" s="580"/>
      <c r="D895" s="580"/>
      <c r="E895" s="580"/>
      <c r="F895" s="580"/>
      <c r="G895" s="580"/>
      <c r="H895" s="580"/>
      <c r="I895" s="580"/>
      <c r="J895" s="580"/>
      <c r="K895" s="580"/>
      <c r="L895" s="580"/>
      <c r="M895" s="580"/>
      <c r="N895" s="580"/>
      <c r="O895" s="580"/>
      <c r="P895" s="580"/>
      <c r="Q895" s="580"/>
      <c r="R895" s="580"/>
      <c r="S895" s="580"/>
      <c r="T895" s="580"/>
      <c r="U895" s="580"/>
      <c r="V895" s="580"/>
      <c r="W895" s="580"/>
      <c r="X895" s="580"/>
      <c r="Y895" s="580"/>
      <c r="Z895" s="580"/>
      <c r="AA895" s="580"/>
      <c r="AB895" s="580"/>
    </row>
    <row r="896" ht="15.75" customHeight="1">
      <c r="A896" s="570"/>
      <c r="B896" s="570"/>
      <c r="C896" s="580"/>
      <c r="D896" s="580"/>
      <c r="E896" s="580"/>
      <c r="F896" s="580"/>
      <c r="G896" s="580"/>
      <c r="H896" s="580"/>
      <c r="I896" s="580"/>
      <c r="J896" s="580"/>
      <c r="K896" s="580"/>
      <c r="L896" s="580"/>
      <c r="M896" s="580"/>
      <c r="N896" s="580"/>
      <c r="O896" s="580"/>
      <c r="P896" s="580"/>
      <c r="Q896" s="580"/>
      <c r="R896" s="580"/>
      <c r="S896" s="580"/>
      <c r="T896" s="580"/>
      <c r="U896" s="580"/>
      <c r="V896" s="580"/>
      <c r="W896" s="580"/>
      <c r="X896" s="580"/>
      <c r="Y896" s="580"/>
      <c r="Z896" s="580"/>
      <c r="AA896" s="580"/>
      <c r="AB896" s="580"/>
    </row>
    <row r="897" ht="15.75" customHeight="1">
      <c r="A897" s="570"/>
      <c r="B897" s="570"/>
      <c r="C897" s="580"/>
      <c r="D897" s="580"/>
      <c r="E897" s="580"/>
      <c r="F897" s="580"/>
      <c r="G897" s="580"/>
      <c r="H897" s="580"/>
      <c r="I897" s="580"/>
      <c r="J897" s="580"/>
      <c r="K897" s="580"/>
      <c r="L897" s="580"/>
      <c r="M897" s="580"/>
      <c r="N897" s="580"/>
      <c r="O897" s="580"/>
      <c r="P897" s="580"/>
      <c r="Q897" s="580"/>
      <c r="R897" s="580"/>
      <c r="S897" s="580"/>
      <c r="T897" s="580"/>
      <c r="U897" s="580"/>
      <c r="V897" s="580"/>
      <c r="W897" s="580"/>
      <c r="X897" s="580"/>
      <c r="Y897" s="580"/>
      <c r="Z897" s="580"/>
      <c r="AA897" s="580"/>
      <c r="AB897" s="580"/>
    </row>
    <row r="898" ht="15.75" customHeight="1">
      <c r="A898" s="570"/>
      <c r="B898" s="570"/>
      <c r="C898" s="580"/>
      <c r="D898" s="580"/>
      <c r="E898" s="580"/>
      <c r="F898" s="580"/>
      <c r="G898" s="580"/>
      <c r="H898" s="580"/>
      <c r="I898" s="580"/>
      <c r="J898" s="580"/>
      <c r="K898" s="580"/>
      <c r="L898" s="580"/>
      <c r="M898" s="580"/>
      <c r="N898" s="580"/>
      <c r="O898" s="580"/>
      <c r="P898" s="580"/>
      <c r="Q898" s="580"/>
      <c r="R898" s="580"/>
      <c r="S898" s="580"/>
      <c r="T898" s="580"/>
      <c r="U898" s="580"/>
      <c r="V898" s="580"/>
      <c r="W898" s="580"/>
      <c r="X898" s="580"/>
      <c r="Y898" s="580"/>
      <c r="Z898" s="580"/>
      <c r="AA898" s="580"/>
      <c r="AB898" s="580"/>
    </row>
    <row r="899" ht="15.75" customHeight="1">
      <c r="A899" s="570"/>
      <c r="B899" s="570"/>
      <c r="C899" s="580"/>
      <c r="D899" s="580"/>
      <c r="E899" s="580"/>
      <c r="F899" s="580"/>
      <c r="G899" s="580"/>
      <c r="H899" s="580"/>
      <c r="I899" s="580"/>
      <c r="J899" s="580"/>
      <c r="K899" s="580"/>
      <c r="L899" s="580"/>
      <c r="M899" s="580"/>
      <c r="N899" s="580"/>
      <c r="O899" s="580"/>
      <c r="P899" s="580"/>
      <c r="Q899" s="580"/>
      <c r="R899" s="580"/>
      <c r="S899" s="580"/>
      <c r="T899" s="580"/>
      <c r="U899" s="580"/>
      <c r="V899" s="580"/>
      <c r="W899" s="580"/>
      <c r="X899" s="580"/>
      <c r="Y899" s="580"/>
      <c r="Z899" s="580"/>
      <c r="AA899" s="580"/>
      <c r="AB899" s="580"/>
    </row>
    <row r="900" ht="15.75" customHeight="1">
      <c r="A900" s="570"/>
      <c r="B900" s="570"/>
      <c r="C900" s="580"/>
      <c r="D900" s="580"/>
      <c r="E900" s="580"/>
      <c r="F900" s="580"/>
      <c r="G900" s="580"/>
      <c r="H900" s="580"/>
      <c r="I900" s="580"/>
      <c r="J900" s="580"/>
      <c r="K900" s="580"/>
      <c r="L900" s="580"/>
      <c r="M900" s="580"/>
      <c r="N900" s="580"/>
      <c r="O900" s="580"/>
      <c r="P900" s="580"/>
      <c r="Q900" s="580"/>
      <c r="R900" s="580"/>
      <c r="S900" s="580"/>
      <c r="T900" s="580"/>
      <c r="U900" s="580"/>
      <c r="V900" s="580"/>
      <c r="W900" s="580"/>
      <c r="X900" s="580"/>
      <c r="Y900" s="580"/>
      <c r="Z900" s="580"/>
      <c r="AA900" s="580"/>
      <c r="AB900" s="580"/>
    </row>
    <row r="901" ht="15.75" customHeight="1">
      <c r="A901" s="570"/>
      <c r="B901" s="570"/>
      <c r="C901" s="580"/>
      <c r="D901" s="580"/>
      <c r="E901" s="580"/>
      <c r="F901" s="580"/>
      <c r="G901" s="580"/>
      <c r="H901" s="580"/>
      <c r="I901" s="580"/>
      <c r="J901" s="580"/>
      <c r="K901" s="580"/>
      <c r="L901" s="580"/>
      <c r="M901" s="580"/>
      <c r="N901" s="580"/>
      <c r="O901" s="580"/>
      <c r="P901" s="580"/>
      <c r="Q901" s="580"/>
      <c r="R901" s="580"/>
      <c r="S901" s="580"/>
      <c r="T901" s="580"/>
      <c r="U901" s="580"/>
      <c r="V901" s="580"/>
      <c r="W901" s="580"/>
      <c r="X901" s="580"/>
      <c r="Y901" s="580"/>
      <c r="Z901" s="580"/>
      <c r="AA901" s="580"/>
      <c r="AB901" s="580"/>
    </row>
    <row r="902" ht="15.75" customHeight="1">
      <c r="A902" s="570"/>
      <c r="B902" s="570"/>
      <c r="C902" s="580"/>
      <c r="D902" s="580"/>
      <c r="E902" s="580"/>
      <c r="F902" s="580"/>
      <c r="G902" s="580"/>
      <c r="H902" s="580"/>
      <c r="I902" s="580"/>
      <c r="J902" s="580"/>
      <c r="K902" s="580"/>
      <c r="L902" s="580"/>
      <c r="M902" s="580"/>
      <c r="N902" s="580"/>
      <c r="O902" s="580"/>
      <c r="P902" s="580"/>
      <c r="Q902" s="580"/>
      <c r="R902" s="580"/>
      <c r="S902" s="580"/>
      <c r="T902" s="580"/>
      <c r="U902" s="580"/>
      <c r="V902" s="580"/>
      <c r="W902" s="580"/>
      <c r="X902" s="580"/>
      <c r="Y902" s="580"/>
      <c r="Z902" s="580"/>
      <c r="AA902" s="580"/>
      <c r="AB902" s="580"/>
    </row>
    <row r="903" ht="15.75" customHeight="1">
      <c r="A903" s="570"/>
      <c r="B903" s="570"/>
      <c r="C903" s="580"/>
      <c r="D903" s="580"/>
      <c r="E903" s="580"/>
      <c r="F903" s="580"/>
      <c r="G903" s="580"/>
      <c r="H903" s="580"/>
      <c r="I903" s="580"/>
      <c r="J903" s="580"/>
      <c r="K903" s="580"/>
      <c r="L903" s="580"/>
      <c r="M903" s="580"/>
      <c r="N903" s="580"/>
      <c r="O903" s="580"/>
      <c r="P903" s="580"/>
      <c r="Q903" s="580"/>
      <c r="R903" s="580"/>
      <c r="S903" s="580"/>
      <c r="T903" s="580"/>
      <c r="U903" s="580"/>
      <c r="V903" s="580"/>
      <c r="W903" s="580"/>
      <c r="X903" s="580"/>
      <c r="Y903" s="580"/>
      <c r="Z903" s="580"/>
      <c r="AA903" s="580"/>
      <c r="AB903" s="580"/>
    </row>
    <row r="904" ht="15.75" customHeight="1">
      <c r="A904" s="570"/>
      <c r="B904" s="570"/>
      <c r="C904" s="580"/>
      <c r="D904" s="580"/>
      <c r="E904" s="580"/>
      <c r="F904" s="580"/>
      <c r="G904" s="580"/>
      <c r="H904" s="580"/>
      <c r="I904" s="580"/>
      <c r="J904" s="580"/>
      <c r="K904" s="580"/>
      <c r="L904" s="580"/>
      <c r="M904" s="580"/>
      <c r="N904" s="580"/>
      <c r="O904" s="580"/>
      <c r="P904" s="580"/>
      <c r="Q904" s="580"/>
      <c r="R904" s="580"/>
      <c r="S904" s="580"/>
      <c r="T904" s="580"/>
      <c r="U904" s="580"/>
      <c r="V904" s="580"/>
      <c r="W904" s="580"/>
      <c r="X904" s="580"/>
      <c r="Y904" s="580"/>
      <c r="Z904" s="580"/>
      <c r="AA904" s="580"/>
      <c r="AB904" s="580"/>
    </row>
    <row r="905" ht="15.75" customHeight="1">
      <c r="A905" s="570"/>
      <c r="B905" s="570"/>
      <c r="C905" s="580"/>
      <c r="D905" s="580"/>
      <c r="E905" s="580"/>
      <c r="F905" s="580"/>
      <c r="G905" s="580"/>
      <c r="H905" s="580"/>
      <c r="I905" s="580"/>
      <c r="J905" s="580"/>
      <c r="K905" s="580"/>
      <c r="L905" s="580"/>
      <c r="M905" s="580"/>
      <c r="N905" s="580"/>
      <c r="O905" s="580"/>
      <c r="P905" s="580"/>
      <c r="Q905" s="580"/>
      <c r="R905" s="580"/>
      <c r="S905" s="580"/>
      <c r="T905" s="580"/>
      <c r="U905" s="580"/>
      <c r="V905" s="580"/>
      <c r="W905" s="580"/>
      <c r="X905" s="580"/>
      <c r="Y905" s="580"/>
      <c r="Z905" s="580"/>
      <c r="AA905" s="580"/>
      <c r="AB905" s="580"/>
    </row>
    <row r="906" ht="15.75" customHeight="1">
      <c r="A906" s="570"/>
      <c r="B906" s="570"/>
      <c r="C906" s="580"/>
      <c r="D906" s="580"/>
      <c r="E906" s="580"/>
      <c r="F906" s="580"/>
      <c r="G906" s="580"/>
      <c r="H906" s="580"/>
      <c r="I906" s="580"/>
      <c r="J906" s="580"/>
      <c r="K906" s="580"/>
      <c r="L906" s="580"/>
      <c r="M906" s="580"/>
      <c r="N906" s="580"/>
      <c r="O906" s="580"/>
      <c r="P906" s="580"/>
      <c r="Q906" s="580"/>
      <c r="R906" s="580"/>
      <c r="S906" s="580"/>
      <c r="T906" s="580"/>
      <c r="U906" s="580"/>
      <c r="V906" s="580"/>
      <c r="W906" s="580"/>
      <c r="X906" s="580"/>
      <c r="Y906" s="580"/>
      <c r="Z906" s="580"/>
      <c r="AA906" s="580"/>
      <c r="AB906" s="580"/>
    </row>
    <row r="907" ht="15.75" customHeight="1">
      <c r="A907" s="570"/>
      <c r="B907" s="570"/>
      <c r="C907" s="580"/>
      <c r="D907" s="580"/>
      <c r="E907" s="580"/>
      <c r="F907" s="580"/>
      <c r="G907" s="580"/>
      <c r="H907" s="580"/>
      <c r="I907" s="580"/>
      <c r="J907" s="580"/>
      <c r="K907" s="580"/>
      <c r="L907" s="580"/>
      <c r="M907" s="580"/>
      <c r="N907" s="580"/>
      <c r="O907" s="580"/>
      <c r="P907" s="580"/>
      <c r="Q907" s="580"/>
      <c r="R907" s="580"/>
      <c r="S907" s="580"/>
      <c r="T907" s="580"/>
      <c r="U907" s="580"/>
      <c r="V907" s="580"/>
      <c r="W907" s="580"/>
      <c r="X907" s="580"/>
      <c r="Y907" s="580"/>
      <c r="Z907" s="580"/>
      <c r="AA907" s="580"/>
      <c r="AB907" s="580"/>
    </row>
    <row r="908" ht="15.75" customHeight="1">
      <c r="A908" s="570"/>
      <c r="B908" s="570"/>
      <c r="C908" s="580"/>
      <c r="D908" s="580"/>
      <c r="E908" s="580"/>
      <c r="F908" s="580"/>
      <c r="G908" s="580"/>
      <c r="H908" s="580"/>
      <c r="I908" s="580"/>
      <c r="J908" s="580"/>
      <c r="K908" s="580"/>
      <c r="L908" s="580"/>
      <c r="M908" s="580"/>
      <c r="N908" s="580"/>
      <c r="O908" s="580"/>
      <c r="P908" s="580"/>
      <c r="Q908" s="580"/>
      <c r="R908" s="580"/>
      <c r="S908" s="580"/>
      <c r="T908" s="580"/>
      <c r="U908" s="580"/>
      <c r="V908" s="580"/>
      <c r="W908" s="580"/>
      <c r="X908" s="580"/>
      <c r="Y908" s="580"/>
      <c r="Z908" s="580"/>
      <c r="AA908" s="580"/>
      <c r="AB908" s="580"/>
    </row>
    <row r="909" ht="15.75" customHeight="1">
      <c r="A909" s="570"/>
      <c r="B909" s="570"/>
      <c r="C909" s="580"/>
      <c r="D909" s="580"/>
      <c r="E909" s="580"/>
      <c r="F909" s="580"/>
      <c r="G909" s="580"/>
      <c r="H909" s="580"/>
      <c r="I909" s="580"/>
      <c r="J909" s="580"/>
      <c r="K909" s="580"/>
      <c r="L909" s="580"/>
      <c r="M909" s="580"/>
      <c r="N909" s="580"/>
      <c r="O909" s="580"/>
      <c r="P909" s="580"/>
      <c r="Q909" s="580"/>
      <c r="R909" s="580"/>
      <c r="S909" s="580"/>
      <c r="T909" s="580"/>
      <c r="U909" s="580"/>
      <c r="V909" s="580"/>
      <c r="W909" s="580"/>
      <c r="X909" s="580"/>
      <c r="Y909" s="580"/>
      <c r="Z909" s="580"/>
      <c r="AA909" s="580"/>
      <c r="AB909" s="580"/>
    </row>
    <row r="910" ht="15.75" customHeight="1">
      <c r="A910" s="570"/>
      <c r="B910" s="570"/>
      <c r="C910" s="580"/>
      <c r="D910" s="580"/>
      <c r="E910" s="580"/>
      <c r="F910" s="580"/>
      <c r="G910" s="580"/>
      <c r="H910" s="580"/>
      <c r="I910" s="580"/>
      <c r="J910" s="580"/>
      <c r="K910" s="580"/>
      <c r="L910" s="580"/>
      <c r="M910" s="580"/>
      <c r="N910" s="580"/>
      <c r="O910" s="580"/>
      <c r="P910" s="580"/>
      <c r="Q910" s="580"/>
      <c r="R910" s="580"/>
      <c r="S910" s="580"/>
      <c r="T910" s="580"/>
      <c r="U910" s="580"/>
      <c r="V910" s="580"/>
      <c r="W910" s="580"/>
      <c r="X910" s="580"/>
      <c r="Y910" s="580"/>
      <c r="Z910" s="580"/>
      <c r="AA910" s="580"/>
      <c r="AB910" s="580"/>
    </row>
    <row r="911" ht="15.75" customHeight="1">
      <c r="A911" s="570"/>
      <c r="B911" s="570"/>
      <c r="C911" s="580"/>
      <c r="D911" s="580"/>
      <c r="E911" s="580"/>
      <c r="F911" s="580"/>
      <c r="G911" s="580"/>
      <c r="H911" s="580"/>
      <c r="I911" s="580"/>
      <c r="J911" s="580"/>
      <c r="K911" s="580"/>
      <c r="L911" s="580"/>
      <c r="M911" s="580"/>
      <c r="N911" s="580"/>
      <c r="O911" s="580"/>
      <c r="P911" s="580"/>
      <c r="Q911" s="580"/>
      <c r="R911" s="580"/>
      <c r="S911" s="580"/>
      <c r="T911" s="580"/>
      <c r="U911" s="580"/>
      <c r="V911" s="580"/>
      <c r="W911" s="580"/>
      <c r="X911" s="580"/>
      <c r="Y911" s="580"/>
      <c r="Z911" s="580"/>
      <c r="AA911" s="580"/>
      <c r="AB911" s="580"/>
    </row>
    <row r="912" ht="15.75" customHeight="1">
      <c r="A912" s="570"/>
      <c r="B912" s="570"/>
      <c r="C912" s="580"/>
      <c r="D912" s="580"/>
      <c r="E912" s="580"/>
      <c r="F912" s="580"/>
      <c r="G912" s="580"/>
      <c r="H912" s="580"/>
      <c r="I912" s="580"/>
      <c r="J912" s="580"/>
      <c r="K912" s="580"/>
      <c r="L912" s="580"/>
      <c r="M912" s="580"/>
      <c r="N912" s="580"/>
      <c r="O912" s="580"/>
      <c r="P912" s="580"/>
      <c r="Q912" s="580"/>
      <c r="R912" s="580"/>
      <c r="S912" s="580"/>
      <c r="T912" s="580"/>
      <c r="U912" s="580"/>
      <c r="V912" s="580"/>
      <c r="W912" s="580"/>
      <c r="X912" s="580"/>
      <c r="Y912" s="580"/>
      <c r="Z912" s="580"/>
      <c r="AA912" s="580"/>
      <c r="AB912" s="580"/>
    </row>
    <row r="913" ht="15.75" customHeight="1">
      <c r="A913" s="570"/>
      <c r="B913" s="570"/>
      <c r="C913" s="580"/>
      <c r="D913" s="580"/>
      <c r="E913" s="580"/>
      <c r="F913" s="580"/>
      <c r="G913" s="580"/>
      <c r="H913" s="580"/>
      <c r="I913" s="580"/>
      <c r="J913" s="580"/>
      <c r="K913" s="580"/>
      <c r="L913" s="580"/>
      <c r="M913" s="580"/>
      <c r="N913" s="580"/>
      <c r="O913" s="580"/>
      <c r="P913" s="580"/>
      <c r="Q913" s="580"/>
      <c r="R913" s="580"/>
      <c r="S913" s="580"/>
      <c r="T913" s="580"/>
      <c r="U913" s="580"/>
      <c r="V913" s="580"/>
      <c r="W913" s="580"/>
      <c r="X913" s="580"/>
      <c r="Y913" s="580"/>
      <c r="Z913" s="580"/>
      <c r="AA913" s="580"/>
      <c r="AB913" s="580"/>
    </row>
    <row r="914" ht="15.75" customHeight="1">
      <c r="A914" s="570"/>
      <c r="B914" s="570"/>
      <c r="C914" s="580"/>
      <c r="D914" s="580"/>
      <c r="E914" s="580"/>
      <c r="F914" s="580"/>
      <c r="G914" s="580"/>
      <c r="H914" s="580"/>
      <c r="I914" s="580"/>
      <c r="J914" s="580"/>
      <c r="K914" s="580"/>
      <c r="L914" s="580"/>
      <c r="M914" s="580"/>
      <c r="N914" s="580"/>
      <c r="O914" s="580"/>
      <c r="P914" s="580"/>
      <c r="Q914" s="580"/>
      <c r="R914" s="580"/>
      <c r="S914" s="580"/>
      <c r="T914" s="580"/>
      <c r="U914" s="580"/>
      <c r="V914" s="580"/>
      <c r="W914" s="580"/>
      <c r="X914" s="580"/>
      <c r="Y914" s="580"/>
      <c r="Z914" s="580"/>
      <c r="AA914" s="580"/>
      <c r="AB914" s="580"/>
    </row>
    <row r="915" ht="15.75" customHeight="1">
      <c r="A915" s="570"/>
      <c r="B915" s="570"/>
      <c r="C915" s="580"/>
      <c r="D915" s="580"/>
      <c r="E915" s="580"/>
      <c r="F915" s="580"/>
      <c r="G915" s="580"/>
      <c r="H915" s="580"/>
      <c r="I915" s="580"/>
      <c r="J915" s="580"/>
      <c r="K915" s="580"/>
      <c r="L915" s="580"/>
      <c r="M915" s="580"/>
      <c r="N915" s="580"/>
      <c r="O915" s="580"/>
      <c r="P915" s="580"/>
      <c r="Q915" s="580"/>
      <c r="R915" s="580"/>
      <c r="S915" s="580"/>
      <c r="T915" s="580"/>
      <c r="U915" s="580"/>
      <c r="V915" s="580"/>
      <c r="W915" s="580"/>
      <c r="X915" s="580"/>
      <c r="Y915" s="580"/>
      <c r="Z915" s="580"/>
      <c r="AA915" s="580"/>
      <c r="AB915" s="580"/>
    </row>
    <row r="916" ht="15.75" customHeight="1">
      <c r="A916" s="570"/>
      <c r="B916" s="570"/>
      <c r="C916" s="580"/>
      <c r="D916" s="580"/>
      <c r="E916" s="580"/>
      <c r="F916" s="580"/>
      <c r="G916" s="580"/>
      <c r="H916" s="580"/>
      <c r="I916" s="580"/>
      <c r="J916" s="580"/>
      <c r="K916" s="580"/>
      <c r="L916" s="580"/>
      <c r="M916" s="580"/>
      <c r="N916" s="580"/>
      <c r="O916" s="580"/>
      <c r="P916" s="580"/>
      <c r="Q916" s="580"/>
      <c r="R916" s="580"/>
      <c r="S916" s="580"/>
      <c r="T916" s="580"/>
      <c r="U916" s="580"/>
      <c r="V916" s="580"/>
      <c r="W916" s="580"/>
      <c r="X916" s="580"/>
      <c r="Y916" s="580"/>
      <c r="Z916" s="580"/>
      <c r="AA916" s="580"/>
      <c r="AB916" s="580"/>
    </row>
    <row r="917" ht="15.75" customHeight="1">
      <c r="A917" s="570"/>
      <c r="B917" s="570"/>
      <c r="C917" s="580"/>
      <c r="D917" s="580"/>
      <c r="E917" s="580"/>
      <c r="F917" s="580"/>
      <c r="G917" s="580"/>
      <c r="H917" s="580"/>
      <c r="I917" s="580"/>
      <c r="J917" s="580"/>
      <c r="K917" s="580"/>
      <c r="L917" s="580"/>
      <c r="M917" s="580"/>
      <c r="N917" s="580"/>
      <c r="O917" s="580"/>
      <c r="P917" s="580"/>
      <c r="Q917" s="580"/>
      <c r="R917" s="580"/>
      <c r="S917" s="580"/>
      <c r="T917" s="580"/>
      <c r="U917" s="580"/>
      <c r="V917" s="580"/>
      <c r="W917" s="580"/>
      <c r="X917" s="580"/>
      <c r="Y917" s="580"/>
      <c r="Z917" s="580"/>
      <c r="AA917" s="580"/>
      <c r="AB917" s="580"/>
    </row>
    <row r="918" ht="15.75" customHeight="1">
      <c r="A918" s="570"/>
      <c r="B918" s="570"/>
      <c r="C918" s="580"/>
      <c r="D918" s="580"/>
      <c r="E918" s="580"/>
      <c r="F918" s="580"/>
      <c r="G918" s="580"/>
      <c r="H918" s="580"/>
      <c r="I918" s="580"/>
      <c r="J918" s="580"/>
      <c r="K918" s="580"/>
      <c r="L918" s="580"/>
      <c r="M918" s="580"/>
      <c r="N918" s="580"/>
      <c r="O918" s="580"/>
      <c r="P918" s="580"/>
      <c r="Q918" s="580"/>
      <c r="R918" s="580"/>
      <c r="S918" s="580"/>
      <c r="T918" s="580"/>
      <c r="U918" s="580"/>
      <c r="V918" s="580"/>
      <c r="W918" s="580"/>
      <c r="X918" s="580"/>
      <c r="Y918" s="580"/>
      <c r="Z918" s="580"/>
      <c r="AA918" s="580"/>
      <c r="AB918" s="580"/>
    </row>
    <row r="919" ht="15.75" customHeight="1">
      <c r="A919" s="570"/>
      <c r="B919" s="570"/>
      <c r="C919" s="580"/>
      <c r="D919" s="580"/>
      <c r="E919" s="580"/>
      <c r="F919" s="580"/>
      <c r="G919" s="580"/>
      <c r="H919" s="580"/>
      <c r="I919" s="580"/>
      <c r="J919" s="580"/>
      <c r="K919" s="580"/>
      <c r="L919" s="580"/>
      <c r="M919" s="580"/>
      <c r="N919" s="580"/>
      <c r="O919" s="580"/>
      <c r="P919" s="580"/>
      <c r="Q919" s="580"/>
      <c r="R919" s="580"/>
      <c r="S919" s="580"/>
      <c r="T919" s="580"/>
      <c r="U919" s="580"/>
      <c r="V919" s="580"/>
      <c r="W919" s="580"/>
      <c r="X919" s="580"/>
      <c r="Y919" s="580"/>
      <c r="Z919" s="580"/>
      <c r="AA919" s="580"/>
      <c r="AB919" s="580"/>
    </row>
    <row r="920" ht="15.75" customHeight="1">
      <c r="A920" s="570"/>
      <c r="B920" s="570"/>
      <c r="C920" s="580"/>
      <c r="D920" s="580"/>
      <c r="E920" s="580"/>
      <c r="F920" s="580"/>
      <c r="G920" s="580"/>
      <c r="H920" s="580"/>
      <c r="I920" s="580"/>
      <c r="J920" s="580"/>
      <c r="K920" s="580"/>
      <c r="L920" s="580"/>
      <c r="M920" s="580"/>
      <c r="N920" s="580"/>
      <c r="O920" s="580"/>
      <c r="P920" s="580"/>
      <c r="Q920" s="580"/>
      <c r="R920" s="580"/>
      <c r="S920" s="580"/>
      <c r="T920" s="580"/>
      <c r="U920" s="580"/>
      <c r="V920" s="580"/>
      <c r="W920" s="580"/>
      <c r="X920" s="580"/>
      <c r="Y920" s="580"/>
      <c r="Z920" s="580"/>
      <c r="AA920" s="580"/>
      <c r="AB920" s="580"/>
    </row>
    <row r="921" ht="15.75" customHeight="1">
      <c r="A921" s="570"/>
      <c r="B921" s="570"/>
      <c r="C921" s="580"/>
      <c r="D921" s="580"/>
      <c r="E921" s="580"/>
      <c r="F921" s="580"/>
      <c r="G921" s="580"/>
      <c r="H921" s="580"/>
      <c r="I921" s="580"/>
      <c r="J921" s="580"/>
      <c r="K921" s="580"/>
      <c r="L921" s="580"/>
      <c r="M921" s="580"/>
      <c r="N921" s="580"/>
      <c r="O921" s="580"/>
      <c r="P921" s="580"/>
      <c r="Q921" s="580"/>
      <c r="R921" s="580"/>
      <c r="S921" s="580"/>
      <c r="T921" s="580"/>
      <c r="U921" s="580"/>
      <c r="V921" s="580"/>
      <c r="W921" s="580"/>
      <c r="X921" s="580"/>
      <c r="Y921" s="580"/>
      <c r="Z921" s="580"/>
      <c r="AA921" s="580"/>
      <c r="AB921" s="580"/>
    </row>
    <row r="922" ht="15.75" customHeight="1">
      <c r="A922" s="570"/>
      <c r="B922" s="570"/>
      <c r="C922" s="580"/>
      <c r="D922" s="580"/>
      <c r="E922" s="580"/>
      <c r="F922" s="580"/>
      <c r="G922" s="580"/>
      <c r="H922" s="580"/>
      <c r="I922" s="580"/>
      <c r="J922" s="580"/>
      <c r="K922" s="580"/>
      <c r="L922" s="580"/>
      <c r="M922" s="580"/>
      <c r="N922" s="580"/>
      <c r="O922" s="580"/>
      <c r="P922" s="580"/>
      <c r="Q922" s="580"/>
      <c r="R922" s="580"/>
      <c r="S922" s="580"/>
      <c r="T922" s="580"/>
      <c r="U922" s="580"/>
      <c r="V922" s="580"/>
      <c r="W922" s="580"/>
      <c r="X922" s="580"/>
      <c r="Y922" s="580"/>
      <c r="Z922" s="580"/>
      <c r="AA922" s="580"/>
      <c r="AB922" s="580"/>
    </row>
    <row r="923" ht="15.75" customHeight="1">
      <c r="A923" s="570"/>
      <c r="B923" s="570"/>
      <c r="C923" s="580"/>
      <c r="D923" s="580"/>
      <c r="E923" s="580"/>
      <c r="F923" s="580"/>
      <c r="G923" s="580"/>
      <c r="H923" s="580"/>
      <c r="I923" s="580"/>
      <c r="J923" s="580"/>
      <c r="K923" s="580"/>
      <c r="L923" s="580"/>
      <c r="M923" s="580"/>
      <c r="N923" s="580"/>
      <c r="O923" s="580"/>
      <c r="P923" s="580"/>
      <c r="Q923" s="580"/>
      <c r="R923" s="580"/>
      <c r="S923" s="580"/>
      <c r="T923" s="580"/>
      <c r="U923" s="580"/>
      <c r="V923" s="580"/>
      <c r="W923" s="580"/>
      <c r="X923" s="580"/>
      <c r="Y923" s="580"/>
      <c r="Z923" s="580"/>
      <c r="AA923" s="580"/>
      <c r="AB923" s="580"/>
    </row>
    <row r="924" ht="15.75" customHeight="1">
      <c r="A924" s="570"/>
      <c r="B924" s="570"/>
      <c r="C924" s="580"/>
      <c r="D924" s="580"/>
      <c r="E924" s="580"/>
      <c r="F924" s="580"/>
      <c r="G924" s="580"/>
      <c r="H924" s="580"/>
      <c r="I924" s="580"/>
      <c r="J924" s="580"/>
      <c r="K924" s="580"/>
      <c r="L924" s="580"/>
      <c r="M924" s="580"/>
      <c r="N924" s="580"/>
      <c r="O924" s="580"/>
      <c r="P924" s="580"/>
      <c r="Q924" s="580"/>
      <c r="R924" s="580"/>
      <c r="S924" s="580"/>
      <c r="T924" s="580"/>
      <c r="U924" s="580"/>
      <c r="V924" s="580"/>
      <c r="W924" s="580"/>
      <c r="X924" s="580"/>
      <c r="Y924" s="580"/>
      <c r="Z924" s="580"/>
      <c r="AA924" s="580"/>
      <c r="AB924" s="580"/>
    </row>
    <row r="925" ht="15.75" customHeight="1">
      <c r="A925" s="570"/>
      <c r="B925" s="570"/>
      <c r="C925" s="580"/>
      <c r="D925" s="580"/>
      <c r="E925" s="580"/>
      <c r="F925" s="580"/>
      <c r="G925" s="580"/>
      <c r="H925" s="580"/>
      <c r="I925" s="580"/>
      <c r="J925" s="580"/>
      <c r="K925" s="580"/>
      <c r="L925" s="580"/>
      <c r="M925" s="580"/>
      <c r="N925" s="580"/>
      <c r="O925" s="580"/>
      <c r="P925" s="580"/>
      <c r="Q925" s="580"/>
      <c r="R925" s="580"/>
      <c r="S925" s="580"/>
      <c r="T925" s="580"/>
      <c r="U925" s="580"/>
      <c r="V925" s="580"/>
      <c r="W925" s="580"/>
      <c r="X925" s="580"/>
      <c r="Y925" s="580"/>
      <c r="Z925" s="580"/>
      <c r="AA925" s="580"/>
      <c r="AB925" s="580"/>
    </row>
    <row r="926" ht="15.75" customHeight="1">
      <c r="A926" s="570"/>
      <c r="B926" s="570"/>
      <c r="C926" s="580"/>
      <c r="D926" s="580"/>
      <c r="E926" s="580"/>
      <c r="F926" s="580"/>
      <c r="G926" s="580"/>
      <c r="H926" s="580"/>
      <c r="I926" s="580"/>
      <c r="J926" s="580"/>
      <c r="K926" s="580"/>
      <c r="L926" s="580"/>
      <c r="M926" s="580"/>
      <c r="N926" s="580"/>
      <c r="O926" s="580"/>
      <c r="P926" s="580"/>
      <c r="Q926" s="580"/>
      <c r="R926" s="580"/>
      <c r="S926" s="580"/>
      <c r="T926" s="580"/>
      <c r="U926" s="580"/>
      <c r="V926" s="580"/>
      <c r="W926" s="580"/>
      <c r="X926" s="580"/>
      <c r="Y926" s="580"/>
      <c r="Z926" s="580"/>
      <c r="AA926" s="580"/>
      <c r="AB926" s="580"/>
    </row>
    <row r="927" ht="15.75" customHeight="1">
      <c r="A927" s="570"/>
      <c r="B927" s="570"/>
      <c r="C927" s="580"/>
      <c r="D927" s="580"/>
      <c r="E927" s="580"/>
      <c r="F927" s="580"/>
      <c r="G927" s="580"/>
      <c r="H927" s="580"/>
      <c r="I927" s="580"/>
      <c r="J927" s="580"/>
      <c r="K927" s="580"/>
      <c r="L927" s="580"/>
      <c r="M927" s="580"/>
      <c r="N927" s="580"/>
      <c r="O927" s="580"/>
      <c r="P927" s="580"/>
      <c r="Q927" s="580"/>
      <c r="R927" s="580"/>
      <c r="S927" s="580"/>
      <c r="T927" s="580"/>
      <c r="U927" s="580"/>
      <c r="V927" s="580"/>
      <c r="W927" s="580"/>
      <c r="X927" s="580"/>
      <c r="Y927" s="580"/>
      <c r="Z927" s="580"/>
      <c r="AA927" s="580"/>
      <c r="AB927" s="580"/>
    </row>
    <row r="928" ht="15.75" customHeight="1">
      <c r="A928" s="570"/>
      <c r="B928" s="570"/>
      <c r="C928" s="580"/>
      <c r="D928" s="580"/>
      <c r="E928" s="580"/>
      <c r="F928" s="580"/>
      <c r="G928" s="580"/>
      <c r="H928" s="580"/>
      <c r="I928" s="580"/>
      <c r="J928" s="580"/>
      <c r="K928" s="580"/>
      <c r="L928" s="580"/>
      <c r="M928" s="580"/>
      <c r="N928" s="580"/>
      <c r="O928" s="580"/>
      <c r="P928" s="580"/>
      <c r="Q928" s="580"/>
      <c r="R928" s="580"/>
      <c r="S928" s="580"/>
      <c r="T928" s="580"/>
      <c r="U928" s="580"/>
      <c r="V928" s="580"/>
      <c r="W928" s="580"/>
      <c r="X928" s="580"/>
      <c r="Y928" s="580"/>
      <c r="Z928" s="580"/>
      <c r="AA928" s="580"/>
      <c r="AB928" s="580"/>
    </row>
    <row r="929" ht="15.75" customHeight="1">
      <c r="A929" s="570"/>
      <c r="B929" s="570"/>
      <c r="C929" s="580"/>
      <c r="D929" s="580"/>
      <c r="E929" s="580"/>
      <c r="F929" s="580"/>
      <c r="G929" s="580"/>
      <c r="H929" s="580"/>
      <c r="I929" s="580"/>
      <c r="J929" s="580"/>
      <c r="K929" s="580"/>
      <c r="L929" s="580"/>
      <c r="M929" s="580"/>
      <c r="N929" s="580"/>
      <c r="O929" s="580"/>
      <c r="P929" s="580"/>
      <c r="Q929" s="580"/>
      <c r="R929" s="580"/>
      <c r="S929" s="580"/>
      <c r="T929" s="580"/>
      <c r="U929" s="580"/>
      <c r="V929" s="580"/>
      <c r="W929" s="580"/>
      <c r="X929" s="580"/>
      <c r="Y929" s="580"/>
      <c r="Z929" s="580"/>
      <c r="AA929" s="580"/>
      <c r="AB929" s="580"/>
    </row>
    <row r="930" ht="15.75" customHeight="1">
      <c r="A930" s="570"/>
      <c r="B930" s="570"/>
      <c r="C930" s="580"/>
      <c r="D930" s="580"/>
      <c r="E930" s="580"/>
      <c r="F930" s="580"/>
      <c r="G930" s="580"/>
      <c r="H930" s="580"/>
      <c r="I930" s="580"/>
      <c r="J930" s="580"/>
      <c r="K930" s="580"/>
      <c r="L930" s="580"/>
      <c r="M930" s="580"/>
      <c r="N930" s="580"/>
      <c r="O930" s="580"/>
      <c r="P930" s="580"/>
      <c r="Q930" s="580"/>
      <c r="R930" s="580"/>
      <c r="S930" s="580"/>
      <c r="T930" s="580"/>
      <c r="U930" s="580"/>
      <c r="V930" s="580"/>
      <c r="W930" s="580"/>
      <c r="X930" s="580"/>
      <c r="Y930" s="580"/>
      <c r="Z930" s="580"/>
      <c r="AA930" s="580"/>
      <c r="AB930" s="580"/>
    </row>
    <row r="931" ht="15.75" customHeight="1">
      <c r="A931" s="570"/>
      <c r="B931" s="570"/>
      <c r="C931" s="580"/>
      <c r="D931" s="580"/>
      <c r="E931" s="580"/>
      <c r="F931" s="580"/>
      <c r="G931" s="580"/>
      <c r="H931" s="580"/>
      <c r="I931" s="580"/>
      <c r="J931" s="580"/>
      <c r="K931" s="580"/>
      <c r="L931" s="580"/>
      <c r="M931" s="580"/>
      <c r="N931" s="580"/>
      <c r="O931" s="580"/>
      <c r="P931" s="580"/>
      <c r="Q931" s="580"/>
      <c r="R931" s="580"/>
      <c r="S931" s="580"/>
      <c r="T931" s="580"/>
      <c r="U931" s="580"/>
      <c r="V931" s="580"/>
      <c r="W931" s="580"/>
      <c r="X931" s="580"/>
      <c r="Y931" s="580"/>
      <c r="Z931" s="580"/>
      <c r="AA931" s="580"/>
      <c r="AB931" s="580"/>
    </row>
    <row r="932" ht="15.75" customHeight="1">
      <c r="A932" s="570"/>
      <c r="B932" s="570"/>
      <c r="C932" s="580"/>
      <c r="D932" s="580"/>
      <c r="E932" s="580"/>
      <c r="F932" s="580"/>
      <c r="G932" s="580"/>
      <c r="H932" s="580"/>
      <c r="I932" s="580"/>
      <c r="J932" s="580"/>
      <c r="K932" s="580"/>
      <c r="L932" s="580"/>
      <c r="M932" s="580"/>
      <c r="N932" s="580"/>
      <c r="O932" s="580"/>
      <c r="P932" s="580"/>
      <c r="Q932" s="580"/>
      <c r="R932" s="580"/>
      <c r="S932" s="580"/>
      <c r="T932" s="580"/>
      <c r="U932" s="580"/>
      <c r="V932" s="580"/>
      <c r="W932" s="580"/>
      <c r="X932" s="580"/>
      <c r="Y932" s="580"/>
      <c r="Z932" s="580"/>
      <c r="AA932" s="580"/>
      <c r="AB932" s="580"/>
    </row>
    <row r="933" ht="15.75" customHeight="1">
      <c r="A933" s="570"/>
      <c r="B933" s="570"/>
      <c r="C933" s="580"/>
      <c r="D933" s="580"/>
      <c r="E933" s="580"/>
      <c r="F933" s="580"/>
      <c r="G933" s="580"/>
      <c r="H933" s="580"/>
      <c r="I933" s="580"/>
      <c r="J933" s="580"/>
      <c r="K933" s="580"/>
      <c r="L933" s="580"/>
      <c r="M933" s="580"/>
      <c r="N933" s="580"/>
      <c r="O933" s="580"/>
      <c r="P933" s="580"/>
      <c r="Q933" s="580"/>
      <c r="R933" s="580"/>
      <c r="S933" s="580"/>
      <c r="T933" s="580"/>
      <c r="U933" s="580"/>
      <c r="V933" s="580"/>
      <c r="W933" s="580"/>
      <c r="X933" s="580"/>
      <c r="Y933" s="580"/>
      <c r="Z933" s="580"/>
      <c r="AA933" s="580"/>
      <c r="AB933" s="580"/>
    </row>
    <row r="934" ht="15.75" customHeight="1">
      <c r="A934" s="570"/>
      <c r="B934" s="570"/>
      <c r="C934" s="580"/>
      <c r="D934" s="580"/>
      <c r="E934" s="580"/>
      <c r="F934" s="580"/>
      <c r="G934" s="580"/>
      <c r="H934" s="580"/>
      <c r="I934" s="580"/>
      <c r="J934" s="580"/>
      <c r="K934" s="580"/>
      <c r="L934" s="580"/>
      <c r="M934" s="580"/>
      <c r="N934" s="580"/>
      <c r="O934" s="580"/>
      <c r="P934" s="580"/>
      <c r="Q934" s="580"/>
      <c r="R934" s="580"/>
      <c r="S934" s="580"/>
      <c r="T934" s="580"/>
      <c r="U934" s="580"/>
      <c r="V934" s="580"/>
      <c r="W934" s="580"/>
      <c r="X934" s="580"/>
      <c r="Y934" s="580"/>
      <c r="Z934" s="580"/>
      <c r="AA934" s="580"/>
      <c r="AB934" s="580"/>
    </row>
    <row r="935" ht="15.75" customHeight="1">
      <c r="A935" s="570"/>
      <c r="B935" s="570"/>
      <c r="C935" s="580"/>
      <c r="D935" s="580"/>
      <c r="E935" s="580"/>
      <c r="F935" s="580"/>
      <c r="G935" s="580"/>
      <c r="H935" s="580"/>
      <c r="I935" s="580"/>
      <c r="J935" s="580"/>
      <c r="K935" s="580"/>
      <c r="L935" s="580"/>
      <c r="M935" s="580"/>
      <c r="N935" s="580"/>
      <c r="O935" s="580"/>
      <c r="P935" s="580"/>
      <c r="Q935" s="580"/>
      <c r="R935" s="580"/>
      <c r="S935" s="580"/>
      <c r="T935" s="580"/>
      <c r="U935" s="580"/>
      <c r="V935" s="580"/>
      <c r="W935" s="580"/>
      <c r="X935" s="580"/>
      <c r="Y935" s="580"/>
      <c r="Z935" s="580"/>
      <c r="AA935" s="580"/>
      <c r="AB935" s="580"/>
    </row>
    <row r="936" ht="15.75" customHeight="1">
      <c r="A936" s="570"/>
      <c r="B936" s="570"/>
      <c r="C936" s="580"/>
      <c r="D936" s="580"/>
      <c r="E936" s="580"/>
      <c r="F936" s="580"/>
      <c r="G936" s="580"/>
      <c r="H936" s="580"/>
      <c r="I936" s="580"/>
      <c r="J936" s="580"/>
      <c r="K936" s="580"/>
      <c r="L936" s="580"/>
      <c r="M936" s="580"/>
      <c r="N936" s="580"/>
      <c r="O936" s="580"/>
      <c r="P936" s="580"/>
      <c r="Q936" s="580"/>
      <c r="R936" s="580"/>
      <c r="S936" s="580"/>
      <c r="T936" s="580"/>
      <c r="U936" s="580"/>
      <c r="V936" s="580"/>
      <c r="W936" s="580"/>
      <c r="X936" s="580"/>
      <c r="Y936" s="580"/>
      <c r="Z936" s="580"/>
      <c r="AA936" s="580"/>
      <c r="AB936" s="580"/>
    </row>
    <row r="937" ht="15.75" customHeight="1">
      <c r="A937" s="570"/>
      <c r="B937" s="570"/>
      <c r="C937" s="580"/>
      <c r="D937" s="580"/>
      <c r="E937" s="580"/>
      <c r="F937" s="580"/>
      <c r="G937" s="580"/>
      <c r="H937" s="580"/>
      <c r="I937" s="580"/>
      <c r="J937" s="580"/>
      <c r="K937" s="580"/>
      <c r="L937" s="580"/>
      <c r="M937" s="580"/>
      <c r="N937" s="580"/>
      <c r="O937" s="580"/>
      <c r="P937" s="580"/>
      <c r="Q937" s="580"/>
      <c r="R937" s="580"/>
      <c r="S937" s="580"/>
      <c r="T937" s="580"/>
      <c r="U937" s="580"/>
      <c r="V937" s="580"/>
      <c r="W937" s="580"/>
      <c r="X937" s="580"/>
      <c r="Y937" s="580"/>
      <c r="Z937" s="580"/>
      <c r="AA937" s="580"/>
      <c r="AB937" s="580"/>
    </row>
    <row r="938" ht="15.75" customHeight="1">
      <c r="A938" s="570"/>
      <c r="B938" s="570"/>
      <c r="C938" s="580"/>
      <c r="D938" s="580"/>
      <c r="E938" s="580"/>
      <c r="F938" s="580"/>
      <c r="G938" s="580"/>
      <c r="H938" s="580"/>
      <c r="I938" s="580"/>
      <c r="J938" s="580"/>
      <c r="K938" s="580"/>
      <c r="L938" s="580"/>
      <c r="M938" s="580"/>
      <c r="N938" s="580"/>
      <c r="O938" s="580"/>
      <c r="P938" s="580"/>
      <c r="Q938" s="580"/>
      <c r="R938" s="580"/>
      <c r="S938" s="580"/>
      <c r="T938" s="580"/>
      <c r="U938" s="580"/>
      <c r="V938" s="580"/>
      <c r="W938" s="580"/>
      <c r="X938" s="580"/>
      <c r="Y938" s="580"/>
      <c r="Z938" s="580"/>
      <c r="AA938" s="580"/>
      <c r="AB938" s="580"/>
    </row>
    <row r="939" ht="15.75" customHeight="1">
      <c r="A939" s="570"/>
      <c r="B939" s="570"/>
      <c r="C939" s="580"/>
      <c r="D939" s="580"/>
      <c r="E939" s="580"/>
      <c r="F939" s="580"/>
      <c r="G939" s="580"/>
      <c r="H939" s="580"/>
      <c r="I939" s="580"/>
      <c r="J939" s="580"/>
      <c r="K939" s="580"/>
      <c r="L939" s="580"/>
      <c r="M939" s="580"/>
      <c r="N939" s="580"/>
      <c r="O939" s="580"/>
      <c r="P939" s="580"/>
      <c r="Q939" s="580"/>
      <c r="R939" s="580"/>
      <c r="S939" s="580"/>
      <c r="T939" s="580"/>
      <c r="U939" s="580"/>
      <c r="V939" s="580"/>
      <c r="W939" s="580"/>
      <c r="X939" s="580"/>
      <c r="Y939" s="580"/>
      <c r="Z939" s="580"/>
      <c r="AA939" s="580"/>
      <c r="AB939" s="580"/>
    </row>
    <row r="940" ht="15.75" customHeight="1">
      <c r="A940" s="570"/>
      <c r="B940" s="570"/>
      <c r="C940" s="580"/>
      <c r="D940" s="580"/>
      <c r="E940" s="580"/>
      <c r="F940" s="580"/>
      <c r="G940" s="580"/>
      <c r="H940" s="580"/>
      <c r="I940" s="580"/>
      <c r="J940" s="580"/>
      <c r="K940" s="580"/>
      <c r="L940" s="580"/>
      <c r="M940" s="580"/>
      <c r="N940" s="580"/>
      <c r="O940" s="580"/>
      <c r="P940" s="580"/>
      <c r="Q940" s="580"/>
      <c r="R940" s="580"/>
      <c r="S940" s="580"/>
      <c r="T940" s="580"/>
      <c r="U940" s="580"/>
      <c r="V940" s="580"/>
      <c r="W940" s="580"/>
      <c r="X940" s="580"/>
      <c r="Y940" s="580"/>
      <c r="Z940" s="580"/>
      <c r="AA940" s="580"/>
      <c r="AB940" s="580"/>
    </row>
    <row r="941" ht="15.75" customHeight="1">
      <c r="A941" s="570"/>
      <c r="B941" s="570"/>
      <c r="C941" s="580"/>
      <c r="D941" s="580"/>
      <c r="E941" s="580"/>
      <c r="F941" s="580"/>
      <c r="G941" s="580"/>
      <c r="H941" s="580"/>
      <c r="I941" s="580"/>
      <c r="J941" s="580"/>
      <c r="K941" s="580"/>
      <c r="L941" s="580"/>
      <c r="M941" s="580"/>
      <c r="N941" s="580"/>
      <c r="O941" s="580"/>
      <c r="P941" s="580"/>
      <c r="Q941" s="580"/>
      <c r="R941" s="580"/>
      <c r="S941" s="580"/>
      <c r="T941" s="580"/>
      <c r="U941" s="580"/>
      <c r="V941" s="580"/>
      <c r="W941" s="580"/>
      <c r="X941" s="580"/>
      <c r="Y941" s="580"/>
      <c r="Z941" s="580"/>
      <c r="AA941" s="580"/>
      <c r="AB941" s="580"/>
    </row>
    <row r="942" ht="15.75" customHeight="1">
      <c r="A942" s="570"/>
      <c r="B942" s="570"/>
      <c r="C942" s="580"/>
      <c r="D942" s="580"/>
      <c r="E942" s="580"/>
      <c r="F942" s="580"/>
      <c r="G942" s="580"/>
      <c r="H942" s="580"/>
      <c r="I942" s="580"/>
      <c r="J942" s="580"/>
      <c r="K942" s="580"/>
      <c r="L942" s="580"/>
      <c r="M942" s="580"/>
      <c r="N942" s="580"/>
      <c r="O942" s="580"/>
      <c r="P942" s="580"/>
      <c r="Q942" s="580"/>
      <c r="R942" s="580"/>
      <c r="S942" s="580"/>
      <c r="T942" s="580"/>
      <c r="U942" s="580"/>
      <c r="V942" s="580"/>
      <c r="W942" s="580"/>
      <c r="X942" s="580"/>
      <c r="Y942" s="580"/>
      <c r="Z942" s="580"/>
      <c r="AA942" s="580"/>
      <c r="AB942" s="580"/>
    </row>
    <row r="943" ht="15.75" customHeight="1">
      <c r="A943" s="570"/>
      <c r="B943" s="570"/>
      <c r="C943" s="580"/>
      <c r="D943" s="580"/>
      <c r="E943" s="580"/>
      <c r="F943" s="580"/>
      <c r="G943" s="580"/>
      <c r="H943" s="580"/>
      <c r="I943" s="580"/>
      <c r="J943" s="580"/>
      <c r="K943" s="580"/>
      <c r="L943" s="580"/>
      <c r="M943" s="580"/>
      <c r="N943" s="580"/>
      <c r="O943" s="580"/>
      <c r="P943" s="580"/>
      <c r="Q943" s="580"/>
      <c r="R943" s="580"/>
      <c r="S943" s="580"/>
      <c r="T943" s="580"/>
      <c r="U943" s="580"/>
      <c r="V943" s="580"/>
      <c r="W943" s="580"/>
      <c r="X943" s="580"/>
      <c r="Y943" s="580"/>
      <c r="Z943" s="580"/>
      <c r="AA943" s="580"/>
      <c r="AB943" s="580"/>
    </row>
    <row r="944" ht="15.75" customHeight="1">
      <c r="A944" s="570"/>
      <c r="B944" s="570"/>
      <c r="C944" s="580"/>
      <c r="D944" s="580"/>
      <c r="E944" s="580"/>
      <c r="F944" s="580"/>
      <c r="G944" s="580"/>
      <c r="H944" s="580"/>
      <c r="I944" s="580"/>
      <c r="J944" s="580"/>
      <c r="K944" s="580"/>
      <c r="L944" s="580"/>
      <c r="M944" s="580"/>
      <c r="N944" s="580"/>
      <c r="O944" s="580"/>
      <c r="P944" s="580"/>
      <c r="Q944" s="580"/>
      <c r="R944" s="580"/>
      <c r="S944" s="580"/>
      <c r="T944" s="580"/>
      <c r="U944" s="580"/>
      <c r="V944" s="580"/>
      <c r="W944" s="580"/>
      <c r="X944" s="580"/>
      <c r="Y944" s="580"/>
      <c r="Z944" s="580"/>
      <c r="AA944" s="580"/>
      <c r="AB944" s="580"/>
    </row>
    <row r="945" ht="15.75" customHeight="1">
      <c r="A945" s="570"/>
      <c r="B945" s="570"/>
      <c r="C945" s="580"/>
      <c r="D945" s="580"/>
      <c r="E945" s="580"/>
      <c r="F945" s="580"/>
      <c r="G945" s="580"/>
      <c r="H945" s="580"/>
      <c r="I945" s="580"/>
      <c r="J945" s="580"/>
      <c r="K945" s="580"/>
      <c r="L945" s="580"/>
      <c r="M945" s="580"/>
      <c r="N945" s="580"/>
      <c r="O945" s="580"/>
      <c r="P945" s="580"/>
      <c r="Q945" s="580"/>
      <c r="R945" s="580"/>
      <c r="S945" s="580"/>
      <c r="T945" s="580"/>
      <c r="U945" s="580"/>
      <c r="V945" s="580"/>
      <c r="W945" s="580"/>
      <c r="X945" s="580"/>
      <c r="Y945" s="580"/>
      <c r="Z945" s="580"/>
      <c r="AA945" s="580"/>
      <c r="AB945" s="580"/>
    </row>
    <row r="946" ht="15.75" customHeight="1">
      <c r="A946" s="570"/>
      <c r="B946" s="570"/>
      <c r="C946" s="580"/>
      <c r="D946" s="580"/>
      <c r="E946" s="580"/>
      <c r="F946" s="580"/>
      <c r="G946" s="580"/>
      <c r="H946" s="580"/>
      <c r="I946" s="580"/>
      <c r="J946" s="580"/>
      <c r="K946" s="580"/>
      <c r="L946" s="580"/>
      <c r="M946" s="580"/>
      <c r="N946" s="580"/>
      <c r="O946" s="580"/>
      <c r="P946" s="580"/>
      <c r="Q946" s="580"/>
      <c r="R946" s="580"/>
      <c r="S946" s="580"/>
      <c r="T946" s="580"/>
      <c r="U946" s="580"/>
      <c r="V946" s="580"/>
      <c r="W946" s="580"/>
      <c r="X946" s="580"/>
      <c r="Y946" s="580"/>
      <c r="Z946" s="580"/>
      <c r="AA946" s="580"/>
      <c r="AB946" s="580"/>
    </row>
    <row r="947" ht="15.75" customHeight="1">
      <c r="A947" s="570"/>
      <c r="B947" s="570"/>
      <c r="C947" s="580"/>
      <c r="D947" s="580"/>
      <c r="E947" s="580"/>
      <c r="F947" s="580"/>
      <c r="G947" s="580"/>
      <c r="H947" s="580"/>
      <c r="I947" s="580"/>
      <c r="J947" s="580"/>
      <c r="K947" s="580"/>
      <c r="L947" s="580"/>
      <c r="M947" s="580"/>
      <c r="N947" s="580"/>
      <c r="O947" s="580"/>
      <c r="P947" s="580"/>
      <c r="Q947" s="580"/>
      <c r="R947" s="580"/>
      <c r="S947" s="580"/>
      <c r="T947" s="580"/>
      <c r="U947" s="580"/>
      <c r="V947" s="580"/>
      <c r="W947" s="580"/>
      <c r="X947" s="580"/>
      <c r="Y947" s="580"/>
      <c r="Z947" s="580"/>
      <c r="AA947" s="580"/>
      <c r="AB947" s="580"/>
    </row>
    <row r="948" ht="15.75" customHeight="1">
      <c r="A948" s="570"/>
      <c r="B948" s="570"/>
      <c r="C948" s="580"/>
      <c r="D948" s="580"/>
      <c r="E948" s="580"/>
      <c r="F948" s="580"/>
      <c r="G948" s="580"/>
      <c r="H948" s="580"/>
      <c r="I948" s="580"/>
      <c r="J948" s="580"/>
      <c r="K948" s="580"/>
      <c r="L948" s="580"/>
      <c r="M948" s="580"/>
      <c r="N948" s="580"/>
      <c r="O948" s="580"/>
      <c r="P948" s="580"/>
      <c r="Q948" s="580"/>
      <c r="R948" s="580"/>
      <c r="S948" s="580"/>
      <c r="T948" s="580"/>
      <c r="U948" s="580"/>
      <c r="V948" s="580"/>
      <c r="W948" s="580"/>
      <c r="X948" s="580"/>
      <c r="Y948" s="580"/>
      <c r="Z948" s="580"/>
      <c r="AA948" s="580"/>
      <c r="AB948" s="580"/>
    </row>
    <row r="949" ht="15.75" customHeight="1">
      <c r="A949" s="570"/>
      <c r="B949" s="570"/>
      <c r="C949" s="580"/>
      <c r="D949" s="580"/>
      <c r="E949" s="580"/>
      <c r="F949" s="580"/>
      <c r="G949" s="580"/>
      <c r="H949" s="580"/>
      <c r="I949" s="580"/>
      <c r="J949" s="580"/>
      <c r="K949" s="580"/>
      <c r="L949" s="580"/>
      <c r="M949" s="580"/>
      <c r="N949" s="580"/>
      <c r="O949" s="580"/>
      <c r="P949" s="580"/>
      <c r="Q949" s="580"/>
      <c r="R949" s="580"/>
      <c r="S949" s="580"/>
      <c r="T949" s="580"/>
      <c r="U949" s="580"/>
      <c r="V949" s="580"/>
      <c r="W949" s="580"/>
      <c r="X949" s="580"/>
      <c r="Y949" s="580"/>
      <c r="Z949" s="580"/>
      <c r="AA949" s="580"/>
      <c r="AB949" s="580"/>
    </row>
    <row r="950" ht="15.75" customHeight="1">
      <c r="A950" s="570"/>
      <c r="B950" s="570"/>
      <c r="C950" s="580"/>
      <c r="D950" s="580"/>
      <c r="E950" s="580"/>
      <c r="F950" s="580"/>
      <c r="G950" s="580"/>
      <c r="H950" s="580"/>
      <c r="I950" s="580"/>
      <c r="J950" s="580"/>
      <c r="K950" s="580"/>
      <c r="L950" s="580"/>
      <c r="M950" s="580"/>
      <c r="N950" s="580"/>
      <c r="O950" s="580"/>
      <c r="P950" s="580"/>
      <c r="Q950" s="580"/>
      <c r="R950" s="580"/>
      <c r="S950" s="580"/>
      <c r="T950" s="580"/>
      <c r="U950" s="580"/>
      <c r="V950" s="580"/>
      <c r="W950" s="580"/>
      <c r="X950" s="580"/>
      <c r="Y950" s="580"/>
      <c r="Z950" s="580"/>
      <c r="AA950" s="580"/>
      <c r="AB950" s="580"/>
    </row>
    <row r="951" ht="15.75" customHeight="1">
      <c r="A951" s="570"/>
      <c r="B951" s="570"/>
      <c r="C951" s="580"/>
      <c r="D951" s="580"/>
      <c r="E951" s="580"/>
      <c r="F951" s="580"/>
      <c r="G951" s="580"/>
      <c r="H951" s="580"/>
      <c r="I951" s="580"/>
      <c r="J951" s="580"/>
      <c r="K951" s="580"/>
      <c r="L951" s="580"/>
      <c r="M951" s="580"/>
      <c r="N951" s="580"/>
      <c r="O951" s="580"/>
      <c r="P951" s="580"/>
      <c r="Q951" s="580"/>
      <c r="R951" s="580"/>
      <c r="S951" s="580"/>
      <c r="T951" s="580"/>
      <c r="U951" s="580"/>
      <c r="V951" s="580"/>
      <c r="W951" s="580"/>
      <c r="X951" s="580"/>
      <c r="Y951" s="580"/>
      <c r="Z951" s="580"/>
      <c r="AA951" s="580"/>
      <c r="AB951" s="580"/>
    </row>
    <row r="952" ht="15.75" customHeight="1">
      <c r="A952" s="570"/>
      <c r="B952" s="570"/>
      <c r="C952" s="580"/>
      <c r="D952" s="580"/>
      <c r="E952" s="580"/>
      <c r="F952" s="580"/>
      <c r="G952" s="580"/>
      <c r="H952" s="580"/>
      <c r="I952" s="580"/>
      <c r="J952" s="580"/>
      <c r="K952" s="580"/>
      <c r="L952" s="580"/>
      <c r="M952" s="580"/>
      <c r="N952" s="580"/>
      <c r="O952" s="580"/>
      <c r="P952" s="580"/>
      <c r="Q952" s="580"/>
      <c r="R952" s="580"/>
      <c r="S952" s="580"/>
      <c r="T952" s="580"/>
      <c r="U952" s="580"/>
      <c r="V952" s="580"/>
      <c r="W952" s="580"/>
      <c r="X952" s="580"/>
      <c r="Y952" s="580"/>
      <c r="Z952" s="580"/>
      <c r="AA952" s="580"/>
      <c r="AB952" s="580"/>
    </row>
    <row r="953" ht="15.75" customHeight="1">
      <c r="A953" s="570"/>
      <c r="B953" s="570"/>
      <c r="C953" s="580"/>
      <c r="D953" s="580"/>
      <c r="E953" s="580"/>
      <c r="F953" s="580"/>
      <c r="G953" s="580"/>
      <c r="H953" s="580"/>
      <c r="I953" s="580"/>
      <c r="J953" s="580"/>
      <c r="K953" s="580"/>
      <c r="L953" s="580"/>
      <c r="M953" s="580"/>
      <c r="N953" s="580"/>
      <c r="O953" s="580"/>
      <c r="P953" s="580"/>
      <c r="Q953" s="580"/>
      <c r="R953" s="580"/>
      <c r="S953" s="580"/>
      <c r="T953" s="580"/>
      <c r="U953" s="580"/>
      <c r="V953" s="580"/>
      <c r="W953" s="580"/>
      <c r="X953" s="580"/>
      <c r="Y953" s="580"/>
      <c r="Z953" s="580"/>
      <c r="AA953" s="580"/>
      <c r="AB953" s="580"/>
    </row>
    <row r="954" ht="15.75" customHeight="1">
      <c r="A954" s="570"/>
      <c r="B954" s="570"/>
      <c r="C954" s="580"/>
      <c r="D954" s="580"/>
      <c r="E954" s="580"/>
      <c r="F954" s="580"/>
      <c r="G954" s="580"/>
      <c r="H954" s="580"/>
      <c r="I954" s="580"/>
      <c r="J954" s="580"/>
      <c r="K954" s="580"/>
      <c r="L954" s="580"/>
      <c r="M954" s="580"/>
      <c r="N954" s="580"/>
      <c r="O954" s="580"/>
      <c r="P954" s="580"/>
      <c r="Q954" s="580"/>
      <c r="R954" s="580"/>
      <c r="S954" s="580"/>
      <c r="T954" s="580"/>
      <c r="U954" s="580"/>
      <c r="V954" s="580"/>
      <c r="W954" s="580"/>
      <c r="X954" s="580"/>
      <c r="Y954" s="580"/>
      <c r="Z954" s="580"/>
      <c r="AA954" s="580"/>
      <c r="AB954" s="580"/>
    </row>
    <row r="955" ht="15.75" customHeight="1">
      <c r="A955" s="570"/>
      <c r="B955" s="570"/>
      <c r="C955" s="580"/>
      <c r="D955" s="580"/>
      <c r="E955" s="580"/>
      <c r="F955" s="580"/>
      <c r="G955" s="580"/>
      <c r="H955" s="580"/>
      <c r="I955" s="580"/>
      <c r="J955" s="580"/>
      <c r="K955" s="580"/>
      <c r="L955" s="580"/>
      <c r="M955" s="580"/>
      <c r="N955" s="580"/>
      <c r="O955" s="580"/>
      <c r="P955" s="580"/>
      <c r="Q955" s="580"/>
      <c r="R955" s="580"/>
      <c r="S955" s="580"/>
      <c r="T955" s="580"/>
      <c r="U955" s="580"/>
      <c r="V955" s="580"/>
      <c r="W955" s="580"/>
      <c r="X955" s="580"/>
      <c r="Y955" s="580"/>
      <c r="Z955" s="580"/>
      <c r="AA955" s="580"/>
      <c r="AB955" s="580"/>
    </row>
    <row r="956" ht="15.75" customHeight="1">
      <c r="A956" s="570"/>
      <c r="B956" s="570"/>
      <c r="C956" s="580"/>
      <c r="D956" s="580"/>
      <c r="E956" s="580"/>
      <c r="F956" s="580"/>
      <c r="G956" s="580"/>
      <c r="H956" s="580"/>
      <c r="I956" s="580"/>
      <c r="J956" s="580"/>
      <c r="K956" s="580"/>
      <c r="L956" s="580"/>
      <c r="M956" s="580"/>
      <c r="N956" s="580"/>
      <c r="O956" s="580"/>
      <c r="P956" s="580"/>
      <c r="Q956" s="580"/>
      <c r="R956" s="580"/>
      <c r="S956" s="580"/>
      <c r="T956" s="580"/>
      <c r="U956" s="580"/>
      <c r="V956" s="580"/>
      <c r="W956" s="580"/>
      <c r="X956" s="580"/>
      <c r="Y956" s="580"/>
      <c r="Z956" s="580"/>
      <c r="AA956" s="580"/>
      <c r="AB956" s="580"/>
    </row>
    <row r="957" ht="15.75" customHeight="1">
      <c r="A957" s="570"/>
      <c r="B957" s="570"/>
      <c r="C957" s="580"/>
      <c r="D957" s="580"/>
      <c r="E957" s="580"/>
      <c r="F957" s="580"/>
      <c r="G957" s="580"/>
      <c r="H957" s="580"/>
      <c r="I957" s="580"/>
      <c r="J957" s="580"/>
      <c r="K957" s="580"/>
      <c r="L957" s="580"/>
      <c r="M957" s="580"/>
      <c r="N957" s="580"/>
      <c r="O957" s="580"/>
      <c r="P957" s="580"/>
      <c r="Q957" s="580"/>
      <c r="R957" s="580"/>
      <c r="S957" s="580"/>
      <c r="T957" s="580"/>
      <c r="U957" s="580"/>
      <c r="V957" s="580"/>
      <c r="W957" s="580"/>
      <c r="X957" s="580"/>
      <c r="Y957" s="580"/>
      <c r="Z957" s="580"/>
      <c r="AA957" s="580"/>
      <c r="AB957" s="580"/>
    </row>
    <row r="958" ht="15.75" customHeight="1">
      <c r="A958" s="570"/>
      <c r="B958" s="570"/>
      <c r="C958" s="580"/>
      <c r="D958" s="580"/>
      <c r="E958" s="580"/>
      <c r="F958" s="580"/>
      <c r="G958" s="580"/>
      <c r="H958" s="580"/>
      <c r="I958" s="580"/>
      <c r="J958" s="580"/>
      <c r="K958" s="580"/>
      <c r="L958" s="580"/>
      <c r="M958" s="580"/>
      <c r="N958" s="580"/>
      <c r="O958" s="580"/>
      <c r="P958" s="580"/>
      <c r="Q958" s="580"/>
      <c r="R958" s="580"/>
      <c r="S958" s="580"/>
      <c r="T958" s="580"/>
      <c r="U958" s="580"/>
      <c r="V958" s="580"/>
      <c r="W958" s="580"/>
      <c r="X958" s="580"/>
      <c r="Y958" s="580"/>
      <c r="Z958" s="580"/>
      <c r="AA958" s="580"/>
      <c r="AB958" s="580"/>
    </row>
    <row r="959" ht="15.75" customHeight="1">
      <c r="A959" s="570"/>
      <c r="B959" s="570"/>
      <c r="C959" s="580"/>
      <c r="D959" s="580"/>
      <c r="E959" s="580"/>
      <c r="F959" s="580"/>
      <c r="G959" s="580"/>
      <c r="H959" s="580"/>
      <c r="I959" s="580"/>
      <c r="J959" s="580"/>
      <c r="K959" s="580"/>
      <c r="L959" s="580"/>
      <c r="M959" s="580"/>
      <c r="N959" s="580"/>
      <c r="O959" s="580"/>
      <c r="P959" s="580"/>
      <c r="Q959" s="580"/>
      <c r="R959" s="580"/>
      <c r="S959" s="580"/>
      <c r="T959" s="580"/>
      <c r="U959" s="580"/>
      <c r="V959" s="580"/>
      <c r="W959" s="580"/>
      <c r="X959" s="580"/>
      <c r="Y959" s="580"/>
      <c r="Z959" s="580"/>
      <c r="AA959" s="580"/>
      <c r="AB959" s="580"/>
    </row>
    <row r="960" ht="15.75" customHeight="1">
      <c r="A960" s="570"/>
      <c r="B960" s="570"/>
      <c r="C960" s="580"/>
      <c r="D960" s="580"/>
      <c r="E960" s="580"/>
      <c r="F960" s="580"/>
      <c r="G960" s="580"/>
      <c r="H960" s="580"/>
      <c r="I960" s="580"/>
      <c r="J960" s="580"/>
      <c r="K960" s="580"/>
      <c r="L960" s="580"/>
      <c r="M960" s="580"/>
      <c r="N960" s="580"/>
      <c r="O960" s="580"/>
      <c r="P960" s="580"/>
      <c r="Q960" s="580"/>
      <c r="R960" s="580"/>
      <c r="S960" s="580"/>
      <c r="T960" s="580"/>
      <c r="U960" s="580"/>
      <c r="V960" s="580"/>
      <c r="W960" s="580"/>
      <c r="X960" s="580"/>
      <c r="Y960" s="580"/>
      <c r="Z960" s="580"/>
      <c r="AA960" s="580"/>
      <c r="AB960" s="580"/>
    </row>
    <row r="961" ht="15.75" customHeight="1">
      <c r="A961" s="570"/>
      <c r="B961" s="570"/>
      <c r="C961" s="580"/>
      <c r="D961" s="580"/>
      <c r="E961" s="580"/>
      <c r="F961" s="580"/>
      <c r="G961" s="580"/>
      <c r="H961" s="580"/>
      <c r="I961" s="580"/>
      <c r="J961" s="580"/>
      <c r="K961" s="580"/>
      <c r="L961" s="580"/>
      <c r="M961" s="580"/>
      <c r="N961" s="580"/>
      <c r="O961" s="580"/>
      <c r="P961" s="580"/>
      <c r="Q961" s="580"/>
      <c r="R961" s="580"/>
      <c r="S961" s="580"/>
      <c r="T961" s="580"/>
      <c r="U961" s="580"/>
      <c r="V961" s="580"/>
      <c r="W961" s="580"/>
      <c r="X961" s="580"/>
      <c r="Y961" s="580"/>
      <c r="Z961" s="580"/>
      <c r="AA961" s="580"/>
      <c r="AB961" s="580"/>
    </row>
    <row r="962" ht="15.75" customHeight="1">
      <c r="A962" s="570"/>
      <c r="B962" s="570"/>
      <c r="C962" s="580"/>
      <c r="D962" s="580"/>
      <c r="E962" s="580"/>
      <c r="F962" s="580"/>
      <c r="G962" s="580"/>
      <c r="H962" s="580"/>
      <c r="I962" s="580"/>
      <c r="J962" s="580"/>
      <c r="K962" s="580"/>
      <c r="L962" s="580"/>
      <c r="M962" s="580"/>
      <c r="N962" s="580"/>
      <c r="O962" s="580"/>
      <c r="P962" s="580"/>
      <c r="Q962" s="580"/>
      <c r="R962" s="580"/>
      <c r="S962" s="580"/>
      <c r="T962" s="580"/>
      <c r="U962" s="580"/>
      <c r="V962" s="580"/>
      <c r="W962" s="580"/>
      <c r="X962" s="580"/>
      <c r="Y962" s="580"/>
      <c r="Z962" s="580"/>
      <c r="AA962" s="580"/>
      <c r="AB962" s="580"/>
    </row>
    <row r="963" ht="15.75" customHeight="1">
      <c r="A963" s="570"/>
      <c r="B963" s="570"/>
      <c r="C963" s="580"/>
      <c r="D963" s="580"/>
      <c r="E963" s="580"/>
      <c r="F963" s="580"/>
      <c r="G963" s="580"/>
      <c r="H963" s="580"/>
      <c r="I963" s="580"/>
      <c r="J963" s="580"/>
      <c r="K963" s="580"/>
      <c r="L963" s="580"/>
      <c r="M963" s="580"/>
      <c r="N963" s="580"/>
      <c r="O963" s="580"/>
      <c r="P963" s="580"/>
      <c r="Q963" s="580"/>
      <c r="R963" s="580"/>
      <c r="S963" s="580"/>
      <c r="T963" s="580"/>
      <c r="U963" s="580"/>
      <c r="V963" s="580"/>
      <c r="W963" s="580"/>
      <c r="X963" s="580"/>
      <c r="Y963" s="580"/>
      <c r="Z963" s="580"/>
      <c r="AA963" s="580"/>
      <c r="AB963" s="580"/>
    </row>
    <row r="964" ht="15.75" customHeight="1">
      <c r="A964" s="570"/>
      <c r="B964" s="570"/>
      <c r="C964" s="580"/>
      <c r="D964" s="580"/>
      <c r="E964" s="580"/>
      <c r="F964" s="580"/>
      <c r="G964" s="580"/>
      <c r="H964" s="580"/>
      <c r="I964" s="580"/>
      <c r="J964" s="580"/>
      <c r="K964" s="580"/>
      <c r="L964" s="580"/>
      <c r="M964" s="580"/>
      <c r="N964" s="580"/>
      <c r="O964" s="580"/>
      <c r="P964" s="580"/>
      <c r="Q964" s="580"/>
      <c r="R964" s="580"/>
      <c r="S964" s="580"/>
      <c r="T964" s="580"/>
      <c r="U964" s="580"/>
      <c r="V964" s="580"/>
      <c r="W964" s="580"/>
      <c r="X964" s="580"/>
      <c r="Y964" s="580"/>
      <c r="Z964" s="580"/>
      <c r="AA964" s="580"/>
      <c r="AB964" s="580"/>
    </row>
    <row r="965" ht="15.75" customHeight="1">
      <c r="A965" s="570"/>
      <c r="B965" s="570"/>
      <c r="C965" s="580"/>
      <c r="D965" s="580"/>
      <c r="E965" s="580"/>
      <c r="F965" s="580"/>
      <c r="G965" s="580"/>
      <c r="H965" s="580"/>
      <c r="I965" s="580"/>
      <c r="J965" s="580"/>
      <c r="K965" s="580"/>
      <c r="L965" s="580"/>
      <c r="M965" s="580"/>
      <c r="N965" s="580"/>
      <c r="O965" s="580"/>
      <c r="P965" s="580"/>
      <c r="Q965" s="580"/>
      <c r="R965" s="580"/>
      <c r="S965" s="580"/>
      <c r="T965" s="580"/>
      <c r="U965" s="580"/>
      <c r="V965" s="580"/>
      <c r="W965" s="580"/>
      <c r="X965" s="580"/>
      <c r="Y965" s="580"/>
      <c r="Z965" s="580"/>
      <c r="AA965" s="580"/>
      <c r="AB965" s="580"/>
    </row>
    <row r="966" ht="15.75" customHeight="1">
      <c r="A966" s="570"/>
      <c r="B966" s="570"/>
      <c r="C966" s="580"/>
      <c r="D966" s="580"/>
      <c r="E966" s="580"/>
      <c r="F966" s="580"/>
      <c r="G966" s="580"/>
      <c r="H966" s="580"/>
      <c r="I966" s="580"/>
      <c r="J966" s="580"/>
      <c r="K966" s="580"/>
      <c r="L966" s="580"/>
      <c r="M966" s="580"/>
      <c r="N966" s="580"/>
      <c r="O966" s="580"/>
      <c r="P966" s="580"/>
      <c r="Q966" s="580"/>
      <c r="R966" s="580"/>
      <c r="S966" s="580"/>
      <c r="T966" s="580"/>
      <c r="U966" s="580"/>
      <c r="V966" s="580"/>
      <c r="W966" s="580"/>
      <c r="X966" s="580"/>
      <c r="Y966" s="580"/>
      <c r="Z966" s="580"/>
      <c r="AA966" s="580"/>
      <c r="AB966" s="580"/>
    </row>
    <row r="967" ht="15.75" customHeight="1">
      <c r="A967" s="570"/>
      <c r="B967" s="570"/>
      <c r="C967" s="580"/>
      <c r="D967" s="580"/>
      <c r="E967" s="580"/>
      <c r="F967" s="580"/>
      <c r="G967" s="580"/>
      <c r="H967" s="580"/>
      <c r="I967" s="580"/>
      <c r="J967" s="580"/>
      <c r="K967" s="580"/>
      <c r="L967" s="580"/>
      <c r="M967" s="580"/>
      <c r="N967" s="580"/>
      <c r="O967" s="580"/>
      <c r="P967" s="580"/>
      <c r="Q967" s="580"/>
      <c r="R967" s="580"/>
      <c r="S967" s="580"/>
      <c r="T967" s="580"/>
      <c r="U967" s="580"/>
      <c r="V967" s="580"/>
      <c r="W967" s="580"/>
      <c r="X967" s="580"/>
      <c r="Y967" s="580"/>
      <c r="Z967" s="580"/>
      <c r="AA967" s="580"/>
      <c r="AB967" s="580"/>
    </row>
    <row r="968" ht="15.75" customHeight="1">
      <c r="A968" s="570"/>
      <c r="B968" s="570"/>
      <c r="C968" s="580"/>
      <c r="D968" s="580"/>
      <c r="E968" s="580"/>
      <c r="F968" s="580"/>
      <c r="G968" s="580"/>
      <c r="H968" s="580"/>
      <c r="I968" s="580"/>
      <c r="J968" s="580"/>
      <c r="K968" s="580"/>
      <c r="L968" s="580"/>
      <c r="M968" s="580"/>
      <c r="N968" s="580"/>
      <c r="O968" s="580"/>
      <c r="P968" s="580"/>
      <c r="Q968" s="580"/>
      <c r="R968" s="580"/>
      <c r="S968" s="580"/>
      <c r="T968" s="580"/>
      <c r="U968" s="580"/>
      <c r="V968" s="580"/>
      <c r="W968" s="580"/>
      <c r="X968" s="580"/>
      <c r="Y968" s="580"/>
      <c r="Z968" s="580"/>
      <c r="AA968" s="580"/>
      <c r="AB968" s="580"/>
    </row>
    <row r="969" ht="15.75" customHeight="1">
      <c r="A969" s="570"/>
      <c r="B969" s="570"/>
      <c r="C969" s="580"/>
      <c r="D969" s="580"/>
      <c r="E969" s="580"/>
      <c r="F969" s="580"/>
      <c r="G969" s="580"/>
      <c r="H969" s="580"/>
      <c r="I969" s="580"/>
      <c r="J969" s="580"/>
      <c r="K969" s="580"/>
      <c r="L969" s="580"/>
      <c r="M969" s="580"/>
      <c r="N969" s="580"/>
      <c r="O969" s="580"/>
      <c r="P969" s="580"/>
      <c r="Q969" s="580"/>
      <c r="R969" s="580"/>
      <c r="S969" s="580"/>
      <c r="T969" s="580"/>
      <c r="U969" s="580"/>
      <c r="V969" s="580"/>
      <c r="W969" s="580"/>
      <c r="X969" s="580"/>
      <c r="Y969" s="580"/>
      <c r="Z969" s="580"/>
      <c r="AA969" s="580"/>
      <c r="AB969" s="580"/>
    </row>
    <row r="970" ht="15.75" customHeight="1">
      <c r="A970" s="570"/>
      <c r="B970" s="570"/>
      <c r="C970" s="580"/>
      <c r="D970" s="580"/>
      <c r="E970" s="580"/>
      <c r="F970" s="580"/>
      <c r="G970" s="580"/>
      <c r="H970" s="580"/>
      <c r="I970" s="580"/>
      <c r="J970" s="580"/>
      <c r="K970" s="580"/>
      <c r="L970" s="580"/>
      <c r="M970" s="580"/>
      <c r="N970" s="580"/>
      <c r="O970" s="580"/>
      <c r="P970" s="580"/>
      <c r="Q970" s="580"/>
      <c r="R970" s="580"/>
      <c r="S970" s="580"/>
      <c r="T970" s="580"/>
      <c r="U970" s="580"/>
      <c r="V970" s="580"/>
      <c r="W970" s="580"/>
      <c r="X970" s="580"/>
      <c r="Y970" s="580"/>
      <c r="Z970" s="580"/>
      <c r="AA970" s="580"/>
      <c r="AB970" s="580"/>
    </row>
    <row r="971" ht="15.75" customHeight="1">
      <c r="A971" s="570"/>
      <c r="B971" s="570"/>
      <c r="C971" s="580"/>
      <c r="D971" s="580"/>
      <c r="E971" s="580"/>
      <c r="F971" s="580"/>
      <c r="G971" s="580"/>
      <c r="H971" s="580"/>
      <c r="I971" s="580"/>
      <c r="J971" s="580"/>
      <c r="K971" s="580"/>
      <c r="L971" s="580"/>
      <c r="M971" s="580"/>
      <c r="N971" s="580"/>
      <c r="O971" s="580"/>
      <c r="P971" s="580"/>
      <c r="Q971" s="580"/>
      <c r="R971" s="580"/>
      <c r="S971" s="580"/>
      <c r="T971" s="580"/>
      <c r="U971" s="580"/>
      <c r="V971" s="580"/>
      <c r="W971" s="580"/>
      <c r="X971" s="580"/>
      <c r="Y971" s="580"/>
      <c r="Z971" s="580"/>
      <c r="AA971" s="580"/>
      <c r="AB971" s="580"/>
    </row>
    <row r="972" ht="15.75" customHeight="1">
      <c r="A972" s="570"/>
      <c r="B972" s="570"/>
      <c r="C972" s="580"/>
      <c r="D972" s="580"/>
      <c r="E972" s="580"/>
      <c r="F972" s="580"/>
      <c r="G972" s="580"/>
      <c r="H972" s="580"/>
      <c r="I972" s="580"/>
      <c r="J972" s="580"/>
      <c r="K972" s="580"/>
      <c r="L972" s="580"/>
      <c r="M972" s="580"/>
      <c r="N972" s="580"/>
      <c r="O972" s="580"/>
      <c r="P972" s="580"/>
      <c r="Q972" s="580"/>
      <c r="R972" s="580"/>
      <c r="S972" s="580"/>
      <c r="T972" s="580"/>
      <c r="U972" s="580"/>
      <c r="V972" s="580"/>
      <c r="W972" s="580"/>
      <c r="X972" s="580"/>
      <c r="Y972" s="580"/>
      <c r="Z972" s="580"/>
      <c r="AA972" s="580"/>
      <c r="AB972" s="580"/>
    </row>
    <row r="973" ht="15.75" customHeight="1">
      <c r="A973" s="570"/>
      <c r="B973" s="570"/>
      <c r="C973" s="580"/>
      <c r="D973" s="580"/>
      <c r="E973" s="580"/>
      <c r="F973" s="580"/>
      <c r="G973" s="580"/>
      <c r="H973" s="580"/>
      <c r="I973" s="580"/>
      <c r="J973" s="580"/>
      <c r="K973" s="580"/>
      <c r="L973" s="580"/>
      <c r="M973" s="580"/>
      <c r="N973" s="580"/>
      <c r="O973" s="580"/>
      <c r="P973" s="580"/>
      <c r="Q973" s="580"/>
      <c r="R973" s="580"/>
      <c r="S973" s="580"/>
      <c r="T973" s="580"/>
      <c r="U973" s="580"/>
      <c r="V973" s="580"/>
      <c r="W973" s="580"/>
      <c r="X973" s="580"/>
      <c r="Y973" s="580"/>
      <c r="Z973" s="580"/>
      <c r="AA973" s="580"/>
      <c r="AB973" s="580"/>
    </row>
    <row r="974" ht="15.75" customHeight="1">
      <c r="A974" s="570"/>
      <c r="B974" s="570"/>
      <c r="C974" s="580"/>
      <c r="D974" s="580"/>
      <c r="E974" s="580"/>
      <c r="F974" s="580"/>
      <c r="G974" s="580"/>
      <c r="H974" s="580"/>
      <c r="I974" s="580"/>
      <c r="J974" s="580"/>
      <c r="K974" s="580"/>
      <c r="L974" s="580"/>
      <c r="M974" s="580"/>
      <c r="N974" s="580"/>
      <c r="O974" s="580"/>
      <c r="P974" s="580"/>
      <c r="Q974" s="580"/>
      <c r="R974" s="580"/>
      <c r="S974" s="580"/>
      <c r="T974" s="580"/>
      <c r="U974" s="580"/>
      <c r="V974" s="580"/>
      <c r="W974" s="580"/>
      <c r="X974" s="580"/>
      <c r="Y974" s="580"/>
      <c r="Z974" s="580"/>
      <c r="AA974" s="580"/>
      <c r="AB974" s="580"/>
    </row>
    <row r="975" ht="15.75" customHeight="1">
      <c r="A975" s="570"/>
      <c r="B975" s="570"/>
      <c r="C975" s="580"/>
      <c r="D975" s="580"/>
      <c r="E975" s="580"/>
      <c r="F975" s="580"/>
      <c r="G975" s="580"/>
      <c r="H975" s="580"/>
      <c r="I975" s="580"/>
      <c r="J975" s="580"/>
      <c r="K975" s="580"/>
      <c r="L975" s="580"/>
      <c r="M975" s="580"/>
      <c r="N975" s="580"/>
      <c r="O975" s="580"/>
      <c r="P975" s="580"/>
      <c r="Q975" s="580"/>
      <c r="R975" s="580"/>
      <c r="S975" s="580"/>
      <c r="T975" s="580"/>
      <c r="U975" s="580"/>
      <c r="V975" s="580"/>
      <c r="W975" s="580"/>
      <c r="X975" s="580"/>
      <c r="Y975" s="580"/>
      <c r="Z975" s="580"/>
      <c r="AA975" s="580"/>
      <c r="AB975" s="580"/>
    </row>
    <row r="976" ht="15.75" customHeight="1">
      <c r="A976" s="570"/>
      <c r="B976" s="570"/>
      <c r="C976" s="580"/>
      <c r="D976" s="580"/>
      <c r="E976" s="580"/>
      <c r="F976" s="580"/>
      <c r="G976" s="580"/>
      <c r="H976" s="580"/>
      <c r="I976" s="580"/>
      <c r="J976" s="580"/>
      <c r="K976" s="580"/>
      <c r="L976" s="580"/>
      <c r="M976" s="580"/>
      <c r="N976" s="580"/>
      <c r="O976" s="580"/>
      <c r="P976" s="580"/>
      <c r="Q976" s="580"/>
      <c r="R976" s="580"/>
      <c r="S976" s="580"/>
      <c r="T976" s="580"/>
      <c r="U976" s="580"/>
      <c r="V976" s="580"/>
      <c r="W976" s="580"/>
      <c r="X976" s="580"/>
      <c r="Y976" s="580"/>
      <c r="Z976" s="580"/>
      <c r="AA976" s="580"/>
      <c r="AB976" s="580"/>
    </row>
    <row r="977" ht="15.75" customHeight="1">
      <c r="A977" s="570"/>
      <c r="B977" s="570"/>
      <c r="C977" s="580"/>
      <c r="D977" s="580"/>
      <c r="E977" s="580"/>
      <c r="F977" s="580"/>
      <c r="G977" s="580"/>
      <c r="H977" s="580"/>
      <c r="I977" s="580"/>
      <c r="J977" s="580"/>
      <c r="K977" s="580"/>
      <c r="L977" s="580"/>
      <c r="M977" s="580"/>
      <c r="N977" s="580"/>
      <c r="O977" s="580"/>
      <c r="P977" s="580"/>
      <c r="Q977" s="580"/>
      <c r="R977" s="580"/>
      <c r="S977" s="580"/>
      <c r="T977" s="580"/>
      <c r="U977" s="580"/>
      <c r="V977" s="580"/>
      <c r="W977" s="580"/>
      <c r="X977" s="580"/>
      <c r="Y977" s="580"/>
      <c r="Z977" s="580"/>
      <c r="AA977" s="580"/>
      <c r="AB977" s="580"/>
    </row>
    <row r="978" ht="15.75" customHeight="1">
      <c r="A978" s="570"/>
      <c r="B978" s="570"/>
      <c r="C978" s="580"/>
      <c r="D978" s="580"/>
      <c r="E978" s="580"/>
      <c r="F978" s="580"/>
      <c r="G978" s="580"/>
      <c r="H978" s="580"/>
      <c r="I978" s="580"/>
      <c r="J978" s="580"/>
      <c r="K978" s="580"/>
      <c r="L978" s="580"/>
      <c r="M978" s="580"/>
      <c r="N978" s="580"/>
      <c r="O978" s="580"/>
      <c r="P978" s="580"/>
      <c r="Q978" s="580"/>
      <c r="R978" s="580"/>
      <c r="S978" s="580"/>
      <c r="T978" s="580"/>
      <c r="U978" s="580"/>
      <c r="V978" s="580"/>
      <c r="W978" s="580"/>
      <c r="X978" s="580"/>
      <c r="Y978" s="580"/>
      <c r="Z978" s="580"/>
      <c r="AA978" s="580"/>
      <c r="AB978" s="580"/>
    </row>
    <row r="979" ht="15.75" customHeight="1">
      <c r="A979" s="570"/>
      <c r="B979" s="570"/>
      <c r="C979" s="580"/>
      <c r="D979" s="580"/>
      <c r="E979" s="580"/>
      <c r="F979" s="580"/>
      <c r="G979" s="580"/>
      <c r="H979" s="580"/>
      <c r="I979" s="580"/>
      <c r="J979" s="580"/>
      <c r="K979" s="580"/>
      <c r="L979" s="580"/>
      <c r="M979" s="580"/>
      <c r="N979" s="580"/>
      <c r="O979" s="580"/>
      <c r="P979" s="580"/>
      <c r="Q979" s="580"/>
      <c r="R979" s="580"/>
      <c r="S979" s="580"/>
      <c r="T979" s="580"/>
      <c r="U979" s="580"/>
      <c r="V979" s="580"/>
      <c r="W979" s="580"/>
      <c r="X979" s="580"/>
      <c r="Y979" s="580"/>
      <c r="Z979" s="580"/>
      <c r="AA979" s="580"/>
      <c r="AB979" s="580"/>
    </row>
    <row r="980" ht="15.75" customHeight="1">
      <c r="A980" s="570"/>
      <c r="B980" s="570"/>
      <c r="C980" s="580"/>
      <c r="D980" s="580"/>
      <c r="E980" s="580"/>
      <c r="F980" s="580"/>
      <c r="G980" s="580"/>
      <c r="H980" s="580"/>
      <c r="I980" s="580"/>
      <c r="J980" s="580"/>
      <c r="K980" s="580"/>
      <c r="L980" s="580"/>
      <c r="M980" s="580"/>
      <c r="N980" s="580"/>
      <c r="O980" s="580"/>
      <c r="P980" s="580"/>
      <c r="Q980" s="580"/>
      <c r="R980" s="580"/>
      <c r="S980" s="580"/>
      <c r="T980" s="580"/>
      <c r="U980" s="580"/>
      <c r="V980" s="580"/>
      <c r="W980" s="580"/>
      <c r="X980" s="580"/>
      <c r="Y980" s="580"/>
      <c r="Z980" s="580"/>
      <c r="AA980" s="580"/>
      <c r="AB980" s="580"/>
    </row>
    <row r="981" ht="15.75" customHeight="1">
      <c r="A981" s="570"/>
      <c r="B981" s="570"/>
      <c r="C981" s="580"/>
      <c r="D981" s="580"/>
      <c r="E981" s="580"/>
      <c r="F981" s="580"/>
      <c r="G981" s="580"/>
      <c r="H981" s="580"/>
      <c r="I981" s="580"/>
      <c r="J981" s="580"/>
      <c r="K981" s="580"/>
      <c r="L981" s="580"/>
      <c r="M981" s="580"/>
      <c r="N981" s="580"/>
      <c r="O981" s="580"/>
      <c r="P981" s="580"/>
      <c r="Q981" s="580"/>
      <c r="R981" s="580"/>
      <c r="S981" s="580"/>
      <c r="T981" s="580"/>
      <c r="U981" s="580"/>
      <c r="V981" s="580"/>
      <c r="W981" s="580"/>
      <c r="X981" s="580"/>
      <c r="Y981" s="580"/>
      <c r="Z981" s="580"/>
      <c r="AA981" s="580"/>
      <c r="AB981" s="580"/>
    </row>
    <row r="982" ht="15.75" customHeight="1">
      <c r="A982" s="570"/>
      <c r="B982" s="570"/>
      <c r="C982" s="580"/>
      <c r="D982" s="580"/>
      <c r="E982" s="580"/>
      <c r="F982" s="580"/>
      <c r="G982" s="580"/>
      <c r="H982" s="580"/>
      <c r="I982" s="580"/>
      <c r="J982" s="580"/>
      <c r="K982" s="580"/>
      <c r="L982" s="580"/>
      <c r="M982" s="580"/>
      <c r="N982" s="580"/>
      <c r="O982" s="580"/>
      <c r="P982" s="580"/>
      <c r="Q982" s="580"/>
      <c r="R982" s="580"/>
      <c r="S982" s="580"/>
      <c r="T982" s="580"/>
      <c r="U982" s="580"/>
      <c r="V982" s="580"/>
      <c r="W982" s="580"/>
      <c r="X982" s="580"/>
      <c r="Y982" s="580"/>
      <c r="Z982" s="580"/>
      <c r="AA982" s="580"/>
      <c r="AB982" s="580"/>
    </row>
    <row r="983" ht="15.75" customHeight="1">
      <c r="A983" s="570"/>
      <c r="B983" s="570"/>
      <c r="C983" s="580"/>
      <c r="D983" s="580"/>
      <c r="E983" s="580"/>
      <c r="F983" s="580"/>
      <c r="G983" s="580"/>
      <c r="H983" s="580"/>
      <c r="I983" s="580"/>
      <c r="J983" s="580"/>
      <c r="K983" s="580"/>
      <c r="L983" s="580"/>
      <c r="M983" s="580"/>
      <c r="N983" s="580"/>
      <c r="O983" s="580"/>
      <c r="P983" s="580"/>
      <c r="Q983" s="580"/>
      <c r="R983" s="580"/>
      <c r="S983" s="580"/>
      <c r="T983" s="580"/>
      <c r="U983" s="580"/>
      <c r="V983" s="580"/>
      <c r="W983" s="580"/>
      <c r="X983" s="580"/>
      <c r="Y983" s="580"/>
      <c r="Z983" s="580"/>
      <c r="AA983" s="580"/>
      <c r="AB983" s="580"/>
    </row>
    <row r="984" ht="15.75" customHeight="1">
      <c r="A984" s="570"/>
      <c r="B984" s="570"/>
      <c r="C984" s="580"/>
      <c r="D984" s="580"/>
      <c r="E984" s="580"/>
      <c r="F984" s="580"/>
      <c r="G984" s="580"/>
      <c r="H984" s="580"/>
      <c r="I984" s="580"/>
      <c r="J984" s="580"/>
      <c r="K984" s="580"/>
      <c r="L984" s="580"/>
      <c r="M984" s="580"/>
      <c r="N984" s="580"/>
      <c r="O984" s="580"/>
      <c r="P984" s="580"/>
      <c r="Q984" s="580"/>
      <c r="R984" s="580"/>
      <c r="S984" s="580"/>
      <c r="T984" s="580"/>
      <c r="U984" s="580"/>
      <c r="V984" s="580"/>
      <c r="W984" s="580"/>
      <c r="X984" s="580"/>
      <c r="Y984" s="580"/>
      <c r="Z984" s="580"/>
      <c r="AA984" s="580"/>
      <c r="AB984" s="580"/>
    </row>
    <row r="985" ht="15.75" customHeight="1">
      <c r="A985" s="570"/>
      <c r="B985" s="570"/>
      <c r="C985" s="580"/>
      <c r="D985" s="580"/>
      <c r="E985" s="580"/>
      <c r="F985" s="580"/>
      <c r="G985" s="580"/>
      <c r="H985" s="580"/>
      <c r="I985" s="580"/>
      <c r="J985" s="580"/>
      <c r="K985" s="580"/>
      <c r="L985" s="580"/>
      <c r="M985" s="580"/>
      <c r="N985" s="580"/>
      <c r="O985" s="580"/>
      <c r="P985" s="580"/>
      <c r="Q985" s="580"/>
      <c r="R985" s="580"/>
      <c r="S985" s="580"/>
      <c r="T985" s="580"/>
      <c r="U985" s="580"/>
      <c r="V985" s="580"/>
      <c r="W985" s="580"/>
      <c r="X985" s="580"/>
      <c r="Y985" s="580"/>
      <c r="Z985" s="580"/>
      <c r="AA985" s="580"/>
      <c r="AB985" s="580"/>
    </row>
    <row r="986" ht="15.75" customHeight="1">
      <c r="A986" s="570"/>
      <c r="B986" s="570"/>
      <c r="C986" s="580"/>
      <c r="D986" s="580"/>
      <c r="E986" s="580"/>
      <c r="F986" s="580"/>
      <c r="G986" s="580"/>
      <c r="H986" s="580"/>
      <c r="I986" s="580"/>
      <c r="J986" s="580"/>
      <c r="K986" s="580"/>
      <c r="L986" s="580"/>
      <c r="M986" s="580"/>
      <c r="N986" s="580"/>
      <c r="O986" s="580"/>
      <c r="P986" s="580"/>
      <c r="Q986" s="580"/>
      <c r="R986" s="580"/>
      <c r="S986" s="580"/>
      <c r="T986" s="580"/>
      <c r="U986" s="580"/>
      <c r="V986" s="580"/>
      <c r="W986" s="580"/>
      <c r="X986" s="580"/>
      <c r="Y986" s="580"/>
      <c r="Z986" s="580"/>
      <c r="AA986" s="580"/>
      <c r="AB986" s="580"/>
    </row>
    <row r="987" ht="15.75" customHeight="1">
      <c r="A987" s="570"/>
      <c r="B987" s="570"/>
      <c r="C987" s="580"/>
      <c r="D987" s="580"/>
      <c r="E987" s="580"/>
      <c r="F987" s="580"/>
      <c r="G987" s="580"/>
      <c r="H987" s="580"/>
      <c r="I987" s="580"/>
      <c r="J987" s="580"/>
      <c r="K987" s="580"/>
      <c r="L987" s="580"/>
      <c r="M987" s="580"/>
      <c r="N987" s="580"/>
      <c r="O987" s="580"/>
      <c r="P987" s="580"/>
      <c r="Q987" s="580"/>
      <c r="R987" s="580"/>
      <c r="S987" s="580"/>
      <c r="T987" s="580"/>
      <c r="U987" s="580"/>
      <c r="V987" s="580"/>
      <c r="W987" s="580"/>
      <c r="X987" s="580"/>
      <c r="Y987" s="580"/>
      <c r="Z987" s="580"/>
      <c r="AA987" s="580"/>
      <c r="AB987" s="580"/>
    </row>
    <row r="988" ht="15.75" customHeight="1">
      <c r="A988" s="570"/>
      <c r="B988" s="570"/>
      <c r="C988" s="580"/>
      <c r="D988" s="580"/>
      <c r="E988" s="580"/>
      <c r="F988" s="580"/>
      <c r="G988" s="580"/>
      <c r="H988" s="580"/>
      <c r="I988" s="580"/>
      <c r="J988" s="580"/>
      <c r="K988" s="580"/>
      <c r="L988" s="580"/>
      <c r="M988" s="580"/>
      <c r="N988" s="580"/>
      <c r="O988" s="580"/>
      <c r="P988" s="580"/>
      <c r="Q988" s="580"/>
      <c r="R988" s="580"/>
      <c r="S988" s="580"/>
      <c r="T988" s="580"/>
      <c r="U988" s="580"/>
      <c r="V988" s="580"/>
      <c r="W988" s="580"/>
      <c r="X988" s="580"/>
      <c r="Y988" s="580"/>
      <c r="Z988" s="580"/>
      <c r="AA988" s="580"/>
      <c r="AB988" s="580"/>
    </row>
    <row r="989" ht="15.75" customHeight="1">
      <c r="A989" s="570"/>
      <c r="B989" s="570"/>
      <c r="C989" s="580"/>
      <c r="D989" s="580"/>
      <c r="E989" s="580"/>
      <c r="F989" s="580"/>
      <c r="G989" s="580"/>
      <c r="H989" s="580"/>
      <c r="I989" s="580"/>
      <c r="J989" s="580"/>
      <c r="K989" s="580"/>
      <c r="L989" s="580"/>
      <c r="M989" s="580"/>
      <c r="N989" s="580"/>
      <c r="O989" s="580"/>
      <c r="P989" s="580"/>
      <c r="Q989" s="580"/>
      <c r="R989" s="580"/>
      <c r="S989" s="580"/>
      <c r="T989" s="580"/>
      <c r="U989" s="580"/>
      <c r="V989" s="580"/>
      <c r="W989" s="580"/>
      <c r="X989" s="580"/>
      <c r="Y989" s="580"/>
      <c r="Z989" s="580"/>
      <c r="AA989" s="580"/>
      <c r="AB989" s="580"/>
    </row>
    <row r="990" ht="15.75" customHeight="1">
      <c r="A990" s="570"/>
      <c r="B990" s="570"/>
      <c r="C990" s="580"/>
      <c r="D990" s="580"/>
      <c r="E990" s="580"/>
      <c r="F990" s="580"/>
      <c r="G990" s="580"/>
      <c r="H990" s="580"/>
      <c r="I990" s="580"/>
      <c r="J990" s="580"/>
      <c r="K990" s="580"/>
      <c r="L990" s="580"/>
      <c r="M990" s="580"/>
      <c r="N990" s="580"/>
      <c r="O990" s="580"/>
      <c r="P990" s="580"/>
      <c r="Q990" s="580"/>
      <c r="R990" s="580"/>
      <c r="S990" s="580"/>
      <c r="T990" s="580"/>
      <c r="U990" s="580"/>
      <c r="V990" s="580"/>
      <c r="W990" s="580"/>
      <c r="X990" s="580"/>
      <c r="Y990" s="580"/>
      <c r="Z990" s="580"/>
      <c r="AA990" s="580"/>
      <c r="AB990" s="580"/>
    </row>
    <row r="991" ht="15.75" customHeight="1">
      <c r="A991" s="570"/>
      <c r="B991" s="570"/>
      <c r="C991" s="580"/>
      <c r="D991" s="580"/>
      <c r="E991" s="580"/>
      <c r="F991" s="580"/>
      <c r="G991" s="580"/>
      <c r="H991" s="580"/>
      <c r="I991" s="580"/>
      <c r="J991" s="580"/>
      <c r="K991" s="580"/>
      <c r="L991" s="580"/>
      <c r="M991" s="580"/>
      <c r="N991" s="580"/>
      <c r="O991" s="580"/>
      <c r="P991" s="580"/>
      <c r="Q991" s="580"/>
      <c r="R991" s="580"/>
      <c r="S991" s="580"/>
      <c r="T991" s="580"/>
      <c r="U991" s="580"/>
      <c r="V991" s="580"/>
      <c r="W991" s="580"/>
      <c r="X991" s="580"/>
      <c r="Y991" s="580"/>
      <c r="Z991" s="580"/>
      <c r="AA991" s="580"/>
      <c r="AB991" s="580"/>
    </row>
    <row r="992" ht="15.75" customHeight="1">
      <c r="A992" s="570"/>
      <c r="B992" s="570"/>
      <c r="C992" s="580"/>
      <c r="D992" s="580"/>
      <c r="E992" s="580"/>
      <c r="F992" s="580"/>
      <c r="G992" s="580"/>
      <c r="H992" s="580"/>
      <c r="I992" s="580"/>
      <c r="J992" s="580"/>
      <c r="K992" s="580"/>
      <c r="L992" s="580"/>
      <c r="M992" s="580"/>
      <c r="N992" s="580"/>
      <c r="O992" s="580"/>
      <c r="P992" s="580"/>
      <c r="Q992" s="580"/>
      <c r="R992" s="580"/>
      <c r="S992" s="580"/>
      <c r="T992" s="580"/>
      <c r="U992" s="580"/>
      <c r="V992" s="580"/>
      <c r="W992" s="580"/>
      <c r="X992" s="580"/>
      <c r="Y992" s="580"/>
      <c r="Z992" s="580"/>
      <c r="AA992" s="580"/>
      <c r="AB992" s="580"/>
    </row>
    <row r="993" ht="15.75" customHeight="1">
      <c r="A993" s="570"/>
      <c r="B993" s="570"/>
      <c r="C993" s="580"/>
      <c r="D993" s="580"/>
      <c r="E993" s="580"/>
      <c r="F993" s="580"/>
      <c r="G993" s="580"/>
      <c r="H993" s="580"/>
      <c r="I993" s="580"/>
      <c r="J993" s="580"/>
      <c r="K993" s="580"/>
      <c r="L993" s="580"/>
      <c r="M993" s="580"/>
      <c r="N993" s="580"/>
      <c r="O993" s="580"/>
      <c r="P993" s="580"/>
      <c r="Q993" s="580"/>
      <c r="R993" s="580"/>
      <c r="S993" s="580"/>
      <c r="T993" s="580"/>
      <c r="U993" s="580"/>
      <c r="V993" s="580"/>
      <c r="W993" s="580"/>
      <c r="X993" s="580"/>
      <c r="Y993" s="580"/>
      <c r="Z993" s="580"/>
      <c r="AA993" s="580"/>
      <c r="AB993" s="580"/>
    </row>
    <row r="994" ht="15.75" customHeight="1">
      <c r="A994" s="570"/>
      <c r="B994" s="570"/>
      <c r="C994" s="580"/>
      <c r="D994" s="580"/>
      <c r="E994" s="580"/>
      <c r="F994" s="580"/>
      <c r="G994" s="580"/>
      <c r="H994" s="580"/>
      <c r="I994" s="580"/>
      <c r="J994" s="580"/>
      <c r="K994" s="580"/>
      <c r="L994" s="580"/>
      <c r="M994" s="580"/>
      <c r="N994" s="580"/>
      <c r="O994" s="580"/>
      <c r="P994" s="580"/>
      <c r="Q994" s="580"/>
      <c r="R994" s="580"/>
      <c r="S994" s="580"/>
      <c r="T994" s="580"/>
      <c r="U994" s="580"/>
      <c r="V994" s="580"/>
      <c r="W994" s="580"/>
      <c r="X994" s="580"/>
      <c r="Y994" s="580"/>
      <c r="Z994" s="580"/>
      <c r="AA994" s="580"/>
      <c r="AB994" s="580"/>
    </row>
    <row r="995" ht="15.75" customHeight="1">
      <c r="A995" s="570"/>
      <c r="B995" s="570"/>
      <c r="C995" s="580"/>
      <c r="D995" s="580"/>
      <c r="E995" s="580"/>
      <c r="F995" s="580"/>
      <c r="G995" s="580"/>
      <c r="H995" s="580"/>
      <c r="I995" s="580"/>
      <c r="J995" s="580"/>
      <c r="K995" s="580"/>
      <c r="L995" s="580"/>
      <c r="M995" s="580"/>
      <c r="N995" s="580"/>
      <c r="O995" s="580"/>
      <c r="P995" s="580"/>
      <c r="Q995" s="580"/>
      <c r="R995" s="580"/>
      <c r="S995" s="580"/>
      <c r="T995" s="580"/>
      <c r="U995" s="580"/>
      <c r="V995" s="580"/>
      <c r="W995" s="580"/>
      <c r="X995" s="580"/>
      <c r="Y995" s="580"/>
      <c r="Z995" s="580"/>
      <c r="AA995" s="580"/>
      <c r="AB995" s="580"/>
    </row>
    <row r="996" ht="15.75" customHeight="1">
      <c r="A996" s="570"/>
      <c r="B996" s="570"/>
      <c r="C996" s="580"/>
      <c r="D996" s="580"/>
      <c r="E996" s="580"/>
      <c r="F996" s="580"/>
      <c r="G996" s="580"/>
      <c r="H996" s="580"/>
      <c r="I996" s="580"/>
      <c r="J996" s="580"/>
      <c r="K996" s="580"/>
      <c r="L996" s="580"/>
      <c r="M996" s="580"/>
      <c r="N996" s="580"/>
      <c r="O996" s="580"/>
      <c r="P996" s="580"/>
      <c r="Q996" s="580"/>
      <c r="R996" s="580"/>
      <c r="S996" s="580"/>
      <c r="T996" s="580"/>
      <c r="U996" s="580"/>
      <c r="V996" s="580"/>
      <c r="W996" s="580"/>
      <c r="X996" s="580"/>
      <c r="Y996" s="580"/>
      <c r="Z996" s="580"/>
      <c r="AA996" s="580"/>
      <c r="AB996" s="580"/>
    </row>
    <row r="997" ht="15.75" customHeight="1">
      <c r="A997" s="570"/>
      <c r="B997" s="570"/>
      <c r="C997" s="580"/>
      <c r="D997" s="580"/>
      <c r="E997" s="580"/>
      <c r="F997" s="580"/>
      <c r="G997" s="580"/>
      <c r="H997" s="580"/>
      <c r="I997" s="580"/>
      <c r="J997" s="580"/>
      <c r="K997" s="580"/>
      <c r="L997" s="580"/>
      <c r="M997" s="580"/>
      <c r="N997" s="580"/>
      <c r="O997" s="580"/>
      <c r="P997" s="580"/>
      <c r="Q997" s="580"/>
      <c r="R997" s="580"/>
      <c r="S997" s="580"/>
      <c r="T997" s="580"/>
      <c r="U997" s="580"/>
      <c r="V997" s="580"/>
      <c r="W997" s="580"/>
      <c r="X997" s="580"/>
      <c r="Y997" s="580"/>
      <c r="Z997" s="580"/>
      <c r="AA997" s="580"/>
      <c r="AB997" s="580"/>
    </row>
    <row r="998" ht="15.75" customHeight="1">
      <c r="A998" s="570"/>
      <c r="B998" s="570"/>
      <c r="C998" s="580"/>
      <c r="D998" s="580"/>
      <c r="E998" s="580"/>
      <c r="F998" s="580"/>
      <c r="G998" s="580"/>
      <c r="H998" s="580"/>
      <c r="I998" s="580"/>
      <c r="J998" s="580"/>
      <c r="K998" s="580"/>
      <c r="L998" s="580"/>
      <c r="M998" s="580"/>
      <c r="N998" s="580"/>
      <c r="O998" s="580"/>
      <c r="P998" s="580"/>
      <c r="Q998" s="580"/>
      <c r="R998" s="580"/>
      <c r="S998" s="580"/>
      <c r="T998" s="580"/>
      <c r="U998" s="580"/>
      <c r="V998" s="580"/>
      <c r="W998" s="580"/>
      <c r="X998" s="580"/>
      <c r="Y998" s="580"/>
      <c r="Z998" s="580"/>
      <c r="AA998" s="580"/>
      <c r="AB998" s="580"/>
    </row>
    <row r="999" ht="15.75" customHeight="1">
      <c r="A999" s="570"/>
      <c r="B999" s="570"/>
      <c r="C999" s="580"/>
      <c r="D999" s="580"/>
      <c r="E999" s="580"/>
      <c r="F999" s="580"/>
      <c r="G999" s="580"/>
      <c r="H999" s="580"/>
      <c r="I999" s="580"/>
      <c r="J999" s="580"/>
      <c r="K999" s="580"/>
      <c r="L999" s="580"/>
      <c r="M999" s="580"/>
      <c r="N999" s="580"/>
      <c r="O999" s="580"/>
      <c r="P999" s="580"/>
      <c r="Q999" s="580"/>
      <c r="R999" s="580"/>
      <c r="S999" s="580"/>
      <c r="T999" s="580"/>
      <c r="U999" s="580"/>
      <c r="V999" s="580"/>
      <c r="W999" s="580"/>
      <c r="X999" s="580"/>
      <c r="Y999" s="580"/>
      <c r="Z999" s="580"/>
      <c r="AA999" s="580"/>
      <c r="AB999" s="580"/>
    </row>
    <row r="1000" ht="15.75" customHeight="1">
      <c r="A1000" s="570"/>
      <c r="B1000" s="570"/>
      <c r="C1000" s="580"/>
      <c r="D1000" s="580"/>
      <c r="E1000" s="580"/>
      <c r="F1000" s="580"/>
      <c r="G1000" s="580"/>
      <c r="H1000" s="580"/>
      <c r="I1000" s="580"/>
      <c r="J1000" s="580"/>
      <c r="K1000" s="580"/>
      <c r="L1000" s="580"/>
      <c r="M1000" s="580"/>
      <c r="N1000" s="580"/>
      <c r="O1000" s="580"/>
      <c r="P1000" s="580"/>
      <c r="Q1000" s="580"/>
      <c r="R1000" s="580"/>
      <c r="S1000" s="580"/>
      <c r="T1000" s="580"/>
      <c r="U1000" s="580"/>
      <c r="V1000" s="580"/>
      <c r="W1000" s="580"/>
      <c r="X1000" s="580"/>
      <c r="Y1000" s="580"/>
      <c r="Z1000" s="580"/>
      <c r="AA1000" s="580"/>
      <c r="AB1000" s="580"/>
    </row>
    <row r="1001" ht="15.75" customHeight="1">
      <c r="A1001" s="570"/>
      <c r="B1001" s="570"/>
      <c r="C1001" s="580"/>
      <c r="D1001" s="580"/>
      <c r="E1001" s="580"/>
      <c r="F1001" s="580"/>
      <c r="G1001" s="580"/>
      <c r="H1001" s="580"/>
      <c r="I1001" s="580"/>
      <c r="J1001" s="580"/>
      <c r="K1001" s="580"/>
      <c r="L1001" s="580"/>
      <c r="M1001" s="580"/>
      <c r="N1001" s="580"/>
      <c r="O1001" s="580"/>
      <c r="P1001" s="580"/>
      <c r="Q1001" s="580"/>
      <c r="R1001" s="580"/>
      <c r="S1001" s="580"/>
      <c r="T1001" s="580"/>
      <c r="U1001" s="580"/>
      <c r="V1001" s="580"/>
      <c r="W1001" s="580"/>
      <c r="X1001" s="580"/>
      <c r="Y1001" s="580"/>
      <c r="Z1001" s="580"/>
      <c r="AA1001" s="580"/>
      <c r="AB1001" s="580"/>
    </row>
    <row r="1002" ht="15.75" customHeight="1">
      <c r="A1002" s="570"/>
      <c r="B1002" s="570"/>
      <c r="C1002" s="580"/>
      <c r="D1002" s="580"/>
      <c r="E1002" s="580"/>
      <c r="F1002" s="580"/>
      <c r="G1002" s="580"/>
      <c r="H1002" s="580"/>
      <c r="I1002" s="580"/>
      <c r="J1002" s="580"/>
      <c r="K1002" s="580"/>
      <c r="L1002" s="580"/>
      <c r="M1002" s="580"/>
      <c r="N1002" s="580"/>
      <c r="O1002" s="580"/>
      <c r="P1002" s="580"/>
      <c r="Q1002" s="580"/>
      <c r="R1002" s="580"/>
      <c r="S1002" s="580"/>
      <c r="T1002" s="580"/>
      <c r="U1002" s="580"/>
      <c r="V1002" s="580"/>
      <c r="W1002" s="580"/>
      <c r="X1002" s="580"/>
      <c r="Y1002" s="580"/>
      <c r="Z1002" s="580"/>
      <c r="AA1002" s="580"/>
      <c r="AB1002" s="580"/>
    </row>
    <row r="1003" ht="15.75" customHeight="1">
      <c r="A1003" s="570"/>
      <c r="B1003" s="570"/>
      <c r="C1003" s="580"/>
      <c r="D1003" s="580"/>
      <c r="E1003" s="580"/>
      <c r="F1003" s="580"/>
      <c r="G1003" s="580"/>
      <c r="H1003" s="580"/>
      <c r="I1003" s="580"/>
      <c r="J1003" s="580"/>
      <c r="K1003" s="580"/>
      <c r="L1003" s="580"/>
      <c r="M1003" s="580"/>
      <c r="N1003" s="580"/>
      <c r="O1003" s="580"/>
      <c r="P1003" s="580"/>
      <c r="Q1003" s="580"/>
      <c r="R1003" s="580"/>
      <c r="S1003" s="580"/>
      <c r="T1003" s="580"/>
      <c r="U1003" s="580"/>
      <c r="V1003" s="580"/>
      <c r="W1003" s="580"/>
      <c r="X1003" s="580"/>
      <c r="Y1003" s="580"/>
      <c r="Z1003" s="580"/>
      <c r="AA1003" s="580"/>
      <c r="AB1003" s="580"/>
    </row>
    <row r="1004" ht="15.75" customHeight="1">
      <c r="A1004" s="570"/>
      <c r="B1004" s="570"/>
      <c r="C1004" s="580"/>
      <c r="D1004" s="580"/>
      <c r="E1004" s="580"/>
      <c r="F1004" s="580"/>
      <c r="G1004" s="580"/>
      <c r="H1004" s="580"/>
      <c r="I1004" s="580"/>
      <c r="J1004" s="580"/>
      <c r="K1004" s="580"/>
      <c r="L1004" s="580"/>
      <c r="M1004" s="580"/>
      <c r="N1004" s="580"/>
      <c r="O1004" s="580"/>
      <c r="P1004" s="580"/>
      <c r="Q1004" s="580"/>
      <c r="R1004" s="580"/>
      <c r="S1004" s="580"/>
      <c r="T1004" s="580"/>
      <c r="U1004" s="580"/>
      <c r="V1004" s="580"/>
      <c r="W1004" s="580"/>
      <c r="X1004" s="580"/>
      <c r="Y1004" s="580"/>
      <c r="Z1004" s="580"/>
      <c r="AA1004" s="580"/>
      <c r="AB1004" s="580"/>
    </row>
  </sheetData>
  <mergeCells count="1">
    <mergeCell ref="C1:E1"/>
  </mergeCell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I954"/>
  <sheetViews>
    <sheetView workbookViewId="0" showGridLines="0" defaultGridColor="1"/>
  </sheetViews>
  <sheetFormatPr defaultColWidth="12.6" defaultRowHeight="15" customHeight="1" outlineLevelRow="0" outlineLevelCol="0"/>
  <cols>
    <col min="1" max="1" width="7.8125" style="634" customWidth="1"/>
    <col min="2" max="2" width="21" style="634" customWidth="1"/>
    <col min="3" max="3" width="38.4219" style="634" customWidth="1"/>
    <col min="4" max="4" width="21" style="634" customWidth="1"/>
    <col min="5" max="5" width="13" style="634" customWidth="1"/>
    <col min="6" max="6" width="12" style="634" customWidth="1"/>
    <col min="7" max="7" width="19.8125" style="634" customWidth="1"/>
    <col min="8" max="8" width="17.6016" style="634" customWidth="1"/>
    <col min="9" max="9" width="11.8125" style="634" customWidth="1"/>
    <col min="10" max="16384" width="12.6016" style="634" customWidth="1"/>
  </cols>
  <sheetData>
    <row r="1" ht="13.8" customHeight="1">
      <c r="A1" s="580"/>
      <c r="B1" s="580"/>
      <c r="C1" s="580"/>
      <c r="D1" s="635"/>
      <c r="E1" s="636"/>
      <c r="F1" s="636"/>
      <c r="G1" s="636"/>
      <c r="H1" s="637"/>
      <c r="I1" s="615"/>
    </row>
    <row r="2" ht="13.8" customHeight="1">
      <c r="A2" s="582"/>
      <c r="B2" s="582"/>
      <c r="C2" s="582"/>
      <c r="D2" s="638"/>
      <c r="E2" s="639"/>
      <c r="F2" s="587"/>
      <c r="G2" s="587"/>
      <c r="H2" s="640"/>
      <c r="I2" s="588"/>
    </row>
    <row r="3" ht="28.5" customHeight="1">
      <c r="A3" t="s" s="641">
        <v>411</v>
      </c>
      <c r="B3" t="s" s="641">
        <v>412</v>
      </c>
      <c r="C3" t="s" s="641">
        <v>413</v>
      </c>
      <c r="D3" t="s" s="641">
        <v>414</v>
      </c>
      <c r="E3" t="s" s="641">
        <v>415</v>
      </c>
      <c r="F3" s="642"/>
      <c r="G3" s="643"/>
      <c r="H3" s="644"/>
      <c r="I3" s="645"/>
    </row>
    <row r="4" ht="29.25" customHeight="1">
      <c r="A4" s="646">
        <v>1</v>
      </c>
      <c r="B4" t="s" s="647">
        <v>90</v>
      </c>
      <c r="C4" s="648"/>
      <c r="D4" s="649"/>
      <c r="E4" s="650"/>
      <c r="F4" s="586"/>
      <c r="G4" s="587"/>
      <c r="H4" s="640"/>
      <c r="I4" s="588"/>
    </row>
    <row r="5" ht="23.25" customHeight="1">
      <c r="A5" s="646" cm="1">
        <f t="array" ref="A5">A4+1</f>
        <v>2</v>
      </c>
      <c r="B5" t="s" s="630">
        <v>97</v>
      </c>
      <c r="C5" s="651"/>
      <c r="D5" s="649"/>
      <c r="E5" s="650"/>
      <c r="F5" s="586"/>
      <c r="G5" s="587"/>
      <c r="H5" s="640"/>
      <c r="I5" s="588"/>
    </row>
    <row r="6" ht="19.5" customHeight="1">
      <c r="A6" s="646" cm="1">
        <f t="array" ref="A6">A5+1</f>
        <v>3</v>
      </c>
      <c r="B6" t="s" s="630">
        <v>115</v>
      </c>
      <c r="C6" s="651"/>
      <c r="D6" s="649"/>
      <c r="E6" s="650"/>
      <c r="F6" s="586"/>
      <c r="G6" s="587"/>
      <c r="H6" s="640"/>
      <c r="I6" s="588"/>
    </row>
    <row r="7" ht="24.75" customHeight="1">
      <c r="A7" s="646" cm="1">
        <f t="array" ref="A7">A6+1</f>
        <v>4</v>
      </c>
      <c r="B7" t="s" s="630">
        <v>220</v>
      </c>
      <c r="C7" s="651"/>
      <c r="D7" s="649"/>
      <c r="E7" s="650"/>
      <c r="F7" s="652"/>
      <c r="G7" s="653"/>
      <c r="H7" s="654"/>
      <c r="I7" s="655"/>
    </row>
    <row r="8" ht="13.8" customHeight="1">
      <c r="A8" s="646" cm="1">
        <f t="array" ref="A8">A7+1</f>
        <v>5</v>
      </c>
      <c r="B8" t="s" s="396">
        <v>224</v>
      </c>
      <c r="C8" s="651"/>
      <c r="D8" s="649"/>
      <c r="E8" s="650"/>
      <c r="F8" s="652"/>
      <c r="G8" s="653"/>
      <c r="H8" s="654"/>
      <c r="I8" s="655"/>
    </row>
    <row r="9" ht="29.25" customHeight="1">
      <c r="A9" s="646" cm="1">
        <f t="array" ref="A9">A8+1</f>
        <v>6</v>
      </c>
      <c r="B9" t="s" s="656">
        <v>230</v>
      </c>
      <c r="C9" s="657"/>
      <c r="D9" s="649"/>
      <c r="E9" s="650"/>
      <c r="F9" s="586"/>
      <c r="G9" s="587"/>
      <c r="H9" s="640"/>
      <c r="I9" s="588"/>
    </row>
    <row r="10" ht="13.8" customHeight="1">
      <c r="A10" s="646" cm="1">
        <f t="array" ref="A10">A9+1</f>
        <v>7</v>
      </c>
      <c r="B10" t="s" s="396">
        <v>139</v>
      </c>
      <c r="C10" s="651"/>
      <c r="D10" s="649"/>
      <c r="E10" s="650"/>
      <c r="F10" s="586"/>
      <c r="G10" s="587"/>
      <c r="H10" s="640"/>
      <c r="I10" s="588"/>
    </row>
    <row r="11" ht="27.75" customHeight="1">
      <c r="A11" s="646" cm="1">
        <f t="array" ref="A11">A10+1</f>
        <v>8</v>
      </c>
      <c r="B11" t="s" s="396">
        <v>142</v>
      </c>
      <c r="C11" s="651"/>
      <c r="D11" s="649"/>
      <c r="E11" s="650"/>
      <c r="F11" s="586"/>
      <c r="G11" s="587"/>
      <c r="H11" s="640"/>
      <c r="I11" s="588"/>
    </row>
    <row r="12" ht="21" customHeight="1">
      <c r="A12" s="646" cm="1">
        <f t="array" ref="A12">A11+1</f>
        <v>9</v>
      </c>
      <c r="B12" t="s" s="658">
        <v>244</v>
      </c>
      <c r="C12" s="651"/>
      <c r="D12" s="649"/>
      <c r="E12" s="650"/>
      <c r="F12" s="659"/>
      <c r="G12" s="660"/>
      <c r="H12" s="661"/>
      <c r="I12" s="655"/>
    </row>
    <row r="13" ht="22.5" customHeight="1">
      <c r="A13" s="646" cm="1">
        <f t="array" ref="A13">A12+1</f>
        <v>10</v>
      </c>
      <c r="B13" t="s" s="658">
        <v>251</v>
      </c>
      <c r="C13" s="651"/>
      <c r="D13" s="649"/>
      <c r="E13" s="650"/>
      <c r="F13" s="659"/>
      <c r="G13" s="660"/>
      <c r="H13" s="661"/>
      <c r="I13" s="655"/>
    </row>
    <row r="14" ht="21.75" customHeight="1">
      <c r="A14" s="646" cm="1">
        <f t="array" ref="A14">A13+1</f>
        <v>11</v>
      </c>
      <c r="B14" t="s" s="658">
        <v>256</v>
      </c>
      <c r="C14" s="651"/>
      <c r="D14" s="649"/>
      <c r="E14" s="650"/>
      <c r="F14" s="586"/>
      <c r="G14" s="587"/>
      <c r="H14" s="640"/>
      <c r="I14" s="588"/>
    </row>
    <row r="15" ht="22.5" customHeight="1">
      <c r="A15" s="646" cm="1">
        <f t="array" ref="A15">A14+1</f>
        <v>12</v>
      </c>
      <c r="B15" t="s" s="658">
        <v>157</v>
      </c>
      <c r="C15" s="651"/>
      <c r="D15" s="649"/>
      <c r="E15" s="650"/>
      <c r="F15" s="662"/>
      <c r="G15" s="663"/>
      <c r="H15" s="640"/>
      <c r="I15" s="655"/>
    </row>
    <row r="16" ht="24" customHeight="1">
      <c r="A16" s="646" cm="1">
        <f t="array" ref="A16">A15+1</f>
        <v>13</v>
      </c>
      <c r="B16" t="s" s="658">
        <v>267</v>
      </c>
      <c r="C16" s="651"/>
      <c r="D16" s="649"/>
      <c r="E16" s="650"/>
      <c r="F16" s="662"/>
      <c r="G16" s="653"/>
      <c r="H16" s="654"/>
      <c r="I16" s="655"/>
    </row>
    <row r="17" ht="49.5" customHeight="1">
      <c r="A17" s="646" cm="1">
        <f t="array" ref="A17">A16+1</f>
        <v>14</v>
      </c>
      <c r="B17" t="s" s="658">
        <v>270</v>
      </c>
      <c r="C17" s="651"/>
      <c r="D17" s="649"/>
      <c r="E17" s="650"/>
      <c r="F17" s="662"/>
      <c r="G17" s="653"/>
      <c r="H17" s="654"/>
      <c r="I17" s="655"/>
    </row>
    <row r="18" ht="36" customHeight="1">
      <c r="A18" s="646" cm="1">
        <f t="array" ref="A18">A17+1</f>
        <v>15</v>
      </c>
      <c r="B18" t="s" s="396">
        <v>416</v>
      </c>
      <c r="C18" s="651"/>
      <c r="D18" s="649"/>
      <c r="E18" s="650"/>
      <c r="F18" s="662"/>
      <c r="G18" s="653"/>
      <c r="H18" s="654"/>
      <c r="I18" s="655"/>
    </row>
    <row r="19" ht="27.75" customHeight="1">
      <c r="A19" s="646" cm="1">
        <f t="array" ref="A19">A18+1</f>
        <v>16</v>
      </c>
      <c r="B19" t="s" s="396">
        <v>277</v>
      </c>
      <c r="C19" s="651"/>
      <c r="D19" s="649"/>
      <c r="E19" s="650"/>
      <c r="F19" s="664"/>
      <c r="G19" s="653"/>
      <c r="H19" s="654"/>
      <c r="I19" s="655"/>
    </row>
    <row r="20" ht="25.5" customHeight="1">
      <c r="A20" s="646" cm="1">
        <f t="array" ref="A20">A19+1</f>
        <v>17</v>
      </c>
      <c r="B20" t="s" s="396">
        <v>283</v>
      </c>
      <c r="C20" s="651"/>
      <c r="D20" s="649"/>
      <c r="E20" s="650"/>
      <c r="F20" s="664"/>
      <c r="G20" s="653"/>
      <c r="H20" s="654"/>
      <c r="I20" s="655"/>
    </row>
    <row r="21" ht="30.75" customHeight="1">
      <c r="A21" s="646" cm="1">
        <f t="array" ref="A21">A20+1</f>
        <v>18</v>
      </c>
      <c r="B21" t="s" s="665">
        <v>289</v>
      </c>
      <c r="C21" s="651"/>
      <c r="D21" s="649"/>
      <c r="E21" s="650"/>
      <c r="F21" s="664"/>
      <c r="G21" s="653"/>
      <c r="H21" s="654"/>
      <c r="I21" s="655"/>
    </row>
    <row r="22" ht="29.25" customHeight="1">
      <c r="A22" s="646" cm="1">
        <f t="array" ref="A22">A21+1</f>
        <v>19</v>
      </c>
      <c r="B22" t="s" s="665">
        <v>293</v>
      </c>
      <c r="C22" s="651"/>
      <c r="D22" s="649"/>
      <c r="E22" s="650"/>
      <c r="F22" s="664"/>
      <c r="G22" s="653"/>
      <c r="H22" s="654"/>
      <c r="I22" s="655"/>
    </row>
    <row r="23" ht="13.8" customHeight="1">
      <c r="A23" s="646" cm="1">
        <f t="array" ref="A23">A22+1</f>
        <v>20</v>
      </c>
      <c r="B23" t="s" s="665">
        <v>298</v>
      </c>
      <c r="C23" s="651"/>
      <c r="D23" s="649"/>
      <c r="E23" s="650"/>
      <c r="F23" s="662"/>
      <c r="G23" s="653"/>
      <c r="H23" s="654"/>
      <c r="I23" s="655"/>
    </row>
    <row r="24" ht="28.5" customHeight="1">
      <c r="A24" s="646" cm="1">
        <f t="array" ref="A24">A23+1</f>
        <v>21</v>
      </c>
      <c r="B24" t="s" s="665">
        <v>303</v>
      </c>
      <c r="C24" s="651"/>
      <c r="D24" s="649"/>
      <c r="E24" s="650"/>
      <c r="F24" s="586"/>
      <c r="G24" s="587"/>
      <c r="H24" s="640"/>
      <c r="I24" s="588"/>
    </row>
    <row r="25" ht="22.5" customHeight="1">
      <c r="A25" s="646" cm="1">
        <f t="array" ref="A25">A24+1</f>
        <v>22</v>
      </c>
      <c r="B25" t="s" s="396">
        <v>306</v>
      </c>
      <c r="C25" s="651"/>
      <c r="D25" s="649"/>
      <c r="E25" s="650"/>
      <c r="F25" s="586"/>
      <c r="G25" s="587"/>
      <c r="H25" s="640"/>
      <c r="I25" s="588"/>
    </row>
    <row r="26" ht="29.25" customHeight="1">
      <c r="A26" s="646" cm="1">
        <f t="array" ref="A26">A25+1</f>
        <v>23</v>
      </c>
      <c r="B26" t="s" s="396">
        <v>311</v>
      </c>
      <c r="C26" s="651"/>
      <c r="D26" s="649"/>
      <c r="E26" s="650"/>
      <c r="F26" s="586"/>
      <c r="G26" s="587"/>
      <c r="H26" s="640"/>
      <c r="I26" s="588"/>
    </row>
    <row r="27" ht="23.25" customHeight="1">
      <c r="A27" s="646" cm="1">
        <f t="array" ref="A27">A26+1</f>
        <v>24</v>
      </c>
      <c r="B27" t="s" s="396">
        <v>317</v>
      </c>
      <c r="C27" s="651"/>
      <c r="D27" s="649"/>
      <c r="E27" s="650"/>
      <c r="F27" s="586"/>
      <c r="G27" s="587"/>
      <c r="H27" s="640"/>
      <c r="I27" s="588"/>
    </row>
    <row r="28" ht="30.75" customHeight="1">
      <c r="A28" s="646" cm="1">
        <f t="array" ref="A28">A27+1</f>
        <v>25</v>
      </c>
      <c r="B28" t="s" s="396">
        <v>322</v>
      </c>
      <c r="C28" s="651"/>
      <c r="D28" s="649"/>
      <c r="E28" s="650"/>
      <c r="F28" s="666"/>
      <c r="G28" s="667"/>
      <c r="H28" s="668"/>
      <c r="I28" s="669"/>
    </row>
    <row r="29" ht="27" customHeight="1">
      <c r="A29" s="646" cm="1">
        <f t="array" ref="A29">A28+1</f>
        <v>26</v>
      </c>
      <c r="B29" t="s" s="396">
        <v>328</v>
      </c>
      <c r="C29" s="651"/>
      <c r="D29" s="649"/>
      <c r="E29" s="650"/>
      <c r="F29" s="670"/>
      <c r="G29" s="653"/>
      <c r="H29" s="671"/>
      <c r="I29" s="588"/>
    </row>
    <row r="30" ht="24" customHeight="1">
      <c r="A30" s="646" cm="1">
        <f t="array" ref="A30">A29+1</f>
        <v>27</v>
      </c>
      <c r="B30" t="s" s="396">
        <v>332</v>
      </c>
      <c r="C30" s="651"/>
      <c r="D30" s="649"/>
      <c r="E30" s="650"/>
      <c r="F30" s="670"/>
      <c r="G30" s="653"/>
      <c r="H30" s="671"/>
      <c r="I30" s="588"/>
    </row>
    <row r="31" ht="13.8" customHeight="1">
      <c r="A31" s="646" cm="1">
        <f t="array" ref="A31">A30+1</f>
        <v>28</v>
      </c>
      <c r="B31" t="s" s="396">
        <v>338</v>
      </c>
      <c r="C31" s="651"/>
      <c r="D31" s="649"/>
      <c r="E31" s="650"/>
      <c r="F31" s="586"/>
      <c r="G31" s="587"/>
      <c r="H31" s="640"/>
      <c r="I31" s="588"/>
    </row>
    <row r="32" ht="13.8" customHeight="1">
      <c r="A32" s="646" cm="1">
        <f t="array" ref="A32">A31+1</f>
        <v>29</v>
      </c>
      <c r="B32" t="s" s="630">
        <v>352</v>
      </c>
      <c r="C32" s="651"/>
      <c r="D32" s="649"/>
      <c r="E32" s="650"/>
      <c r="F32" s="586"/>
      <c r="G32" s="587"/>
      <c r="H32" s="640"/>
      <c r="I32" s="588"/>
    </row>
    <row r="33" ht="13.8" customHeight="1">
      <c r="A33" s="646" cm="1">
        <f t="array" ref="A33">A32+1</f>
        <v>30</v>
      </c>
      <c r="B33" t="s" s="630">
        <v>346</v>
      </c>
      <c r="C33" s="651"/>
      <c r="D33" s="649"/>
      <c r="E33" s="650"/>
      <c r="F33" s="586"/>
      <c r="G33" s="587"/>
      <c r="H33" s="640"/>
      <c r="I33" s="588"/>
    </row>
    <row r="34" ht="13.8" customHeight="1">
      <c r="A34" s="646" cm="1">
        <f t="array" ref="A34">A33+1</f>
        <v>31</v>
      </c>
      <c r="B34" t="s" s="630">
        <v>367</v>
      </c>
      <c r="C34" s="672"/>
      <c r="D34" s="649"/>
      <c r="E34" s="650"/>
      <c r="F34" s="586"/>
      <c r="G34" s="587"/>
      <c r="H34" s="640"/>
      <c r="I34" s="588"/>
    </row>
    <row r="35" ht="24" customHeight="1">
      <c r="A35" s="646" cm="1">
        <f t="array" ref="A35">A34+1</f>
        <v>32</v>
      </c>
      <c r="B35" t="s" s="630">
        <v>364</v>
      </c>
      <c r="C35" t="s" s="673">
        <v>417</v>
      </c>
      <c r="D35" s="649" cm="1">
        <f t="array" ref="D35">13*5000</f>
        <v>65000</v>
      </c>
      <c r="E35" s="650"/>
      <c r="F35" s="586"/>
      <c r="G35" s="587"/>
      <c r="H35" s="640"/>
      <c r="I35" s="588"/>
    </row>
    <row r="36" ht="23.25" customHeight="1">
      <c r="A36" t="s" s="674">
        <v>418</v>
      </c>
      <c r="B36" s="675"/>
      <c r="C36" s="676"/>
      <c r="D36" s="677" cm="1">
        <f t="array" ref="D36">SUM(D4:D35)</f>
        <v>65000</v>
      </c>
      <c r="E36" s="650"/>
      <c r="F36" s="586"/>
      <c r="G36" s="587"/>
      <c r="H36" s="640"/>
      <c r="I36" s="588"/>
    </row>
    <row r="37" ht="13.8" customHeight="1">
      <c r="A37" s="632"/>
      <c r="B37" s="632"/>
      <c r="C37" s="632"/>
      <c r="D37" s="678"/>
      <c r="E37" s="679"/>
      <c r="F37" s="587"/>
      <c r="G37" s="587"/>
      <c r="H37" s="640"/>
      <c r="I37" s="588"/>
    </row>
    <row r="38" ht="22.5" customHeight="1">
      <c r="A38" s="580"/>
      <c r="B38" s="580"/>
      <c r="C38" s="580"/>
      <c r="D38" s="635"/>
      <c r="E38" s="587"/>
      <c r="F38" s="587"/>
      <c r="G38" s="587"/>
      <c r="H38" s="640"/>
      <c r="I38" s="588"/>
    </row>
    <row r="39" ht="13.8" customHeight="1">
      <c r="A39" s="580"/>
      <c r="B39" s="580"/>
      <c r="C39" s="580"/>
      <c r="D39" s="635"/>
      <c r="E39" s="587"/>
      <c r="F39" s="587"/>
      <c r="G39" s="587"/>
      <c r="H39" s="640"/>
      <c r="I39" s="588"/>
    </row>
    <row r="40" ht="13.8" customHeight="1">
      <c r="A40" s="580"/>
      <c r="B40" s="580"/>
      <c r="C40" s="580"/>
      <c r="D40" s="635"/>
      <c r="E40" s="587"/>
      <c r="F40" s="587"/>
      <c r="G40" s="587"/>
      <c r="H40" s="640"/>
      <c r="I40" s="588"/>
    </row>
    <row r="41" ht="13.8" customHeight="1">
      <c r="A41" s="580"/>
      <c r="B41" s="580"/>
      <c r="C41" s="580"/>
      <c r="D41" s="635"/>
      <c r="E41" s="587"/>
      <c r="F41" s="587"/>
      <c r="G41" s="587"/>
      <c r="H41" s="640"/>
      <c r="I41" s="588"/>
    </row>
    <row r="42" ht="13.8" customHeight="1">
      <c r="A42" s="580"/>
      <c r="B42" s="580"/>
      <c r="C42" s="580"/>
      <c r="D42" s="635"/>
      <c r="E42" s="587"/>
      <c r="F42" s="587"/>
      <c r="G42" s="587"/>
      <c r="H42" s="640"/>
      <c r="I42" s="588"/>
    </row>
    <row r="43" ht="13.8" customHeight="1">
      <c r="A43" s="580"/>
      <c r="B43" s="580"/>
      <c r="C43" s="580"/>
      <c r="D43" s="635"/>
      <c r="E43" s="587"/>
      <c r="F43" s="587"/>
      <c r="G43" s="587"/>
      <c r="H43" s="640"/>
      <c r="I43" s="588"/>
    </row>
    <row r="44" ht="13.8" customHeight="1">
      <c r="A44" s="580"/>
      <c r="B44" s="580"/>
      <c r="C44" s="580"/>
      <c r="D44" s="635"/>
      <c r="E44" s="587"/>
      <c r="F44" s="587"/>
      <c r="G44" s="587"/>
      <c r="H44" s="640"/>
      <c r="I44" s="588"/>
    </row>
    <row r="45" ht="13.8" customHeight="1">
      <c r="A45" s="580"/>
      <c r="B45" s="580"/>
      <c r="C45" s="580"/>
      <c r="D45" s="635"/>
      <c r="E45" s="587"/>
      <c r="F45" s="609"/>
      <c r="G45" s="610"/>
      <c r="H45" s="680"/>
      <c r="I45" s="610"/>
    </row>
    <row r="46" ht="13.8" customHeight="1">
      <c r="A46" s="580"/>
      <c r="B46" s="580"/>
      <c r="C46" s="580"/>
      <c r="D46" s="635"/>
      <c r="E46" s="587"/>
      <c r="F46" s="681"/>
      <c r="G46" s="580"/>
      <c r="H46" s="682"/>
      <c r="I46" s="580"/>
    </row>
    <row r="47" ht="13.8" customHeight="1">
      <c r="A47" s="580"/>
      <c r="B47" s="580"/>
      <c r="C47" s="580"/>
      <c r="D47" s="635"/>
      <c r="E47" s="587"/>
      <c r="F47" s="681"/>
      <c r="G47" s="580"/>
      <c r="H47" s="682"/>
      <c r="I47" s="580"/>
    </row>
    <row r="48" ht="13.8" customHeight="1">
      <c r="A48" s="580"/>
      <c r="B48" s="580"/>
      <c r="C48" s="580"/>
      <c r="D48" s="635"/>
      <c r="E48" s="587"/>
      <c r="F48" s="681"/>
      <c r="G48" s="580"/>
      <c r="H48" s="682"/>
      <c r="I48" s="580"/>
    </row>
    <row r="49" ht="13.8" customHeight="1">
      <c r="A49" s="580"/>
      <c r="B49" s="580"/>
      <c r="C49" s="580"/>
      <c r="D49" s="635"/>
      <c r="E49" s="587"/>
      <c r="F49" s="681"/>
      <c r="G49" s="580"/>
      <c r="H49" s="682"/>
      <c r="I49" s="580"/>
    </row>
    <row r="50" ht="13.8" customHeight="1">
      <c r="A50" s="580"/>
      <c r="B50" s="580"/>
      <c r="C50" s="580"/>
      <c r="D50" s="635"/>
      <c r="E50" s="587"/>
      <c r="F50" s="681"/>
      <c r="G50" s="580"/>
      <c r="H50" s="682"/>
      <c r="I50" s="580"/>
    </row>
    <row r="51" ht="13.8" customHeight="1">
      <c r="A51" s="580"/>
      <c r="B51" s="580"/>
      <c r="C51" s="580"/>
      <c r="D51" s="635"/>
      <c r="E51" s="587"/>
      <c r="F51" s="681"/>
      <c r="G51" s="580"/>
      <c r="H51" s="682"/>
      <c r="I51" s="580"/>
    </row>
    <row r="52" ht="13.8" customHeight="1">
      <c r="A52" s="580"/>
      <c r="B52" s="580"/>
      <c r="C52" s="580"/>
      <c r="D52" s="635"/>
      <c r="E52" s="587"/>
      <c r="F52" s="681"/>
      <c r="G52" s="580"/>
      <c r="H52" s="682"/>
      <c r="I52" s="580"/>
    </row>
    <row r="53" ht="13.8" customHeight="1">
      <c r="A53" s="580"/>
      <c r="B53" s="580"/>
      <c r="C53" s="580"/>
      <c r="D53" s="580"/>
      <c r="E53" s="610"/>
      <c r="F53" s="580"/>
      <c r="G53" s="580"/>
      <c r="H53" s="682"/>
      <c r="I53" s="580"/>
    </row>
    <row r="54" ht="13.8" customHeight="1">
      <c r="A54" s="580"/>
      <c r="B54" s="580"/>
      <c r="C54" s="580"/>
      <c r="D54" s="580"/>
      <c r="E54" s="580"/>
      <c r="F54" s="580"/>
      <c r="G54" s="580"/>
      <c r="H54" s="682"/>
      <c r="I54" s="580"/>
    </row>
    <row r="55" ht="13.8" customHeight="1">
      <c r="A55" s="580"/>
      <c r="B55" s="580"/>
      <c r="C55" s="580"/>
      <c r="D55" s="580"/>
      <c r="E55" s="580"/>
      <c r="F55" s="580"/>
      <c r="G55" s="580"/>
      <c r="H55" s="682"/>
      <c r="I55" s="580"/>
    </row>
    <row r="56" ht="13.8" customHeight="1">
      <c r="A56" s="580"/>
      <c r="B56" s="580"/>
      <c r="C56" s="580"/>
      <c r="D56" s="580"/>
      <c r="E56" s="580"/>
      <c r="F56" s="580"/>
      <c r="G56" s="580"/>
      <c r="H56" s="682"/>
      <c r="I56" s="580"/>
    </row>
    <row r="57" ht="13.8" customHeight="1">
      <c r="A57" s="580"/>
      <c r="B57" s="580"/>
      <c r="C57" s="580"/>
      <c r="D57" s="580"/>
      <c r="E57" s="580"/>
      <c r="F57" s="580"/>
      <c r="G57" s="580"/>
      <c r="H57" s="682"/>
      <c r="I57" s="580"/>
    </row>
    <row r="58" ht="13.8" customHeight="1">
      <c r="A58" s="580"/>
      <c r="B58" s="580"/>
      <c r="C58" s="580"/>
      <c r="D58" s="580"/>
      <c r="E58" s="580"/>
      <c r="F58" s="580"/>
      <c r="G58" s="580"/>
      <c r="H58" s="682"/>
      <c r="I58" s="580"/>
    </row>
    <row r="59" ht="13.8" customHeight="1">
      <c r="A59" s="580"/>
      <c r="B59" s="580"/>
      <c r="C59" s="580"/>
      <c r="D59" s="580"/>
      <c r="E59" s="580"/>
      <c r="F59" s="580"/>
      <c r="G59" s="580"/>
      <c r="H59" s="682"/>
      <c r="I59" s="580"/>
    </row>
    <row r="60" ht="13.8" customHeight="1">
      <c r="A60" s="580"/>
      <c r="B60" s="580"/>
      <c r="C60" s="580"/>
      <c r="D60" s="580"/>
      <c r="E60" s="580"/>
      <c r="F60" s="580"/>
      <c r="G60" s="580"/>
      <c r="H60" s="682"/>
      <c r="I60" s="580"/>
    </row>
    <row r="61" ht="13.8" customHeight="1">
      <c r="A61" s="580"/>
      <c r="B61" s="580"/>
      <c r="C61" s="580"/>
      <c r="D61" s="580"/>
      <c r="E61" s="580"/>
      <c r="F61" s="580"/>
      <c r="G61" s="580"/>
      <c r="H61" s="682"/>
      <c r="I61" s="580"/>
    </row>
    <row r="62" ht="13.8" customHeight="1">
      <c r="A62" s="580"/>
      <c r="B62" s="580"/>
      <c r="C62" s="580"/>
      <c r="D62" s="580"/>
      <c r="E62" s="580"/>
      <c r="F62" s="580"/>
      <c r="G62" s="580"/>
      <c r="H62" s="682"/>
      <c r="I62" s="580"/>
    </row>
    <row r="63" ht="13.8" customHeight="1">
      <c r="A63" s="580"/>
      <c r="B63" s="580"/>
      <c r="C63" s="580"/>
      <c r="D63" s="580"/>
      <c r="E63" s="580"/>
      <c r="F63" s="580"/>
      <c r="G63" s="580"/>
      <c r="H63" s="682"/>
      <c r="I63" s="580"/>
    </row>
    <row r="64" ht="13.8" customHeight="1">
      <c r="A64" s="580"/>
      <c r="B64" s="580"/>
      <c r="C64" s="580"/>
      <c r="D64" s="580"/>
      <c r="E64" s="580"/>
      <c r="F64" s="580"/>
      <c r="G64" s="580"/>
      <c r="H64" s="682"/>
      <c r="I64" s="580"/>
    </row>
    <row r="65" ht="13.8" customHeight="1">
      <c r="A65" s="580"/>
      <c r="B65" s="580"/>
      <c r="C65" s="580"/>
      <c r="D65" s="580"/>
      <c r="E65" s="580"/>
      <c r="F65" s="580"/>
      <c r="G65" s="580"/>
      <c r="H65" s="682"/>
      <c r="I65" s="580"/>
    </row>
    <row r="66" ht="13.8" customHeight="1">
      <c r="A66" s="580"/>
      <c r="B66" s="580"/>
      <c r="C66" s="580"/>
      <c r="D66" s="580"/>
      <c r="E66" s="580"/>
      <c r="F66" s="580"/>
      <c r="G66" s="580"/>
      <c r="H66" s="682"/>
      <c r="I66" s="580"/>
    </row>
    <row r="67" ht="13.8" customHeight="1">
      <c r="A67" s="580"/>
      <c r="B67" s="580"/>
      <c r="C67" s="580"/>
      <c r="D67" s="580"/>
      <c r="E67" s="580"/>
      <c r="F67" s="580"/>
      <c r="G67" s="580"/>
      <c r="H67" s="682"/>
      <c r="I67" s="580"/>
    </row>
    <row r="68" ht="13.8" customHeight="1">
      <c r="A68" s="580"/>
      <c r="B68" s="580"/>
      <c r="C68" s="580"/>
      <c r="D68" s="580"/>
      <c r="E68" s="580"/>
      <c r="F68" s="580"/>
      <c r="G68" s="580"/>
      <c r="H68" s="682"/>
      <c r="I68" s="580"/>
    </row>
    <row r="69" ht="13.8" customHeight="1">
      <c r="A69" s="580"/>
      <c r="B69" s="580"/>
      <c r="C69" s="580"/>
      <c r="D69" s="580"/>
      <c r="E69" s="580"/>
      <c r="F69" s="580"/>
      <c r="G69" s="580"/>
      <c r="H69" s="682"/>
      <c r="I69" s="580"/>
    </row>
    <row r="70" ht="13.8" customHeight="1">
      <c r="A70" s="580"/>
      <c r="B70" s="580"/>
      <c r="C70" s="580"/>
      <c r="D70" s="580"/>
      <c r="E70" s="580"/>
      <c r="F70" s="580"/>
      <c r="G70" s="580"/>
      <c r="H70" s="682"/>
      <c r="I70" s="580"/>
    </row>
    <row r="71" ht="13.8" customHeight="1">
      <c r="A71" s="580"/>
      <c r="B71" s="580"/>
      <c r="C71" s="580"/>
      <c r="D71" s="580"/>
      <c r="E71" s="580"/>
      <c r="F71" s="580"/>
      <c r="G71" s="580"/>
      <c r="H71" s="682"/>
      <c r="I71" s="580"/>
    </row>
    <row r="72" ht="13.8" customHeight="1">
      <c r="A72" s="580"/>
      <c r="B72" s="580"/>
      <c r="C72" s="580"/>
      <c r="D72" s="580"/>
      <c r="E72" s="580"/>
      <c r="F72" s="580"/>
      <c r="G72" s="580"/>
      <c r="H72" s="682"/>
      <c r="I72" s="580"/>
    </row>
    <row r="73" ht="13.8" customHeight="1">
      <c r="A73" s="580"/>
      <c r="B73" s="580"/>
      <c r="C73" s="580"/>
      <c r="D73" s="580"/>
      <c r="E73" s="580"/>
      <c r="F73" s="580"/>
      <c r="G73" s="580"/>
      <c r="H73" s="682"/>
      <c r="I73" s="580"/>
    </row>
    <row r="74" ht="13.8" customHeight="1">
      <c r="A74" s="580"/>
      <c r="B74" s="580"/>
      <c r="C74" s="580"/>
      <c r="D74" s="580"/>
      <c r="E74" s="580"/>
      <c r="F74" s="580"/>
      <c r="G74" s="580"/>
      <c r="H74" s="682"/>
      <c r="I74" s="580"/>
    </row>
    <row r="75" ht="13.8" customHeight="1">
      <c r="A75" s="580"/>
      <c r="B75" s="580"/>
      <c r="C75" s="580"/>
      <c r="D75" s="580"/>
      <c r="E75" s="580"/>
      <c r="F75" s="580"/>
      <c r="G75" s="580"/>
      <c r="H75" s="682"/>
      <c r="I75" s="580"/>
    </row>
    <row r="76" ht="13.8" customHeight="1">
      <c r="A76" s="580"/>
      <c r="B76" s="580"/>
      <c r="C76" s="580"/>
      <c r="D76" s="580"/>
      <c r="E76" s="580"/>
      <c r="F76" s="580"/>
      <c r="G76" s="580"/>
      <c r="H76" s="682"/>
      <c r="I76" s="580"/>
    </row>
    <row r="77" ht="13.8" customHeight="1">
      <c r="A77" s="580"/>
      <c r="B77" s="580"/>
      <c r="C77" s="580"/>
      <c r="D77" s="580"/>
      <c r="E77" s="580"/>
      <c r="F77" s="580"/>
      <c r="G77" s="580"/>
      <c r="H77" s="682"/>
      <c r="I77" s="580"/>
    </row>
    <row r="78" ht="13.8" customHeight="1">
      <c r="A78" s="580"/>
      <c r="B78" s="580"/>
      <c r="C78" s="580"/>
      <c r="D78" s="580"/>
      <c r="E78" s="580"/>
      <c r="F78" s="580"/>
      <c r="G78" s="580"/>
      <c r="H78" s="682"/>
      <c r="I78" s="580"/>
    </row>
    <row r="79" ht="13.8" customHeight="1">
      <c r="A79" s="580"/>
      <c r="B79" s="580"/>
      <c r="C79" s="580"/>
      <c r="D79" s="580"/>
      <c r="E79" s="580"/>
      <c r="F79" s="580"/>
      <c r="G79" s="580"/>
      <c r="H79" s="682"/>
      <c r="I79" s="580"/>
    </row>
    <row r="80" ht="13.8" customHeight="1">
      <c r="A80" s="580"/>
      <c r="B80" s="580"/>
      <c r="C80" s="580"/>
      <c r="D80" s="580"/>
      <c r="E80" s="580"/>
      <c r="F80" s="580"/>
      <c r="G80" s="580"/>
      <c r="H80" s="682"/>
      <c r="I80" s="580"/>
    </row>
    <row r="81" ht="13.8" customHeight="1">
      <c r="A81" s="580"/>
      <c r="B81" s="580"/>
      <c r="C81" s="580"/>
      <c r="D81" s="580"/>
      <c r="E81" s="580"/>
      <c r="F81" s="580"/>
      <c r="G81" s="580"/>
      <c r="H81" s="682"/>
      <c r="I81" s="580"/>
    </row>
    <row r="82" ht="13.8" customHeight="1">
      <c r="A82" s="580"/>
      <c r="B82" s="580"/>
      <c r="C82" s="580"/>
      <c r="D82" s="580"/>
      <c r="E82" s="580"/>
      <c r="F82" s="580"/>
      <c r="G82" s="580"/>
      <c r="H82" s="682"/>
      <c r="I82" s="580"/>
    </row>
    <row r="83" ht="13.8" customHeight="1">
      <c r="A83" s="580"/>
      <c r="B83" s="580"/>
      <c r="C83" s="580"/>
      <c r="D83" s="580"/>
      <c r="E83" s="580"/>
      <c r="F83" s="580"/>
      <c r="G83" s="580"/>
      <c r="H83" s="682"/>
      <c r="I83" s="580"/>
    </row>
    <row r="84" ht="13.8" customHeight="1">
      <c r="A84" s="580"/>
      <c r="B84" s="580"/>
      <c r="C84" s="580"/>
      <c r="D84" s="580"/>
      <c r="E84" s="580"/>
      <c r="F84" s="580"/>
      <c r="G84" s="580"/>
      <c r="H84" s="682"/>
      <c r="I84" s="580"/>
    </row>
    <row r="85" ht="13.8" customHeight="1">
      <c r="A85" s="580"/>
      <c r="B85" s="580"/>
      <c r="C85" s="580"/>
      <c r="D85" s="580"/>
      <c r="E85" s="580"/>
      <c r="F85" s="580"/>
      <c r="G85" s="580"/>
      <c r="H85" s="682"/>
      <c r="I85" s="580"/>
    </row>
    <row r="86" ht="13.8" customHeight="1">
      <c r="A86" s="580"/>
      <c r="B86" s="580"/>
      <c r="C86" s="580"/>
      <c r="D86" s="580"/>
      <c r="E86" s="580"/>
      <c r="F86" s="580"/>
      <c r="G86" s="580"/>
      <c r="H86" s="682"/>
      <c r="I86" s="580"/>
    </row>
    <row r="87" ht="13.8" customHeight="1">
      <c r="A87" s="580"/>
      <c r="B87" s="580"/>
      <c r="C87" s="580"/>
      <c r="D87" s="580"/>
      <c r="E87" s="580"/>
      <c r="F87" s="580"/>
      <c r="G87" s="580"/>
      <c r="H87" s="682"/>
      <c r="I87" s="580"/>
    </row>
    <row r="88" ht="13.8" customHeight="1">
      <c r="A88" s="580"/>
      <c r="B88" s="580"/>
      <c r="C88" s="580"/>
      <c r="D88" s="580"/>
      <c r="E88" s="580"/>
      <c r="F88" s="580"/>
      <c r="G88" s="580"/>
      <c r="H88" s="682"/>
      <c r="I88" s="580"/>
    </row>
    <row r="89" ht="13.8" customHeight="1">
      <c r="A89" s="580"/>
      <c r="B89" s="580"/>
      <c r="C89" s="580"/>
      <c r="D89" s="580"/>
      <c r="E89" s="580"/>
      <c r="F89" s="580"/>
      <c r="G89" s="580"/>
      <c r="H89" s="682"/>
      <c r="I89" s="580"/>
    </row>
    <row r="90" ht="13.8" customHeight="1">
      <c r="A90" s="580"/>
      <c r="B90" s="580"/>
      <c r="C90" s="580"/>
      <c r="D90" s="580"/>
      <c r="E90" s="580"/>
      <c r="F90" s="580"/>
      <c r="G90" s="580"/>
      <c r="H90" s="682"/>
      <c r="I90" s="580"/>
    </row>
    <row r="91" ht="13.8" customHeight="1">
      <c r="A91" s="580"/>
      <c r="B91" s="580"/>
      <c r="C91" s="580"/>
      <c r="D91" s="580"/>
      <c r="E91" s="580"/>
      <c r="F91" s="580"/>
      <c r="G91" s="580"/>
      <c r="H91" s="682"/>
      <c r="I91" s="580"/>
    </row>
    <row r="92" ht="13.8" customHeight="1">
      <c r="A92" s="580"/>
      <c r="B92" s="580"/>
      <c r="C92" s="580"/>
      <c r="D92" s="580"/>
      <c r="E92" s="580"/>
      <c r="F92" s="580"/>
      <c r="G92" s="580"/>
      <c r="H92" s="682"/>
      <c r="I92" s="580"/>
    </row>
    <row r="93" ht="13.8" customHeight="1">
      <c r="A93" s="580"/>
      <c r="B93" s="580"/>
      <c r="C93" s="580"/>
      <c r="D93" s="580"/>
      <c r="E93" s="580"/>
      <c r="F93" s="580"/>
      <c r="G93" s="580"/>
      <c r="H93" s="682"/>
      <c r="I93" s="580"/>
    </row>
    <row r="94" ht="13.8" customHeight="1">
      <c r="A94" s="580"/>
      <c r="B94" s="580"/>
      <c r="C94" s="580"/>
      <c r="D94" s="580"/>
      <c r="E94" s="580"/>
      <c r="F94" s="580"/>
      <c r="G94" s="580"/>
      <c r="H94" s="682"/>
      <c r="I94" s="580"/>
    </row>
    <row r="95" ht="13.8" customHeight="1">
      <c r="A95" s="580"/>
      <c r="B95" s="580"/>
      <c r="C95" s="580"/>
      <c r="D95" s="580"/>
      <c r="E95" s="580"/>
      <c r="F95" s="580"/>
      <c r="G95" s="580"/>
      <c r="H95" s="682"/>
      <c r="I95" s="580"/>
    </row>
    <row r="96" ht="13.8" customHeight="1">
      <c r="A96" s="580"/>
      <c r="B96" s="580"/>
      <c r="C96" s="580"/>
      <c r="D96" s="580"/>
      <c r="E96" s="580"/>
      <c r="F96" s="580"/>
      <c r="G96" s="580"/>
      <c r="H96" s="682"/>
      <c r="I96" s="580"/>
    </row>
    <row r="97" ht="13.8" customHeight="1">
      <c r="A97" s="580"/>
      <c r="B97" s="580"/>
      <c r="C97" s="580"/>
      <c r="D97" s="580"/>
      <c r="E97" s="580"/>
      <c r="F97" s="580"/>
      <c r="G97" s="580"/>
      <c r="H97" s="682"/>
      <c r="I97" s="580"/>
    </row>
    <row r="98" ht="13.8" customHeight="1">
      <c r="A98" s="580"/>
      <c r="B98" s="580"/>
      <c r="C98" s="580"/>
      <c r="D98" s="580"/>
      <c r="E98" s="580"/>
      <c r="F98" s="580"/>
      <c r="G98" s="580"/>
      <c r="H98" s="682"/>
      <c r="I98" s="580"/>
    </row>
    <row r="99" ht="13.8" customHeight="1">
      <c r="A99" s="580"/>
      <c r="B99" s="580"/>
      <c r="C99" s="580"/>
      <c r="D99" s="580"/>
      <c r="E99" s="580"/>
      <c r="F99" s="580"/>
      <c r="G99" s="580"/>
      <c r="H99" s="682"/>
      <c r="I99" s="580"/>
    </row>
    <row r="100" ht="13.8" customHeight="1">
      <c r="A100" s="580"/>
      <c r="B100" s="580"/>
      <c r="C100" s="580"/>
      <c r="D100" s="580"/>
      <c r="E100" s="580"/>
      <c r="F100" s="580"/>
      <c r="G100" s="580"/>
      <c r="H100" s="682"/>
      <c r="I100" s="580"/>
    </row>
    <row r="101" ht="13.8" customHeight="1">
      <c r="A101" s="580"/>
      <c r="B101" s="580"/>
      <c r="C101" s="580"/>
      <c r="D101" s="580"/>
      <c r="E101" s="580"/>
      <c r="F101" s="580"/>
      <c r="G101" s="580"/>
      <c r="H101" s="682"/>
      <c r="I101" s="580"/>
    </row>
    <row r="102" ht="13.8" customHeight="1">
      <c r="A102" s="580"/>
      <c r="B102" s="580"/>
      <c r="C102" s="580"/>
      <c r="D102" s="580"/>
      <c r="E102" s="580"/>
      <c r="F102" s="580"/>
      <c r="G102" s="580"/>
      <c r="H102" s="682"/>
      <c r="I102" s="580"/>
    </row>
    <row r="103" ht="13.8" customHeight="1">
      <c r="A103" s="580"/>
      <c r="B103" s="580"/>
      <c r="C103" s="580"/>
      <c r="D103" s="580"/>
      <c r="E103" s="580"/>
      <c r="F103" s="580"/>
      <c r="G103" s="580"/>
      <c r="H103" s="682"/>
      <c r="I103" s="580"/>
    </row>
    <row r="104" ht="13.8" customHeight="1">
      <c r="A104" s="580"/>
      <c r="B104" s="580"/>
      <c r="C104" s="580"/>
      <c r="D104" s="580"/>
      <c r="E104" s="580"/>
      <c r="F104" s="580"/>
      <c r="G104" s="580"/>
      <c r="H104" s="682"/>
      <c r="I104" s="580"/>
    </row>
    <row r="105" ht="13.8" customHeight="1">
      <c r="A105" s="580"/>
      <c r="B105" s="580"/>
      <c r="C105" s="580"/>
      <c r="D105" s="580"/>
      <c r="E105" s="580"/>
      <c r="F105" s="580"/>
      <c r="G105" s="580"/>
      <c r="H105" s="682"/>
      <c r="I105" s="580"/>
    </row>
    <row r="106" ht="13.8" customHeight="1">
      <c r="A106" s="580"/>
      <c r="B106" s="580"/>
      <c r="C106" s="580"/>
      <c r="D106" s="580"/>
      <c r="E106" s="580"/>
      <c r="F106" s="580"/>
      <c r="G106" s="580"/>
      <c r="H106" s="682"/>
      <c r="I106" s="580"/>
    </row>
    <row r="107" ht="13.8" customHeight="1">
      <c r="A107" s="580"/>
      <c r="B107" s="580"/>
      <c r="C107" s="580"/>
      <c r="D107" s="580"/>
      <c r="E107" s="580"/>
      <c r="F107" s="580"/>
      <c r="G107" s="580"/>
      <c r="H107" s="682"/>
      <c r="I107" s="580"/>
    </row>
    <row r="108" ht="13.8" customHeight="1">
      <c r="A108" s="580"/>
      <c r="B108" s="580"/>
      <c r="C108" s="580"/>
      <c r="D108" s="580"/>
      <c r="E108" s="580"/>
      <c r="F108" s="580"/>
      <c r="G108" s="580"/>
      <c r="H108" s="682"/>
      <c r="I108" s="580"/>
    </row>
    <row r="109" ht="13.8" customHeight="1">
      <c r="A109" s="580"/>
      <c r="B109" s="580"/>
      <c r="C109" s="580"/>
      <c r="D109" s="580"/>
      <c r="E109" s="580"/>
      <c r="F109" s="580"/>
      <c r="G109" s="580"/>
      <c r="H109" s="682"/>
      <c r="I109" s="580"/>
    </row>
    <row r="110" ht="13.8" customHeight="1">
      <c r="A110" s="580"/>
      <c r="B110" s="580"/>
      <c r="C110" s="580"/>
      <c r="D110" s="580"/>
      <c r="E110" s="580"/>
      <c r="F110" s="580"/>
      <c r="G110" s="580"/>
      <c r="H110" s="682"/>
      <c r="I110" s="580"/>
    </row>
    <row r="111" ht="13.8" customHeight="1">
      <c r="A111" s="580"/>
      <c r="B111" s="580"/>
      <c r="C111" s="580"/>
      <c r="D111" s="580"/>
      <c r="E111" s="580"/>
      <c r="F111" s="580"/>
      <c r="G111" s="580"/>
      <c r="H111" s="682"/>
      <c r="I111" s="580"/>
    </row>
    <row r="112" ht="13.8" customHeight="1">
      <c r="A112" s="580"/>
      <c r="B112" s="580"/>
      <c r="C112" s="580"/>
      <c r="D112" s="580"/>
      <c r="E112" s="580"/>
      <c r="F112" s="580"/>
      <c r="G112" s="580"/>
      <c r="H112" s="682"/>
      <c r="I112" s="580"/>
    </row>
    <row r="113" ht="13.8" customHeight="1">
      <c r="A113" s="580"/>
      <c r="B113" s="580"/>
      <c r="C113" s="580"/>
      <c r="D113" s="580"/>
      <c r="E113" s="580"/>
      <c r="F113" s="580"/>
      <c r="G113" s="580"/>
      <c r="H113" s="682"/>
      <c r="I113" s="580"/>
    </row>
    <row r="114" ht="13.8" customHeight="1">
      <c r="A114" s="580"/>
      <c r="B114" s="580"/>
      <c r="C114" s="580"/>
      <c r="D114" s="580"/>
      <c r="E114" s="580"/>
      <c r="F114" s="580"/>
      <c r="G114" s="580"/>
      <c r="H114" s="682"/>
      <c r="I114" s="580"/>
    </row>
    <row r="115" ht="13.8" customHeight="1">
      <c r="A115" s="580"/>
      <c r="B115" s="580"/>
      <c r="C115" s="580"/>
      <c r="D115" s="580"/>
      <c r="E115" s="580"/>
      <c r="F115" s="580"/>
      <c r="G115" s="580"/>
      <c r="H115" s="682"/>
      <c r="I115" s="580"/>
    </row>
    <row r="116" ht="13.8" customHeight="1">
      <c r="A116" s="580"/>
      <c r="B116" s="580"/>
      <c r="C116" s="580"/>
      <c r="D116" s="580"/>
      <c r="E116" s="580"/>
      <c r="F116" s="580"/>
      <c r="G116" s="580"/>
      <c r="H116" s="682"/>
      <c r="I116" s="580"/>
    </row>
    <row r="117" ht="13.8" customHeight="1">
      <c r="A117" s="580"/>
      <c r="B117" s="580"/>
      <c r="C117" s="580"/>
      <c r="D117" s="580"/>
      <c r="E117" s="580"/>
      <c r="F117" s="580"/>
      <c r="G117" s="580"/>
      <c r="H117" s="682"/>
      <c r="I117" s="580"/>
    </row>
    <row r="118" ht="13.8" customHeight="1">
      <c r="A118" s="580"/>
      <c r="B118" s="580"/>
      <c r="C118" s="580"/>
      <c r="D118" s="580"/>
      <c r="E118" s="580"/>
      <c r="F118" s="580"/>
      <c r="G118" s="580"/>
      <c r="H118" s="682"/>
      <c r="I118" s="580"/>
    </row>
    <row r="119" ht="13.8" customHeight="1">
      <c r="A119" s="580"/>
      <c r="B119" s="580"/>
      <c r="C119" s="580"/>
      <c r="D119" s="580"/>
      <c r="E119" s="580"/>
      <c r="F119" s="580"/>
      <c r="G119" s="580"/>
      <c r="H119" s="682"/>
      <c r="I119" s="580"/>
    </row>
    <row r="120" ht="13.8" customHeight="1">
      <c r="A120" s="580"/>
      <c r="B120" s="580"/>
      <c r="C120" s="580"/>
      <c r="D120" s="580"/>
      <c r="E120" s="580"/>
      <c r="F120" s="580"/>
      <c r="G120" s="580"/>
      <c r="H120" s="682"/>
      <c r="I120" s="580"/>
    </row>
    <row r="121" ht="13.8" customHeight="1">
      <c r="A121" s="580"/>
      <c r="B121" s="580"/>
      <c r="C121" s="580"/>
      <c r="D121" s="580"/>
      <c r="E121" s="580"/>
      <c r="F121" s="580"/>
      <c r="G121" s="580"/>
      <c r="H121" s="682"/>
      <c r="I121" s="580"/>
    </row>
    <row r="122" ht="13.8" customHeight="1">
      <c r="A122" s="580"/>
      <c r="B122" s="580"/>
      <c r="C122" s="580"/>
      <c r="D122" s="580"/>
      <c r="E122" s="580"/>
      <c r="F122" s="580"/>
      <c r="G122" s="580"/>
      <c r="H122" s="682"/>
      <c r="I122" s="580"/>
    </row>
    <row r="123" ht="13.8" customHeight="1">
      <c r="A123" s="580"/>
      <c r="B123" s="580"/>
      <c r="C123" s="580"/>
      <c r="D123" s="580"/>
      <c r="E123" s="580"/>
      <c r="F123" s="580"/>
      <c r="G123" s="580"/>
      <c r="H123" s="682"/>
      <c r="I123" s="580"/>
    </row>
    <row r="124" ht="13.8" customHeight="1">
      <c r="A124" s="580"/>
      <c r="B124" s="580"/>
      <c r="C124" s="580"/>
      <c r="D124" s="580"/>
      <c r="E124" s="580"/>
      <c r="F124" s="580"/>
      <c r="G124" s="580"/>
      <c r="H124" s="682"/>
      <c r="I124" s="580"/>
    </row>
    <row r="125" ht="13.8" customHeight="1">
      <c r="A125" s="580"/>
      <c r="B125" s="580"/>
      <c r="C125" s="580"/>
      <c r="D125" s="580"/>
      <c r="E125" s="580"/>
      <c r="F125" s="580"/>
      <c r="G125" s="580"/>
      <c r="H125" s="682"/>
      <c r="I125" s="580"/>
    </row>
    <row r="126" ht="13.8" customHeight="1">
      <c r="A126" s="580"/>
      <c r="B126" s="580"/>
      <c r="C126" s="580"/>
      <c r="D126" s="580"/>
      <c r="E126" s="580"/>
      <c r="F126" s="580"/>
      <c r="G126" s="580"/>
      <c r="H126" s="682"/>
      <c r="I126" s="580"/>
    </row>
    <row r="127" ht="13.8" customHeight="1">
      <c r="A127" s="580"/>
      <c r="B127" s="580"/>
      <c r="C127" s="580"/>
      <c r="D127" s="580"/>
      <c r="E127" s="580"/>
      <c r="F127" s="580"/>
      <c r="G127" s="580"/>
      <c r="H127" s="682"/>
      <c r="I127" s="580"/>
    </row>
    <row r="128" ht="13.8" customHeight="1">
      <c r="A128" s="580"/>
      <c r="B128" s="580"/>
      <c r="C128" s="580"/>
      <c r="D128" s="580"/>
      <c r="E128" s="580"/>
      <c r="F128" s="580"/>
      <c r="G128" s="580"/>
      <c r="H128" s="682"/>
      <c r="I128" s="580"/>
    </row>
    <row r="129" ht="13.8" customHeight="1">
      <c r="A129" s="580"/>
      <c r="B129" s="580"/>
      <c r="C129" s="580"/>
      <c r="D129" s="580"/>
      <c r="E129" s="580"/>
      <c r="F129" s="580"/>
      <c r="G129" s="580"/>
      <c r="H129" s="682"/>
      <c r="I129" s="580"/>
    </row>
    <row r="130" ht="13.8" customHeight="1">
      <c r="A130" s="580"/>
      <c r="B130" s="580"/>
      <c r="C130" s="580"/>
      <c r="D130" s="580"/>
      <c r="E130" s="580"/>
      <c r="F130" s="580"/>
      <c r="G130" s="580"/>
      <c r="H130" s="682"/>
      <c r="I130" s="580"/>
    </row>
    <row r="131" ht="13.8" customHeight="1">
      <c r="A131" s="580"/>
      <c r="B131" s="580"/>
      <c r="C131" s="580"/>
      <c r="D131" s="580"/>
      <c r="E131" s="580"/>
      <c r="F131" s="580"/>
      <c r="G131" s="580"/>
      <c r="H131" s="682"/>
      <c r="I131" s="580"/>
    </row>
    <row r="132" ht="13.8" customHeight="1">
      <c r="A132" s="580"/>
      <c r="B132" s="580"/>
      <c r="C132" s="580"/>
      <c r="D132" s="580"/>
      <c r="E132" s="580"/>
      <c r="F132" s="580"/>
      <c r="G132" s="580"/>
      <c r="H132" s="682"/>
      <c r="I132" s="580"/>
    </row>
    <row r="133" ht="13.8" customHeight="1">
      <c r="A133" s="580"/>
      <c r="B133" s="580"/>
      <c r="C133" s="580"/>
      <c r="D133" s="580"/>
      <c r="E133" s="580"/>
      <c r="F133" s="580"/>
      <c r="G133" s="580"/>
      <c r="H133" s="682"/>
      <c r="I133" s="580"/>
    </row>
    <row r="134" ht="13.8" customHeight="1">
      <c r="A134" s="580"/>
      <c r="B134" s="580"/>
      <c r="C134" s="580"/>
      <c r="D134" s="580"/>
      <c r="E134" s="580"/>
      <c r="F134" s="580"/>
      <c r="G134" s="580"/>
      <c r="H134" s="682"/>
      <c r="I134" s="580"/>
    </row>
    <row r="135" ht="13.8" customHeight="1">
      <c r="A135" s="580"/>
      <c r="B135" s="580"/>
      <c r="C135" s="580"/>
      <c r="D135" s="580"/>
      <c r="E135" s="580"/>
      <c r="F135" s="580"/>
      <c r="G135" s="580"/>
      <c r="H135" s="682"/>
      <c r="I135" s="580"/>
    </row>
    <row r="136" ht="13.8" customHeight="1">
      <c r="A136" s="580"/>
      <c r="B136" s="580"/>
      <c r="C136" s="580"/>
      <c r="D136" s="580"/>
      <c r="E136" s="580"/>
      <c r="F136" s="580"/>
      <c r="G136" s="580"/>
      <c r="H136" s="682"/>
      <c r="I136" s="580"/>
    </row>
    <row r="137" ht="13.8" customHeight="1">
      <c r="A137" s="580"/>
      <c r="B137" s="580"/>
      <c r="C137" s="580"/>
      <c r="D137" s="580"/>
      <c r="E137" s="580"/>
      <c r="F137" s="580"/>
      <c r="G137" s="580"/>
      <c r="H137" s="682"/>
      <c r="I137" s="580"/>
    </row>
    <row r="138" ht="13.8" customHeight="1">
      <c r="A138" s="580"/>
      <c r="B138" s="580"/>
      <c r="C138" s="580"/>
      <c r="D138" s="580"/>
      <c r="E138" s="580"/>
      <c r="F138" s="580"/>
      <c r="G138" s="580"/>
      <c r="H138" s="682"/>
      <c r="I138" s="580"/>
    </row>
    <row r="139" ht="13.8" customHeight="1">
      <c r="A139" s="580"/>
      <c r="B139" s="580"/>
      <c r="C139" s="580"/>
      <c r="D139" s="580"/>
      <c r="E139" s="580"/>
      <c r="F139" s="580"/>
      <c r="G139" s="580"/>
      <c r="H139" s="682"/>
      <c r="I139" s="580"/>
    </row>
    <row r="140" ht="13.8" customHeight="1">
      <c r="A140" s="580"/>
      <c r="B140" s="580"/>
      <c r="C140" s="580"/>
      <c r="D140" s="580"/>
      <c r="E140" s="580"/>
      <c r="F140" s="580"/>
      <c r="G140" s="580"/>
      <c r="H140" s="682"/>
      <c r="I140" s="580"/>
    </row>
    <row r="141" ht="13.8" customHeight="1">
      <c r="A141" s="580"/>
      <c r="B141" s="580"/>
      <c r="C141" s="580"/>
      <c r="D141" s="580"/>
      <c r="E141" s="580"/>
      <c r="F141" s="580"/>
      <c r="G141" s="580"/>
      <c r="H141" s="682"/>
      <c r="I141" s="580"/>
    </row>
    <row r="142" ht="13.8" customHeight="1">
      <c r="A142" s="580"/>
      <c r="B142" s="580"/>
      <c r="C142" s="580"/>
      <c r="D142" s="580"/>
      <c r="E142" s="580"/>
      <c r="F142" s="580"/>
      <c r="G142" s="580"/>
      <c r="H142" s="682"/>
      <c r="I142" s="580"/>
    </row>
    <row r="143" ht="13.8" customHeight="1">
      <c r="A143" s="580"/>
      <c r="B143" s="580"/>
      <c r="C143" s="580"/>
      <c r="D143" s="580"/>
      <c r="E143" s="580"/>
      <c r="F143" s="580"/>
      <c r="G143" s="580"/>
      <c r="H143" s="682"/>
      <c r="I143" s="580"/>
    </row>
    <row r="144" ht="13.8" customHeight="1">
      <c r="A144" s="580"/>
      <c r="B144" s="580"/>
      <c r="C144" s="580"/>
      <c r="D144" s="580"/>
      <c r="E144" s="580"/>
      <c r="F144" s="580"/>
      <c r="G144" s="580"/>
      <c r="H144" s="682"/>
      <c r="I144" s="580"/>
    </row>
    <row r="145" ht="13.8" customHeight="1">
      <c r="A145" s="580"/>
      <c r="B145" s="580"/>
      <c r="C145" s="580"/>
      <c r="D145" s="580"/>
      <c r="E145" s="580"/>
      <c r="F145" s="580"/>
      <c r="G145" s="580"/>
      <c r="H145" s="682"/>
      <c r="I145" s="580"/>
    </row>
    <row r="146" ht="13.8" customHeight="1">
      <c r="A146" s="580"/>
      <c r="B146" s="580"/>
      <c r="C146" s="580"/>
      <c r="D146" s="580"/>
      <c r="E146" s="580"/>
      <c r="F146" s="580"/>
      <c r="G146" s="580"/>
      <c r="H146" s="682"/>
      <c r="I146" s="580"/>
    </row>
    <row r="147" ht="13.8" customHeight="1">
      <c r="A147" s="580"/>
      <c r="B147" s="580"/>
      <c r="C147" s="580"/>
      <c r="D147" s="580"/>
      <c r="E147" s="580"/>
      <c r="F147" s="580"/>
      <c r="G147" s="580"/>
      <c r="H147" s="682"/>
      <c r="I147" s="580"/>
    </row>
    <row r="148" ht="13.8" customHeight="1">
      <c r="A148" s="580"/>
      <c r="B148" s="580"/>
      <c r="C148" s="580"/>
      <c r="D148" s="580"/>
      <c r="E148" s="580"/>
      <c r="F148" s="580"/>
      <c r="G148" s="580"/>
      <c r="H148" s="682"/>
      <c r="I148" s="580"/>
    </row>
    <row r="149" ht="13.8" customHeight="1">
      <c r="A149" s="580"/>
      <c r="B149" s="580"/>
      <c r="C149" s="580"/>
      <c r="D149" s="580"/>
      <c r="E149" s="580"/>
      <c r="F149" s="580"/>
      <c r="G149" s="580"/>
      <c r="H149" s="682"/>
      <c r="I149" s="580"/>
    </row>
    <row r="150" ht="13.8" customHeight="1">
      <c r="A150" s="580"/>
      <c r="B150" s="580"/>
      <c r="C150" s="580"/>
      <c r="D150" s="580"/>
      <c r="E150" s="580"/>
      <c r="F150" s="580"/>
      <c r="G150" s="580"/>
      <c r="H150" s="682"/>
      <c r="I150" s="580"/>
    </row>
    <row r="151" ht="13.8" customHeight="1">
      <c r="A151" s="580"/>
      <c r="B151" s="580"/>
      <c r="C151" s="580"/>
      <c r="D151" s="580"/>
      <c r="E151" s="580"/>
      <c r="F151" s="580"/>
      <c r="G151" s="580"/>
      <c r="H151" s="682"/>
      <c r="I151" s="580"/>
    </row>
    <row r="152" ht="13.8" customHeight="1">
      <c r="A152" s="580"/>
      <c r="B152" s="580"/>
      <c r="C152" s="580"/>
      <c r="D152" s="580"/>
      <c r="E152" s="580"/>
      <c r="F152" s="580"/>
      <c r="G152" s="580"/>
      <c r="H152" s="682"/>
      <c r="I152" s="580"/>
    </row>
    <row r="153" ht="13.8" customHeight="1">
      <c r="A153" s="580"/>
      <c r="B153" s="580"/>
      <c r="C153" s="580"/>
      <c r="D153" s="580"/>
      <c r="E153" s="580"/>
      <c r="F153" s="580"/>
      <c r="G153" s="580"/>
      <c r="H153" s="682"/>
      <c r="I153" s="580"/>
    </row>
    <row r="154" ht="13.8" customHeight="1">
      <c r="A154" s="580"/>
      <c r="B154" s="580"/>
      <c r="C154" s="580"/>
      <c r="D154" s="580"/>
      <c r="E154" s="580"/>
      <c r="F154" s="580"/>
      <c r="G154" s="580"/>
      <c r="H154" s="682"/>
      <c r="I154" s="580"/>
    </row>
    <row r="155" ht="13.8" customHeight="1">
      <c r="A155" s="580"/>
      <c r="B155" s="580"/>
      <c r="C155" s="580"/>
      <c r="D155" s="580"/>
      <c r="E155" s="580"/>
      <c r="F155" s="580"/>
      <c r="G155" s="580"/>
      <c r="H155" s="682"/>
      <c r="I155" s="580"/>
    </row>
    <row r="156" ht="13.8" customHeight="1">
      <c r="A156" s="580"/>
      <c r="B156" s="580"/>
      <c r="C156" s="580"/>
      <c r="D156" s="580"/>
      <c r="E156" s="580"/>
      <c r="F156" s="580"/>
      <c r="G156" s="580"/>
      <c r="H156" s="682"/>
      <c r="I156" s="580"/>
    </row>
    <row r="157" ht="13.8" customHeight="1">
      <c r="A157" s="580"/>
      <c r="B157" s="580"/>
      <c r="C157" s="580"/>
      <c r="D157" s="580"/>
      <c r="E157" s="580"/>
      <c r="F157" s="580"/>
      <c r="G157" s="580"/>
      <c r="H157" s="682"/>
      <c r="I157" s="580"/>
    </row>
    <row r="158" ht="13.8" customHeight="1">
      <c r="A158" s="580"/>
      <c r="B158" s="580"/>
      <c r="C158" s="580"/>
      <c r="D158" s="580"/>
      <c r="E158" s="580"/>
      <c r="F158" s="580"/>
      <c r="G158" s="580"/>
      <c r="H158" s="682"/>
      <c r="I158" s="580"/>
    </row>
    <row r="159" ht="13.8" customHeight="1">
      <c r="A159" s="580"/>
      <c r="B159" s="580"/>
      <c r="C159" s="580"/>
      <c r="D159" s="580"/>
      <c r="E159" s="580"/>
      <c r="F159" s="580"/>
      <c r="G159" s="580"/>
      <c r="H159" s="682"/>
      <c r="I159" s="580"/>
    </row>
    <row r="160" ht="13.8" customHeight="1">
      <c r="A160" s="580"/>
      <c r="B160" s="580"/>
      <c r="C160" s="580"/>
      <c r="D160" s="580"/>
      <c r="E160" s="580"/>
      <c r="F160" s="580"/>
      <c r="G160" s="580"/>
      <c r="H160" s="682"/>
      <c r="I160" s="580"/>
    </row>
    <row r="161" ht="13.8" customHeight="1">
      <c r="A161" s="580"/>
      <c r="B161" s="580"/>
      <c r="C161" s="580"/>
      <c r="D161" s="580"/>
      <c r="E161" s="580"/>
      <c r="F161" s="580"/>
      <c r="G161" s="580"/>
      <c r="H161" s="682"/>
      <c r="I161" s="580"/>
    </row>
    <row r="162" ht="13.8" customHeight="1">
      <c r="A162" s="580"/>
      <c r="B162" s="580"/>
      <c r="C162" s="580"/>
      <c r="D162" s="580"/>
      <c r="E162" s="580"/>
      <c r="F162" s="580"/>
      <c r="G162" s="580"/>
      <c r="H162" s="682"/>
      <c r="I162" s="580"/>
    </row>
    <row r="163" ht="13.8" customHeight="1">
      <c r="A163" s="580"/>
      <c r="B163" s="580"/>
      <c r="C163" s="580"/>
      <c r="D163" s="580"/>
      <c r="E163" s="580"/>
      <c r="F163" s="580"/>
      <c r="G163" s="580"/>
      <c r="H163" s="682"/>
      <c r="I163" s="580"/>
    </row>
    <row r="164" ht="13.8" customHeight="1">
      <c r="A164" s="580"/>
      <c r="B164" s="580"/>
      <c r="C164" s="580"/>
      <c r="D164" s="580"/>
      <c r="E164" s="580"/>
      <c r="F164" s="580"/>
      <c r="G164" s="580"/>
      <c r="H164" s="682"/>
      <c r="I164" s="580"/>
    </row>
    <row r="165" ht="13.8" customHeight="1">
      <c r="A165" s="580"/>
      <c r="B165" s="580"/>
      <c r="C165" s="580"/>
      <c r="D165" s="580"/>
      <c r="E165" s="580"/>
      <c r="F165" s="580"/>
      <c r="G165" s="580"/>
      <c r="H165" s="682"/>
      <c r="I165" s="580"/>
    </row>
    <row r="166" ht="13.8" customHeight="1">
      <c r="A166" s="580"/>
      <c r="B166" s="580"/>
      <c r="C166" s="580"/>
      <c r="D166" s="580"/>
      <c r="E166" s="580"/>
      <c r="F166" s="580"/>
      <c r="G166" s="580"/>
      <c r="H166" s="682"/>
      <c r="I166" s="580"/>
    </row>
    <row r="167" ht="13.8" customHeight="1">
      <c r="A167" s="580"/>
      <c r="B167" s="580"/>
      <c r="C167" s="580"/>
      <c r="D167" s="580"/>
      <c r="E167" s="580"/>
      <c r="F167" s="580"/>
      <c r="G167" s="580"/>
      <c r="H167" s="682"/>
      <c r="I167" s="580"/>
    </row>
    <row r="168" ht="13.8" customHeight="1">
      <c r="A168" s="580"/>
      <c r="B168" s="580"/>
      <c r="C168" s="580"/>
      <c r="D168" s="580"/>
      <c r="E168" s="580"/>
      <c r="F168" s="580"/>
      <c r="G168" s="580"/>
      <c r="H168" s="682"/>
      <c r="I168" s="580"/>
    </row>
    <row r="169" ht="13.8" customHeight="1">
      <c r="A169" s="580"/>
      <c r="B169" s="580"/>
      <c r="C169" s="580"/>
      <c r="D169" s="580"/>
      <c r="E169" s="580"/>
      <c r="F169" s="580"/>
      <c r="G169" s="580"/>
      <c r="H169" s="682"/>
      <c r="I169" s="580"/>
    </row>
    <row r="170" ht="13.8" customHeight="1">
      <c r="A170" s="580"/>
      <c r="B170" s="580"/>
      <c r="C170" s="580"/>
      <c r="D170" s="580"/>
      <c r="E170" s="580"/>
      <c r="F170" s="580"/>
      <c r="G170" s="580"/>
      <c r="H170" s="682"/>
      <c r="I170" s="580"/>
    </row>
    <row r="171" ht="13.8" customHeight="1">
      <c r="A171" s="580"/>
      <c r="B171" s="580"/>
      <c r="C171" s="580"/>
      <c r="D171" s="580"/>
      <c r="E171" s="580"/>
      <c r="F171" s="580"/>
      <c r="G171" s="580"/>
      <c r="H171" s="682"/>
      <c r="I171" s="580"/>
    </row>
    <row r="172" ht="13.8" customHeight="1">
      <c r="A172" s="580"/>
      <c r="B172" s="580"/>
      <c r="C172" s="580"/>
      <c r="D172" s="580"/>
      <c r="E172" s="580"/>
      <c r="F172" s="580"/>
      <c r="G172" s="580"/>
      <c r="H172" s="682"/>
      <c r="I172" s="580"/>
    </row>
    <row r="173" ht="13.8" customHeight="1">
      <c r="A173" s="580"/>
      <c r="B173" s="580"/>
      <c r="C173" s="580"/>
      <c r="D173" s="580"/>
      <c r="E173" s="580"/>
      <c r="F173" s="580"/>
      <c r="G173" s="580"/>
      <c r="H173" s="682"/>
      <c r="I173" s="580"/>
    </row>
    <row r="174" ht="13.8" customHeight="1">
      <c r="A174" s="580"/>
      <c r="B174" s="580"/>
      <c r="C174" s="580"/>
      <c r="D174" s="580"/>
      <c r="E174" s="580"/>
      <c r="F174" s="580"/>
      <c r="G174" s="580"/>
      <c r="H174" s="682"/>
      <c r="I174" s="580"/>
    </row>
    <row r="175" ht="13.8" customHeight="1">
      <c r="A175" s="580"/>
      <c r="B175" s="580"/>
      <c r="C175" s="580"/>
      <c r="D175" s="580"/>
      <c r="E175" s="580"/>
      <c r="F175" s="580"/>
      <c r="G175" s="580"/>
      <c r="H175" s="682"/>
      <c r="I175" s="580"/>
    </row>
    <row r="176" ht="13.8" customHeight="1">
      <c r="A176" s="580"/>
      <c r="B176" s="580"/>
      <c r="C176" s="580"/>
      <c r="D176" s="580"/>
      <c r="E176" s="580"/>
      <c r="F176" s="580"/>
      <c r="G176" s="580"/>
      <c r="H176" s="682"/>
      <c r="I176" s="580"/>
    </row>
    <row r="177" ht="13.8" customHeight="1">
      <c r="A177" s="580"/>
      <c r="B177" s="580"/>
      <c r="C177" s="580"/>
      <c r="D177" s="580"/>
      <c r="E177" s="580"/>
      <c r="F177" s="580"/>
      <c r="G177" s="580"/>
      <c r="H177" s="682"/>
      <c r="I177" s="580"/>
    </row>
    <row r="178" ht="13.8" customHeight="1">
      <c r="A178" s="580"/>
      <c r="B178" s="580"/>
      <c r="C178" s="580"/>
      <c r="D178" s="580"/>
      <c r="E178" s="580"/>
      <c r="F178" s="580"/>
      <c r="G178" s="580"/>
      <c r="H178" s="682"/>
      <c r="I178" s="580"/>
    </row>
    <row r="179" ht="13.8" customHeight="1">
      <c r="A179" s="580"/>
      <c r="B179" s="580"/>
      <c r="C179" s="580"/>
      <c r="D179" s="580"/>
      <c r="E179" s="580"/>
      <c r="F179" s="580"/>
      <c r="G179" s="580"/>
      <c r="H179" s="682"/>
      <c r="I179" s="580"/>
    </row>
    <row r="180" ht="13.8" customHeight="1">
      <c r="A180" s="580"/>
      <c r="B180" s="580"/>
      <c r="C180" s="580"/>
      <c r="D180" s="580"/>
      <c r="E180" s="580"/>
      <c r="F180" s="580"/>
      <c r="G180" s="580"/>
      <c r="H180" s="682"/>
      <c r="I180" s="580"/>
    </row>
    <row r="181" ht="13.8" customHeight="1">
      <c r="A181" s="580"/>
      <c r="B181" s="580"/>
      <c r="C181" s="580"/>
      <c r="D181" s="580"/>
      <c r="E181" s="580"/>
      <c r="F181" s="580"/>
      <c r="G181" s="580"/>
      <c r="H181" s="682"/>
      <c r="I181" s="580"/>
    </row>
    <row r="182" ht="13.8" customHeight="1">
      <c r="A182" s="580"/>
      <c r="B182" s="580"/>
      <c r="C182" s="580"/>
      <c r="D182" s="580"/>
      <c r="E182" s="580"/>
      <c r="F182" s="580"/>
      <c r="G182" s="580"/>
      <c r="H182" s="682"/>
      <c r="I182" s="580"/>
    </row>
    <row r="183" ht="13.8" customHeight="1">
      <c r="A183" s="580"/>
      <c r="B183" s="580"/>
      <c r="C183" s="580"/>
      <c r="D183" s="580"/>
      <c r="E183" s="580"/>
      <c r="F183" s="580"/>
      <c r="G183" s="580"/>
      <c r="H183" s="682"/>
      <c r="I183" s="580"/>
    </row>
    <row r="184" ht="13.8" customHeight="1">
      <c r="A184" s="580"/>
      <c r="B184" s="580"/>
      <c r="C184" s="580"/>
      <c r="D184" s="580"/>
      <c r="E184" s="580"/>
      <c r="F184" s="580"/>
      <c r="G184" s="580"/>
      <c r="H184" s="682"/>
      <c r="I184" s="580"/>
    </row>
    <row r="185" ht="13.8" customHeight="1">
      <c r="A185" s="580"/>
      <c r="B185" s="580"/>
      <c r="C185" s="580"/>
      <c r="D185" s="580"/>
      <c r="E185" s="580"/>
      <c r="F185" s="580"/>
      <c r="G185" s="580"/>
      <c r="H185" s="682"/>
      <c r="I185" s="580"/>
    </row>
    <row r="186" ht="13.8" customHeight="1">
      <c r="A186" s="580"/>
      <c r="B186" s="580"/>
      <c r="C186" s="580"/>
      <c r="D186" s="580"/>
      <c r="E186" s="580"/>
      <c r="F186" s="580"/>
      <c r="G186" s="580"/>
      <c r="H186" s="682"/>
      <c r="I186" s="580"/>
    </row>
    <row r="187" ht="13.8" customHeight="1">
      <c r="A187" s="580"/>
      <c r="B187" s="580"/>
      <c r="C187" s="580"/>
      <c r="D187" s="580"/>
      <c r="E187" s="580"/>
      <c r="F187" s="580"/>
      <c r="G187" s="580"/>
      <c r="H187" s="682"/>
      <c r="I187" s="580"/>
    </row>
    <row r="188" ht="13.8" customHeight="1">
      <c r="A188" s="580"/>
      <c r="B188" s="580"/>
      <c r="C188" s="580"/>
      <c r="D188" s="580"/>
      <c r="E188" s="580"/>
      <c r="F188" s="580"/>
      <c r="G188" s="580"/>
      <c r="H188" s="682"/>
      <c r="I188" s="580"/>
    </row>
    <row r="189" ht="13.8" customHeight="1">
      <c r="A189" s="580"/>
      <c r="B189" s="580"/>
      <c r="C189" s="580"/>
      <c r="D189" s="580"/>
      <c r="E189" s="580"/>
      <c r="F189" s="580"/>
      <c r="G189" s="580"/>
      <c r="H189" s="682"/>
      <c r="I189" s="580"/>
    </row>
    <row r="190" ht="13.8" customHeight="1">
      <c r="A190" s="580"/>
      <c r="B190" s="580"/>
      <c r="C190" s="580"/>
      <c r="D190" s="580"/>
      <c r="E190" s="580"/>
      <c r="F190" s="580"/>
      <c r="G190" s="580"/>
      <c r="H190" s="682"/>
      <c r="I190" s="580"/>
    </row>
    <row r="191" ht="13.8" customHeight="1">
      <c r="A191" s="580"/>
      <c r="B191" s="580"/>
      <c r="C191" s="580"/>
      <c r="D191" s="580"/>
      <c r="E191" s="580"/>
      <c r="F191" s="580"/>
      <c r="G191" s="580"/>
      <c r="H191" s="682"/>
      <c r="I191" s="580"/>
    </row>
    <row r="192" ht="13.8" customHeight="1">
      <c r="A192" s="580"/>
      <c r="B192" s="580"/>
      <c r="C192" s="580"/>
      <c r="D192" s="580"/>
      <c r="E192" s="580"/>
      <c r="F192" s="580"/>
      <c r="G192" s="580"/>
      <c r="H192" s="682"/>
      <c r="I192" s="580"/>
    </row>
    <row r="193" ht="13.8" customHeight="1">
      <c r="A193" s="580"/>
      <c r="B193" s="580"/>
      <c r="C193" s="580"/>
      <c r="D193" s="580"/>
      <c r="E193" s="580"/>
      <c r="F193" s="580"/>
      <c r="G193" s="580"/>
      <c r="H193" s="682"/>
      <c r="I193" s="580"/>
    </row>
    <row r="194" ht="13.8" customHeight="1">
      <c r="A194" s="580"/>
      <c r="B194" s="580"/>
      <c r="C194" s="580"/>
      <c r="D194" s="580"/>
      <c r="E194" s="580"/>
      <c r="F194" s="580"/>
      <c r="G194" s="580"/>
      <c r="H194" s="682"/>
      <c r="I194" s="580"/>
    </row>
    <row r="195" ht="13.8" customHeight="1">
      <c r="A195" s="580"/>
      <c r="B195" s="580"/>
      <c r="C195" s="580"/>
      <c r="D195" s="580"/>
      <c r="E195" s="580"/>
      <c r="F195" s="580"/>
      <c r="G195" s="580"/>
      <c r="H195" s="682"/>
      <c r="I195" s="580"/>
    </row>
    <row r="196" ht="13.8" customHeight="1">
      <c r="A196" s="580"/>
      <c r="B196" s="580"/>
      <c r="C196" s="580"/>
      <c r="D196" s="580"/>
      <c r="E196" s="580"/>
      <c r="F196" s="580"/>
      <c r="G196" s="580"/>
      <c r="H196" s="682"/>
      <c r="I196" s="580"/>
    </row>
    <row r="197" ht="13.8" customHeight="1">
      <c r="A197" s="580"/>
      <c r="B197" s="580"/>
      <c r="C197" s="580"/>
      <c r="D197" s="580"/>
      <c r="E197" s="580"/>
      <c r="F197" s="580"/>
      <c r="G197" s="580"/>
      <c r="H197" s="682"/>
      <c r="I197" s="580"/>
    </row>
    <row r="198" ht="13.8" customHeight="1">
      <c r="A198" s="580"/>
      <c r="B198" s="580"/>
      <c r="C198" s="580"/>
      <c r="D198" s="580"/>
      <c r="E198" s="580"/>
      <c r="F198" s="580"/>
      <c r="G198" s="580"/>
      <c r="H198" s="682"/>
      <c r="I198" s="580"/>
    </row>
    <row r="199" ht="13.8" customHeight="1">
      <c r="A199" s="580"/>
      <c r="B199" s="580"/>
      <c r="C199" s="580"/>
      <c r="D199" s="580"/>
      <c r="E199" s="580"/>
      <c r="F199" s="580"/>
      <c r="G199" s="580"/>
      <c r="H199" s="682"/>
      <c r="I199" s="580"/>
    </row>
    <row r="200" ht="13.8" customHeight="1">
      <c r="A200" s="580"/>
      <c r="B200" s="580"/>
      <c r="C200" s="580"/>
      <c r="D200" s="580"/>
      <c r="E200" s="580"/>
      <c r="F200" s="580"/>
      <c r="G200" s="580"/>
      <c r="H200" s="682"/>
      <c r="I200" s="580"/>
    </row>
    <row r="201" ht="13.8" customHeight="1">
      <c r="A201" s="580"/>
      <c r="B201" s="580"/>
      <c r="C201" s="580"/>
      <c r="D201" s="580"/>
      <c r="E201" s="580"/>
      <c r="F201" s="580"/>
      <c r="G201" s="580"/>
      <c r="H201" s="682"/>
      <c r="I201" s="580"/>
    </row>
    <row r="202" ht="13.8" customHeight="1">
      <c r="A202" s="580"/>
      <c r="B202" s="580"/>
      <c r="C202" s="580"/>
      <c r="D202" s="580"/>
      <c r="E202" s="580"/>
      <c r="F202" s="580"/>
      <c r="G202" s="580"/>
      <c r="H202" s="682"/>
      <c r="I202" s="580"/>
    </row>
    <row r="203" ht="13.8" customHeight="1">
      <c r="A203" s="580"/>
      <c r="B203" s="580"/>
      <c r="C203" s="580"/>
      <c r="D203" s="580"/>
      <c r="E203" s="580"/>
      <c r="F203" s="580"/>
      <c r="G203" s="580"/>
      <c r="H203" s="682"/>
      <c r="I203" s="580"/>
    </row>
    <row r="204" ht="13.8" customHeight="1">
      <c r="A204" s="580"/>
      <c r="B204" s="580"/>
      <c r="C204" s="580"/>
      <c r="D204" s="580"/>
      <c r="E204" s="580"/>
      <c r="F204" s="580"/>
      <c r="G204" s="580"/>
      <c r="H204" s="682"/>
      <c r="I204" s="580"/>
    </row>
    <row r="205" ht="13.8" customHeight="1">
      <c r="A205" s="580"/>
      <c r="B205" s="580"/>
      <c r="C205" s="580"/>
      <c r="D205" s="580"/>
      <c r="E205" s="580"/>
      <c r="F205" s="580"/>
      <c r="G205" s="580"/>
      <c r="H205" s="682"/>
      <c r="I205" s="580"/>
    </row>
    <row r="206" ht="13.8" customHeight="1">
      <c r="A206" s="580"/>
      <c r="B206" s="580"/>
      <c r="C206" s="580"/>
      <c r="D206" s="580"/>
      <c r="E206" s="580"/>
      <c r="F206" s="580"/>
      <c r="G206" s="580"/>
      <c r="H206" s="682"/>
      <c r="I206" s="580"/>
    </row>
    <row r="207" ht="13.8" customHeight="1">
      <c r="A207" s="580"/>
      <c r="B207" s="580"/>
      <c r="C207" s="580"/>
      <c r="D207" s="580"/>
      <c r="E207" s="580"/>
      <c r="F207" s="580"/>
      <c r="G207" s="580"/>
      <c r="H207" s="682"/>
      <c r="I207" s="580"/>
    </row>
    <row r="208" ht="13.8" customHeight="1">
      <c r="A208" s="580"/>
      <c r="B208" s="580"/>
      <c r="C208" s="580"/>
      <c r="D208" s="580"/>
      <c r="E208" s="580"/>
      <c r="F208" s="580"/>
      <c r="G208" s="580"/>
      <c r="H208" s="682"/>
      <c r="I208" s="580"/>
    </row>
    <row r="209" ht="13.8" customHeight="1">
      <c r="A209" s="580"/>
      <c r="B209" s="580"/>
      <c r="C209" s="580"/>
      <c r="D209" s="580"/>
      <c r="E209" s="580"/>
      <c r="F209" s="580"/>
      <c r="G209" s="580"/>
      <c r="H209" s="682"/>
      <c r="I209" s="580"/>
    </row>
    <row r="210" ht="13.8" customHeight="1">
      <c r="A210" s="580"/>
      <c r="B210" s="580"/>
      <c r="C210" s="580"/>
      <c r="D210" s="580"/>
      <c r="E210" s="580"/>
      <c r="F210" s="580"/>
      <c r="G210" s="580"/>
      <c r="H210" s="682"/>
      <c r="I210" s="580"/>
    </row>
    <row r="211" ht="13.8" customHeight="1">
      <c r="A211" s="580"/>
      <c r="B211" s="580"/>
      <c r="C211" s="580"/>
      <c r="D211" s="580"/>
      <c r="E211" s="580"/>
      <c r="F211" s="580"/>
      <c r="G211" s="580"/>
      <c r="H211" s="682"/>
      <c r="I211" s="580"/>
    </row>
    <row r="212" ht="13.8" customHeight="1">
      <c r="A212" s="580"/>
      <c r="B212" s="580"/>
      <c r="C212" s="580"/>
      <c r="D212" s="580"/>
      <c r="E212" s="580"/>
      <c r="F212" s="580"/>
      <c r="G212" s="580"/>
      <c r="H212" s="682"/>
      <c r="I212" s="580"/>
    </row>
    <row r="213" ht="13.8" customHeight="1">
      <c r="A213" s="580"/>
      <c r="B213" s="580"/>
      <c r="C213" s="580"/>
      <c r="D213" s="580"/>
      <c r="E213" s="580"/>
      <c r="F213" s="580"/>
      <c r="G213" s="580"/>
      <c r="H213" s="682"/>
      <c r="I213" s="580"/>
    </row>
    <row r="214" ht="13.8" customHeight="1">
      <c r="A214" s="580"/>
      <c r="B214" s="580"/>
      <c r="C214" s="580"/>
      <c r="D214" s="580"/>
      <c r="E214" s="580"/>
      <c r="F214" s="580"/>
      <c r="G214" s="580"/>
      <c r="H214" s="682"/>
      <c r="I214" s="580"/>
    </row>
    <row r="215" ht="13.8" customHeight="1">
      <c r="A215" s="580"/>
      <c r="B215" s="580"/>
      <c r="C215" s="580"/>
      <c r="D215" s="580"/>
      <c r="E215" s="580"/>
      <c r="F215" s="580"/>
      <c r="G215" s="580"/>
      <c r="H215" s="682"/>
      <c r="I215" s="580"/>
    </row>
    <row r="216" ht="13.8" customHeight="1">
      <c r="A216" s="580"/>
      <c r="B216" s="580"/>
      <c r="C216" s="580"/>
      <c r="D216" s="580"/>
      <c r="E216" s="580"/>
      <c r="F216" s="580"/>
      <c r="G216" s="580"/>
      <c r="H216" s="682"/>
      <c r="I216" s="580"/>
    </row>
    <row r="217" ht="13.8" customHeight="1">
      <c r="A217" s="580"/>
      <c r="B217" s="580"/>
      <c r="C217" s="580"/>
      <c r="D217" s="580"/>
      <c r="E217" s="580"/>
      <c r="F217" s="580"/>
      <c r="G217" s="580"/>
      <c r="H217" s="682"/>
      <c r="I217" s="580"/>
    </row>
    <row r="218" ht="13.8" customHeight="1">
      <c r="A218" s="580"/>
      <c r="B218" s="580"/>
      <c r="C218" s="580"/>
      <c r="D218" s="580"/>
      <c r="E218" s="580"/>
      <c r="F218" s="580"/>
      <c r="G218" s="580"/>
      <c r="H218" s="682"/>
      <c r="I218" s="580"/>
    </row>
    <row r="219" ht="13.8" customHeight="1">
      <c r="A219" s="580"/>
      <c r="B219" s="580"/>
      <c r="C219" s="580"/>
      <c r="D219" s="580"/>
      <c r="E219" s="580"/>
      <c r="F219" s="580"/>
      <c r="G219" s="580"/>
      <c r="H219" s="682"/>
      <c r="I219" s="580"/>
    </row>
    <row r="220" ht="13.8" customHeight="1">
      <c r="A220" s="580"/>
      <c r="B220" s="580"/>
      <c r="C220" s="580"/>
      <c r="D220" s="580"/>
      <c r="E220" s="580"/>
      <c r="F220" s="580"/>
      <c r="G220" s="580"/>
      <c r="H220" s="682"/>
      <c r="I220" s="580"/>
    </row>
    <row r="221" ht="13.8" customHeight="1">
      <c r="A221" s="580"/>
      <c r="B221" s="580"/>
      <c r="C221" s="580"/>
      <c r="D221" s="580"/>
      <c r="E221" s="580"/>
      <c r="F221" s="580"/>
      <c r="G221" s="580"/>
      <c r="H221" s="682"/>
      <c r="I221" s="580"/>
    </row>
    <row r="222" ht="13.8" customHeight="1">
      <c r="A222" s="580"/>
      <c r="B222" s="580"/>
      <c r="C222" s="580"/>
      <c r="D222" s="580"/>
      <c r="E222" s="580"/>
      <c r="F222" s="580"/>
      <c r="G222" s="580"/>
      <c r="H222" s="682"/>
      <c r="I222" s="580"/>
    </row>
    <row r="223" ht="13.8" customHeight="1">
      <c r="A223" s="580"/>
      <c r="B223" s="580"/>
      <c r="C223" s="580"/>
      <c r="D223" s="580"/>
      <c r="E223" s="580"/>
      <c r="F223" s="580"/>
      <c r="G223" s="580"/>
      <c r="H223" s="682"/>
      <c r="I223" s="580"/>
    </row>
    <row r="224" ht="13.8" customHeight="1">
      <c r="A224" s="580"/>
      <c r="B224" s="580"/>
      <c r="C224" s="580"/>
      <c r="D224" s="580"/>
      <c r="E224" s="580"/>
      <c r="F224" s="580"/>
      <c r="G224" s="580"/>
      <c r="H224" s="682"/>
      <c r="I224" s="580"/>
    </row>
    <row r="225" ht="13.8" customHeight="1">
      <c r="A225" s="580"/>
      <c r="B225" s="580"/>
      <c r="C225" s="580"/>
      <c r="D225" s="580"/>
      <c r="E225" s="580"/>
      <c r="F225" s="580"/>
      <c r="G225" s="580"/>
      <c r="H225" s="682"/>
      <c r="I225" s="580"/>
    </row>
    <row r="226" ht="13.8" customHeight="1">
      <c r="A226" s="580"/>
      <c r="B226" s="580"/>
      <c r="C226" s="580"/>
      <c r="D226" s="580"/>
      <c r="E226" s="580"/>
      <c r="F226" s="580"/>
      <c r="G226" s="580"/>
      <c r="H226" s="682"/>
      <c r="I226" s="580"/>
    </row>
    <row r="227" ht="13.8" customHeight="1">
      <c r="A227" s="580"/>
      <c r="B227" s="580"/>
      <c r="C227" s="580"/>
      <c r="D227" s="580"/>
      <c r="E227" s="580"/>
      <c r="F227" s="580"/>
      <c r="G227" s="580"/>
      <c r="H227" s="682"/>
      <c r="I227" s="580"/>
    </row>
    <row r="228" ht="13.8" customHeight="1">
      <c r="A228" s="580"/>
      <c r="B228" s="580"/>
      <c r="C228" s="580"/>
      <c r="D228" s="580"/>
      <c r="E228" s="580"/>
      <c r="F228" s="580"/>
      <c r="G228" s="580"/>
      <c r="H228" s="682"/>
      <c r="I228" s="580"/>
    </row>
    <row r="229" ht="13.8" customHeight="1">
      <c r="A229" s="580"/>
      <c r="B229" s="580"/>
      <c r="C229" s="580"/>
      <c r="D229" s="580"/>
      <c r="E229" s="580"/>
      <c r="F229" s="580"/>
      <c r="G229" s="580"/>
      <c r="H229" s="682"/>
      <c r="I229" s="580"/>
    </row>
    <row r="230" ht="13.8" customHeight="1">
      <c r="A230" s="580"/>
      <c r="B230" s="580"/>
      <c r="C230" s="580"/>
      <c r="D230" s="580"/>
      <c r="E230" s="580"/>
      <c r="F230" s="580"/>
      <c r="G230" s="580"/>
      <c r="H230" s="682"/>
      <c r="I230" s="580"/>
    </row>
    <row r="231" ht="13.8" customHeight="1">
      <c r="A231" s="580"/>
      <c r="B231" s="580"/>
      <c r="C231" s="580"/>
      <c r="D231" s="580"/>
      <c r="E231" s="580"/>
      <c r="F231" s="580"/>
      <c r="G231" s="580"/>
      <c r="H231" s="682"/>
      <c r="I231" s="580"/>
    </row>
    <row r="232" ht="13.8" customHeight="1">
      <c r="A232" s="580"/>
      <c r="B232" s="580"/>
      <c r="C232" s="580"/>
      <c r="D232" s="580"/>
      <c r="E232" s="580"/>
      <c r="F232" s="580"/>
      <c r="G232" s="580"/>
      <c r="H232" s="682"/>
      <c r="I232" s="580"/>
    </row>
    <row r="233" ht="13.8" customHeight="1">
      <c r="A233" s="580"/>
      <c r="B233" s="580"/>
      <c r="C233" s="580"/>
      <c r="D233" s="580"/>
      <c r="E233" s="580"/>
      <c r="F233" s="580"/>
      <c r="G233" s="580"/>
      <c r="H233" s="682"/>
      <c r="I233" s="580"/>
    </row>
    <row r="234" ht="13.8" customHeight="1">
      <c r="A234" s="580"/>
      <c r="B234" s="580"/>
      <c r="C234" s="580"/>
      <c r="D234" s="580"/>
      <c r="E234" s="580"/>
      <c r="F234" s="580"/>
      <c r="G234" s="580"/>
      <c r="H234" s="682"/>
      <c r="I234" s="580"/>
    </row>
    <row r="235" ht="13.8" customHeight="1">
      <c r="A235" s="580"/>
      <c r="B235" s="580"/>
      <c r="C235" s="580"/>
      <c r="D235" s="580"/>
      <c r="E235" s="580"/>
      <c r="F235" s="580"/>
      <c r="G235" s="580"/>
      <c r="H235" s="682"/>
      <c r="I235" s="580"/>
    </row>
    <row r="236" ht="13.8" customHeight="1">
      <c r="A236" s="580"/>
      <c r="B236" s="580"/>
      <c r="C236" s="580"/>
      <c r="D236" s="580"/>
      <c r="E236" s="580"/>
      <c r="F236" s="580"/>
      <c r="G236" s="580"/>
      <c r="H236" s="682"/>
      <c r="I236" s="580"/>
    </row>
    <row r="237" ht="13.8" customHeight="1">
      <c r="A237" s="580"/>
      <c r="B237" s="580"/>
      <c r="C237" s="580"/>
      <c r="D237" s="580"/>
      <c r="E237" s="580"/>
      <c r="F237" s="580"/>
      <c r="G237" s="580"/>
      <c r="H237" s="682"/>
      <c r="I237" s="580"/>
    </row>
    <row r="238" ht="13.8" customHeight="1">
      <c r="A238" s="580"/>
      <c r="B238" s="580"/>
      <c r="C238" s="580"/>
      <c r="D238" s="580"/>
      <c r="E238" s="580"/>
      <c r="F238" s="580"/>
      <c r="G238" s="580"/>
      <c r="H238" s="682"/>
      <c r="I238" s="580"/>
    </row>
    <row r="239" ht="13.8" customHeight="1">
      <c r="A239" s="580"/>
      <c r="B239" s="580"/>
      <c r="C239" s="580"/>
      <c r="D239" s="580"/>
      <c r="E239" s="580"/>
      <c r="F239" s="580"/>
      <c r="G239" s="580"/>
      <c r="H239" s="682"/>
      <c r="I239" s="580"/>
    </row>
    <row r="240" ht="13.8" customHeight="1">
      <c r="A240" s="580"/>
      <c r="B240" s="580"/>
      <c r="C240" s="580"/>
      <c r="D240" s="580"/>
      <c r="E240" s="580"/>
      <c r="F240" s="580"/>
      <c r="G240" s="580"/>
      <c r="H240" s="682"/>
      <c r="I240" s="580"/>
    </row>
    <row r="241" ht="13.8" customHeight="1">
      <c r="A241" s="580"/>
      <c r="B241" s="580"/>
      <c r="C241" s="580"/>
      <c r="D241" s="580"/>
      <c r="E241" s="580"/>
      <c r="F241" s="580"/>
      <c r="G241" s="580"/>
      <c r="H241" s="682"/>
      <c r="I241" s="580"/>
    </row>
    <row r="242" ht="13.8" customHeight="1">
      <c r="A242" s="580"/>
      <c r="B242" s="580"/>
      <c r="C242" s="580"/>
      <c r="D242" s="580"/>
      <c r="E242" s="580"/>
      <c r="F242" s="580"/>
      <c r="G242" s="580"/>
      <c r="H242" s="682"/>
      <c r="I242" s="580"/>
    </row>
    <row r="243" ht="13.8" customHeight="1">
      <c r="A243" s="580"/>
      <c r="B243" s="580"/>
      <c r="C243" s="580"/>
      <c r="D243" s="580"/>
      <c r="E243" s="580"/>
      <c r="F243" s="580"/>
      <c r="G243" s="580"/>
      <c r="H243" s="682"/>
      <c r="I243" s="580"/>
    </row>
    <row r="244" ht="13.8" customHeight="1">
      <c r="A244" s="580"/>
      <c r="B244" s="580"/>
      <c r="C244" s="580"/>
      <c r="D244" s="580"/>
      <c r="E244" s="580"/>
      <c r="F244" s="580"/>
      <c r="G244" s="580"/>
      <c r="H244" s="682"/>
      <c r="I244" s="580"/>
    </row>
    <row r="245" ht="13.8" customHeight="1">
      <c r="A245" s="580"/>
      <c r="B245" s="580"/>
      <c r="C245" s="580"/>
      <c r="D245" s="580"/>
      <c r="E245" s="580"/>
      <c r="F245" s="580"/>
      <c r="G245" s="580"/>
      <c r="H245" s="682"/>
      <c r="I245" s="580"/>
    </row>
    <row r="246" ht="13.8" customHeight="1">
      <c r="A246" s="580"/>
      <c r="B246" s="580"/>
      <c r="C246" s="580"/>
      <c r="D246" s="580"/>
      <c r="E246" s="580"/>
      <c r="F246" s="580"/>
      <c r="G246" s="580"/>
      <c r="H246" s="682"/>
      <c r="I246" s="580"/>
    </row>
    <row r="247" ht="13.8" customHeight="1">
      <c r="A247" s="580"/>
      <c r="B247" s="580"/>
      <c r="C247" s="580"/>
      <c r="D247" s="580"/>
      <c r="E247" s="580"/>
      <c r="F247" s="580"/>
      <c r="G247" s="580"/>
      <c r="H247" s="682"/>
      <c r="I247" s="580"/>
    </row>
    <row r="248" ht="13.8" customHeight="1">
      <c r="A248" s="580"/>
      <c r="B248" s="580"/>
      <c r="C248" s="580"/>
      <c r="D248" s="580"/>
      <c r="E248" s="580"/>
      <c r="F248" s="580"/>
      <c r="G248" s="580"/>
      <c r="H248" s="682"/>
      <c r="I248" s="580"/>
    </row>
    <row r="249" ht="13.8" customHeight="1">
      <c r="A249" s="580"/>
      <c r="B249" s="580"/>
      <c r="C249" s="580"/>
      <c r="D249" s="580"/>
      <c r="E249" s="580"/>
      <c r="F249" s="580"/>
      <c r="G249" s="580"/>
      <c r="H249" s="682"/>
      <c r="I249" s="580"/>
    </row>
    <row r="250" ht="13.8" customHeight="1">
      <c r="A250" s="580"/>
      <c r="B250" s="580"/>
      <c r="C250" s="580"/>
      <c r="D250" s="580"/>
      <c r="E250" s="580"/>
      <c r="F250" s="580"/>
      <c r="G250" s="580"/>
      <c r="H250" s="682"/>
      <c r="I250" s="580"/>
    </row>
    <row r="251" ht="13.8" customHeight="1">
      <c r="A251" s="580"/>
      <c r="B251" s="580"/>
      <c r="C251" s="580"/>
      <c r="D251" s="580"/>
      <c r="E251" s="580"/>
      <c r="F251" s="580"/>
      <c r="G251" s="580"/>
      <c r="H251" s="682"/>
      <c r="I251" s="580"/>
    </row>
    <row r="252" ht="13.8" customHeight="1">
      <c r="A252" s="580"/>
      <c r="B252" s="580"/>
      <c r="C252" s="580"/>
      <c r="D252" s="580"/>
      <c r="E252" s="580"/>
      <c r="F252" s="580"/>
      <c r="G252" s="580"/>
      <c r="H252" s="682"/>
      <c r="I252" s="580"/>
    </row>
    <row r="253" ht="13.8" customHeight="1">
      <c r="A253" s="580"/>
      <c r="B253" s="580"/>
      <c r="C253" s="580"/>
      <c r="D253" s="580"/>
      <c r="E253" s="580"/>
      <c r="F253" s="580"/>
      <c r="G253" s="580"/>
      <c r="H253" s="682"/>
      <c r="I253" s="580"/>
    </row>
    <row r="254" ht="13.8" customHeight="1">
      <c r="A254" s="580"/>
      <c r="B254" s="580"/>
      <c r="C254" s="580"/>
      <c r="D254" s="580"/>
      <c r="E254" s="580"/>
      <c r="F254" s="580"/>
      <c r="G254" s="580"/>
      <c r="H254" s="682"/>
      <c r="I254" s="580"/>
    </row>
    <row r="255" ht="13.8" customHeight="1">
      <c r="A255" s="580"/>
      <c r="B255" s="580"/>
      <c r="C255" s="580"/>
      <c r="D255" s="580"/>
      <c r="E255" s="580"/>
      <c r="F255" s="580"/>
      <c r="G255" s="580"/>
      <c r="H255" s="682"/>
      <c r="I255" s="580"/>
    </row>
    <row r="256" ht="13.8" customHeight="1">
      <c r="A256" s="580"/>
      <c r="B256" s="580"/>
      <c r="C256" s="580"/>
      <c r="D256" s="580"/>
      <c r="E256" s="580"/>
      <c r="F256" s="580"/>
      <c r="G256" s="580"/>
      <c r="H256" s="682"/>
      <c r="I256" s="580"/>
    </row>
    <row r="257" ht="13.8" customHeight="1">
      <c r="A257" s="580"/>
      <c r="B257" s="580"/>
      <c r="C257" s="580"/>
      <c r="D257" s="580"/>
      <c r="E257" s="580"/>
      <c r="F257" s="580"/>
      <c r="G257" s="580"/>
      <c r="H257" s="682"/>
      <c r="I257" s="580"/>
    </row>
    <row r="258" ht="13.8" customHeight="1">
      <c r="A258" s="580"/>
      <c r="B258" s="580"/>
      <c r="C258" s="580"/>
      <c r="D258" s="580"/>
      <c r="E258" s="580"/>
      <c r="F258" s="580"/>
      <c r="G258" s="580"/>
      <c r="H258" s="682"/>
      <c r="I258" s="580"/>
    </row>
    <row r="259" ht="13.8" customHeight="1">
      <c r="A259" s="580"/>
      <c r="B259" s="580"/>
      <c r="C259" s="580"/>
      <c r="D259" s="580"/>
      <c r="E259" s="580"/>
      <c r="F259" s="580"/>
      <c r="G259" s="580"/>
      <c r="H259" s="682"/>
      <c r="I259" s="580"/>
    </row>
    <row r="260" ht="13.8" customHeight="1">
      <c r="A260" s="580"/>
      <c r="B260" s="580"/>
      <c r="C260" s="580"/>
      <c r="D260" s="580"/>
      <c r="E260" s="580"/>
      <c r="F260" s="580"/>
      <c r="G260" s="580"/>
      <c r="H260" s="682"/>
      <c r="I260" s="580"/>
    </row>
    <row r="261" ht="13.8" customHeight="1">
      <c r="A261" s="580"/>
      <c r="B261" s="580"/>
      <c r="C261" s="580"/>
      <c r="D261" s="580"/>
      <c r="E261" s="580"/>
      <c r="F261" s="580"/>
      <c r="G261" s="580"/>
      <c r="H261" s="682"/>
      <c r="I261" s="580"/>
    </row>
    <row r="262" ht="13.8" customHeight="1">
      <c r="A262" s="580"/>
      <c r="B262" s="580"/>
      <c r="C262" s="580"/>
      <c r="D262" s="580"/>
      <c r="E262" s="580"/>
      <c r="F262" s="580"/>
      <c r="G262" s="580"/>
      <c r="H262" s="682"/>
      <c r="I262" s="580"/>
    </row>
    <row r="263" ht="13.8" customHeight="1">
      <c r="A263" s="580"/>
      <c r="B263" s="580"/>
      <c r="C263" s="580"/>
      <c r="D263" s="580"/>
      <c r="E263" s="580"/>
      <c r="F263" s="580"/>
      <c r="G263" s="580"/>
      <c r="H263" s="682"/>
      <c r="I263" s="580"/>
    </row>
    <row r="264" ht="13.8" customHeight="1">
      <c r="A264" s="580"/>
      <c r="B264" s="580"/>
      <c r="C264" s="580"/>
      <c r="D264" s="580"/>
      <c r="E264" s="580"/>
      <c r="F264" s="580"/>
      <c r="G264" s="580"/>
      <c r="H264" s="682"/>
      <c r="I264" s="580"/>
    </row>
    <row r="265" ht="13.8" customHeight="1">
      <c r="A265" s="580"/>
      <c r="B265" s="580"/>
      <c r="C265" s="580"/>
      <c r="D265" s="580"/>
      <c r="E265" s="580"/>
      <c r="F265" s="580"/>
      <c r="G265" s="580"/>
      <c r="H265" s="682"/>
      <c r="I265" s="580"/>
    </row>
    <row r="266" ht="13.8" customHeight="1">
      <c r="A266" s="580"/>
      <c r="B266" s="580"/>
      <c r="C266" s="580"/>
      <c r="D266" s="580"/>
      <c r="E266" s="580"/>
      <c r="F266" s="580"/>
      <c r="G266" s="580"/>
      <c r="H266" s="682"/>
      <c r="I266" s="580"/>
    </row>
    <row r="267" ht="13.8" customHeight="1">
      <c r="A267" s="580"/>
      <c r="B267" s="580"/>
      <c r="C267" s="580"/>
      <c r="D267" s="580"/>
      <c r="E267" s="580"/>
      <c r="F267" s="580"/>
      <c r="G267" s="580"/>
      <c r="H267" s="682"/>
      <c r="I267" s="580"/>
    </row>
    <row r="268" ht="13.8" customHeight="1">
      <c r="A268" s="580"/>
      <c r="B268" s="580"/>
      <c r="C268" s="580"/>
      <c r="D268" s="580"/>
      <c r="E268" s="580"/>
      <c r="F268" s="580"/>
      <c r="G268" s="580"/>
      <c r="H268" s="682"/>
      <c r="I268" s="580"/>
    </row>
    <row r="269" ht="13.8" customHeight="1">
      <c r="A269" s="580"/>
      <c r="B269" s="580"/>
      <c r="C269" s="580"/>
      <c r="D269" s="580"/>
      <c r="E269" s="580"/>
      <c r="F269" s="580"/>
      <c r="G269" s="580"/>
      <c r="H269" s="682"/>
      <c r="I269" s="580"/>
    </row>
    <row r="270" ht="13.8" customHeight="1">
      <c r="A270" s="580"/>
      <c r="B270" s="580"/>
      <c r="C270" s="580"/>
      <c r="D270" s="580"/>
      <c r="E270" s="580"/>
      <c r="F270" s="580"/>
      <c r="G270" s="580"/>
      <c r="H270" s="682"/>
      <c r="I270" s="580"/>
    </row>
    <row r="271" ht="13.8" customHeight="1">
      <c r="A271" s="580"/>
      <c r="B271" s="580"/>
      <c r="C271" s="580"/>
      <c r="D271" s="580"/>
      <c r="E271" s="580"/>
      <c r="F271" s="580"/>
      <c r="G271" s="580"/>
      <c r="H271" s="682"/>
      <c r="I271" s="580"/>
    </row>
    <row r="272" ht="13.8" customHeight="1">
      <c r="A272" s="580"/>
      <c r="B272" s="580"/>
      <c r="C272" s="580"/>
      <c r="D272" s="580"/>
      <c r="E272" s="580"/>
      <c r="F272" s="580"/>
      <c r="G272" s="580"/>
      <c r="H272" s="682"/>
      <c r="I272" s="580"/>
    </row>
    <row r="273" ht="13.8" customHeight="1">
      <c r="A273" s="580"/>
      <c r="B273" s="580"/>
      <c r="C273" s="580"/>
      <c r="D273" s="580"/>
      <c r="E273" s="580"/>
      <c r="F273" s="580"/>
      <c r="G273" s="580"/>
      <c r="H273" s="682"/>
      <c r="I273" s="580"/>
    </row>
    <row r="274" ht="13.8" customHeight="1">
      <c r="A274" s="580"/>
      <c r="B274" s="580"/>
      <c r="C274" s="580"/>
      <c r="D274" s="580"/>
      <c r="E274" s="580"/>
      <c r="F274" s="580"/>
      <c r="G274" s="580"/>
      <c r="H274" s="682"/>
      <c r="I274" s="580"/>
    </row>
    <row r="275" ht="13.8" customHeight="1">
      <c r="A275" s="580"/>
      <c r="B275" s="580"/>
      <c r="C275" s="580"/>
      <c r="D275" s="580"/>
      <c r="E275" s="580"/>
      <c r="F275" s="580"/>
      <c r="G275" s="580"/>
      <c r="H275" s="682"/>
      <c r="I275" s="580"/>
    </row>
    <row r="276" ht="13.8" customHeight="1">
      <c r="A276" s="580"/>
      <c r="B276" s="580"/>
      <c r="C276" s="580"/>
      <c r="D276" s="580"/>
      <c r="E276" s="580"/>
      <c r="F276" s="580"/>
      <c r="G276" s="580"/>
      <c r="H276" s="682"/>
      <c r="I276" s="580"/>
    </row>
    <row r="277" ht="13.8" customHeight="1">
      <c r="A277" s="580"/>
      <c r="B277" s="580"/>
      <c r="C277" s="580"/>
      <c r="D277" s="580"/>
      <c r="E277" s="580"/>
      <c r="F277" s="580"/>
      <c r="G277" s="580"/>
      <c r="H277" s="682"/>
      <c r="I277" s="580"/>
    </row>
    <row r="278" ht="13.8" customHeight="1">
      <c r="A278" s="580"/>
      <c r="B278" s="580"/>
      <c r="C278" s="580"/>
      <c r="D278" s="580"/>
      <c r="E278" s="580"/>
      <c r="F278" s="580"/>
      <c r="G278" s="580"/>
      <c r="H278" s="682"/>
      <c r="I278" s="580"/>
    </row>
    <row r="279" ht="13.8" customHeight="1">
      <c r="A279" s="580"/>
      <c r="B279" s="580"/>
      <c r="C279" s="580"/>
      <c r="D279" s="580"/>
      <c r="E279" s="580"/>
      <c r="F279" s="580"/>
      <c r="G279" s="580"/>
      <c r="H279" s="682"/>
      <c r="I279" s="580"/>
    </row>
    <row r="280" ht="13.8" customHeight="1">
      <c r="A280" s="580"/>
      <c r="B280" s="580"/>
      <c r="C280" s="580"/>
      <c r="D280" s="580"/>
      <c r="E280" s="580"/>
      <c r="F280" s="580"/>
      <c r="G280" s="580"/>
      <c r="H280" s="682"/>
      <c r="I280" s="580"/>
    </row>
    <row r="281" ht="13.8" customHeight="1">
      <c r="A281" s="580"/>
      <c r="B281" s="580"/>
      <c r="C281" s="580"/>
      <c r="D281" s="580"/>
      <c r="E281" s="580"/>
      <c r="F281" s="580"/>
      <c r="G281" s="580"/>
      <c r="H281" s="682"/>
      <c r="I281" s="580"/>
    </row>
    <row r="282" ht="13.8" customHeight="1">
      <c r="A282" s="580"/>
      <c r="B282" s="580"/>
      <c r="C282" s="580"/>
      <c r="D282" s="580"/>
      <c r="E282" s="580"/>
      <c r="F282" s="580"/>
      <c r="G282" s="580"/>
      <c r="H282" s="682"/>
      <c r="I282" s="580"/>
    </row>
    <row r="283" ht="13.8" customHeight="1">
      <c r="A283" s="580"/>
      <c r="B283" s="580"/>
      <c r="C283" s="580"/>
      <c r="D283" s="580"/>
      <c r="E283" s="580"/>
      <c r="F283" s="580"/>
      <c r="G283" s="580"/>
      <c r="H283" s="682"/>
      <c r="I283" s="580"/>
    </row>
    <row r="284" ht="13.8" customHeight="1">
      <c r="A284" s="580"/>
      <c r="B284" s="580"/>
      <c r="C284" s="580"/>
      <c r="D284" s="580"/>
      <c r="E284" s="580"/>
      <c r="F284" s="580"/>
      <c r="G284" s="580"/>
      <c r="H284" s="682"/>
      <c r="I284" s="580"/>
    </row>
    <row r="285" ht="13.8" customHeight="1">
      <c r="A285" s="580"/>
      <c r="B285" s="580"/>
      <c r="C285" s="580"/>
      <c r="D285" s="580"/>
      <c r="E285" s="580"/>
      <c r="F285" s="580"/>
      <c r="G285" s="580"/>
      <c r="H285" s="682"/>
      <c r="I285" s="580"/>
    </row>
    <row r="286" ht="13.8" customHeight="1">
      <c r="A286" s="580"/>
      <c r="B286" s="580"/>
      <c r="C286" s="580"/>
      <c r="D286" s="580"/>
      <c r="E286" s="580"/>
      <c r="F286" s="580"/>
      <c r="G286" s="580"/>
      <c r="H286" s="682"/>
      <c r="I286" s="580"/>
    </row>
    <row r="287" ht="13.8" customHeight="1">
      <c r="A287" s="580"/>
      <c r="B287" s="580"/>
      <c r="C287" s="580"/>
      <c r="D287" s="580"/>
      <c r="E287" s="580"/>
      <c r="F287" s="580"/>
      <c r="G287" s="580"/>
      <c r="H287" s="682"/>
      <c r="I287" s="580"/>
    </row>
    <row r="288" ht="13.8" customHeight="1">
      <c r="A288" s="580"/>
      <c r="B288" s="580"/>
      <c r="C288" s="580"/>
      <c r="D288" s="580"/>
      <c r="E288" s="580"/>
      <c r="F288" s="580"/>
      <c r="G288" s="580"/>
      <c r="H288" s="682"/>
      <c r="I288" s="580"/>
    </row>
    <row r="289" ht="13.8" customHeight="1">
      <c r="A289" s="580"/>
      <c r="B289" s="580"/>
      <c r="C289" s="580"/>
      <c r="D289" s="580"/>
      <c r="E289" s="580"/>
      <c r="F289" s="580"/>
      <c r="G289" s="580"/>
      <c r="H289" s="682"/>
      <c r="I289" s="580"/>
    </row>
    <row r="290" ht="13.8" customHeight="1">
      <c r="A290" s="580"/>
      <c r="B290" s="580"/>
      <c r="C290" s="580"/>
      <c r="D290" s="580"/>
      <c r="E290" s="580"/>
      <c r="F290" s="580"/>
      <c r="G290" s="580"/>
      <c r="H290" s="682"/>
      <c r="I290" s="580"/>
    </row>
    <row r="291" ht="13.8" customHeight="1">
      <c r="A291" s="580"/>
      <c r="B291" s="580"/>
      <c r="C291" s="580"/>
      <c r="D291" s="580"/>
      <c r="E291" s="580"/>
      <c r="F291" s="580"/>
      <c r="G291" s="580"/>
      <c r="H291" s="682"/>
      <c r="I291" s="580"/>
    </row>
    <row r="292" ht="13.8" customHeight="1">
      <c r="A292" s="580"/>
      <c r="B292" s="580"/>
      <c r="C292" s="580"/>
      <c r="D292" s="580"/>
      <c r="E292" s="580"/>
      <c r="F292" s="580"/>
      <c r="G292" s="580"/>
      <c r="H292" s="682"/>
      <c r="I292" s="580"/>
    </row>
    <row r="293" ht="13.8" customHeight="1">
      <c r="A293" s="580"/>
      <c r="B293" s="580"/>
      <c r="C293" s="580"/>
      <c r="D293" s="580"/>
      <c r="E293" s="580"/>
      <c r="F293" s="580"/>
      <c r="G293" s="580"/>
      <c r="H293" s="682"/>
      <c r="I293" s="580"/>
    </row>
    <row r="294" ht="13.8" customHeight="1">
      <c r="A294" s="580"/>
      <c r="B294" s="580"/>
      <c r="C294" s="580"/>
      <c r="D294" s="580"/>
      <c r="E294" s="580"/>
      <c r="F294" s="580"/>
      <c r="G294" s="580"/>
      <c r="H294" s="682"/>
      <c r="I294" s="580"/>
    </row>
    <row r="295" ht="13.8" customHeight="1">
      <c r="A295" s="580"/>
      <c r="B295" s="580"/>
      <c r="C295" s="580"/>
      <c r="D295" s="580"/>
      <c r="E295" s="580"/>
      <c r="F295" s="580"/>
      <c r="G295" s="580"/>
      <c r="H295" s="682"/>
      <c r="I295" s="580"/>
    </row>
    <row r="296" ht="13.8" customHeight="1">
      <c r="A296" s="580"/>
      <c r="B296" s="580"/>
      <c r="C296" s="580"/>
      <c r="D296" s="580"/>
      <c r="E296" s="580"/>
      <c r="F296" s="580"/>
      <c r="G296" s="580"/>
      <c r="H296" s="682"/>
      <c r="I296" s="580"/>
    </row>
    <row r="297" ht="13.8" customHeight="1">
      <c r="A297" s="580"/>
      <c r="B297" s="580"/>
      <c r="C297" s="580"/>
      <c r="D297" s="580"/>
      <c r="E297" s="580"/>
      <c r="F297" s="580"/>
      <c r="G297" s="580"/>
      <c r="H297" s="682"/>
      <c r="I297" s="580"/>
    </row>
    <row r="298" ht="13.8" customHeight="1">
      <c r="A298" s="580"/>
      <c r="B298" s="580"/>
      <c r="C298" s="580"/>
      <c r="D298" s="580"/>
      <c r="E298" s="580"/>
      <c r="F298" s="580"/>
      <c r="G298" s="580"/>
      <c r="H298" s="682"/>
      <c r="I298" s="580"/>
    </row>
    <row r="299" ht="13.8" customHeight="1">
      <c r="A299" s="580"/>
      <c r="B299" s="580"/>
      <c r="C299" s="580"/>
      <c r="D299" s="580"/>
      <c r="E299" s="580"/>
      <c r="F299" s="580"/>
      <c r="G299" s="580"/>
      <c r="H299" s="682"/>
      <c r="I299" s="580"/>
    </row>
    <row r="300" ht="13.8" customHeight="1">
      <c r="A300" s="580"/>
      <c r="B300" s="580"/>
      <c r="C300" s="580"/>
      <c r="D300" s="580"/>
      <c r="E300" s="580"/>
      <c r="F300" s="580"/>
      <c r="G300" s="580"/>
      <c r="H300" s="682"/>
      <c r="I300" s="580"/>
    </row>
    <row r="301" ht="13.8" customHeight="1">
      <c r="A301" s="580"/>
      <c r="B301" s="580"/>
      <c r="C301" s="580"/>
      <c r="D301" s="580"/>
      <c r="E301" s="580"/>
      <c r="F301" s="580"/>
      <c r="G301" s="580"/>
      <c r="H301" s="682"/>
      <c r="I301" s="580"/>
    </row>
    <row r="302" ht="13.8" customHeight="1">
      <c r="A302" s="580"/>
      <c r="B302" s="580"/>
      <c r="C302" s="580"/>
      <c r="D302" s="580"/>
      <c r="E302" s="580"/>
      <c r="F302" s="580"/>
      <c r="G302" s="580"/>
      <c r="H302" s="682"/>
      <c r="I302" s="580"/>
    </row>
    <row r="303" ht="13.8" customHeight="1">
      <c r="A303" s="580"/>
      <c r="B303" s="580"/>
      <c r="C303" s="580"/>
      <c r="D303" s="580"/>
      <c r="E303" s="580"/>
      <c r="F303" s="580"/>
      <c r="G303" s="580"/>
      <c r="H303" s="682"/>
      <c r="I303" s="580"/>
    </row>
    <row r="304" ht="13.8" customHeight="1">
      <c r="A304" s="580"/>
      <c r="B304" s="580"/>
      <c r="C304" s="580"/>
      <c r="D304" s="580"/>
      <c r="E304" s="580"/>
      <c r="F304" s="580"/>
      <c r="G304" s="580"/>
      <c r="H304" s="682"/>
      <c r="I304" s="580"/>
    </row>
    <row r="305" ht="13.8" customHeight="1">
      <c r="A305" s="580"/>
      <c r="B305" s="580"/>
      <c r="C305" s="580"/>
      <c r="D305" s="580"/>
      <c r="E305" s="580"/>
      <c r="F305" s="580"/>
      <c r="G305" s="580"/>
      <c r="H305" s="682"/>
      <c r="I305" s="580"/>
    </row>
    <row r="306" ht="13.8" customHeight="1">
      <c r="A306" s="580"/>
      <c r="B306" s="580"/>
      <c r="C306" s="580"/>
      <c r="D306" s="580"/>
      <c r="E306" s="580"/>
      <c r="F306" s="580"/>
      <c r="G306" s="580"/>
      <c r="H306" s="682"/>
      <c r="I306" s="580"/>
    </row>
    <row r="307" ht="13.8" customHeight="1">
      <c r="A307" s="580"/>
      <c r="B307" s="580"/>
      <c r="C307" s="580"/>
      <c r="D307" s="580"/>
      <c r="E307" s="580"/>
      <c r="F307" s="580"/>
      <c r="G307" s="580"/>
      <c r="H307" s="682"/>
      <c r="I307" s="580"/>
    </row>
    <row r="308" ht="13.8" customHeight="1">
      <c r="A308" s="580"/>
      <c r="B308" s="580"/>
      <c r="C308" s="580"/>
      <c r="D308" s="580"/>
      <c r="E308" s="580"/>
      <c r="F308" s="580"/>
      <c r="G308" s="580"/>
      <c r="H308" s="682"/>
      <c r="I308" s="580"/>
    </row>
    <row r="309" ht="13.8" customHeight="1">
      <c r="A309" s="580"/>
      <c r="B309" s="580"/>
      <c r="C309" s="580"/>
      <c r="D309" s="580"/>
      <c r="E309" s="580"/>
      <c r="F309" s="580"/>
      <c r="G309" s="580"/>
      <c r="H309" s="682"/>
      <c r="I309" s="580"/>
    </row>
    <row r="310" ht="13.8" customHeight="1">
      <c r="A310" s="580"/>
      <c r="B310" s="580"/>
      <c r="C310" s="580"/>
      <c r="D310" s="580"/>
      <c r="E310" s="580"/>
      <c r="F310" s="580"/>
      <c r="G310" s="580"/>
      <c r="H310" s="682"/>
      <c r="I310" s="580"/>
    </row>
    <row r="311" ht="13.8" customHeight="1">
      <c r="A311" s="580"/>
      <c r="B311" s="580"/>
      <c r="C311" s="580"/>
      <c r="D311" s="580"/>
      <c r="E311" s="580"/>
      <c r="F311" s="580"/>
      <c r="G311" s="580"/>
      <c r="H311" s="682"/>
      <c r="I311" s="580"/>
    </row>
    <row r="312" ht="13.8" customHeight="1">
      <c r="A312" s="580"/>
      <c r="B312" s="580"/>
      <c r="C312" s="580"/>
      <c r="D312" s="580"/>
      <c r="E312" s="580"/>
      <c r="F312" s="580"/>
      <c r="G312" s="580"/>
      <c r="H312" s="682"/>
      <c r="I312" s="580"/>
    </row>
    <row r="313" ht="13.8" customHeight="1">
      <c r="A313" s="580"/>
      <c r="B313" s="580"/>
      <c r="C313" s="580"/>
      <c r="D313" s="580"/>
      <c r="E313" s="580"/>
      <c r="F313" s="580"/>
      <c r="G313" s="580"/>
      <c r="H313" s="682"/>
      <c r="I313" s="580"/>
    </row>
    <row r="314" ht="13.8" customHeight="1">
      <c r="A314" s="580"/>
      <c r="B314" s="580"/>
      <c r="C314" s="580"/>
      <c r="D314" s="580"/>
      <c r="E314" s="580"/>
      <c r="F314" s="580"/>
      <c r="G314" s="580"/>
      <c r="H314" s="682"/>
      <c r="I314" s="580"/>
    </row>
    <row r="315" ht="13.8" customHeight="1">
      <c r="A315" s="580"/>
      <c r="B315" s="580"/>
      <c r="C315" s="580"/>
      <c r="D315" s="580"/>
      <c r="E315" s="580"/>
      <c r="F315" s="580"/>
      <c r="G315" s="580"/>
      <c r="H315" s="682"/>
      <c r="I315" s="580"/>
    </row>
    <row r="316" ht="13.8" customHeight="1">
      <c r="A316" s="580"/>
      <c r="B316" s="580"/>
      <c r="C316" s="580"/>
      <c r="D316" s="580"/>
      <c r="E316" s="580"/>
      <c r="F316" s="580"/>
      <c r="G316" s="580"/>
      <c r="H316" s="682"/>
      <c r="I316" s="580"/>
    </row>
    <row r="317" ht="13.8" customHeight="1">
      <c r="A317" s="580"/>
      <c r="B317" s="580"/>
      <c r="C317" s="580"/>
      <c r="D317" s="580"/>
      <c r="E317" s="580"/>
      <c r="F317" s="580"/>
      <c r="G317" s="580"/>
      <c r="H317" s="682"/>
      <c r="I317" s="580"/>
    </row>
    <row r="318" ht="13.8" customHeight="1">
      <c r="A318" s="580"/>
      <c r="B318" s="580"/>
      <c r="C318" s="580"/>
      <c r="D318" s="580"/>
      <c r="E318" s="580"/>
      <c r="F318" s="580"/>
      <c r="G318" s="580"/>
      <c r="H318" s="682"/>
      <c r="I318" s="580"/>
    </row>
    <row r="319" ht="13.8" customHeight="1">
      <c r="A319" s="580"/>
      <c r="B319" s="580"/>
      <c r="C319" s="580"/>
      <c r="D319" s="580"/>
      <c r="E319" s="580"/>
      <c r="F319" s="580"/>
      <c r="G319" s="580"/>
      <c r="H319" s="682"/>
      <c r="I319" s="580"/>
    </row>
    <row r="320" ht="13.8" customHeight="1">
      <c r="A320" s="580"/>
      <c r="B320" s="580"/>
      <c r="C320" s="580"/>
      <c r="D320" s="580"/>
      <c r="E320" s="580"/>
      <c r="F320" s="580"/>
      <c r="G320" s="580"/>
      <c r="H320" s="682"/>
      <c r="I320" s="580"/>
    </row>
    <row r="321" ht="13.8" customHeight="1">
      <c r="A321" s="580"/>
      <c r="B321" s="580"/>
      <c r="C321" s="580"/>
      <c r="D321" s="580"/>
      <c r="E321" s="580"/>
      <c r="F321" s="580"/>
      <c r="G321" s="580"/>
      <c r="H321" s="682"/>
      <c r="I321" s="580"/>
    </row>
    <row r="322" ht="13.8" customHeight="1">
      <c r="A322" s="580"/>
      <c r="B322" s="580"/>
      <c r="C322" s="580"/>
      <c r="D322" s="580"/>
      <c r="E322" s="580"/>
      <c r="F322" s="580"/>
      <c r="G322" s="580"/>
      <c r="H322" s="682"/>
      <c r="I322" s="580"/>
    </row>
    <row r="323" ht="13.8" customHeight="1">
      <c r="A323" s="580"/>
      <c r="B323" s="580"/>
      <c r="C323" s="580"/>
      <c r="D323" s="580"/>
      <c r="E323" s="580"/>
      <c r="F323" s="580"/>
      <c r="G323" s="580"/>
      <c r="H323" s="682"/>
      <c r="I323" s="580"/>
    </row>
    <row r="324" ht="13.8" customHeight="1">
      <c r="A324" s="580"/>
      <c r="B324" s="580"/>
      <c r="C324" s="580"/>
      <c r="D324" s="580"/>
      <c r="E324" s="580"/>
      <c r="F324" s="580"/>
      <c r="G324" s="580"/>
      <c r="H324" s="682"/>
      <c r="I324" s="580"/>
    </row>
    <row r="325" ht="13.8" customHeight="1">
      <c r="A325" s="580"/>
      <c r="B325" s="580"/>
      <c r="C325" s="580"/>
      <c r="D325" s="580"/>
      <c r="E325" s="580"/>
      <c r="F325" s="580"/>
      <c r="G325" s="580"/>
      <c r="H325" s="682"/>
      <c r="I325" s="580"/>
    </row>
    <row r="326" ht="13.8" customHeight="1">
      <c r="A326" s="580"/>
      <c r="B326" s="580"/>
      <c r="C326" s="580"/>
      <c r="D326" s="580"/>
      <c r="E326" s="580"/>
      <c r="F326" s="580"/>
      <c r="G326" s="580"/>
      <c r="H326" s="682"/>
      <c r="I326" s="580"/>
    </row>
    <row r="327" ht="13.8" customHeight="1">
      <c r="A327" s="580"/>
      <c r="B327" s="580"/>
      <c r="C327" s="580"/>
      <c r="D327" s="580"/>
      <c r="E327" s="580"/>
      <c r="F327" s="580"/>
      <c r="G327" s="580"/>
      <c r="H327" s="682"/>
      <c r="I327" s="580"/>
    </row>
    <row r="328" ht="13.8" customHeight="1">
      <c r="A328" s="580"/>
      <c r="B328" s="580"/>
      <c r="C328" s="580"/>
      <c r="D328" s="580"/>
      <c r="E328" s="580"/>
      <c r="F328" s="580"/>
      <c r="G328" s="580"/>
      <c r="H328" s="682"/>
      <c r="I328" s="580"/>
    </row>
    <row r="329" ht="13.8" customHeight="1">
      <c r="A329" s="580"/>
      <c r="B329" s="580"/>
      <c r="C329" s="580"/>
      <c r="D329" s="580"/>
      <c r="E329" s="580"/>
      <c r="F329" s="580"/>
      <c r="G329" s="580"/>
      <c r="H329" s="682"/>
      <c r="I329" s="580"/>
    </row>
    <row r="330" ht="13.8" customHeight="1">
      <c r="A330" s="580"/>
      <c r="B330" s="580"/>
      <c r="C330" s="580"/>
      <c r="D330" s="580"/>
      <c r="E330" s="580"/>
      <c r="F330" s="580"/>
      <c r="G330" s="580"/>
      <c r="H330" s="682"/>
      <c r="I330" s="580"/>
    </row>
    <row r="331" ht="13.8" customHeight="1">
      <c r="A331" s="580"/>
      <c r="B331" s="580"/>
      <c r="C331" s="580"/>
      <c r="D331" s="580"/>
      <c r="E331" s="580"/>
      <c r="F331" s="580"/>
      <c r="G331" s="580"/>
      <c r="H331" s="682"/>
      <c r="I331" s="580"/>
    </row>
    <row r="332" ht="13.8" customHeight="1">
      <c r="A332" s="580"/>
      <c r="B332" s="580"/>
      <c r="C332" s="580"/>
      <c r="D332" s="580"/>
      <c r="E332" s="580"/>
      <c r="F332" s="580"/>
      <c r="G332" s="580"/>
      <c r="H332" s="682"/>
      <c r="I332" s="580"/>
    </row>
    <row r="333" ht="13.8" customHeight="1">
      <c r="A333" s="580"/>
      <c r="B333" s="580"/>
      <c r="C333" s="580"/>
      <c r="D333" s="580"/>
      <c r="E333" s="580"/>
      <c r="F333" s="580"/>
      <c r="G333" s="580"/>
      <c r="H333" s="682"/>
      <c r="I333" s="580"/>
    </row>
    <row r="334" ht="13.8" customHeight="1">
      <c r="A334" s="580"/>
      <c r="B334" s="580"/>
      <c r="C334" s="580"/>
      <c r="D334" s="580"/>
      <c r="E334" s="580"/>
      <c r="F334" s="580"/>
      <c r="G334" s="580"/>
      <c r="H334" s="682"/>
      <c r="I334" s="580"/>
    </row>
    <row r="335" ht="13.8" customHeight="1">
      <c r="A335" s="580"/>
      <c r="B335" s="580"/>
      <c r="C335" s="580"/>
      <c r="D335" s="580"/>
      <c r="E335" s="580"/>
      <c r="F335" s="580"/>
      <c r="G335" s="580"/>
      <c r="H335" s="682"/>
      <c r="I335" s="580"/>
    </row>
    <row r="336" ht="13.8" customHeight="1">
      <c r="A336" s="580"/>
      <c r="B336" s="580"/>
      <c r="C336" s="580"/>
      <c r="D336" s="580"/>
      <c r="E336" s="580"/>
      <c r="F336" s="580"/>
      <c r="G336" s="580"/>
      <c r="H336" s="682"/>
      <c r="I336" s="580"/>
    </row>
    <row r="337" ht="13.8" customHeight="1">
      <c r="A337" s="580"/>
      <c r="B337" s="580"/>
      <c r="C337" s="580"/>
      <c r="D337" s="580"/>
      <c r="E337" s="580"/>
      <c r="F337" s="580"/>
      <c r="G337" s="580"/>
      <c r="H337" s="682"/>
      <c r="I337" s="580"/>
    </row>
    <row r="338" ht="13.8" customHeight="1">
      <c r="A338" s="580"/>
      <c r="B338" s="580"/>
      <c r="C338" s="580"/>
      <c r="D338" s="580"/>
      <c r="E338" s="580"/>
      <c r="F338" s="580"/>
      <c r="G338" s="580"/>
      <c r="H338" s="682"/>
      <c r="I338" s="580"/>
    </row>
    <row r="339" ht="13.8" customHeight="1">
      <c r="A339" s="580"/>
      <c r="B339" s="580"/>
      <c r="C339" s="580"/>
      <c r="D339" s="580"/>
      <c r="E339" s="580"/>
      <c r="F339" s="580"/>
      <c r="G339" s="580"/>
      <c r="H339" s="682"/>
      <c r="I339" s="580"/>
    </row>
    <row r="340" ht="13.8" customHeight="1">
      <c r="A340" s="580"/>
      <c r="B340" s="580"/>
      <c r="C340" s="580"/>
      <c r="D340" s="580"/>
      <c r="E340" s="580"/>
      <c r="F340" s="580"/>
      <c r="G340" s="580"/>
      <c r="H340" s="682"/>
      <c r="I340" s="580"/>
    </row>
    <row r="341" ht="13.8" customHeight="1">
      <c r="A341" s="580"/>
      <c r="B341" s="580"/>
      <c r="C341" s="580"/>
      <c r="D341" s="580"/>
      <c r="E341" s="580"/>
      <c r="F341" s="580"/>
      <c r="G341" s="580"/>
      <c r="H341" s="682"/>
      <c r="I341" s="580"/>
    </row>
    <row r="342" ht="13.8" customHeight="1">
      <c r="A342" s="580"/>
      <c r="B342" s="580"/>
      <c r="C342" s="580"/>
      <c r="D342" s="580"/>
      <c r="E342" s="580"/>
      <c r="F342" s="580"/>
      <c r="G342" s="580"/>
      <c r="H342" s="682"/>
      <c r="I342" s="580"/>
    </row>
    <row r="343" ht="13.8" customHeight="1">
      <c r="A343" s="580"/>
      <c r="B343" s="580"/>
      <c r="C343" s="580"/>
      <c r="D343" s="580"/>
      <c r="E343" s="580"/>
      <c r="F343" s="580"/>
      <c r="G343" s="580"/>
      <c r="H343" s="682"/>
      <c r="I343" s="580"/>
    </row>
    <row r="344" ht="13.8" customHeight="1">
      <c r="A344" s="580"/>
      <c r="B344" s="580"/>
      <c r="C344" s="580"/>
      <c r="D344" s="580"/>
      <c r="E344" s="580"/>
      <c r="F344" s="580"/>
      <c r="G344" s="580"/>
      <c r="H344" s="682"/>
      <c r="I344" s="580"/>
    </row>
    <row r="345" ht="13.8" customHeight="1">
      <c r="A345" s="580"/>
      <c r="B345" s="580"/>
      <c r="C345" s="580"/>
      <c r="D345" s="580"/>
      <c r="E345" s="580"/>
      <c r="F345" s="580"/>
      <c r="G345" s="580"/>
      <c r="H345" s="682"/>
      <c r="I345" s="580"/>
    </row>
    <row r="346" ht="13.8" customHeight="1">
      <c r="A346" s="580"/>
      <c r="B346" s="580"/>
      <c r="C346" s="580"/>
      <c r="D346" s="580"/>
      <c r="E346" s="580"/>
      <c r="F346" s="580"/>
      <c r="G346" s="580"/>
      <c r="H346" s="682"/>
      <c r="I346" s="580"/>
    </row>
    <row r="347" ht="13.8" customHeight="1">
      <c r="A347" s="580"/>
      <c r="B347" s="580"/>
      <c r="C347" s="580"/>
      <c r="D347" s="580"/>
      <c r="E347" s="580"/>
      <c r="F347" s="580"/>
      <c r="G347" s="580"/>
      <c r="H347" s="682"/>
      <c r="I347" s="580"/>
    </row>
    <row r="348" ht="13.8" customHeight="1">
      <c r="A348" s="580"/>
      <c r="B348" s="580"/>
      <c r="C348" s="580"/>
      <c r="D348" s="580"/>
      <c r="E348" s="580"/>
      <c r="F348" s="580"/>
      <c r="G348" s="580"/>
      <c r="H348" s="682"/>
      <c r="I348" s="580"/>
    </row>
    <row r="349" ht="13.8" customHeight="1">
      <c r="A349" s="580"/>
      <c r="B349" s="580"/>
      <c r="C349" s="580"/>
      <c r="D349" s="580"/>
      <c r="E349" s="580"/>
      <c r="F349" s="580"/>
      <c r="G349" s="580"/>
      <c r="H349" s="682"/>
      <c r="I349" s="580"/>
    </row>
    <row r="350" ht="13.8" customHeight="1">
      <c r="A350" s="580"/>
      <c r="B350" s="580"/>
      <c r="C350" s="580"/>
      <c r="D350" s="580"/>
      <c r="E350" s="580"/>
      <c r="F350" s="580"/>
      <c r="G350" s="580"/>
      <c r="H350" s="682"/>
      <c r="I350" s="580"/>
    </row>
    <row r="351" ht="13.8" customHeight="1">
      <c r="A351" s="580"/>
      <c r="B351" s="580"/>
      <c r="C351" s="580"/>
      <c r="D351" s="580"/>
      <c r="E351" s="580"/>
      <c r="F351" s="580"/>
      <c r="G351" s="580"/>
      <c r="H351" s="682"/>
      <c r="I351" s="580"/>
    </row>
    <row r="352" ht="13.8" customHeight="1">
      <c r="A352" s="580"/>
      <c r="B352" s="580"/>
      <c r="C352" s="580"/>
      <c r="D352" s="580"/>
      <c r="E352" s="580"/>
      <c r="F352" s="580"/>
      <c r="G352" s="580"/>
      <c r="H352" s="682"/>
      <c r="I352" s="580"/>
    </row>
    <row r="353" ht="13.8" customHeight="1">
      <c r="A353" s="580"/>
      <c r="B353" s="580"/>
      <c r="C353" s="580"/>
      <c r="D353" s="580"/>
      <c r="E353" s="580"/>
      <c r="F353" s="580"/>
      <c r="G353" s="580"/>
      <c r="H353" s="682"/>
      <c r="I353" s="580"/>
    </row>
    <row r="354" ht="13.8" customHeight="1">
      <c r="A354" s="580"/>
      <c r="B354" s="580"/>
      <c r="C354" s="580"/>
      <c r="D354" s="580"/>
      <c r="E354" s="580"/>
      <c r="F354" s="580"/>
      <c r="G354" s="580"/>
      <c r="H354" s="682"/>
      <c r="I354" s="580"/>
    </row>
    <row r="355" ht="13.8" customHeight="1">
      <c r="A355" s="580"/>
      <c r="B355" s="580"/>
      <c r="C355" s="580"/>
      <c r="D355" s="580"/>
      <c r="E355" s="580"/>
      <c r="F355" s="580"/>
      <c r="G355" s="580"/>
      <c r="H355" s="682"/>
      <c r="I355" s="580"/>
    </row>
    <row r="356" ht="13.8" customHeight="1">
      <c r="A356" s="580"/>
      <c r="B356" s="580"/>
      <c r="C356" s="580"/>
      <c r="D356" s="580"/>
      <c r="E356" s="580"/>
      <c r="F356" s="580"/>
      <c r="G356" s="580"/>
      <c r="H356" s="682"/>
      <c r="I356" s="580"/>
    </row>
    <row r="357" ht="13.8" customHeight="1">
      <c r="A357" s="580"/>
      <c r="B357" s="580"/>
      <c r="C357" s="580"/>
      <c r="D357" s="580"/>
      <c r="E357" s="580"/>
      <c r="F357" s="580"/>
      <c r="G357" s="580"/>
      <c r="H357" s="682"/>
      <c r="I357" s="580"/>
    </row>
    <row r="358" ht="13.8" customHeight="1">
      <c r="A358" s="580"/>
      <c r="B358" s="580"/>
      <c r="C358" s="580"/>
      <c r="D358" s="580"/>
      <c r="E358" s="580"/>
      <c r="F358" s="580"/>
      <c r="G358" s="580"/>
      <c r="H358" s="682"/>
      <c r="I358" s="580"/>
    </row>
    <row r="359" ht="13.8" customHeight="1">
      <c r="A359" s="580"/>
      <c r="B359" s="580"/>
      <c r="C359" s="580"/>
      <c r="D359" s="580"/>
      <c r="E359" s="580"/>
      <c r="F359" s="580"/>
      <c r="G359" s="580"/>
      <c r="H359" s="682"/>
      <c r="I359" s="580"/>
    </row>
    <row r="360" ht="13.8" customHeight="1">
      <c r="A360" s="580"/>
      <c r="B360" s="580"/>
      <c r="C360" s="580"/>
      <c r="D360" s="580"/>
      <c r="E360" s="580"/>
      <c r="F360" s="580"/>
      <c r="G360" s="580"/>
      <c r="H360" s="682"/>
      <c r="I360" s="580"/>
    </row>
    <row r="361" ht="13.8" customHeight="1">
      <c r="A361" s="580"/>
      <c r="B361" s="580"/>
      <c r="C361" s="580"/>
      <c r="D361" s="580"/>
      <c r="E361" s="580"/>
      <c r="F361" s="580"/>
      <c r="G361" s="580"/>
      <c r="H361" s="682"/>
      <c r="I361" s="580"/>
    </row>
    <row r="362" ht="13.8" customHeight="1">
      <c r="A362" s="580"/>
      <c r="B362" s="580"/>
      <c r="C362" s="580"/>
      <c r="D362" s="580"/>
      <c r="E362" s="580"/>
      <c r="F362" s="580"/>
      <c r="G362" s="580"/>
      <c r="H362" s="682"/>
      <c r="I362" s="580"/>
    </row>
    <row r="363" ht="13.8" customHeight="1">
      <c r="A363" s="580"/>
      <c r="B363" s="580"/>
      <c r="C363" s="580"/>
      <c r="D363" s="580"/>
      <c r="E363" s="580"/>
      <c r="F363" s="580"/>
      <c r="G363" s="580"/>
      <c r="H363" s="682"/>
      <c r="I363" s="580"/>
    </row>
    <row r="364" ht="13.8" customHeight="1">
      <c r="A364" s="580"/>
      <c r="B364" s="580"/>
      <c r="C364" s="580"/>
      <c r="D364" s="580"/>
      <c r="E364" s="580"/>
      <c r="F364" s="580"/>
      <c r="G364" s="580"/>
      <c r="H364" s="682"/>
      <c r="I364" s="580"/>
    </row>
    <row r="365" ht="13.8" customHeight="1">
      <c r="A365" s="580"/>
      <c r="B365" s="580"/>
      <c r="C365" s="580"/>
      <c r="D365" s="580"/>
      <c r="E365" s="580"/>
      <c r="F365" s="580"/>
      <c r="G365" s="580"/>
      <c r="H365" s="682"/>
      <c r="I365" s="580"/>
    </row>
    <row r="366" ht="13.8" customHeight="1">
      <c r="A366" s="580"/>
      <c r="B366" s="580"/>
      <c r="C366" s="580"/>
      <c r="D366" s="580"/>
      <c r="E366" s="580"/>
      <c r="F366" s="580"/>
      <c r="G366" s="580"/>
      <c r="H366" s="682"/>
      <c r="I366" s="580"/>
    </row>
    <row r="367" ht="13.8" customHeight="1">
      <c r="A367" s="580"/>
      <c r="B367" s="580"/>
      <c r="C367" s="580"/>
      <c r="D367" s="580"/>
      <c r="E367" s="580"/>
      <c r="F367" s="580"/>
      <c r="G367" s="580"/>
      <c r="H367" s="682"/>
      <c r="I367" s="580"/>
    </row>
    <row r="368" ht="13.8" customHeight="1">
      <c r="A368" s="580"/>
      <c r="B368" s="580"/>
      <c r="C368" s="580"/>
      <c r="D368" s="580"/>
      <c r="E368" s="580"/>
      <c r="F368" s="580"/>
      <c r="G368" s="580"/>
      <c r="H368" s="682"/>
      <c r="I368" s="580"/>
    </row>
    <row r="369" ht="13.8" customHeight="1">
      <c r="A369" s="580"/>
      <c r="B369" s="580"/>
      <c r="C369" s="580"/>
      <c r="D369" s="580"/>
      <c r="E369" s="580"/>
      <c r="F369" s="580"/>
      <c r="G369" s="580"/>
      <c r="H369" s="682"/>
      <c r="I369" s="580"/>
    </row>
    <row r="370" ht="13.8" customHeight="1">
      <c r="A370" s="580"/>
      <c r="B370" s="580"/>
      <c r="C370" s="580"/>
      <c r="D370" s="580"/>
      <c r="E370" s="580"/>
      <c r="F370" s="580"/>
      <c r="G370" s="580"/>
      <c r="H370" s="682"/>
      <c r="I370" s="580"/>
    </row>
    <row r="371" ht="13.8" customHeight="1">
      <c r="A371" s="580"/>
      <c r="B371" s="580"/>
      <c r="C371" s="580"/>
      <c r="D371" s="580"/>
      <c r="E371" s="580"/>
      <c r="F371" s="580"/>
      <c r="G371" s="580"/>
      <c r="H371" s="682"/>
      <c r="I371" s="580"/>
    </row>
    <row r="372" ht="13.8" customHeight="1">
      <c r="A372" s="580"/>
      <c r="B372" s="580"/>
      <c r="C372" s="580"/>
      <c r="D372" s="580"/>
      <c r="E372" s="580"/>
      <c r="F372" s="580"/>
      <c r="G372" s="580"/>
      <c r="H372" s="682"/>
      <c r="I372" s="580"/>
    </row>
    <row r="373" ht="13.8" customHeight="1">
      <c r="A373" s="580"/>
      <c r="B373" s="580"/>
      <c r="C373" s="580"/>
      <c r="D373" s="580"/>
      <c r="E373" s="580"/>
      <c r="F373" s="580"/>
      <c r="G373" s="580"/>
      <c r="H373" s="682"/>
      <c r="I373" s="580"/>
    </row>
    <row r="374" ht="13.8" customHeight="1">
      <c r="A374" s="580"/>
      <c r="B374" s="580"/>
      <c r="C374" s="580"/>
      <c r="D374" s="580"/>
      <c r="E374" s="580"/>
      <c r="F374" s="580"/>
      <c r="G374" s="580"/>
      <c r="H374" s="682"/>
      <c r="I374" s="580"/>
    </row>
    <row r="375" ht="13.8" customHeight="1">
      <c r="A375" s="580"/>
      <c r="B375" s="580"/>
      <c r="C375" s="580"/>
      <c r="D375" s="580"/>
      <c r="E375" s="580"/>
      <c r="F375" s="580"/>
      <c r="G375" s="580"/>
      <c r="H375" s="682"/>
      <c r="I375" s="580"/>
    </row>
    <row r="376" ht="13.8" customHeight="1">
      <c r="A376" s="580"/>
      <c r="B376" s="580"/>
      <c r="C376" s="580"/>
      <c r="D376" s="580"/>
      <c r="E376" s="580"/>
      <c r="F376" s="580"/>
      <c r="G376" s="580"/>
      <c r="H376" s="682"/>
      <c r="I376" s="580"/>
    </row>
    <row r="377" ht="13.8" customHeight="1">
      <c r="A377" s="580"/>
      <c r="B377" s="580"/>
      <c r="C377" s="580"/>
      <c r="D377" s="580"/>
      <c r="E377" s="580"/>
      <c r="F377" s="580"/>
      <c r="G377" s="580"/>
      <c r="H377" s="682"/>
      <c r="I377" s="580"/>
    </row>
    <row r="378" ht="13.8" customHeight="1">
      <c r="A378" s="580"/>
      <c r="B378" s="580"/>
      <c r="C378" s="580"/>
      <c r="D378" s="580"/>
      <c r="E378" s="580"/>
      <c r="F378" s="580"/>
      <c r="G378" s="580"/>
      <c r="H378" s="682"/>
      <c r="I378" s="580"/>
    </row>
    <row r="379" ht="13.8" customHeight="1">
      <c r="A379" s="580"/>
      <c r="B379" s="580"/>
      <c r="C379" s="580"/>
      <c r="D379" s="580"/>
      <c r="E379" s="580"/>
      <c r="F379" s="580"/>
      <c r="G379" s="580"/>
      <c r="H379" s="682"/>
      <c r="I379" s="580"/>
    </row>
    <row r="380" ht="13.8" customHeight="1">
      <c r="A380" s="580"/>
      <c r="B380" s="580"/>
      <c r="C380" s="580"/>
      <c r="D380" s="580"/>
      <c r="E380" s="580"/>
      <c r="F380" s="580"/>
      <c r="G380" s="580"/>
      <c r="H380" s="682"/>
      <c r="I380" s="580"/>
    </row>
    <row r="381" ht="13.8" customHeight="1">
      <c r="A381" s="580"/>
      <c r="B381" s="580"/>
      <c r="C381" s="580"/>
      <c r="D381" s="580"/>
      <c r="E381" s="580"/>
      <c r="F381" s="580"/>
      <c r="G381" s="580"/>
      <c r="H381" s="682"/>
      <c r="I381" s="580"/>
    </row>
    <row r="382" ht="13.8" customHeight="1">
      <c r="A382" s="580"/>
      <c r="B382" s="580"/>
      <c r="C382" s="580"/>
      <c r="D382" s="580"/>
      <c r="E382" s="580"/>
      <c r="F382" s="580"/>
      <c r="G382" s="580"/>
      <c r="H382" s="682"/>
      <c r="I382" s="580"/>
    </row>
    <row r="383" ht="13.8" customHeight="1">
      <c r="A383" s="580"/>
      <c r="B383" s="580"/>
      <c r="C383" s="580"/>
      <c r="D383" s="580"/>
      <c r="E383" s="580"/>
      <c r="F383" s="580"/>
      <c r="G383" s="580"/>
      <c r="H383" s="682"/>
      <c r="I383" s="580"/>
    </row>
    <row r="384" ht="13.8" customHeight="1">
      <c r="A384" s="580"/>
      <c r="B384" s="580"/>
      <c r="C384" s="580"/>
      <c r="D384" s="580"/>
      <c r="E384" s="580"/>
      <c r="F384" s="580"/>
      <c r="G384" s="580"/>
      <c r="H384" s="682"/>
      <c r="I384" s="580"/>
    </row>
    <row r="385" ht="13.8" customHeight="1">
      <c r="A385" s="580"/>
      <c r="B385" s="580"/>
      <c r="C385" s="580"/>
      <c r="D385" s="580"/>
      <c r="E385" s="580"/>
      <c r="F385" s="580"/>
      <c r="G385" s="580"/>
      <c r="H385" s="682"/>
      <c r="I385" s="580"/>
    </row>
    <row r="386" ht="13.8" customHeight="1">
      <c r="A386" s="580"/>
      <c r="B386" s="580"/>
      <c r="C386" s="580"/>
      <c r="D386" s="580"/>
      <c r="E386" s="580"/>
      <c r="F386" s="580"/>
      <c r="G386" s="580"/>
      <c r="H386" s="682"/>
      <c r="I386" s="580"/>
    </row>
    <row r="387" ht="13.8" customHeight="1">
      <c r="A387" s="580"/>
      <c r="B387" s="580"/>
      <c r="C387" s="580"/>
      <c r="D387" s="580"/>
      <c r="E387" s="580"/>
      <c r="F387" s="580"/>
      <c r="G387" s="580"/>
      <c r="H387" s="682"/>
      <c r="I387" s="580"/>
    </row>
    <row r="388" ht="13.8" customHeight="1">
      <c r="A388" s="580"/>
      <c r="B388" s="580"/>
      <c r="C388" s="580"/>
      <c r="D388" s="580"/>
      <c r="E388" s="580"/>
      <c r="F388" s="580"/>
      <c r="G388" s="580"/>
      <c r="H388" s="682"/>
      <c r="I388" s="580"/>
    </row>
    <row r="389" ht="13.8" customHeight="1">
      <c r="A389" s="580"/>
      <c r="B389" s="580"/>
      <c r="C389" s="580"/>
      <c r="D389" s="580"/>
      <c r="E389" s="580"/>
      <c r="F389" s="580"/>
      <c r="G389" s="580"/>
      <c r="H389" s="682"/>
      <c r="I389" s="580"/>
    </row>
    <row r="390" ht="13.8" customHeight="1">
      <c r="A390" s="580"/>
      <c r="B390" s="580"/>
      <c r="C390" s="580"/>
      <c r="D390" s="580"/>
      <c r="E390" s="580"/>
      <c r="F390" s="580"/>
      <c r="G390" s="580"/>
      <c r="H390" s="682"/>
      <c r="I390" s="580"/>
    </row>
    <row r="391" ht="13.8" customHeight="1">
      <c r="A391" s="580"/>
      <c r="B391" s="580"/>
      <c r="C391" s="580"/>
      <c r="D391" s="580"/>
      <c r="E391" s="580"/>
      <c r="F391" s="580"/>
      <c r="G391" s="580"/>
      <c r="H391" s="682"/>
      <c r="I391" s="580"/>
    </row>
    <row r="392" ht="13.8" customHeight="1">
      <c r="A392" s="580"/>
      <c r="B392" s="580"/>
      <c r="C392" s="580"/>
      <c r="D392" s="580"/>
      <c r="E392" s="580"/>
      <c r="F392" s="580"/>
      <c r="G392" s="580"/>
      <c r="H392" s="682"/>
      <c r="I392" s="580"/>
    </row>
    <row r="393" ht="13.8" customHeight="1">
      <c r="A393" s="580"/>
      <c r="B393" s="580"/>
      <c r="C393" s="580"/>
      <c r="D393" s="580"/>
      <c r="E393" s="580"/>
      <c r="F393" s="580"/>
      <c r="G393" s="580"/>
      <c r="H393" s="682"/>
      <c r="I393" s="580"/>
    </row>
    <row r="394" ht="13.8" customHeight="1">
      <c r="A394" s="580"/>
      <c r="B394" s="580"/>
      <c r="C394" s="580"/>
      <c r="D394" s="580"/>
      <c r="E394" s="580"/>
      <c r="F394" s="580"/>
      <c r="G394" s="580"/>
      <c r="H394" s="682"/>
      <c r="I394" s="580"/>
    </row>
    <row r="395" ht="13.8" customHeight="1">
      <c r="A395" s="580"/>
      <c r="B395" s="580"/>
      <c r="C395" s="580"/>
      <c r="D395" s="580"/>
      <c r="E395" s="580"/>
      <c r="F395" s="580"/>
      <c r="G395" s="580"/>
      <c r="H395" s="682"/>
      <c r="I395" s="580"/>
    </row>
    <row r="396" ht="13.8" customHeight="1">
      <c r="A396" s="580"/>
      <c r="B396" s="580"/>
      <c r="C396" s="580"/>
      <c r="D396" s="580"/>
      <c r="E396" s="580"/>
      <c r="F396" s="580"/>
      <c r="G396" s="580"/>
      <c r="H396" s="682"/>
      <c r="I396" s="580"/>
    </row>
    <row r="397" ht="13.8" customHeight="1">
      <c r="A397" s="580"/>
      <c r="B397" s="580"/>
      <c r="C397" s="580"/>
      <c r="D397" s="580"/>
      <c r="E397" s="580"/>
      <c r="F397" s="580"/>
      <c r="G397" s="580"/>
      <c r="H397" s="682"/>
      <c r="I397" s="580"/>
    </row>
    <row r="398" ht="13.8" customHeight="1">
      <c r="A398" s="580"/>
      <c r="B398" s="580"/>
      <c r="C398" s="580"/>
      <c r="D398" s="580"/>
      <c r="E398" s="580"/>
      <c r="F398" s="580"/>
      <c r="G398" s="580"/>
      <c r="H398" s="682"/>
      <c r="I398" s="580"/>
    </row>
    <row r="399" ht="13.8" customHeight="1">
      <c r="A399" s="580"/>
      <c r="B399" s="580"/>
      <c r="C399" s="580"/>
      <c r="D399" s="580"/>
      <c r="E399" s="580"/>
      <c r="F399" s="580"/>
      <c r="G399" s="580"/>
      <c r="H399" s="682"/>
      <c r="I399" s="580"/>
    </row>
    <row r="400" ht="13.8" customHeight="1">
      <c r="A400" s="580"/>
      <c r="B400" s="580"/>
      <c r="C400" s="580"/>
      <c r="D400" s="580"/>
      <c r="E400" s="580"/>
      <c r="F400" s="580"/>
      <c r="G400" s="580"/>
      <c r="H400" s="682"/>
      <c r="I400" s="580"/>
    </row>
    <row r="401" ht="13.8" customHeight="1">
      <c r="A401" s="580"/>
      <c r="B401" s="580"/>
      <c r="C401" s="580"/>
      <c r="D401" s="580"/>
      <c r="E401" s="580"/>
      <c r="F401" s="580"/>
      <c r="G401" s="580"/>
      <c r="H401" s="682"/>
      <c r="I401" s="580"/>
    </row>
    <row r="402" ht="13.8" customHeight="1">
      <c r="A402" s="580"/>
      <c r="B402" s="580"/>
      <c r="C402" s="580"/>
      <c r="D402" s="580"/>
      <c r="E402" s="580"/>
      <c r="F402" s="580"/>
      <c r="G402" s="580"/>
      <c r="H402" s="682"/>
      <c r="I402" s="580"/>
    </row>
    <row r="403" ht="13.8" customHeight="1">
      <c r="A403" s="580"/>
      <c r="B403" s="580"/>
      <c r="C403" s="580"/>
      <c r="D403" s="580"/>
      <c r="E403" s="580"/>
      <c r="F403" s="580"/>
      <c r="G403" s="580"/>
      <c r="H403" s="682"/>
      <c r="I403" s="580"/>
    </row>
    <row r="404" ht="13.8" customHeight="1">
      <c r="A404" s="580"/>
      <c r="B404" s="580"/>
      <c r="C404" s="580"/>
      <c r="D404" s="580"/>
      <c r="E404" s="580"/>
      <c r="F404" s="580"/>
      <c r="G404" s="580"/>
      <c r="H404" s="682"/>
      <c r="I404" s="580"/>
    </row>
    <row r="405" ht="13.8" customHeight="1">
      <c r="A405" s="580"/>
      <c r="B405" s="580"/>
      <c r="C405" s="580"/>
      <c r="D405" s="580"/>
      <c r="E405" s="580"/>
      <c r="F405" s="580"/>
      <c r="G405" s="580"/>
      <c r="H405" s="682"/>
      <c r="I405" s="580"/>
    </row>
    <row r="406" ht="13.8" customHeight="1">
      <c r="A406" s="580"/>
      <c r="B406" s="580"/>
      <c r="C406" s="580"/>
      <c r="D406" s="580"/>
      <c r="E406" s="580"/>
      <c r="F406" s="580"/>
      <c r="G406" s="580"/>
      <c r="H406" s="682"/>
      <c r="I406" s="580"/>
    </row>
    <row r="407" ht="13.8" customHeight="1">
      <c r="A407" s="580"/>
      <c r="B407" s="580"/>
      <c r="C407" s="580"/>
      <c r="D407" s="580"/>
      <c r="E407" s="580"/>
      <c r="F407" s="580"/>
      <c r="G407" s="580"/>
      <c r="H407" s="682"/>
      <c r="I407" s="580"/>
    </row>
    <row r="408" ht="13.8" customHeight="1">
      <c r="A408" s="580"/>
      <c r="B408" s="580"/>
      <c r="C408" s="580"/>
      <c r="D408" s="580"/>
      <c r="E408" s="580"/>
      <c r="F408" s="580"/>
      <c r="G408" s="580"/>
      <c r="H408" s="682"/>
      <c r="I408" s="580"/>
    </row>
    <row r="409" ht="13.8" customHeight="1">
      <c r="A409" s="580"/>
      <c r="B409" s="580"/>
      <c r="C409" s="580"/>
      <c r="D409" s="580"/>
      <c r="E409" s="580"/>
      <c r="F409" s="580"/>
      <c r="G409" s="580"/>
      <c r="H409" s="682"/>
      <c r="I409" s="580"/>
    </row>
    <row r="410" ht="13.8" customHeight="1">
      <c r="A410" s="580"/>
      <c r="B410" s="580"/>
      <c r="C410" s="580"/>
      <c r="D410" s="580"/>
      <c r="E410" s="580"/>
      <c r="F410" s="580"/>
      <c r="G410" s="580"/>
      <c r="H410" s="682"/>
      <c r="I410" s="580"/>
    </row>
    <row r="411" ht="13.8" customHeight="1">
      <c r="A411" s="580"/>
      <c r="B411" s="580"/>
      <c r="C411" s="580"/>
      <c r="D411" s="580"/>
      <c r="E411" s="580"/>
      <c r="F411" s="580"/>
      <c r="G411" s="580"/>
      <c r="H411" s="682"/>
      <c r="I411" s="580"/>
    </row>
    <row r="412" ht="13.8" customHeight="1">
      <c r="A412" s="580"/>
      <c r="B412" s="580"/>
      <c r="C412" s="580"/>
      <c r="D412" s="580"/>
      <c r="E412" s="580"/>
      <c r="F412" s="580"/>
      <c r="G412" s="580"/>
      <c r="H412" s="682"/>
      <c r="I412" s="580"/>
    </row>
    <row r="413" ht="13.8" customHeight="1">
      <c r="A413" s="580"/>
      <c r="B413" s="580"/>
      <c r="C413" s="580"/>
      <c r="D413" s="580"/>
      <c r="E413" s="580"/>
      <c r="F413" s="580"/>
      <c r="G413" s="580"/>
      <c r="H413" s="682"/>
      <c r="I413" s="580"/>
    </row>
    <row r="414" ht="13.8" customHeight="1">
      <c r="A414" s="580"/>
      <c r="B414" s="580"/>
      <c r="C414" s="580"/>
      <c r="D414" s="580"/>
      <c r="E414" s="580"/>
      <c r="F414" s="580"/>
      <c r="G414" s="580"/>
      <c r="H414" s="682"/>
      <c r="I414" s="580"/>
    </row>
    <row r="415" ht="13.8" customHeight="1">
      <c r="A415" s="580"/>
      <c r="B415" s="580"/>
      <c r="C415" s="580"/>
      <c r="D415" s="580"/>
      <c r="E415" s="580"/>
      <c r="F415" s="580"/>
      <c r="G415" s="580"/>
      <c r="H415" s="682"/>
      <c r="I415" s="580"/>
    </row>
    <row r="416" ht="13.8" customHeight="1">
      <c r="A416" s="580"/>
      <c r="B416" s="580"/>
      <c r="C416" s="580"/>
      <c r="D416" s="580"/>
      <c r="E416" s="580"/>
      <c r="F416" s="580"/>
      <c r="G416" s="580"/>
      <c r="H416" s="682"/>
      <c r="I416" s="580"/>
    </row>
    <row r="417" ht="13.8" customHeight="1">
      <c r="A417" s="580"/>
      <c r="B417" s="580"/>
      <c r="C417" s="580"/>
      <c r="D417" s="580"/>
      <c r="E417" s="580"/>
      <c r="F417" s="580"/>
      <c r="G417" s="580"/>
      <c r="H417" s="682"/>
      <c r="I417" s="580"/>
    </row>
    <row r="418" ht="13.8" customHeight="1">
      <c r="A418" s="580"/>
      <c r="B418" s="580"/>
      <c r="C418" s="580"/>
      <c r="D418" s="580"/>
      <c r="E418" s="580"/>
      <c r="F418" s="580"/>
      <c r="G418" s="580"/>
      <c r="H418" s="682"/>
      <c r="I418" s="580"/>
    </row>
    <row r="419" ht="13.8" customHeight="1">
      <c r="A419" s="580"/>
      <c r="B419" s="580"/>
      <c r="C419" s="580"/>
      <c r="D419" s="580"/>
      <c r="E419" s="580"/>
      <c r="F419" s="580"/>
      <c r="G419" s="580"/>
      <c r="H419" s="682"/>
      <c r="I419" s="580"/>
    </row>
    <row r="420" ht="13.8" customHeight="1">
      <c r="A420" s="580"/>
      <c r="B420" s="580"/>
      <c r="C420" s="580"/>
      <c r="D420" s="580"/>
      <c r="E420" s="580"/>
      <c r="F420" s="580"/>
      <c r="G420" s="580"/>
      <c r="H420" s="682"/>
      <c r="I420" s="580"/>
    </row>
    <row r="421" ht="13.8" customHeight="1">
      <c r="A421" s="580"/>
      <c r="B421" s="580"/>
      <c r="C421" s="580"/>
      <c r="D421" s="580"/>
      <c r="E421" s="580"/>
      <c r="F421" s="580"/>
      <c r="G421" s="580"/>
      <c r="H421" s="682"/>
      <c r="I421" s="580"/>
    </row>
    <row r="422" ht="13.8" customHeight="1">
      <c r="A422" s="580"/>
      <c r="B422" s="580"/>
      <c r="C422" s="580"/>
      <c r="D422" s="580"/>
      <c r="E422" s="580"/>
      <c r="F422" s="580"/>
      <c r="G422" s="580"/>
      <c r="H422" s="682"/>
      <c r="I422" s="580"/>
    </row>
    <row r="423" ht="13.8" customHeight="1">
      <c r="A423" s="580"/>
      <c r="B423" s="580"/>
      <c r="C423" s="580"/>
      <c r="D423" s="580"/>
      <c r="E423" s="580"/>
      <c r="F423" s="580"/>
      <c r="G423" s="580"/>
      <c r="H423" s="682"/>
      <c r="I423" s="580"/>
    </row>
    <row r="424" ht="13.8" customHeight="1">
      <c r="A424" s="580"/>
      <c r="B424" s="580"/>
      <c r="C424" s="580"/>
      <c r="D424" s="580"/>
      <c r="E424" s="580"/>
      <c r="F424" s="580"/>
      <c r="G424" s="580"/>
      <c r="H424" s="682"/>
      <c r="I424" s="580"/>
    </row>
    <row r="425" ht="13.8" customHeight="1">
      <c r="A425" s="580"/>
      <c r="B425" s="580"/>
      <c r="C425" s="580"/>
      <c r="D425" s="580"/>
      <c r="E425" s="580"/>
      <c r="F425" s="580"/>
      <c r="G425" s="580"/>
      <c r="H425" s="682"/>
      <c r="I425" s="580"/>
    </row>
    <row r="426" ht="13.8" customHeight="1">
      <c r="A426" s="580"/>
      <c r="B426" s="580"/>
      <c r="C426" s="580"/>
      <c r="D426" s="580"/>
      <c r="E426" s="580"/>
      <c r="F426" s="580"/>
      <c r="G426" s="580"/>
      <c r="H426" s="682"/>
      <c r="I426" s="580"/>
    </row>
    <row r="427" ht="13.8" customHeight="1">
      <c r="A427" s="580"/>
      <c r="B427" s="580"/>
      <c r="C427" s="580"/>
      <c r="D427" s="580"/>
      <c r="E427" s="580"/>
      <c r="F427" s="580"/>
      <c r="G427" s="580"/>
      <c r="H427" s="682"/>
      <c r="I427" s="580"/>
    </row>
    <row r="428" ht="13.8" customHeight="1">
      <c r="A428" s="580"/>
      <c r="B428" s="580"/>
      <c r="C428" s="580"/>
      <c r="D428" s="580"/>
      <c r="E428" s="580"/>
      <c r="F428" s="580"/>
      <c r="G428" s="580"/>
      <c r="H428" s="682"/>
      <c r="I428" s="580"/>
    </row>
    <row r="429" ht="13.8" customHeight="1">
      <c r="A429" s="580"/>
      <c r="B429" s="580"/>
      <c r="C429" s="580"/>
      <c r="D429" s="580"/>
      <c r="E429" s="580"/>
      <c r="F429" s="580"/>
      <c r="G429" s="580"/>
      <c r="H429" s="682"/>
      <c r="I429" s="580"/>
    </row>
    <row r="430" ht="13.8" customHeight="1">
      <c r="A430" s="580"/>
      <c r="B430" s="580"/>
      <c r="C430" s="580"/>
      <c r="D430" s="580"/>
      <c r="E430" s="580"/>
      <c r="F430" s="580"/>
      <c r="G430" s="580"/>
      <c r="H430" s="682"/>
      <c r="I430" s="580"/>
    </row>
    <row r="431" ht="13.8" customHeight="1">
      <c r="A431" s="580"/>
      <c r="B431" s="580"/>
      <c r="C431" s="580"/>
      <c r="D431" s="580"/>
      <c r="E431" s="580"/>
      <c r="F431" s="580"/>
      <c r="G431" s="580"/>
      <c r="H431" s="682"/>
      <c r="I431" s="580"/>
    </row>
    <row r="432" ht="13.8" customHeight="1">
      <c r="A432" s="580"/>
      <c r="B432" s="580"/>
      <c r="C432" s="580"/>
      <c r="D432" s="580"/>
      <c r="E432" s="580"/>
      <c r="F432" s="580"/>
      <c r="G432" s="580"/>
      <c r="H432" s="682"/>
      <c r="I432" s="580"/>
    </row>
    <row r="433" ht="13.8" customHeight="1">
      <c r="A433" s="580"/>
      <c r="B433" s="580"/>
      <c r="C433" s="580"/>
      <c r="D433" s="580"/>
      <c r="E433" s="580"/>
      <c r="F433" s="580"/>
      <c r="G433" s="580"/>
      <c r="H433" s="682"/>
      <c r="I433" s="580"/>
    </row>
    <row r="434" ht="13.8" customHeight="1">
      <c r="A434" s="580"/>
      <c r="B434" s="580"/>
      <c r="C434" s="580"/>
      <c r="D434" s="580"/>
      <c r="E434" s="580"/>
      <c r="F434" s="580"/>
      <c r="G434" s="580"/>
      <c r="H434" s="682"/>
      <c r="I434" s="580"/>
    </row>
    <row r="435" ht="13.8" customHeight="1">
      <c r="A435" s="580"/>
      <c r="B435" s="580"/>
      <c r="C435" s="580"/>
      <c r="D435" s="580"/>
      <c r="E435" s="580"/>
      <c r="F435" s="580"/>
      <c r="G435" s="580"/>
      <c r="H435" s="682"/>
      <c r="I435" s="580"/>
    </row>
    <row r="436" ht="13.8" customHeight="1">
      <c r="A436" s="580"/>
      <c r="B436" s="580"/>
      <c r="C436" s="580"/>
      <c r="D436" s="580"/>
      <c r="E436" s="580"/>
      <c r="F436" s="580"/>
      <c r="G436" s="580"/>
      <c r="H436" s="682"/>
      <c r="I436" s="580"/>
    </row>
    <row r="437" ht="13.8" customHeight="1">
      <c r="A437" s="580"/>
      <c r="B437" s="580"/>
      <c r="C437" s="580"/>
      <c r="D437" s="580"/>
      <c r="E437" s="580"/>
      <c r="F437" s="580"/>
      <c r="G437" s="580"/>
      <c r="H437" s="682"/>
      <c r="I437" s="580"/>
    </row>
    <row r="438" ht="13.8" customHeight="1">
      <c r="A438" s="580"/>
      <c r="B438" s="580"/>
      <c r="C438" s="580"/>
      <c r="D438" s="580"/>
      <c r="E438" s="580"/>
      <c r="F438" s="580"/>
      <c r="G438" s="580"/>
      <c r="H438" s="682"/>
      <c r="I438" s="580"/>
    </row>
    <row r="439" ht="13.8" customHeight="1">
      <c r="A439" s="580"/>
      <c r="B439" s="580"/>
      <c r="C439" s="580"/>
      <c r="D439" s="580"/>
      <c r="E439" s="580"/>
      <c r="F439" s="580"/>
      <c r="G439" s="580"/>
      <c r="H439" s="682"/>
      <c r="I439" s="580"/>
    </row>
    <row r="440" ht="13.8" customHeight="1">
      <c r="A440" s="580"/>
      <c r="B440" s="580"/>
      <c r="C440" s="580"/>
      <c r="D440" s="580"/>
      <c r="E440" s="580"/>
      <c r="F440" s="580"/>
      <c r="G440" s="580"/>
      <c r="H440" s="682"/>
      <c r="I440" s="580"/>
    </row>
    <row r="441" ht="13.8" customHeight="1">
      <c r="A441" s="580"/>
      <c r="B441" s="580"/>
      <c r="C441" s="580"/>
      <c r="D441" s="580"/>
      <c r="E441" s="580"/>
      <c r="F441" s="580"/>
      <c r="G441" s="580"/>
      <c r="H441" s="682"/>
      <c r="I441" s="580"/>
    </row>
    <row r="442" ht="13.8" customHeight="1">
      <c r="A442" s="580"/>
      <c r="B442" s="580"/>
      <c r="C442" s="580"/>
      <c r="D442" s="580"/>
      <c r="E442" s="580"/>
      <c r="F442" s="580"/>
      <c r="G442" s="580"/>
      <c r="H442" s="682"/>
      <c r="I442" s="580"/>
    </row>
    <row r="443" ht="13.8" customHeight="1">
      <c r="A443" s="580"/>
      <c r="B443" s="580"/>
      <c r="C443" s="580"/>
      <c r="D443" s="580"/>
      <c r="E443" s="580"/>
      <c r="F443" s="580"/>
      <c r="G443" s="580"/>
      <c r="H443" s="682"/>
      <c r="I443" s="580"/>
    </row>
    <row r="444" ht="13.8" customHeight="1">
      <c r="A444" s="580"/>
      <c r="B444" s="580"/>
      <c r="C444" s="580"/>
      <c r="D444" s="580"/>
      <c r="E444" s="580"/>
      <c r="F444" s="580"/>
      <c r="G444" s="580"/>
      <c r="H444" s="682"/>
      <c r="I444" s="580"/>
    </row>
    <row r="445" ht="13.8" customHeight="1">
      <c r="A445" s="580"/>
      <c r="B445" s="580"/>
      <c r="C445" s="580"/>
      <c r="D445" s="580"/>
      <c r="E445" s="580"/>
      <c r="F445" s="580"/>
      <c r="G445" s="580"/>
      <c r="H445" s="682"/>
      <c r="I445" s="580"/>
    </row>
    <row r="446" ht="13.8" customHeight="1">
      <c r="A446" s="580"/>
      <c r="B446" s="580"/>
      <c r="C446" s="580"/>
      <c r="D446" s="580"/>
      <c r="E446" s="580"/>
      <c r="F446" s="580"/>
      <c r="G446" s="580"/>
      <c r="H446" s="682"/>
      <c r="I446" s="580"/>
    </row>
    <row r="447" ht="13.8" customHeight="1">
      <c r="A447" s="580"/>
      <c r="B447" s="580"/>
      <c r="C447" s="580"/>
      <c r="D447" s="580"/>
      <c r="E447" s="580"/>
      <c r="F447" s="580"/>
      <c r="G447" s="580"/>
      <c r="H447" s="682"/>
      <c r="I447" s="580"/>
    </row>
    <row r="448" ht="13.8" customHeight="1">
      <c r="A448" s="580"/>
      <c r="B448" s="580"/>
      <c r="C448" s="580"/>
      <c r="D448" s="580"/>
      <c r="E448" s="580"/>
      <c r="F448" s="580"/>
      <c r="G448" s="580"/>
      <c r="H448" s="682"/>
      <c r="I448" s="580"/>
    </row>
    <row r="449" ht="13.8" customHeight="1">
      <c r="A449" s="580"/>
      <c r="B449" s="580"/>
      <c r="C449" s="580"/>
      <c r="D449" s="580"/>
      <c r="E449" s="580"/>
      <c r="F449" s="580"/>
      <c r="G449" s="580"/>
      <c r="H449" s="682"/>
      <c r="I449" s="580"/>
    </row>
    <row r="450" ht="13.8" customHeight="1">
      <c r="A450" s="580"/>
      <c r="B450" s="580"/>
      <c r="C450" s="580"/>
      <c r="D450" s="580"/>
      <c r="E450" s="580"/>
      <c r="F450" s="580"/>
      <c r="G450" s="580"/>
      <c r="H450" s="682"/>
      <c r="I450" s="580"/>
    </row>
    <row r="451" ht="13.8" customHeight="1">
      <c r="A451" s="580"/>
      <c r="B451" s="580"/>
      <c r="C451" s="580"/>
      <c r="D451" s="580"/>
      <c r="E451" s="580"/>
      <c r="F451" s="580"/>
      <c r="G451" s="580"/>
      <c r="H451" s="682"/>
      <c r="I451" s="580"/>
    </row>
    <row r="452" ht="13.8" customHeight="1">
      <c r="A452" s="580"/>
      <c r="B452" s="580"/>
      <c r="C452" s="580"/>
      <c r="D452" s="580"/>
      <c r="E452" s="580"/>
      <c r="F452" s="580"/>
      <c r="G452" s="580"/>
      <c r="H452" s="682"/>
      <c r="I452" s="580"/>
    </row>
    <row r="453" ht="13.8" customHeight="1">
      <c r="A453" s="580"/>
      <c r="B453" s="580"/>
      <c r="C453" s="580"/>
      <c r="D453" s="580"/>
      <c r="E453" s="580"/>
      <c r="F453" s="580"/>
      <c r="G453" s="580"/>
      <c r="H453" s="682"/>
      <c r="I453" s="580"/>
    </row>
    <row r="454" ht="13.8" customHeight="1">
      <c r="A454" s="580"/>
      <c r="B454" s="580"/>
      <c r="C454" s="580"/>
      <c r="D454" s="580"/>
      <c r="E454" s="580"/>
      <c r="F454" s="580"/>
      <c r="G454" s="580"/>
      <c r="H454" s="682"/>
      <c r="I454" s="580"/>
    </row>
    <row r="455" ht="13.8" customHeight="1">
      <c r="A455" s="580"/>
      <c r="B455" s="580"/>
      <c r="C455" s="580"/>
      <c r="D455" s="580"/>
      <c r="E455" s="580"/>
      <c r="F455" s="580"/>
      <c r="G455" s="580"/>
      <c r="H455" s="682"/>
      <c r="I455" s="580"/>
    </row>
    <row r="456" ht="13.8" customHeight="1">
      <c r="A456" s="580"/>
      <c r="B456" s="580"/>
      <c r="C456" s="580"/>
      <c r="D456" s="580"/>
      <c r="E456" s="580"/>
      <c r="F456" s="580"/>
      <c r="G456" s="580"/>
      <c r="H456" s="682"/>
      <c r="I456" s="580"/>
    </row>
    <row r="457" ht="13.8" customHeight="1">
      <c r="A457" s="580"/>
      <c r="B457" s="580"/>
      <c r="C457" s="580"/>
      <c r="D457" s="580"/>
      <c r="E457" s="580"/>
      <c r="F457" s="580"/>
      <c r="G457" s="580"/>
      <c r="H457" s="682"/>
      <c r="I457" s="580"/>
    </row>
    <row r="458" ht="13.8" customHeight="1">
      <c r="A458" s="580"/>
      <c r="B458" s="580"/>
      <c r="C458" s="580"/>
      <c r="D458" s="580"/>
      <c r="E458" s="580"/>
      <c r="F458" s="580"/>
      <c r="G458" s="580"/>
      <c r="H458" s="682"/>
      <c r="I458" s="580"/>
    </row>
    <row r="459" ht="13.8" customHeight="1">
      <c r="A459" s="580"/>
      <c r="B459" s="580"/>
      <c r="C459" s="580"/>
      <c r="D459" s="580"/>
      <c r="E459" s="580"/>
      <c r="F459" s="580"/>
      <c r="G459" s="580"/>
      <c r="H459" s="682"/>
      <c r="I459" s="580"/>
    </row>
    <row r="460" ht="13.8" customHeight="1">
      <c r="A460" s="580"/>
      <c r="B460" s="580"/>
      <c r="C460" s="580"/>
      <c r="D460" s="580"/>
      <c r="E460" s="580"/>
      <c r="F460" s="580"/>
      <c r="G460" s="580"/>
      <c r="H460" s="682"/>
      <c r="I460" s="580"/>
    </row>
    <row r="461" ht="13.8" customHeight="1">
      <c r="A461" s="580"/>
      <c r="B461" s="580"/>
      <c r="C461" s="580"/>
      <c r="D461" s="580"/>
      <c r="E461" s="580"/>
      <c r="F461" s="580"/>
      <c r="G461" s="580"/>
      <c r="H461" s="682"/>
      <c r="I461" s="580"/>
    </row>
    <row r="462" ht="13.8" customHeight="1">
      <c r="A462" s="580"/>
      <c r="B462" s="580"/>
      <c r="C462" s="580"/>
      <c r="D462" s="580"/>
      <c r="E462" s="580"/>
      <c r="F462" s="580"/>
      <c r="G462" s="580"/>
      <c r="H462" s="682"/>
      <c r="I462" s="580"/>
    </row>
    <row r="463" ht="13.8" customHeight="1">
      <c r="A463" s="580"/>
      <c r="B463" s="580"/>
      <c r="C463" s="580"/>
      <c r="D463" s="580"/>
      <c r="E463" s="580"/>
      <c r="F463" s="580"/>
      <c r="G463" s="580"/>
      <c r="H463" s="682"/>
      <c r="I463" s="580"/>
    </row>
    <row r="464" ht="13.8" customHeight="1">
      <c r="A464" s="580"/>
      <c r="B464" s="580"/>
      <c r="C464" s="580"/>
      <c r="D464" s="580"/>
      <c r="E464" s="580"/>
      <c r="F464" s="580"/>
      <c r="G464" s="580"/>
      <c r="H464" s="682"/>
      <c r="I464" s="580"/>
    </row>
    <row r="465" ht="13.8" customHeight="1">
      <c r="A465" s="580"/>
      <c r="B465" s="580"/>
      <c r="C465" s="580"/>
      <c r="D465" s="580"/>
      <c r="E465" s="580"/>
      <c r="F465" s="580"/>
      <c r="G465" s="580"/>
      <c r="H465" s="682"/>
      <c r="I465" s="580"/>
    </row>
    <row r="466" ht="13.8" customHeight="1">
      <c r="A466" s="580"/>
      <c r="B466" s="580"/>
      <c r="C466" s="580"/>
      <c r="D466" s="580"/>
      <c r="E466" s="580"/>
      <c r="F466" s="580"/>
      <c r="G466" s="580"/>
      <c r="H466" s="682"/>
      <c r="I466" s="580"/>
    </row>
    <row r="467" ht="13.8" customHeight="1">
      <c r="A467" s="580"/>
      <c r="B467" s="580"/>
      <c r="C467" s="580"/>
      <c r="D467" s="580"/>
      <c r="E467" s="580"/>
      <c r="F467" s="580"/>
      <c r="G467" s="580"/>
      <c r="H467" s="682"/>
      <c r="I467" s="580"/>
    </row>
    <row r="468" ht="13.8" customHeight="1">
      <c r="A468" s="580"/>
      <c r="B468" s="580"/>
      <c r="C468" s="580"/>
      <c r="D468" s="580"/>
      <c r="E468" s="580"/>
      <c r="F468" s="580"/>
      <c r="G468" s="580"/>
      <c r="H468" s="682"/>
      <c r="I468" s="580"/>
    </row>
    <row r="469" ht="13.8" customHeight="1">
      <c r="A469" s="580"/>
      <c r="B469" s="580"/>
      <c r="C469" s="580"/>
      <c r="D469" s="580"/>
      <c r="E469" s="580"/>
      <c r="F469" s="580"/>
      <c r="G469" s="580"/>
      <c r="H469" s="682"/>
      <c r="I469" s="580"/>
    </row>
    <row r="470" ht="13.8" customHeight="1">
      <c r="A470" s="580"/>
      <c r="B470" s="580"/>
      <c r="C470" s="580"/>
      <c r="D470" s="580"/>
      <c r="E470" s="580"/>
      <c r="F470" s="580"/>
      <c r="G470" s="580"/>
      <c r="H470" s="682"/>
      <c r="I470" s="580"/>
    </row>
    <row r="471" ht="13.8" customHeight="1">
      <c r="A471" s="580"/>
      <c r="B471" s="580"/>
      <c r="C471" s="580"/>
      <c r="D471" s="580"/>
      <c r="E471" s="580"/>
      <c r="F471" s="580"/>
      <c r="G471" s="580"/>
      <c r="H471" s="682"/>
      <c r="I471" s="580"/>
    </row>
    <row r="472" ht="13.8" customHeight="1">
      <c r="A472" s="580"/>
      <c r="B472" s="580"/>
      <c r="C472" s="580"/>
      <c r="D472" s="580"/>
      <c r="E472" s="580"/>
      <c r="F472" s="580"/>
      <c r="G472" s="580"/>
      <c r="H472" s="682"/>
      <c r="I472" s="580"/>
    </row>
    <row r="473" ht="13.8" customHeight="1">
      <c r="A473" s="580"/>
      <c r="B473" s="580"/>
      <c r="C473" s="580"/>
      <c r="D473" s="580"/>
      <c r="E473" s="580"/>
      <c r="F473" s="580"/>
      <c r="G473" s="580"/>
      <c r="H473" s="682"/>
      <c r="I473" s="580"/>
    </row>
    <row r="474" ht="13.8" customHeight="1">
      <c r="A474" s="580"/>
      <c r="B474" s="580"/>
      <c r="C474" s="580"/>
      <c r="D474" s="580"/>
      <c r="E474" s="580"/>
      <c r="F474" s="580"/>
      <c r="G474" s="580"/>
      <c r="H474" s="682"/>
      <c r="I474" s="580"/>
    </row>
    <row r="475" ht="13.8" customHeight="1">
      <c r="A475" s="580"/>
      <c r="B475" s="580"/>
      <c r="C475" s="580"/>
      <c r="D475" s="580"/>
      <c r="E475" s="580"/>
      <c r="F475" s="580"/>
      <c r="G475" s="580"/>
      <c r="H475" s="682"/>
      <c r="I475" s="580"/>
    </row>
    <row r="476" ht="13.8" customHeight="1">
      <c r="A476" s="580"/>
      <c r="B476" s="580"/>
      <c r="C476" s="580"/>
      <c r="D476" s="580"/>
      <c r="E476" s="580"/>
      <c r="F476" s="580"/>
      <c r="G476" s="580"/>
      <c r="H476" s="682"/>
      <c r="I476" s="580"/>
    </row>
    <row r="477" ht="13.8" customHeight="1">
      <c r="A477" s="580"/>
      <c r="B477" s="580"/>
      <c r="C477" s="580"/>
      <c r="D477" s="580"/>
      <c r="E477" s="580"/>
      <c r="F477" s="580"/>
      <c r="G477" s="580"/>
      <c r="H477" s="682"/>
      <c r="I477" s="580"/>
    </row>
    <row r="478" ht="13.8" customHeight="1">
      <c r="A478" s="580"/>
      <c r="B478" s="580"/>
      <c r="C478" s="580"/>
      <c r="D478" s="580"/>
      <c r="E478" s="580"/>
      <c r="F478" s="580"/>
      <c r="G478" s="580"/>
      <c r="H478" s="682"/>
      <c r="I478" s="580"/>
    </row>
    <row r="479" ht="13.8" customHeight="1">
      <c r="A479" s="580"/>
      <c r="B479" s="580"/>
      <c r="C479" s="580"/>
      <c r="D479" s="580"/>
      <c r="E479" s="580"/>
      <c r="F479" s="580"/>
      <c r="G479" s="580"/>
      <c r="H479" s="682"/>
      <c r="I479" s="580"/>
    </row>
    <row r="480" ht="13.8" customHeight="1">
      <c r="A480" s="580"/>
      <c r="B480" s="580"/>
      <c r="C480" s="580"/>
      <c r="D480" s="580"/>
      <c r="E480" s="580"/>
      <c r="F480" s="580"/>
      <c r="G480" s="580"/>
      <c r="H480" s="682"/>
      <c r="I480" s="580"/>
    </row>
    <row r="481" ht="13.8" customHeight="1">
      <c r="A481" s="580"/>
      <c r="B481" s="580"/>
      <c r="C481" s="580"/>
      <c r="D481" s="580"/>
      <c r="E481" s="580"/>
      <c r="F481" s="580"/>
      <c r="G481" s="580"/>
      <c r="H481" s="682"/>
      <c r="I481" s="580"/>
    </row>
    <row r="482" ht="13.8" customHeight="1">
      <c r="A482" s="580"/>
      <c r="B482" s="580"/>
      <c r="C482" s="580"/>
      <c r="D482" s="580"/>
      <c r="E482" s="580"/>
      <c r="F482" s="580"/>
      <c r="G482" s="580"/>
      <c r="H482" s="682"/>
      <c r="I482" s="580"/>
    </row>
    <row r="483" ht="13.8" customHeight="1">
      <c r="A483" s="580"/>
      <c r="B483" s="580"/>
      <c r="C483" s="580"/>
      <c r="D483" s="580"/>
      <c r="E483" s="580"/>
      <c r="F483" s="580"/>
      <c r="G483" s="580"/>
      <c r="H483" s="682"/>
      <c r="I483" s="580"/>
    </row>
    <row r="484" ht="13.8" customHeight="1">
      <c r="A484" s="580"/>
      <c r="B484" s="580"/>
      <c r="C484" s="580"/>
      <c r="D484" s="580"/>
      <c r="E484" s="580"/>
      <c r="F484" s="580"/>
      <c r="G484" s="580"/>
      <c r="H484" s="682"/>
      <c r="I484" s="580"/>
    </row>
    <row r="485" ht="13.8" customHeight="1">
      <c r="A485" s="580"/>
      <c r="B485" s="580"/>
      <c r="C485" s="580"/>
      <c r="D485" s="580"/>
      <c r="E485" s="580"/>
      <c r="F485" s="580"/>
      <c r="G485" s="580"/>
      <c r="H485" s="682"/>
      <c r="I485" s="580"/>
    </row>
    <row r="486" ht="13.8" customHeight="1">
      <c r="A486" s="580"/>
      <c r="B486" s="580"/>
      <c r="C486" s="580"/>
      <c r="D486" s="580"/>
      <c r="E486" s="580"/>
      <c r="F486" s="580"/>
      <c r="G486" s="580"/>
      <c r="H486" s="682"/>
      <c r="I486" s="580"/>
    </row>
    <row r="487" ht="13.8" customHeight="1">
      <c r="A487" s="580"/>
      <c r="B487" s="580"/>
      <c r="C487" s="580"/>
      <c r="D487" s="580"/>
      <c r="E487" s="580"/>
      <c r="F487" s="580"/>
      <c r="G487" s="580"/>
      <c r="H487" s="682"/>
      <c r="I487" s="580"/>
    </row>
    <row r="488" ht="13.8" customHeight="1">
      <c r="A488" s="580"/>
      <c r="B488" s="580"/>
      <c r="C488" s="580"/>
      <c r="D488" s="580"/>
      <c r="E488" s="580"/>
      <c r="F488" s="580"/>
      <c r="G488" s="580"/>
      <c r="H488" s="682"/>
      <c r="I488" s="580"/>
    </row>
    <row r="489" ht="13.8" customHeight="1">
      <c r="A489" s="580"/>
      <c r="B489" s="580"/>
      <c r="C489" s="580"/>
      <c r="D489" s="580"/>
      <c r="E489" s="580"/>
      <c r="F489" s="580"/>
      <c r="G489" s="580"/>
      <c r="H489" s="682"/>
      <c r="I489" s="580"/>
    </row>
    <row r="490" ht="13.8" customHeight="1">
      <c r="A490" s="580"/>
      <c r="B490" s="580"/>
      <c r="C490" s="580"/>
      <c r="D490" s="580"/>
      <c r="E490" s="580"/>
      <c r="F490" s="580"/>
      <c r="G490" s="580"/>
      <c r="H490" s="682"/>
      <c r="I490" s="580"/>
    </row>
    <row r="491" ht="13.8" customHeight="1">
      <c r="A491" s="580"/>
      <c r="B491" s="580"/>
      <c r="C491" s="580"/>
      <c r="D491" s="580"/>
      <c r="E491" s="580"/>
      <c r="F491" s="580"/>
      <c r="G491" s="580"/>
      <c r="H491" s="682"/>
      <c r="I491" s="580"/>
    </row>
    <row r="492" ht="13.8" customHeight="1">
      <c r="A492" s="580"/>
      <c r="B492" s="580"/>
      <c r="C492" s="580"/>
      <c r="D492" s="580"/>
      <c r="E492" s="580"/>
      <c r="F492" s="580"/>
      <c r="G492" s="580"/>
      <c r="H492" s="682"/>
      <c r="I492" s="580"/>
    </row>
    <row r="493" ht="13.8" customHeight="1">
      <c r="A493" s="580"/>
      <c r="B493" s="580"/>
      <c r="C493" s="580"/>
      <c r="D493" s="580"/>
      <c r="E493" s="580"/>
      <c r="F493" s="580"/>
      <c r="G493" s="580"/>
      <c r="H493" s="682"/>
      <c r="I493" s="580"/>
    </row>
    <row r="494" ht="13.8" customHeight="1">
      <c r="A494" s="580"/>
      <c r="B494" s="580"/>
      <c r="C494" s="580"/>
      <c r="D494" s="580"/>
      <c r="E494" s="580"/>
      <c r="F494" s="580"/>
      <c r="G494" s="580"/>
      <c r="H494" s="682"/>
      <c r="I494" s="580"/>
    </row>
    <row r="495" ht="13.8" customHeight="1">
      <c r="A495" s="580"/>
      <c r="B495" s="580"/>
      <c r="C495" s="580"/>
      <c r="D495" s="580"/>
      <c r="E495" s="580"/>
      <c r="F495" s="580"/>
      <c r="G495" s="580"/>
      <c r="H495" s="682"/>
      <c r="I495" s="580"/>
    </row>
    <row r="496" ht="13.8" customHeight="1">
      <c r="A496" s="580"/>
      <c r="B496" s="580"/>
      <c r="C496" s="580"/>
      <c r="D496" s="580"/>
      <c r="E496" s="580"/>
      <c r="F496" s="580"/>
      <c r="G496" s="580"/>
      <c r="H496" s="682"/>
      <c r="I496" s="580"/>
    </row>
    <row r="497" ht="13.8" customHeight="1">
      <c r="A497" s="580"/>
      <c r="B497" s="580"/>
      <c r="C497" s="580"/>
      <c r="D497" s="580"/>
      <c r="E497" s="580"/>
      <c r="F497" s="580"/>
      <c r="G497" s="580"/>
      <c r="H497" s="682"/>
      <c r="I497" s="580"/>
    </row>
    <row r="498" ht="13.8" customHeight="1">
      <c r="A498" s="580"/>
      <c r="B498" s="580"/>
      <c r="C498" s="580"/>
      <c r="D498" s="580"/>
      <c r="E498" s="580"/>
      <c r="F498" s="580"/>
      <c r="G498" s="580"/>
      <c r="H498" s="682"/>
      <c r="I498" s="580"/>
    </row>
    <row r="499" ht="13.8" customHeight="1">
      <c r="A499" s="580"/>
      <c r="B499" s="580"/>
      <c r="C499" s="580"/>
      <c r="D499" s="580"/>
      <c r="E499" s="580"/>
      <c r="F499" s="580"/>
      <c r="G499" s="580"/>
      <c r="H499" s="682"/>
      <c r="I499" s="580"/>
    </row>
    <row r="500" ht="13.8" customHeight="1">
      <c r="A500" s="580"/>
      <c r="B500" s="580"/>
      <c r="C500" s="580"/>
      <c r="D500" s="580"/>
      <c r="E500" s="580"/>
      <c r="F500" s="580"/>
      <c r="G500" s="580"/>
      <c r="H500" s="682"/>
      <c r="I500" s="580"/>
    </row>
    <row r="501" ht="13.8" customHeight="1">
      <c r="A501" s="580"/>
      <c r="B501" s="580"/>
      <c r="C501" s="580"/>
      <c r="D501" s="580"/>
      <c r="E501" s="580"/>
      <c r="F501" s="580"/>
      <c r="G501" s="580"/>
      <c r="H501" s="682"/>
      <c r="I501" s="580"/>
    </row>
    <row r="502" ht="13.8" customHeight="1">
      <c r="A502" s="580"/>
      <c r="B502" s="580"/>
      <c r="C502" s="580"/>
      <c r="D502" s="580"/>
      <c r="E502" s="580"/>
      <c r="F502" s="580"/>
      <c r="G502" s="580"/>
      <c r="H502" s="682"/>
      <c r="I502" s="580"/>
    </row>
    <row r="503" ht="13.8" customHeight="1">
      <c r="A503" s="580"/>
      <c r="B503" s="580"/>
      <c r="C503" s="580"/>
      <c r="D503" s="580"/>
      <c r="E503" s="580"/>
      <c r="F503" s="580"/>
      <c r="G503" s="580"/>
      <c r="H503" s="682"/>
      <c r="I503" s="580"/>
    </row>
    <row r="504" ht="13.8" customHeight="1">
      <c r="A504" s="580"/>
      <c r="B504" s="580"/>
      <c r="C504" s="580"/>
      <c r="D504" s="580"/>
      <c r="E504" s="580"/>
      <c r="F504" s="580"/>
      <c r="G504" s="580"/>
      <c r="H504" s="682"/>
      <c r="I504" s="580"/>
    </row>
    <row r="505" ht="13.8" customHeight="1">
      <c r="A505" s="580"/>
      <c r="B505" s="580"/>
      <c r="C505" s="580"/>
      <c r="D505" s="580"/>
      <c r="E505" s="580"/>
      <c r="F505" s="580"/>
      <c r="G505" s="580"/>
      <c r="H505" s="682"/>
      <c r="I505" s="580"/>
    </row>
    <row r="506" ht="13.8" customHeight="1">
      <c r="A506" s="580"/>
      <c r="B506" s="580"/>
      <c r="C506" s="580"/>
      <c r="D506" s="580"/>
      <c r="E506" s="580"/>
      <c r="F506" s="580"/>
      <c r="G506" s="580"/>
      <c r="H506" s="682"/>
      <c r="I506" s="580"/>
    </row>
    <row r="507" ht="13.8" customHeight="1">
      <c r="A507" s="580"/>
      <c r="B507" s="580"/>
      <c r="C507" s="580"/>
      <c r="D507" s="580"/>
      <c r="E507" s="580"/>
      <c r="F507" s="580"/>
      <c r="G507" s="580"/>
      <c r="H507" s="682"/>
      <c r="I507" s="580"/>
    </row>
    <row r="508" ht="13.8" customHeight="1">
      <c r="A508" s="580"/>
      <c r="B508" s="580"/>
      <c r="C508" s="580"/>
      <c r="D508" s="580"/>
      <c r="E508" s="580"/>
      <c r="F508" s="580"/>
      <c r="G508" s="580"/>
      <c r="H508" s="682"/>
      <c r="I508" s="580"/>
    </row>
    <row r="509" ht="13.8" customHeight="1">
      <c r="A509" s="580"/>
      <c r="B509" s="580"/>
      <c r="C509" s="580"/>
      <c r="D509" s="580"/>
      <c r="E509" s="580"/>
      <c r="F509" s="580"/>
      <c r="G509" s="580"/>
      <c r="H509" s="682"/>
      <c r="I509" s="580"/>
    </row>
    <row r="510" ht="13.8" customHeight="1">
      <c r="A510" s="580"/>
      <c r="B510" s="580"/>
      <c r="C510" s="580"/>
      <c r="D510" s="580"/>
      <c r="E510" s="580"/>
      <c r="F510" s="580"/>
      <c r="G510" s="580"/>
      <c r="H510" s="682"/>
      <c r="I510" s="580"/>
    </row>
    <row r="511" ht="13.8" customHeight="1">
      <c r="A511" s="580"/>
      <c r="B511" s="580"/>
      <c r="C511" s="580"/>
      <c r="D511" s="580"/>
      <c r="E511" s="580"/>
      <c r="F511" s="580"/>
      <c r="G511" s="580"/>
      <c r="H511" s="682"/>
      <c r="I511" s="580"/>
    </row>
    <row r="512" ht="13.8" customHeight="1">
      <c r="A512" s="580"/>
      <c r="B512" s="580"/>
      <c r="C512" s="580"/>
      <c r="D512" s="580"/>
      <c r="E512" s="580"/>
      <c r="F512" s="580"/>
      <c r="G512" s="580"/>
      <c r="H512" s="682"/>
      <c r="I512" s="580"/>
    </row>
    <row r="513" ht="13.8" customHeight="1">
      <c r="A513" s="580"/>
      <c r="B513" s="580"/>
      <c r="C513" s="580"/>
      <c r="D513" s="580"/>
      <c r="E513" s="580"/>
      <c r="F513" s="580"/>
      <c r="G513" s="580"/>
      <c r="H513" s="682"/>
      <c r="I513" s="580"/>
    </row>
    <row r="514" ht="13.8" customHeight="1">
      <c r="A514" s="580"/>
      <c r="B514" s="580"/>
      <c r="C514" s="580"/>
      <c r="D514" s="580"/>
      <c r="E514" s="580"/>
      <c r="F514" s="580"/>
      <c r="G514" s="580"/>
      <c r="H514" s="682"/>
      <c r="I514" s="580"/>
    </row>
    <row r="515" ht="13.8" customHeight="1">
      <c r="A515" s="580"/>
      <c r="B515" s="580"/>
      <c r="C515" s="580"/>
      <c r="D515" s="580"/>
      <c r="E515" s="580"/>
      <c r="F515" s="580"/>
      <c r="G515" s="580"/>
      <c r="H515" s="682"/>
      <c r="I515" s="580"/>
    </row>
    <row r="516" ht="13.8" customHeight="1">
      <c r="A516" s="580"/>
      <c r="B516" s="580"/>
      <c r="C516" s="580"/>
      <c r="D516" s="580"/>
      <c r="E516" s="580"/>
      <c r="F516" s="580"/>
      <c r="G516" s="580"/>
      <c r="H516" s="682"/>
      <c r="I516" s="580"/>
    </row>
    <row r="517" ht="13.8" customHeight="1">
      <c r="A517" s="580"/>
      <c r="B517" s="580"/>
      <c r="C517" s="580"/>
      <c r="D517" s="580"/>
      <c r="E517" s="580"/>
      <c r="F517" s="580"/>
      <c r="G517" s="580"/>
      <c r="H517" s="682"/>
      <c r="I517" s="580"/>
    </row>
    <row r="518" ht="13.8" customHeight="1">
      <c r="A518" s="580"/>
      <c r="B518" s="580"/>
      <c r="C518" s="580"/>
      <c r="D518" s="580"/>
      <c r="E518" s="580"/>
      <c r="F518" s="580"/>
      <c r="G518" s="580"/>
      <c r="H518" s="682"/>
      <c r="I518" s="580"/>
    </row>
    <row r="519" ht="13.8" customHeight="1">
      <c r="A519" s="580"/>
      <c r="B519" s="580"/>
      <c r="C519" s="580"/>
      <c r="D519" s="580"/>
      <c r="E519" s="580"/>
      <c r="F519" s="580"/>
      <c r="G519" s="580"/>
      <c r="H519" s="682"/>
      <c r="I519" s="580"/>
    </row>
    <row r="520" ht="13.8" customHeight="1">
      <c r="A520" s="580"/>
      <c r="B520" s="580"/>
      <c r="C520" s="580"/>
      <c r="D520" s="580"/>
      <c r="E520" s="580"/>
      <c r="F520" s="580"/>
      <c r="G520" s="580"/>
      <c r="H520" s="682"/>
      <c r="I520" s="580"/>
    </row>
    <row r="521" ht="13.8" customHeight="1">
      <c r="A521" s="580"/>
      <c r="B521" s="580"/>
      <c r="C521" s="580"/>
      <c r="D521" s="580"/>
      <c r="E521" s="580"/>
      <c r="F521" s="580"/>
      <c r="G521" s="580"/>
      <c r="H521" s="682"/>
      <c r="I521" s="580"/>
    </row>
    <row r="522" ht="13.8" customHeight="1">
      <c r="A522" s="580"/>
      <c r="B522" s="580"/>
      <c r="C522" s="580"/>
      <c r="D522" s="580"/>
      <c r="E522" s="580"/>
      <c r="F522" s="580"/>
      <c r="G522" s="580"/>
      <c r="H522" s="682"/>
      <c r="I522" s="580"/>
    </row>
    <row r="523" ht="13.8" customHeight="1">
      <c r="A523" s="580"/>
      <c r="B523" s="580"/>
      <c r="C523" s="580"/>
      <c r="D523" s="580"/>
      <c r="E523" s="580"/>
      <c r="F523" s="580"/>
      <c r="G523" s="580"/>
      <c r="H523" s="682"/>
      <c r="I523" s="580"/>
    </row>
    <row r="524" ht="13.8" customHeight="1">
      <c r="A524" s="580"/>
      <c r="B524" s="580"/>
      <c r="C524" s="580"/>
      <c r="D524" s="580"/>
      <c r="E524" s="580"/>
      <c r="F524" s="580"/>
      <c r="G524" s="580"/>
      <c r="H524" s="682"/>
      <c r="I524" s="580"/>
    </row>
    <row r="525" ht="13.8" customHeight="1">
      <c r="A525" s="580"/>
      <c r="B525" s="580"/>
      <c r="C525" s="580"/>
      <c r="D525" s="580"/>
      <c r="E525" s="580"/>
      <c r="F525" s="580"/>
      <c r="G525" s="580"/>
      <c r="H525" s="682"/>
      <c r="I525" s="580"/>
    </row>
    <row r="526" ht="13.8" customHeight="1">
      <c r="A526" s="580"/>
      <c r="B526" s="580"/>
      <c r="C526" s="580"/>
      <c r="D526" s="580"/>
      <c r="E526" s="580"/>
      <c r="F526" s="580"/>
      <c r="G526" s="580"/>
      <c r="H526" s="682"/>
      <c r="I526" s="580"/>
    </row>
    <row r="527" ht="13.8" customHeight="1">
      <c r="A527" s="580"/>
      <c r="B527" s="580"/>
      <c r="C527" s="580"/>
      <c r="D527" s="580"/>
      <c r="E527" s="580"/>
      <c r="F527" s="580"/>
      <c r="G527" s="580"/>
      <c r="H527" s="682"/>
      <c r="I527" s="580"/>
    </row>
    <row r="528" ht="13.8" customHeight="1">
      <c r="A528" s="580"/>
      <c r="B528" s="580"/>
      <c r="C528" s="580"/>
      <c r="D528" s="580"/>
      <c r="E528" s="580"/>
      <c r="F528" s="580"/>
      <c r="G528" s="580"/>
      <c r="H528" s="682"/>
      <c r="I528" s="580"/>
    </row>
    <row r="529" ht="13.8" customHeight="1">
      <c r="A529" s="580"/>
      <c r="B529" s="580"/>
      <c r="C529" s="580"/>
      <c r="D529" s="580"/>
      <c r="E529" s="580"/>
      <c r="F529" s="580"/>
      <c r="G529" s="580"/>
      <c r="H529" s="682"/>
      <c r="I529" s="580"/>
    </row>
    <row r="530" ht="13.8" customHeight="1">
      <c r="A530" s="580"/>
      <c r="B530" s="580"/>
      <c r="C530" s="580"/>
      <c r="D530" s="580"/>
      <c r="E530" s="580"/>
      <c r="F530" s="580"/>
      <c r="G530" s="580"/>
      <c r="H530" s="682"/>
      <c r="I530" s="580"/>
    </row>
    <row r="531" ht="13.8" customHeight="1">
      <c r="A531" s="580"/>
      <c r="B531" s="580"/>
      <c r="C531" s="580"/>
      <c r="D531" s="580"/>
      <c r="E531" s="580"/>
      <c r="F531" s="580"/>
      <c r="G531" s="580"/>
      <c r="H531" s="682"/>
      <c r="I531" s="580"/>
    </row>
    <row r="532" ht="13.8" customHeight="1">
      <c r="A532" s="580"/>
      <c r="B532" s="580"/>
      <c r="C532" s="580"/>
      <c r="D532" s="580"/>
      <c r="E532" s="580"/>
      <c r="F532" s="580"/>
      <c r="G532" s="580"/>
      <c r="H532" s="682"/>
      <c r="I532" s="580"/>
    </row>
    <row r="533" ht="13.8" customHeight="1">
      <c r="A533" s="580"/>
      <c r="B533" s="580"/>
      <c r="C533" s="580"/>
      <c r="D533" s="580"/>
      <c r="E533" s="580"/>
      <c r="F533" s="580"/>
      <c r="G533" s="580"/>
      <c r="H533" s="682"/>
      <c r="I533" s="580"/>
    </row>
    <row r="534" ht="13.8" customHeight="1">
      <c r="A534" s="580"/>
      <c r="B534" s="580"/>
      <c r="C534" s="580"/>
      <c r="D534" s="580"/>
      <c r="E534" s="580"/>
      <c r="F534" s="580"/>
      <c r="G534" s="580"/>
      <c r="H534" s="682"/>
      <c r="I534" s="580"/>
    </row>
    <row r="535" ht="13.8" customHeight="1">
      <c r="A535" s="580"/>
      <c r="B535" s="580"/>
      <c r="C535" s="580"/>
      <c r="D535" s="580"/>
      <c r="E535" s="580"/>
      <c r="F535" s="580"/>
      <c r="G535" s="580"/>
      <c r="H535" s="682"/>
      <c r="I535" s="580"/>
    </row>
    <row r="536" ht="13.8" customHeight="1">
      <c r="A536" s="580"/>
      <c r="B536" s="580"/>
      <c r="C536" s="580"/>
      <c r="D536" s="580"/>
      <c r="E536" s="580"/>
      <c r="F536" s="580"/>
      <c r="G536" s="580"/>
      <c r="H536" s="682"/>
      <c r="I536" s="580"/>
    </row>
    <row r="537" ht="13.8" customHeight="1">
      <c r="A537" s="580"/>
      <c r="B537" s="580"/>
      <c r="C537" s="580"/>
      <c r="D537" s="580"/>
      <c r="E537" s="580"/>
      <c r="F537" s="580"/>
      <c r="G537" s="580"/>
      <c r="H537" s="682"/>
      <c r="I537" s="580"/>
    </row>
    <row r="538" ht="13.8" customHeight="1">
      <c r="A538" s="580"/>
      <c r="B538" s="580"/>
      <c r="C538" s="580"/>
      <c r="D538" s="580"/>
      <c r="E538" s="580"/>
      <c r="F538" s="580"/>
      <c r="G538" s="580"/>
      <c r="H538" s="682"/>
      <c r="I538" s="580"/>
    </row>
    <row r="539" ht="13.8" customHeight="1">
      <c r="A539" s="580"/>
      <c r="B539" s="580"/>
      <c r="C539" s="580"/>
      <c r="D539" s="580"/>
      <c r="E539" s="580"/>
      <c r="F539" s="580"/>
      <c r="G539" s="580"/>
      <c r="H539" s="682"/>
      <c r="I539" s="580"/>
    </row>
    <row r="540" ht="13.8" customHeight="1">
      <c r="A540" s="580"/>
      <c r="B540" s="580"/>
      <c r="C540" s="580"/>
      <c r="D540" s="580"/>
      <c r="E540" s="580"/>
      <c r="F540" s="580"/>
      <c r="G540" s="580"/>
      <c r="H540" s="682"/>
      <c r="I540" s="580"/>
    </row>
    <row r="541" ht="13.8" customHeight="1">
      <c r="A541" s="580"/>
      <c r="B541" s="580"/>
      <c r="C541" s="580"/>
      <c r="D541" s="580"/>
      <c r="E541" s="580"/>
      <c r="F541" s="580"/>
      <c r="G541" s="580"/>
      <c r="H541" s="682"/>
      <c r="I541" s="580"/>
    </row>
    <row r="542" ht="13.8" customHeight="1">
      <c r="A542" s="580"/>
      <c r="B542" s="580"/>
      <c r="C542" s="580"/>
      <c r="D542" s="580"/>
      <c r="E542" s="580"/>
      <c r="F542" s="580"/>
      <c r="G542" s="580"/>
      <c r="H542" s="682"/>
      <c r="I542" s="580"/>
    </row>
    <row r="543" ht="13.8" customHeight="1">
      <c r="A543" s="580"/>
      <c r="B543" s="580"/>
      <c r="C543" s="580"/>
      <c r="D543" s="580"/>
      <c r="E543" s="580"/>
      <c r="F543" s="580"/>
      <c r="G543" s="580"/>
      <c r="H543" s="682"/>
      <c r="I543" s="580"/>
    </row>
    <row r="544" ht="13.8" customHeight="1">
      <c r="A544" s="580"/>
      <c r="B544" s="580"/>
      <c r="C544" s="580"/>
      <c r="D544" s="580"/>
      <c r="E544" s="580"/>
      <c r="F544" s="580"/>
      <c r="G544" s="580"/>
      <c r="H544" s="682"/>
      <c r="I544" s="580"/>
    </row>
    <row r="545" ht="13.8" customHeight="1">
      <c r="A545" s="580"/>
      <c r="B545" s="580"/>
      <c r="C545" s="580"/>
      <c r="D545" s="580"/>
      <c r="E545" s="580"/>
      <c r="F545" s="580"/>
      <c r="G545" s="580"/>
      <c r="H545" s="682"/>
      <c r="I545" s="580"/>
    </row>
    <row r="546" ht="13.8" customHeight="1">
      <c r="A546" s="580"/>
      <c r="B546" s="580"/>
      <c r="C546" s="580"/>
      <c r="D546" s="580"/>
      <c r="E546" s="580"/>
      <c r="F546" s="580"/>
      <c r="G546" s="580"/>
      <c r="H546" s="682"/>
      <c r="I546" s="580"/>
    </row>
    <row r="547" ht="13.8" customHeight="1">
      <c r="A547" s="580"/>
      <c r="B547" s="580"/>
      <c r="C547" s="580"/>
      <c r="D547" s="580"/>
      <c r="E547" s="580"/>
      <c r="F547" s="580"/>
      <c r="G547" s="580"/>
      <c r="H547" s="682"/>
      <c r="I547" s="580"/>
    </row>
    <row r="548" ht="13.8" customHeight="1">
      <c r="A548" s="580"/>
      <c r="B548" s="580"/>
      <c r="C548" s="580"/>
      <c r="D548" s="580"/>
      <c r="E548" s="580"/>
      <c r="F548" s="580"/>
      <c r="G548" s="580"/>
      <c r="H548" s="682"/>
      <c r="I548" s="580"/>
    </row>
    <row r="549" ht="13.8" customHeight="1">
      <c r="A549" s="580"/>
      <c r="B549" s="580"/>
      <c r="C549" s="580"/>
      <c r="D549" s="580"/>
      <c r="E549" s="580"/>
      <c r="F549" s="580"/>
      <c r="G549" s="580"/>
      <c r="H549" s="682"/>
      <c r="I549" s="580"/>
    </row>
    <row r="550" ht="13.8" customHeight="1">
      <c r="A550" s="580"/>
      <c r="B550" s="580"/>
      <c r="C550" s="580"/>
      <c r="D550" s="580"/>
      <c r="E550" s="580"/>
      <c r="F550" s="580"/>
      <c r="G550" s="580"/>
      <c r="H550" s="682"/>
      <c r="I550" s="580"/>
    </row>
    <row r="551" ht="13.8" customHeight="1">
      <c r="A551" s="580"/>
      <c r="B551" s="580"/>
      <c r="C551" s="580"/>
      <c r="D551" s="580"/>
      <c r="E551" s="580"/>
      <c r="F551" s="580"/>
      <c r="G551" s="580"/>
      <c r="H551" s="682"/>
      <c r="I551" s="580"/>
    </row>
    <row r="552" ht="13.8" customHeight="1">
      <c r="A552" s="580"/>
      <c r="B552" s="580"/>
      <c r="C552" s="580"/>
      <c r="D552" s="580"/>
      <c r="E552" s="580"/>
      <c r="F552" s="580"/>
      <c r="G552" s="580"/>
      <c r="H552" s="682"/>
      <c r="I552" s="580"/>
    </row>
    <row r="553" ht="13.8" customHeight="1">
      <c r="A553" s="580"/>
      <c r="B553" s="580"/>
      <c r="C553" s="580"/>
      <c r="D553" s="580"/>
      <c r="E553" s="580"/>
      <c r="F553" s="580"/>
      <c r="G553" s="580"/>
      <c r="H553" s="682"/>
      <c r="I553" s="580"/>
    </row>
    <row r="554" ht="13.8" customHeight="1">
      <c r="A554" s="580"/>
      <c r="B554" s="580"/>
      <c r="C554" s="580"/>
      <c r="D554" s="580"/>
      <c r="E554" s="580"/>
      <c r="F554" s="580"/>
      <c r="G554" s="580"/>
      <c r="H554" s="682"/>
      <c r="I554" s="580"/>
    </row>
    <row r="555" ht="13.8" customHeight="1">
      <c r="A555" s="580"/>
      <c r="B555" s="580"/>
      <c r="C555" s="580"/>
      <c r="D555" s="580"/>
      <c r="E555" s="580"/>
      <c r="F555" s="580"/>
      <c r="G555" s="580"/>
      <c r="H555" s="682"/>
      <c r="I555" s="580"/>
    </row>
    <row r="556" ht="13.8" customHeight="1">
      <c r="A556" s="580"/>
      <c r="B556" s="580"/>
      <c r="C556" s="580"/>
      <c r="D556" s="580"/>
      <c r="E556" s="580"/>
      <c r="F556" s="580"/>
      <c r="G556" s="580"/>
      <c r="H556" s="682"/>
      <c r="I556" s="580"/>
    </row>
    <row r="557" ht="13.8" customHeight="1">
      <c r="A557" s="580"/>
      <c r="B557" s="580"/>
      <c r="C557" s="580"/>
      <c r="D557" s="580"/>
      <c r="E557" s="580"/>
      <c r="F557" s="580"/>
      <c r="G557" s="580"/>
      <c r="H557" s="682"/>
      <c r="I557" s="580"/>
    </row>
    <row r="558" ht="13.8" customHeight="1">
      <c r="A558" s="580"/>
      <c r="B558" s="580"/>
      <c r="C558" s="580"/>
      <c r="D558" s="580"/>
      <c r="E558" s="580"/>
      <c r="F558" s="580"/>
      <c r="G558" s="580"/>
      <c r="H558" s="682"/>
      <c r="I558" s="580"/>
    </row>
    <row r="559" ht="13.8" customHeight="1">
      <c r="A559" s="580"/>
      <c r="B559" s="580"/>
      <c r="C559" s="580"/>
      <c r="D559" s="580"/>
      <c r="E559" s="580"/>
      <c r="F559" s="580"/>
      <c r="G559" s="580"/>
      <c r="H559" s="682"/>
      <c r="I559" s="580"/>
    </row>
    <row r="560" ht="13.8" customHeight="1">
      <c r="A560" s="580"/>
      <c r="B560" s="580"/>
      <c r="C560" s="580"/>
      <c r="D560" s="580"/>
      <c r="E560" s="580"/>
      <c r="F560" s="580"/>
      <c r="G560" s="580"/>
      <c r="H560" s="682"/>
      <c r="I560" s="580"/>
    </row>
    <row r="561" ht="13.8" customHeight="1">
      <c r="A561" s="580"/>
      <c r="B561" s="580"/>
      <c r="C561" s="580"/>
      <c r="D561" s="580"/>
      <c r="E561" s="580"/>
      <c r="F561" s="580"/>
      <c r="G561" s="580"/>
      <c r="H561" s="682"/>
      <c r="I561" s="580"/>
    </row>
    <row r="562" ht="13.8" customHeight="1">
      <c r="A562" s="580"/>
      <c r="B562" s="580"/>
      <c r="C562" s="580"/>
      <c r="D562" s="580"/>
      <c r="E562" s="580"/>
      <c r="F562" s="580"/>
      <c r="G562" s="580"/>
      <c r="H562" s="682"/>
      <c r="I562" s="580"/>
    </row>
    <row r="563" ht="13.8" customHeight="1">
      <c r="A563" s="580"/>
      <c r="B563" s="580"/>
      <c r="C563" s="580"/>
      <c r="D563" s="580"/>
      <c r="E563" s="580"/>
      <c r="F563" s="580"/>
      <c r="G563" s="580"/>
      <c r="H563" s="682"/>
      <c r="I563" s="580"/>
    </row>
    <row r="564" ht="13.8" customHeight="1">
      <c r="A564" s="580"/>
      <c r="B564" s="580"/>
      <c r="C564" s="580"/>
      <c r="D564" s="580"/>
      <c r="E564" s="580"/>
      <c r="F564" s="580"/>
      <c r="G564" s="580"/>
      <c r="H564" s="682"/>
      <c r="I564" s="580"/>
    </row>
    <row r="565" ht="13.8" customHeight="1">
      <c r="A565" s="580"/>
      <c r="B565" s="580"/>
      <c r="C565" s="580"/>
      <c r="D565" s="580"/>
      <c r="E565" s="580"/>
      <c r="F565" s="580"/>
      <c r="G565" s="580"/>
      <c r="H565" s="682"/>
      <c r="I565" s="580"/>
    </row>
    <row r="566" ht="13.8" customHeight="1">
      <c r="A566" s="580"/>
      <c r="B566" s="580"/>
      <c r="C566" s="580"/>
      <c r="D566" s="580"/>
      <c r="E566" s="580"/>
      <c r="F566" s="580"/>
      <c r="G566" s="580"/>
      <c r="H566" s="682"/>
      <c r="I566" s="580"/>
    </row>
    <row r="567" ht="13.8" customHeight="1">
      <c r="A567" s="580"/>
      <c r="B567" s="580"/>
      <c r="C567" s="580"/>
      <c r="D567" s="580"/>
      <c r="E567" s="580"/>
      <c r="F567" s="580"/>
      <c r="G567" s="580"/>
      <c r="H567" s="682"/>
      <c r="I567" s="580"/>
    </row>
    <row r="568" ht="13.8" customHeight="1">
      <c r="A568" s="580"/>
      <c r="B568" s="580"/>
      <c r="C568" s="580"/>
      <c r="D568" s="580"/>
      <c r="E568" s="580"/>
      <c r="F568" s="580"/>
      <c r="G568" s="580"/>
      <c r="H568" s="682"/>
      <c r="I568" s="580"/>
    </row>
    <row r="569" ht="13.8" customHeight="1">
      <c r="A569" s="580"/>
      <c r="B569" s="580"/>
      <c r="C569" s="580"/>
      <c r="D569" s="580"/>
      <c r="E569" s="580"/>
      <c r="F569" s="580"/>
      <c r="G569" s="580"/>
      <c r="H569" s="682"/>
      <c r="I569" s="580"/>
    </row>
    <row r="570" ht="13.8" customHeight="1">
      <c r="A570" s="580"/>
      <c r="B570" s="580"/>
      <c r="C570" s="580"/>
      <c r="D570" s="580"/>
      <c r="E570" s="580"/>
      <c r="F570" s="580"/>
      <c r="G570" s="580"/>
      <c r="H570" s="682"/>
      <c r="I570" s="580"/>
    </row>
    <row r="571" ht="13.8" customHeight="1">
      <c r="A571" s="580"/>
      <c r="B571" s="580"/>
      <c r="C571" s="580"/>
      <c r="D571" s="580"/>
      <c r="E571" s="580"/>
      <c r="F571" s="580"/>
      <c r="G571" s="580"/>
      <c r="H571" s="682"/>
      <c r="I571" s="580"/>
    </row>
    <row r="572" ht="13.8" customHeight="1">
      <c r="A572" s="580"/>
      <c r="B572" s="580"/>
      <c r="C572" s="580"/>
      <c r="D572" s="580"/>
      <c r="E572" s="580"/>
      <c r="F572" s="580"/>
      <c r="G572" s="580"/>
      <c r="H572" s="682"/>
      <c r="I572" s="580"/>
    </row>
    <row r="573" ht="13.8" customHeight="1">
      <c r="A573" s="580"/>
      <c r="B573" s="580"/>
      <c r="C573" s="580"/>
      <c r="D573" s="580"/>
      <c r="E573" s="580"/>
      <c r="F573" s="580"/>
      <c r="G573" s="580"/>
      <c r="H573" s="682"/>
      <c r="I573" s="580"/>
    </row>
    <row r="574" ht="13.8" customHeight="1">
      <c r="A574" s="580"/>
      <c r="B574" s="580"/>
      <c r="C574" s="580"/>
      <c r="D574" s="580"/>
      <c r="E574" s="580"/>
      <c r="F574" s="580"/>
      <c r="G574" s="580"/>
      <c r="H574" s="682"/>
      <c r="I574" s="580"/>
    </row>
    <row r="575" ht="13.8" customHeight="1">
      <c r="A575" s="580"/>
      <c r="B575" s="580"/>
      <c r="C575" s="580"/>
      <c r="D575" s="580"/>
      <c r="E575" s="580"/>
      <c r="F575" s="580"/>
      <c r="G575" s="580"/>
      <c r="H575" s="682"/>
      <c r="I575" s="580"/>
    </row>
    <row r="576" ht="13.8" customHeight="1">
      <c r="A576" s="580"/>
      <c r="B576" s="580"/>
      <c r="C576" s="580"/>
      <c r="D576" s="580"/>
      <c r="E576" s="580"/>
      <c r="F576" s="580"/>
      <c r="G576" s="580"/>
      <c r="H576" s="682"/>
      <c r="I576" s="580"/>
    </row>
    <row r="577" ht="13.8" customHeight="1">
      <c r="A577" s="580"/>
      <c r="B577" s="580"/>
      <c r="C577" s="580"/>
      <c r="D577" s="580"/>
      <c r="E577" s="580"/>
      <c r="F577" s="580"/>
      <c r="G577" s="580"/>
      <c r="H577" s="682"/>
      <c r="I577" s="580"/>
    </row>
    <row r="578" ht="13.8" customHeight="1">
      <c r="A578" s="580"/>
      <c r="B578" s="580"/>
      <c r="C578" s="580"/>
      <c r="D578" s="580"/>
      <c r="E578" s="580"/>
      <c r="F578" s="580"/>
      <c r="G578" s="580"/>
      <c r="H578" s="682"/>
      <c r="I578" s="580"/>
    </row>
    <row r="579" ht="13.8" customHeight="1">
      <c r="A579" s="580"/>
      <c r="B579" s="580"/>
      <c r="C579" s="580"/>
      <c r="D579" s="580"/>
      <c r="E579" s="580"/>
      <c r="F579" s="580"/>
      <c r="G579" s="580"/>
      <c r="H579" s="682"/>
      <c r="I579" s="580"/>
    </row>
    <row r="580" ht="13.8" customHeight="1">
      <c r="A580" s="580"/>
      <c r="B580" s="580"/>
      <c r="C580" s="580"/>
      <c r="D580" s="580"/>
      <c r="E580" s="580"/>
      <c r="F580" s="580"/>
      <c r="G580" s="580"/>
      <c r="H580" s="682"/>
      <c r="I580" s="580"/>
    </row>
    <row r="581" ht="13.8" customHeight="1">
      <c r="A581" s="580"/>
      <c r="B581" s="580"/>
      <c r="C581" s="580"/>
      <c r="D581" s="580"/>
      <c r="E581" s="580"/>
      <c r="F581" s="580"/>
      <c r="G581" s="580"/>
      <c r="H581" s="682"/>
      <c r="I581" s="580"/>
    </row>
    <row r="582" ht="13.8" customHeight="1">
      <c r="A582" s="580"/>
      <c r="B582" s="580"/>
      <c r="C582" s="580"/>
      <c r="D582" s="580"/>
      <c r="E582" s="580"/>
      <c r="F582" s="580"/>
      <c r="G582" s="580"/>
      <c r="H582" s="682"/>
      <c r="I582" s="580"/>
    </row>
    <row r="583" ht="13.8" customHeight="1">
      <c r="A583" s="580"/>
      <c r="B583" s="580"/>
      <c r="C583" s="580"/>
      <c r="D583" s="580"/>
      <c r="E583" s="580"/>
      <c r="F583" s="580"/>
      <c r="G583" s="580"/>
      <c r="H583" s="682"/>
      <c r="I583" s="580"/>
    </row>
    <row r="584" ht="13.8" customHeight="1">
      <c r="A584" s="580"/>
      <c r="B584" s="580"/>
      <c r="C584" s="580"/>
      <c r="D584" s="580"/>
      <c r="E584" s="580"/>
      <c r="F584" s="580"/>
      <c r="G584" s="580"/>
      <c r="H584" s="682"/>
      <c r="I584" s="580"/>
    </row>
    <row r="585" ht="13.8" customHeight="1">
      <c r="A585" s="580"/>
      <c r="B585" s="580"/>
      <c r="C585" s="580"/>
      <c r="D585" s="580"/>
      <c r="E585" s="580"/>
      <c r="F585" s="580"/>
      <c r="G585" s="580"/>
      <c r="H585" s="682"/>
      <c r="I585" s="580"/>
    </row>
    <row r="586" ht="13.8" customHeight="1">
      <c r="A586" s="580"/>
      <c r="B586" s="580"/>
      <c r="C586" s="580"/>
      <c r="D586" s="580"/>
      <c r="E586" s="580"/>
      <c r="F586" s="580"/>
      <c r="G586" s="580"/>
      <c r="H586" s="682"/>
      <c r="I586" s="580"/>
    </row>
    <row r="587" ht="13.8" customHeight="1">
      <c r="A587" s="580"/>
      <c r="B587" s="580"/>
      <c r="C587" s="580"/>
      <c r="D587" s="580"/>
      <c r="E587" s="580"/>
      <c r="F587" s="580"/>
      <c r="G587" s="580"/>
      <c r="H587" s="682"/>
      <c r="I587" s="580"/>
    </row>
    <row r="588" ht="13.8" customHeight="1">
      <c r="A588" s="580"/>
      <c r="B588" s="580"/>
      <c r="C588" s="580"/>
      <c r="D588" s="580"/>
      <c r="E588" s="580"/>
      <c r="F588" s="580"/>
      <c r="G588" s="580"/>
      <c r="H588" s="682"/>
      <c r="I588" s="580"/>
    </row>
    <row r="589" ht="13.8" customHeight="1">
      <c r="A589" s="580"/>
      <c r="B589" s="580"/>
      <c r="C589" s="580"/>
      <c r="D589" s="580"/>
      <c r="E589" s="580"/>
      <c r="F589" s="580"/>
      <c r="G589" s="580"/>
      <c r="H589" s="682"/>
      <c r="I589" s="580"/>
    </row>
    <row r="590" ht="13.8" customHeight="1">
      <c r="A590" s="580"/>
      <c r="B590" s="580"/>
      <c r="C590" s="580"/>
      <c r="D590" s="580"/>
      <c r="E590" s="580"/>
      <c r="F590" s="580"/>
      <c r="G590" s="580"/>
      <c r="H590" s="682"/>
      <c r="I590" s="580"/>
    </row>
    <row r="591" ht="13.8" customHeight="1">
      <c r="A591" s="580"/>
      <c r="B591" s="580"/>
      <c r="C591" s="580"/>
      <c r="D591" s="580"/>
      <c r="E591" s="580"/>
      <c r="F591" s="580"/>
      <c r="G591" s="580"/>
      <c r="H591" s="682"/>
      <c r="I591" s="580"/>
    </row>
    <row r="592" ht="13.8" customHeight="1">
      <c r="A592" s="580"/>
      <c r="B592" s="580"/>
      <c r="C592" s="580"/>
      <c r="D592" s="580"/>
      <c r="E592" s="580"/>
      <c r="F592" s="580"/>
      <c r="G592" s="580"/>
      <c r="H592" s="682"/>
      <c r="I592" s="580"/>
    </row>
    <row r="593" ht="13.8" customHeight="1">
      <c r="A593" s="580"/>
      <c r="B593" s="580"/>
      <c r="C593" s="580"/>
      <c r="D593" s="580"/>
      <c r="E593" s="580"/>
      <c r="F593" s="580"/>
      <c r="G593" s="580"/>
      <c r="H593" s="682"/>
      <c r="I593" s="580"/>
    </row>
    <row r="594" ht="13.8" customHeight="1">
      <c r="A594" s="580"/>
      <c r="B594" s="580"/>
      <c r="C594" s="580"/>
      <c r="D594" s="580"/>
      <c r="E594" s="580"/>
      <c r="F594" s="580"/>
      <c r="G594" s="580"/>
      <c r="H594" s="682"/>
      <c r="I594" s="580"/>
    </row>
    <row r="595" ht="13.8" customHeight="1">
      <c r="A595" s="580"/>
      <c r="B595" s="580"/>
      <c r="C595" s="580"/>
      <c r="D595" s="580"/>
      <c r="E595" s="580"/>
      <c r="F595" s="580"/>
      <c r="G595" s="580"/>
      <c r="H595" s="682"/>
      <c r="I595" s="580"/>
    </row>
    <row r="596" ht="13.8" customHeight="1">
      <c r="A596" s="580"/>
      <c r="B596" s="580"/>
      <c r="C596" s="580"/>
      <c r="D596" s="580"/>
      <c r="E596" s="580"/>
      <c r="F596" s="580"/>
      <c r="G596" s="580"/>
      <c r="H596" s="682"/>
      <c r="I596" s="580"/>
    </row>
    <row r="597" ht="13.8" customHeight="1">
      <c r="A597" s="580"/>
      <c r="B597" s="580"/>
      <c r="C597" s="580"/>
      <c r="D597" s="580"/>
      <c r="E597" s="580"/>
      <c r="F597" s="580"/>
      <c r="G597" s="580"/>
      <c r="H597" s="682"/>
      <c r="I597" s="580"/>
    </row>
    <row r="598" ht="13.8" customHeight="1">
      <c r="A598" s="580"/>
      <c r="B598" s="580"/>
      <c r="C598" s="580"/>
      <c r="D598" s="580"/>
      <c r="E598" s="580"/>
      <c r="F598" s="580"/>
      <c r="G598" s="580"/>
      <c r="H598" s="682"/>
      <c r="I598" s="580"/>
    </row>
    <row r="599" ht="13.8" customHeight="1">
      <c r="A599" s="580"/>
      <c r="B599" s="580"/>
      <c r="C599" s="580"/>
      <c r="D599" s="580"/>
      <c r="E599" s="580"/>
      <c r="F599" s="580"/>
      <c r="G599" s="580"/>
      <c r="H599" s="682"/>
      <c r="I599" s="580"/>
    </row>
    <row r="600" ht="13.8" customHeight="1">
      <c r="A600" s="580"/>
      <c r="B600" s="580"/>
      <c r="C600" s="580"/>
      <c r="D600" s="580"/>
      <c r="E600" s="580"/>
      <c r="F600" s="580"/>
      <c r="G600" s="580"/>
      <c r="H600" s="682"/>
      <c r="I600" s="580"/>
    </row>
    <row r="601" ht="13.8" customHeight="1">
      <c r="A601" s="580"/>
      <c r="B601" s="580"/>
      <c r="C601" s="580"/>
      <c r="D601" s="580"/>
      <c r="E601" s="580"/>
      <c r="F601" s="580"/>
      <c r="G601" s="580"/>
      <c r="H601" s="682"/>
      <c r="I601" s="580"/>
    </row>
    <row r="602" ht="13.8" customHeight="1">
      <c r="A602" s="580"/>
      <c r="B602" s="580"/>
      <c r="C602" s="580"/>
      <c r="D602" s="580"/>
      <c r="E602" s="580"/>
      <c r="F602" s="580"/>
      <c r="G602" s="580"/>
      <c r="H602" s="682"/>
      <c r="I602" s="580"/>
    </row>
    <row r="603" ht="13.8" customHeight="1">
      <c r="A603" s="580"/>
      <c r="B603" s="580"/>
      <c r="C603" s="580"/>
      <c r="D603" s="580"/>
      <c r="E603" s="580"/>
      <c r="F603" s="580"/>
      <c r="G603" s="580"/>
      <c r="H603" s="682"/>
      <c r="I603" s="580"/>
    </row>
    <row r="604" ht="13.8" customHeight="1">
      <c r="A604" s="580"/>
      <c r="B604" s="580"/>
      <c r="C604" s="580"/>
      <c r="D604" s="580"/>
      <c r="E604" s="580"/>
      <c r="F604" s="580"/>
      <c r="G604" s="580"/>
      <c r="H604" s="682"/>
      <c r="I604" s="580"/>
    </row>
    <row r="605" ht="13.8" customHeight="1">
      <c r="A605" s="580"/>
      <c r="B605" s="580"/>
      <c r="C605" s="580"/>
      <c r="D605" s="580"/>
      <c r="E605" s="580"/>
      <c r="F605" s="580"/>
      <c r="G605" s="580"/>
      <c r="H605" s="682"/>
      <c r="I605" s="580"/>
    </row>
    <row r="606" ht="13.8" customHeight="1">
      <c r="A606" s="580"/>
      <c r="B606" s="580"/>
      <c r="C606" s="580"/>
      <c r="D606" s="580"/>
      <c r="E606" s="580"/>
      <c r="F606" s="580"/>
      <c r="G606" s="580"/>
      <c r="H606" s="682"/>
      <c r="I606" s="580"/>
    </row>
    <row r="607" ht="13.8" customHeight="1">
      <c r="A607" s="580"/>
      <c r="B607" s="580"/>
      <c r="C607" s="580"/>
      <c r="D607" s="580"/>
      <c r="E607" s="580"/>
      <c r="F607" s="580"/>
      <c r="G607" s="580"/>
      <c r="H607" s="682"/>
      <c r="I607" s="580"/>
    </row>
    <row r="608" ht="13.8" customHeight="1">
      <c r="A608" s="580"/>
      <c r="B608" s="580"/>
      <c r="C608" s="580"/>
      <c r="D608" s="580"/>
      <c r="E608" s="580"/>
      <c r="F608" s="580"/>
      <c r="G608" s="580"/>
      <c r="H608" s="682"/>
      <c r="I608" s="580"/>
    </row>
    <row r="609" ht="13.8" customHeight="1">
      <c r="A609" s="580"/>
      <c r="B609" s="580"/>
      <c r="C609" s="580"/>
      <c r="D609" s="580"/>
      <c r="E609" s="580"/>
      <c r="F609" s="580"/>
      <c r="G609" s="580"/>
      <c r="H609" s="682"/>
      <c r="I609" s="580"/>
    </row>
    <row r="610" ht="13.8" customHeight="1">
      <c r="A610" s="580"/>
      <c r="B610" s="580"/>
      <c r="C610" s="580"/>
      <c r="D610" s="580"/>
      <c r="E610" s="580"/>
      <c r="F610" s="580"/>
      <c r="G610" s="580"/>
      <c r="H610" s="682"/>
      <c r="I610" s="580"/>
    </row>
    <row r="611" ht="13.8" customHeight="1">
      <c r="A611" s="580"/>
      <c r="B611" s="580"/>
      <c r="C611" s="580"/>
      <c r="D611" s="580"/>
      <c r="E611" s="580"/>
      <c r="F611" s="580"/>
      <c r="G611" s="580"/>
      <c r="H611" s="682"/>
      <c r="I611" s="580"/>
    </row>
    <row r="612" ht="13.8" customHeight="1">
      <c r="A612" s="580"/>
      <c r="B612" s="580"/>
      <c r="C612" s="580"/>
      <c r="D612" s="580"/>
      <c r="E612" s="580"/>
      <c r="F612" s="580"/>
      <c r="G612" s="580"/>
      <c r="H612" s="682"/>
      <c r="I612" s="580"/>
    </row>
    <row r="613" ht="13.8" customHeight="1">
      <c r="A613" s="580"/>
      <c r="B613" s="580"/>
      <c r="C613" s="580"/>
      <c r="D613" s="580"/>
      <c r="E613" s="580"/>
      <c r="F613" s="580"/>
      <c r="G613" s="580"/>
      <c r="H613" s="682"/>
      <c r="I613" s="580"/>
    </row>
    <row r="614" ht="13.8" customHeight="1">
      <c r="A614" s="580"/>
      <c r="B614" s="580"/>
      <c r="C614" s="580"/>
      <c r="D614" s="580"/>
      <c r="E614" s="580"/>
      <c r="F614" s="580"/>
      <c r="G614" s="580"/>
      <c r="H614" s="682"/>
      <c r="I614" s="580"/>
    </row>
    <row r="615" ht="13.8" customHeight="1">
      <c r="A615" s="580"/>
      <c r="B615" s="580"/>
      <c r="C615" s="580"/>
      <c r="D615" s="580"/>
      <c r="E615" s="580"/>
      <c r="F615" s="580"/>
      <c r="G615" s="580"/>
      <c r="H615" s="682"/>
      <c r="I615" s="580"/>
    </row>
    <row r="616" ht="13.8" customHeight="1">
      <c r="A616" s="580"/>
      <c r="B616" s="580"/>
      <c r="C616" s="580"/>
      <c r="D616" s="580"/>
      <c r="E616" s="580"/>
      <c r="F616" s="580"/>
      <c r="G616" s="580"/>
      <c r="H616" s="682"/>
      <c r="I616" s="580"/>
    </row>
    <row r="617" ht="13.8" customHeight="1">
      <c r="A617" s="580"/>
      <c r="B617" s="580"/>
      <c r="C617" s="580"/>
      <c r="D617" s="580"/>
      <c r="E617" s="580"/>
      <c r="F617" s="580"/>
      <c r="G617" s="580"/>
      <c r="H617" s="682"/>
      <c r="I617" s="580"/>
    </row>
    <row r="618" ht="13.8" customHeight="1">
      <c r="A618" s="580"/>
      <c r="B618" s="580"/>
      <c r="C618" s="580"/>
      <c r="D618" s="580"/>
      <c r="E618" s="580"/>
      <c r="F618" s="580"/>
      <c r="G618" s="580"/>
      <c r="H618" s="682"/>
      <c r="I618" s="580"/>
    </row>
    <row r="619" ht="13.8" customHeight="1">
      <c r="A619" s="580"/>
      <c r="B619" s="580"/>
      <c r="C619" s="580"/>
      <c r="D619" s="580"/>
      <c r="E619" s="580"/>
      <c r="F619" s="580"/>
      <c r="G619" s="580"/>
      <c r="H619" s="682"/>
      <c r="I619" s="580"/>
    </row>
    <row r="620" ht="13.8" customHeight="1">
      <c r="A620" s="580"/>
      <c r="B620" s="580"/>
      <c r="C620" s="580"/>
      <c r="D620" s="580"/>
      <c r="E620" s="580"/>
      <c r="F620" s="580"/>
      <c r="G620" s="580"/>
      <c r="H620" s="682"/>
      <c r="I620" s="580"/>
    </row>
    <row r="621" ht="13.8" customHeight="1">
      <c r="A621" s="580"/>
      <c r="B621" s="580"/>
      <c r="C621" s="580"/>
      <c r="D621" s="580"/>
      <c r="E621" s="580"/>
      <c r="F621" s="580"/>
      <c r="G621" s="580"/>
      <c r="H621" s="682"/>
      <c r="I621" s="580"/>
    </row>
    <row r="622" ht="13.8" customHeight="1">
      <c r="A622" s="580"/>
      <c r="B622" s="580"/>
      <c r="C622" s="580"/>
      <c r="D622" s="580"/>
      <c r="E622" s="580"/>
      <c r="F622" s="580"/>
      <c r="G622" s="580"/>
      <c r="H622" s="682"/>
      <c r="I622" s="580"/>
    </row>
    <row r="623" ht="13.8" customHeight="1">
      <c r="A623" s="580"/>
      <c r="B623" s="580"/>
      <c r="C623" s="580"/>
      <c r="D623" s="580"/>
      <c r="E623" s="580"/>
      <c r="F623" s="580"/>
      <c r="G623" s="580"/>
      <c r="H623" s="682"/>
      <c r="I623" s="580"/>
    </row>
    <row r="624" ht="13.8" customHeight="1">
      <c r="A624" s="580"/>
      <c r="B624" s="580"/>
      <c r="C624" s="580"/>
      <c r="D624" s="580"/>
      <c r="E624" s="580"/>
      <c r="F624" s="580"/>
      <c r="G624" s="580"/>
      <c r="H624" s="682"/>
      <c r="I624" s="580"/>
    </row>
    <row r="625" ht="13.8" customHeight="1">
      <c r="A625" s="580"/>
      <c r="B625" s="580"/>
      <c r="C625" s="580"/>
      <c r="D625" s="580"/>
      <c r="E625" s="580"/>
      <c r="F625" s="580"/>
      <c r="G625" s="580"/>
      <c r="H625" s="682"/>
      <c r="I625" s="580"/>
    </row>
    <row r="626" ht="13.8" customHeight="1">
      <c r="A626" s="580"/>
      <c r="B626" s="580"/>
      <c r="C626" s="580"/>
      <c r="D626" s="580"/>
      <c r="E626" s="580"/>
      <c r="F626" s="580"/>
      <c r="G626" s="580"/>
      <c r="H626" s="682"/>
      <c r="I626" s="580"/>
    </row>
    <row r="627" ht="13.8" customHeight="1">
      <c r="A627" s="580"/>
      <c r="B627" s="580"/>
      <c r="C627" s="580"/>
      <c r="D627" s="580"/>
      <c r="E627" s="580"/>
      <c r="F627" s="580"/>
      <c r="G627" s="580"/>
      <c r="H627" s="682"/>
      <c r="I627" s="580"/>
    </row>
    <row r="628" ht="13.8" customHeight="1">
      <c r="A628" s="580"/>
      <c r="B628" s="580"/>
      <c r="C628" s="580"/>
      <c r="D628" s="580"/>
      <c r="E628" s="580"/>
      <c r="F628" s="580"/>
      <c r="G628" s="580"/>
      <c r="H628" s="682"/>
      <c r="I628" s="580"/>
    </row>
    <row r="629" ht="13.8" customHeight="1">
      <c r="A629" s="580"/>
      <c r="B629" s="580"/>
      <c r="C629" s="580"/>
      <c r="D629" s="580"/>
      <c r="E629" s="580"/>
      <c r="F629" s="580"/>
      <c r="G629" s="580"/>
      <c r="H629" s="682"/>
      <c r="I629" s="580"/>
    </row>
    <row r="630" ht="13.8" customHeight="1">
      <c r="A630" s="580"/>
      <c r="B630" s="580"/>
      <c r="C630" s="580"/>
      <c r="D630" s="580"/>
      <c r="E630" s="580"/>
      <c r="F630" s="580"/>
      <c r="G630" s="580"/>
      <c r="H630" s="682"/>
      <c r="I630" s="580"/>
    </row>
    <row r="631" ht="13.8" customHeight="1">
      <c r="A631" s="580"/>
      <c r="B631" s="580"/>
      <c r="C631" s="580"/>
      <c r="D631" s="580"/>
      <c r="E631" s="580"/>
      <c r="F631" s="580"/>
      <c r="G631" s="580"/>
      <c r="H631" s="682"/>
      <c r="I631" s="580"/>
    </row>
    <row r="632" ht="13.8" customHeight="1">
      <c r="A632" s="580"/>
      <c r="B632" s="580"/>
      <c r="C632" s="580"/>
      <c r="D632" s="580"/>
      <c r="E632" s="580"/>
      <c r="F632" s="580"/>
      <c r="G632" s="580"/>
      <c r="H632" s="682"/>
      <c r="I632" s="580"/>
    </row>
    <row r="633" ht="13.8" customHeight="1">
      <c r="A633" s="580"/>
      <c r="B633" s="580"/>
      <c r="C633" s="580"/>
      <c r="D633" s="580"/>
      <c r="E633" s="580"/>
      <c r="F633" s="580"/>
      <c r="G633" s="580"/>
      <c r="H633" s="682"/>
      <c r="I633" s="580"/>
    </row>
    <row r="634" ht="13.8" customHeight="1">
      <c r="A634" s="580"/>
      <c r="B634" s="580"/>
      <c r="C634" s="580"/>
      <c r="D634" s="580"/>
      <c r="E634" s="580"/>
      <c r="F634" s="580"/>
      <c r="G634" s="580"/>
      <c r="H634" s="682"/>
      <c r="I634" s="580"/>
    </row>
    <row r="635" ht="13.8" customHeight="1">
      <c r="A635" s="580"/>
      <c r="B635" s="580"/>
      <c r="C635" s="580"/>
      <c r="D635" s="580"/>
      <c r="E635" s="580"/>
      <c r="F635" s="580"/>
      <c r="G635" s="580"/>
      <c r="H635" s="682"/>
      <c r="I635" s="580"/>
    </row>
    <row r="636" ht="13.8" customHeight="1">
      <c r="A636" s="580"/>
      <c r="B636" s="580"/>
      <c r="C636" s="580"/>
      <c r="D636" s="580"/>
      <c r="E636" s="580"/>
      <c r="F636" s="580"/>
      <c r="G636" s="580"/>
      <c r="H636" s="682"/>
      <c r="I636" s="580"/>
    </row>
    <row r="637" ht="13.8" customHeight="1">
      <c r="A637" s="580"/>
      <c r="B637" s="580"/>
      <c r="C637" s="580"/>
      <c r="D637" s="580"/>
      <c r="E637" s="580"/>
      <c r="F637" s="580"/>
      <c r="G637" s="580"/>
      <c r="H637" s="682"/>
      <c r="I637" s="580"/>
    </row>
    <row r="638" ht="13.8" customHeight="1">
      <c r="A638" s="580"/>
      <c r="B638" s="580"/>
      <c r="C638" s="580"/>
      <c r="D638" s="580"/>
      <c r="E638" s="580"/>
      <c r="F638" s="580"/>
      <c r="G638" s="580"/>
      <c r="H638" s="682"/>
      <c r="I638" s="580"/>
    </row>
    <row r="639" ht="13.8" customHeight="1">
      <c r="A639" s="580"/>
      <c r="B639" s="580"/>
      <c r="C639" s="580"/>
      <c r="D639" s="580"/>
      <c r="E639" s="580"/>
      <c r="F639" s="580"/>
      <c r="G639" s="580"/>
      <c r="H639" s="682"/>
      <c r="I639" s="580"/>
    </row>
    <row r="640" ht="13.8" customHeight="1">
      <c r="A640" s="580"/>
      <c r="B640" s="580"/>
      <c r="C640" s="580"/>
      <c r="D640" s="580"/>
      <c r="E640" s="580"/>
      <c r="F640" s="580"/>
      <c r="G640" s="580"/>
      <c r="H640" s="682"/>
      <c r="I640" s="580"/>
    </row>
    <row r="641" ht="13.8" customHeight="1">
      <c r="A641" s="580"/>
      <c r="B641" s="580"/>
      <c r="C641" s="580"/>
      <c r="D641" s="580"/>
      <c r="E641" s="580"/>
      <c r="F641" s="580"/>
      <c r="G641" s="580"/>
      <c r="H641" s="682"/>
      <c r="I641" s="580"/>
    </row>
    <row r="642" ht="13.8" customHeight="1">
      <c r="A642" s="580"/>
      <c r="B642" s="580"/>
      <c r="C642" s="580"/>
      <c r="D642" s="580"/>
      <c r="E642" s="580"/>
      <c r="F642" s="580"/>
      <c r="G642" s="580"/>
      <c r="H642" s="682"/>
      <c r="I642" s="580"/>
    </row>
    <row r="643" ht="13.8" customHeight="1">
      <c r="A643" s="580"/>
      <c r="B643" s="580"/>
      <c r="C643" s="580"/>
      <c r="D643" s="580"/>
      <c r="E643" s="580"/>
      <c r="F643" s="580"/>
      <c r="G643" s="580"/>
      <c r="H643" s="682"/>
      <c r="I643" s="580"/>
    </row>
    <row r="644" ht="13.8" customHeight="1">
      <c r="A644" s="580"/>
      <c r="B644" s="580"/>
      <c r="C644" s="580"/>
      <c r="D644" s="580"/>
      <c r="E644" s="580"/>
      <c r="F644" s="580"/>
      <c r="G644" s="580"/>
      <c r="H644" s="682"/>
      <c r="I644" s="580"/>
    </row>
    <row r="645" ht="13.8" customHeight="1">
      <c r="A645" s="580"/>
      <c r="B645" s="580"/>
      <c r="C645" s="580"/>
      <c r="D645" s="580"/>
      <c r="E645" s="580"/>
      <c r="F645" s="580"/>
      <c r="G645" s="580"/>
      <c r="H645" s="682"/>
      <c r="I645" s="580"/>
    </row>
    <row r="646" ht="13.8" customHeight="1">
      <c r="A646" s="580"/>
      <c r="B646" s="580"/>
      <c r="C646" s="580"/>
      <c r="D646" s="580"/>
      <c r="E646" s="580"/>
      <c r="F646" s="580"/>
      <c r="G646" s="580"/>
      <c r="H646" s="682"/>
      <c r="I646" s="580"/>
    </row>
    <row r="647" ht="13.8" customHeight="1">
      <c r="A647" s="580"/>
      <c r="B647" s="580"/>
      <c r="C647" s="580"/>
      <c r="D647" s="580"/>
      <c r="E647" s="580"/>
      <c r="F647" s="580"/>
      <c r="G647" s="580"/>
      <c r="H647" s="682"/>
      <c r="I647" s="580"/>
    </row>
    <row r="648" ht="13.8" customHeight="1">
      <c r="A648" s="580"/>
      <c r="B648" s="580"/>
      <c r="C648" s="580"/>
      <c r="D648" s="580"/>
      <c r="E648" s="580"/>
      <c r="F648" s="580"/>
      <c r="G648" s="580"/>
      <c r="H648" s="682"/>
      <c r="I648" s="580"/>
    </row>
    <row r="649" ht="13.8" customHeight="1">
      <c r="A649" s="580"/>
      <c r="B649" s="580"/>
      <c r="C649" s="580"/>
      <c r="D649" s="580"/>
      <c r="E649" s="580"/>
      <c r="F649" s="580"/>
      <c r="G649" s="580"/>
      <c r="H649" s="682"/>
      <c r="I649" s="580"/>
    </row>
    <row r="650" ht="13.8" customHeight="1">
      <c r="A650" s="580"/>
      <c r="B650" s="580"/>
      <c r="C650" s="580"/>
      <c r="D650" s="580"/>
      <c r="E650" s="580"/>
      <c r="F650" s="580"/>
      <c r="G650" s="580"/>
      <c r="H650" s="682"/>
      <c r="I650" s="580"/>
    </row>
    <row r="651" ht="13.8" customHeight="1">
      <c r="A651" s="580"/>
      <c r="B651" s="580"/>
      <c r="C651" s="580"/>
      <c r="D651" s="580"/>
      <c r="E651" s="580"/>
      <c r="F651" s="580"/>
      <c r="G651" s="580"/>
      <c r="H651" s="682"/>
      <c r="I651" s="580"/>
    </row>
    <row r="652" ht="13.8" customHeight="1">
      <c r="A652" s="580"/>
      <c r="B652" s="580"/>
      <c r="C652" s="580"/>
      <c r="D652" s="580"/>
      <c r="E652" s="580"/>
      <c r="F652" s="580"/>
      <c r="G652" s="580"/>
      <c r="H652" s="682"/>
      <c r="I652" s="580"/>
    </row>
    <row r="653" ht="13.8" customHeight="1">
      <c r="A653" s="580"/>
      <c r="B653" s="580"/>
      <c r="C653" s="580"/>
      <c r="D653" s="580"/>
      <c r="E653" s="580"/>
      <c r="F653" s="580"/>
      <c r="G653" s="580"/>
      <c r="H653" s="682"/>
      <c r="I653" s="580"/>
    </row>
    <row r="654" ht="13.8" customHeight="1">
      <c r="A654" s="580"/>
      <c r="B654" s="580"/>
      <c r="C654" s="580"/>
      <c r="D654" s="580"/>
      <c r="E654" s="580"/>
      <c r="F654" s="580"/>
      <c r="G654" s="580"/>
      <c r="H654" s="682"/>
      <c r="I654" s="580"/>
    </row>
    <row r="655" ht="13.8" customHeight="1">
      <c r="A655" s="580"/>
      <c r="B655" s="580"/>
      <c r="C655" s="580"/>
      <c r="D655" s="580"/>
      <c r="E655" s="580"/>
      <c r="F655" s="580"/>
      <c r="G655" s="580"/>
      <c r="H655" s="682"/>
      <c r="I655" s="580"/>
    </row>
    <row r="656" ht="13.8" customHeight="1">
      <c r="A656" s="580"/>
      <c r="B656" s="580"/>
      <c r="C656" s="580"/>
      <c r="D656" s="580"/>
      <c r="E656" s="580"/>
      <c r="F656" s="580"/>
      <c r="G656" s="580"/>
      <c r="H656" s="682"/>
      <c r="I656" s="580"/>
    </row>
    <row r="657" ht="13.8" customHeight="1">
      <c r="A657" s="580"/>
      <c r="B657" s="580"/>
      <c r="C657" s="580"/>
      <c r="D657" s="580"/>
      <c r="E657" s="580"/>
      <c r="F657" s="580"/>
      <c r="G657" s="580"/>
      <c r="H657" s="682"/>
      <c r="I657" s="580"/>
    </row>
    <row r="658" ht="13.8" customHeight="1">
      <c r="A658" s="580"/>
      <c r="B658" s="580"/>
      <c r="C658" s="580"/>
      <c r="D658" s="580"/>
      <c r="E658" s="580"/>
      <c r="F658" s="580"/>
      <c r="G658" s="580"/>
      <c r="H658" s="682"/>
      <c r="I658" s="580"/>
    </row>
    <row r="659" ht="13.8" customHeight="1">
      <c r="A659" s="580"/>
      <c r="B659" s="580"/>
      <c r="C659" s="580"/>
      <c r="D659" s="580"/>
      <c r="E659" s="580"/>
      <c r="F659" s="580"/>
      <c r="G659" s="580"/>
      <c r="H659" s="682"/>
      <c r="I659" s="580"/>
    </row>
    <row r="660" ht="13.8" customHeight="1">
      <c r="A660" s="580"/>
      <c r="B660" s="580"/>
      <c r="C660" s="580"/>
      <c r="D660" s="580"/>
      <c r="E660" s="580"/>
      <c r="F660" s="580"/>
      <c r="G660" s="580"/>
      <c r="H660" s="682"/>
      <c r="I660" s="580"/>
    </row>
    <row r="661" ht="13.8" customHeight="1">
      <c r="A661" s="580"/>
      <c r="B661" s="580"/>
      <c r="C661" s="580"/>
      <c r="D661" s="580"/>
      <c r="E661" s="580"/>
      <c r="F661" s="580"/>
      <c r="G661" s="580"/>
      <c r="H661" s="682"/>
      <c r="I661" s="580"/>
    </row>
    <row r="662" ht="13.8" customHeight="1">
      <c r="A662" s="580"/>
      <c r="B662" s="580"/>
      <c r="C662" s="580"/>
      <c r="D662" s="580"/>
      <c r="E662" s="580"/>
      <c r="F662" s="580"/>
      <c r="G662" s="580"/>
      <c r="H662" s="682"/>
      <c r="I662" s="580"/>
    </row>
    <row r="663" ht="13.8" customHeight="1">
      <c r="A663" s="580"/>
      <c r="B663" s="580"/>
      <c r="C663" s="580"/>
      <c r="D663" s="580"/>
      <c r="E663" s="580"/>
      <c r="F663" s="580"/>
      <c r="G663" s="580"/>
      <c r="H663" s="682"/>
      <c r="I663" s="580"/>
    </row>
    <row r="664" ht="13.8" customHeight="1">
      <c r="A664" s="580"/>
      <c r="B664" s="580"/>
      <c r="C664" s="580"/>
      <c r="D664" s="580"/>
      <c r="E664" s="580"/>
      <c r="F664" s="580"/>
      <c r="G664" s="580"/>
      <c r="H664" s="682"/>
      <c r="I664" s="580"/>
    </row>
    <row r="665" ht="13.8" customHeight="1">
      <c r="A665" s="580"/>
      <c r="B665" s="580"/>
      <c r="C665" s="580"/>
      <c r="D665" s="580"/>
      <c r="E665" s="580"/>
      <c r="F665" s="580"/>
      <c r="G665" s="580"/>
      <c r="H665" s="682"/>
      <c r="I665" s="580"/>
    </row>
    <row r="666" ht="13.8" customHeight="1">
      <c r="A666" s="580"/>
      <c r="B666" s="580"/>
      <c r="C666" s="580"/>
      <c r="D666" s="580"/>
      <c r="E666" s="580"/>
      <c r="F666" s="580"/>
      <c r="G666" s="580"/>
      <c r="H666" s="682"/>
      <c r="I666" s="580"/>
    </row>
    <row r="667" ht="13.8" customHeight="1">
      <c r="A667" s="580"/>
      <c r="B667" s="580"/>
      <c r="C667" s="580"/>
      <c r="D667" s="580"/>
      <c r="E667" s="580"/>
      <c r="F667" s="580"/>
      <c r="G667" s="580"/>
      <c r="H667" s="682"/>
      <c r="I667" s="580"/>
    </row>
    <row r="668" ht="13.8" customHeight="1">
      <c r="A668" s="580"/>
      <c r="B668" s="580"/>
      <c r="C668" s="580"/>
      <c r="D668" s="580"/>
      <c r="E668" s="580"/>
      <c r="F668" s="580"/>
      <c r="G668" s="580"/>
      <c r="H668" s="682"/>
      <c r="I668" s="580"/>
    </row>
    <row r="669" ht="13.8" customHeight="1">
      <c r="A669" s="580"/>
      <c r="B669" s="580"/>
      <c r="C669" s="580"/>
      <c r="D669" s="580"/>
      <c r="E669" s="580"/>
      <c r="F669" s="580"/>
      <c r="G669" s="580"/>
      <c r="H669" s="682"/>
      <c r="I669" s="580"/>
    </row>
    <row r="670" ht="13.8" customHeight="1">
      <c r="A670" s="580"/>
      <c r="B670" s="580"/>
      <c r="C670" s="580"/>
      <c r="D670" s="580"/>
      <c r="E670" s="580"/>
      <c r="F670" s="580"/>
      <c r="G670" s="580"/>
      <c r="H670" s="682"/>
      <c r="I670" s="580"/>
    </row>
    <row r="671" ht="13.8" customHeight="1">
      <c r="A671" s="580"/>
      <c r="B671" s="580"/>
      <c r="C671" s="580"/>
      <c r="D671" s="580"/>
      <c r="E671" s="580"/>
      <c r="F671" s="580"/>
      <c r="G671" s="580"/>
      <c r="H671" s="682"/>
      <c r="I671" s="580"/>
    </row>
    <row r="672" ht="13.8" customHeight="1">
      <c r="A672" s="580"/>
      <c r="B672" s="580"/>
      <c r="C672" s="580"/>
      <c r="D672" s="580"/>
      <c r="E672" s="580"/>
      <c r="F672" s="580"/>
      <c r="G672" s="580"/>
      <c r="H672" s="682"/>
      <c r="I672" s="580"/>
    </row>
    <row r="673" ht="13.8" customHeight="1">
      <c r="A673" s="580"/>
      <c r="B673" s="580"/>
      <c r="C673" s="580"/>
      <c r="D673" s="580"/>
      <c r="E673" s="580"/>
      <c r="F673" s="580"/>
      <c r="G673" s="580"/>
      <c r="H673" s="682"/>
      <c r="I673" s="580"/>
    </row>
    <row r="674" ht="13.8" customHeight="1">
      <c r="A674" s="580"/>
      <c r="B674" s="580"/>
      <c r="C674" s="580"/>
      <c r="D674" s="580"/>
      <c r="E674" s="580"/>
      <c r="F674" s="580"/>
      <c r="G674" s="580"/>
      <c r="H674" s="682"/>
      <c r="I674" s="580"/>
    </row>
    <row r="675" ht="13.8" customHeight="1">
      <c r="A675" s="580"/>
      <c r="B675" s="580"/>
      <c r="C675" s="580"/>
      <c r="D675" s="580"/>
      <c r="E675" s="580"/>
      <c r="F675" s="580"/>
      <c r="G675" s="580"/>
      <c r="H675" s="682"/>
      <c r="I675" s="580"/>
    </row>
    <row r="676" ht="13.8" customHeight="1">
      <c r="A676" s="580"/>
      <c r="B676" s="580"/>
      <c r="C676" s="580"/>
      <c r="D676" s="580"/>
      <c r="E676" s="580"/>
      <c r="F676" s="580"/>
      <c r="G676" s="580"/>
      <c r="H676" s="682"/>
      <c r="I676" s="580"/>
    </row>
    <row r="677" ht="13.8" customHeight="1">
      <c r="A677" s="580"/>
      <c r="B677" s="580"/>
      <c r="C677" s="580"/>
      <c r="D677" s="580"/>
      <c r="E677" s="580"/>
      <c r="F677" s="580"/>
      <c r="G677" s="580"/>
      <c r="H677" s="682"/>
      <c r="I677" s="580"/>
    </row>
    <row r="678" ht="13.8" customHeight="1">
      <c r="A678" s="580"/>
      <c r="B678" s="580"/>
      <c r="C678" s="580"/>
      <c r="D678" s="580"/>
      <c r="E678" s="580"/>
      <c r="F678" s="580"/>
      <c r="G678" s="580"/>
      <c r="H678" s="682"/>
      <c r="I678" s="580"/>
    </row>
    <row r="679" ht="13.8" customHeight="1">
      <c r="A679" s="580"/>
      <c r="B679" s="580"/>
      <c r="C679" s="580"/>
      <c r="D679" s="580"/>
      <c r="E679" s="580"/>
      <c r="F679" s="580"/>
      <c r="G679" s="580"/>
      <c r="H679" s="682"/>
      <c r="I679" s="580"/>
    </row>
    <row r="680" ht="13.8" customHeight="1">
      <c r="A680" s="580"/>
      <c r="B680" s="580"/>
      <c r="C680" s="580"/>
      <c r="D680" s="580"/>
      <c r="E680" s="580"/>
      <c r="F680" s="580"/>
      <c r="G680" s="580"/>
      <c r="H680" s="682"/>
      <c r="I680" s="580"/>
    </row>
    <row r="681" ht="13.8" customHeight="1">
      <c r="A681" s="580"/>
      <c r="B681" s="580"/>
      <c r="C681" s="580"/>
      <c r="D681" s="580"/>
      <c r="E681" s="580"/>
      <c r="F681" s="580"/>
      <c r="G681" s="580"/>
      <c r="H681" s="682"/>
      <c r="I681" s="580"/>
    </row>
    <row r="682" ht="13.8" customHeight="1">
      <c r="A682" s="580"/>
      <c r="B682" s="580"/>
      <c r="C682" s="580"/>
      <c r="D682" s="580"/>
      <c r="E682" s="580"/>
      <c r="F682" s="580"/>
      <c r="G682" s="580"/>
      <c r="H682" s="682"/>
      <c r="I682" s="580"/>
    </row>
    <row r="683" ht="13.8" customHeight="1">
      <c r="A683" s="580"/>
      <c r="B683" s="580"/>
      <c r="C683" s="580"/>
      <c r="D683" s="580"/>
      <c r="E683" s="580"/>
      <c r="F683" s="580"/>
      <c r="G683" s="580"/>
      <c r="H683" s="682"/>
      <c r="I683" s="580"/>
    </row>
    <row r="684" ht="13.8" customHeight="1">
      <c r="A684" s="580"/>
      <c r="B684" s="580"/>
      <c r="C684" s="580"/>
      <c r="D684" s="580"/>
      <c r="E684" s="580"/>
      <c r="F684" s="580"/>
      <c r="G684" s="580"/>
      <c r="H684" s="682"/>
      <c r="I684" s="580"/>
    </row>
    <row r="685" ht="13.8" customHeight="1">
      <c r="A685" s="580"/>
      <c r="B685" s="580"/>
      <c r="C685" s="580"/>
      <c r="D685" s="580"/>
      <c r="E685" s="580"/>
      <c r="F685" s="580"/>
      <c r="G685" s="580"/>
      <c r="H685" s="682"/>
      <c r="I685" s="580"/>
    </row>
    <row r="686" ht="13.8" customHeight="1">
      <c r="A686" s="580"/>
      <c r="B686" s="580"/>
      <c r="C686" s="580"/>
      <c r="D686" s="580"/>
      <c r="E686" s="580"/>
      <c r="F686" s="580"/>
      <c r="G686" s="580"/>
      <c r="H686" s="682"/>
      <c r="I686" s="580"/>
    </row>
    <row r="687" ht="13.8" customHeight="1">
      <c r="A687" s="580"/>
      <c r="B687" s="580"/>
      <c r="C687" s="580"/>
      <c r="D687" s="580"/>
      <c r="E687" s="580"/>
      <c r="F687" s="580"/>
      <c r="G687" s="580"/>
      <c r="H687" s="682"/>
      <c r="I687" s="580"/>
    </row>
    <row r="688" ht="13.8" customHeight="1">
      <c r="A688" s="580"/>
      <c r="B688" s="580"/>
      <c r="C688" s="580"/>
      <c r="D688" s="580"/>
      <c r="E688" s="580"/>
      <c r="F688" s="580"/>
      <c r="G688" s="580"/>
      <c r="H688" s="682"/>
      <c r="I688" s="580"/>
    </row>
    <row r="689" ht="13.8" customHeight="1">
      <c r="A689" s="580"/>
      <c r="B689" s="580"/>
      <c r="C689" s="580"/>
      <c r="D689" s="580"/>
      <c r="E689" s="580"/>
      <c r="F689" s="580"/>
      <c r="G689" s="580"/>
      <c r="H689" s="682"/>
      <c r="I689" s="580"/>
    </row>
    <row r="690" ht="13.8" customHeight="1">
      <c r="A690" s="580"/>
      <c r="B690" s="580"/>
      <c r="C690" s="580"/>
      <c r="D690" s="580"/>
      <c r="E690" s="580"/>
      <c r="F690" s="580"/>
      <c r="G690" s="580"/>
      <c r="H690" s="682"/>
      <c r="I690" s="580"/>
    </row>
    <row r="691" ht="13.8" customHeight="1">
      <c r="A691" s="580"/>
      <c r="B691" s="580"/>
      <c r="C691" s="580"/>
      <c r="D691" s="580"/>
      <c r="E691" s="580"/>
      <c r="F691" s="580"/>
      <c r="G691" s="580"/>
      <c r="H691" s="682"/>
      <c r="I691" s="580"/>
    </row>
    <row r="692" ht="13.8" customHeight="1">
      <c r="A692" s="580"/>
      <c r="B692" s="580"/>
      <c r="C692" s="580"/>
      <c r="D692" s="580"/>
      <c r="E692" s="580"/>
      <c r="F692" s="580"/>
      <c r="G692" s="580"/>
      <c r="H692" s="682"/>
      <c r="I692" s="580"/>
    </row>
    <row r="693" ht="13.8" customHeight="1">
      <c r="A693" s="580"/>
      <c r="B693" s="580"/>
      <c r="C693" s="580"/>
      <c r="D693" s="580"/>
      <c r="E693" s="580"/>
      <c r="F693" s="580"/>
      <c r="G693" s="580"/>
      <c r="H693" s="682"/>
      <c r="I693" s="580"/>
    </row>
    <row r="694" ht="13.8" customHeight="1">
      <c r="A694" s="580"/>
      <c r="B694" s="580"/>
      <c r="C694" s="580"/>
      <c r="D694" s="580"/>
      <c r="E694" s="580"/>
      <c r="F694" s="580"/>
      <c r="G694" s="580"/>
      <c r="H694" s="682"/>
      <c r="I694" s="580"/>
    </row>
    <row r="695" ht="13.8" customHeight="1">
      <c r="A695" s="580"/>
      <c r="B695" s="580"/>
      <c r="C695" s="580"/>
      <c r="D695" s="580"/>
      <c r="E695" s="580"/>
      <c r="F695" s="580"/>
      <c r="G695" s="580"/>
      <c r="H695" s="682"/>
      <c r="I695" s="580"/>
    </row>
    <row r="696" ht="13.8" customHeight="1">
      <c r="A696" s="580"/>
      <c r="B696" s="580"/>
      <c r="C696" s="580"/>
      <c r="D696" s="580"/>
      <c r="E696" s="580"/>
      <c r="F696" s="580"/>
      <c r="G696" s="580"/>
      <c r="H696" s="682"/>
      <c r="I696" s="580"/>
    </row>
    <row r="697" ht="13.8" customHeight="1">
      <c r="A697" s="580"/>
      <c r="B697" s="580"/>
      <c r="C697" s="580"/>
      <c r="D697" s="580"/>
      <c r="E697" s="580"/>
      <c r="F697" s="580"/>
      <c r="G697" s="580"/>
      <c r="H697" s="682"/>
      <c r="I697" s="580"/>
    </row>
    <row r="698" ht="13.8" customHeight="1">
      <c r="A698" s="580"/>
      <c r="B698" s="580"/>
      <c r="C698" s="580"/>
      <c r="D698" s="580"/>
      <c r="E698" s="580"/>
      <c r="F698" s="580"/>
      <c r="G698" s="580"/>
      <c r="H698" s="682"/>
      <c r="I698" s="580"/>
    </row>
    <row r="699" ht="13.8" customHeight="1">
      <c r="A699" s="580"/>
      <c r="B699" s="580"/>
      <c r="C699" s="580"/>
      <c r="D699" s="580"/>
      <c r="E699" s="580"/>
      <c r="F699" s="580"/>
      <c r="G699" s="580"/>
      <c r="H699" s="682"/>
      <c r="I699" s="580"/>
    </row>
    <row r="700" ht="13.8" customHeight="1">
      <c r="A700" s="580"/>
      <c r="B700" s="580"/>
      <c r="C700" s="580"/>
      <c r="D700" s="580"/>
      <c r="E700" s="580"/>
      <c r="F700" s="580"/>
      <c r="G700" s="580"/>
      <c r="H700" s="682"/>
      <c r="I700" s="580"/>
    </row>
    <row r="701" ht="13.8" customHeight="1">
      <c r="A701" s="580"/>
      <c r="B701" s="580"/>
      <c r="C701" s="580"/>
      <c r="D701" s="580"/>
      <c r="E701" s="580"/>
      <c r="F701" s="580"/>
      <c r="G701" s="580"/>
      <c r="H701" s="682"/>
      <c r="I701" s="580"/>
    </row>
    <row r="702" ht="13.8" customHeight="1">
      <c r="A702" s="580"/>
      <c r="B702" s="580"/>
      <c r="C702" s="580"/>
      <c r="D702" s="580"/>
      <c r="E702" s="580"/>
      <c r="F702" s="580"/>
      <c r="G702" s="580"/>
      <c r="H702" s="682"/>
      <c r="I702" s="580"/>
    </row>
    <row r="703" ht="13.8" customHeight="1">
      <c r="A703" s="580"/>
      <c r="B703" s="580"/>
      <c r="C703" s="580"/>
      <c r="D703" s="580"/>
      <c r="E703" s="580"/>
      <c r="F703" s="580"/>
      <c r="G703" s="580"/>
      <c r="H703" s="682"/>
      <c r="I703" s="580"/>
    </row>
    <row r="704" ht="13.8" customHeight="1">
      <c r="A704" s="580"/>
      <c r="B704" s="580"/>
      <c r="C704" s="580"/>
      <c r="D704" s="580"/>
      <c r="E704" s="580"/>
      <c r="F704" s="580"/>
      <c r="G704" s="580"/>
      <c r="H704" s="682"/>
      <c r="I704" s="580"/>
    </row>
    <row r="705" ht="13.8" customHeight="1">
      <c r="A705" s="580"/>
      <c r="B705" s="580"/>
      <c r="C705" s="580"/>
      <c r="D705" s="580"/>
      <c r="E705" s="580"/>
      <c r="F705" s="580"/>
      <c r="G705" s="580"/>
      <c r="H705" s="682"/>
      <c r="I705" s="580"/>
    </row>
    <row r="706" ht="13.8" customHeight="1">
      <c r="A706" s="580"/>
      <c r="B706" s="580"/>
      <c r="C706" s="580"/>
      <c r="D706" s="580"/>
      <c r="E706" s="580"/>
      <c r="F706" s="580"/>
      <c r="G706" s="580"/>
      <c r="H706" s="682"/>
      <c r="I706" s="580"/>
    </row>
    <row r="707" ht="13.8" customHeight="1">
      <c r="A707" s="580"/>
      <c r="B707" s="580"/>
      <c r="C707" s="580"/>
      <c r="D707" s="580"/>
      <c r="E707" s="580"/>
      <c r="F707" s="580"/>
      <c r="G707" s="580"/>
      <c r="H707" s="682"/>
      <c r="I707" s="580"/>
    </row>
    <row r="708" ht="13.8" customHeight="1">
      <c r="A708" s="580"/>
      <c r="B708" s="580"/>
      <c r="C708" s="580"/>
      <c r="D708" s="580"/>
      <c r="E708" s="580"/>
      <c r="F708" s="580"/>
      <c r="G708" s="580"/>
      <c r="H708" s="682"/>
      <c r="I708" s="580"/>
    </row>
    <row r="709" ht="13.8" customHeight="1">
      <c r="A709" s="580"/>
      <c r="B709" s="580"/>
      <c r="C709" s="580"/>
      <c r="D709" s="580"/>
      <c r="E709" s="580"/>
      <c r="F709" s="580"/>
      <c r="G709" s="580"/>
      <c r="H709" s="682"/>
      <c r="I709" s="580"/>
    </row>
    <row r="710" ht="13.8" customHeight="1">
      <c r="A710" s="580"/>
      <c r="B710" s="580"/>
      <c r="C710" s="580"/>
      <c r="D710" s="580"/>
      <c r="E710" s="580"/>
      <c r="F710" s="580"/>
      <c r="G710" s="580"/>
      <c r="H710" s="682"/>
      <c r="I710" s="580"/>
    </row>
    <row r="711" ht="13.8" customHeight="1">
      <c r="A711" s="580"/>
      <c r="B711" s="580"/>
      <c r="C711" s="580"/>
      <c r="D711" s="580"/>
      <c r="E711" s="580"/>
      <c r="F711" s="580"/>
      <c r="G711" s="580"/>
      <c r="H711" s="682"/>
      <c r="I711" s="580"/>
    </row>
    <row r="712" ht="13.8" customHeight="1">
      <c r="A712" s="580"/>
      <c r="B712" s="580"/>
      <c r="C712" s="580"/>
      <c r="D712" s="580"/>
      <c r="E712" s="580"/>
      <c r="F712" s="580"/>
      <c r="G712" s="580"/>
      <c r="H712" s="682"/>
      <c r="I712" s="580"/>
    </row>
    <row r="713" ht="13.8" customHeight="1">
      <c r="A713" s="580"/>
      <c r="B713" s="580"/>
      <c r="C713" s="580"/>
      <c r="D713" s="580"/>
      <c r="E713" s="580"/>
      <c r="F713" s="580"/>
      <c r="G713" s="580"/>
      <c r="H713" s="682"/>
      <c r="I713" s="580"/>
    </row>
    <row r="714" ht="13.8" customHeight="1">
      <c r="A714" s="580"/>
      <c r="B714" s="580"/>
      <c r="C714" s="580"/>
      <c r="D714" s="580"/>
      <c r="E714" s="580"/>
      <c r="F714" s="580"/>
      <c r="G714" s="580"/>
      <c r="H714" s="682"/>
      <c r="I714" s="580"/>
    </row>
    <row r="715" ht="13.8" customHeight="1">
      <c r="A715" s="580"/>
      <c r="B715" s="580"/>
      <c r="C715" s="580"/>
      <c r="D715" s="580"/>
      <c r="E715" s="580"/>
      <c r="F715" s="580"/>
      <c r="G715" s="580"/>
      <c r="H715" s="682"/>
      <c r="I715" s="580"/>
    </row>
    <row r="716" ht="13.8" customHeight="1">
      <c r="A716" s="580"/>
      <c r="B716" s="580"/>
      <c r="C716" s="580"/>
      <c r="D716" s="580"/>
      <c r="E716" s="580"/>
      <c r="F716" s="580"/>
      <c r="G716" s="580"/>
      <c r="H716" s="682"/>
      <c r="I716" s="580"/>
    </row>
    <row r="717" ht="13.8" customHeight="1">
      <c r="A717" s="580"/>
      <c r="B717" s="580"/>
      <c r="C717" s="580"/>
      <c r="D717" s="580"/>
      <c r="E717" s="580"/>
      <c r="F717" s="580"/>
      <c r="G717" s="580"/>
      <c r="H717" s="682"/>
      <c r="I717" s="580"/>
    </row>
    <row r="718" ht="13.8" customHeight="1">
      <c r="A718" s="580"/>
      <c r="B718" s="580"/>
      <c r="C718" s="580"/>
      <c r="D718" s="580"/>
      <c r="E718" s="580"/>
      <c r="F718" s="580"/>
      <c r="G718" s="580"/>
      <c r="H718" s="682"/>
      <c r="I718" s="580"/>
    </row>
    <row r="719" ht="13.8" customHeight="1">
      <c r="A719" s="580"/>
      <c r="B719" s="580"/>
      <c r="C719" s="580"/>
      <c r="D719" s="580"/>
      <c r="E719" s="580"/>
      <c r="F719" s="580"/>
      <c r="G719" s="580"/>
      <c r="H719" s="682"/>
      <c r="I719" s="580"/>
    </row>
    <row r="720" ht="13.8" customHeight="1">
      <c r="A720" s="580"/>
      <c r="B720" s="580"/>
      <c r="C720" s="580"/>
      <c r="D720" s="580"/>
      <c r="E720" s="580"/>
      <c r="F720" s="580"/>
      <c r="G720" s="580"/>
      <c r="H720" s="682"/>
      <c r="I720" s="580"/>
    </row>
    <row r="721" ht="13.8" customHeight="1">
      <c r="A721" s="580"/>
      <c r="B721" s="580"/>
      <c r="C721" s="580"/>
      <c r="D721" s="580"/>
      <c r="E721" s="580"/>
      <c r="F721" s="580"/>
      <c r="G721" s="580"/>
      <c r="H721" s="682"/>
      <c r="I721" s="580"/>
    </row>
    <row r="722" ht="13.8" customHeight="1">
      <c r="A722" s="580"/>
      <c r="B722" s="580"/>
      <c r="C722" s="580"/>
      <c r="D722" s="580"/>
      <c r="E722" s="580"/>
      <c r="F722" s="580"/>
      <c r="G722" s="580"/>
      <c r="H722" s="682"/>
      <c r="I722" s="580"/>
    </row>
    <row r="723" ht="13.8" customHeight="1">
      <c r="A723" s="580"/>
      <c r="B723" s="580"/>
      <c r="C723" s="580"/>
      <c r="D723" s="580"/>
      <c r="E723" s="580"/>
      <c r="F723" s="580"/>
      <c r="G723" s="580"/>
      <c r="H723" s="682"/>
      <c r="I723" s="580"/>
    </row>
    <row r="724" ht="13.8" customHeight="1">
      <c r="A724" s="580"/>
      <c r="B724" s="580"/>
      <c r="C724" s="580"/>
      <c r="D724" s="580"/>
      <c r="E724" s="580"/>
      <c r="F724" s="580"/>
      <c r="G724" s="580"/>
      <c r="H724" s="682"/>
      <c r="I724" s="580"/>
    </row>
    <row r="725" ht="13.8" customHeight="1">
      <c r="A725" s="580"/>
      <c r="B725" s="580"/>
      <c r="C725" s="580"/>
      <c r="D725" s="580"/>
      <c r="E725" s="580"/>
      <c r="F725" s="580"/>
      <c r="G725" s="580"/>
      <c r="H725" s="682"/>
      <c r="I725" s="580"/>
    </row>
    <row r="726" ht="13.8" customHeight="1">
      <c r="A726" s="580"/>
      <c r="B726" s="580"/>
      <c r="C726" s="580"/>
      <c r="D726" s="580"/>
      <c r="E726" s="580"/>
      <c r="F726" s="580"/>
      <c r="G726" s="580"/>
      <c r="H726" s="682"/>
      <c r="I726" s="580"/>
    </row>
    <row r="727" ht="13.8" customHeight="1">
      <c r="A727" s="580"/>
      <c r="B727" s="580"/>
      <c r="C727" s="580"/>
      <c r="D727" s="580"/>
      <c r="E727" s="580"/>
      <c r="F727" s="580"/>
      <c r="G727" s="580"/>
      <c r="H727" s="682"/>
      <c r="I727" s="580"/>
    </row>
    <row r="728" ht="13.8" customHeight="1">
      <c r="A728" s="580"/>
      <c r="B728" s="580"/>
      <c r="C728" s="580"/>
      <c r="D728" s="580"/>
      <c r="E728" s="580"/>
      <c r="F728" s="580"/>
      <c r="G728" s="580"/>
      <c r="H728" s="682"/>
      <c r="I728" s="580"/>
    </row>
    <row r="729" ht="13.8" customHeight="1">
      <c r="A729" s="580"/>
      <c r="B729" s="580"/>
      <c r="C729" s="580"/>
      <c r="D729" s="580"/>
      <c r="E729" s="580"/>
      <c r="F729" s="580"/>
      <c r="G729" s="580"/>
      <c r="H729" s="682"/>
      <c r="I729" s="580"/>
    </row>
    <row r="730" ht="13.8" customHeight="1">
      <c r="A730" s="580"/>
      <c r="B730" s="580"/>
      <c r="C730" s="580"/>
      <c r="D730" s="580"/>
      <c r="E730" s="580"/>
      <c r="F730" s="580"/>
      <c r="G730" s="580"/>
      <c r="H730" s="682"/>
      <c r="I730" s="580"/>
    </row>
    <row r="731" ht="13.8" customHeight="1">
      <c r="A731" s="580"/>
      <c r="B731" s="580"/>
      <c r="C731" s="580"/>
      <c r="D731" s="580"/>
      <c r="E731" s="580"/>
      <c r="F731" s="580"/>
      <c r="G731" s="580"/>
      <c r="H731" s="682"/>
      <c r="I731" s="580"/>
    </row>
    <row r="732" ht="13.8" customHeight="1">
      <c r="A732" s="580"/>
      <c r="B732" s="580"/>
      <c r="C732" s="580"/>
      <c r="D732" s="580"/>
      <c r="E732" s="580"/>
      <c r="F732" s="580"/>
      <c r="G732" s="580"/>
      <c r="H732" s="682"/>
      <c r="I732" s="580"/>
    </row>
    <row r="733" ht="13.8" customHeight="1">
      <c r="A733" s="580"/>
      <c r="B733" s="580"/>
      <c r="C733" s="580"/>
      <c r="D733" s="580"/>
      <c r="E733" s="580"/>
      <c r="F733" s="580"/>
      <c r="G733" s="580"/>
      <c r="H733" s="682"/>
      <c r="I733" s="580"/>
    </row>
    <row r="734" ht="13.8" customHeight="1">
      <c r="A734" s="580"/>
      <c r="B734" s="580"/>
      <c r="C734" s="580"/>
      <c r="D734" s="580"/>
      <c r="E734" s="580"/>
      <c r="F734" s="580"/>
      <c r="G734" s="580"/>
      <c r="H734" s="682"/>
      <c r="I734" s="580"/>
    </row>
    <row r="735" ht="13.8" customHeight="1">
      <c r="A735" s="580"/>
      <c r="B735" s="580"/>
      <c r="C735" s="580"/>
      <c r="D735" s="580"/>
      <c r="E735" s="580"/>
      <c r="F735" s="580"/>
      <c r="G735" s="580"/>
      <c r="H735" s="682"/>
      <c r="I735" s="580"/>
    </row>
    <row r="736" ht="13.8" customHeight="1">
      <c r="A736" s="580"/>
      <c r="B736" s="580"/>
      <c r="C736" s="580"/>
      <c r="D736" s="580"/>
      <c r="E736" s="580"/>
      <c r="F736" s="580"/>
      <c r="G736" s="580"/>
      <c r="H736" s="682"/>
      <c r="I736" s="580"/>
    </row>
    <row r="737" ht="13.8" customHeight="1">
      <c r="A737" s="580"/>
      <c r="B737" s="580"/>
      <c r="C737" s="580"/>
      <c r="D737" s="580"/>
      <c r="E737" s="580"/>
      <c r="F737" s="580"/>
      <c r="G737" s="580"/>
      <c r="H737" s="682"/>
      <c r="I737" s="580"/>
    </row>
    <row r="738" ht="13.8" customHeight="1">
      <c r="A738" s="580"/>
      <c r="B738" s="580"/>
      <c r="C738" s="580"/>
      <c r="D738" s="580"/>
      <c r="E738" s="580"/>
      <c r="F738" s="580"/>
      <c r="G738" s="580"/>
      <c r="H738" s="682"/>
      <c r="I738" s="580"/>
    </row>
    <row r="739" ht="13.8" customHeight="1">
      <c r="A739" s="580"/>
      <c r="B739" s="580"/>
      <c r="C739" s="580"/>
      <c r="D739" s="580"/>
      <c r="E739" s="580"/>
      <c r="F739" s="580"/>
      <c r="G739" s="580"/>
      <c r="H739" s="682"/>
      <c r="I739" s="580"/>
    </row>
    <row r="740" ht="13.8" customHeight="1">
      <c r="A740" s="580"/>
      <c r="B740" s="580"/>
      <c r="C740" s="580"/>
      <c r="D740" s="580"/>
      <c r="E740" s="580"/>
      <c r="F740" s="580"/>
      <c r="G740" s="580"/>
      <c r="H740" s="682"/>
      <c r="I740" s="580"/>
    </row>
    <row r="741" ht="13.8" customHeight="1">
      <c r="A741" s="580"/>
      <c r="B741" s="580"/>
      <c r="C741" s="580"/>
      <c r="D741" s="580"/>
      <c r="E741" s="580"/>
      <c r="F741" s="580"/>
      <c r="G741" s="580"/>
      <c r="H741" s="682"/>
      <c r="I741" s="580"/>
    </row>
    <row r="742" ht="13.8" customHeight="1">
      <c r="A742" s="580"/>
      <c r="B742" s="580"/>
      <c r="C742" s="580"/>
      <c r="D742" s="580"/>
      <c r="E742" s="580"/>
      <c r="F742" s="580"/>
      <c r="G742" s="580"/>
      <c r="H742" s="682"/>
      <c r="I742" s="580"/>
    </row>
    <row r="743" ht="13.8" customHeight="1">
      <c r="A743" s="580"/>
      <c r="B743" s="580"/>
      <c r="C743" s="580"/>
      <c r="D743" s="580"/>
      <c r="E743" s="580"/>
      <c r="F743" s="580"/>
      <c r="G743" s="580"/>
      <c r="H743" s="682"/>
      <c r="I743" s="580"/>
    </row>
    <row r="744" ht="13.8" customHeight="1">
      <c r="A744" s="580"/>
      <c r="B744" s="580"/>
      <c r="C744" s="580"/>
      <c r="D744" s="580"/>
      <c r="E744" s="580"/>
      <c r="F744" s="580"/>
      <c r="G744" s="580"/>
      <c r="H744" s="682"/>
      <c r="I744" s="580"/>
    </row>
    <row r="745" ht="13.8" customHeight="1">
      <c r="A745" s="580"/>
      <c r="B745" s="580"/>
      <c r="C745" s="580"/>
      <c r="D745" s="580"/>
      <c r="E745" s="580"/>
      <c r="F745" s="580"/>
      <c r="G745" s="580"/>
      <c r="H745" s="682"/>
      <c r="I745" s="580"/>
    </row>
    <row r="746" ht="13.8" customHeight="1">
      <c r="A746" s="580"/>
      <c r="B746" s="580"/>
      <c r="C746" s="580"/>
      <c r="D746" s="580"/>
      <c r="E746" s="580"/>
      <c r="F746" s="580"/>
      <c r="G746" s="580"/>
      <c r="H746" s="682"/>
      <c r="I746" s="580"/>
    </row>
    <row r="747" ht="13.8" customHeight="1">
      <c r="A747" s="580"/>
      <c r="B747" s="580"/>
      <c r="C747" s="580"/>
      <c r="D747" s="580"/>
      <c r="E747" s="580"/>
      <c r="F747" s="580"/>
      <c r="G747" s="580"/>
      <c r="H747" s="682"/>
      <c r="I747" s="580"/>
    </row>
    <row r="748" ht="13.8" customHeight="1">
      <c r="A748" s="580"/>
      <c r="B748" s="580"/>
      <c r="C748" s="580"/>
      <c r="D748" s="580"/>
      <c r="E748" s="580"/>
      <c r="F748" s="580"/>
      <c r="G748" s="580"/>
      <c r="H748" s="682"/>
      <c r="I748" s="580"/>
    </row>
    <row r="749" ht="13.8" customHeight="1">
      <c r="A749" s="580"/>
      <c r="B749" s="580"/>
      <c r="C749" s="580"/>
      <c r="D749" s="580"/>
      <c r="E749" s="580"/>
      <c r="F749" s="580"/>
      <c r="G749" s="580"/>
      <c r="H749" s="682"/>
      <c r="I749" s="580"/>
    </row>
    <row r="750" ht="13.8" customHeight="1">
      <c r="A750" s="580"/>
      <c r="B750" s="580"/>
      <c r="C750" s="580"/>
      <c r="D750" s="580"/>
      <c r="E750" s="580"/>
      <c r="F750" s="580"/>
      <c r="G750" s="580"/>
      <c r="H750" s="682"/>
      <c r="I750" s="580"/>
    </row>
    <row r="751" ht="13.8" customHeight="1">
      <c r="A751" s="580"/>
      <c r="B751" s="580"/>
      <c r="C751" s="580"/>
      <c r="D751" s="580"/>
      <c r="E751" s="580"/>
      <c r="F751" s="580"/>
      <c r="G751" s="580"/>
      <c r="H751" s="682"/>
      <c r="I751" s="580"/>
    </row>
    <row r="752" ht="13.8" customHeight="1">
      <c r="A752" s="580"/>
      <c r="B752" s="580"/>
      <c r="C752" s="580"/>
      <c r="D752" s="580"/>
      <c r="E752" s="580"/>
      <c r="F752" s="580"/>
      <c r="G752" s="580"/>
      <c r="H752" s="682"/>
      <c r="I752" s="580"/>
    </row>
    <row r="753" ht="13.8" customHeight="1">
      <c r="A753" s="580"/>
      <c r="B753" s="580"/>
      <c r="C753" s="580"/>
      <c r="D753" s="580"/>
      <c r="E753" s="580"/>
      <c r="F753" s="580"/>
      <c r="G753" s="580"/>
      <c r="H753" s="682"/>
      <c r="I753" s="580"/>
    </row>
    <row r="754" ht="13.8" customHeight="1">
      <c r="A754" s="580"/>
      <c r="B754" s="580"/>
      <c r="C754" s="580"/>
      <c r="D754" s="580"/>
      <c r="E754" s="580"/>
      <c r="F754" s="580"/>
      <c r="G754" s="580"/>
      <c r="H754" s="682"/>
      <c r="I754" s="580"/>
    </row>
    <row r="755" ht="13.8" customHeight="1">
      <c r="A755" s="580"/>
      <c r="B755" s="580"/>
      <c r="C755" s="580"/>
      <c r="D755" s="580"/>
      <c r="E755" s="580"/>
      <c r="F755" s="580"/>
      <c r="G755" s="580"/>
      <c r="H755" s="682"/>
      <c r="I755" s="580"/>
    </row>
    <row r="756" ht="13.8" customHeight="1">
      <c r="A756" s="580"/>
      <c r="B756" s="580"/>
      <c r="C756" s="580"/>
      <c r="D756" s="580"/>
      <c r="E756" s="580"/>
      <c r="F756" s="580"/>
      <c r="G756" s="580"/>
      <c r="H756" s="682"/>
      <c r="I756" s="580"/>
    </row>
    <row r="757" ht="13.8" customHeight="1">
      <c r="A757" s="580"/>
      <c r="B757" s="580"/>
      <c r="C757" s="580"/>
      <c r="D757" s="580"/>
      <c r="E757" s="580"/>
      <c r="F757" s="580"/>
      <c r="G757" s="580"/>
      <c r="H757" s="682"/>
      <c r="I757" s="580"/>
    </row>
    <row r="758" ht="13.8" customHeight="1">
      <c r="A758" s="580"/>
      <c r="B758" s="580"/>
      <c r="C758" s="580"/>
      <c r="D758" s="580"/>
      <c r="E758" s="580"/>
      <c r="F758" s="580"/>
      <c r="G758" s="580"/>
      <c r="H758" s="682"/>
      <c r="I758" s="580"/>
    </row>
    <row r="759" ht="13.8" customHeight="1">
      <c r="A759" s="580"/>
      <c r="B759" s="580"/>
      <c r="C759" s="580"/>
      <c r="D759" s="580"/>
      <c r="E759" s="580"/>
      <c r="F759" s="580"/>
      <c r="G759" s="580"/>
      <c r="H759" s="682"/>
      <c r="I759" s="580"/>
    </row>
    <row r="760" ht="13.8" customHeight="1">
      <c r="A760" s="580"/>
      <c r="B760" s="580"/>
      <c r="C760" s="580"/>
      <c r="D760" s="580"/>
      <c r="E760" s="580"/>
      <c r="F760" s="580"/>
      <c r="G760" s="580"/>
      <c r="H760" s="682"/>
      <c r="I760" s="580"/>
    </row>
    <row r="761" ht="13.8" customHeight="1">
      <c r="A761" s="580"/>
      <c r="B761" s="580"/>
      <c r="C761" s="580"/>
      <c r="D761" s="580"/>
      <c r="E761" s="580"/>
      <c r="F761" s="580"/>
      <c r="G761" s="580"/>
      <c r="H761" s="682"/>
      <c r="I761" s="580"/>
    </row>
    <row r="762" ht="13.8" customHeight="1">
      <c r="A762" s="580"/>
      <c r="B762" s="580"/>
      <c r="C762" s="580"/>
      <c r="D762" s="580"/>
      <c r="E762" s="580"/>
      <c r="F762" s="580"/>
      <c r="G762" s="580"/>
      <c r="H762" s="682"/>
      <c r="I762" s="580"/>
    </row>
    <row r="763" ht="13.8" customHeight="1">
      <c r="A763" s="580"/>
      <c r="B763" s="580"/>
      <c r="C763" s="580"/>
      <c r="D763" s="580"/>
      <c r="E763" s="580"/>
      <c r="F763" s="580"/>
      <c r="G763" s="580"/>
      <c r="H763" s="682"/>
      <c r="I763" s="580"/>
    </row>
    <row r="764" ht="13.8" customHeight="1">
      <c r="A764" s="580"/>
      <c r="B764" s="580"/>
      <c r="C764" s="580"/>
      <c r="D764" s="580"/>
      <c r="E764" s="580"/>
      <c r="F764" s="580"/>
      <c r="G764" s="580"/>
      <c r="H764" s="682"/>
      <c r="I764" s="580"/>
    </row>
    <row r="765" ht="13.8" customHeight="1">
      <c r="A765" s="580"/>
      <c r="B765" s="580"/>
      <c r="C765" s="580"/>
      <c r="D765" s="580"/>
      <c r="E765" s="580"/>
      <c r="F765" s="580"/>
      <c r="G765" s="580"/>
      <c r="H765" s="682"/>
      <c r="I765" s="580"/>
    </row>
    <row r="766" ht="13.8" customHeight="1">
      <c r="A766" s="580"/>
      <c r="B766" s="580"/>
      <c r="C766" s="580"/>
      <c r="D766" s="580"/>
      <c r="E766" s="580"/>
      <c r="F766" s="580"/>
      <c r="G766" s="580"/>
      <c r="H766" s="682"/>
      <c r="I766" s="580"/>
    </row>
    <row r="767" ht="13.8" customHeight="1">
      <c r="A767" s="580"/>
      <c r="B767" s="580"/>
      <c r="C767" s="580"/>
      <c r="D767" s="580"/>
      <c r="E767" s="580"/>
      <c r="F767" s="580"/>
      <c r="G767" s="580"/>
      <c r="H767" s="682"/>
      <c r="I767" s="580"/>
    </row>
    <row r="768" ht="13.8" customHeight="1">
      <c r="A768" s="580"/>
      <c r="B768" s="580"/>
      <c r="C768" s="580"/>
      <c r="D768" s="580"/>
      <c r="E768" s="580"/>
      <c r="F768" s="580"/>
      <c r="G768" s="580"/>
      <c r="H768" s="682"/>
      <c r="I768" s="580"/>
    </row>
    <row r="769" ht="13.8" customHeight="1">
      <c r="A769" s="580"/>
      <c r="B769" s="580"/>
      <c r="C769" s="580"/>
      <c r="D769" s="580"/>
      <c r="E769" s="580"/>
      <c r="F769" s="580"/>
      <c r="G769" s="580"/>
      <c r="H769" s="682"/>
      <c r="I769" s="580"/>
    </row>
    <row r="770" ht="13.8" customHeight="1">
      <c r="A770" s="580"/>
      <c r="B770" s="580"/>
      <c r="C770" s="580"/>
      <c r="D770" s="580"/>
      <c r="E770" s="580"/>
      <c r="F770" s="580"/>
      <c r="G770" s="580"/>
      <c r="H770" s="682"/>
      <c r="I770" s="580"/>
    </row>
    <row r="771" ht="13.8" customHeight="1">
      <c r="A771" s="580"/>
      <c r="B771" s="580"/>
      <c r="C771" s="580"/>
      <c r="D771" s="580"/>
      <c r="E771" s="580"/>
      <c r="F771" s="580"/>
      <c r="G771" s="580"/>
      <c r="H771" s="682"/>
      <c r="I771" s="580"/>
    </row>
    <row r="772" ht="13.8" customHeight="1">
      <c r="A772" s="580"/>
      <c r="B772" s="580"/>
      <c r="C772" s="580"/>
      <c r="D772" s="580"/>
      <c r="E772" s="580"/>
      <c r="F772" s="580"/>
      <c r="G772" s="580"/>
      <c r="H772" s="682"/>
      <c r="I772" s="580"/>
    </row>
    <row r="773" ht="13.8" customHeight="1">
      <c r="A773" s="580"/>
      <c r="B773" s="580"/>
      <c r="C773" s="580"/>
      <c r="D773" s="580"/>
      <c r="E773" s="580"/>
      <c r="F773" s="580"/>
      <c r="G773" s="580"/>
      <c r="H773" s="682"/>
      <c r="I773" s="580"/>
    </row>
    <row r="774" ht="13.8" customHeight="1">
      <c r="A774" s="580"/>
      <c r="B774" s="580"/>
      <c r="C774" s="580"/>
      <c r="D774" s="580"/>
      <c r="E774" s="580"/>
      <c r="F774" s="580"/>
      <c r="G774" s="580"/>
      <c r="H774" s="682"/>
      <c r="I774" s="580"/>
    </row>
    <row r="775" ht="13.8" customHeight="1">
      <c r="A775" s="580"/>
      <c r="B775" s="580"/>
      <c r="C775" s="580"/>
      <c r="D775" s="580"/>
      <c r="E775" s="580"/>
      <c r="F775" s="580"/>
      <c r="G775" s="580"/>
      <c r="H775" s="682"/>
      <c r="I775" s="580"/>
    </row>
    <row r="776" ht="13.8" customHeight="1">
      <c r="A776" s="580"/>
      <c r="B776" s="580"/>
      <c r="C776" s="580"/>
      <c r="D776" s="580"/>
      <c r="E776" s="580"/>
      <c r="F776" s="580"/>
      <c r="G776" s="580"/>
      <c r="H776" s="682"/>
      <c r="I776" s="580"/>
    </row>
    <row r="777" ht="13.8" customHeight="1">
      <c r="A777" s="580"/>
      <c r="B777" s="580"/>
      <c r="C777" s="580"/>
      <c r="D777" s="580"/>
      <c r="E777" s="580"/>
      <c r="F777" s="580"/>
      <c r="G777" s="580"/>
      <c r="H777" s="682"/>
      <c r="I777" s="580"/>
    </row>
    <row r="778" ht="13.8" customHeight="1">
      <c r="A778" s="580"/>
      <c r="B778" s="580"/>
      <c r="C778" s="580"/>
      <c r="D778" s="580"/>
      <c r="E778" s="580"/>
      <c r="F778" s="580"/>
      <c r="G778" s="580"/>
      <c r="H778" s="682"/>
      <c r="I778" s="580"/>
    </row>
    <row r="779" ht="13.8" customHeight="1">
      <c r="A779" s="580"/>
      <c r="B779" s="580"/>
      <c r="C779" s="580"/>
      <c r="D779" s="580"/>
      <c r="E779" s="580"/>
      <c r="F779" s="580"/>
      <c r="G779" s="580"/>
      <c r="H779" s="682"/>
      <c r="I779" s="580"/>
    </row>
    <row r="780" ht="13.8" customHeight="1">
      <c r="A780" s="580"/>
      <c r="B780" s="580"/>
      <c r="C780" s="580"/>
      <c r="D780" s="580"/>
      <c r="E780" s="580"/>
      <c r="F780" s="580"/>
      <c r="G780" s="580"/>
      <c r="H780" s="682"/>
      <c r="I780" s="580"/>
    </row>
    <row r="781" ht="13.8" customHeight="1">
      <c r="A781" s="580"/>
      <c r="B781" s="580"/>
      <c r="C781" s="580"/>
      <c r="D781" s="580"/>
      <c r="E781" s="580"/>
      <c r="F781" s="580"/>
      <c r="G781" s="580"/>
      <c r="H781" s="682"/>
      <c r="I781" s="580"/>
    </row>
    <row r="782" ht="13.8" customHeight="1">
      <c r="A782" s="580"/>
      <c r="B782" s="580"/>
      <c r="C782" s="580"/>
      <c r="D782" s="580"/>
      <c r="E782" s="580"/>
      <c r="F782" s="580"/>
      <c r="G782" s="580"/>
      <c r="H782" s="682"/>
      <c r="I782" s="580"/>
    </row>
    <row r="783" ht="13.8" customHeight="1">
      <c r="A783" s="580"/>
      <c r="B783" s="580"/>
      <c r="C783" s="580"/>
      <c r="D783" s="580"/>
      <c r="E783" s="580"/>
      <c r="F783" s="580"/>
      <c r="G783" s="580"/>
      <c r="H783" s="682"/>
      <c r="I783" s="580"/>
    </row>
    <row r="784" ht="13.8" customHeight="1">
      <c r="A784" s="580"/>
      <c r="B784" s="580"/>
      <c r="C784" s="580"/>
      <c r="D784" s="580"/>
      <c r="E784" s="580"/>
      <c r="F784" s="580"/>
      <c r="G784" s="580"/>
      <c r="H784" s="682"/>
      <c r="I784" s="580"/>
    </row>
    <row r="785" ht="13.8" customHeight="1">
      <c r="A785" s="580"/>
      <c r="B785" s="580"/>
      <c r="C785" s="580"/>
      <c r="D785" s="580"/>
      <c r="E785" s="580"/>
      <c r="F785" s="580"/>
      <c r="G785" s="580"/>
      <c r="H785" s="682"/>
      <c r="I785" s="580"/>
    </row>
    <row r="786" ht="13.8" customHeight="1">
      <c r="A786" s="580"/>
      <c r="B786" s="580"/>
      <c r="C786" s="580"/>
      <c r="D786" s="580"/>
      <c r="E786" s="580"/>
      <c r="F786" s="580"/>
      <c r="G786" s="580"/>
      <c r="H786" s="682"/>
      <c r="I786" s="580"/>
    </row>
    <row r="787" ht="13.8" customHeight="1">
      <c r="A787" s="580"/>
      <c r="B787" s="580"/>
      <c r="C787" s="580"/>
      <c r="D787" s="580"/>
      <c r="E787" s="580"/>
      <c r="F787" s="580"/>
      <c r="G787" s="580"/>
      <c r="H787" s="682"/>
      <c r="I787" s="580"/>
    </row>
    <row r="788" ht="13.8" customHeight="1">
      <c r="A788" s="580"/>
      <c r="B788" s="580"/>
      <c r="C788" s="580"/>
      <c r="D788" s="580"/>
      <c r="E788" s="580"/>
      <c r="F788" s="580"/>
      <c r="G788" s="580"/>
      <c r="H788" s="682"/>
      <c r="I788" s="580"/>
    </row>
    <row r="789" ht="13.8" customHeight="1">
      <c r="A789" s="580"/>
      <c r="B789" s="580"/>
      <c r="C789" s="580"/>
      <c r="D789" s="580"/>
      <c r="E789" s="580"/>
      <c r="F789" s="580"/>
      <c r="G789" s="580"/>
      <c r="H789" s="682"/>
      <c r="I789" s="580"/>
    </row>
    <row r="790" ht="13.8" customHeight="1">
      <c r="A790" s="580"/>
      <c r="B790" s="580"/>
      <c r="C790" s="580"/>
      <c r="D790" s="580"/>
      <c r="E790" s="580"/>
      <c r="F790" s="580"/>
      <c r="G790" s="580"/>
      <c r="H790" s="682"/>
      <c r="I790" s="580"/>
    </row>
    <row r="791" ht="13.8" customHeight="1">
      <c r="A791" s="580"/>
      <c r="B791" s="580"/>
      <c r="C791" s="580"/>
      <c r="D791" s="580"/>
      <c r="E791" s="580"/>
      <c r="F791" s="580"/>
      <c r="G791" s="580"/>
      <c r="H791" s="682"/>
      <c r="I791" s="580"/>
    </row>
    <row r="792" ht="13.8" customHeight="1">
      <c r="A792" s="580"/>
      <c r="B792" s="580"/>
      <c r="C792" s="580"/>
      <c r="D792" s="580"/>
      <c r="E792" s="580"/>
      <c r="F792" s="580"/>
      <c r="G792" s="580"/>
      <c r="H792" s="682"/>
      <c r="I792" s="580"/>
    </row>
    <row r="793" ht="13.8" customHeight="1">
      <c r="A793" s="580"/>
      <c r="B793" s="580"/>
      <c r="C793" s="580"/>
      <c r="D793" s="580"/>
      <c r="E793" s="580"/>
      <c r="F793" s="580"/>
      <c r="G793" s="580"/>
      <c r="H793" s="682"/>
      <c r="I793" s="580"/>
    </row>
    <row r="794" ht="13.8" customHeight="1">
      <c r="A794" s="580"/>
      <c r="B794" s="580"/>
      <c r="C794" s="580"/>
      <c r="D794" s="580"/>
      <c r="E794" s="580"/>
      <c r="F794" s="580"/>
      <c r="G794" s="580"/>
      <c r="H794" s="682"/>
      <c r="I794" s="580"/>
    </row>
    <row r="795" ht="13.8" customHeight="1">
      <c r="A795" s="580"/>
      <c r="B795" s="580"/>
      <c r="C795" s="580"/>
      <c r="D795" s="580"/>
      <c r="E795" s="580"/>
      <c r="F795" s="580"/>
      <c r="G795" s="580"/>
      <c r="H795" s="682"/>
      <c r="I795" s="580"/>
    </row>
    <row r="796" ht="13.8" customHeight="1">
      <c r="A796" s="580"/>
      <c r="B796" s="580"/>
      <c r="C796" s="580"/>
      <c r="D796" s="580"/>
      <c r="E796" s="580"/>
      <c r="F796" s="580"/>
      <c r="G796" s="580"/>
      <c r="H796" s="682"/>
      <c r="I796" s="580"/>
    </row>
    <row r="797" ht="13.8" customHeight="1">
      <c r="A797" s="580"/>
      <c r="B797" s="580"/>
      <c r="C797" s="580"/>
      <c r="D797" s="580"/>
      <c r="E797" s="580"/>
      <c r="F797" s="580"/>
      <c r="G797" s="580"/>
      <c r="H797" s="682"/>
      <c r="I797" s="580"/>
    </row>
    <row r="798" ht="13.8" customHeight="1">
      <c r="A798" s="580"/>
      <c r="B798" s="580"/>
      <c r="C798" s="580"/>
      <c r="D798" s="580"/>
      <c r="E798" s="580"/>
      <c r="F798" s="580"/>
      <c r="G798" s="580"/>
      <c r="H798" s="682"/>
      <c r="I798" s="580"/>
    </row>
    <row r="799" ht="13.8" customHeight="1">
      <c r="A799" s="580"/>
      <c r="B799" s="580"/>
      <c r="C799" s="580"/>
      <c r="D799" s="580"/>
      <c r="E799" s="580"/>
      <c r="F799" s="580"/>
      <c r="G799" s="580"/>
      <c r="H799" s="682"/>
      <c r="I799" s="580"/>
    </row>
    <row r="800" ht="13.8" customHeight="1">
      <c r="A800" s="580"/>
      <c r="B800" s="580"/>
      <c r="C800" s="580"/>
      <c r="D800" s="580"/>
      <c r="E800" s="580"/>
      <c r="F800" s="580"/>
      <c r="G800" s="580"/>
      <c r="H800" s="682"/>
      <c r="I800" s="580"/>
    </row>
    <row r="801" ht="13.8" customHeight="1">
      <c r="A801" s="580"/>
      <c r="B801" s="580"/>
      <c r="C801" s="580"/>
      <c r="D801" s="580"/>
      <c r="E801" s="580"/>
      <c r="F801" s="580"/>
      <c r="G801" s="580"/>
      <c r="H801" s="682"/>
      <c r="I801" s="580"/>
    </row>
    <row r="802" ht="13.8" customHeight="1">
      <c r="A802" s="580"/>
      <c r="B802" s="580"/>
      <c r="C802" s="580"/>
      <c r="D802" s="580"/>
      <c r="E802" s="580"/>
      <c r="F802" s="580"/>
      <c r="G802" s="580"/>
      <c r="H802" s="682"/>
      <c r="I802" s="580"/>
    </row>
    <row r="803" ht="13.8" customHeight="1">
      <c r="A803" s="580"/>
      <c r="B803" s="580"/>
      <c r="C803" s="580"/>
      <c r="D803" s="580"/>
      <c r="E803" s="580"/>
      <c r="F803" s="580"/>
      <c r="G803" s="580"/>
      <c r="H803" s="682"/>
      <c r="I803" s="580"/>
    </row>
    <row r="804" ht="13.8" customHeight="1">
      <c r="A804" s="580"/>
      <c r="B804" s="580"/>
      <c r="C804" s="580"/>
      <c r="D804" s="580"/>
      <c r="E804" s="580"/>
      <c r="F804" s="580"/>
      <c r="G804" s="580"/>
      <c r="H804" s="682"/>
      <c r="I804" s="580"/>
    </row>
    <row r="805" ht="13.8" customHeight="1">
      <c r="A805" s="580"/>
      <c r="B805" s="580"/>
      <c r="C805" s="580"/>
      <c r="D805" s="580"/>
      <c r="E805" s="580"/>
      <c r="F805" s="580"/>
      <c r="G805" s="580"/>
      <c r="H805" s="682"/>
      <c r="I805" s="580"/>
    </row>
    <row r="806" ht="13.8" customHeight="1">
      <c r="A806" s="580"/>
      <c r="B806" s="580"/>
      <c r="C806" s="580"/>
      <c r="D806" s="580"/>
      <c r="E806" s="580"/>
      <c r="F806" s="580"/>
      <c r="G806" s="580"/>
      <c r="H806" s="682"/>
      <c r="I806" s="580"/>
    </row>
    <row r="807" ht="13.8" customHeight="1">
      <c r="A807" s="580"/>
      <c r="B807" s="580"/>
      <c r="C807" s="580"/>
      <c r="D807" s="580"/>
      <c r="E807" s="580"/>
      <c r="F807" s="580"/>
      <c r="G807" s="580"/>
      <c r="H807" s="682"/>
      <c r="I807" s="580"/>
    </row>
    <row r="808" ht="13.8" customHeight="1">
      <c r="A808" s="580"/>
      <c r="B808" s="580"/>
      <c r="C808" s="580"/>
      <c r="D808" s="580"/>
      <c r="E808" s="580"/>
      <c r="F808" s="580"/>
      <c r="G808" s="580"/>
      <c r="H808" s="682"/>
      <c r="I808" s="580"/>
    </row>
    <row r="809" ht="13.8" customHeight="1">
      <c r="A809" s="580"/>
      <c r="B809" s="580"/>
      <c r="C809" s="580"/>
      <c r="D809" s="580"/>
      <c r="E809" s="580"/>
      <c r="F809" s="580"/>
      <c r="G809" s="580"/>
      <c r="H809" s="682"/>
      <c r="I809" s="580"/>
    </row>
    <row r="810" ht="13.8" customHeight="1">
      <c r="A810" s="580"/>
      <c r="B810" s="580"/>
      <c r="C810" s="580"/>
      <c r="D810" s="580"/>
      <c r="E810" s="580"/>
      <c r="F810" s="580"/>
      <c r="G810" s="580"/>
      <c r="H810" s="682"/>
      <c r="I810" s="580"/>
    </row>
    <row r="811" ht="13.8" customHeight="1">
      <c r="A811" s="580"/>
      <c r="B811" s="580"/>
      <c r="C811" s="580"/>
      <c r="D811" s="580"/>
      <c r="E811" s="580"/>
      <c r="F811" s="580"/>
      <c r="G811" s="580"/>
      <c r="H811" s="682"/>
      <c r="I811" s="580"/>
    </row>
    <row r="812" ht="13.8" customHeight="1">
      <c r="A812" s="580"/>
      <c r="B812" s="580"/>
      <c r="C812" s="580"/>
      <c r="D812" s="580"/>
      <c r="E812" s="580"/>
      <c r="F812" s="580"/>
      <c r="G812" s="580"/>
      <c r="H812" s="682"/>
      <c r="I812" s="580"/>
    </row>
    <row r="813" ht="13.8" customHeight="1">
      <c r="A813" s="580"/>
      <c r="B813" s="580"/>
      <c r="C813" s="580"/>
      <c r="D813" s="580"/>
      <c r="E813" s="580"/>
      <c r="F813" s="580"/>
      <c r="G813" s="580"/>
      <c r="H813" s="682"/>
      <c r="I813" s="580"/>
    </row>
    <row r="814" ht="13.8" customHeight="1">
      <c r="A814" s="580"/>
      <c r="B814" s="580"/>
      <c r="C814" s="580"/>
      <c r="D814" s="580"/>
      <c r="E814" s="580"/>
      <c r="F814" s="580"/>
      <c r="G814" s="580"/>
      <c r="H814" s="682"/>
      <c r="I814" s="580"/>
    </row>
    <row r="815" ht="13.8" customHeight="1">
      <c r="A815" s="580"/>
      <c r="B815" s="580"/>
      <c r="C815" s="580"/>
      <c r="D815" s="580"/>
      <c r="E815" s="580"/>
      <c r="F815" s="580"/>
      <c r="G815" s="580"/>
      <c r="H815" s="682"/>
      <c r="I815" s="580"/>
    </row>
    <row r="816" ht="13.8" customHeight="1">
      <c r="A816" s="580"/>
      <c r="B816" s="580"/>
      <c r="C816" s="580"/>
      <c r="D816" s="580"/>
      <c r="E816" s="580"/>
      <c r="F816" s="580"/>
      <c r="G816" s="580"/>
      <c r="H816" s="682"/>
      <c r="I816" s="580"/>
    </row>
    <row r="817" ht="13.8" customHeight="1">
      <c r="A817" s="580"/>
      <c r="B817" s="580"/>
      <c r="C817" s="580"/>
      <c r="D817" s="580"/>
      <c r="E817" s="580"/>
      <c r="F817" s="580"/>
      <c r="G817" s="580"/>
      <c r="H817" s="682"/>
      <c r="I817" s="580"/>
    </row>
    <row r="818" ht="13.8" customHeight="1">
      <c r="A818" s="580"/>
      <c r="B818" s="580"/>
      <c r="C818" s="580"/>
      <c r="D818" s="580"/>
      <c r="E818" s="580"/>
      <c r="F818" s="580"/>
      <c r="G818" s="580"/>
      <c r="H818" s="682"/>
      <c r="I818" s="580"/>
    </row>
    <row r="819" ht="13.8" customHeight="1">
      <c r="A819" s="580"/>
      <c r="B819" s="580"/>
      <c r="C819" s="580"/>
      <c r="D819" s="580"/>
      <c r="E819" s="580"/>
      <c r="F819" s="580"/>
      <c r="G819" s="580"/>
      <c r="H819" s="682"/>
      <c r="I819" s="580"/>
    </row>
    <row r="820" ht="13.8" customHeight="1">
      <c r="A820" s="580"/>
      <c r="B820" s="580"/>
      <c r="C820" s="580"/>
      <c r="D820" s="580"/>
      <c r="E820" s="580"/>
      <c r="F820" s="580"/>
      <c r="G820" s="580"/>
      <c r="H820" s="682"/>
      <c r="I820" s="580"/>
    </row>
    <row r="821" ht="13.8" customHeight="1">
      <c r="A821" s="580"/>
      <c r="B821" s="580"/>
      <c r="C821" s="580"/>
      <c r="D821" s="580"/>
      <c r="E821" s="580"/>
      <c r="F821" s="580"/>
      <c r="G821" s="580"/>
      <c r="H821" s="682"/>
      <c r="I821" s="580"/>
    </row>
    <row r="822" ht="13.8" customHeight="1">
      <c r="A822" s="580"/>
      <c r="B822" s="580"/>
      <c r="C822" s="580"/>
      <c r="D822" s="580"/>
      <c r="E822" s="580"/>
      <c r="F822" s="580"/>
      <c r="G822" s="580"/>
      <c r="H822" s="682"/>
      <c r="I822" s="580"/>
    </row>
    <row r="823" ht="13.8" customHeight="1">
      <c r="A823" s="580"/>
      <c r="B823" s="580"/>
      <c r="C823" s="580"/>
      <c r="D823" s="580"/>
      <c r="E823" s="580"/>
      <c r="F823" s="580"/>
      <c r="G823" s="580"/>
      <c r="H823" s="682"/>
      <c r="I823" s="580"/>
    </row>
    <row r="824" ht="13.8" customHeight="1">
      <c r="A824" s="580"/>
      <c r="B824" s="580"/>
      <c r="C824" s="580"/>
      <c r="D824" s="580"/>
      <c r="E824" s="580"/>
      <c r="F824" s="580"/>
      <c r="G824" s="580"/>
      <c r="H824" s="682"/>
      <c r="I824" s="580"/>
    </row>
    <row r="825" ht="13.8" customHeight="1">
      <c r="A825" s="580"/>
      <c r="B825" s="580"/>
      <c r="C825" s="580"/>
      <c r="D825" s="580"/>
      <c r="E825" s="580"/>
      <c r="F825" s="580"/>
      <c r="G825" s="580"/>
      <c r="H825" s="682"/>
      <c r="I825" s="580"/>
    </row>
    <row r="826" ht="13.8" customHeight="1">
      <c r="A826" s="580"/>
      <c r="B826" s="580"/>
      <c r="C826" s="580"/>
      <c r="D826" s="580"/>
      <c r="E826" s="580"/>
      <c r="F826" s="580"/>
      <c r="G826" s="580"/>
      <c r="H826" s="682"/>
      <c r="I826" s="580"/>
    </row>
    <row r="827" ht="13.8" customHeight="1">
      <c r="A827" s="580"/>
      <c r="B827" s="580"/>
      <c r="C827" s="580"/>
      <c r="D827" s="580"/>
      <c r="E827" s="580"/>
      <c r="F827" s="580"/>
      <c r="G827" s="580"/>
      <c r="H827" s="682"/>
      <c r="I827" s="580"/>
    </row>
    <row r="828" ht="13.8" customHeight="1">
      <c r="A828" s="580"/>
      <c r="B828" s="580"/>
      <c r="C828" s="580"/>
      <c r="D828" s="580"/>
      <c r="E828" s="580"/>
      <c r="F828" s="580"/>
      <c r="G828" s="580"/>
      <c r="H828" s="682"/>
      <c r="I828" s="580"/>
    </row>
    <row r="829" ht="13.8" customHeight="1">
      <c r="A829" s="580"/>
      <c r="B829" s="580"/>
      <c r="C829" s="580"/>
      <c r="D829" s="580"/>
      <c r="E829" s="580"/>
      <c r="F829" s="580"/>
      <c r="G829" s="580"/>
      <c r="H829" s="682"/>
      <c r="I829" s="580"/>
    </row>
    <row r="830" ht="13.8" customHeight="1">
      <c r="A830" s="580"/>
      <c r="B830" s="580"/>
      <c r="C830" s="580"/>
      <c r="D830" s="580"/>
      <c r="E830" s="580"/>
      <c r="F830" s="580"/>
      <c r="G830" s="580"/>
      <c r="H830" s="682"/>
      <c r="I830" s="580"/>
    </row>
    <row r="831" ht="13.8" customHeight="1">
      <c r="A831" s="580"/>
      <c r="B831" s="580"/>
      <c r="C831" s="580"/>
      <c r="D831" s="580"/>
      <c r="E831" s="580"/>
      <c r="F831" s="580"/>
      <c r="G831" s="580"/>
      <c r="H831" s="682"/>
      <c r="I831" s="580"/>
    </row>
    <row r="832" ht="13.8" customHeight="1">
      <c r="A832" s="580"/>
      <c r="B832" s="580"/>
      <c r="C832" s="580"/>
      <c r="D832" s="580"/>
      <c r="E832" s="580"/>
      <c r="F832" s="580"/>
      <c r="G832" s="580"/>
      <c r="H832" s="682"/>
      <c r="I832" s="580"/>
    </row>
    <row r="833" ht="13.8" customHeight="1">
      <c r="A833" s="580"/>
      <c r="B833" s="580"/>
      <c r="C833" s="580"/>
      <c r="D833" s="580"/>
      <c r="E833" s="580"/>
      <c r="F833" s="580"/>
      <c r="G833" s="580"/>
      <c r="H833" s="682"/>
      <c r="I833" s="580"/>
    </row>
    <row r="834" ht="13.8" customHeight="1">
      <c r="A834" s="580"/>
      <c r="B834" s="580"/>
      <c r="C834" s="580"/>
      <c r="D834" s="580"/>
      <c r="E834" s="580"/>
      <c r="F834" s="580"/>
      <c r="G834" s="580"/>
      <c r="H834" s="682"/>
      <c r="I834" s="580"/>
    </row>
    <row r="835" ht="13.8" customHeight="1">
      <c r="A835" s="580"/>
      <c r="B835" s="580"/>
      <c r="C835" s="580"/>
      <c r="D835" s="580"/>
      <c r="E835" s="580"/>
      <c r="F835" s="580"/>
      <c r="G835" s="580"/>
      <c r="H835" s="682"/>
      <c r="I835" s="580"/>
    </row>
    <row r="836" ht="13.8" customHeight="1">
      <c r="A836" s="580"/>
      <c r="B836" s="580"/>
      <c r="C836" s="580"/>
      <c r="D836" s="580"/>
      <c r="E836" s="580"/>
      <c r="F836" s="580"/>
      <c r="G836" s="580"/>
      <c r="H836" s="682"/>
      <c r="I836" s="580"/>
    </row>
    <row r="837" ht="13.8" customHeight="1">
      <c r="A837" s="580"/>
      <c r="B837" s="580"/>
      <c r="C837" s="580"/>
      <c r="D837" s="580"/>
      <c r="E837" s="580"/>
      <c r="F837" s="580"/>
      <c r="G837" s="580"/>
      <c r="H837" s="682"/>
      <c r="I837" s="580"/>
    </row>
    <row r="838" ht="13.8" customHeight="1">
      <c r="A838" s="580"/>
      <c r="B838" s="580"/>
      <c r="C838" s="580"/>
      <c r="D838" s="580"/>
      <c r="E838" s="580"/>
      <c r="F838" s="580"/>
      <c r="G838" s="580"/>
      <c r="H838" s="682"/>
      <c r="I838" s="580"/>
    </row>
    <row r="839" ht="13.8" customHeight="1">
      <c r="A839" s="580"/>
      <c r="B839" s="580"/>
      <c r="C839" s="580"/>
      <c r="D839" s="580"/>
      <c r="E839" s="580"/>
      <c r="F839" s="580"/>
      <c r="G839" s="580"/>
      <c r="H839" s="682"/>
      <c r="I839" s="580"/>
    </row>
    <row r="840" ht="13.8" customHeight="1">
      <c r="A840" s="580"/>
      <c r="B840" s="580"/>
      <c r="C840" s="580"/>
      <c r="D840" s="580"/>
      <c r="E840" s="580"/>
      <c r="F840" s="580"/>
      <c r="G840" s="580"/>
      <c r="H840" s="682"/>
      <c r="I840" s="580"/>
    </row>
    <row r="841" ht="13.8" customHeight="1">
      <c r="A841" s="580"/>
      <c r="B841" s="580"/>
      <c r="C841" s="580"/>
      <c r="D841" s="580"/>
      <c r="E841" s="580"/>
      <c r="F841" s="580"/>
      <c r="G841" s="580"/>
      <c r="H841" s="682"/>
      <c r="I841" s="580"/>
    </row>
    <row r="842" ht="13.8" customHeight="1">
      <c r="A842" s="580"/>
      <c r="B842" s="580"/>
      <c r="C842" s="580"/>
      <c r="D842" s="580"/>
      <c r="E842" s="580"/>
      <c r="F842" s="580"/>
      <c r="G842" s="580"/>
      <c r="H842" s="682"/>
      <c r="I842" s="580"/>
    </row>
    <row r="843" ht="13.8" customHeight="1">
      <c r="A843" s="580"/>
      <c r="B843" s="580"/>
      <c r="C843" s="580"/>
      <c r="D843" s="580"/>
      <c r="E843" s="580"/>
      <c r="F843" s="580"/>
      <c r="G843" s="580"/>
      <c r="H843" s="682"/>
      <c r="I843" s="580"/>
    </row>
    <row r="844" ht="13.8" customHeight="1">
      <c r="A844" s="580"/>
      <c r="B844" s="580"/>
      <c r="C844" s="580"/>
      <c r="D844" s="580"/>
      <c r="E844" s="580"/>
      <c r="F844" s="580"/>
      <c r="G844" s="580"/>
      <c r="H844" s="682"/>
      <c r="I844" s="580"/>
    </row>
    <row r="845" ht="13.8" customHeight="1">
      <c r="A845" s="580"/>
      <c r="B845" s="580"/>
      <c r="C845" s="580"/>
      <c r="D845" s="580"/>
      <c r="E845" s="580"/>
      <c r="F845" s="580"/>
      <c r="G845" s="580"/>
      <c r="H845" s="682"/>
      <c r="I845" s="580"/>
    </row>
    <row r="846" ht="13.8" customHeight="1">
      <c r="A846" s="580"/>
      <c r="B846" s="580"/>
      <c r="C846" s="580"/>
      <c r="D846" s="580"/>
      <c r="E846" s="580"/>
      <c r="F846" s="580"/>
      <c r="G846" s="580"/>
      <c r="H846" s="682"/>
      <c r="I846" s="580"/>
    </row>
    <row r="847" ht="13.8" customHeight="1">
      <c r="A847" s="580"/>
      <c r="B847" s="580"/>
      <c r="C847" s="580"/>
      <c r="D847" s="580"/>
      <c r="E847" s="580"/>
      <c r="F847" s="580"/>
      <c r="G847" s="580"/>
      <c r="H847" s="682"/>
      <c r="I847" s="580"/>
    </row>
    <row r="848" ht="13.8" customHeight="1">
      <c r="A848" s="580"/>
      <c r="B848" s="580"/>
      <c r="C848" s="580"/>
      <c r="D848" s="580"/>
      <c r="E848" s="580"/>
      <c r="F848" s="580"/>
      <c r="G848" s="580"/>
      <c r="H848" s="682"/>
      <c r="I848" s="580"/>
    </row>
    <row r="849" ht="13.8" customHeight="1">
      <c r="A849" s="580"/>
      <c r="B849" s="580"/>
      <c r="C849" s="580"/>
      <c r="D849" s="580"/>
      <c r="E849" s="580"/>
      <c r="F849" s="580"/>
      <c r="G849" s="580"/>
      <c r="H849" s="682"/>
      <c r="I849" s="580"/>
    </row>
    <row r="850" ht="13.8" customHeight="1">
      <c r="A850" s="580"/>
      <c r="B850" s="580"/>
      <c r="C850" s="580"/>
      <c r="D850" s="580"/>
      <c r="E850" s="580"/>
      <c r="F850" s="580"/>
      <c r="G850" s="580"/>
      <c r="H850" s="682"/>
      <c r="I850" s="580"/>
    </row>
    <row r="851" ht="13.8" customHeight="1">
      <c r="A851" s="580"/>
      <c r="B851" s="580"/>
      <c r="C851" s="580"/>
      <c r="D851" s="580"/>
      <c r="E851" s="580"/>
      <c r="F851" s="580"/>
      <c r="G851" s="580"/>
      <c r="H851" s="682"/>
      <c r="I851" s="580"/>
    </row>
    <row r="852" ht="13.8" customHeight="1">
      <c r="A852" s="580"/>
      <c r="B852" s="580"/>
      <c r="C852" s="580"/>
      <c r="D852" s="580"/>
      <c r="E852" s="580"/>
      <c r="F852" s="580"/>
      <c r="G852" s="580"/>
      <c r="H852" s="682"/>
      <c r="I852" s="580"/>
    </row>
    <row r="853" ht="13.8" customHeight="1">
      <c r="A853" s="580"/>
      <c r="B853" s="580"/>
      <c r="C853" s="580"/>
      <c r="D853" s="580"/>
      <c r="E853" s="580"/>
      <c r="F853" s="580"/>
      <c r="G853" s="580"/>
      <c r="H853" s="682"/>
      <c r="I853" s="580"/>
    </row>
    <row r="854" ht="13.8" customHeight="1">
      <c r="A854" s="580"/>
      <c r="B854" s="580"/>
      <c r="C854" s="580"/>
      <c r="D854" s="580"/>
      <c r="E854" s="580"/>
      <c r="F854" s="580"/>
      <c r="G854" s="580"/>
      <c r="H854" s="682"/>
      <c r="I854" s="580"/>
    </row>
    <row r="855" ht="13.8" customHeight="1">
      <c r="A855" s="580"/>
      <c r="B855" s="580"/>
      <c r="C855" s="580"/>
      <c r="D855" s="580"/>
      <c r="E855" s="580"/>
      <c r="F855" s="580"/>
      <c r="G855" s="580"/>
      <c r="H855" s="682"/>
      <c r="I855" s="580"/>
    </row>
    <row r="856" ht="13.8" customHeight="1">
      <c r="A856" s="580"/>
      <c r="B856" s="580"/>
      <c r="C856" s="580"/>
      <c r="D856" s="580"/>
      <c r="E856" s="580"/>
      <c r="F856" s="580"/>
      <c r="G856" s="580"/>
      <c r="H856" s="682"/>
      <c r="I856" s="580"/>
    </row>
    <row r="857" ht="13.8" customHeight="1">
      <c r="A857" s="580"/>
      <c r="B857" s="580"/>
      <c r="C857" s="580"/>
      <c r="D857" s="580"/>
      <c r="E857" s="580"/>
      <c r="F857" s="580"/>
      <c r="G857" s="580"/>
      <c r="H857" s="682"/>
      <c r="I857" s="580"/>
    </row>
    <row r="858" ht="13.8" customHeight="1">
      <c r="A858" s="580"/>
      <c r="B858" s="580"/>
      <c r="C858" s="580"/>
      <c r="D858" s="580"/>
      <c r="E858" s="580"/>
      <c r="F858" s="580"/>
      <c r="G858" s="580"/>
      <c r="H858" s="682"/>
      <c r="I858" s="580"/>
    </row>
    <row r="859" ht="13.8" customHeight="1">
      <c r="A859" s="580"/>
      <c r="B859" s="580"/>
      <c r="C859" s="580"/>
      <c r="D859" s="580"/>
      <c r="E859" s="580"/>
      <c r="F859" s="580"/>
      <c r="G859" s="580"/>
      <c r="H859" s="682"/>
      <c r="I859" s="580"/>
    </row>
    <row r="860" ht="13.8" customHeight="1">
      <c r="A860" s="580"/>
      <c r="B860" s="580"/>
      <c r="C860" s="580"/>
      <c r="D860" s="580"/>
      <c r="E860" s="580"/>
      <c r="F860" s="580"/>
      <c r="G860" s="580"/>
      <c r="H860" s="682"/>
      <c r="I860" s="580"/>
    </row>
    <row r="861" ht="13.8" customHeight="1">
      <c r="A861" s="580"/>
      <c r="B861" s="580"/>
      <c r="C861" s="580"/>
      <c r="D861" s="580"/>
      <c r="E861" s="580"/>
      <c r="F861" s="580"/>
      <c r="G861" s="580"/>
      <c r="H861" s="682"/>
      <c r="I861" s="580"/>
    </row>
    <row r="862" ht="13.8" customHeight="1">
      <c r="A862" s="580"/>
      <c r="B862" s="580"/>
      <c r="C862" s="580"/>
      <c r="D862" s="580"/>
      <c r="E862" s="580"/>
      <c r="F862" s="580"/>
      <c r="G862" s="580"/>
      <c r="H862" s="682"/>
      <c r="I862" s="580"/>
    </row>
    <row r="863" ht="13.8" customHeight="1">
      <c r="A863" s="580"/>
      <c r="B863" s="580"/>
      <c r="C863" s="580"/>
      <c r="D863" s="580"/>
      <c r="E863" s="580"/>
      <c r="F863" s="580"/>
      <c r="G863" s="580"/>
      <c r="H863" s="682"/>
      <c r="I863" s="580"/>
    </row>
    <row r="864" ht="13.8" customHeight="1">
      <c r="A864" s="580"/>
      <c r="B864" s="580"/>
      <c r="C864" s="580"/>
      <c r="D864" s="580"/>
      <c r="E864" s="580"/>
      <c r="F864" s="580"/>
      <c r="G864" s="580"/>
      <c r="H864" s="682"/>
      <c r="I864" s="580"/>
    </row>
    <row r="865" ht="13.8" customHeight="1">
      <c r="A865" s="580"/>
      <c r="B865" s="580"/>
      <c r="C865" s="580"/>
      <c r="D865" s="580"/>
      <c r="E865" s="580"/>
      <c r="F865" s="580"/>
      <c r="G865" s="580"/>
      <c r="H865" s="682"/>
      <c r="I865" s="580"/>
    </row>
    <row r="866" ht="13.8" customHeight="1">
      <c r="A866" s="580"/>
      <c r="B866" s="580"/>
      <c r="C866" s="580"/>
      <c r="D866" s="580"/>
      <c r="E866" s="580"/>
      <c r="F866" s="580"/>
      <c r="G866" s="580"/>
      <c r="H866" s="682"/>
      <c r="I866" s="580"/>
    </row>
    <row r="867" ht="13.8" customHeight="1">
      <c r="A867" s="580"/>
      <c r="B867" s="580"/>
      <c r="C867" s="580"/>
      <c r="D867" s="580"/>
      <c r="E867" s="580"/>
      <c r="F867" s="580"/>
      <c r="G867" s="580"/>
      <c r="H867" s="682"/>
      <c r="I867" s="580"/>
    </row>
    <row r="868" ht="13.8" customHeight="1">
      <c r="A868" s="580"/>
      <c r="B868" s="580"/>
      <c r="C868" s="580"/>
      <c r="D868" s="580"/>
      <c r="E868" s="580"/>
      <c r="F868" s="580"/>
      <c r="G868" s="580"/>
      <c r="H868" s="682"/>
      <c r="I868" s="580"/>
    </row>
    <row r="869" ht="13.8" customHeight="1">
      <c r="A869" s="580"/>
      <c r="B869" s="580"/>
      <c r="C869" s="580"/>
      <c r="D869" s="580"/>
      <c r="E869" s="580"/>
      <c r="F869" s="580"/>
      <c r="G869" s="580"/>
      <c r="H869" s="682"/>
      <c r="I869" s="580"/>
    </row>
    <row r="870" ht="13.8" customHeight="1">
      <c r="A870" s="580"/>
      <c r="B870" s="580"/>
      <c r="C870" s="580"/>
      <c r="D870" s="580"/>
      <c r="E870" s="580"/>
      <c r="F870" s="580"/>
      <c r="G870" s="580"/>
      <c r="H870" s="682"/>
      <c r="I870" s="580"/>
    </row>
    <row r="871" ht="13.8" customHeight="1">
      <c r="A871" s="580"/>
      <c r="B871" s="580"/>
      <c r="C871" s="580"/>
      <c r="D871" s="580"/>
      <c r="E871" s="580"/>
      <c r="F871" s="580"/>
      <c r="G871" s="580"/>
      <c r="H871" s="682"/>
      <c r="I871" s="580"/>
    </row>
    <row r="872" ht="13.8" customHeight="1">
      <c r="A872" s="580"/>
      <c r="B872" s="580"/>
      <c r="C872" s="580"/>
      <c r="D872" s="580"/>
      <c r="E872" s="580"/>
      <c r="F872" s="580"/>
      <c r="G872" s="580"/>
      <c r="H872" s="682"/>
      <c r="I872" s="580"/>
    </row>
    <row r="873" ht="13.8" customHeight="1">
      <c r="A873" s="580"/>
      <c r="B873" s="580"/>
      <c r="C873" s="580"/>
      <c r="D873" s="580"/>
      <c r="E873" s="580"/>
      <c r="F873" s="580"/>
      <c r="G873" s="580"/>
      <c r="H873" s="682"/>
      <c r="I873" s="580"/>
    </row>
    <row r="874" ht="13.8" customHeight="1">
      <c r="A874" s="580"/>
      <c r="B874" s="580"/>
      <c r="C874" s="580"/>
      <c r="D874" s="580"/>
      <c r="E874" s="580"/>
      <c r="F874" s="580"/>
      <c r="G874" s="580"/>
      <c r="H874" s="682"/>
      <c r="I874" s="580"/>
    </row>
    <row r="875" ht="13.8" customHeight="1">
      <c r="A875" s="580"/>
      <c r="B875" s="580"/>
      <c r="C875" s="580"/>
      <c r="D875" s="580"/>
      <c r="E875" s="580"/>
      <c r="F875" s="580"/>
      <c r="G875" s="580"/>
      <c r="H875" s="682"/>
      <c r="I875" s="580"/>
    </row>
    <row r="876" ht="13.8" customHeight="1">
      <c r="A876" s="580"/>
      <c r="B876" s="580"/>
      <c r="C876" s="580"/>
      <c r="D876" s="580"/>
      <c r="E876" s="580"/>
      <c r="F876" s="580"/>
      <c r="G876" s="580"/>
      <c r="H876" s="682"/>
      <c r="I876" s="580"/>
    </row>
    <row r="877" ht="13.8" customHeight="1">
      <c r="A877" s="580"/>
      <c r="B877" s="580"/>
      <c r="C877" s="580"/>
      <c r="D877" s="580"/>
      <c r="E877" s="580"/>
      <c r="F877" s="580"/>
      <c r="G877" s="580"/>
      <c r="H877" s="682"/>
      <c r="I877" s="580"/>
    </row>
    <row r="878" ht="13.8" customHeight="1">
      <c r="A878" s="580"/>
      <c r="B878" s="580"/>
      <c r="C878" s="580"/>
      <c r="D878" s="580"/>
      <c r="E878" s="580"/>
      <c r="F878" s="580"/>
      <c r="G878" s="580"/>
      <c r="H878" s="682"/>
      <c r="I878" s="580"/>
    </row>
    <row r="879" ht="13.8" customHeight="1">
      <c r="A879" s="580"/>
      <c r="B879" s="580"/>
      <c r="C879" s="580"/>
      <c r="D879" s="580"/>
      <c r="E879" s="580"/>
      <c r="F879" s="580"/>
      <c r="G879" s="580"/>
      <c r="H879" s="682"/>
      <c r="I879" s="580"/>
    </row>
    <row r="880" ht="13.8" customHeight="1">
      <c r="A880" s="580"/>
      <c r="B880" s="580"/>
      <c r="C880" s="580"/>
      <c r="D880" s="580"/>
      <c r="E880" s="580"/>
      <c r="F880" s="580"/>
      <c r="G880" s="580"/>
      <c r="H880" s="682"/>
      <c r="I880" s="580"/>
    </row>
    <row r="881" ht="13.8" customHeight="1">
      <c r="A881" s="580"/>
      <c r="B881" s="580"/>
      <c r="C881" s="580"/>
      <c r="D881" s="580"/>
      <c r="E881" s="580"/>
      <c r="F881" s="580"/>
      <c r="G881" s="580"/>
      <c r="H881" s="682"/>
      <c r="I881" s="580"/>
    </row>
    <row r="882" ht="13.8" customHeight="1">
      <c r="A882" s="580"/>
      <c r="B882" s="580"/>
      <c r="C882" s="580"/>
      <c r="D882" s="580"/>
      <c r="E882" s="580"/>
      <c r="F882" s="580"/>
      <c r="G882" s="580"/>
      <c r="H882" s="682"/>
      <c r="I882" s="580"/>
    </row>
    <row r="883" ht="13.8" customHeight="1">
      <c r="A883" s="580"/>
      <c r="B883" s="580"/>
      <c r="C883" s="580"/>
      <c r="D883" s="580"/>
      <c r="E883" s="580"/>
      <c r="F883" s="580"/>
      <c r="G883" s="580"/>
      <c r="H883" s="682"/>
      <c r="I883" s="580"/>
    </row>
    <row r="884" ht="13.8" customHeight="1">
      <c r="A884" s="580"/>
      <c r="B884" s="580"/>
      <c r="C884" s="580"/>
      <c r="D884" s="580"/>
      <c r="E884" s="580"/>
      <c r="F884" s="580"/>
      <c r="G884" s="580"/>
      <c r="H884" s="682"/>
      <c r="I884" s="580"/>
    </row>
    <row r="885" ht="13.8" customHeight="1">
      <c r="A885" s="580"/>
      <c r="B885" s="580"/>
      <c r="C885" s="580"/>
      <c r="D885" s="580"/>
      <c r="E885" s="580"/>
      <c r="F885" s="580"/>
      <c r="G885" s="580"/>
      <c r="H885" s="682"/>
      <c r="I885" s="580"/>
    </row>
    <row r="886" ht="13.8" customHeight="1">
      <c r="A886" s="580"/>
      <c r="B886" s="580"/>
      <c r="C886" s="580"/>
      <c r="D886" s="580"/>
      <c r="E886" s="580"/>
      <c r="F886" s="580"/>
      <c r="G886" s="580"/>
      <c r="H886" s="682"/>
      <c r="I886" s="580"/>
    </row>
    <row r="887" ht="13.8" customHeight="1">
      <c r="A887" s="580"/>
      <c r="B887" s="580"/>
      <c r="C887" s="580"/>
      <c r="D887" s="580"/>
      <c r="E887" s="580"/>
      <c r="F887" s="580"/>
      <c r="G887" s="580"/>
      <c r="H887" s="682"/>
      <c r="I887" s="580"/>
    </row>
    <row r="888" ht="13.8" customHeight="1">
      <c r="A888" s="580"/>
      <c r="B888" s="580"/>
      <c r="C888" s="580"/>
      <c r="D888" s="580"/>
      <c r="E888" s="580"/>
      <c r="F888" s="580"/>
      <c r="G888" s="580"/>
      <c r="H888" s="682"/>
      <c r="I888" s="580"/>
    </row>
    <row r="889" ht="13.8" customHeight="1">
      <c r="A889" s="580"/>
      <c r="B889" s="580"/>
      <c r="C889" s="580"/>
      <c r="D889" s="580"/>
      <c r="E889" s="580"/>
      <c r="F889" s="580"/>
      <c r="G889" s="580"/>
      <c r="H889" s="682"/>
      <c r="I889" s="580"/>
    </row>
    <row r="890" ht="13.8" customHeight="1">
      <c r="A890" s="580"/>
      <c r="B890" s="580"/>
      <c r="C890" s="580"/>
      <c r="D890" s="580"/>
      <c r="E890" s="580"/>
      <c r="F890" s="580"/>
      <c r="G890" s="580"/>
      <c r="H890" s="682"/>
      <c r="I890" s="580"/>
    </row>
    <row r="891" ht="13.8" customHeight="1">
      <c r="A891" s="580"/>
      <c r="B891" s="580"/>
      <c r="C891" s="580"/>
      <c r="D891" s="580"/>
      <c r="E891" s="580"/>
      <c r="F891" s="580"/>
      <c r="G891" s="580"/>
      <c r="H891" s="682"/>
      <c r="I891" s="580"/>
    </row>
    <row r="892" ht="13.8" customHeight="1">
      <c r="A892" s="580"/>
      <c r="B892" s="580"/>
      <c r="C892" s="580"/>
      <c r="D892" s="580"/>
      <c r="E892" s="580"/>
      <c r="F892" s="580"/>
      <c r="G892" s="580"/>
      <c r="H892" s="682"/>
      <c r="I892" s="580"/>
    </row>
    <row r="893" ht="13.8" customHeight="1">
      <c r="A893" s="580"/>
      <c r="B893" s="580"/>
      <c r="C893" s="580"/>
      <c r="D893" s="580"/>
      <c r="E893" s="580"/>
      <c r="F893" s="580"/>
      <c r="G893" s="580"/>
      <c r="H893" s="682"/>
      <c r="I893" s="580"/>
    </row>
    <row r="894" ht="13.8" customHeight="1">
      <c r="A894" s="580"/>
      <c r="B894" s="580"/>
      <c r="C894" s="580"/>
      <c r="D894" s="580"/>
      <c r="E894" s="580"/>
      <c r="F894" s="580"/>
      <c r="G894" s="580"/>
      <c r="H894" s="682"/>
      <c r="I894" s="580"/>
    </row>
    <row r="895" ht="13.8" customHeight="1">
      <c r="A895" s="580"/>
      <c r="B895" s="580"/>
      <c r="C895" s="580"/>
      <c r="D895" s="580"/>
      <c r="E895" s="580"/>
      <c r="F895" s="580"/>
      <c r="G895" s="580"/>
      <c r="H895" s="682"/>
      <c r="I895" s="580"/>
    </row>
    <row r="896" ht="13.8" customHeight="1">
      <c r="A896" s="580"/>
      <c r="B896" s="580"/>
      <c r="C896" s="580"/>
      <c r="D896" s="580"/>
      <c r="E896" s="580"/>
      <c r="F896" s="580"/>
      <c r="G896" s="580"/>
      <c r="H896" s="682"/>
      <c r="I896" s="580"/>
    </row>
    <row r="897" ht="13.8" customHeight="1">
      <c r="A897" s="580"/>
      <c r="B897" s="580"/>
      <c r="C897" s="580"/>
      <c r="D897" s="580"/>
      <c r="E897" s="580"/>
      <c r="F897" s="580"/>
      <c r="G897" s="580"/>
      <c r="H897" s="682"/>
      <c r="I897" s="580"/>
    </row>
    <row r="898" ht="13.8" customHeight="1">
      <c r="A898" s="580"/>
      <c r="B898" s="580"/>
      <c r="C898" s="580"/>
      <c r="D898" s="580"/>
      <c r="E898" s="580"/>
      <c r="F898" s="580"/>
      <c r="G898" s="580"/>
      <c r="H898" s="682"/>
      <c r="I898" s="580"/>
    </row>
    <row r="899" ht="13.8" customHeight="1">
      <c r="A899" s="580"/>
      <c r="B899" s="580"/>
      <c r="C899" s="580"/>
      <c r="D899" s="580"/>
      <c r="E899" s="580"/>
      <c r="F899" s="580"/>
      <c r="G899" s="580"/>
      <c r="H899" s="682"/>
      <c r="I899" s="580"/>
    </row>
    <row r="900" ht="13.8" customHeight="1">
      <c r="A900" s="580"/>
      <c r="B900" s="580"/>
      <c r="C900" s="580"/>
      <c r="D900" s="580"/>
      <c r="E900" s="580"/>
      <c r="F900" s="580"/>
      <c r="G900" s="580"/>
      <c r="H900" s="682"/>
      <c r="I900" s="580"/>
    </row>
    <row r="901" ht="13.8" customHeight="1">
      <c r="A901" s="580"/>
      <c r="B901" s="580"/>
      <c r="C901" s="580"/>
      <c r="D901" s="580"/>
      <c r="E901" s="580"/>
      <c r="F901" s="580"/>
      <c r="G901" s="580"/>
      <c r="H901" s="682"/>
      <c r="I901" s="580"/>
    </row>
    <row r="902" ht="13.8" customHeight="1">
      <c r="A902" s="580"/>
      <c r="B902" s="580"/>
      <c r="C902" s="580"/>
      <c r="D902" s="580"/>
      <c r="E902" s="580"/>
      <c r="F902" s="580"/>
      <c r="G902" s="580"/>
      <c r="H902" s="682"/>
      <c r="I902" s="580"/>
    </row>
    <row r="903" ht="13.8" customHeight="1">
      <c r="A903" s="580"/>
      <c r="B903" s="580"/>
      <c r="C903" s="580"/>
      <c r="D903" s="580"/>
      <c r="E903" s="580"/>
      <c r="F903" s="580"/>
      <c r="G903" s="580"/>
      <c r="H903" s="682"/>
      <c r="I903" s="580"/>
    </row>
    <row r="904" ht="13.8" customHeight="1">
      <c r="A904" s="580"/>
      <c r="B904" s="580"/>
      <c r="C904" s="580"/>
      <c r="D904" s="580"/>
      <c r="E904" s="580"/>
      <c r="F904" s="580"/>
      <c r="G904" s="580"/>
      <c r="H904" s="682"/>
      <c r="I904" s="580"/>
    </row>
    <row r="905" ht="13.8" customHeight="1">
      <c r="A905" s="580"/>
      <c r="B905" s="580"/>
      <c r="C905" s="580"/>
      <c r="D905" s="580"/>
      <c r="E905" s="580"/>
      <c r="F905" s="580"/>
      <c r="G905" s="580"/>
      <c r="H905" s="682"/>
      <c r="I905" s="580"/>
    </row>
    <row r="906" ht="13.8" customHeight="1">
      <c r="A906" s="580"/>
      <c r="B906" s="580"/>
      <c r="C906" s="580"/>
      <c r="D906" s="580"/>
      <c r="E906" s="580"/>
      <c r="F906" s="580"/>
      <c r="G906" s="580"/>
      <c r="H906" s="682"/>
      <c r="I906" s="580"/>
    </row>
    <row r="907" ht="13.8" customHeight="1">
      <c r="A907" s="580"/>
      <c r="B907" s="580"/>
      <c r="C907" s="580"/>
      <c r="D907" s="580"/>
      <c r="E907" s="580"/>
      <c r="F907" s="580"/>
      <c r="G907" s="580"/>
      <c r="H907" s="682"/>
      <c r="I907" s="580"/>
    </row>
    <row r="908" ht="13.8" customHeight="1">
      <c r="A908" s="580"/>
      <c r="B908" s="580"/>
      <c r="C908" s="580"/>
      <c r="D908" s="580"/>
      <c r="E908" s="580"/>
      <c r="F908" s="580"/>
      <c r="G908" s="580"/>
      <c r="H908" s="682"/>
      <c r="I908" s="580"/>
    </row>
    <row r="909" ht="13.8" customHeight="1">
      <c r="A909" s="580"/>
      <c r="B909" s="580"/>
      <c r="C909" s="580"/>
      <c r="D909" s="580"/>
      <c r="E909" s="580"/>
      <c r="F909" s="580"/>
      <c r="G909" s="580"/>
      <c r="H909" s="682"/>
      <c r="I909" s="580"/>
    </row>
    <row r="910" ht="13.8" customHeight="1">
      <c r="A910" s="580"/>
      <c r="B910" s="580"/>
      <c r="C910" s="580"/>
      <c r="D910" s="580"/>
      <c r="E910" s="580"/>
      <c r="F910" s="580"/>
      <c r="G910" s="580"/>
      <c r="H910" s="682"/>
      <c r="I910" s="580"/>
    </row>
    <row r="911" ht="13.8" customHeight="1">
      <c r="A911" s="580"/>
      <c r="B911" s="580"/>
      <c r="C911" s="580"/>
      <c r="D911" s="580"/>
      <c r="E911" s="580"/>
      <c r="F911" s="580"/>
      <c r="G911" s="580"/>
      <c r="H911" s="682"/>
      <c r="I911" s="580"/>
    </row>
    <row r="912" ht="13.8" customHeight="1">
      <c r="A912" s="580"/>
      <c r="B912" s="580"/>
      <c r="C912" s="580"/>
      <c r="D912" s="580"/>
      <c r="E912" s="580"/>
      <c r="F912" s="580"/>
      <c r="G912" s="580"/>
      <c r="H912" s="682"/>
      <c r="I912" s="580"/>
    </row>
    <row r="913" ht="13.8" customHeight="1">
      <c r="A913" s="580"/>
      <c r="B913" s="580"/>
      <c r="C913" s="580"/>
      <c r="D913" s="580"/>
      <c r="E913" s="580"/>
      <c r="F913" s="580"/>
      <c r="G913" s="580"/>
      <c r="H913" s="682"/>
      <c r="I913" s="580"/>
    </row>
    <row r="914" ht="13.8" customHeight="1">
      <c r="A914" s="580"/>
      <c r="B914" s="580"/>
      <c r="C914" s="580"/>
      <c r="D914" s="580"/>
      <c r="E914" s="580"/>
      <c r="F914" s="580"/>
      <c r="G914" s="580"/>
      <c r="H914" s="682"/>
      <c r="I914" s="580"/>
    </row>
    <row r="915" ht="13.8" customHeight="1">
      <c r="A915" s="580"/>
      <c r="B915" s="580"/>
      <c r="C915" s="580"/>
      <c r="D915" s="580"/>
      <c r="E915" s="580"/>
      <c r="F915" s="580"/>
      <c r="G915" s="580"/>
      <c r="H915" s="682"/>
      <c r="I915" s="580"/>
    </row>
    <row r="916" ht="13.8" customHeight="1">
      <c r="A916" s="580"/>
      <c r="B916" s="580"/>
      <c r="C916" s="580"/>
      <c r="D916" s="580"/>
      <c r="E916" s="580"/>
      <c r="F916" s="580"/>
      <c r="G916" s="580"/>
      <c r="H916" s="682"/>
      <c r="I916" s="580"/>
    </row>
    <row r="917" ht="13.8" customHeight="1">
      <c r="A917" s="580"/>
      <c r="B917" s="580"/>
      <c r="C917" s="580"/>
      <c r="D917" s="580"/>
      <c r="E917" s="580"/>
      <c r="F917" s="580"/>
      <c r="G917" s="580"/>
      <c r="H917" s="682"/>
      <c r="I917" s="580"/>
    </row>
    <row r="918" ht="13.8" customHeight="1">
      <c r="A918" s="580"/>
      <c r="B918" s="580"/>
      <c r="C918" s="580"/>
      <c r="D918" s="580"/>
      <c r="E918" s="580"/>
      <c r="F918" s="580"/>
      <c r="G918" s="580"/>
      <c r="H918" s="682"/>
      <c r="I918" s="580"/>
    </row>
    <row r="919" ht="13.8" customHeight="1">
      <c r="A919" s="580"/>
      <c r="B919" s="580"/>
      <c r="C919" s="580"/>
      <c r="D919" s="580"/>
      <c r="E919" s="580"/>
      <c r="F919" s="580"/>
      <c r="G919" s="580"/>
      <c r="H919" s="682"/>
      <c r="I919" s="580"/>
    </row>
    <row r="920" ht="13.8" customHeight="1">
      <c r="A920" s="580"/>
      <c r="B920" s="580"/>
      <c r="C920" s="580"/>
      <c r="D920" s="580"/>
      <c r="E920" s="580"/>
      <c r="F920" s="580"/>
      <c r="G920" s="580"/>
      <c r="H920" s="682"/>
      <c r="I920" s="580"/>
    </row>
    <row r="921" ht="13.8" customHeight="1">
      <c r="A921" s="580"/>
      <c r="B921" s="580"/>
      <c r="C921" s="580"/>
      <c r="D921" s="580"/>
      <c r="E921" s="580"/>
      <c r="F921" s="580"/>
      <c r="G921" s="580"/>
      <c r="H921" s="682"/>
      <c r="I921" s="580"/>
    </row>
    <row r="922" ht="13.8" customHeight="1">
      <c r="A922" s="580"/>
      <c r="B922" s="580"/>
      <c r="C922" s="580"/>
      <c r="D922" s="580"/>
      <c r="E922" s="580"/>
      <c r="F922" s="580"/>
      <c r="G922" s="580"/>
      <c r="H922" s="682"/>
      <c r="I922" s="580"/>
    </row>
    <row r="923" ht="13.8" customHeight="1">
      <c r="A923" s="580"/>
      <c r="B923" s="580"/>
      <c r="C923" s="580"/>
      <c r="D923" s="580"/>
      <c r="E923" s="580"/>
      <c r="F923" s="580"/>
      <c r="G923" s="580"/>
      <c r="H923" s="682"/>
      <c r="I923" s="580"/>
    </row>
    <row r="924" ht="13.8" customHeight="1">
      <c r="A924" s="580"/>
      <c r="B924" s="580"/>
      <c r="C924" s="580"/>
      <c r="D924" s="580"/>
      <c r="E924" s="580"/>
      <c r="F924" s="580"/>
      <c r="G924" s="580"/>
      <c r="H924" s="682"/>
      <c r="I924" s="580"/>
    </row>
    <row r="925" ht="13.8" customHeight="1">
      <c r="A925" s="580"/>
      <c r="B925" s="580"/>
      <c r="C925" s="580"/>
      <c r="D925" s="580"/>
      <c r="E925" s="580"/>
      <c r="F925" s="580"/>
      <c r="G925" s="580"/>
      <c r="H925" s="682"/>
      <c r="I925" s="580"/>
    </row>
    <row r="926" ht="13.8" customHeight="1">
      <c r="A926" s="580"/>
      <c r="B926" s="580"/>
      <c r="C926" s="580"/>
      <c r="D926" s="580"/>
      <c r="E926" s="580"/>
      <c r="F926" s="580"/>
      <c r="G926" s="580"/>
      <c r="H926" s="682"/>
      <c r="I926" s="580"/>
    </row>
    <row r="927" ht="13.8" customHeight="1">
      <c r="A927" s="580"/>
      <c r="B927" s="580"/>
      <c r="C927" s="580"/>
      <c r="D927" s="580"/>
      <c r="E927" s="580"/>
      <c r="F927" s="580"/>
      <c r="G927" s="580"/>
      <c r="H927" s="682"/>
      <c r="I927" s="580"/>
    </row>
    <row r="928" ht="13.8" customHeight="1">
      <c r="A928" s="580"/>
      <c r="B928" s="580"/>
      <c r="C928" s="580"/>
      <c r="D928" s="580"/>
      <c r="E928" s="580"/>
      <c r="F928" s="580"/>
      <c r="G928" s="580"/>
      <c r="H928" s="682"/>
      <c r="I928" s="580"/>
    </row>
    <row r="929" ht="13.8" customHeight="1">
      <c r="A929" s="580"/>
      <c r="B929" s="580"/>
      <c r="C929" s="580"/>
      <c r="D929" s="580"/>
      <c r="E929" s="580"/>
      <c r="F929" s="580"/>
      <c r="G929" s="580"/>
      <c r="H929" s="682"/>
      <c r="I929" s="580"/>
    </row>
    <row r="930" ht="13.8" customHeight="1">
      <c r="A930" s="580"/>
      <c r="B930" s="580"/>
      <c r="C930" s="580"/>
      <c r="D930" s="580"/>
      <c r="E930" s="580"/>
      <c r="F930" s="580"/>
      <c r="G930" s="580"/>
      <c r="H930" s="682"/>
      <c r="I930" s="580"/>
    </row>
    <row r="931" ht="13.8" customHeight="1">
      <c r="A931" s="580"/>
      <c r="B931" s="580"/>
      <c r="C931" s="580"/>
      <c r="D931" s="580"/>
      <c r="E931" s="580"/>
      <c r="F931" s="580"/>
      <c r="G931" s="580"/>
      <c r="H931" s="682"/>
      <c r="I931" s="580"/>
    </row>
    <row r="932" ht="13.8" customHeight="1">
      <c r="A932" s="580"/>
      <c r="B932" s="580"/>
      <c r="C932" s="580"/>
      <c r="D932" s="580"/>
      <c r="E932" s="580"/>
      <c r="F932" s="580"/>
      <c r="G932" s="580"/>
      <c r="H932" s="682"/>
      <c r="I932" s="580"/>
    </row>
    <row r="933" ht="13.8" customHeight="1">
      <c r="A933" s="580"/>
      <c r="B933" s="580"/>
      <c r="C933" s="580"/>
      <c r="D933" s="580"/>
      <c r="E933" s="580"/>
      <c r="F933" s="580"/>
      <c r="G933" s="580"/>
      <c r="H933" s="682"/>
      <c r="I933" s="580"/>
    </row>
    <row r="934" ht="13.8" customHeight="1">
      <c r="A934" s="580"/>
      <c r="B934" s="580"/>
      <c r="C934" s="580"/>
      <c r="D934" s="580"/>
      <c r="E934" s="580"/>
      <c r="F934" s="580"/>
      <c r="G934" s="580"/>
      <c r="H934" s="682"/>
      <c r="I934" s="580"/>
    </row>
    <row r="935" ht="13.8" customHeight="1">
      <c r="A935" s="580"/>
      <c r="B935" s="580"/>
      <c r="C935" s="580"/>
      <c r="D935" s="580"/>
      <c r="E935" s="580"/>
      <c r="F935" s="580"/>
      <c r="G935" s="580"/>
      <c r="H935" s="682"/>
      <c r="I935" s="580"/>
    </row>
    <row r="936" ht="13.8" customHeight="1">
      <c r="A936" s="580"/>
      <c r="B936" s="580"/>
      <c r="C936" s="580"/>
      <c r="D936" s="580"/>
      <c r="E936" s="580"/>
      <c r="F936" s="580"/>
      <c r="G936" s="580"/>
      <c r="H936" s="682"/>
      <c r="I936" s="580"/>
    </row>
    <row r="937" ht="13.8" customHeight="1">
      <c r="A937" s="580"/>
      <c r="B937" s="580"/>
      <c r="C937" s="580"/>
      <c r="D937" s="580"/>
      <c r="E937" s="580"/>
      <c r="F937" s="580"/>
      <c r="G937" s="580"/>
      <c r="H937" s="682"/>
      <c r="I937" s="580"/>
    </row>
    <row r="938" ht="13.8" customHeight="1">
      <c r="A938" s="580"/>
      <c r="B938" s="580"/>
      <c r="C938" s="580"/>
      <c r="D938" s="580"/>
      <c r="E938" s="580"/>
      <c r="F938" s="580"/>
      <c r="G938" s="580"/>
      <c r="H938" s="682"/>
      <c r="I938" s="580"/>
    </row>
    <row r="939" ht="13.8" customHeight="1">
      <c r="A939" s="580"/>
      <c r="B939" s="580"/>
      <c r="C939" s="580"/>
      <c r="D939" s="580"/>
      <c r="E939" s="580"/>
      <c r="F939" s="580"/>
      <c r="G939" s="580"/>
      <c r="H939" s="682"/>
      <c r="I939" s="580"/>
    </row>
    <row r="940" ht="13.8" customHeight="1">
      <c r="A940" s="580"/>
      <c r="B940" s="580"/>
      <c r="C940" s="580"/>
      <c r="D940" s="580"/>
      <c r="E940" s="580"/>
      <c r="F940" s="580"/>
      <c r="G940" s="580"/>
      <c r="H940" s="682"/>
      <c r="I940" s="580"/>
    </row>
    <row r="941" ht="13.8" customHeight="1">
      <c r="A941" s="580"/>
      <c r="B941" s="580"/>
      <c r="C941" s="580"/>
      <c r="D941" s="580"/>
      <c r="E941" s="580"/>
      <c r="F941" s="580"/>
      <c r="G941" s="580"/>
      <c r="H941" s="682"/>
      <c r="I941" s="580"/>
    </row>
    <row r="942" ht="13.8" customHeight="1">
      <c r="A942" s="580"/>
      <c r="B942" s="580"/>
      <c r="C942" s="580"/>
      <c r="D942" s="580"/>
      <c r="E942" s="580"/>
      <c r="F942" s="580"/>
      <c r="G942" s="580"/>
      <c r="H942" s="682"/>
      <c r="I942" s="580"/>
    </row>
    <row r="943" ht="13.8" customHeight="1">
      <c r="A943" s="580"/>
      <c r="B943" s="580"/>
      <c r="C943" s="580"/>
      <c r="D943" s="580"/>
      <c r="E943" s="580"/>
      <c r="F943" s="580"/>
      <c r="G943" s="580"/>
      <c r="H943" s="682"/>
      <c r="I943" s="580"/>
    </row>
    <row r="944" ht="13.8" customHeight="1">
      <c r="A944" s="580"/>
      <c r="B944" s="580"/>
      <c r="C944" s="580"/>
      <c r="D944" s="580"/>
      <c r="E944" s="580"/>
      <c r="F944" s="580"/>
      <c r="G944" s="580"/>
      <c r="H944" s="682"/>
      <c r="I944" s="580"/>
    </row>
    <row r="945" ht="13.8" customHeight="1">
      <c r="A945" s="580"/>
      <c r="B945" s="580"/>
      <c r="C945" s="580"/>
      <c r="D945" s="580"/>
      <c r="E945" s="580"/>
      <c r="F945" s="580"/>
      <c r="G945" s="580"/>
      <c r="H945" s="682"/>
      <c r="I945" s="580"/>
    </row>
    <row r="946" ht="13.8" customHeight="1">
      <c r="A946" s="580"/>
      <c r="B946" s="580"/>
      <c r="C946" s="580"/>
      <c r="D946" s="580"/>
      <c r="E946" s="580"/>
      <c r="F946" s="580"/>
      <c r="G946" s="580"/>
      <c r="H946" s="682"/>
      <c r="I946" s="580"/>
    </row>
    <row r="947" ht="15" customHeight="1">
      <c r="A947" s="580"/>
      <c r="B947" s="580"/>
      <c r="C947" s="580"/>
      <c r="D947" s="580"/>
      <c r="E947" s="580"/>
      <c r="F947" s="570"/>
      <c r="G947" s="570"/>
      <c r="H947" s="570"/>
      <c r="I947" s="570"/>
    </row>
    <row r="948" ht="15" customHeight="1">
      <c r="A948" s="580"/>
      <c r="B948" s="580"/>
      <c r="C948" s="580"/>
      <c r="D948" s="580"/>
      <c r="E948" s="580"/>
      <c r="F948" s="570"/>
      <c r="G948" s="570"/>
      <c r="H948" s="570"/>
      <c r="I948" s="570"/>
    </row>
    <row r="949" ht="15" customHeight="1">
      <c r="A949" s="580"/>
      <c r="B949" s="580"/>
      <c r="C949" s="580"/>
      <c r="D949" s="580"/>
      <c r="E949" s="580"/>
      <c r="F949" s="570"/>
      <c r="G949" s="570"/>
      <c r="H949" s="570"/>
      <c r="I949" s="570"/>
    </row>
    <row r="950" ht="15" customHeight="1">
      <c r="A950" s="580"/>
      <c r="B950" s="580"/>
      <c r="C950" s="580"/>
      <c r="D950" s="580"/>
      <c r="E950" s="580"/>
      <c r="F950" s="570"/>
      <c r="G950" s="570"/>
      <c r="H950" s="570"/>
      <c r="I950" s="570"/>
    </row>
    <row r="951" ht="15" customHeight="1">
      <c r="A951" s="580"/>
      <c r="B951" s="580"/>
      <c r="C951" s="580"/>
      <c r="D951" s="580"/>
      <c r="E951" s="580"/>
      <c r="F951" s="570"/>
      <c r="G951" s="570"/>
      <c r="H951" s="570"/>
      <c r="I951" s="570"/>
    </row>
    <row r="952" ht="15" customHeight="1">
      <c r="A952" s="580"/>
      <c r="B952" s="580"/>
      <c r="C952" s="580"/>
      <c r="D952" s="580"/>
      <c r="E952" s="580"/>
      <c r="F952" s="570"/>
      <c r="G952" s="570"/>
      <c r="H952" s="570"/>
      <c r="I952" s="570"/>
    </row>
    <row r="953" ht="15" customHeight="1">
      <c r="A953" s="580"/>
      <c r="B953" s="580"/>
      <c r="C953" s="580"/>
      <c r="D953" s="580"/>
      <c r="E953" s="580"/>
      <c r="F953" s="570"/>
      <c r="G953" s="570"/>
      <c r="H953" s="570"/>
      <c r="I953" s="570"/>
    </row>
    <row r="954" ht="15" customHeight="1">
      <c r="A954" s="580"/>
      <c r="B954" s="580"/>
      <c r="C954" s="580"/>
      <c r="D954" s="580"/>
      <c r="E954" s="580"/>
      <c r="F954" s="570"/>
      <c r="G954" s="570"/>
      <c r="H954" s="570"/>
      <c r="I954" s="570"/>
    </row>
  </sheetData>
  <mergeCells count="1">
    <mergeCell ref="A36:C36"/>
  </mergeCells>
  <dataValidations count="3">
    <dataValidation type="list" allowBlank="1" showInputMessage="1" showErrorMessage="1" sqref="G7:G8 G15:G23 G29:G30">
      <formula1>"Weekend,Lễ 02/09"</formula1>
    </dataValidation>
    <dataValidation type="list" allowBlank="1" showInputMessage="1" showErrorMessage="1" sqref="H7:H8 H19:H22">
      <formula1>"8:00 - 16:00,8:00 - 12:00,12:30 - 16:00"</formula1>
    </dataValidation>
    <dataValidation type="list" allowBlank="1" showInputMessage="1" showErrorMessage="1" sqref="H15:H18 H23">
      <formula1>"8:00 - 16:00,8:00 - 12:00,12:30- 16:00"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W999"/>
  <sheetViews>
    <sheetView workbookViewId="0" showGridLines="0" defaultGridColor="1"/>
  </sheetViews>
  <sheetFormatPr defaultColWidth="14.4" defaultRowHeight="15" customHeight="1" outlineLevelRow="0" outlineLevelCol="0"/>
  <cols>
    <col min="1" max="1" width="9" style="683" customWidth="1"/>
    <col min="2" max="2" width="21.6016" style="683" customWidth="1"/>
    <col min="3" max="3" width="12.6016" style="683" customWidth="1"/>
    <col min="4" max="4" width="14.2109" style="683" customWidth="1"/>
    <col min="5" max="5" width="13" style="683" customWidth="1"/>
    <col min="6" max="6" width="14.4219" style="683" customWidth="1"/>
    <col min="7" max="7" width="4.21094" style="683" customWidth="1"/>
    <col min="8" max="9" width="24.2109" style="683" customWidth="1"/>
    <col min="10" max="10" width="25.6016" style="683" customWidth="1"/>
    <col min="11" max="11" width="14.4219" style="683" customWidth="1"/>
    <col min="12" max="12" width="19" style="683" customWidth="1"/>
    <col min="13" max="14" width="14.4219" style="683" customWidth="1"/>
    <col min="15" max="15" width="26.8125" style="683" customWidth="1"/>
    <col min="16" max="16" width="13" style="683" customWidth="1"/>
    <col min="17" max="17" width="14.6016" style="683" customWidth="1"/>
    <col min="18" max="23" width="14.4219" style="683" customWidth="1"/>
    <col min="24" max="16384" width="14.4219" style="683" customWidth="1"/>
  </cols>
  <sheetData>
    <row r="1" ht="13.8" customHeight="1">
      <c r="A1" s="684"/>
      <c r="B1" s="684"/>
      <c r="C1" s="685"/>
      <c r="D1" s="684"/>
      <c r="E1" s="684"/>
      <c r="F1" s="686"/>
      <c r="G1" s="687"/>
      <c r="H1" t="s" s="688">
        <v>419</v>
      </c>
      <c r="I1" s="689"/>
      <c r="J1" s="684"/>
      <c r="K1" s="684"/>
      <c r="L1" s="684"/>
      <c r="M1" s="29"/>
      <c r="N1" s="686"/>
      <c r="O1" t="s" s="690">
        <v>420</v>
      </c>
      <c r="P1" s="691" cm="1">
        <f t="array" ref="P1">SUM(P3:P37)</f>
        <v>32</v>
      </c>
      <c r="Q1" s="691" cm="1">
        <f t="array" ref="Q1">SUM(Q3:Q37)</f>
        <v>24</v>
      </c>
      <c r="R1" s="691" cm="1">
        <f t="array" ref="R1">SUM(R3:R37)</f>
        <v>30</v>
      </c>
      <c r="S1" s="691" cm="1">
        <f t="array" ref="S1">SUM(S3:S37)</f>
        <v>18</v>
      </c>
      <c r="T1" s="691" cm="1">
        <f t="array" ref="T1">SUM(T3:T37)</f>
        <v>37</v>
      </c>
      <c r="U1" s="692"/>
      <c r="V1" s="686"/>
      <c r="W1" s="686"/>
    </row>
    <row r="2" ht="37.2" customHeight="1">
      <c r="A2" t="s" s="693">
        <v>421</v>
      </c>
      <c r="B2" t="s" s="693">
        <v>384</v>
      </c>
      <c r="C2" t="s" s="694">
        <v>64</v>
      </c>
      <c r="D2" t="s" s="694">
        <v>422</v>
      </c>
      <c r="E2" t="s" s="695">
        <v>423</v>
      </c>
      <c r="F2" s="696"/>
      <c r="G2" s="697"/>
      <c r="H2" t="s" s="698">
        <v>424</v>
      </c>
      <c r="I2" t="s" s="699">
        <v>425</v>
      </c>
      <c r="J2" t="s" s="700">
        <v>426</v>
      </c>
      <c r="K2" t="s" s="700">
        <v>422</v>
      </c>
      <c r="L2" t="s" s="700">
        <v>427</v>
      </c>
      <c r="M2" t="s" s="700">
        <v>428</v>
      </c>
      <c r="N2" t="s" s="701">
        <v>423</v>
      </c>
      <c r="O2" t="s" s="700">
        <v>17</v>
      </c>
      <c r="P2" t="s" s="700">
        <v>429</v>
      </c>
      <c r="Q2" t="s" s="700">
        <v>430</v>
      </c>
      <c r="R2" t="s" s="700">
        <v>428</v>
      </c>
      <c r="S2" t="s" s="700">
        <v>431</v>
      </c>
      <c r="T2" t="s" s="700">
        <v>432</v>
      </c>
      <c r="U2" s="702"/>
      <c r="V2" s="686"/>
      <c r="W2" s="686"/>
    </row>
    <row r="3" ht="14.4" customHeight="1">
      <c r="A3" s="371">
        <v>1</v>
      </c>
      <c r="B3" t="s" s="285">
        <v>90</v>
      </c>
      <c r="C3" s="703" cm="1">
        <f t="array" ref="C3">SUMIF($I$4:$I$300,$B3,$L$4:$L$300)</f>
        <v>0</v>
      </c>
      <c r="D3" s="704">
        <v>22</v>
      </c>
      <c r="E3" s="705" cm="1">
        <f t="array" ref="E3">22-D3</f>
        <v>0</v>
      </c>
      <c r="F3" s="706" cm="1">
        <f t="array" ref="F3">IF(B3=H3,0,1)</f>
        <v>1</v>
      </c>
      <c r="G3" s="707">
        <v>1</v>
      </c>
      <c r="H3" t="s" s="708">
        <v>15</v>
      </c>
      <c r="I3" s="709"/>
      <c r="J3" t="s" s="710">
        <v>384</v>
      </c>
      <c r="K3" t="s" s="710">
        <v>433</v>
      </c>
      <c r="L3" t="s" s="711">
        <v>427</v>
      </c>
      <c r="M3" s="712"/>
      <c r="N3" s="713"/>
      <c r="O3" s="714"/>
      <c r="P3" s="715"/>
      <c r="Q3" s="716"/>
      <c r="R3" s="717"/>
      <c r="S3" s="718"/>
      <c r="T3" s="719"/>
      <c r="U3" s="686"/>
      <c r="V3" s="686"/>
      <c r="W3" s="686"/>
    </row>
    <row r="4" ht="14.4" customHeight="1">
      <c r="A4" s="371" cm="1">
        <f t="array" ref="A4">A3+1</f>
        <v>2</v>
      </c>
      <c r="B4" t="s" s="285">
        <v>97</v>
      </c>
      <c r="C4" s="703" cm="1">
        <f t="array" ref="C4">SUMIF($I$4:$I$300,$B4,$L$4:$L$300)</f>
        <v>0</v>
      </c>
      <c r="D4" s="720" cm="1">
        <f t="array" ref="D4">SUMIF($I$4:$I$31,$B4,$K$4:$K$31)</f>
        <v>22</v>
      </c>
      <c r="E4" s="705" cm="1">
        <f t="array" ref="E4">22-D4</f>
        <v>0</v>
      </c>
      <c r="F4" s="706" cm="1">
        <f t="array" ref="F4">IF(B4=H4,0,1)</f>
        <v>1</v>
      </c>
      <c r="G4" s="721">
        <v>2</v>
      </c>
      <c r="H4" t="s" s="398">
        <v>434</v>
      </c>
      <c r="I4" t="s" s="722">
        <v>289</v>
      </c>
      <c r="J4" t="s" s="710">
        <v>435</v>
      </c>
      <c r="K4" s="723">
        <v>22</v>
      </c>
      <c r="L4" s="724"/>
      <c r="M4" s="725">
        <v>1</v>
      </c>
      <c r="N4" s="726"/>
      <c r="O4" t="s" s="727">
        <v>435</v>
      </c>
      <c r="P4" s="728">
        <v>0.5</v>
      </c>
      <c r="Q4" s="729">
        <v>2</v>
      </c>
      <c r="R4" s="725">
        <v>1</v>
      </c>
      <c r="S4" s="730" cm="1">
        <f t="array" ref="S4">IF((P4-R4)&lt;0,0,(P4-R4))</f>
        <v>0</v>
      </c>
      <c r="T4" s="731" cm="1">
        <f t="array" ref="T4">IF(P4&lt;R4,(Q4+1+P4-R4),(Q4+1))</f>
        <v>2.5</v>
      </c>
      <c r="U4" s="686"/>
      <c r="V4" s="686"/>
      <c r="W4" s="686"/>
    </row>
    <row r="5" ht="14.4" customHeight="1">
      <c r="A5" s="732" cm="1">
        <f t="array" ref="A5">A4+1</f>
        <v>3</v>
      </c>
      <c r="B5" t="s" s="733">
        <v>115</v>
      </c>
      <c r="C5" s="703" cm="1">
        <f t="array" ref="C5">SUMIF($I$4:$I$300,$B5,$L$4:$L$300)</f>
        <v>225000</v>
      </c>
      <c r="D5" s="720" cm="1">
        <f t="array" ref="D5">SUMIF($I$4:$I$31,$B5,$K$4:$K$31)</f>
        <v>10</v>
      </c>
      <c r="E5" s="705" cm="1">
        <f t="array" ref="E5">22-D5</f>
        <v>12</v>
      </c>
      <c r="F5" s="706" cm="1">
        <f t="array" ref="F5">IF(B5=H5,0,1)</f>
        <v>1</v>
      </c>
      <c r="G5" s="721">
        <v>3</v>
      </c>
      <c r="H5" t="s" s="398">
        <v>434</v>
      </c>
      <c r="I5" t="s" s="734">
        <v>338</v>
      </c>
      <c r="J5" t="s" s="710">
        <v>436</v>
      </c>
      <c r="K5" s="723">
        <v>22</v>
      </c>
      <c r="L5" s="735">
        <v>200000</v>
      </c>
      <c r="M5" s="725">
        <v>1</v>
      </c>
      <c r="N5" s="726"/>
      <c r="O5" t="s" s="727">
        <v>436</v>
      </c>
      <c r="P5" s="728">
        <v>0</v>
      </c>
      <c r="Q5" s="729">
        <v>1</v>
      </c>
      <c r="R5" s="725">
        <v>1</v>
      </c>
      <c r="S5" s="730" cm="1">
        <f t="array" ref="S5">IF((P5-R5)&lt;0,0,(P5-R5))</f>
        <v>0</v>
      </c>
      <c r="T5" s="731" cm="1">
        <f t="array" ref="T5">IF(P5&lt;R5,(Q5+1+P5-R5),(Q5+1))</f>
        <v>1</v>
      </c>
      <c r="U5" s="686"/>
      <c r="V5" s="686"/>
      <c r="W5" s="686"/>
    </row>
    <row r="6" ht="14.4" customHeight="1">
      <c r="A6" s="371" cm="1">
        <f t="array" ref="A6">A5+1</f>
        <v>4</v>
      </c>
      <c r="B6" t="s" s="285">
        <v>220</v>
      </c>
      <c r="C6" s="703" cm="1">
        <f t="array" ref="C6">SUMIF($I$4:$I$300,$B6,$L$4:$L$300)</f>
        <v>0</v>
      </c>
      <c r="D6" s="704">
        <v>22</v>
      </c>
      <c r="E6" s="705" cm="1">
        <f t="array" ref="E6">22-D6</f>
        <v>0</v>
      </c>
      <c r="F6" s="736" cm="1">
        <f t="array" ref="F6">IF(B6=H6,0,1)</f>
        <v>1</v>
      </c>
      <c r="G6" s="736">
        <v>5</v>
      </c>
      <c r="H6" t="s" s="398">
        <v>434</v>
      </c>
      <c r="I6" t="s" s="722">
        <v>328</v>
      </c>
      <c r="J6" t="s" s="710">
        <v>437</v>
      </c>
      <c r="K6" s="737">
        <v>22</v>
      </c>
      <c r="L6" s="738"/>
      <c r="M6" s="739">
        <v>2</v>
      </c>
      <c r="N6" t="s" s="740">
        <v>438</v>
      </c>
      <c r="O6" t="s" s="727">
        <v>437</v>
      </c>
      <c r="P6" s="728">
        <v>0</v>
      </c>
      <c r="Q6" s="729">
        <v>1</v>
      </c>
      <c r="R6" s="725">
        <v>2</v>
      </c>
      <c r="S6" s="730" cm="1">
        <f t="array" ref="S6">IF((P6-R6)&lt;0,0,(P6-R6))</f>
        <v>0</v>
      </c>
      <c r="T6" s="731" cm="1">
        <f t="array" ref="T6">IF(P6&lt;R6,(Q6+1+P6-R6),(Q6+1))</f>
        <v>0</v>
      </c>
      <c r="U6" s="686"/>
      <c r="V6" s="686"/>
      <c r="W6" s="686"/>
    </row>
    <row r="7" ht="16" customHeight="1">
      <c r="A7" s="371" cm="1">
        <f t="array" ref="A7">A6+1</f>
        <v>5</v>
      </c>
      <c r="B7" t="s" s="351">
        <v>224</v>
      </c>
      <c r="C7" s="703" cm="1">
        <f t="array" ref="C7">SUMIF($I$4:$I$300,$B7,$L$4:$L$300)</f>
        <v>0</v>
      </c>
      <c r="D7" s="704">
        <v>22</v>
      </c>
      <c r="E7" s="705" cm="1">
        <f t="array" ref="E7">22-D7</f>
        <v>0</v>
      </c>
      <c r="F7" s="706" cm="1">
        <f t="array" ref="F7">IF(B7=H7,0,1)</f>
        <v>1</v>
      </c>
      <c r="G7" s="721">
        <v>6</v>
      </c>
      <c r="H7" t="s" s="398">
        <v>434</v>
      </c>
      <c r="I7" t="s" s="722">
        <v>311</v>
      </c>
      <c r="J7" t="s" s="741">
        <v>313</v>
      </c>
      <c r="K7" s="742">
        <v>22</v>
      </c>
      <c r="L7" s="743">
        <v>125000</v>
      </c>
      <c r="M7" s="725">
        <v>1</v>
      </c>
      <c r="N7" t="s" s="744">
        <v>439</v>
      </c>
      <c r="O7" t="s" s="727">
        <v>313</v>
      </c>
      <c r="P7" s="728">
        <v>3.5</v>
      </c>
      <c r="Q7" s="729">
        <v>2</v>
      </c>
      <c r="R7" s="725">
        <v>1</v>
      </c>
      <c r="S7" s="730" cm="1">
        <f t="array" ref="S7">IF((P7-R7)&lt;0,0,(P7-R7))</f>
        <v>2.5</v>
      </c>
      <c r="T7" s="731" cm="1">
        <f t="array" ref="T7">IF(P7&lt;R7,(Q7+1+P7-R7),(Q7+1))</f>
        <v>3</v>
      </c>
      <c r="U7" s="686"/>
      <c r="V7" s="686"/>
      <c r="W7" s="686"/>
    </row>
    <row r="8" ht="14.4" customHeight="1">
      <c r="A8" s="371" cm="1">
        <f t="array" ref="A8">A7+1</f>
        <v>6</v>
      </c>
      <c r="B8" t="s" s="241">
        <v>230</v>
      </c>
      <c r="C8" s="703" cm="1">
        <f t="array" ref="C8">SUMIF($I$4:$I$300,$B8,$L$4:$L$300)</f>
        <v>450000</v>
      </c>
      <c r="D8" s="720" cm="1">
        <f t="array" ref="D8">SUMIF($I$4:$I$31,$B8,$K$4:$K$31)</f>
        <v>22</v>
      </c>
      <c r="E8" s="705" cm="1">
        <f t="array" ref="E8">22-D8</f>
        <v>0</v>
      </c>
      <c r="F8" s="706" cm="1">
        <f t="array" ref="F8">IF(B8=H8,0,1)</f>
        <v>1</v>
      </c>
      <c r="G8" s="721">
        <v>7</v>
      </c>
      <c r="H8" t="s" s="398">
        <v>434</v>
      </c>
      <c r="I8" t="s" s="745">
        <v>367</v>
      </c>
      <c r="J8" t="s" s="710">
        <v>440</v>
      </c>
      <c r="K8" s="723">
        <v>22</v>
      </c>
      <c r="L8" s="746"/>
      <c r="M8" s="725">
        <v>1</v>
      </c>
      <c r="N8" s="726"/>
      <c r="O8" t="s" s="727">
        <v>440</v>
      </c>
      <c r="P8" s="728">
        <v>0</v>
      </c>
      <c r="Q8" s="729">
        <v>0</v>
      </c>
      <c r="R8" s="725">
        <v>1</v>
      </c>
      <c r="S8" s="730" cm="1">
        <f t="array" ref="S8">IF((P8-R8)&lt;0,0,(P8-R8))</f>
        <v>0</v>
      </c>
      <c r="T8" s="731" cm="1">
        <f t="array" ref="T8">IF(P8&lt;R8,(Q8+1+P8-R8),(Q8+1))</f>
        <v>0</v>
      </c>
      <c r="U8" s="686"/>
      <c r="V8" s="686"/>
      <c r="W8" s="686"/>
    </row>
    <row r="9" ht="14.4" customHeight="1">
      <c r="A9" s="732" cm="1">
        <f t="array" ref="A9">A8+1</f>
        <v>7</v>
      </c>
      <c r="B9" t="s" s="747">
        <v>139</v>
      </c>
      <c r="C9" s="703" cm="1">
        <f t="array" ref="C9">SUMIF($I$4:$I$300,$B9,$L$4:$L$300)</f>
        <v>50000</v>
      </c>
      <c r="D9" s="704">
        <v>22</v>
      </c>
      <c r="E9" s="705" cm="1">
        <f t="array" ref="E9">22-D9</f>
        <v>0</v>
      </c>
      <c r="F9" s="706" cm="1">
        <f t="array" ref="F9">IF(B9=H9,0,1)</f>
        <v>1</v>
      </c>
      <c r="G9" s="721">
        <v>8</v>
      </c>
      <c r="H9" t="s" s="398">
        <v>434</v>
      </c>
      <c r="I9" t="s" s="748">
        <v>441</v>
      </c>
      <c r="J9" t="s" s="710">
        <v>361</v>
      </c>
      <c r="K9" s="723">
        <v>0</v>
      </c>
      <c r="L9" s="749"/>
      <c r="M9" s="750"/>
      <c r="N9" s="726"/>
      <c r="O9" t="s" s="727">
        <v>361</v>
      </c>
      <c r="P9" s="751">
        <v>0</v>
      </c>
      <c r="Q9" s="752">
        <v>0</v>
      </c>
      <c r="R9" s="750"/>
      <c r="S9" s="753" cm="1">
        <f t="array" ref="S9">IF((P9-R9)&lt;0,0,(P9-R9))</f>
        <v>0</v>
      </c>
      <c r="T9" s="754" cm="1">
        <f t="array" ref="T9">IF(P9&lt;R9,(Q9+1+P9-R9),(Q9+1))</f>
        <v>1</v>
      </c>
      <c r="U9" s="686"/>
      <c r="V9" s="686"/>
      <c r="W9" s="686"/>
    </row>
    <row r="10" ht="14.4" customHeight="1">
      <c r="A10" s="371" cm="1">
        <f t="array" ref="A10">A9+1</f>
        <v>8</v>
      </c>
      <c r="B10" t="s" s="351">
        <v>142</v>
      </c>
      <c r="C10" s="703" cm="1">
        <f t="array" ref="C10">SUMIF($I$4:$I$300,$B10,$L$4:$L$300)</f>
        <v>0</v>
      </c>
      <c r="D10" s="720" cm="1">
        <f t="array" ref="D10">SUMIF($I$4:$I$31,$B10,$K$4:$K$31)</f>
        <v>22</v>
      </c>
      <c r="E10" s="705" cm="1">
        <f t="array" ref="E10">22-D10</f>
        <v>0</v>
      </c>
      <c r="F10" s="706" cm="1">
        <f t="array" ref="F10">IF(B10=H10,0,1)</f>
        <v>1</v>
      </c>
      <c r="G10" s="721">
        <v>9</v>
      </c>
      <c r="H10" t="s" s="398">
        <v>434</v>
      </c>
      <c r="I10" t="s" s="722">
        <v>298</v>
      </c>
      <c r="J10" t="s" s="710">
        <v>442</v>
      </c>
      <c r="K10" s="723">
        <v>22</v>
      </c>
      <c r="L10" s="735">
        <v>50000</v>
      </c>
      <c r="M10" s="725">
        <v>2</v>
      </c>
      <c r="N10" s="726"/>
      <c r="O10" t="s" s="755">
        <v>442</v>
      </c>
      <c r="P10" s="756">
        <v>0</v>
      </c>
      <c r="Q10" s="757">
        <v>-1</v>
      </c>
      <c r="R10" s="758">
        <v>2</v>
      </c>
      <c r="S10" s="759" cm="1">
        <f t="array" ref="S10">IF((P10-R10)&lt;0,0,(P10-R10))</f>
        <v>0</v>
      </c>
      <c r="T10" s="760" cm="1">
        <f t="array" ref="T10">IF(P10&lt;R10,(Q10+1+P10-R10),(Q10+1))</f>
        <v>-2</v>
      </c>
      <c r="U10" s="692"/>
      <c r="V10" s="686"/>
      <c r="W10" s="686"/>
    </row>
    <row r="11" ht="14.4" customHeight="1">
      <c r="A11" s="371" cm="1">
        <f t="array" ref="A11">A10+1</f>
        <v>9</v>
      </c>
      <c r="B11" t="s" s="241">
        <v>244</v>
      </c>
      <c r="C11" s="703" cm="1">
        <f t="array" ref="C11">SUMIF($I$4:$I$300,$B11,$L$4:$L$300)</f>
        <v>0</v>
      </c>
      <c r="D11" s="704">
        <v>22</v>
      </c>
      <c r="E11" s="705" cm="1">
        <f t="array" ref="E11">22-D11</f>
        <v>0</v>
      </c>
      <c r="F11" s="706" cm="1">
        <f t="array" ref="F11">IF(B11=H11,0,1)</f>
        <v>1</v>
      </c>
      <c r="G11" s="721">
        <v>11</v>
      </c>
      <c r="H11" t="s" s="398">
        <v>434</v>
      </c>
      <c r="I11" t="s" s="722">
        <v>317</v>
      </c>
      <c r="J11" t="s" s="710">
        <v>318</v>
      </c>
      <c r="K11" s="723">
        <v>22</v>
      </c>
      <c r="L11" s="761"/>
      <c r="M11" s="725">
        <v>1</v>
      </c>
      <c r="N11" s="726"/>
      <c r="O11" t="s" s="727">
        <v>318</v>
      </c>
      <c r="P11" s="762">
        <v>0</v>
      </c>
      <c r="Q11" s="763">
        <v>1</v>
      </c>
      <c r="R11" s="725">
        <v>1</v>
      </c>
      <c r="S11" s="764" cm="1">
        <f t="array" ref="S11">IF((P11-R11)&lt;0,0,(P11-R11))</f>
        <v>0</v>
      </c>
      <c r="T11" s="765" cm="1">
        <f t="array" ref="T11">IF(P11&lt;R11,(Q11+1+P11-R11),(Q11+1))</f>
        <v>1</v>
      </c>
      <c r="U11" s="686"/>
      <c r="V11" s="686"/>
      <c r="W11" s="686"/>
    </row>
    <row r="12" ht="14.4" customHeight="1">
      <c r="A12" s="371" cm="1">
        <f t="array" ref="A12">A11+1</f>
        <v>10</v>
      </c>
      <c r="B12" t="s" s="241">
        <v>251</v>
      </c>
      <c r="C12" s="703" cm="1">
        <f t="array" ref="C12">SUMIF($I$4:$I$300,$B12,$L$4:$L$300)</f>
        <v>0</v>
      </c>
      <c r="D12" s="720" cm="1">
        <f t="array" ref="D12">SUMIF($I$4:$I$31,$B12,$K$4:$K$31)</f>
        <v>22</v>
      </c>
      <c r="E12" s="705" cm="1">
        <f t="array" ref="E12">22-D12</f>
        <v>0</v>
      </c>
      <c r="F12" s="706" cm="1">
        <f t="array" ref="F12">IF(B12=H12,0,1)</f>
        <v>1</v>
      </c>
      <c r="G12" s="721">
        <v>12</v>
      </c>
      <c r="H12" t="str" s="766" cm="1">
        <f t="array" ref="H12">VLOOKUP(J12,B1:B999,1,0)</f>
        <v>Bùi Xuân Lực</v>
      </c>
      <c r="I12" t="s" s="727">
        <v>306</v>
      </c>
      <c r="J12" t="s" s="710">
        <v>306</v>
      </c>
      <c r="K12" s="723">
        <v>22</v>
      </c>
      <c r="L12" s="724"/>
      <c r="M12" s="725">
        <v>1</v>
      </c>
      <c r="N12" s="726"/>
      <c r="O12" t="s" s="755">
        <v>306</v>
      </c>
      <c r="P12" s="756">
        <v>0</v>
      </c>
      <c r="Q12" s="757">
        <v>-0.5</v>
      </c>
      <c r="R12" s="758">
        <v>1</v>
      </c>
      <c r="S12" s="759" cm="1">
        <f t="array" ref="S12">IF((P12-R12)&lt;0,0,(P12-R12))</f>
        <v>0</v>
      </c>
      <c r="T12" s="760" cm="1">
        <f t="array" ref="T12">IF(P12&lt;R12,(Q12+1+P12-R12),(Q12+1))</f>
        <v>-0.5</v>
      </c>
      <c r="U12" s="692"/>
      <c r="V12" s="686"/>
      <c r="W12" s="686"/>
    </row>
    <row r="13" ht="14.4" customHeight="1">
      <c r="A13" s="371" cm="1">
        <f t="array" ref="A13">A12+1</f>
        <v>11</v>
      </c>
      <c r="B13" t="s" s="241">
        <v>256</v>
      </c>
      <c r="C13" s="703" cm="1">
        <f t="array" ref="C13">SUMIF($I$4:$I$300,$B13,$L$4:$L$300)</f>
        <v>0</v>
      </c>
      <c r="D13" s="720" cm="1">
        <f t="array" ref="D13">SUMIF($I$4:$I$31,$B13,$K$4:$K$31)</f>
        <v>22</v>
      </c>
      <c r="E13" s="705" cm="1">
        <f t="array" ref="E13">22-D13</f>
        <v>0</v>
      </c>
      <c r="F13" s="706" cm="1">
        <f t="array" ref="F13">IF(B13=H13,0,1)</f>
        <v>1</v>
      </c>
      <c r="G13" s="721">
        <v>14</v>
      </c>
      <c r="H13" t="s" s="398">
        <v>434</v>
      </c>
      <c r="I13" t="s" s="665">
        <v>322</v>
      </c>
      <c r="J13" t="s" s="710">
        <v>324</v>
      </c>
      <c r="K13" s="723">
        <v>22</v>
      </c>
      <c r="L13" s="724"/>
      <c r="M13" s="750"/>
      <c r="N13" s="726"/>
      <c r="O13" t="s" s="727">
        <v>324</v>
      </c>
      <c r="P13" s="767">
        <v>0</v>
      </c>
      <c r="Q13" s="768">
        <v>0</v>
      </c>
      <c r="R13" s="750"/>
      <c r="S13" s="769" cm="1">
        <f t="array" ref="S13">IF((P13-R13)&lt;0,0,(P13-R13))</f>
        <v>0</v>
      </c>
      <c r="T13" s="770" cm="1">
        <f t="array" ref="T13">IF(P13&lt;R13,(Q13+1+P13-R13),(Q13+1))</f>
        <v>1</v>
      </c>
      <c r="U13" s="686"/>
      <c r="V13" s="686"/>
      <c r="W13" s="686"/>
    </row>
    <row r="14" ht="14.4" customHeight="1">
      <c r="A14" s="371" cm="1">
        <f t="array" ref="A14">A13+1</f>
        <v>12</v>
      </c>
      <c r="B14" t="s" s="241">
        <v>157</v>
      </c>
      <c r="C14" s="703" cm="1">
        <f t="array" ref="C14">SUMIF($I$4:$I$300,$B14,$L$4:$L$300)</f>
        <v>0</v>
      </c>
      <c r="D14" s="704">
        <v>22</v>
      </c>
      <c r="E14" s="771" cm="1">
        <f t="array" ref="E14">22-D14</f>
        <v>0</v>
      </c>
      <c r="F14" t="s" s="772">
        <v>444</v>
      </c>
      <c r="G14" s="721">
        <v>15</v>
      </c>
      <c r="H14" t="str" s="766" cm="1">
        <f t="array" ref="H14">VLOOKUP(J14,B1:B999,1,0)</f>
        <v>Bùi Văn Điệp</v>
      </c>
      <c r="I14" t="s" s="727">
        <v>90</v>
      </c>
      <c r="J14" t="s" s="710">
        <v>90</v>
      </c>
      <c r="K14" s="773"/>
      <c r="L14" s="724"/>
      <c r="M14" s="750"/>
      <c r="N14" s="726"/>
      <c r="O14" t="s" s="727">
        <v>90</v>
      </c>
      <c r="P14" s="728">
        <v>0</v>
      </c>
      <c r="Q14" s="729">
        <v>0</v>
      </c>
      <c r="R14" s="750"/>
      <c r="S14" s="730" cm="1">
        <f t="array" ref="S14">IF((P14-R14)&lt;0,0,(P14-R14))</f>
        <v>0</v>
      </c>
      <c r="T14" s="731" cm="1">
        <f t="array" ref="T14">IF(P14&lt;R14,(Q14+1+P14-R14),(Q14+1))</f>
        <v>1</v>
      </c>
      <c r="U14" s="686"/>
      <c r="V14" s="686"/>
      <c r="W14" s="686"/>
    </row>
    <row r="15" ht="14.4" customHeight="1">
      <c r="A15" s="371" cm="1">
        <f t="array" ref="A15">A14+1</f>
        <v>13</v>
      </c>
      <c r="B15" t="s" s="241">
        <v>267</v>
      </c>
      <c r="C15" s="703" cm="1">
        <f t="array" ref="C15">SUMIF($I$4:$I$300,$B15,$L$4:$L$300)</f>
        <v>0</v>
      </c>
      <c r="D15" s="704">
        <v>22</v>
      </c>
      <c r="E15" s="705" cm="1">
        <f t="array" ref="E15">22-D15</f>
        <v>0</v>
      </c>
      <c r="F15" s="706" cm="1">
        <f t="array" ref="F15">IF(B15=H15,0,1)</f>
        <v>1</v>
      </c>
      <c r="G15" s="721">
        <v>16</v>
      </c>
      <c r="H15" t="str" s="766" cm="1">
        <f t="array" ref="H15">VLOOKUP(J15,B1:B999,1,0)</f>
        <v>Nguyễn Ngọc Anh</v>
      </c>
      <c r="I15" t="s" s="727">
        <v>97</v>
      </c>
      <c r="J15" t="s" s="710">
        <v>97</v>
      </c>
      <c r="K15" s="737">
        <v>22</v>
      </c>
      <c r="L15" s="774"/>
      <c r="M15" s="750"/>
      <c r="N15" s="726"/>
      <c r="O15" t="s" s="727">
        <v>97</v>
      </c>
      <c r="P15" s="751">
        <v>0</v>
      </c>
      <c r="Q15" s="752">
        <v>2</v>
      </c>
      <c r="R15" s="750"/>
      <c r="S15" s="753" cm="1">
        <f t="array" ref="S15">IF((P15-R15)&lt;0,0,(P15-R15))</f>
        <v>0</v>
      </c>
      <c r="T15" s="754" cm="1">
        <f t="array" ref="T15">IF(P15&lt;R15,(Q15+1+P15-R15),(Q15+1))</f>
        <v>3</v>
      </c>
      <c r="U15" s="686"/>
      <c r="V15" s="686"/>
      <c r="W15" s="686"/>
    </row>
    <row r="16" ht="16" customHeight="1">
      <c r="A16" s="371" cm="1">
        <f t="array" ref="A16">A15+1</f>
        <v>14</v>
      </c>
      <c r="B16" t="s" s="241">
        <v>270</v>
      </c>
      <c r="C16" s="703" cm="1">
        <f t="array" ref="C16">SUMIF($I$4:$I$300,$B16,$L$4:$L$300)</f>
        <v>450000</v>
      </c>
      <c r="D16" s="720" cm="1">
        <f t="array" ref="D16">SUMIF($I$4:$I$31,$B16,$K$4:$K$31)</f>
        <v>21</v>
      </c>
      <c r="E16" s="705" cm="1">
        <f t="array" ref="E16">22-D16</f>
        <v>1</v>
      </c>
      <c r="F16" s="736" cm="1">
        <f t="array" ref="F16">IF(B16=H16,0,1)</f>
        <v>1</v>
      </c>
      <c r="G16" s="736">
        <v>17</v>
      </c>
      <c r="H16" t="str" s="766" cm="1">
        <f t="array" ref="H16">VLOOKUP(J16,B1:B999,1,0)</f>
        <v>Lê Hải Linh</v>
      </c>
      <c r="I16" t="s" s="727">
        <v>115</v>
      </c>
      <c r="J16" t="s" s="741">
        <v>115</v>
      </c>
      <c r="K16" s="742">
        <v>10</v>
      </c>
      <c r="L16" s="775">
        <v>225000</v>
      </c>
      <c r="M16" s="750"/>
      <c r="N16" t="s" s="744">
        <v>448</v>
      </c>
      <c r="O16" t="s" s="755">
        <v>115</v>
      </c>
      <c r="P16" s="756">
        <v>0</v>
      </c>
      <c r="Q16" s="757">
        <v>-1.5</v>
      </c>
      <c r="R16" s="776"/>
      <c r="S16" s="759" cm="1">
        <f t="array" ref="S16">IF((P16-R16)&lt;0,0,(P16-R16))</f>
        <v>0</v>
      </c>
      <c r="T16" s="760" cm="1">
        <f t="array" ref="T16">IF(P16&lt;R16,(Q16+1+P16-R16),(Q16+1))</f>
        <v>-0.5</v>
      </c>
      <c r="U16" s="692"/>
      <c r="V16" s="686"/>
      <c r="W16" s="686"/>
    </row>
    <row r="17" ht="14.4" customHeight="1">
      <c r="A17" s="371" cm="1">
        <f t="array" ref="A17">A16+1</f>
        <v>15</v>
      </c>
      <c r="B17" t="s" s="396">
        <v>277</v>
      </c>
      <c r="C17" s="703" cm="1">
        <f t="array" ref="C17">SUMIF($I$4:$I$300,$B17,$L$4:$L$300)</f>
        <v>0</v>
      </c>
      <c r="D17" s="720" cm="1">
        <f t="array" ref="D17">SUMIF($I$4:$I$31,$B17,$K$4:$K$31)</f>
        <v>22</v>
      </c>
      <c r="E17" s="705" cm="1">
        <f t="array" ref="E17">22-D17</f>
        <v>0</v>
      </c>
      <c r="F17" s="706" cm="1">
        <f t="array" ref="F17">IF(B17=H17,0,1)</f>
        <v>1</v>
      </c>
      <c r="G17" s="721">
        <v>20</v>
      </c>
      <c r="H17" t="str" s="766" cm="1">
        <f t="array" ref="H17">VLOOKUP(J17,B1:B999,1,0)</f>
        <v>Thái Thanh Nhật Quang</v>
      </c>
      <c r="I17" t="s" s="727">
        <v>220</v>
      </c>
      <c r="J17" t="s" s="710">
        <v>220</v>
      </c>
      <c r="K17" s="773"/>
      <c r="L17" s="724"/>
      <c r="M17" s="750"/>
      <c r="N17" s="726"/>
      <c r="O17" t="s" s="727">
        <v>220</v>
      </c>
      <c r="P17" s="767">
        <v>0</v>
      </c>
      <c r="Q17" s="768">
        <v>0</v>
      </c>
      <c r="R17" s="750"/>
      <c r="S17" s="769" cm="1">
        <f t="array" ref="S17">IF((P17-R17)&lt;0,0,(P17-R17))</f>
        <v>0</v>
      </c>
      <c r="T17" s="770" cm="1">
        <f t="array" ref="T17">IF(P17&lt;R17,(Q17+1+P17-R17),(Q17+1))</f>
        <v>1</v>
      </c>
      <c r="U17" s="686"/>
      <c r="V17" s="686"/>
      <c r="W17" s="686"/>
    </row>
    <row r="18" ht="14.4" customHeight="1">
      <c r="A18" s="371" cm="1">
        <f t="array" ref="A18">A17+1</f>
        <v>16</v>
      </c>
      <c r="B18" t="s" s="396">
        <v>283</v>
      </c>
      <c r="C18" s="703" cm="1">
        <f t="array" ref="C18">SUMIF($I$4:$I$300,$B18,$L$4:$L$300)</f>
        <v>0</v>
      </c>
      <c r="D18" s="720" cm="1">
        <f t="array" ref="D18">SUMIF($I$4:$I$31,$B18,$K$4:$K$31)</f>
        <v>22</v>
      </c>
      <c r="E18" s="705" cm="1">
        <f t="array" ref="E18">22-D18</f>
        <v>0</v>
      </c>
      <c r="F18" s="706" cm="1">
        <f t="array" ref="F18">IF(B18=H18,0,1)</f>
        <v>1</v>
      </c>
      <c r="G18" s="721">
        <v>21</v>
      </c>
      <c r="H18" t="str" s="766" cm="1">
        <f t="array" ref="H18">VLOOKUP(J18,B1:B999,1,0)</f>
        <v>Trần Minh Tuyết</v>
      </c>
      <c r="I18" t="s" s="727">
        <v>224</v>
      </c>
      <c r="J18" t="s" s="710">
        <v>224</v>
      </c>
      <c r="K18" s="723">
        <v>9</v>
      </c>
      <c r="L18" s="724"/>
      <c r="M18" s="750"/>
      <c r="N18" s="726"/>
      <c r="O18" t="s" s="727">
        <v>224</v>
      </c>
      <c r="P18" s="728">
        <v>4.5</v>
      </c>
      <c r="Q18" s="729">
        <v>2</v>
      </c>
      <c r="R18" s="750"/>
      <c r="S18" s="730" cm="1">
        <f t="array" ref="S18">IF((P18-R18)&lt;0,0,(P18-R18))</f>
        <v>4.5</v>
      </c>
      <c r="T18" s="731" cm="1">
        <f t="array" ref="T18">IF(P18&lt;R18,(Q18+1+P18-R18),(Q18+1))</f>
        <v>3</v>
      </c>
      <c r="U18" s="686"/>
      <c r="V18" s="686"/>
      <c r="W18" s="686"/>
    </row>
    <row r="19" ht="14.4" customHeight="1">
      <c r="A19" s="371" cm="1">
        <f t="array" ref="A19">A18+1</f>
        <v>17</v>
      </c>
      <c r="B19" t="s" s="665">
        <v>289</v>
      </c>
      <c r="C19" s="703" cm="1">
        <f t="array" ref="C19">SUMIF($I$4:$I$300,$B19,$L$4:$L$300)</f>
        <v>0</v>
      </c>
      <c r="D19" s="720" cm="1">
        <f t="array" ref="D19">SUMIF($I$4:$I$31,$B19,$K$4:$K$31)</f>
        <v>22</v>
      </c>
      <c r="E19" s="705" cm="1">
        <f t="array" ref="E19">22-D19</f>
        <v>0</v>
      </c>
      <c r="F19" s="706" cm="1">
        <f t="array" ref="F19">IF(B19=H19,0,1)</f>
        <v>1</v>
      </c>
      <c r="G19" s="721">
        <v>22</v>
      </c>
      <c r="H19" t="s" s="398">
        <v>434</v>
      </c>
      <c r="I19" t="s" s="383">
        <v>230</v>
      </c>
      <c r="J19" t="s" s="710">
        <v>232</v>
      </c>
      <c r="K19" s="723">
        <v>22</v>
      </c>
      <c r="L19" s="735">
        <v>450000</v>
      </c>
      <c r="M19" s="725">
        <v>1</v>
      </c>
      <c r="N19" s="726"/>
      <c r="O19" t="s" s="727">
        <v>232</v>
      </c>
      <c r="P19" s="728">
        <v>0</v>
      </c>
      <c r="Q19" s="729">
        <v>0</v>
      </c>
      <c r="R19" s="725">
        <v>1</v>
      </c>
      <c r="S19" s="730" cm="1">
        <f t="array" ref="S19">IF((P19-R19)&lt;0,0,(P19-R19))</f>
        <v>0</v>
      </c>
      <c r="T19" s="731" cm="1">
        <f t="array" ref="T19">IF(P19&lt;R19,(Q19+1+P19-R19),(Q19+1))</f>
        <v>0</v>
      </c>
      <c r="U19" s="686"/>
      <c r="V19" s="686"/>
      <c r="W19" s="686"/>
    </row>
    <row r="20" ht="14.4" customHeight="1">
      <c r="A20" s="371" cm="1">
        <f t="array" ref="A20">A19+1</f>
        <v>18</v>
      </c>
      <c r="B20" t="s" s="665">
        <v>293</v>
      </c>
      <c r="C20" s="703" cm="1">
        <f t="array" ref="C20">SUMIF($I$4:$I$300,$B20,$L$4:$L$300)</f>
        <v>0</v>
      </c>
      <c r="D20" s="720" cm="1">
        <f t="array" ref="D20">SUMIF($I$4:$I$31,$B20,$K$4:$K$31)</f>
        <v>22</v>
      </c>
      <c r="E20" s="705" cm="1">
        <f t="array" ref="E20">22-D20</f>
        <v>0</v>
      </c>
      <c r="F20" s="706" cm="1">
        <f t="array" ref="F20">IF(B20=H20,0,1)</f>
        <v>1</v>
      </c>
      <c r="G20" s="721">
        <v>23</v>
      </c>
      <c r="H20" t="str" s="766" cm="1">
        <f t="array" ref="H20">VLOOKUP(J20,B1:B999,1,0)</f>
        <v>Nguyễn Tử Trường Lâm</v>
      </c>
      <c r="I20" t="s" s="727">
        <v>142</v>
      </c>
      <c r="J20" t="s" s="710">
        <v>142</v>
      </c>
      <c r="K20" s="723">
        <v>22</v>
      </c>
      <c r="L20" s="724"/>
      <c r="M20" t="s" s="777">
        <v>452</v>
      </c>
      <c r="N20" s="726"/>
      <c r="O20" t="s" s="727">
        <v>142</v>
      </c>
      <c r="P20" s="728">
        <v>8</v>
      </c>
      <c r="Q20" s="729">
        <v>2</v>
      </c>
      <c r="R20" s="725">
        <v>3.5</v>
      </c>
      <c r="S20" s="730" cm="1">
        <f t="array" ref="S20">IF((P20-R20)&lt;0,0,(P20-R20))</f>
        <v>4.5</v>
      </c>
      <c r="T20" s="731" cm="1">
        <f t="array" ref="T20">IF(P20&lt;R20,(Q20+1+P20-R20),(Q20+1))</f>
        <v>3</v>
      </c>
      <c r="U20" s="686"/>
      <c r="V20" s="686"/>
      <c r="W20" s="686"/>
    </row>
    <row r="21" ht="14.4" customHeight="1">
      <c r="A21" s="371" cm="1">
        <f t="array" ref="A21">A20+1</f>
        <v>19</v>
      </c>
      <c r="B21" t="s" s="665">
        <v>298</v>
      </c>
      <c r="C21" s="703" cm="1">
        <f t="array" ref="C21">SUMIF($I$4:$I$300,$B21,$L$4:$L$300)</f>
        <v>50000</v>
      </c>
      <c r="D21" s="720" cm="1">
        <f t="array" ref="D21">SUMIF($I$4:$I$31,$B21,$K$4:$K$31)</f>
        <v>22</v>
      </c>
      <c r="E21" s="705" cm="1">
        <f t="array" ref="E21">22-D21</f>
        <v>0</v>
      </c>
      <c r="F21" s="706" cm="1">
        <f t="array" ref="F21">IF(B21=H21,0,1)</f>
        <v>1</v>
      </c>
      <c r="G21" s="721">
        <v>24</v>
      </c>
      <c r="H21" t="s" s="398">
        <v>434</v>
      </c>
      <c r="I21" t="s" s="383">
        <v>244</v>
      </c>
      <c r="J21" t="s" s="710">
        <v>247</v>
      </c>
      <c r="K21" s="773"/>
      <c r="L21" s="724"/>
      <c r="M21" s="750"/>
      <c r="N21" s="726"/>
      <c r="O21" t="s" s="727">
        <v>247</v>
      </c>
      <c r="P21" s="728">
        <v>0</v>
      </c>
      <c r="Q21" s="729">
        <v>0</v>
      </c>
      <c r="R21" s="750"/>
      <c r="S21" s="730" cm="1">
        <f t="array" ref="S21">IF((P21-R21)&lt;0,0,(P21-R21))</f>
        <v>0</v>
      </c>
      <c r="T21" s="731" cm="1">
        <f t="array" ref="T21">IF(P21&lt;R21,(Q21+1+P21-R21),(Q21+1))</f>
        <v>1</v>
      </c>
      <c r="U21" s="778"/>
      <c r="V21" s="778"/>
      <c r="W21" s="778"/>
    </row>
    <row r="22" ht="14.4" customHeight="1">
      <c r="A22" s="732" cm="1">
        <f t="array" ref="A22">A21+1</f>
        <v>20</v>
      </c>
      <c r="B22" t="s" s="779">
        <v>303</v>
      </c>
      <c r="C22" s="703" cm="1">
        <f t="array" ref="C22">SUMIF($I$4:$I$300,$B22,$L$4:$L$300)</f>
        <v>50000</v>
      </c>
      <c r="D22" s="720" cm="1">
        <f t="array" ref="D22">SUMIF($I$4:$I$31,$B22,$K$4:$K$31)</f>
        <v>22</v>
      </c>
      <c r="E22" s="705" cm="1">
        <f t="array" ref="E22">22-D22</f>
        <v>0</v>
      </c>
      <c r="F22" s="706" cm="1">
        <f t="array" ref="F22">IF(B22=H22,0,1)</f>
        <v>1</v>
      </c>
      <c r="G22" s="721">
        <v>25</v>
      </c>
      <c r="H22" t="str" s="766" cm="1">
        <f t="array" ref="H22">VLOOKUP(J22,B1:B999,1,0)</f>
        <v>Nguyễn Thị Kim Phượng</v>
      </c>
      <c r="I22" t="s" s="727">
        <v>256</v>
      </c>
      <c r="J22" t="s" s="710">
        <v>256</v>
      </c>
      <c r="K22" s="723">
        <v>22</v>
      </c>
      <c r="L22" s="724"/>
      <c r="M22" s="725">
        <v>3.5</v>
      </c>
      <c r="N22" s="726"/>
      <c r="O22" t="s" s="727">
        <v>256</v>
      </c>
      <c r="P22" s="728">
        <v>3</v>
      </c>
      <c r="Q22" s="729">
        <v>2</v>
      </c>
      <c r="R22" s="725">
        <v>3.5</v>
      </c>
      <c r="S22" s="730" cm="1">
        <f t="array" ref="S22">IF((P22-R22)&lt;0,0,(P22-R22))</f>
        <v>0</v>
      </c>
      <c r="T22" s="731" cm="1">
        <f t="array" ref="T22">IF(P22&lt;R22,(Q22+1+P22-R22),(Q22+1))</f>
        <v>2.5</v>
      </c>
      <c r="U22" s="686"/>
      <c r="V22" s="686"/>
      <c r="W22" s="686"/>
    </row>
    <row r="23" ht="14.4" customHeight="1">
      <c r="A23" s="371" cm="1">
        <f t="array" ref="A23">A22+1</f>
        <v>21</v>
      </c>
      <c r="B23" t="s" s="665">
        <v>306</v>
      </c>
      <c r="C23" s="703" cm="1">
        <f t="array" ref="C23">SUMIF($I$4:$I$300,$B23,$L$4:$L$300)</f>
        <v>0</v>
      </c>
      <c r="D23" s="720" cm="1">
        <f t="array" ref="D23">SUMIF($I$4:$I$31,$B23,$K$4:$K$31)</f>
        <v>22</v>
      </c>
      <c r="E23" s="705" cm="1">
        <f t="array" ref="E23">22-D23</f>
        <v>0</v>
      </c>
      <c r="F23" s="706" cm="1">
        <f t="array" ref="F23">IF(B23=H23,0,1)</f>
        <v>1</v>
      </c>
      <c r="G23" s="721">
        <v>26</v>
      </c>
      <c r="H23" t="str" s="766" cm="1">
        <f t="array" ref="H23">VLOOKUP(J23,B1:B999,1,0)</f>
        <v>Phạm Thu Thủy</v>
      </c>
      <c r="I23" t="s" s="727">
        <v>267</v>
      </c>
      <c r="J23" t="s" s="710">
        <v>267</v>
      </c>
      <c r="K23" s="773"/>
      <c r="L23" s="780"/>
      <c r="M23" s="750"/>
      <c r="N23" s="726"/>
      <c r="O23" t="s" s="727">
        <v>267</v>
      </c>
      <c r="P23" s="728">
        <v>0</v>
      </c>
      <c r="Q23" s="729">
        <v>0</v>
      </c>
      <c r="R23" s="750"/>
      <c r="S23" s="730" cm="1">
        <f t="array" ref="S23">IF((P23-R23)&lt;0,0,(P23-R23))</f>
        <v>0</v>
      </c>
      <c r="T23" s="731" cm="1">
        <f t="array" ref="T23">IF(P23&lt;R23,(Q23+1+P23-R23),(Q23+1))</f>
        <v>1</v>
      </c>
      <c r="U23" s="686"/>
      <c r="V23" s="686"/>
      <c r="W23" s="686"/>
    </row>
    <row r="24" ht="14.4" customHeight="1">
      <c r="A24" s="732" cm="1">
        <f t="array" ref="A24">A23+1</f>
        <v>22</v>
      </c>
      <c r="B24" t="s" s="779">
        <v>311</v>
      </c>
      <c r="C24" s="703" cm="1">
        <f t="array" ref="C24">SUMIF($I$4:$I$300,$B24,$L$4:$L$300)</f>
        <v>125000</v>
      </c>
      <c r="D24" s="720" cm="1">
        <f t="array" ref="D24">SUMIF($I$4:$I$31,$B24,$K$4:$K$31)</f>
        <v>22</v>
      </c>
      <c r="E24" s="705" cm="1">
        <f t="array" ref="E24">22-D24</f>
        <v>0</v>
      </c>
      <c r="F24" s="736" cm="1">
        <f t="array" ref="F24">IF(B24=H24,0,1)</f>
        <v>1</v>
      </c>
      <c r="G24" s="736">
        <v>27</v>
      </c>
      <c r="H24" t="str" s="766" cm="1">
        <f t="array" ref="H24">VLOOKUP(J24,B1:B999,1,0)</f>
        <v>Ngô Xuân Bách</v>
      </c>
      <c r="I24" t="s" s="727">
        <v>270</v>
      </c>
      <c r="J24" t="s" s="710">
        <v>270</v>
      </c>
      <c r="K24" s="723">
        <v>21</v>
      </c>
      <c r="L24" s="735">
        <v>450000</v>
      </c>
      <c r="M24" t="s" s="777">
        <v>456</v>
      </c>
      <c r="N24" s="726"/>
      <c r="O24" t="s" s="727">
        <v>270</v>
      </c>
      <c r="P24" s="728">
        <v>3</v>
      </c>
      <c r="Q24" s="729">
        <v>2</v>
      </c>
      <c r="R24" s="725">
        <v>0.5</v>
      </c>
      <c r="S24" s="730" cm="1">
        <f t="array" ref="S24">IF((P24-R24)&lt;0,0,(P24-R24))</f>
        <v>2.5</v>
      </c>
      <c r="T24" s="731" cm="1">
        <f t="array" ref="T24">IF(P24&lt;R24,(Q24+1+P24-R24),(Q24+1))</f>
        <v>3</v>
      </c>
      <c r="U24" s="686"/>
      <c r="V24" s="686"/>
      <c r="W24" s="686"/>
    </row>
    <row r="25" ht="14.4" customHeight="1">
      <c r="A25" s="371" cm="1">
        <f t="array" ref="A25">A24+1</f>
        <v>23</v>
      </c>
      <c r="B25" t="s" s="665">
        <v>317</v>
      </c>
      <c r="C25" s="703" cm="1">
        <f t="array" ref="C25">SUMIF($I$4:$I$300,$B25,$L$4:$L$300)</f>
        <v>0</v>
      </c>
      <c r="D25" s="720" cm="1">
        <f t="array" ref="D25">SUMIF($I$4:$I$31,$B25,$K$4:$K$31)</f>
        <v>22</v>
      </c>
      <c r="E25" s="705" cm="1">
        <f t="array" ref="E25">22-D25</f>
        <v>0</v>
      </c>
      <c r="F25" s="706" cm="1">
        <f t="array" ref="F25">IF(B25=H25,0,1)</f>
        <v>1</v>
      </c>
      <c r="G25" s="721">
        <v>28</v>
      </c>
      <c r="H25" t="s" s="398">
        <v>434</v>
      </c>
      <c r="I25" t="s" s="734">
        <v>277</v>
      </c>
      <c r="J25" t="s" s="710">
        <v>282</v>
      </c>
      <c r="K25" s="723">
        <v>22</v>
      </c>
      <c r="L25" s="724"/>
      <c r="M25" s="725">
        <v>2</v>
      </c>
      <c r="N25" s="726"/>
      <c r="O25" t="s" s="727">
        <v>282</v>
      </c>
      <c r="P25" s="728">
        <v>4.5</v>
      </c>
      <c r="Q25" s="729">
        <v>2</v>
      </c>
      <c r="R25" s="725">
        <v>2</v>
      </c>
      <c r="S25" s="730" cm="1">
        <f t="array" ref="S25">IF((P25-R25)&lt;0,0,(P25-R25))</f>
        <v>2.5</v>
      </c>
      <c r="T25" s="731" cm="1">
        <f t="array" ref="T25">IF(P25&lt;R25,(Q25+1+P25-R25),(Q25+1))</f>
        <v>3</v>
      </c>
      <c r="U25" s="686"/>
      <c r="V25" s="686"/>
      <c r="W25" s="686"/>
    </row>
    <row r="26" ht="14.4" customHeight="1">
      <c r="A26" s="371" cm="1">
        <f t="array" ref="A26">A25+1</f>
        <v>24</v>
      </c>
      <c r="B26" t="s" s="665">
        <v>322</v>
      </c>
      <c r="C26" s="703" cm="1">
        <f t="array" ref="C26">SUMIF($I$4:$I$300,$B26,$L$4:$L$300)</f>
        <v>0</v>
      </c>
      <c r="D26" s="720" cm="1">
        <f t="array" ref="D26">SUMIF($I$4:$I$31,$B26,$K$4:$K$31)</f>
        <v>22</v>
      </c>
      <c r="E26" s="705" cm="1">
        <f t="array" ref="E26">22-D26</f>
        <v>0</v>
      </c>
      <c r="F26" s="706" cm="1">
        <f t="array" ref="F26">IF(B26=H26,0,1)</f>
        <v>1</v>
      </c>
      <c r="G26" s="721">
        <v>29</v>
      </c>
      <c r="H26" t="s" s="398">
        <v>434</v>
      </c>
      <c r="I26" t="s" s="734">
        <v>283</v>
      </c>
      <c r="J26" t="s" s="710">
        <v>288</v>
      </c>
      <c r="K26" s="723">
        <v>22</v>
      </c>
      <c r="L26" s="724"/>
      <c r="M26" s="750"/>
      <c r="N26" s="726"/>
      <c r="O26" t="s" s="727">
        <v>288</v>
      </c>
      <c r="P26" s="728">
        <v>0</v>
      </c>
      <c r="Q26" s="729">
        <v>1.5</v>
      </c>
      <c r="R26" s="750"/>
      <c r="S26" s="730" cm="1">
        <f t="array" ref="S26">IF((P26-R26)&lt;0,0,(P26-R26))</f>
        <v>0</v>
      </c>
      <c r="T26" s="731" cm="1">
        <f t="array" ref="T26">IF(P26&lt;R26,(Q26+1+P26-R26),(Q26+1))</f>
        <v>2.5</v>
      </c>
      <c r="U26" s="686"/>
      <c r="V26" s="686"/>
      <c r="W26" s="686"/>
    </row>
    <row r="27" ht="14.4" customHeight="1">
      <c r="A27" s="371" cm="1">
        <f t="array" ref="A27">A26+1</f>
        <v>25</v>
      </c>
      <c r="B27" t="s" s="665">
        <v>328</v>
      </c>
      <c r="C27" s="703" cm="1">
        <f t="array" ref="C27">SUMIF($I$4:$I$300,$B27,$L$4:$L$300)</f>
        <v>0</v>
      </c>
      <c r="D27" s="720" cm="1">
        <f t="array" ref="D27">SUMIF($I$4:$I$31,$B27,$K$4:$K$31)</f>
        <v>22</v>
      </c>
      <c r="E27" s="705" cm="1">
        <f t="array" ref="E27">22-D27</f>
        <v>0</v>
      </c>
      <c r="F27" s="706" cm="1">
        <f t="array" ref="F27">IF(B27=H27,0,1)</f>
        <v>1</v>
      </c>
      <c r="G27" s="721">
        <v>30</v>
      </c>
      <c r="H27" t="str" s="766" cm="1">
        <f t="array" ref="H27">VLOOKUP(J27,B1:B999,1,0)</f>
        <v>Phan Thị Nguyệt Ánh</v>
      </c>
      <c r="I27" t="s" s="727">
        <v>346</v>
      </c>
      <c r="J27" t="s" s="710">
        <v>346</v>
      </c>
      <c r="K27" s="723">
        <v>22</v>
      </c>
      <c r="L27" s="761"/>
      <c r="M27" s="725">
        <v>1</v>
      </c>
      <c r="N27" s="726"/>
      <c r="O27" t="s" s="727">
        <v>346</v>
      </c>
      <c r="P27" s="728">
        <v>0</v>
      </c>
      <c r="Q27" s="729">
        <v>0</v>
      </c>
      <c r="R27" s="725">
        <v>1</v>
      </c>
      <c r="S27" s="730" cm="1">
        <f t="array" ref="S27">IF((P27-R27)&lt;0,0,(P27-R27))</f>
        <v>0</v>
      </c>
      <c r="T27" s="731" cm="1">
        <f t="array" ref="T27">IF(P27&lt;R27,(Q27+1+P27-R27),(Q27+1))</f>
        <v>0</v>
      </c>
      <c r="U27" s="686"/>
      <c r="V27" s="686"/>
      <c r="W27" s="686"/>
    </row>
    <row r="28" ht="14.4" customHeight="1">
      <c r="A28" s="371" cm="1">
        <f t="array" ref="A28">A27+1</f>
        <v>26</v>
      </c>
      <c r="B28" t="s" s="665">
        <v>332</v>
      </c>
      <c r="C28" s="703" cm="1">
        <f t="array" ref="C28">SUMIF($I$4:$I$300,$B28,$L$4:$L$300)</f>
        <v>0</v>
      </c>
      <c r="D28" s="704">
        <v>22</v>
      </c>
      <c r="E28" s="705" cm="1">
        <f t="array" ref="E28">22-D28</f>
        <v>0</v>
      </c>
      <c r="F28" s="706" cm="1">
        <f t="array" ref="F28">IF(B28=H28,0,1)</f>
        <v>1</v>
      </c>
      <c r="G28" s="721">
        <v>31</v>
      </c>
      <c r="H28" t="str" s="766" cm="1">
        <f t="array" ref="H28">VLOOKUP(J28,B1:B999,1,0)</f>
        <v>Nguyễn Mạnh Tuấn</v>
      </c>
      <c r="I28" t="s" s="727">
        <v>352</v>
      </c>
      <c r="J28" t="s" s="710">
        <v>352</v>
      </c>
      <c r="K28" s="723">
        <v>22</v>
      </c>
      <c r="L28" s="781">
        <v>50000</v>
      </c>
      <c r="M28" t="s" s="777">
        <v>456</v>
      </c>
      <c r="N28" s="726"/>
      <c r="O28" t="s" s="727">
        <v>352</v>
      </c>
      <c r="P28" s="728">
        <v>0</v>
      </c>
      <c r="Q28" s="729">
        <v>0.5</v>
      </c>
      <c r="R28" s="725">
        <v>0.5</v>
      </c>
      <c r="S28" s="730" cm="1">
        <f t="array" ref="S28">IF((P28-R28)&lt;0,0,(P28-R28))</f>
        <v>0</v>
      </c>
      <c r="T28" s="731" cm="1">
        <f t="array" ref="T28">IF(P28&lt;R28,(Q28+1+P28-R28),(Q28+1))</f>
        <v>1</v>
      </c>
      <c r="U28" s="686"/>
      <c r="V28" s="686"/>
      <c r="W28" s="686"/>
    </row>
    <row r="29" ht="14.4" customHeight="1">
      <c r="A29" s="371" cm="1">
        <f t="array" ref="A29">A28+1</f>
        <v>27</v>
      </c>
      <c r="B29" t="s" s="396">
        <v>338</v>
      </c>
      <c r="C29" s="703" cm="1">
        <f t="array" ref="C29">SUMIF($I$4:$I$300,$B29,$L$4:$L$300)</f>
        <v>200000</v>
      </c>
      <c r="D29" s="720" cm="1">
        <f t="array" ref="D29">SUMIF($I$4:$I$31,$B29,$K$4:$K$31)</f>
        <v>22</v>
      </c>
      <c r="E29" s="705" cm="1">
        <f t="array" ref="E29">22-D29</f>
        <v>0</v>
      </c>
      <c r="F29" s="706" cm="1">
        <f t="array" ref="F29">IF(B29=H29,0,1)</f>
        <v>1</v>
      </c>
      <c r="G29" s="782">
        <v>33</v>
      </c>
      <c r="H29" t="s" s="398">
        <v>434</v>
      </c>
      <c r="I29" t="s" s="722">
        <v>293</v>
      </c>
      <c r="J29" t="s" s="710">
        <v>459</v>
      </c>
      <c r="K29" s="723">
        <v>22</v>
      </c>
      <c r="L29" s="761"/>
      <c r="M29" t="s" s="777">
        <v>456</v>
      </c>
      <c r="N29" s="726"/>
      <c r="O29" t="s" s="727">
        <v>459</v>
      </c>
      <c r="P29" s="728">
        <v>2</v>
      </c>
      <c r="Q29" s="729">
        <v>2</v>
      </c>
      <c r="R29" s="725">
        <v>0.5</v>
      </c>
      <c r="S29" s="730" cm="1">
        <f t="array" ref="S29">IF((P29-R29)&lt;0,0,(P29-R29))</f>
        <v>1.5</v>
      </c>
      <c r="T29" s="731" cm="1">
        <f t="array" ref="T29">IF(P29&lt;R29,(Q29+1+P29-R29),(Q29+1))</f>
        <v>3</v>
      </c>
      <c r="U29" s="686"/>
      <c r="V29" s="686"/>
      <c r="W29" s="686"/>
    </row>
    <row r="30" ht="14.4" customHeight="1">
      <c r="A30" s="371" cm="1">
        <f t="array" ref="A30">A29+1</f>
        <v>28</v>
      </c>
      <c r="B30" t="s" s="783">
        <v>352</v>
      </c>
      <c r="C30" s="703" cm="1">
        <f t="array" ref="C30">SUMIF($I$4:$I$300,$B30,$L$4:$L$300)</f>
        <v>50000</v>
      </c>
      <c r="D30" s="720" cm="1">
        <f t="array" ref="D30">SUMIF($I$4:$I$31,$B30,$K$4:$K$31)</f>
        <v>22</v>
      </c>
      <c r="E30" s="705" cm="1">
        <f t="array" ref="E30">22-D30</f>
        <v>0</v>
      </c>
      <c r="F30" s="706" cm="1">
        <f t="array" ref="F30">IF(B30=H30,0,1)</f>
        <v>1</v>
      </c>
      <c r="G30" s="784">
        <v>34</v>
      </c>
      <c r="H30" t="s" s="398">
        <v>434</v>
      </c>
      <c r="I30" t="s" s="383">
        <v>251</v>
      </c>
      <c r="J30" t="s" s="710">
        <v>253</v>
      </c>
      <c r="K30" s="737">
        <v>22</v>
      </c>
      <c r="L30" s="774"/>
      <c r="M30" s="725">
        <v>3</v>
      </c>
      <c r="N30" s="726"/>
      <c r="O30" t="s" s="727">
        <v>253</v>
      </c>
      <c r="P30" s="728">
        <v>1.5</v>
      </c>
      <c r="Q30" s="729">
        <v>2</v>
      </c>
      <c r="R30" s="725">
        <v>3</v>
      </c>
      <c r="S30" s="730" cm="1">
        <f t="array" ref="S30">IF((P30-R30)&lt;0,0,(P30-R30))</f>
        <v>0</v>
      </c>
      <c r="T30" s="731" cm="1">
        <f t="array" ref="T30">IF(P30&lt;R30,(Q30+1+P30-R30),(Q30+1))</f>
        <v>1.5</v>
      </c>
      <c r="U30" s="686"/>
      <c r="V30" s="686"/>
      <c r="W30" s="686"/>
    </row>
    <row r="31" ht="15.5" customHeight="1">
      <c r="A31" s="371" cm="1">
        <f t="array" ref="A31">A30+1</f>
        <v>29</v>
      </c>
      <c r="B31" t="s" s="285">
        <v>346</v>
      </c>
      <c r="C31" s="703" cm="1">
        <f t="array" ref="C31">SUMIF($I$4:$I$300,$B31,$L$4:$L$300)</f>
        <v>0</v>
      </c>
      <c r="D31" s="720" cm="1">
        <f t="array" ref="D31">SUMIF($I$4:$I$31,$B31,$K$4:$K$31)</f>
        <v>22</v>
      </c>
      <c r="E31" s="705" cm="1">
        <f t="array" ref="E31">22-D31</f>
        <v>0</v>
      </c>
      <c r="F31" s="706" cm="1">
        <f t="array" ref="F31">IF(B31=H31,0,1)</f>
        <v>1</v>
      </c>
      <c r="G31" s="721">
        <v>36</v>
      </c>
      <c r="H31" t="s" s="398">
        <v>434</v>
      </c>
      <c r="I31" t="s" s="722">
        <v>303</v>
      </c>
      <c r="J31" t="s" s="741">
        <v>460</v>
      </c>
      <c r="K31" s="742">
        <v>22</v>
      </c>
      <c r="L31" s="775">
        <v>50000</v>
      </c>
      <c r="M31" s="785">
        <v>1</v>
      </c>
      <c r="N31" t="s" s="786">
        <v>448</v>
      </c>
      <c r="O31" t="s" s="727">
        <v>460</v>
      </c>
      <c r="P31" s="751">
        <v>0</v>
      </c>
      <c r="Q31" s="752">
        <v>0</v>
      </c>
      <c r="R31" s="785">
        <v>1</v>
      </c>
      <c r="S31" s="730" cm="1">
        <f t="array" ref="S31">IF((P31-R31)&lt;0,0,(P31-R31))</f>
        <v>0</v>
      </c>
      <c r="T31" s="731" cm="1">
        <f t="array" ref="T31">IF(P31&lt;R31,(Q31+1+P31-R31),(Q31+1))</f>
        <v>0</v>
      </c>
      <c r="U31" s="686"/>
      <c r="V31" s="686"/>
      <c r="W31" s="686"/>
    </row>
    <row r="32" ht="13.8" customHeight="1">
      <c r="A32" s="371" cm="1">
        <f t="array" ref="A32">A31+1</f>
        <v>30</v>
      </c>
      <c r="B32" t="s" s="285">
        <v>359</v>
      </c>
      <c r="C32" s="703" cm="1">
        <f t="array" ref="C32">SUMIF($I$4:$I$300,$B32,$L$4:$L$300)</f>
        <v>0</v>
      </c>
      <c r="D32" s="704">
        <v>22</v>
      </c>
      <c r="E32" s="787"/>
      <c r="F32" t="s" s="788">
        <v>461</v>
      </c>
      <c r="G32" s="789"/>
      <c r="H32" t="s" s="398">
        <v>434</v>
      </c>
      <c r="I32" t="s" s="722">
        <v>139</v>
      </c>
      <c r="J32" t="s" s="790">
        <v>462</v>
      </c>
      <c r="K32" s="723">
        <v>22</v>
      </c>
      <c r="L32" s="791">
        <v>50000</v>
      </c>
      <c r="M32" t="s" s="792">
        <v>452</v>
      </c>
      <c r="N32" s="702"/>
      <c r="O32" t="s" s="793">
        <v>462</v>
      </c>
      <c r="P32" s="794">
        <v>1.5</v>
      </c>
      <c r="Q32" s="795">
        <v>2</v>
      </c>
      <c r="R32" s="796">
        <v>3.5</v>
      </c>
      <c r="S32" s="728" cm="1">
        <f t="array" ref="S32">IF((P32-R32)&lt;0,0,(P32-R32))</f>
        <v>0</v>
      </c>
      <c r="T32" s="731" cm="1">
        <f t="array" ref="T32">IF(P32&lt;R32,(Q32+1+P32-R32),(Q32+1))</f>
        <v>1</v>
      </c>
      <c r="U32" s="686"/>
      <c r="V32" s="686"/>
      <c r="W32" s="686"/>
    </row>
    <row r="33" ht="13.8" customHeight="1">
      <c r="A33" s="797" cm="1">
        <f t="array" ref="A33">A32+1</f>
        <v>31</v>
      </c>
      <c r="B33" t="s" s="798">
        <v>367</v>
      </c>
      <c r="C33" s="703" cm="1">
        <f t="array" ref="C33">SUMIF($I$4:$I$300,$B33,$L$4:$L$300)</f>
        <v>0</v>
      </c>
      <c r="D33" s="720" cm="1">
        <f t="array" ref="D33">SUMIF($I$4:$I$31,$B33,$K$4:$K$31)</f>
        <v>22</v>
      </c>
      <c r="E33" s="799" cm="1">
        <f t="array" ref="E33">22-D33</f>
        <v>0</v>
      </c>
      <c r="F33" s="706" cm="1">
        <f t="array" ref="F33">IF(B33=H33,0,1)</f>
        <v>1</v>
      </c>
      <c r="G33" s="789"/>
      <c r="H33" s="766"/>
      <c r="I33" s="618"/>
      <c r="J33" t="s" s="800">
        <v>364</v>
      </c>
      <c r="K33" s="801"/>
      <c r="L33" s="802"/>
      <c r="M33" s="802"/>
      <c r="N33" s="702"/>
      <c r="O33" t="s" s="803">
        <v>364</v>
      </c>
      <c r="P33" s="804"/>
      <c r="Q33" s="805"/>
      <c r="R33" s="806"/>
      <c r="S33" s="807"/>
      <c r="T33" s="807"/>
      <c r="U33" s="807"/>
      <c r="V33" s="807"/>
      <c r="W33" s="807"/>
    </row>
    <row r="34" ht="13.8" customHeight="1">
      <c r="A34" s="797" cm="1">
        <f t="array" ref="A34">A33+1</f>
        <v>32</v>
      </c>
      <c r="B34" t="s" s="798">
        <v>364</v>
      </c>
      <c r="C34" s="703" cm="1">
        <f t="array" ref="C34">SUMIF($I$4:$I$300,$B34,$L$4:$L$300)</f>
        <v>0</v>
      </c>
      <c r="D34" s="808">
        <v>22</v>
      </c>
      <c r="E34" s="799" cm="1">
        <f t="array" ref="E34">22-D34</f>
        <v>0</v>
      </c>
      <c r="F34" t="s" s="809">
        <v>463</v>
      </c>
      <c r="G34" s="789"/>
      <c r="H34" s="766"/>
      <c r="I34" s="618"/>
      <c r="J34" s="773"/>
      <c r="K34" s="801"/>
      <c r="L34" s="802"/>
      <c r="M34" s="715"/>
      <c r="N34" s="810"/>
      <c r="O34" s="714"/>
      <c r="P34" s="702"/>
      <c r="Q34" s="807"/>
      <c r="R34" s="687"/>
      <c r="S34" s="807"/>
      <c r="T34" s="807"/>
      <c r="U34" s="807"/>
      <c r="V34" s="807"/>
      <c r="W34" s="807"/>
    </row>
    <row r="35" ht="13.8" customHeight="1">
      <c r="A35" s="797" cm="1">
        <f t="array" ref="A35">A34+1</f>
        <v>33</v>
      </c>
      <c r="B35" t="s" s="811">
        <v>361</v>
      </c>
      <c r="C35" s="703" cm="1">
        <f t="array" ref="C35">SUMIF($I$4:$I$300,$B35,$L$4:$L$300)</f>
        <v>0</v>
      </c>
      <c r="D35" s="812">
        <v>22</v>
      </c>
      <c r="E35" s="813" cm="1">
        <f t="array" ref="E35">22-D35</f>
        <v>0</v>
      </c>
      <c r="F35" s="706" cm="1">
        <f t="array" ref="F35">IF(B35=H35,0,1)</f>
        <v>1</v>
      </c>
      <c r="G35" s="789"/>
      <c r="H35" s="766"/>
      <c r="I35" s="618"/>
      <c r="J35" s="773"/>
      <c r="K35" s="801"/>
      <c r="L35" s="802"/>
      <c r="M35" s="702"/>
      <c r="N35" s="810"/>
      <c r="O35" s="714"/>
      <c r="P35" s="702"/>
      <c r="Q35" s="807"/>
      <c r="R35" s="687"/>
      <c r="S35" s="807"/>
      <c r="T35" s="807"/>
      <c r="U35" s="807"/>
      <c r="V35" s="807"/>
      <c r="W35" s="807"/>
    </row>
    <row r="36" ht="13.8" customHeight="1">
      <c r="A36" t="s" s="501">
        <v>464</v>
      </c>
      <c r="B36" s="814"/>
      <c r="C36" s="815" cm="1">
        <f t="array" ref="C36">SUM(C3:C34)</f>
        <v>1650000</v>
      </c>
      <c r="D36" s="816" cm="1">
        <f t="array" ref="D36">SUM(D3:D34)</f>
        <v>691</v>
      </c>
      <c r="E36" s="817" cm="1">
        <f t="array" ref="E36">SUM(E3:E34)</f>
        <v>13</v>
      </c>
      <c r="F36" s="818"/>
      <c r="G36" s="789"/>
      <c r="H36" s="766"/>
      <c r="I36" s="618"/>
      <c r="J36" s="773"/>
      <c r="K36" s="801"/>
      <c r="L36" s="802"/>
      <c r="M36" s="702"/>
      <c r="N36" s="810"/>
      <c r="O36" s="714"/>
      <c r="P36" s="702"/>
      <c r="Q36" s="686"/>
      <c r="R36" s="687"/>
      <c r="S36" s="686"/>
      <c r="T36" s="686"/>
      <c r="U36" s="686"/>
      <c r="V36" s="686"/>
      <c r="W36" s="686"/>
    </row>
    <row r="37" ht="13.8" customHeight="1">
      <c r="A37" s="719"/>
      <c r="B37" s="819"/>
      <c r="C37" s="820">
        <v>3475000</v>
      </c>
      <c r="D37" s="791">
        <v>620</v>
      </c>
      <c r="E37" t="s" s="821">
        <v>465</v>
      </c>
      <c r="F37" s="810"/>
      <c r="G37" s="789"/>
      <c r="H37" s="766"/>
      <c r="I37" s="618"/>
      <c r="J37" s="773"/>
      <c r="K37" s="801"/>
      <c r="L37" s="802"/>
      <c r="M37" s="702"/>
      <c r="N37" s="810"/>
      <c r="O37" s="714"/>
      <c r="P37" s="702"/>
      <c r="Q37" s="686"/>
      <c r="R37" s="687"/>
      <c r="S37" s="686"/>
      <c r="T37" s="686"/>
      <c r="U37" s="686"/>
      <c r="V37" s="686"/>
      <c r="W37" s="686"/>
    </row>
    <row r="38" ht="13.8" customHeight="1">
      <c r="A38" s="686"/>
      <c r="B38" s="686"/>
      <c r="C38" s="822"/>
      <c r="D38" s="719"/>
      <c r="E38" s="686"/>
      <c r="F38" s="686"/>
      <c r="G38" s="806"/>
      <c r="H38" s="719"/>
      <c r="I38" s="806"/>
      <c r="J38" s="719"/>
      <c r="K38" s="719"/>
      <c r="L38" s="719"/>
      <c r="M38" s="686"/>
      <c r="N38" s="686"/>
      <c r="O38" s="806"/>
      <c r="P38" s="686"/>
      <c r="Q38" s="686"/>
      <c r="R38" s="687"/>
      <c r="S38" s="686"/>
      <c r="T38" s="686"/>
      <c r="U38" s="686"/>
      <c r="V38" s="686"/>
      <c r="W38" s="686"/>
    </row>
    <row r="39" ht="13.8" customHeight="1">
      <c r="A39" s="686"/>
      <c r="B39" s="686"/>
      <c r="C39" s="823"/>
      <c r="D39" s="686"/>
      <c r="E39" s="686"/>
      <c r="F39" s="686"/>
      <c r="G39" s="687"/>
      <c r="H39" s="686"/>
      <c r="I39" s="687"/>
      <c r="J39" s="686"/>
      <c r="K39" s="686"/>
      <c r="L39" s="686"/>
      <c r="M39" s="686"/>
      <c r="N39" s="686"/>
      <c r="O39" s="687"/>
      <c r="P39" s="686"/>
      <c r="Q39" s="686"/>
      <c r="R39" s="687"/>
      <c r="S39" s="686"/>
      <c r="T39" s="686"/>
      <c r="U39" s="686"/>
      <c r="V39" s="686"/>
      <c r="W39" s="686"/>
    </row>
    <row r="40" ht="13.8" customHeight="1">
      <c r="A40" s="686"/>
      <c r="B40" s="686"/>
      <c r="C40" s="823"/>
      <c r="D40" s="686"/>
      <c r="E40" s="686"/>
      <c r="F40" s="686"/>
      <c r="G40" s="687"/>
      <c r="H40" s="686"/>
      <c r="I40" s="687"/>
      <c r="J40" s="686"/>
      <c r="K40" s="686"/>
      <c r="L40" s="686"/>
      <c r="M40" s="686"/>
      <c r="N40" s="686"/>
      <c r="O40" s="687"/>
      <c r="P40" s="686"/>
      <c r="Q40" s="686"/>
      <c r="R40" s="687"/>
      <c r="S40" s="686"/>
      <c r="T40" s="686"/>
      <c r="U40" s="686"/>
      <c r="V40" s="686"/>
      <c r="W40" s="686"/>
    </row>
    <row r="41" ht="13.8" customHeight="1">
      <c r="A41" s="686"/>
      <c r="B41" s="686"/>
      <c r="C41" s="823"/>
      <c r="D41" s="686"/>
      <c r="E41" s="686"/>
      <c r="F41" s="686"/>
      <c r="G41" s="687"/>
      <c r="H41" s="686"/>
      <c r="I41" s="687"/>
      <c r="J41" s="686"/>
      <c r="K41" s="686"/>
      <c r="L41" s="686"/>
      <c r="M41" s="686"/>
      <c r="N41" s="686"/>
      <c r="O41" s="687"/>
      <c r="P41" s="686"/>
      <c r="Q41" s="686"/>
      <c r="R41" s="687"/>
      <c r="S41" s="686"/>
      <c r="T41" s="686"/>
      <c r="U41" s="686"/>
      <c r="V41" s="686"/>
      <c r="W41" s="686"/>
    </row>
    <row r="42" ht="13.8" customHeight="1">
      <c r="A42" s="686"/>
      <c r="B42" s="686"/>
      <c r="C42" s="823"/>
      <c r="D42" s="686"/>
      <c r="E42" s="686"/>
      <c r="F42" s="686"/>
      <c r="G42" s="687"/>
      <c r="H42" s="686"/>
      <c r="I42" s="687"/>
      <c r="J42" s="686"/>
      <c r="K42" s="686"/>
      <c r="L42" s="686"/>
      <c r="M42" s="686"/>
      <c r="N42" s="686"/>
      <c r="O42" s="687"/>
      <c r="P42" s="686"/>
      <c r="Q42" s="686"/>
      <c r="R42" s="687"/>
      <c r="S42" s="686"/>
      <c r="T42" s="686"/>
      <c r="U42" s="686"/>
      <c r="V42" s="686"/>
      <c r="W42" s="686"/>
    </row>
    <row r="43" ht="13.8" customHeight="1">
      <c r="A43" s="686"/>
      <c r="B43" s="686"/>
      <c r="C43" s="823"/>
      <c r="D43" s="686"/>
      <c r="E43" s="686"/>
      <c r="F43" s="686"/>
      <c r="G43" s="687"/>
      <c r="H43" s="686"/>
      <c r="I43" s="687"/>
      <c r="J43" s="686"/>
      <c r="K43" s="686"/>
      <c r="L43" s="686"/>
      <c r="M43" s="686"/>
      <c r="N43" s="686"/>
      <c r="O43" s="687"/>
      <c r="P43" s="686"/>
      <c r="Q43" s="686"/>
      <c r="R43" s="687"/>
      <c r="S43" s="686"/>
      <c r="T43" s="686"/>
      <c r="U43" s="686"/>
      <c r="V43" s="686"/>
      <c r="W43" s="686"/>
    </row>
    <row r="44" ht="13.8" customHeight="1">
      <c r="A44" s="686"/>
      <c r="B44" s="686"/>
      <c r="C44" s="823"/>
      <c r="D44" s="686"/>
      <c r="E44" s="686"/>
      <c r="F44" s="686"/>
      <c r="G44" s="687"/>
      <c r="H44" s="686"/>
      <c r="I44" s="687"/>
      <c r="J44" s="686"/>
      <c r="K44" s="686"/>
      <c r="L44" s="686"/>
      <c r="M44" s="686"/>
      <c r="N44" s="686"/>
      <c r="O44" s="687"/>
      <c r="P44" s="686"/>
      <c r="Q44" s="686"/>
      <c r="R44" s="687"/>
      <c r="S44" s="686"/>
      <c r="T44" s="686"/>
      <c r="U44" s="686"/>
      <c r="V44" s="686"/>
      <c r="W44" s="686"/>
    </row>
    <row r="45" ht="13.8" customHeight="1">
      <c r="A45" s="686"/>
      <c r="B45" s="686"/>
      <c r="C45" s="823"/>
      <c r="D45" s="686"/>
      <c r="E45" s="686"/>
      <c r="F45" s="686"/>
      <c r="G45" s="687"/>
      <c r="H45" s="686"/>
      <c r="I45" s="687"/>
      <c r="J45" s="686"/>
      <c r="K45" s="686"/>
      <c r="L45" s="686"/>
      <c r="M45" s="686"/>
      <c r="N45" s="686"/>
      <c r="O45" s="687"/>
      <c r="P45" s="686"/>
      <c r="Q45" s="686"/>
      <c r="R45" s="687"/>
      <c r="S45" s="686"/>
      <c r="T45" s="686"/>
      <c r="U45" s="686"/>
      <c r="V45" s="686"/>
      <c r="W45" s="686"/>
    </row>
    <row r="46" ht="13.8" customHeight="1">
      <c r="A46" s="686"/>
      <c r="B46" s="686"/>
      <c r="C46" s="823"/>
      <c r="D46" s="686"/>
      <c r="E46" s="686"/>
      <c r="F46" s="686"/>
      <c r="G46" s="687"/>
      <c r="H46" s="686"/>
      <c r="I46" s="687"/>
      <c r="J46" s="686"/>
      <c r="K46" s="686"/>
      <c r="L46" s="686"/>
      <c r="M46" s="686"/>
      <c r="N46" s="686"/>
      <c r="O46" s="687"/>
      <c r="P46" s="686"/>
      <c r="Q46" s="686"/>
      <c r="R46" s="687"/>
      <c r="S46" s="686"/>
      <c r="T46" s="686"/>
      <c r="U46" s="686"/>
      <c r="V46" s="686"/>
      <c r="W46" s="686"/>
    </row>
    <row r="47" ht="13.8" customHeight="1">
      <c r="A47" s="686"/>
      <c r="B47" s="686"/>
      <c r="C47" s="823"/>
      <c r="D47" s="686"/>
      <c r="E47" s="686"/>
      <c r="F47" s="686"/>
      <c r="G47" s="687"/>
      <c r="H47" s="686"/>
      <c r="I47" s="687"/>
      <c r="J47" s="686"/>
      <c r="K47" s="686"/>
      <c r="L47" s="686"/>
      <c r="M47" s="686"/>
      <c r="N47" s="686"/>
      <c r="O47" s="687"/>
      <c r="P47" s="686"/>
      <c r="Q47" s="686"/>
      <c r="R47" s="687"/>
      <c r="S47" s="686"/>
      <c r="T47" s="686"/>
      <c r="U47" s="686"/>
      <c r="V47" s="686"/>
      <c r="W47" s="686"/>
    </row>
    <row r="48" ht="13.8" customHeight="1">
      <c r="A48" s="686"/>
      <c r="B48" s="686"/>
      <c r="C48" s="823"/>
      <c r="D48" s="686"/>
      <c r="E48" s="686"/>
      <c r="F48" s="686"/>
      <c r="G48" s="687"/>
      <c r="H48" s="686"/>
      <c r="I48" s="687"/>
      <c r="J48" s="686"/>
      <c r="K48" s="686"/>
      <c r="L48" s="686"/>
      <c r="M48" s="686"/>
      <c r="N48" s="686"/>
      <c r="O48" s="687"/>
      <c r="P48" s="686"/>
      <c r="Q48" s="686"/>
      <c r="R48" s="687"/>
      <c r="S48" s="686"/>
      <c r="T48" s="686"/>
      <c r="U48" s="686"/>
      <c r="V48" s="686"/>
      <c r="W48" s="686"/>
    </row>
    <row r="49" ht="13.8" customHeight="1">
      <c r="A49" s="686"/>
      <c r="B49" s="686"/>
      <c r="C49" s="823"/>
      <c r="D49" s="686"/>
      <c r="E49" s="686"/>
      <c r="F49" s="686"/>
      <c r="G49" s="687"/>
      <c r="H49" s="686"/>
      <c r="I49" s="687"/>
      <c r="J49" s="686"/>
      <c r="K49" s="686"/>
      <c r="L49" s="686"/>
      <c r="M49" s="686"/>
      <c r="N49" s="686"/>
      <c r="O49" s="687"/>
      <c r="P49" s="686"/>
      <c r="Q49" s="686"/>
      <c r="R49" s="687"/>
      <c r="S49" s="686"/>
      <c r="T49" s="686"/>
      <c r="U49" s="686"/>
      <c r="V49" s="686"/>
      <c r="W49" s="686"/>
    </row>
    <row r="50" ht="13.8" customHeight="1">
      <c r="A50" s="686"/>
      <c r="B50" s="686"/>
      <c r="C50" s="823"/>
      <c r="D50" s="686"/>
      <c r="E50" s="686"/>
      <c r="F50" s="686"/>
      <c r="G50" s="687"/>
      <c r="H50" s="686"/>
      <c r="I50" s="687"/>
      <c r="J50" s="686"/>
      <c r="K50" s="686"/>
      <c r="L50" s="686"/>
      <c r="M50" s="686"/>
      <c r="N50" s="686"/>
      <c r="O50" s="687"/>
      <c r="P50" s="686"/>
      <c r="Q50" s="686"/>
      <c r="R50" s="687"/>
      <c r="S50" s="686"/>
      <c r="T50" s="686"/>
      <c r="U50" s="686"/>
      <c r="V50" s="686"/>
      <c r="W50" s="686"/>
    </row>
    <row r="51" ht="13.8" customHeight="1">
      <c r="A51" s="686"/>
      <c r="B51" s="686"/>
      <c r="C51" s="823"/>
      <c r="D51" s="686"/>
      <c r="E51" s="686"/>
      <c r="F51" s="686"/>
      <c r="G51" s="687"/>
      <c r="H51" s="686"/>
      <c r="I51" s="687"/>
      <c r="J51" s="686"/>
      <c r="K51" s="686"/>
      <c r="L51" s="686"/>
      <c r="M51" s="686"/>
      <c r="N51" s="686"/>
      <c r="O51" s="687"/>
      <c r="P51" s="686"/>
      <c r="Q51" s="686"/>
      <c r="R51" s="687"/>
      <c r="S51" s="686"/>
      <c r="T51" s="686"/>
      <c r="U51" s="686"/>
      <c r="V51" s="686"/>
      <c r="W51" s="686"/>
    </row>
    <row r="52" ht="13.8" customHeight="1">
      <c r="A52" s="686"/>
      <c r="B52" s="686"/>
      <c r="C52" s="823"/>
      <c r="D52" s="686"/>
      <c r="E52" s="686"/>
      <c r="F52" s="686"/>
      <c r="G52" s="687"/>
      <c r="H52" s="686"/>
      <c r="I52" s="687"/>
      <c r="J52" s="686"/>
      <c r="K52" s="686"/>
      <c r="L52" s="686"/>
      <c r="M52" s="686"/>
      <c r="N52" s="686"/>
      <c r="O52" s="687"/>
      <c r="P52" s="686"/>
      <c r="Q52" s="686"/>
      <c r="R52" s="687"/>
      <c r="S52" s="686"/>
      <c r="T52" s="686"/>
      <c r="U52" s="686"/>
      <c r="V52" s="686"/>
      <c r="W52" s="686"/>
    </row>
    <row r="53" ht="13.8" customHeight="1">
      <c r="A53" s="686"/>
      <c r="B53" s="686"/>
      <c r="C53" s="823"/>
      <c r="D53" s="686"/>
      <c r="E53" s="686"/>
      <c r="F53" s="686"/>
      <c r="G53" s="687"/>
      <c r="H53" s="686"/>
      <c r="I53" s="687"/>
      <c r="J53" s="686"/>
      <c r="K53" s="686"/>
      <c r="L53" s="686"/>
      <c r="M53" s="686"/>
      <c r="N53" s="686"/>
      <c r="O53" s="687"/>
      <c r="P53" s="686"/>
      <c r="Q53" s="686"/>
      <c r="R53" s="687"/>
      <c r="S53" s="686"/>
      <c r="T53" s="686"/>
      <c r="U53" s="686"/>
      <c r="V53" s="686"/>
      <c r="W53" s="686"/>
    </row>
    <row r="54" ht="13.8" customHeight="1">
      <c r="A54" s="686"/>
      <c r="B54" s="686"/>
      <c r="C54" s="823"/>
      <c r="D54" s="686"/>
      <c r="E54" s="686"/>
      <c r="F54" s="686"/>
      <c r="G54" s="687"/>
      <c r="H54" s="686"/>
      <c r="I54" s="687"/>
      <c r="J54" s="686"/>
      <c r="K54" s="686"/>
      <c r="L54" s="686"/>
      <c r="M54" s="686"/>
      <c r="N54" s="686"/>
      <c r="O54" s="687"/>
      <c r="P54" s="686"/>
      <c r="Q54" s="686"/>
      <c r="R54" s="687"/>
      <c r="S54" s="686"/>
      <c r="T54" s="686"/>
      <c r="U54" s="686"/>
      <c r="V54" s="686"/>
      <c r="W54" s="686"/>
    </row>
    <row r="55" ht="13.8" customHeight="1">
      <c r="A55" s="686"/>
      <c r="B55" s="686"/>
      <c r="C55" s="823"/>
      <c r="D55" s="686"/>
      <c r="E55" s="686"/>
      <c r="F55" s="686"/>
      <c r="G55" s="687"/>
      <c r="H55" s="686"/>
      <c r="I55" s="687"/>
      <c r="J55" s="686"/>
      <c r="K55" s="686"/>
      <c r="L55" s="686"/>
      <c r="M55" s="686"/>
      <c r="N55" s="686"/>
      <c r="O55" s="687"/>
      <c r="P55" s="686"/>
      <c r="Q55" s="686"/>
      <c r="R55" s="687"/>
      <c r="S55" s="686"/>
      <c r="T55" s="686"/>
      <c r="U55" s="686"/>
      <c r="V55" s="686"/>
      <c r="W55" s="686"/>
    </row>
    <row r="56" ht="13.8" customHeight="1">
      <c r="A56" s="686"/>
      <c r="B56" s="686"/>
      <c r="C56" s="823"/>
      <c r="D56" s="686"/>
      <c r="E56" s="686"/>
      <c r="F56" s="686"/>
      <c r="G56" s="687"/>
      <c r="H56" s="686"/>
      <c r="I56" s="687"/>
      <c r="J56" s="686"/>
      <c r="K56" s="686"/>
      <c r="L56" s="686"/>
      <c r="M56" s="686"/>
      <c r="N56" s="686"/>
      <c r="O56" s="687"/>
      <c r="P56" s="686"/>
      <c r="Q56" s="686"/>
      <c r="R56" s="687"/>
      <c r="S56" s="686"/>
      <c r="T56" s="686"/>
      <c r="U56" s="686"/>
      <c r="V56" s="686"/>
      <c r="W56" s="686"/>
    </row>
    <row r="57" ht="13.8" customHeight="1">
      <c r="A57" s="686"/>
      <c r="B57" s="686"/>
      <c r="C57" s="823"/>
      <c r="D57" s="686"/>
      <c r="E57" s="686"/>
      <c r="F57" s="686"/>
      <c r="G57" s="687"/>
      <c r="H57" s="686"/>
      <c r="I57" s="687"/>
      <c r="J57" s="686"/>
      <c r="K57" s="686"/>
      <c r="L57" s="686"/>
      <c r="M57" s="686"/>
      <c r="N57" s="686"/>
      <c r="O57" s="687"/>
      <c r="P57" s="686"/>
      <c r="Q57" s="686"/>
      <c r="R57" s="687"/>
      <c r="S57" s="686"/>
      <c r="T57" s="686"/>
      <c r="U57" s="686"/>
      <c r="V57" s="686"/>
      <c r="W57" s="686"/>
    </row>
    <row r="58" ht="13.8" customHeight="1">
      <c r="A58" s="686"/>
      <c r="B58" s="686"/>
      <c r="C58" s="823"/>
      <c r="D58" s="686"/>
      <c r="E58" s="686"/>
      <c r="F58" s="686"/>
      <c r="G58" s="687"/>
      <c r="H58" s="686"/>
      <c r="I58" s="687"/>
      <c r="J58" s="686"/>
      <c r="K58" s="686"/>
      <c r="L58" s="686"/>
      <c r="M58" s="686"/>
      <c r="N58" s="686"/>
      <c r="O58" s="687"/>
      <c r="P58" s="686"/>
      <c r="Q58" s="686"/>
      <c r="R58" s="687"/>
      <c r="S58" s="686"/>
      <c r="T58" s="686"/>
      <c r="U58" s="686"/>
      <c r="V58" s="686"/>
      <c r="W58" s="686"/>
    </row>
    <row r="59" ht="13.8" customHeight="1">
      <c r="A59" s="686"/>
      <c r="B59" s="686"/>
      <c r="C59" s="823"/>
      <c r="D59" s="686"/>
      <c r="E59" s="686"/>
      <c r="F59" s="686"/>
      <c r="G59" s="687"/>
      <c r="H59" s="686"/>
      <c r="I59" s="687"/>
      <c r="J59" s="686"/>
      <c r="K59" s="686"/>
      <c r="L59" s="686"/>
      <c r="M59" s="686"/>
      <c r="N59" s="686"/>
      <c r="O59" s="687"/>
      <c r="P59" s="686"/>
      <c r="Q59" s="686"/>
      <c r="R59" s="687"/>
      <c r="S59" s="686"/>
      <c r="T59" s="686"/>
      <c r="U59" s="686"/>
      <c r="V59" s="686"/>
      <c r="W59" s="686"/>
    </row>
    <row r="60" ht="13.8" customHeight="1">
      <c r="A60" s="686"/>
      <c r="B60" s="686"/>
      <c r="C60" s="823"/>
      <c r="D60" s="686"/>
      <c r="E60" s="686"/>
      <c r="F60" s="686"/>
      <c r="G60" s="687"/>
      <c r="H60" s="686"/>
      <c r="I60" s="687"/>
      <c r="J60" s="686"/>
      <c r="K60" s="686"/>
      <c r="L60" s="686"/>
      <c r="M60" s="686"/>
      <c r="N60" s="686"/>
      <c r="O60" s="687"/>
      <c r="P60" s="686"/>
      <c r="Q60" s="686"/>
      <c r="R60" s="687"/>
      <c r="S60" s="686"/>
      <c r="T60" s="686"/>
      <c r="U60" s="686"/>
      <c r="V60" s="686"/>
      <c r="W60" s="686"/>
    </row>
    <row r="61" ht="13.8" customHeight="1">
      <c r="A61" s="686"/>
      <c r="B61" s="686"/>
      <c r="C61" s="823"/>
      <c r="D61" s="686"/>
      <c r="E61" s="686"/>
      <c r="F61" s="686"/>
      <c r="G61" s="687"/>
      <c r="H61" s="686"/>
      <c r="I61" s="687"/>
      <c r="J61" s="686"/>
      <c r="K61" s="686"/>
      <c r="L61" s="686"/>
      <c r="M61" s="686"/>
      <c r="N61" s="686"/>
      <c r="O61" s="687"/>
      <c r="P61" s="686"/>
      <c r="Q61" s="686"/>
      <c r="R61" s="687"/>
      <c r="S61" s="686"/>
      <c r="T61" s="686"/>
      <c r="U61" s="686"/>
      <c r="V61" s="686"/>
      <c r="W61" s="686"/>
    </row>
    <row r="62" ht="13.8" customHeight="1">
      <c r="A62" s="686"/>
      <c r="B62" s="686"/>
      <c r="C62" s="823"/>
      <c r="D62" s="686"/>
      <c r="E62" s="686"/>
      <c r="F62" s="686"/>
      <c r="G62" s="687"/>
      <c r="H62" s="686"/>
      <c r="I62" s="687"/>
      <c r="J62" s="686"/>
      <c r="K62" s="686"/>
      <c r="L62" s="686"/>
      <c r="M62" s="686"/>
      <c r="N62" s="686"/>
      <c r="O62" s="687"/>
      <c r="P62" s="686"/>
      <c r="Q62" s="686"/>
      <c r="R62" s="687"/>
      <c r="S62" s="686"/>
      <c r="T62" s="686"/>
      <c r="U62" s="686"/>
      <c r="V62" s="686"/>
      <c r="W62" s="686"/>
    </row>
    <row r="63" ht="13.8" customHeight="1">
      <c r="A63" s="686"/>
      <c r="B63" s="686"/>
      <c r="C63" s="823"/>
      <c r="D63" s="686"/>
      <c r="E63" s="686"/>
      <c r="F63" s="686"/>
      <c r="G63" s="687"/>
      <c r="H63" s="686"/>
      <c r="I63" s="687"/>
      <c r="J63" s="686"/>
      <c r="K63" s="686"/>
      <c r="L63" s="686"/>
      <c r="M63" s="686"/>
      <c r="N63" s="686"/>
      <c r="O63" s="687"/>
      <c r="P63" s="686"/>
      <c r="Q63" s="686"/>
      <c r="R63" s="687"/>
      <c r="S63" s="686"/>
      <c r="T63" s="686"/>
      <c r="U63" s="686"/>
      <c r="V63" s="686"/>
      <c r="W63" s="686"/>
    </row>
    <row r="64" ht="13.8" customHeight="1">
      <c r="A64" s="686"/>
      <c r="B64" s="686"/>
      <c r="C64" s="823"/>
      <c r="D64" s="686"/>
      <c r="E64" s="686"/>
      <c r="F64" s="686"/>
      <c r="G64" s="687"/>
      <c r="H64" s="686"/>
      <c r="I64" s="687"/>
      <c r="J64" s="686"/>
      <c r="K64" s="686"/>
      <c r="L64" s="686"/>
      <c r="M64" s="686"/>
      <c r="N64" s="686"/>
      <c r="O64" s="687"/>
      <c r="P64" s="686"/>
      <c r="Q64" s="686"/>
      <c r="R64" s="687"/>
      <c r="S64" s="686"/>
      <c r="T64" s="686"/>
      <c r="U64" s="686"/>
      <c r="V64" s="686"/>
      <c r="W64" s="686"/>
    </row>
    <row r="65" ht="13.8" customHeight="1">
      <c r="A65" s="686"/>
      <c r="B65" s="686"/>
      <c r="C65" s="823"/>
      <c r="D65" s="686"/>
      <c r="E65" s="686"/>
      <c r="F65" s="686"/>
      <c r="G65" s="687"/>
      <c r="H65" s="686"/>
      <c r="I65" s="687"/>
      <c r="J65" s="686"/>
      <c r="K65" s="686"/>
      <c r="L65" s="686"/>
      <c r="M65" s="686"/>
      <c r="N65" s="686"/>
      <c r="O65" s="687"/>
      <c r="P65" s="686"/>
      <c r="Q65" s="686"/>
      <c r="R65" s="687"/>
      <c r="S65" s="686"/>
      <c r="T65" s="686"/>
      <c r="U65" s="686"/>
      <c r="V65" s="686"/>
      <c r="W65" s="686"/>
    </row>
    <row r="66" ht="13.8" customHeight="1">
      <c r="A66" s="686"/>
      <c r="B66" s="686"/>
      <c r="C66" s="823"/>
      <c r="D66" s="686"/>
      <c r="E66" s="686"/>
      <c r="F66" s="686"/>
      <c r="G66" s="687"/>
      <c r="H66" s="686"/>
      <c r="I66" s="687"/>
      <c r="J66" s="686"/>
      <c r="K66" s="686"/>
      <c r="L66" s="686"/>
      <c r="M66" s="686"/>
      <c r="N66" s="686"/>
      <c r="O66" s="687"/>
      <c r="P66" s="686"/>
      <c r="Q66" s="686"/>
      <c r="R66" s="687"/>
      <c r="S66" s="686"/>
      <c r="T66" s="686"/>
      <c r="U66" s="686"/>
      <c r="V66" s="686"/>
      <c r="W66" s="686"/>
    </row>
    <row r="67" ht="13.8" customHeight="1">
      <c r="A67" s="686"/>
      <c r="B67" s="686"/>
      <c r="C67" s="823"/>
      <c r="D67" s="686"/>
      <c r="E67" s="686"/>
      <c r="F67" s="686"/>
      <c r="G67" s="687"/>
      <c r="H67" s="686"/>
      <c r="I67" s="687"/>
      <c r="J67" s="686"/>
      <c r="K67" s="686"/>
      <c r="L67" s="686"/>
      <c r="M67" s="686"/>
      <c r="N67" s="686"/>
      <c r="O67" s="687"/>
      <c r="P67" s="686"/>
      <c r="Q67" s="686"/>
      <c r="R67" s="687"/>
      <c r="S67" s="686"/>
      <c r="T67" s="686"/>
      <c r="U67" s="686"/>
      <c r="V67" s="686"/>
      <c r="W67" s="686"/>
    </row>
    <row r="68" ht="13.8" customHeight="1">
      <c r="A68" s="686"/>
      <c r="B68" s="686"/>
      <c r="C68" s="823"/>
      <c r="D68" s="686"/>
      <c r="E68" s="686"/>
      <c r="F68" s="686"/>
      <c r="G68" s="687"/>
      <c r="H68" s="686"/>
      <c r="I68" s="687"/>
      <c r="J68" s="686"/>
      <c r="K68" s="686"/>
      <c r="L68" s="686"/>
      <c r="M68" s="686"/>
      <c r="N68" s="686"/>
      <c r="O68" s="687"/>
      <c r="P68" s="686"/>
      <c r="Q68" s="686"/>
      <c r="R68" s="687"/>
      <c r="S68" s="686"/>
      <c r="T68" s="686"/>
      <c r="U68" s="686"/>
      <c r="V68" s="686"/>
      <c r="W68" s="686"/>
    </row>
    <row r="69" ht="13.8" customHeight="1">
      <c r="A69" s="686"/>
      <c r="B69" s="686"/>
      <c r="C69" s="823"/>
      <c r="D69" s="686"/>
      <c r="E69" s="686"/>
      <c r="F69" s="686"/>
      <c r="G69" s="687"/>
      <c r="H69" s="686"/>
      <c r="I69" s="687"/>
      <c r="J69" s="686"/>
      <c r="K69" s="686"/>
      <c r="L69" s="686"/>
      <c r="M69" s="686"/>
      <c r="N69" s="686"/>
      <c r="O69" s="687"/>
      <c r="P69" s="686"/>
      <c r="Q69" s="686"/>
      <c r="R69" s="687"/>
      <c r="S69" s="686"/>
      <c r="T69" s="686"/>
      <c r="U69" s="686"/>
      <c r="V69" s="686"/>
      <c r="W69" s="686"/>
    </row>
    <row r="70" ht="13.8" customHeight="1">
      <c r="A70" s="686"/>
      <c r="B70" s="686"/>
      <c r="C70" s="823"/>
      <c r="D70" s="686"/>
      <c r="E70" s="686"/>
      <c r="F70" s="686"/>
      <c r="G70" s="687"/>
      <c r="H70" s="686"/>
      <c r="I70" s="687"/>
      <c r="J70" s="686"/>
      <c r="K70" s="686"/>
      <c r="L70" s="686"/>
      <c r="M70" s="686"/>
      <c r="N70" s="686"/>
      <c r="O70" s="687"/>
      <c r="P70" s="686"/>
      <c r="Q70" s="686"/>
      <c r="R70" s="687"/>
      <c r="S70" s="686"/>
      <c r="T70" s="686"/>
      <c r="U70" s="686"/>
      <c r="V70" s="686"/>
      <c r="W70" s="686"/>
    </row>
    <row r="71" ht="13.8" customHeight="1">
      <c r="A71" s="686"/>
      <c r="B71" s="686"/>
      <c r="C71" s="823"/>
      <c r="D71" s="686"/>
      <c r="E71" s="686"/>
      <c r="F71" s="686"/>
      <c r="G71" s="687"/>
      <c r="H71" s="686"/>
      <c r="I71" s="687"/>
      <c r="J71" s="686"/>
      <c r="K71" s="686"/>
      <c r="L71" s="686"/>
      <c r="M71" s="686"/>
      <c r="N71" s="686"/>
      <c r="O71" s="687"/>
      <c r="P71" s="686"/>
      <c r="Q71" s="686"/>
      <c r="R71" s="687"/>
      <c r="S71" s="686"/>
      <c r="T71" s="686"/>
      <c r="U71" s="686"/>
      <c r="V71" s="686"/>
      <c r="W71" s="686"/>
    </row>
    <row r="72" ht="13.8" customHeight="1">
      <c r="A72" s="686"/>
      <c r="B72" s="686"/>
      <c r="C72" s="823"/>
      <c r="D72" s="686"/>
      <c r="E72" s="686"/>
      <c r="F72" s="686"/>
      <c r="G72" s="687"/>
      <c r="H72" s="686"/>
      <c r="I72" s="687"/>
      <c r="J72" s="686"/>
      <c r="K72" s="686"/>
      <c r="L72" s="686"/>
      <c r="M72" s="686"/>
      <c r="N72" s="686"/>
      <c r="O72" s="687"/>
      <c r="P72" s="686"/>
      <c r="Q72" s="686"/>
      <c r="R72" s="687"/>
      <c r="S72" s="686"/>
      <c r="T72" s="686"/>
      <c r="U72" s="686"/>
      <c r="V72" s="686"/>
      <c r="W72" s="686"/>
    </row>
    <row r="73" ht="13.8" customHeight="1">
      <c r="A73" s="686"/>
      <c r="B73" s="686"/>
      <c r="C73" s="823"/>
      <c r="D73" s="686"/>
      <c r="E73" s="686"/>
      <c r="F73" s="686"/>
      <c r="G73" s="687"/>
      <c r="H73" s="686"/>
      <c r="I73" s="687"/>
      <c r="J73" s="686"/>
      <c r="K73" s="686"/>
      <c r="L73" s="686"/>
      <c r="M73" s="686"/>
      <c r="N73" s="686"/>
      <c r="O73" s="687"/>
      <c r="P73" s="686"/>
      <c r="Q73" s="686"/>
      <c r="R73" s="687"/>
      <c r="S73" s="686"/>
      <c r="T73" s="686"/>
      <c r="U73" s="686"/>
      <c r="V73" s="686"/>
      <c r="W73" s="686"/>
    </row>
    <row r="74" ht="13.8" customHeight="1">
      <c r="A74" s="686"/>
      <c r="B74" s="686"/>
      <c r="C74" s="823"/>
      <c r="D74" s="686"/>
      <c r="E74" s="686"/>
      <c r="F74" s="686"/>
      <c r="G74" s="687"/>
      <c r="H74" s="686"/>
      <c r="I74" s="687"/>
      <c r="J74" s="686"/>
      <c r="K74" s="686"/>
      <c r="L74" s="686"/>
      <c r="M74" s="686"/>
      <c r="N74" s="686"/>
      <c r="O74" s="687"/>
      <c r="P74" s="686"/>
      <c r="Q74" s="686"/>
      <c r="R74" s="687"/>
      <c r="S74" s="686"/>
      <c r="T74" s="686"/>
      <c r="U74" s="686"/>
      <c r="V74" s="686"/>
      <c r="W74" s="686"/>
    </row>
    <row r="75" ht="13.8" customHeight="1">
      <c r="A75" s="686"/>
      <c r="B75" s="686"/>
      <c r="C75" s="823"/>
      <c r="D75" s="686"/>
      <c r="E75" s="686"/>
      <c r="F75" s="686"/>
      <c r="G75" s="687"/>
      <c r="H75" s="686"/>
      <c r="I75" s="687"/>
      <c r="J75" s="686"/>
      <c r="K75" s="686"/>
      <c r="L75" s="686"/>
      <c r="M75" s="686"/>
      <c r="N75" s="686"/>
      <c r="O75" s="687"/>
      <c r="P75" s="686"/>
      <c r="Q75" s="686"/>
      <c r="R75" s="687"/>
      <c r="S75" s="686"/>
      <c r="T75" s="686"/>
      <c r="U75" s="686"/>
      <c r="V75" s="686"/>
      <c r="W75" s="686"/>
    </row>
    <row r="76" ht="13.8" customHeight="1">
      <c r="A76" s="686"/>
      <c r="B76" s="686"/>
      <c r="C76" s="823"/>
      <c r="D76" s="686"/>
      <c r="E76" s="686"/>
      <c r="F76" s="686"/>
      <c r="G76" s="687"/>
      <c r="H76" s="686"/>
      <c r="I76" s="687"/>
      <c r="J76" s="686"/>
      <c r="K76" s="686"/>
      <c r="L76" s="686"/>
      <c r="M76" s="686"/>
      <c r="N76" s="686"/>
      <c r="O76" s="687"/>
      <c r="P76" s="686"/>
      <c r="Q76" s="686"/>
      <c r="R76" s="687"/>
      <c r="S76" s="686"/>
      <c r="T76" s="686"/>
      <c r="U76" s="686"/>
      <c r="V76" s="686"/>
      <c r="W76" s="686"/>
    </row>
    <row r="77" ht="13.8" customHeight="1">
      <c r="A77" s="686"/>
      <c r="B77" s="686"/>
      <c r="C77" s="823"/>
      <c r="D77" s="686"/>
      <c r="E77" s="686"/>
      <c r="F77" s="686"/>
      <c r="G77" s="687"/>
      <c r="H77" s="686"/>
      <c r="I77" s="687"/>
      <c r="J77" s="686"/>
      <c r="K77" s="686"/>
      <c r="L77" s="686"/>
      <c r="M77" s="686"/>
      <c r="N77" s="686"/>
      <c r="O77" s="687"/>
      <c r="P77" s="686"/>
      <c r="Q77" s="686"/>
      <c r="R77" s="687"/>
      <c r="S77" s="686"/>
      <c r="T77" s="686"/>
      <c r="U77" s="686"/>
      <c r="V77" s="686"/>
      <c r="W77" s="686"/>
    </row>
    <row r="78" ht="13.8" customHeight="1">
      <c r="A78" s="686"/>
      <c r="B78" s="686"/>
      <c r="C78" s="823"/>
      <c r="D78" s="686"/>
      <c r="E78" s="686"/>
      <c r="F78" s="686"/>
      <c r="G78" s="687"/>
      <c r="H78" s="686"/>
      <c r="I78" s="687"/>
      <c r="J78" s="686"/>
      <c r="K78" s="686"/>
      <c r="L78" s="686"/>
      <c r="M78" s="686"/>
      <c r="N78" s="686"/>
      <c r="O78" s="687"/>
      <c r="P78" s="686"/>
      <c r="Q78" s="686"/>
      <c r="R78" s="687"/>
      <c r="S78" s="686"/>
      <c r="T78" s="686"/>
      <c r="U78" s="686"/>
      <c r="V78" s="686"/>
      <c r="W78" s="686"/>
    </row>
    <row r="79" ht="13.8" customHeight="1">
      <c r="A79" s="686"/>
      <c r="B79" s="686"/>
      <c r="C79" s="823"/>
      <c r="D79" s="686"/>
      <c r="E79" s="686"/>
      <c r="F79" s="686"/>
      <c r="G79" s="687"/>
      <c r="H79" s="686"/>
      <c r="I79" s="687"/>
      <c r="J79" s="686"/>
      <c r="K79" s="686"/>
      <c r="L79" s="686"/>
      <c r="M79" s="686"/>
      <c r="N79" s="686"/>
      <c r="O79" s="687"/>
      <c r="P79" s="686"/>
      <c r="Q79" s="686"/>
      <c r="R79" s="687"/>
      <c r="S79" s="686"/>
      <c r="T79" s="686"/>
      <c r="U79" s="686"/>
      <c r="V79" s="686"/>
      <c r="W79" s="686"/>
    </row>
    <row r="80" ht="13.8" customHeight="1">
      <c r="A80" s="686"/>
      <c r="B80" s="686"/>
      <c r="C80" s="823"/>
      <c r="D80" s="686"/>
      <c r="E80" s="686"/>
      <c r="F80" s="686"/>
      <c r="G80" s="687"/>
      <c r="H80" s="686"/>
      <c r="I80" s="687"/>
      <c r="J80" s="686"/>
      <c r="K80" s="686"/>
      <c r="L80" s="686"/>
      <c r="M80" s="686"/>
      <c r="N80" s="686"/>
      <c r="O80" s="687"/>
      <c r="P80" s="686"/>
      <c r="Q80" s="686"/>
      <c r="R80" s="687"/>
      <c r="S80" s="686"/>
      <c r="T80" s="686"/>
      <c r="U80" s="686"/>
      <c r="V80" s="686"/>
      <c r="W80" s="686"/>
    </row>
    <row r="81" ht="13.8" customHeight="1">
      <c r="A81" s="686"/>
      <c r="B81" s="686"/>
      <c r="C81" s="823"/>
      <c r="D81" s="686"/>
      <c r="E81" s="686"/>
      <c r="F81" s="686"/>
      <c r="G81" s="687"/>
      <c r="H81" s="686"/>
      <c r="I81" s="687"/>
      <c r="J81" s="686"/>
      <c r="K81" s="686"/>
      <c r="L81" s="686"/>
      <c r="M81" s="686"/>
      <c r="N81" s="686"/>
      <c r="O81" s="687"/>
      <c r="P81" s="686"/>
      <c r="Q81" s="686"/>
      <c r="R81" s="687"/>
      <c r="S81" s="686"/>
      <c r="T81" s="686"/>
      <c r="U81" s="686"/>
      <c r="V81" s="686"/>
      <c r="W81" s="686"/>
    </row>
    <row r="82" ht="13.8" customHeight="1">
      <c r="A82" s="686"/>
      <c r="B82" s="686"/>
      <c r="C82" s="823"/>
      <c r="D82" s="686"/>
      <c r="E82" s="686"/>
      <c r="F82" s="686"/>
      <c r="G82" s="687"/>
      <c r="H82" s="686"/>
      <c r="I82" s="687"/>
      <c r="J82" s="686"/>
      <c r="K82" s="686"/>
      <c r="L82" s="686"/>
      <c r="M82" s="686"/>
      <c r="N82" s="686"/>
      <c r="O82" s="687"/>
      <c r="P82" s="686"/>
      <c r="Q82" s="686"/>
      <c r="R82" s="687"/>
      <c r="S82" s="686"/>
      <c r="T82" s="686"/>
      <c r="U82" s="686"/>
      <c r="V82" s="686"/>
      <c r="W82" s="686"/>
    </row>
    <row r="83" ht="13.8" customHeight="1">
      <c r="A83" s="686"/>
      <c r="B83" s="686"/>
      <c r="C83" s="823"/>
      <c r="D83" s="686"/>
      <c r="E83" s="686"/>
      <c r="F83" s="686"/>
      <c r="G83" s="687"/>
      <c r="H83" s="686"/>
      <c r="I83" s="687"/>
      <c r="J83" s="686"/>
      <c r="K83" s="686"/>
      <c r="L83" s="686"/>
      <c r="M83" s="686"/>
      <c r="N83" s="686"/>
      <c r="O83" s="687"/>
      <c r="P83" s="686"/>
      <c r="Q83" s="686"/>
      <c r="R83" s="687"/>
      <c r="S83" s="686"/>
      <c r="T83" s="686"/>
      <c r="U83" s="686"/>
      <c r="V83" s="686"/>
      <c r="W83" s="686"/>
    </row>
    <row r="84" ht="13.8" customHeight="1">
      <c r="A84" s="686"/>
      <c r="B84" s="686"/>
      <c r="C84" s="823"/>
      <c r="D84" s="686"/>
      <c r="E84" s="686"/>
      <c r="F84" s="686"/>
      <c r="G84" s="687"/>
      <c r="H84" s="686"/>
      <c r="I84" s="687"/>
      <c r="J84" s="686"/>
      <c r="K84" s="686"/>
      <c r="L84" s="686"/>
      <c r="M84" s="686"/>
      <c r="N84" s="686"/>
      <c r="O84" s="687"/>
      <c r="P84" s="686"/>
      <c r="Q84" s="686"/>
      <c r="R84" s="687"/>
      <c r="S84" s="686"/>
      <c r="T84" s="686"/>
      <c r="U84" s="686"/>
      <c r="V84" s="686"/>
      <c r="W84" s="686"/>
    </row>
    <row r="85" ht="13.8" customHeight="1">
      <c r="A85" s="686"/>
      <c r="B85" s="686"/>
      <c r="C85" s="823"/>
      <c r="D85" s="686"/>
      <c r="E85" s="686"/>
      <c r="F85" s="686"/>
      <c r="G85" s="687"/>
      <c r="H85" s="686"/>
      <c r="I85" s="687"/>
      <c r="J85" s="686"/>
      <c r="K85" s="686"/>
      <c r="L85" s="686"/>
      <c r="M85" s="686"/>
      <c r="N85" s="686"/>
      <c r="O85" s="687"/>
      <c r="P85" s="686"/>
      <c r="Q85" s="686"/>
      <c r="R85" s="687"/>
      <c r="S85" s="686"/>
      <c r="T85" s="686"/>
      <c r="U85" s="686"/>
      <c r="V85" s="686"/>
      <c r="W85" s="686"/>
    </row>
    <row r="86" ht="13.8" customHeight="1">
      <c r="A86" s="686"/>
      <c r="B86" s="686"/>
      <c r="C86" s="823"/>
      <c r="D86" s="686"/>
      <c r="E86" s="686"/>
      <c r="F86" s="686"/>
      <c r="G86" s="687"/>
      <c r="H86" s="686"/>
      <c r="I86" s="687"/>
      <c r="J86" s="686"/>
      <c r="K86" s="686"/>
      <c r="L86" s="686"/>
      <c r="M86" s="686"/>
      <c r="N86" s="686"/>
      <c r="O86" s="687"/>
      <c r="P86" s="686"/>
      <c r="Q86" s="686"/>
      <c r="R86" s="687"/>
      <c r="S86" s="686"/>
      <c r="T86" s="686"/>
      <c r="U86" s="686"/>
      <c r="V86" s="686"/>
      <c r="W86" s="686"/>
    </row>
    <row r="87" ht="13.8" customHeight="1">
      <c r="A87" s="686"/>
      <c r="B87" s="686"/>
      <c r="C87" s="823"/>
      <c r="D87" s="686"/>
      <c r="E87" s="686"/>
      <c r="F87" s="686"/>
      <c r="G87" s="687"/>
      <c r="H87" s="686"/>
      <c r="I87" s="687"/>
      <c r="J87" s="686"/>
      <c r="K87" s="686"/>
      <c r="L87" s="686"/>
      <c r="M87" s="686"/>
      <c r="N87" s="686"/>
      <c r="O87" s="687"/>
      <c r="P87" s="686"/>
      <c r="Q87" s="686"/>
      <c r="R87" s="687"/>
      <c r="S87" s="686"/>
      <c r="T87" s="686"/>
      <c r="U87" s="686"/>
      <c r="V87" s="686"/>
      <c r="W87" s="686"/>
    </row>
    <row r="88" ht="13.8" customHeight="1">
      <c r="A88" s="686"/>
      <c r="B88" s="686"/>
      <c r="C88" s="823"/>
      <c r="D88" s="686"/>
      <c r="E88" s="686"/>
      <c r="F88" s="686"/>
      <c r="G88" s="687"/>
      <c r="H88" s="686"/>
      <c r="I88" s="687"/>
      <c r="J88" s="686"/>
      <c r="K88" s="686"/>
      <c r="L88" s="686"/>
      <c r="M88" s="686"/>
      <c r="N88" s="686"/>
      <c r="O88" s="687"/>
      <c r="P88" s="686"/>
      <c r="Q88" s="686"/>
      <c r="R88" s="687"/>
      <c r="S88" s="686"/>
      <c r="T88" s="686"/>
      <c r="U88" s="686"/>
      <c r="V88" s="686"/>
      <c r="W88" s="686"/>
    </row>
    <row r="89" ht="13.8" customHeight="1">
      <c r="A89" s="686"/>
      <c r="B89" s="686"/>
      <c r="C89" s="823"/>
      <c r="D89" s="686"/>
      <c r="E89" s="686"/>
      <c r="F89" s="686"/>
      <c r="G89" s="687"/>
      <c r="H89" s="686"/>
      <c r="I89" s="687"/>
      <c r="J89" s="686"/>
      <c r="K89" s="686"/>
      <c r="L89" s="686"/>
      <c r="M89" s="686"/>
      <c r="N89" s="686"/>
      <c r="O89" s="687"/>
      <c r="P89" s="686"/>
      <c r="Q89" s="686"/>
      <c r="R89" s="687"/>
      <c r="S89" s="686"/>
      <c r="T89" s="686"/>
      <c r="U89" s="686"/>
      <c r="V89" s="686"/>
      <c r="W89" s="686"/>
    </row>
    <row r="90" ht="13.8" customHeight="1">
      <c r="A90" s="686"/>
      <c r="B90" s="686"/>
      <c r="C90" s="823"/>
      <c r="D90" s="686"/>
      <c r="E90" s="686"/>
      <c r="F90" s="686"/>
      <c r="G90" s="687"/>
      <c r="H90" s="686"/>
      <c r="I90" s="687"/>
      <c r="J90" s="686"/>
      <c r="K90" s="686"/>
      <c r="L90" s="686"/>
      <c r="M90" s="686"/>
      <c r="N90" s="686"/>
      <c r="O90" s="687"/>
      <c r="P90" s="686"/>
      <c r="Q90" s="686"/>
      <c r="R90" s="687"/>
      <c r="S90" s="686"/>
      <c r="T90" s="686"/>
      <c r="U90" s="686"/>
      <c r="V90" s="686"/>
      <c r="W90" s="686"/>
    </row>
    <row r="91" ht="13.8" customHeight="1">
      <c r="A91" s="686"/>
      <c r="B91" s="686"/>
      <c r="C91" s="823"/>
      <c r="D91" s="686"/>
      <c r="E91" s="686"/>
      <c r="F91" s="686"/>
      <c r="G91" s="687"/>
      <c r="H91" s="686"/>
      <c r="I91" s="687"/>
      <c r="J91" s="686"/>
      <c r="K91" s="686"/>
      <c r="L91" s="686"/>
      <c r="M91" s="686"/>
      <c r="N91" s="686"/>
      <c r="O91" s="687"/>
      <c r="P91" s="686"/>
      <c r="Q91" s="686"/>
      <c r="R91" s="687"/>
      <c r="S91" s="686"/>
      <c r="T91" s="686"/>
      <c r="U91" s="686"/>
      <c r="V91" s="686"/>
      <c r="W91" s="686"/>
    </row>
    <row r="92" ht="13.8" customHeight="1">
      <c r="A92" s="686"/>
      <c r="B92" s="686"/>
      <c r="C92" s="823"/>
      <c r="D92" s="686"/>
      <c r="E92" s="686"/>
      <c r="F92" s="686"/>
      <c r="G92" s="687"/>
      <c r="H92" s="686"/>
      <c r="I92" s="687"/>
      <c r="J92" s="686"/>
      <c r="K92" s="686"/>
      <c r="L92" s="686"/>
      <c r="M92" s="686"/>
      <c r="N92" s="686"/>
      <c r="O92" s="687"/>
      <c r="P92" s="686"/>
      <c r="Q92" s="686"/>
      <c r="R92" s="687"/>
      <c r="S92" s="686"/>
      <c r="T92" s="686"/>
      <c r="U92" s="686"/>
      <c r="V92" s="686"/>
      <c r="W92" s="686"/>
    </row>
    <row r="93" ht="13.8" customHeight="1">
      <c r="A93" s="686"/>
      <c r="B93" s="686"/>
      <c r="C93" s="823"/>
      <c r="D93" s="686"/>
      <c r="E93" s="686"/>
      <c r="F93" s="686"/>
      <c r="G93" s="687"/>
      <c r="H93" s="686"/>
      <c r="I93" s="687"/>
      <c r="J93" s="686"/>
      <c r="K93" s="686"/>
      <c r="L93" s="686"/>
      <c r="M93" s="686"/>
      <c r="N93" s="686"/>
      <c r="O93" s="687"/>
      <c r="P93" s="686"/>
      <c r="Q93" s="686"/>
      <c r="R93" s="687"/>
      <c r="S93" s="686"/>
      <c r="T93" s="686"/>
      <c r="U93" s="686"/>
      <c r="V93" s="686"/>
      <c r="W93" s="686"/>
    </row>
    <row r="94" ht="13.8" customHeight="1">
      <c r="A94" s="686"/>
      <c r="B94" s="686"/>
      <c r="C94" s="823"/>
      <c r="D94" s="686"/>
      <c r="E94" s="686"/>
      <c r="F94" s="686"/>
      <c r="G94" s="687"/>
      <c r="H94" s="686"/>
      <c r="I94" s="687"/>
      <c r="J94" s="686"/>
      <c r="K94" s="686"/>
      <c r="L94" s="686"/>
      <c r="M94" s="686"/>
      <c r="N94" s="686"/>
      <c r="O94" s="687"/>
      <c r="P94" s="686"/>
      <c r="Q94" s="686"/>
      <c r="R94" s="687"/>
      <c r="S94" s="686"/>
      <c r="T94" s="686"/>
      <c r="U94" s="686"/>
      <c r="V94" s="686"/>
      <c r="W94" s="686"/>
    </row>
    <row r="95" ht="13.8" customHeight="1">
      <c r="A95" s="686"/>
      <c r="B95" s="686"/>
      <c r="C95" s="823"/>
      <c r="D95" s="686"/>
      <c r="E95" s="686"/>
      <c r="F95" s="686"/>
      <c r="G95" s="687"/>
      <c r="H95" s="686"/>
      <c r="I95" s="687"/>
      <c r="J95" s="686"/>
      <c r="K95" s="686"/>
      <c r="L95" s="686"/>
      <c r="M95" s="686"/>
      <c r="N95" s="686"/>
      <c r="O95" s="687"/>
      <c r="P95" s="686"/>
      <c r="Q95" s="686"/>
      <c r="R95" s="687"/>
      <c r="S95" s="686"/>
      <c r="T95" s="686"/>
      <c r="U95" s="686"/>
      <c r="V95" s="686"/>
      <c r="W95" s="686"/>
    </row>
    <row r="96" ht="13.8" customHeight="1">
      <c r="A96" s="686"/>
      <c r="B96" s="686"/>
      <c r="C96" s="823"/>
      <c r="D96" s="686"/>
      <c r="E96" s="686"/>
      <c r="F96" s="686"/>
      <c r="G96" s="687"/>
      <c r="H96" s="686"/>
      <c r="I96" s="687"/>
      <c r="J96" s="686"/>
      <c r="K96" s="686"/>
      <c r="L96" s="686"/>
      <c r="M96" s="686"/>
      <c r="N96" s="686"/>
      <c r="O96" s="687"/>
      <c r="P96" s="686"/>
      <c r="Q96" s="686"/>
      <c r="R96" s="687"/>
      <c r="S96" s="686"/>
      <c r="T96" s="686"/>
      <c r="U96" s="686"/>
      <c r="V96" s="686"/>
      <c r="W96" s="686"/>
    </row>
    <row r="97" ht="13.8" customHeight="1">
      <c r="A97" s="686"/>
      <c r="B97" s="686"/>
      <c r="C97" s="823"/>
      <c r="D97" s="686"/>
      <c r="E97" s="686"/>
      <c r="F97" s="686"/>
      <c r="G97" s="687"/>
      <c r="H97" s="686"/>
      <c r="I97" s="687"/>
      <c r="J97" s="686"/>
      <c r="K97" s="686"/>
      <c r="L97" s="686"/>
      <c r="M97" s="686"/>
      <c r="N97" s="686"/>
      <c r="O97" s="687"/>
      <c r="P97" s="686"/>
      <c r="Q97" s="686"/>
      <c r="R97" s="687"/>
      <c r="S97" s="686"/>
      <c r="T97" s="686"/>
      <c r="U97" s="686"/>
      <c r="V97" s="686"/>
      <c r="W97" s="686"/>
    </row>
    <row r="98" ht="13.8" customHeight="1">
      <c r="A98" s="686"/>
      <c r="B98" s="686"/>
      <c r="C98" s="823"/>
      <c r="D98" s="686"/>
      <c r="E98" s="686"/>
      <c r="F98" s="686"/>
      <c r="G98" s="687"/>
      <c r="H98" s="686"/>
      <c r="I98" s="687"/>
      <c r="J98" s="686"/>
      <c r="K98" s="686"/>
      <c r="L98" s="686"/>
      <c r="M98" s="686"/>
      <c r="N98" s="686"/>
      <c r="O98" s="687"/>
      <c r="P98" s="686"/>
      <c r="Q98" s="686"/>
      <c r="R98" s="687"/>
      <c r="S98" s="686"/>
      <c r="T98" s="686"/>
      <c r="U98" s="686"/>
      <c r="V98" s="686"/>
      <c r="W98" s="686"/>
    </row>
    <row r="99" ht="13.8" customHeight="1">
      <c r="A99" s="686"/>
      <c r="B99" s="686"/>
      <c r="C99" s="823"/>
      <c r="D99" s="686"/>
      <c r="E99" s="686"/>
      <c r="F99" s="686"/>
      <c r="G99" s="687"/>
      <c r="H99" s="686"/>
      <c r="I99" s="687"/>
      <c r="J99" s="686"/>
      <c r="K99" s="686"/>
      <c r="L99" s="686"/>
      <c r="M99" s="686"/>
      <c r="N99" s="686"/>
      <c r="O99" s="687"/>
      <c r="P99" s="686"/>
      <c r="Q99" s="686"/>
      <c r="R99" s="687"/>
      <c r="S99" s="686"/>
      <c r="T99" s="686"/>
      <c r="U99" s="686"/>
      <c r="V99" s="686"/>
      <c r="W99" s="686"/>
    </row>
    <row r="100" ht="13.8" customHeight="1">
      <c r="A100" s="686"/>
      <c r="B100" s="686"/>
      <c r="C100" s="823"/>
      <c r="D100" s="686"/>
      <c r="E100" s="686"/>
      <c r="F100" s="686"/>
      <c r="G100" s="687"/>
      <c r="H100" s="686"/>
      <c r="I100" s="687"/>
      <c r="J100" s="686"/>
      <c r="K100" s="686"/>
      <c r="L100" s="686"/>
      <c r="M100" s="686"/>
      <c r="N100" s="686"/>
      <c r="O100" s="687"/>
      <c r="P100" s="686"/>
      <c r="Q100" s="686"/>
      <c r="R100" s="687"/>
      <c r="S100" s="686"/>
      <c r="T100" s="686"/>
      <c r="U100" s="686"/>
      <c r="V100" s="686"/>
      <c r="W100" s="686"/>
    </row>
    <row r="101" ht="13.8" customHeight="1">
      <c r="A101" s="686"/>
      <c r="B101" s="686"/>
      <c r="C101" s="823"/>
      <c r="D101" s="686"/>
      <c r="E101" s="686"/>
      <c r="F101" s="686"/>
      <c r="G101" s="687"/>
      <c r="H101" s="686"/>
      <c r="I101" s="687"/>
      <c r="J101" s="686"/>
      <c r="K101" s="686"/>
      <c r="L101" s="686"/>
      <c r="M101" s="686"/>
      <c r="N101" s="686"/>
      <c r="O101" s="687"/>
      <c r="P101" s="686"/>
      <c r="Q101" s="686"/>
      <c r="R101" s="687"/>
      <c r="S101" s="686"/>
      <c r="T101" s="686"/>
      <c r="U101" s="686"/>
      <c r="V101" s="686"/>
      <c r="W101" s="686"/>
    </row>
    <row r="102" ht="13.8" customHeight="1">
      <c r="A102" s="686"/>
      <c r="B102" s="686"/>
      <c r="C102" s="823"/>
      <c r="D102" s="686"/>
      <c r="E102" s="686"/>
      <c r="F102" s="686"/>
      <c r="G102" s="687"/>
      <c r="H102" s="686"/>
      <c r="I102" s="687"/>
      <c r="J102" s="686"/>
      <c r="K102" s="686"/>
      <c r="L102" s="686"/>
      <c r="M102" s="686"/>
      <c r="N102" s="686"/>
      <c r="O102" s="687"/>
      <c r="P102" s="686"/>
      <c r="Q102" s="686"/>
      <c r="R102" s="687"/>
      <c r="S102" s="686"/>
      <c r="T102" s="686"/>
      <c r="U102" s="686"/>
      <c r="V102" s="686"/>
      <c r="W102" s="686"/>
    </row>
    <row r="103" ht="13.8" customHeight="1">
      <c r="A103" s="686"/>
      <c r="B103" s="686"/>
      <c r="C103" s="823"/>
      <c r="D103" s="686"/>
      <c r="E103" s="686"/>
      <c r="F103" s="686"/>
      <c r="G103" s="687"/>
      <c r="H103" s="686"/>
      <c r="I103" s="687"/>
      <c r="J103" s="686"/>
      <c r="K103" s="686"/>
      <c r="L103" s="686"/>
      <c r="M103" s="686"/>
      <c r="N103" s="686"/>
      <c r="O103" s="687"/>
      <c r="P103" s="686"/>
      <c r="Q103" s="686"/>
      <c r="R103" s="687"/>
      <c r="S103" s="686"/>
      <c r="T103" s="686"/>
      <c r="U103" s="686"/>
      <c r="V103" s="686"/>
      <c r="W103" s="686"/>
    </row>
    <row r="104" ht="13.8" customHeight="1">
      <c r="A104" s="686"/>
      <c r="B104" s="686"/>
      <c r="C104" s="823"/>
      <c r="D104" s="686"/>
      <c r="E104" s="686"/>
      <c r="F104" s="686"/>
      <c r="G104" s="687"/>
      <c r="H104" s="686"/>
      <c r="I104" s="687"/>
      <c r="J104" s="686"/>
      <c r="K104" s="686"/>
      <c r="L104" s="686"/>
      <c r="M104" s="686"/>
      <c r="N104" s="686"/>
      <c r="O104" s="687"/>
      <c r="P104" s="686"/>
      <c r="Q104" s="686"/>
      <c r="R104" s="687"/>
      <c r="S104" s="686"/>
      <c r="T104" s="686"/>
      <c r="U104" s="686"/>
      <c r="V104" s="686"/>
      <c r="W104" s="686"/>
    </row>
    <row r="105" ht="13.8" customHeight="1">
      <c r="A105" s="686"/>
      <c r="B105" s="686"/>
      <c r="C105" s="823"/>
      <c r="D105" s="686"/>
      <c r="E105" s="686"/>
      <c r="F105" s="686"/>
      <c r="G105" s="687"/>
      <c r="H105" s="686"/>
      <c r="I105" s="687"/>
      <c r="J105" s="686"/>
      <c r="K105" s="686"/>
      <c r="L105" s="686"/>
      <c r="M105" s="686"/>
      <c r="N105" s="686"/>
      <c r="O105" s="687"/>
      <c r="P105" s="686"/>
      <c r="Q105" s="686"/>
      <c r="R105" s="687"/>
      <c r="S105" s="686"/>
      <c r="T105" s="686"/>
      <c r="U105" s="686"/>
      <c r="V105" s="686"/>
      <c r="W105" s="686"/>
    </row>
    <row r="106" ht="13.8" customHeight="1">
      <c r="A106" s="686"/>
      <c r="B106" s="686"/>
      <c r="C106" s="823"/>
      <c r="D106" s="686"/>
      <c r="E106" s="686"/>
      <c r="F106" s="686"/>
      <c r="G106" s="687"/>
      <c r="H106" s="686"/>
      <c r="I106" s="687"/>
      <c r="J106" s="686"/>
      <c r="K106" s="686"/>
      <c r="L106" s="686"/>
      <c r="M106" s="686"/>
      <c r="N106" s="686"/>
      <c r="O106" s="687"/>
      <c r="P106" s="686"/>
      <c r="Q106" s="686"/>
      <c r="R106" s="687"/>
      <c r="S106" s="686"/>
      <c r="T106" s="686"/>
      <c r="U106" s="686"/>
      <c r="V106" s="686"/>
      <c r="W106" s="686"/>
    </row>
    <row r="107" ht="13.8" customHeight="1">
      <c r="A107" s="686"/>
      <c r="B107" s="686"/>
      <c r="C107" s="823"/>
      <c r="D107" s="686"/>
      <c r="E107" s="686"/>
      <c r="F107" s="686"/>
      <c r="G107" s="687"/>
      <c r="H107" s="686"/>
      <c r="I107" s="687"/>
      <c r="J107" s="686"/>
      <c r="K107" s="686"/>
      <c r="L107" s="686"/>
      <c r="M107" s="686"/>
      <c r="N107" s="686"/>
      <c r="O107" s="687"/>
      <c r="P107" s="686"/>
      <c r="Q107" s="686"/>
      <c r="R107" s="687"/>
      <c r="S107" s="686"/>
      <c r="T107" s="686"/>
      <c r="U107" s="686"/>
      <c r="V107" s="686"/>
      <c r="W107" s="686"/>
    </row>
    <row r="108" ht="13.8" customHeight="1">
      <c r="A108" s="686"/>
      <c r="B108" s="686"/>
      <c r="C108" s="823"/>
      <c r="D108" s="686"/>
      <c r="E108" s="686"/>
      <c r="F108" s="686"/>
      <c r="G108" s="687"/>
      <c r="H108" s="686"/>
      <c r="I108" s="687"/>
      <c r="J108" s="686"/>
      <c r="K108" s="686"/>
      <c r="L108" s="686"/>
      <c r="M108" s="686"/>
      <c r="N108" s="686"/>
      <c r="O108" s="687"/>
      <c r="P108" s="686"/>
      <c r="Q108" s="686"/>
      <c r="R108" s="687"/>
      <c r="S108" s="686"/>
      <c r="T108" s="686"/>
      <c r="U108" s="686"/>
      <c r="V108" s="686"/>
      <c r="W108" s="686"/>
    </row>
    <row r="109" ht="13.8" customHeight="1">
      <c r="A109" s="686"/>
      <c r="B109" s="686"/>
      <c r="C109" s="823"/>
      <c r="D109" s="686"/>
      <c r="E109" s="686"/>
      <c r="F109" s="686"/>
      <c r="G109" s="687"/>
      <c r="H109" s="686"/>
      <c r="I109" s="687"/>
      <c r="J109" s="686"/>
      <c r="K109" s="686"/>
      <c r="L109" s="686"/>
      <c r="M109" s="686"/>
      <c r="N109" s="686"/>
      <c r="O109" s="687"/>
      <c r="P109" s="686"/>
      <c r="Q109" s="686"/>
      <c r="R109" s="687"/>
      <c r="S109" s="686"/>
      <c r="T109" s="686"/>
      <c r="U109" s="686"/>
      <c r="V109" s="686"/>
      <c r="W109" s="686"/>
    </row>
    <row r="110" ht="13.8" customHeight="1">
      <c r="A110" s="686"/>
      <c r="B110" s="686"/>
      <c r="C110" s="823"/>
      <c r="D110" s="686"/>
      <c r="E110" s="686"/>
      <c r="F110" s="686"/>
      <c r="G110" s="687"/>
      <c r="H110" s="686"/>
      <c r="I110" s="687"/>
      <c r="J110" s="686"/>
      <c r="K110" s="686"/>
      <c r="L110" s="686"/>
      <c r="M110" s="686"/>
      <c r="N110" s="686"/>
      <c r="O110" s="687"/>
      <c r="P110" s="686"/>
      <c r="Q110" s="686"/>
      <c r="R110" s="687"/>
      <c r="S110" s="686"/>
      <c r="T110" s="686"/>
      <c r="U110" s="686"/>
      <c r="V110" s="686"/>
      <c r="W110" s="686"/>
    </row>
    <row r="111" ht="13.8" customHeight="1">
      <c r="A111" s="686"/>
      <c r="B111" s="686"/>
      <c r="C111" s="823"/>
      <c r="D111" s="686"/>
      <c r="E111" s="686"/>
      <c r="F111" s="686"/>
      <c r="G111" s="687"/>
      <c r="H111" s="686"/>
      <c r="I111" s="687"/>
      <c r="J111" s="686"/>
      <c r="K111" s="686"/>
      <c r="L111" s="686"/>
      <c r="M111" s="686"/>
      <c r="N111" s="686"/>
      <c r="O111" s="687"/>
      <c r="P111" s="686"/>
      <c r="Q111" s="686"/>
      <c r="R111" s="687"/>
      <c r="S111" s="686"/>
      <c r="T111" s="686"/>
      <c r="U111" s="686"/>
      <c r="V111" s="686"/>
      <c r="W111" s="686"/>
    </row>
    <row r="112" ht="13.8" customHeight="1">
      <c r="A112" s="686"/>
      <c r="B112" s="686"/>
      <c r="C112" s="823"/>
      <c r="D112" s="686"/>
      <c r="E112" s="686"/>
      <c r="F112" s="686"/>
      <c r="G112" s="687"/>
      <c r="H112" s="686"/>
      <c r="I112" s="687"/>
      <c r="J112" s="686"/>
      <c r="K112" s="686"/>
      <c r="L112" s="686"/>
      <c r="M112" s="686"/>
      <c r="N112" s="686"/>
      <c r="O112" s="687"/>
      <c r="P112" s="686"/>
      <c r="Q112" s="686"/>
      <c r="R112" s="687"/>
      <c r="S112" s="686"/>
      <c r="T112" s="686"/>
      <c r="U112" s="686"/>
      <c r="V112" s="686"/>
      <c r="W112" s="686"/>
    </row>
    <row r="113" ht="13.8" customHeight="1">
      <c r="A113" s="686"/>
      <c r="B113" s="686"/>
      <c r="C113" s="823"/>
      <c r="D113" s="686"/>
      <c r="E113" s="686"/>
      <c r="F113" s="686"/>
      <c r="G113" s="687"/>
      <c r="H113" s="686"/>
      <c r="I113" s="687"/>
      <c r="J113" s="686"/>
      <c r="K113" s="686"/>
      <c r="L113" s="686"/>
      <c r="M113" s="686"/>
      <c r="N113" s="686"/>
      <c r="O113" s="687"/>
      <c r="P113" s="686"/>
      <c r="Q113" s="686"/>
      <c r="R113" s="687"/>
      <c r="S113" s="686"/>
      <c r="T113" s="686"/>
      <c r="U113" s="686"/>
      <c r="V113" s="686"/>
      <c r="W113" s="686"/>
    </row>
    <row r="114" ht="13.8" customHeight="1">
      <c r="A114" s="686"/>
      <c r="B114" s="686"/>
      <c r="C114" s="823"/>
      <c r="D114" s="686"/>
      <c r="E114" s="686"/>
      <c r="F114" s="686"/>
      <c r="G114" s="687"/>
      <c r="H114" s="686"/>
      <c r="I114" s="687"/>
      <c r="J114" s="686"/>
      <c r="K114" s="686"/>
      <c r="L114" s="686"/>
      <c r="M114" s="686"/>
      <c r="N114" s="686"/>
      <c r="O114" s="687"/>
      <c r="P114" s="686"/>
      <c r="Q114" s="686"/>
      <c r="R114" s="687"/>
      <c r="S114" s="686"/>
      <c r="T114" s="686"/>
      <c r="U114" s="686"/>
      <c r="V114" s="686"/>
      <c r="W114" s="686"/>
    </row>
    <row r="115" ht="13.8" customHeight="1">
      <c r="A115" s="686"/>
      <c r="B115" s="686"/>
      <c r="C115" s="823"/>
      <c r="D115" s="686"/>
      <c r="E115" s="686"/>
      <c r="F115" s="686"/>
      <c r="G115" s="687"/>
      <c r="H115" s="686"/>
      <c r="I115" s="687"/>
      <c r="J115" s="686"/>
      <c r="K115" s="686"/>
      <c r="L115" s="686"/>
      <c r="M115" s="686"/>
      <c r="N115" s="686"/>
      <c r="O115" s="687"/>
      <c r="P115" s="686"/>
      <c r="Q115" s="686"/>
      <c r="R115" s="687"/>
      <c r="S115" s="686"/>
      <c r="T115" s="686"/>
      <c r="U115" s="686"/>
      <c r="V115" s="686"/>
      <c r="W115" s="686"/>
    </row>
    <row r="116" ht="13.8" customHeight="1">
      <c r="A116" s="686"/>
      <c r="B116" s="686"/>
      <c r="C116" s="823"/>
      <c r="D116" s="686"/>
      <c r="E116" s="686"/>
      <c r="F116" s="686"/>
      <c r="G116" s="687"/>
      <c r="H116" s="686"/>
      <c r="I116" s="687"/>
      <c r="J116" s="686"/>
      <c r="K116" s="686"/>
      <c r="L116" s="686"/>
      <c r="M116" s="686"/>
      <c r="N116" s="686"/>
      <c r="O116" s="687"/>
      <c r="P116" s="686"/>
      <c r="Q116" s="686"/>
      <c r="R116" s="687"/>
      <c r="S116" s="686"/>
      <c r="T116" s="686"/>
      <c r="U116" s="686"/>
      <c r="V116" s="686"/>
      <c r="W116" s="686"/>
    </row>
    <row r="117" ht="13.8" customHeight="1">
      <c r="A117" s="686"/>
      <c r="B117" s="686"/>
      <c r="C117" s="823"/>
      <c r="D117" s="686"/>
      <c r="E117" s="686"/>
      <c r="F117" s="686"/>
      <c r="G117" s="687"/>
      <c r="H117" s="686"/>
      <c r="I117" s="687"/>
      <c r="J117" s="686"/>
      <c r="K117" s="686"/>
      <c r="L117" s="686"/>
      <c r="M117" s="686"/>
      <c r="N117" s="686"/>
      <c r="O117" s="687"/>
      <c r="P117" s="686"/>
      <c r="Q117" s="686"/>
      <c r="R117" s="687"/>
      <c r="S117" s="686"/>
      <c r="T117" s="686"/>
      <c r="U117" s="686"/>
      <c r="V117" s="686"/>
      <c r="W117" s="686"/>
    </row>
    <row r="118" ht="13.8" customHeight="1">
      <c r="A118" s="686"/>
      <c r="B118" s="686"/>
      <c r="C118" s="823"/>
      <c r="D118" s="686"/>
      <c r="E118" s="686"/>
      <c r="F118" s="686"/>
      <c r="G118" s="687"/>
      <c r="H118" s="686"/>
      <c r="I118" s="687"/>
      <c r="J118" s="686"/>
      <c r="K118" s="686"/>
      <c r="L118" s="686"/>
      <c r="M118" s="686"/>
      <c r="N118" s="686"/>
      <c r="O118" s="687"/>
      <c r="P118" s="686"/>
      <c r="Q118" s="686"/>
      <c r="R118" s="687"/>
      <c r="S118" s="686"/>
      <c r="T118" s="686"/>
      <c r="U118" s="686"/>
      <c r="V118" s="686"/>
      <c r="W118" s="686"/>
    </row>
    <row r="119" ht="13.8" customHeight="1">
      <c r="A119" s="686"/>
      <c r="B119" s="686"/>
      <c r="C119" s="823"/>
      <c r="D119" s="686"/>
      <c r="E119" s="686"/>
      <c r="F119" s="686"/>
      <c r="G119" s="687"/>
      <c r="H119" s="686"/>
      <c r="I119" s="687"/>
      <c r="J119" s="686"/>
      <c r="K119" s="686"/>
      <c r="L119" s="686"/>
      <c r="M119" s="686"/>
      <c r="N119" s="686"/>
      <c r="O119" s="687"/>
      <c r="P119" s="686"/>
      <c r="Q119" s="686"/>
      <c r="R119" s="687"/>
      <c r="S119" s="686"/>
      <c r="T119" s="686"/>
      <c r="U119" s="686"/>
      <c r="V119" s="686"/>
      <c r="W119" s="686"/>
    </row>
    <row r="120" ht="13.8" customHeight="1">
      <c r="A120" s="686"/>
      <c r="B120" s="686"/>
      <c r="C120" s="823"/>
      <c r="D120" s="686"/>
      <c r="E120" s="686"/>
      <c r="F120" s="686"/>
      <c r="G120" s="687"/>
      <c r="H120" s="686"/>
      <c r="I120" s="687"/>
      <c r="J120" s="686"/>
      <c r="K120" s="686"/>
      <c r="L120" s="686"/>
      <c r="M120" s="686"/>
      <c r="N120" s="686"/>
      <c r="O120" s="687"/>
      <c r="P120" s="686"/>
      <c r="Q120" s="686"/>
      <c r="R120" s="687"/>
      <c r="S120" s="686"/>
      <c r="T120" s="686"/>
      <c r="U120" s="686"/>
      <c r="V120" s="686"/>
      <c r="W120" s="686"/>
    </row>
    <row r="121" ht="13.8" customHeight="1">
      <c r="A121" s="686"/>
      <c r="B121" s="686"/>
      <c r="C121" s="823"/>
      <c r="D121" s="686"/>
      <c r="E121" s="686"/>
      <c r="F121" s="686"/>
      <c r="G121" s="687"/>
      <c r="H121" s="686"/>
      <c r="I121" s="687"/>
      <c r="J121" s="686"/>
      <c r="K121" s="686"/>
      <c r="L121" s="686"/>
      <c r="M121" s="686"/>
      <c r="N121" s="686"/>
      <c r="O121" s="687"/>
      <c r="P121" s="686"/>
      <c r="Q121" s="686"/>
      <c r="R121" s="687"/>
      <c r="S121" s="686"/>
      <c r="T121" s="686"/>
      <c r="U121" s="686"/>
      <c r="V121" s="686"/>
      <c r="W121" s="686"/>
    </row>
    <row r="122" ht="13.8" customHeight="1">
      <c r="A122" s="686"/>
      <c r="B122" s="686"/>
      <c r="C122" s="823"/>
      <c r="D122" s="686"/>
      <c r="E122" s="686"/>
      <c r="F122" s="686"/>
      <c r="G122" s="687"/>
      <c r="H122" s="686"/>
      <c r="I122" s="687"/>
      <c r="J122" s="686"/>
      <c r="K122" s="686"/>
      <c r="L122" s="686"/>
      <c r="M122" s="686"/>
      <c r="N122" s="686"/>
      <c r="O122" s="687"/>
      <c r="P122" s="686"/>
      <c r="Q122" s="686"/>
      <c r="R122" s="687"/>
      <c r="S122" s="686"/>
      <c r="T122" s="686"/>
      <c r="U122" s="686"/>
      <c r="V122" s="686"/>
      <c r="W122" s="686"/>
    </row>
    <row r="123" ht="13.8" customHeight="1">
      <c r="A123" s="686"/>
      <c r="B123" s="686"/>
      <c r="C123" s="823"/>
      <c r="D123" s="686"/>
      <c r="E123" s="686"/>
      <c r="F123" s="686"/>
      <c r="G123" s="687"/>
      <c r="H123" s="686"/>
      <c r="I123" s="687"/>
      <c r="J123" s="686"/>
      <c r="K123" s="686"/>
      <c r="L123" s="686"/>
      <c r="M123" s="686"/>
      <c r="N123" s="686"/>
      <c r="O123" s="687"/>
      <c r="P123" s="686"/>
      <c r="Q123" s="686"/>
      <c r="R123" s="687"/>
      <c r="S123" s="686"/>
      <c r="T123" s="686"/>
      <c r="U123" s="686"/>
      <c r="V123" s="686"/>
      <c r="W123" s="686"/>
    </row>
    <row r="124" ht="13.8" customHeight="1">
      <c r="A124" s="686"/>
      <c r="B124" s="686"/>
      <c r="C124" s="823"/>
      <c r="D124" s="686"/>
      <c r="E124" s="686"/>
      <c r="F124" s="686"/>
      <c r="G124" s="687"/>
      <c r="H124" s="686"/>
      <c r="I124" s="687"/>
      <c r="J124" s="686"/>
      <c r="K124" s="686"/>
      <c r="L124" s="686"/>
      <c r="M124" s="686"/>
      <c r="N124" s="686"/>
      <c r="O124" s="687"/>
      <c r="P124" s="686"/>
      <c r="Q124" s="686"/>
      <c r="R124" s="687"/>
      <c r="S124" s="686"/>
      <c r="T124" s="686"/>
      <c r="U124" s="686"/>
      <c r="V124" s="686"/>
      <c r="W124" s="686"/>
    </row>
    <row r="125" ht="13.8" customHeight="1">
      <c r="A125" s="686"/>
      <c r="B125" s="686"/>
      <c r="C125" s="823"/>
      <c r="D125" s="686"/>
      <c r="E125" s="686"/>
      <c r="F125" s="686"/>
      <c r="G125" s="687"/>
      <c r="H125" s="686"/>
      <c r="I125" s="687"/>
      <c r="J125" s="686"/>
      <c r="K125" s="686"/>
      <c r="L125" s="686"/>
      <c r="M125" s="686"/>
      <c r="N125" s="686"/>
      <c r="O125" s="687"/>
      <c r="P125" s="686"/>
      <c r="Q125" s="686"/>
      <c r="R125" s="687"/>
      <c r="S125" s="686"/>
      <c r="T125" s="686"/>
      <c r="U125" s="686"/>
      <c r="V125" s="686"/>
      <c r="W125" s="686"/>
    </row>
    <row r="126" ht="13.8" customHeight="1">
      <c r="A126" s="686"/>
      <c r="B126" s="686"/>
      <c r="C126" s="823"/>
      <c r="D126" s="686"/>
      <c r="E126" s="686"/>
      <c r="F126" s="686"/>
      <c r="G126" s="687"/>
      <c r="H126" s="686"/>
      <c r="I126" s="687"/>
      <c r="J126" s="686"/>
      <c r="K126" s="686"/>
      <c r="L126" s="686"/>
      <c r="M126" s="686"/>
      <c r="N126" s="686"/>
      <c r="O126" s="687"/>
      <c r="P126" s="686"/>
      <c r="Q126" s="686"/>
      <c r="R126" s="687"/>
      <c r="S126" s="686"/>
      <c r="T126" s="686"/>
      <c r="U126" s="686"/>
      <c r="V126" s="686"/>
      <c r="W126" s="686"/>
    </row>
    <row r="127" ht="13.8" customHeight="1">
      <c r="A127" s="686"/>
      <c r="B127" s="686"/>
      <c r="C127" s="823"/>
      <c r="D127" s="686"/>
      <c r="E127" s="686"/>
      <c r="F127" s="686"/>
      <c r="G127" s="687"/>
      <c r="H127" s="686"/>
      <c r="I127" s="687"/>
      <c r="J127" s="686"/>
      <c r="K127" s="686"/>
      <c r="L127" s="686"/>
      <c r="M127" s="686"/>
      <c r="N127" s="686"/>
      <c r="O127" s="687"/>
      <c r="P127" s="686"/>
      <c r="Q127" s="686"/>
      <c r="R127" s="687"/>
      <c r="S127" s="686"/>
      <c r="T127" s="686"/>
      <c r="U127" s="686"/>
      <c r="V127" s="686"/>
      <c r="W127" s="686"/>
    </row>
    <row r="128" ht="13.8" customHeight="1">
      <c r="A128" s="686"/>
      <c r="B128" s="686"/>
      <c r="C128" s="823"/>
      <c r="D128" s="686"/>
      <c r="E128" s="686"/>
      <c r="F128" s="686"/>
      <c r="G128" s="687"/>
      <c r="H128" s="686"/>
      <c r="I128" s="687"/>
      <c r="J128" s="686"/>
      <c r="K128" s="686"/>
      <c r="L128" s="686"/>
      <c r="M128" s="686"/>
      <c r="N128" s="686"/>
      <c r="O128" s="687"/>
      <c r="P128" s="686"/>
      <c r="Q128" s="686"/>
      <c r="R128" s="687"/>
      <c r="S128" s="686"/>
      <c r="T128" s="686"/>
      <c r="U128" s="686"/>
      <c r="V128" s="686"/>
      <c r="W128" s="686"/>
    </row>
    <row r="129" ht="13.8" customHeight="1">
      <c r="A129" s="686"/>
      <c r="B129" s="686"/>
      <c r="C129" s="823"/>
      <c r="D129" s="686"/>
      <c r="E129" s="686"/>
      <c r="F129" s="686"/>
      <c r="G129" s="687"/>
      <c r="H129" s="686"/>
      <c r="I129" s="687"/>
      <c r="J129" s="686"/>
      <c r="K129" s="686"/>
      <c r="L129" s="686"/>
      <c r="M129" s="686"/>
      <c r="N129" s="686"/>
      <c r="O129" s="687"/>
      <c r="P129" s="686"/>
      <c r="Q129" s="686"/>
      <c r="R129" s="687"/>
      <c r="S129" s="686"/>
      <c r="T129" s="686"/>
      <c r="U129" s="686"/>
      <c r="V129" s="686"/>
      <c r="W129" s="686"/>
    </row>
    <row r="130" ht="13.8" customHeight="1">
      <c r="A130" s="686"/>
      <c r="B130" s="686"/>
      <c r="C130" s="823"/>
      <c r="D130" s="686"/>
      <c r="E130" s="686"/>
      <c r="F130" s="686"/>
      <c r="G130" s="687"/>
      <c r="H130" s="686"/>
      <c r="I130" s="687"/>
      <c r="J130" s="686"/>
      <c r="K130" s="686"/>
      <c r="L130" s="686"/>
      <c r="M130" s="686"/>
      <c r="N130" s="686"/>
      <c r="O130" s="687"/>
      <c r="P130" s="686"/>
      <c r="Q130" s="686"/>
      <c r="R130" s="687"/>
      <c r="S130" s="686"/>
      <c r="T130" s="686"/>
      <c r="U130" s="686"/>
      <c r="V130" s="686"/>
      <c r="W130" s="686"/>
    </row>
    <row r="131" ht="13.8" customHeight="1">
      <c r="A131" s="686"/>
      <c r="B131" s="686"/>
      <c r="C131" s="823"/>
      <c r="D131" s="686"/>
      <c r="E131" s="686"/>
      <c r="F131" s="686"/>
      <c r="G131" s="687"/>
      <c r="H131" s="686"/>
      <c r="I131" s="687"/>
      <c r="J131" s="686"/>
      <c r="K131" s="686"/>
      <c r="L131" s="686"/>
      <c r="M131" s="686"/>
      <c r="N131" s="686"/>
      <c r="O131" s="687"/>
      <c r="P131" s="686"/>
      <c r="Q131" s="686"/>
      <c r="R131" s="687"/>
      <c r="S131" s="686"/>
      <c r="T131" s="686"/>
      <c r="U131" s="686"/>
      <c r="V131" s="686"/>
      <c r="W131" s="686"/>
    </row>
    <row r="132" ht="13.8" customHeight="1">
      <c r="A132" s="686"/>
      <c r="B132" s="686"/>
      <c r="C132" s="823"/>
      <c r="D132" s="686"/>
      <c r="E132" s="686"/>
      <c r="F132" s="686"/>
      <c r="G132" s="687"/>
      <c r="H132" s="686"/>
      <c r="I132" s="687"/>
      <c r="J132" s="686"/>
      <c r="K132" s="686"/>
      <c r="L132" s="686"/>
      <c r="M132" s="686"/>
      <c r="N132" s="686"/>
      <c r="O132" s="687"/>
      <c r="P132" s="686"/>
      <c r="Q132" s="686"/>
      <c r="R132" s="687"/>
      <c r="S132" s="686"/>
      <c r="T132" s="686"/>
      <c r="U132" s="686"/>
      <c r="V132" s="686"/>
      <c r="W132" s="686"/>
    </row>
    <row r="133" ht="13.8" customHeight="1">
      <c r="A133" s="686"/>
      <c r="B133" s="686"/>
      <c r="C133" s="823"/>
      <c r="D133" s="686"/>
      <c r="E133" s="686"/>
      <c r="F133" s="686"/>
      <c r="G133" s="687"/>
      <c r="H133" s="686"/>
      <c r="I133" s="687"/>
      <c r="J133" s="686"/>
      <c r="K133" s="686"/>
      <c r="L133" s="686"/>
      <c r="M133" s="686"/>
      <c r="N133" s="686"/>
      <c r="O133" s="687"/>
      <c r="P133" s="686"/>
      <c r="Q133" s="686"/>
      <c r="R133" s="687"/>
      <c r="S133" s="686"/>
      <c r="T133" s="686"/>
      <c r="U133" s="686"/>
      <c r="V133" s="686"/>
      <c r="W133" s="686"/>
    </row>
    <row r="134" ht="13.8" customHeight="1">
      <c r="A134" s="686"/>
      <c r="B134" s="686"/>
      <c r="C134" s="823"/>
      <c r="D134" s="686"/>
      <c r="E134" s="686"/>
      <c r="F134" s="686"/>
      <c r="G134" s="687"/>
      <c r="H134" s="686"/>
      <c r="I134" s="687"/>
      <c r="J134" s="686"/>
      <c r="K134" s="686"/>
      <c r="L134" s="686"/>
      <c r="M134" s="686"/>
      <c r="N134" s="686"/>
      <c r="O134" s="687"/>
      <c r="P134" s="686"/>
      <c r="Q134" s="686"/>
      <c r="R134" s="687"/>
      <c r="S134" s="686"/>
      <c r="T134" s="686"/>
      <c r="U134" s="686"/>
      <c r="V134" s="686"/>
      <c r="W134" s="686"/>
    </row>
    <row r="135" ht="13.8" customHeight="1">
      <c r="A135" s="686"/>
      <c r="B135" s="686"/>
      <c r="C135" s="823"/>
      <c r="D135" s="686"/>
      <c r="E135" s="686"/>
      <c r="F135" s="686"/>
      <c r="G135" s="687"/>
      <c r="H135" s="686"/>
      <c r="I135" s="687"/>
      <c r="J135" s="686"/>
      <c r="K135" s="686"/>
      <c r="L135" s="686"/>
      <c r="M135" s="686"/>
      <c r="N135" s="686"/>
      <c r="O135" s="687"/>
      <c r="P135" s="686"/>
      <c r="Q135" s="686"/>
      <c r="R135" s="687"/>
      <c r="S135" s="686"/>
      <c r="T135" s="686"/>
      <c r="U135" s="686"/>
      <c r="V135" s="686"/>
      <c r="W135" s="686"/>
    </row>
    <row r="136" ht="13.8" customHeight="1">
      <c r="A136" s="686"/>
      <c r="B136" s="686"/>
      <c r="C136" s="823"/>
      <c r="D136" s="686"/>
      <c r="E136" s="686"/>
      <c r="F136" s="686"/>
      <c r="G136" s="687"/>
      <c r="H136" s="686"/>
      <c r="I136" s="687"/>
      <c r="J136" s="686"/>
      <c r="K136" s="686"/>
      <c r="L136" s="686"/>
      <c r="M136" s="686"/>
      <c r="N136" s="686"/>
      <c r="O136" s="687"/>
      <c r="P136" s="686"/>
      <c r="Q136" s="686"/>
      <c r="R136" s="687"/>
      <c r="S136" s="686"/>
      <c r="T136" s="686"/>
      <c r="U136" s="686"/>
      <c r="V136" s="686"/>
      <c r="W136" s="686"/>
    </row>
    <row r="137" ht="13.8" customHeight="1">
      <c r="A137" s="686"/>
      <c r="B137" s="686"/>
      <c r="C137" s="823"/>
      <c r="D137" s="686"/>
      <c r="E137" s="686"/>
      <c r="F137" s="686"/>
      <c r="G137" s="687"/>
      <c r="H137" s="686"/>
      <c r="I137" s="687"/>
      <c r="J137" s="686"/>
      <c r="K137" s="686"/>
      <c r="L137" s="686"/>
      <c r="M137" s="686"/>
      <c r="N137" s="686"/>
      <c r="O137" s="687"/>
      <c r="P137" s="686"/>
      <c r="Q137" s="686"/>
      <c r="R137" s="687"/>
      <c r="S137" s="686"/>
      <c r="T137" s="686"/>
      <c r="U137" s="686"/>
      <c r="V137" s="686"/>
      <c r="W137" s="686"/>
    </row>
    <row r="138" ht="13.8" customHeight="1">
      <c r="A138" s="686"/>
      <c r="B138" s="686"/>
      <c r="C138" s="823"/>
      <c r="D138" s="686"/>
      <c r="E138" s="686"/>
      <c r="F138" s="686"/>
      <c r="G138" s="687"/>
      <c r="H138" s="686"/>
      <c r="I138" s="687"/>
      <c r="J138" s="686"/>
      <c r="K138" s="686"/>
      <c r="L138" s="686"/>
      <c r="M138" s="686"/>
      <c r="N138" s="686"/>
      <c r="O138" s="687"/>
      <c r="P138" s="686"/>
      <c r="Q138" s="686"/>
      <c r="R138" s="687"/>
      <c r="S138" s="686"/>
      <c r="T138" s="686"/>
      <c r="U138" s="686"/>
      <c r="V138" s="686"/>
      <c r="W138" s="686"/>
    </row>
    <row r="139" ht="13.8" customHeight="1">
      <c r="A139" s="686"/>
      <c r="B139" s="686"/>
      <c r="C139" s="823"/>
      <c r="D139" s="686"/>
      <c r="E139" s="686"/>
      <c r="F139" s="686"/>
      <c r="G139" s="687"/>
      <c r="H139" s="686"/>
      <c r="I139" s="687"/>
      <c r="J139" s="686"/>
      <c r="K139" s="686"/>
      <c r="L139" s="686"/>
      <c r="M139" s="686"/>
      <c r="N139" s="686"/>
      <c r="O139" s="687"/>
      <c r="P139" s="686"/>
      <c r="Q139" s="686"/>
      <c r="R139" s="687"/>
      <c r="S139" s="686"/>
      <c r="T139" s="686"/>
      <c r="U139" s="686"/>
      <c r="V139" s="686"/>
      <c r="W139" s="686"/>
    </row>
    <row r="140" ht="13.8" customHeight="1">
      <c r="A140" s="686"/>
      <c r="B140" s="686"/>
      <c r="C140" s="823"/>
      <c r="D140" s="686"/>
      <c r="E140" s="686"/>
      <c r="F140" s="686"/>
      <c r="G140" s="687"/>
      <c r="H140" s="686"/>
      <c r="I140" s="687"/>
      <c r="J140" s="686"/>
      <c r="K140" s="686"/>
      <c r="L140" s="686"/>
      <c r="M140" s="686"/>
      <c r="N140" s="686"/>
      <c r="O140" s="687"/>
      <c r="P140" s="686"/>
      <c r="Q140" s="686"/>
      <c r="R140" s="687"/>
      <c r="S140" s="686"/>
      <c r="T140" s="686"/>
      <c r="U140" s="686"/>
      <c r="V140" s="686"/>
      <c r="W140" s="686"/>
    </row>
    <row r="141" ht="13.8" customHeight="1">
      <c r="A141" s="686"/>
      <c r="B141" s="686"/>
      <c r="C141" s="823"/>
      <c r="D141" s="686"/>
      <c r="E141" s="686"/>
      <c r="F141" s="686"/>
      <c r="G141" s="687"/>
      <c r="H141" s="686"/>
      <c r="I141" s="687"/>
      <c r="J141" s="686"/>
      <c r="K141" s="686"/>
      <c r="L141" s="686"/>
      <c r="M141" s="686"/>
      <c r="N141" s="686"/>
      <c r="O141" s="687"/>
      <c r="P141" s="686"/>
      <c r="Q141" s="686"/>
      <c r="R141" s="687"/>
      <c r="S141" s="686"/>
      <c r="T141" s="686"/>
      <c r="U141" s="686"/>
      <c r="V141" s="686"/>
      <c r="W141" s="686"/>
    </row>
    <row r="142" ht="13.8" customHeight="1">
      <c r="A142" s="686"/>
      <c r="B142" s="686"/>
      <c r="C142" s="823"/>
      <c r="D142" s="686"/>
      <c r="E142" s="686"/>
      <c r="F142" s="686"/>
      <c r="G142" s="687"/>
      <c r="H142" s="686"/>
      <c r="I142" s="687"/>
      <c r="J142" s="686"/>
      <c r="K142" s="686"/>
      <c r="L142" s="686"/>
      <c r="M142" s="686"/>
      <c r="N142" s="686"/>
      <c r="O142" s="687"/>
      <c r="P142" s="686"/>
      <c r="Q142" s="686"/>
      <c r="R142" s="687"/>
      <c r="S142" s="686"/>
      <c r="T142" s="686"/>
      <c r="U142" s="686"/>
      <c r="V142" s="686"/>
      <c r="W142" s="686"/>
    </row>
    <row r="143" ht="13.8" customHeight="1">
      <c r="A143" s="686"/>
      <c r="B143" s="686"/>
      <c r="C143" s="823"/>
      <c r="D143" s="686"/>
      <c r="E143" s="686"/>
      <c r="F143" s="686"/>
      <c r="G143" s="687"/>
      <c r="H143" s="686"/>
      <c r="I143" s="687"/>
      <c r="J143" s="686"/>
      <c r="K143" s="686"/>
      <c r="L143" s="686"/>
      <c r="M143" s="686"/>
      <c r="N143" s="686"/>
      <c r="O143" s="687"/>
      <c r="P143" s="686"/>
      <c r="Q143" s="686"/>
      <c r="R143" s="687"/>
      <c r="S143" s="686"/>
      <c r="T143" s="686"/>
      <c r="U143" s="686"/>
      <c r="V143" s="686"/>
      <c r="W143" s="686"/>
    </row>
    <row r="144" ht="13.8" customHeight="1">
      <c r="A144" s="686"/>
      <c r="B144" s="686"/>
      <c r="C144" s="823"/>
      <c r="D144" s="686"/>
      <c r="E144" s="686"/>
      <c r="F144" s="686"/>
      <c r="G144" s="687"/>
      <c r="H144" s="686"/>
      <c r="I144" s="687"/>
      <c r="J144" s="686"/>
      <c r="K144" s="686"/>
      <c r="L144" s="686"/>
      <c r="M144" s="686"/>
      <c r="N144" s="686"/>
      <c r="O144" s="687"/>
      <c r="P144" s="686"/>
      <c r="Q144" s="686"/>
      <c r="R144" s="687"/>
      <c r="S144" s="686"/>
      <c r="T144" s="686"/>
      <c r="U144" s="686"/>
      <c r="V144" s="686"/>
      <c r="W144" s="686"/>
    </row>
    <row r="145" ht="13.8" customHeight="1">
      <c r="A145" s="686"/>
      <c r="B145" s="686"/>
      <c r="C145" s="823"/>
      <c r="D145" s="686"/>
      <c r="E145" s="686"/>
      <c r="F145" s="686"/>
      <c r="G145" s="687"/>
      <c r="H145" s="686"/>
      <c r="I145" s="687"/>
      <c r="J145" s="686"/>
      <c r="K145" s="686"/>
      <c r="L145" s="686"/>
      <c r="M145" s="686"/>
      <c r="N145" s="686"/>
      <c r="O145" s="687"/>
      <c r="P145" s="686"/>
      <c r="Q145" s="686"/>
      <c r="R145" s="687"/>
      <c r="S145" s="686"/>
      <c r="T145" s="686"/>
      <c r="U145" s="686"/>
      <c r="V145" s="686"/>
      <c r="W145" s="686"/>
    </row>
    <row r="146" ht="13.8" customHeight="1">
      <c r="A146" s="686"/>
      <c r="B146" s="686"/>
      <c r="C146" s="823"/>
      <c r="D146" s="686"/>
      <c r="E146" s="686"/>
      <c r="F146" s="686"/>
      <c r="G146" s="687"/>
      <c r="H146" s="686"/>
      <c r="I146" s="687"/>
      <c r="J146" s="686"/>
      <c r="K146" s="686"/>
      <c r="L146" s="686"/>
      <c r="M146" s="686"/>
      <c r="N146" s="686"/>
      <c r="O146" s="687"/>
      <c r="P146" s="686"/>
      <c r="Q146" s="686"/>
      <c r="R146" s="687"/>
      <c r="S146" s="686"/>
      <c r="T146" s="686"/>
      <c r="U146" s="686"/>
      <c r="V146" s="686"/>
      <c r="W146" s="686"/>
    </row>
    <row r="147" ht="13.8" customHeight="1">
      <c r="A147" s="686"/>
      <c r="B147" s="686"/>
      <c r="C147" s="823"/>
      <c r="D147" s="686"/>
      <c r="E147" s="686"/>
      <c r="F147" s="686"/>
      <c r="G147" s="687"/>
      <c r="H147" s="686"/>
      <c r="I147" s="687"/>
      <c r="J147" s="686"/>
      <c r="K147" s="686"/>
      <c r="L147" s="686"/>
      <c r="M147" s="686"/>
      <c r="N147" s="686"/>
      <c r="O147" s="687"/>
      <c r="P147" s="686"/>
      <c r="Q147" s="686"/>
      <c r="R147" s="687"/>
      <c r="S147" s="686"/>
      <c r="T147" s="686"/>
      <c r="U147" s="686"/>
      <c r="V147" s="686"/>
      <c r="W147" s="686"/>
    </row>
    <row r="148" ht="13.8" customHeight="1">
      <c r="A148" s="686"/>
      <c r="B148" s="686"/>
      <c r="C148" s="823"/>
      <c r="D148" s="686"/>
      <c r="E148" s="686"/>
      <c r="F148" s="686"/>
      <c r="G148" s="687"/>
      <c r="H148" s="686"/>
      <c r="I148" s="687"/>
      <c r="J148" s="686"/>
      <c r="K148" s="686"/>
      <c r="L148" s="686"/>
      <c r="M148" s="686"/>
      <c r="N148" s="686"/>
      <c r="O148" s="687"/>
      <c r="P148" s="686"/>
      <c r="Q148" s="686"/>
      <c r="R148" s="687"/>
      <c r="S148" s="686"/>
      <c r="T148" s="686"/>
      <c r="U148" s="686"/>
      <c r="V148" s="686"/>
      <c r="W148" s="686"/>
    </row>
    <row r="149" ht="13.8" customHeight="1">
      <c r="A149" s="686"/>
      <c r="B149" s="686"/>
      <c r="C149" s="823"/>
      <c r="D149" s="686"/>
      <c r="E149" s="686"/>
      <c r="F149" s="686"/>
      <c r="G149" s="687"/>
      <c r="H149" s="686"/>
      <c r="I149" s="687"/>
      <c r="J149" s="686"/>
      <c r="K149" s="686"/>
      <c r="L149" s="686"/>
      <c r="M149" s="686"/>
      <c r="N149" s="686"/>
      <c r="O149" s="687"/>
      <c r="P149" s="686"/>
      <c r="Q149" s="686"/>
      <c r="R149" s="687"/>
      <c r="S149" s="686"/>
      <c r="T149" s="686"/>
      <c r="U149" s="686"/>
      <c r="V149" s="686"/>
      <c r="W149" s="686"/>
    </row>
    <row r="150" ht="13.8" customHeight="1">
      <c r="A150" s="686"/>
      <c r="B150" s="686"/>
      <c r="C150" s="823"/>
      <c r="D150" s="686"/>
      <c r="E150" s="686"/>
      <c r="F150" s="686"/>
      <c r="G150" s="687"/>
      <c r="H150" s="686"/>
      <c r="I150" s="687"/>
      <c r="J150" s="686"/>
      <c r="K150" s="686"/>
      <c r="L150" s="686"/>
      <c r="M150" s="686"/>
      <c r="N150" s="686"/>
      <c r="O150" s="687"/>
      <c r="P150" s="686"/>
      <c r="Q150" s="686"/>
      <c r="R150" s="687"/>
      <c r="S150" s="686"/>
      <c r="T150" s="686"/>
      <c r="U150" s="686"/>
      <c r="V150" s="686"/>
      <c r="W150" s="686"/>
    </row>
    <row r="151" ht="13.8" customHeight="1">
      <c r="A151" s="686"/>
      <c r="B151" s="686"/>
      <c r="C151" s="823"/>
      <c r="D151" s="686"/>
      <c r="E151" s="686"/>
      <c r="F151" s="686"/>
      <c r="G151" s="687"/>
      <c r="H151" s="686"/>
      <c r="I151" s="687"/>
      <c r="J151" s="686"/>
      <c r="K151" s="686"/>
      <c r="L151" s="686"/>
      <c r="M151" s="686"/>
      <c r="N151" s="686"/>
      <c r="O151" s="687"/>
      <c r="P151" s="686"/>
      <c r="Q151" s="686"/>
      <c r="R151" s="687"/>
      <c r="S151" s="686"/>
      <c r="T151" s="686"/>
      <c r="U151" s="686"/>
      <c r="V151" s="686"/>
      <c r="W151" s="686"/>
    </row>
    <row r="152" ht="13.8" customHeight="1">
      <c r="A152" s="686"/>
      <c r="B152" s="686"/>
      <c r="C152" s="823"/>
      <c r="D152" s="686"/>
      <c r="E152" s="686"/>
      <c r="F152" s="686"/>
      <c r="G152" s="687"/>
      <c r="H152" s="686"/>
      <c r="I152" s="687"/>
      <c r="J152" s="686"/>
      <c r="K152" s="686"/>
      <c r="L152" s="686"/>
      <c r="M152" s="686"/>
      <c r="N152" s="686"/>
      <c r="O152" s="687"/>
      <c r="P152" s="686"/>
      <c r="Q152" s="686"/>
      <c r="R152" s="687"/>
      <c r="S152" s="686"/>
      <c r="T152" s="686"/>
      <c r="U152" s="686"/>
      <c r="V152" s="686"/>
      <c r="W152" s="686"/>
    </row>
    <row r="153" ht="13.8" customHeight="1">
      <c r="A153" s="686"/>
      <c r="B153" s="686"/>
      <c r="C153" s="823"/>
      <c r="D153" s="686"/>
      <c r="E153" s="686"/>
      <c r="F153" s="686"/>
      <c r="G153" s="687"/>
      <c r="H153" s="686"/>
      <c r="I153" s="687"/>
      <c r="J153" s="686"/>
      <c r="K153" s="686"/>
      <c r="L153" s="686"/>
      <c r="M153" s="686"/>
      <c r="N153" s="686"/>
      <c r="O153" s="687"/>
      <c r="P153" s="686"/>
      <c r="Q153" s="686"/>
      <c r="R153" s="687"/>
      <c r="S153" s="686"/>
      <c r="T153" s="686"/>
      <c r="U153" s="686"/>
      <c r="V153" s="686"/>
      <c r="W153" s="686"/>
    </row>
    <row r="154" ht="13.8" customHeight="1">
      <c r="A154" s="686"/>
      <c r="B154" s="686"/>
      <c r="C154" s="823"/>
      <c r="D154" s="686"/>
      <c r="E154" s="686"/>
      <c r="F154" s="686"/>
      <c r="G154" s="687"/>
      <c r="H154" s="686"/>
      <c r="I154" s="687"/>
      <c r="J154" s="686"/>
      <c r="K154" s="686"/>
      <c r="L154" s="686"/>
      <c r="M154" s="686"/>
      <c r="N154" s="686"/>
      <c r="O154" s="687"/>
      <c r="P154" s="686"/>
      <c r="Q154" s="686"/>
      <c r="R154" s="687"/>
      <c r="S154" s="686"/>
      <c r="T154" s="686"/>
      <c r="U154" s="686"/>
      <c r="V154" s="686"/>
      <c r="W154" s="686"/>
    </row>
    <row r="155" ht="13.8" customHeight="1">
      <c r="A155" s="686"/>
      <c r="B155" s="686"/>
      <c r="C155" s="823"/>
      <c r="D155" s="686"/>
      <c r="E155" s="686"/>
      <c r="F155" s="686"/>
      <c r="G155" s="687"/>
      <c r="H155" s="686"/>
      <c r="I155" s="687"/>
      <c r="J155" s="686"/>
      <c r="K155" s="686"/>
      <c r="L155" s="686"/>
      <c r="M155" s="686"/>
      <c r="N155" s="686"/>
      <c r="O155" s="687"/>
      <c r="P155" s="686"/>
      <c r="Q155" s="686"/>
      <c r="R155" s="687"/>
      <c r="S155" s="686"/>
      <c r="T155" s="686"/>
      <c r="U155" s="686"/>
      <c r="V155" s="686"/>
      <c r="W155" s="686"/>
    </row>
    <row r="156" ht="13.8" customHeight="1">
      <c r="A156" s="686"/>
      <c r="B156" s="686"/>
      <c r="C156" s="823"/>
      <c r="D156" s="686"/>
      <c r="E156" s="686"/>
      <c r="F156" s="686"/>
      <c r="G156" s="687"/>
      <c r="H156" s="686"/>
      <c r="I156" s="687"/>
      <c r="J156" s="686"/>
      <c r="K156" s="686"/>
      <c r="L156" s="686"/>
      <c r="M156" s="686"/>
      <c r="N156" s="686"/>
      <c r="O156" s="687"/>
      <c r="P156" s="686"/>
      <c r="Q156" s="686"/>
      <c r="R156" s="687"/>
      <c r="S156" s="686"/>
      <c r="T156" s="686"/>
      <c r="U156" s="686"/>
      <c r="V156" s="686"/>
      <c r="W156" s="686"/>
    </row>
    <row r="157" ht="13.8" customHeight="1">
      <c r="A157" s="686"/>
      <c r="B157" s="686"/>
      <c r="C157" s="823"/>
      <c r="D157" s="686"/>
      <c r="E157" s="686"/>
      <c r="F157" s="686"/>
      <c r="G157" s="687"/>
      <c r="H157" s="686"/>
      <c r="I157" s="687"/>
      <c r="J157" s="686"/>
      <c r="K157" s="686"/>
      <c r="L157" s="686"/>
      <c r="M157" s="686"/>
      <c r="N157" s="686"/>
      <c r="O157" s="687"/>
      <c r="P157" s="686"/>
      <c r="Q157" s="686"/>
      <c r="R157" s="687"/>
      <c r="S157" s="686"/>
      <c r="T157" s="686"/>
      <c r="U157" s="686"/>
      <c r="V157" s="686"/>
      <c r="W157" s="686"/>
    </row>
    <row r="158" ht="13.8" customHeight="1">
      <c r="A158" s="686"/>
      <c r="B158" s="686"/>
      <c r="C158" s="823"/>
      <c r="D158" s="686"/>
      <c r="E158" s="686"/>
      <c r="F158" s="686"/>
      <c r="G158" s="687"/>
      <c r="H158" s="686"/>
      <c r="I158" s="687"/>
      <c r="J158" s="686"/>
      <c r="K158" s="686"/>
      <c r="L158" s="686"/>
      <c r="M158" s="686"/>
      <c r="N158" s="686"/>
      <c r="O158" s="687"/>
      <c r="P158" s="686"/>
      <c r="Q158" s="686"/>
      <c r="R158" s="687"/>
      <c r="S158" s="686"/>
      <c r="T158" s="686"/>
      <c r="U158" s="686"/>
      <c r="V158" s="686"/>
      <c r="W158" s="686"/>
    </row>
    <row r="159" ht="13.8" customHeight="1">
      <c r="A159" s="686"/>
      <c r="B159" s="686"/>
      <c r="C159" s="823"/>
      <c r="D159" s="686"/>
      <c r="E159" s="686"/>
      <c r="F159" s="686"/>
      <c r="G159" s="687"/>
      <c r="H159" s="686"/>
      <c r="I159" s="687"/>
      <c r="J159" s="686"/>
      <c r="K159" s="686"/>
      <c r="L159" s="686"/>
      <c r="M159" s="686"/>
      <c r="N159" s="686"/>
      <c r="O159" s="687"/>
      <c r="P159" s="686"/>
      <c r="Q159" s="686"/>
      <c r="R159" s="687"/>
      <c r="S159" s="686"/>
      <c r="T159" s="686"/>
      <c r="U159" s="686"/>
      <c r="V159" s="686"/>
      <c r="W159" s="686"/>
    </row>
    <row r="160" ht="13.8" customHeight="1">
      <c r="A160" s="686"/>
      <c r="B160" s="686"/>
      <c r="C160" s="823"/>
      <c r="D160" s="686"/>
      <c r="E160" s="686"/>
      <c r="F160" s="686"/>
      <c r="G160" s="687"/>
      <c r="H160" s="686"/>
      <c r="I160" s="687"/>
      <c r="J160" s="686"/>
      <c r="K160" s="686"/>
      <c r="L160" s="686"/>
      <c r="M160" s="686"/>
      <c r="N160" s="686"/>
      <c r="O160" s="687"/>
      <c r="P160" s="686"/>
      <c r="Q160" s="686"/>
      <c r="R160" s="687"/>
      <c r="S160" s="686"/>
      <c r="T160" s="686"/>
      <c r="U160" s="686"/>
      <c r="V160" s="686"/>
      <c r="W160" s="686"/>
    </row>
    <row r="161" ht="13.8" customHeight="1">
      <c r="A161" s="686"/>
      <c r="B161" s="686"/>
      <c r="C161" s="823"/>
      <c r="D161" s="686"/>
      <c r="E161" s="686"/>
      <c r="F161" s="686"/>
      <c r="G161" s="687"/>
      <c r="H161" s="686"/>
      <c r="I161" s="687"/>
      <c r="J161" s="686"/>
      <c r="K161" s="686"/>
      <c r="L161" s="686"/>
      <c r="M161" s="686"/>
      <c r="N161" s="686"/>
      <c r="O161" s="687"/>
      <c r="P161" s="686"/>
      <c r="Q161" s="686"/>
      <c r="R161" s="687"/>
      <c r="S161" s="686"/>
      <c r="T161" s="686"/>
      <c r="U161" s="686"/>
      <c r="V161" s="686"/>
      <c r="W161" s="686"/>
    </row>
    <row r="162" ht="13.8" customHeight="1">
      <c r="A162" s="686"/>
      <c r="B162" s="686"/>
      <c r="C162" s="823"/>
      <c r="D162" s="686"/>
      <c r="E162" s="686"/>
      <c r="F162" s="686"/>
      <c r="G162" s="687"/>
      <c r="H162" s="686"/>
      <c r="I162" s="687"/>
      <c r="J162" s="686"/>
      <c r="K162" s="686"/>
      <c r="L162" s="686"/>
      <c r="M162" s="686"/>
      <c r="N162" s="686"/>
      <c r="O162" s="687"/>
      <c r="P162" s="686"/>
      <c r="Q162" s="686"/>
      <c r="R162" s="687"/>
      <c r="S162" s="686"/>
      <c r="T162" s="686"/>
      <c r="U162" s="686"/>
      <c r="V162" s="686"/>
      <c r="W162" s="686"/>
    </row>
    <row r="163" ht="13.8" customHeight="1">
      <c r="A163" s="686"/>
      <c r="B163" s="686"/>
      <c r="C163" s="823"/>
      <c r="D163" s="686"/>
      <c r="E163" s="686"/>
      <c r="F163" s="686"/>
      <c r="G163" s="687"/>
      <c r="H163" s="686"/>
      <c r="I163" s="687"/>
      <c r="J163" s="686"/>
      <c r="K163" s="686"/>
      <c r="L163" s="686"/>
      <c r="M163" s="686"/>
      <c r="N163" s="686"/>
      <c r="O163" s="687"/>
      <c r="P163" s="686"/>
      <c r="Q163" s="686"/>
      <c r="R163" s="687"/>
      <c r="S163" s="686"/>
      <c r="T163" s="686"/>
      <c r="U163" s="686"/>
      <c r="V163" s="686"/>
      <c r="W163" s="686"/>
    </row>
    <row r="164" ht="13.8" customHeight="1">
      <c r="A164" s="686"/>
      <c r="B164" s="686"/>
      <c r="C164" s="823"/>
      <c r="D164" s="686"/>
      <c r="E164" s="686"/>
      <c r="F164" s="686"/>
      <c r="G164" s="687"/>
      <c r="H164" s="686"/>
      <c r="I164" s="687"/>
      <c r="J164" s="686"/>
      <c r="K164" s="686"/>
      <c r="L164" s="686"/>
      <c r="M164" s="686"/>
      <c r="N164" s="686"/>
      <c r="O164" s="687"/>
      <c r="P164" s="686"/>
      <c r="Q164" s="686"/>
      <c r="R164" s="687"/>
      <c r="S164" s="686"/>
      <c r="T164" s="686"/>
      <c r="U164" s="686"/>
      <c r="V164" s="686"/>
      <c r="W164" s="686"/>
    </row>
    <row r="165" ht="13.8" customHeight="1">
      <c r="A165" s="686"/>
      <c r="B165" s="686"/>
      <c r="C165" s="823"/>
      <c r="D165" s="686"/>
      <c r="E165" s="686"/>
      <c r="F165" s="686"/>
      <c r="G165" s="687"/>
      <c r="H165" s="686"/>
      <c r="I165" s="687"/>
      <c r="J165" s="686"/>
      <c r="K165" s="686"/>
      <c r="L165" s="686"/>
      <c r="M165" s="686"/>
      <c r="N165" s="686"/>
      <c r="O165" s="687"/>
      <c r="P165" s="686"/>
      <c r="Q165" s="686"/>
      <c r="R165" s="687"/>
      <c r="S165" s="686"/>
      <c r="T165" s="686"/>
      <c r="U165" s="686"/>
      <c r="V165" s="686"/>
      <c r="W165" s="686"/>
    </row>
    <row r="166" ht="13.8" customHeight="1">
      <c r="A166" s="686"/>
      <c r="B166" s="686"/>
      <c r="C166" s="823"/>
      <c r="D166" s="686"/>
      <c r="E166" s="686"/>
      <c r="F166" s="686"/>
      <c r="G166" s="687"/>
      <c r="H166" s="686"/>
      <c r="I166" s="687"/>
      <c r="J166" s="686"/>
      <c r="K166" s="686"/>
      <c r="L166" s="686"/>
      <c r="M166" s="686"/>
      <c r="N166" s="686"/>
      <c r="O166" s="687"/>
      <c r="P166" s="686"/>
      <c r="Q166" s="686"/>
      <c r="R166" s="687"/>
      <c r="S166" s="686"/>
      <c r="T166" s="686"/>
      <c r="U166" s="686"/>
      <c r="V166" s="686"/>
      <c r="W166" s="686"/>
    </row>
    <row r="167" ht="13.8" customHeight="1">
      <c r="A167" s="686"/>
      <c r="B167" s="686"/>
      <c r="C167" s="823"/>
      <c r="D167" s="686"/>
      <c r="E167" s="686"/>
      <c r="F167" s="686"/>
      <c r="G167" s="687"/>
      <c r="H167" s="686"/>
      <c r="I167" s="687"/>
      <c r="J167" s="686"/>
      <c r="K167" s="686"/>
      <c r="L167" s="686"/>
      <c r="M167" s="686"/>
      <c r="N167" s="686"/>
      <c r="O167" s="687"/>
      <c r="P167" s="686"/>
      <c r="Q167" s="686"/>
      <c r="R167" s="687"/>
      <c r="S167" s="686"/>
      <c r="T167" s="686"/>
      <c r="U167" s="686"/>
      <c r="V167" s="686"/>
      <c r="W167" s="686"/>
    </row>
    <row r="168" ht="13.8" customHeight="1">
      <c r="A168" s="686"/>
      <c r="B168" s="686"/>
      <c r="C168" s="823"/>
      <c r="D168" s="686"/>
      <c r="E168" s="686"/>
      <c r="F168" s="686"/>
      <c r="G168" s="687"/>
      <c r="H168" s="686"/>
      <c r="I168" s="687"/>
      <c r="J168" s="686"/>
      <c r="K168" s="686"/>
      <c r="L168" s="686"/>
      <c r="M168" s="686"/>
      <c r="N168" s="686"/>
      <c r="O168" s="687"/>
      <c r="P168" s="686"/>
      <c r="Q168" s="686"/>
      <c r="R168" s="687"/>
      <c r="S168" s="686"/>
      <c r="T168" s="686"/>
      <c r="U168" s="686"/>
      <c r="V168" s="686"/>
      <c r="W168" s="686"/>
    </row>
    <row r="169" ht="13.8" customHeight="1">
      <c r="A169" s="686"/>
      <c r="B169" s="686"/>
      <c r="C169" s="823"/>
      <c r="D169" s="686"/>
      <c r="E169" s="686"/>
      <c r="F169" s="686"/>
      <c r="G169" s="687"/>
      <c r="H169" s="686"/>
      <c r="I169" s="687"/>
      <c r="J169" s="686"/>
      <c r="K169" s="686"/>
      <c r="L169" s="686"/>
      <c r="M169" s="686"/>
      <c r="N169" s="686"/>
      <c r="O169" s="687"/>
      <c r="P169" s="686"/>
      <c r="Q169" s="686"/>
      <c r="R169" s="687"/>
      <c r="S169" s="686"/>
      <c r="T169" s="686"/>
      <c r="U169" s="686"/>
      <c r="V169" s="686"/>
      <c r="W169" s="686"/>
    </row>
    <row r="170" ht="13.8" customHeight="1">
      <c r="A170" s="686"/>
      <c r="B170" s="686"/>
      <c r="C170" s="823"/>
      <c r="D170" s="686"/>
      <c r="E170" s="686"/>
      <c r="F170" s="686"/>
      <c r="G170" s="687"/>
      <c r="H170" s="686"/>
      <c r="I170" s="687"/>
      <c r="J170" s="686"/>
      <c r="K170" s="686"/>
      <c r="L170" s="686"/>
      <c r="M170" s="686"/>
      <c r="N170" s="686"/>
      <c r="O170" s="687"/>
      <c r="P170" s="686"/>
      <c r="Q170" s="686"/>
      <c r="R170" s="687"/>
      <c r="S170" s="686"/>
      <c r="T170" s="686"/>
      <c r="U170" s="686"/>
      <c r="V170" s="686"/>
      <c r="W170" s="686"/>
    </row>
    <row r="171" ht="13.8" customHeight="1">
      <c r="A171" s="686"/>
      <c r="B171" s="686"/>
      <c r="C171" s="823"/>
      <c r="D171" s="686"/>
      <c r="E171" s="686"/>
      <c r="F171" s="686"/>
      <c r="G171" s="687"/>
      <c r="H171" s="686"/>
      <c r="I171" s="687"/>
      <c r="J171" s="686"/>
      <c r="K171" s="686"/>
      <c r="L171" s="686"/>
      <c r="M171" s="686"/>
      <c r="N171" s="686"/>
      <c r="O171" s="687"/>
      <c r="P171" s="686"/>
      <c r="Q171" s="686"/>
      <c r="R171" s="687"/>
      <c r="S171" s="686"/>
      <c r="T171" s="686"/>
      <c r="U171" s="686"/>
      <c r="V171" s="686"/>
      <c r="W171" s="686"/>
    </row>
    <row r="172" ht="13.8" customHeight="1">
      <c r="A172" s="686"/>
      <c r="B172" s="686"/>
      <c r="C172" s="823"/>
      <c r="D172" s="686"/>
      <c r="E172" s="686"/>
      <c r="F172" s="686"/>
      <c r="G172" s="687"/>
      <c r="H172" s="686"/>
      <c r="I172" s="687"/>
      <c r="J172" s="686"/>
      <c r="K172" s="686"/>
      <c r="L172" s="686"/>
      <c r="M172" s="686"/>
      <c r="N172" s="686"/>
      <c r="O172" s="687"/>
      <c r="P172" s="686"/>
      <c r="Q172" s="686"/>
      <c r="R172" s="687"/>
      <c r="S172" s="686"/>
      <c r="T172" s="686"/>
      <c r="U172" s="686"/>
      <c r="V172" s="686"/>
      <c r="W172" s="686"/>
    </row>
    <row r="173" ht="13.8" customHeight="1">
      <c r="A173" s="686"/>
      <c r="B173" s="686"/>
      <c r="C173" s="823"/>
      <c r="D173" s="686"/>
      <c r="E173" s="686"/>
      <c r="F173" s="686"/>
      <c r="G173" s="687"/>
      <c r="H173" s="686"/>
      <c r="I173" s="687"/>
      <c r="J173" s="686"/>
      <c r="K173" s="686"/>
      <c r="L173" s="686"/>
      <c r="M173" s="686"/>
      <c r="N173" s="686"/>
      <c r="O173" s="687"/>
      <c r="P173" s="686"/>
      <c r="Q173" s="686"/>
      <c r="R173" s="687"/>
      <c r="S173" s="686"/>
      <c r="T173" s="686"/>
      <c r="U173" s="686"/>
      <c r="V173" s="686"/>
      <c r="W173" s="686"/>
    </row>
    <row r="174" ht="13.8" customHeight="1">
      <c r="A174" s="686"/>
      <c r="B174" s="686"/>
      <c r="C174" s="823"/>
      <c r="D174" s="686"/>
      <c r="E174" s="686"/>
      <c r="F174" s="686"/>
      <c r="G174" s="687"/>
      <c r="H174" s="686"/>
      <c r="I174" s="687"/>
      <c r="J174" s="686"/>
      <c r="K174" s="686"/>
      <c r="L174" s="686"/>
      <c r="M174" s="686"/>
      <c r="N174" s="686"/>
      <c r="O174" s="687"/>
      <c r="P174" s="686"/>
      <c r="Q174" s="686"/>
      <c r="R174" s="687"/>
      <c r="S174" s="686"/>
      <c r="T174" s="686"/>
      <c r="U174" s="686"/>
      <c r="V174" s="686"/>
      <c r="W174" s="686"/>
    </row>
    <row r="175" ht="13.8" customHeight="1">
      <c r="A175" s="686"/>
      <c r="B175" s="686"/>
      <c r="C175" s="823"/>
      <c r="D175" s="686"/>
      <c r="E175" s="686"/>
      <c r="F175" s="686"/>
      <c r="G175" s="687"/>
      <c r="H175" s="686"/>
      <c r="I175" s="687"/>
      <c r="J175" s="686"/>
      <c r="K175" s="686"/>
      <c r="L175" s="686"/>
      <c r="M175" s="686"/>
      <c r="N175" s="686"/>
      <c r="O175" s="687"/>
      <c r="P175" s="686"/>
      <c r="Q175" s="686"/>
      <c r="R175" s="687"/>
      <c r="S175" s="686"/>
      <c r="T175" s="686"/>
      <c r="U175" s="686"/>
      <c r="V175" s="686"/>
      <c r="W175" s="686"/>
    </row>
    <row r="176" ht="13.8" customHeight="1">
      <c r="A176" s="686"/>
      <c r="B176" s="686"/>
      <c r="C176" s="823"/>
      <c r="D176" s="686"/>
      <c r="E176" s="686"/>
      <c r="F176" s="686"/>
      <c r="G176" s="687"/>
      <c r="H176" s="686"/>
      <c r="I176" s="687"/>
      <c r="J176" s="686"/>
      <c r="K176" s="686"/>
      <c r="L176" s="686"/>
      <c r="M176" s="686"/>
      <c r="N176" s="686"/>
      <c r="O176" s="687"/>
      <c r="P176" s="686"/>
      <c r="Q176" s="686"/>
      <c r="R176" s="687"/>
      <c r="S176" s="686"/>
      <c r="T176" s="686"/>
      <c r="U176" s="686"/>
      <c r="V176" s="686"/>
      <c r="W176" s="686"/>
    </row>
    <row r="177" ht="13.8" customHeight="1">
      <c r="A177" s="686"/>
      <c r="B177" s="686"/>
      <c r="C177" s="823"/>
      <c r="D177" s="686"/>
      <c r="E177" s="686"/>
      <c r="F177" s="686"/>
      <c r="G177" s="687"/>
      <c r="H177" s="686"/>
      <c r="I177" s="687"/>
      <c r="J177" s="686"/>
      <c r="K177" s="686"/>
      <c r="L177" s="686"/>
      <c r="M177" s="686"/>
      <c r="N177" s="686"/>
      <c r="O177" s="687"/>
      <c r="P177" s="686"/>
      <c r="Q177" s="686"/>
      <c r="R177" s="687"/>
      <c r="S177" s="686"/>
      <c r="T177" s="686"/>
      <c r="U177" s="686"/>
      <c r="V177" s="686"/>
      <c r="W177" s="686"/>
    </row>
    <row r="178" ht="13.8" customHeight="1">
      <c r="A178" s="686"/>
      <c r="B178" s="686"/>
      <c r="C178" s="823"/>
      <c r="D178" s="686"/>
      <c r="E178" s="686"/>
      <c r="F178" s="686"/>
      <c r="G178" s="687"/>
      <c r="H178" s="686"/>
      <c r="I178" s="687"/>
      <c r="J178" s="686"/>
      <c r="K178" s="686"/>
      <c r="L178" s="686"/>
      <c r="M178" s="686"/>
      <c r="N178" s="686"/>
      <c r="O178" s="687"/>
      <c r="P178" s="686"/>
      <c r="Q178" s="686"/>
      <c r="R178" s="687"/>
      <c r="S178" s="686"/>
      <c r="T178" s="686"/>
      <c r="U178" s="686"/>
      <c r="V178" s="686"/>
      <c r="W178" s="686"/>
    </row>
    <row r="179" ht="13.8" customHeight="1">
      <c r="A179" s="686"/>
      <c r="B179" s="686"/>
      <c r="C179" s="823"/>
      <c r="D179" s="686"/>
      <c r="E179" s="686"/>
      <c r="F179" s="686"/>
      <c r="G179" s="687"/>
      <c r="H179" s="686"/>
      <c r="I179" s="687"/>
      <c r="J179" s="686"/>
      <c r="K179" s="686"/>
      <c r="L179" s="686"/>
      <c r="M179" s="686"/>
      <c r="N179" s="686"/>
      <c r="O179" s="687"/>
      <c r="P179" s="686"/>
      <c r="Q179" s="686"/>
      <c r="R179" s="687"/>
      <c r="S179" s="686"/>
      <c r="T179" s="686"/>
      <c r="U179" s="686"/>
      <c r="V179" s="686"/>
      <c r="W179" s="686"/>
    </row>
    <row r="180" ht="13.8" customHeight="1">
      <c r="A180" s="686"/>
      <c r="B180" s="686"/>
      <c r="C180" s="823"/>
      <c r="D180" s="686"/>
      <c r="E180" s="686"/>
      <c r="F180" s="686"/>
      <c r="G180" s="687"/>
      <c r="H180" s="686"/>
      <c r="I180" s="687"/>
      <c r="J180" s="686"/>
      <c r="K180" s="686"/>
      <c r="L180" s="686"/>
      <c r="M180" s="686"/>
      <c r="N180" s="686"/>
      <c r="O180" s="687"/>
      <c r="P180" s="686"/>
      <c r="Q180" s="686"/>
      <c r="R180" s="687"/>
      <c r="S180" s="686"/>
      <c r="T180" s="686"/>
      <c r="U180" s="686"/>
      <c r="V180" s="686"/>
      <c r="W180" s="686"/>
    </row>
    <row r="181" ht="13.8" customHeight="1">
      <c r="A181" s="686"/>
      <c r="B181" s="686"/>
      <c r="C181" s="823"/>
      <c r="D181" s="686"/>
      <c r="E181" s="686"/>
      <c r="F181" s="686"/>
      <c r="G181" s="687"/>
      <c r="H181" s="686"/>
      <c r="I181" s="687"/>
      <c r="J181" s="686"/>
      <c r="K181" s="686"/>
      <c r="L181" s="686"/>
      <c r="M181" s="686"/>
      <c r="N181" s="686"/>
      <c r="O181" s="687"/>
      <c r="P181" s="686"/>
      <c r="Q181" s="686"/>
      <c r="R181" s="687"/>
      <c r="S181" s="686"/>
      <c r="T181" s="686"/>
      <c r="U181" s="686"/>
      <c r="V181" s="686"/>
      <c r="W181" s="686"/>
    </row>
    <row r="182" ht="13.8" customHeight="1">
      <c r="A182" s="686"/>
      <c r="B182" s="686"/>
      <c r="C182" s="823"/>
      <c r="D182" s="686"/>
      <c r="E182" s="686"/>
      <c r="F182" s="686"/>
      <c r="G182" s="687"/>
      <c r="H182" s="686"/>
      <c r="I182" s="687"/>
      <c r="J182" s="686"/>
      <c r="K182" s="686"/>
      <c r="L182" s="686"/>
      <c r="M182" s="686"/>
      <c r="N182" s="686"/>
      <c r="O182" s="687"/>
      <c r="P182" s="686"/>
      <c r="Q182" s="686"/>
      <c r="R182" s="687"/>
      <c r="S182" s="686"/>
      <c r="T182" s="686"/>
      <c r="U182" s="686"/>
      <c r="V182" s="686"/>
      <c r="W182" s="686"/>
    </row>
    <row r="183" ht="13.8" customHeight="1">
      <c r="A183" s="686"/>
      <c r="B183" s="686"/>
      <c r="C183" s="823"/>
      <c r="D183" s="686"/>
      <c r="E183" s="686"/>
      <c r="F183" s="686"/>
      <c r="G183" s="687"/>
      <c r="H183" s="686"/>
      <c r="I183" s="687"/>
      <c r="J183" s="686"/>
      <c r="K183" s="686"/>
      <c r="L183" s="686"/>
      <c r="M183" s="686"/>
      <c r="N183" s="686"/>
      <c r="O183" s="687"/>
      <c r="P183" s="686"/>
      <c r="Q183" s="686"/>
      <c r="R183" s="687"/>
      <c r="S183" s="686"/>
      <c r="T183" s="686"/>
      <c r="U183" s="686"/>
      <c r="V183" s="686"/>
      <c r="W183" s="686"/>
    </row>
    <row r="184" ht="13.8" customHeight="1">
      <c r="A184" s="686"/>
      <c r="B184" s="686"/>
      <c r="C184" s="823"/>
      <c r="D184" s="686"/>
      <c r="E184" s="686"/>
      <c r="F184" s="686"/>
      <c r="G184" s="687"/>
      <c r="H184" s="686"/>
      <c r="I184" s="687"/>
      <c r="J184" s="686"/>
      <c r="K184" s="686"/>
      <c r="L184" s="686"/>
      <c r="M184" s="686"/>
      <c r="N184" s="686"/>
      <c r="O184" s="687"/>
      <c r="P184" s="686"/>
      <c r="Q184" s="686"/>
      <c r="R184" s="687"/>
      <c r="S184" s="686"/>
      <c r="T184" s="686"/>
      <c r="U184" s="686"/>
      <c r="V184" s="686"/>
      <c r="W184" s="686"/>
    </row>
    <row r="185" ht="13.8" customHeight="1">
      <c r="A185" s="686"/>
      <c r="B185" s="686"/>
      <c r="C185" s="823"/>
      <c r="D185" s="686"/>
      <c r="E185" s="686"/>
      <c r="F185" s="686"/>
      <c r="G185" s="687"/>
      <c r="H185" s="686"/>
      <c r="I185" s="687"/>
      <c r="J185" s="686"/>
      <c r="K185" s="686"/>
      <c r="L185" s="686"/>
      <c r="M185" s="686"/>
      <c r="N185" s="686"/>
      <c r="O185" s="687"/>
      <c r="P185" s="686"/>
      <c r="Q185" s="686"/>
      <c r="R185" s="687"/>
      <c r="S185" s="686"/>
      <c r="T185" s="686"/>
      <c r="U185" s="686"/>
      <c r="V185" s="686"/>
      <c r="W185" s="686"/>
    </row>
    <row r="186" ht="13.8" customHeight="1">
      <c r="A186" s="686"/>
      <c r="B186" s="686"/>
      <c r="C186" s="823"/>
      <c r="D186" s="686"/>
      <c r="E186" s="686"/>
      <c r="F186" s="686"/>
      <c r="G186" s="687"/>
      <c r="H186" s="686"/>
      <c r="I186" s="687"/>
      <c r="J186" s="686"/>
      <c r="K186" s="686"/>
      <c r="L186" s="686"/>
      <c r="M186" s="686"/>
      <c r="N186" s="686"/>
      <c r="O186" s="687"/>
      <c r="P186" s="686"/>
      <c r="Q186" s="686"/>
      <c r="R186" s="687"/>
      <c r="S186" s="686"/>
      <c r="T186" s="686"/>
      <c r="U186" s="686"/>
      <c r="V186" s="686"/>
      <c r="W186" s="686"/>
    </row>
    <row r="187" ht="13.8" customHeight="1">
      <c r="A187" s="686"/>
      <c r="B187" s="686"/>
      <c r="C187" s="823"/>
      <c r="D187" s="686"/>
      <c r="E187" s="686"/>
      <c r="F187" s="686"/>
      <c r="G187" s="687"/>
      <c r="H187" s="686"/>
      <c r="I187" s="687"/>
      <c r="J187" s="686"/>
      <c r="K187" s="686"/>
      <c r="L187" s="686"/>
      <c r="M187" s="686"/>
      <c r="N187" s="686"/>
      <c r="O187" s="687"/>
      <c r="P187" s="686"/>
      <c r="Q187" s="686"/>
      <c r="R187" s="687"/>
      <c r="S187" s="686"/>
      <c r="T187" s="686"/>
      <c r="U187" s="686"/>
      <c r="V187" s="686"/>
      <c r="W187" s="686"/>
    </row>
    <row r="188" ht="13.8" customHeight="1">
      <c r="A188" s="686"/>
      <c r="B188" s="686"/>
      <c r="C188" s="823"/>
      <c r="D188" s="686"/>
      <c r="E188" s="686"/>
      <c r="F188" s="686"/>
      <c r="G188" s="687"/>
      <c r="H188" s="686"/>
      <c r="I188" s="687"/>
      <c r="J188" s="686"/>
      <c r="K188" s="686"/>
      <c r="L188" s="686"/>
      <c r="M188" s="686"/>
      <c r="N188" s="686"/>
      <c r="O188" s="687"/>
      <c r="P188" s="686"/>
      <c r="Q188" s="686"/>
      <c r="R188" s="687"/>
      <c r="S188" s="686"/>
      <c r="T188" s="686"/>
      <c r="U188" s="686"/>
      <c r="V188" s="686"/>
      <c r="W188" s="686"/>
    </row>
    <row r="189" ht="13.8" customHeight="1">
      <c r="A189" s="686"/>
      <c r="B189" s="686"/>
      <c r="C189" s="823"/>
      <c r="D189" s="686"/>
      <c r="E189" s="686"/>
      <c r="F189" s="686"/>
      <c r="G189" s="687"/>
      <c r="H189" s="686"/>
      <c r="I189" s="687"/>
      <c r="J189" s="686"/>
      <c r="K189" s="686"/>
      <c r="L189" s="686"/>
      <c r="M189" s="686"/>
      <c r="N189" s="686"/>
      <c r="O189" s="687"/>
      <c r="P189" s="686"/>
      <c r="Q189" s="686"/>
      <c r="R189" s="687"/>
      <c r="S189" s="686"/>
      <c r="T189" s="686"/>
      <c r="U189" s="686"/>
      <c r="V189" s="686"/>
      <c r="W189" s="686"/>
    </row>
    <row r="190" ht="13.8" customHeight="1">
      <c r="A190" s="686"/>
      <c r="B190" s="686"/>
      <c r="C190" s="823"/>
      <c r="D190" s="686"/>
      <c r="E190" s="686"/>
      <c r="F190" s="686"/>
      <c r="G190" s="687"/>
      <c r="H190" s="686"/>
      <c r="I190" s="687"/>
      <c r="J190" s="686"/>
      <c r="K190" s="686"/>
      <c r="L190" s="686"/>
      <c r="M190" s="686"/>
      <c r="N190" s="686"/>
      <c r="O190" s="687"/>
      <c r="P190" s="686"/>
      <c r="Q190" s="686"/>
      <c r="R190" s="687"/>
      <c r="S190" s="686"/>
      <c r="T190" s="686"/>
      <c r="U190" s="686"/>
      <c r="V190" s="686"/>
      <c r="W190" s="686"/>
    </row>
    <row r="191" ht="13.8" customHeight="1">
      <c r="A191" s="686"/>
      <c r="B191" s="686"/>
      <c r="C191" s="823"/>
      <c r="D191" s="686"/>
      <c r="E191" s="686"/>
      <c r="F191" s="686"/>
      <c r="G191" s="687"/>
      <c r="H191" s="686"/>
      <c r="I191" s="687"/>
      <c r="J191" s="686"/>
      <c r="K191" s="686"/>
      <c r="L191" s="686"/>
      <c r="M191" s="686"/>
      <c r="N191" s="686"/>
      <c r="O191" s="687"/>
      <c r="P191" s="686"/>
      <c r="Q191" s="686"/>
      <c r="R191" s="687"/>
      <c r="S191" s="686"/>
      <c r="T191" s="686"/>
      <c r="U191" s="686"/>
      <c r="V191" s="686"/>
      <c r="W191" s="686"/>
    </row>
    <row r="192" ht="13.8" customHeight="1">
      <c r="A192" s="686"/>
      <c r="B192" s="686"/>
      <c r="C192" s="823"/>
      <c r="D192" s="686"/>
      <c r="E192" s="686"/>
      <c r="F192" s="686"/>
      <c r="G192" s="687"/>
      <c r="H192" s="686"/>
      <c r="I192" s="687"/>
      <c r="J192" s="686"/>
      <c r="K192" s="686"/>
      <c r="L192" s="686"/>
      <c r="M192" s="686"/>
      <c r="N192" s="686"/>
      <c r="O192" s="687"/>
      <c r="P192" s="686"/>
      <c r="Q192" s="686"/>
      <c r="R192" s="687"/>
      <c r="S192" s="686"/>
      <c r="T192" s="686"/>
      <c r="U192" s="686"/>
      <c r="V192" s="686"/>
      <c r="W192" s="686"/>
    </row>
    <row r="193" ht="13.8" customHeight="1">
      <c r="A193" s="686"/>
      <c r="B193" s="686"/>
      <c r="C193" s="823"/>
      <c r="D193" s="686"/>
      <c r="E193" s="686"/>
      <c r="F193" s="686"/>
      <c r="G193" s="687"/>
      <c r="H193" s="686"/>
      <c r="I193" s="687"/>
      <c r="J193" s="686"/>
      <c r="K193" s="686"/>
      <c r="L193" s="686"/>
      <c r="M193" s="686"/>
      <c r="N193" s="686"/>
      <c r="O193" s="687"/>
      <c r="P193" s="686"/>
      <c r="Q193" s="686"/>
      <c r="R193" s="687"/>
      <c r="S193" s="686"/>
      <c r="T193" s="686"/>
      <c r="U193" s="686"/>
      <c r="V193" s="686"/>
      <c r="W193" s="686"/>
    </row>
    <row r="194" ht="13.8" customHeight="1">
      <c r="A194" s="686"/>
      <c r="B194" s="686"/>
      <c r="C194" s="823"/>
      <c r="D194" s="686"/>
      <c r="E194" s="686"/>
      <c r="F194" s="686"/>
      <c r="G194" s="687"/>
      <c r="H194" s="686"/>
      <c r="I194" s="687"/>
      <c r="J194" s="686"/>
      <c r="K194" s="686"/>
      <c r="L194" s="686"/>
      <c r="M194" s="686"/>
      <c r="N194" s="686"/>
      <c r="O194" s="687"/>
      <c r="P194" s="686"/>
      <c r="Q194" s="686"/>
      <c r="R194" s="687"/>
      <c r="S194" s="686"/>
      <c r="T194" s="686"/>
      <c r="U194" s="686"/>
      <c r="V194" s="686"/>
      <c r="W194" s="686"/>
    </row>
    <row r="195" ht="13.8" customHeight="1">
      <c r="A195" s="686"/>
      <c r="B195" s="686"/>
      <c r="C195" s="823"/>
      <c r="D195" s="686"/>
      <c r="E195" s="686"/>
      <c r="F195" s="686"/>
      <c r="G195" s="687"/>
      <c r="H195" s="686"/>
      <c r="I195" s="687"/>
      <c r="J195" s="686"/>
      <c r="K195" s="686"/>
      <c r="L195" s="686"/>
      <c r="M195" s="686"/>
      <c r="N195" s="686"/>
      <c r="O195" s="687"/>
      <c r="P195" s="686"/>
      <c r="Q195" s="686"/>
      <c r="R195" s="687"/>
      <c r="S195" s="686"/>
      <c r="T195" s="686"/>
      <c r="U195" s="686"/>
      <c r="V195" s="686"/>
      <c r="W195" s="686"/>
    </row>
    <row r="196" ht="13.8" customHeight="1">
      <c r="A196" s="686"/>
      <c r="B196" s="686"/>
      <c r="C196" s="823"/>
      <c r="D196" s="686"/>
      <c r="E196" s="686"/>
      <c r="F196" s="686"/>
      <c r="G196" s="687"/>
      <c r="H196" s="686"/>
      <c r="I196" s="687"/>
      <c r="J196" s="686"/>
      <c r="K196" s="686"/>
      <c r="L196" s="686"/>
      <c r="M196" s="686"/>
      <c r="N196" s="686"/>
      <c r="O196" s="687"/>
      <c r="P196" s="686"/>
      <c r="Q196" s="686"/>
      <c r="R196" s="687"/>
      <c r="S196" s="686"/>
      <c r="T196" s="686"/>
      <c r="U196" s="686"/>
      <c r="V196" s="686"/>
      <c r="W196" s="686"/>
    </row>
    <row r="197" ht="13.8" customHeight="1">
      <c r="A197" s="686"/>
      <c r="B197" s="686"/>
      <c r="C197" s="823"/>
      <c r="D197" s="686"/>
      <c r="E197" s="686"/>
      <c r="F197" s="686"/>
      <c r="G197" s="687"/>
      <c r="H197" s="686"/>
      <c r="I197" s="687"/>
      <c r="J197" s="686"/>
      <c r="K197" s="686"/>
      <c r="L197" s="686"/>
      <c r="M197" s="686"/>
      <c r="N197" s="686"/>
      <c r="O197" s="687"/>
      <c r="P197" s="686"/>
      <c r="Q197" s="686"/>
      <c r="R197" s="687"/>
      <c r="S197" s="686"/>
      <c r="T197" s="686"/>
      <c r="U197" s="686"/>
      <c r="V197" s="686"/>
      <c r="W197" s="686"/>
    </row>
    <row r="198" ht="13.8" customHeight="1">
      <c r="A198" s="686"/>
      <c r="B198" s="686"/>
      <c r="C198" s="823"/>
      <c r="D198" s="686"/>
      <c r="E198" s="686"/>
      <c r="F198" s="686"/>
      <c r="G198" s="687"/>
      <c r="H198" s="686"/>
      <c r="I198" s="687"/>
      <c r="J198" s="686"/>
      <c r="K198" s="686"/>
      <c r="L198" s="686"/>
      <c r="M198" s="686"/>
      <c r="N198" s="686"/>
      <c r="O198" s="687"/>
      <c r="P198" s="686"/>
      <c r="Q198" s="686"/>
      <c r="R198" s="687"/>
      <c r="S198" s="686"/>
      <c r="T198" s="686"/>
      <c r="U198" s="686"/>
      <c r="V198" s="686"/>
      <c r="W198" s="686"/>
    </row>
    <row r="199" ht="13.8" customHeight="1">
      <c r="A199" s="686"/>
      <c r="B199" s="686"/>
      <c r="C199" s="823"/>
      <c r="D199" s="686"/>
      <c r="E199" s="686"/>
      <c r="F199" s="686"/>
      <c r="G199" s="687"/>
      <c r="H199" s="686"/>
      <c r="I199" s="687"/>
      <c r="J199" s="686"/>
      <c r="K199" s="686"/>
      <c r="L199" s="686"/>
      <c r="M199" s="686"/>
      <c r="N199" s="686"/>
      <c r="O199" s="687"/>
      <c r="P199" s="686"/>
      <c r="Q199" s="686"/>
      <c r="R199" s="687"/>
      <c r="S199" s="686"/>
      <c r="T199" s="686"/>
      <c r="U199" s="686"/>
      <c r="V199" s="686"/>
      <c r="W199" s="686"/>
    </row>
    <row r="200" ht="13.8" customHeight="1">
      <c r="A200" s="686"/>
      <c r="B200" s="686"/>
      <c r="C200" s="823"/>
      <c r="D200" s="686"/>
      <c r="E200" s="686"/>
      <c r="F200" s="686"/>
      <c r="G200" s="687"/>
      <c r="H200" s="686"/>
      <c r="I200" s="687"/>
      <c r="J200" s="686"/>
      <c r="K200" s="686"/>
      <c r="L200" s="686"/>
      <c r="M200" s="686"/>
      <c r="N200" s="686"/>
      <c r="O200" s="687"/>
      <c r="P200" s="686"/>
      <c r="Q200" s="686"/>
      <c r="R200" s="687"/>
      <c r="S200" s="686"/>
      <c r="T200" s="686"/>
      <c r="U200" s="686"/>
      <c r="V200" s="686"/>
      <c r="W200" s="686"/>
    </row>
    <row r="201" ht="13.8" customHeight="1">
      <c r="A201" s="686"/>
      <c r="B201" s="686"/>
      <c r="C201" s="823"/>
      <c r="D201" s="686"/>
      <c r="E201" s="686"/>
      <c r="F201" s="686"/>
      <c r="G201" s="687"/>
      <c r="H201" s="686"/>
      <c r="I201" s="687"/>
      <c r="J201" s="686"/>
      <c r="K201" s="686"/>
      <c r="L201" s="686"/>
      <c r="M201" s="686"/>
      <c r="N201" s="686"/>
      <c r="O201" s="687"/>
      <c r="P201" s="686"/>
      <c r="Q201" s="686"/>
      <c r="R201" s="687"/>
      <c r="S201" s="686"/>
      <c r="T201" s="686"/>
      <c r="U201" s="686"/>
      <c r="V201" s="686"/>
      <c r="W201" s="686"/>
    </row>
    <row r="202" ht="13.8" customHeight="1">
      <c r="A202" s="686"/>
      <c r="B202" s="686"/>
      <c r="C202" s="823"/>
      <c r="D202" s="686"/>
      <c r="E202" s="686"/>
      <c r="F202" s="686"/>
      <c r="G202" s="687"/>
      <c r="H202" s="686"/>
      <c r="I202" s="687"/>
      <c r="J202" s="686"/>
      <c r="K202" s="686"/>
      <c r="L202" s="686"/>
      <c r="M202" s="686"/>
      <c r="N202" s="686"/>
      <c r="O202" s="687"/>
      <c r="P202" s="686"/>
      <c r="Q202" s="686"/>
      <c r="R202" s="687"/>
      <c r="S202" s="686"/>
      <c r="T202" s="686"/>
      <c r="U202" s="686"/>
      <c r="V202" s="686"/>
      <c r="W202" s="686"/>
    </row>
    <row r="203" ht="13.8" customHeight="1">
      <c r="A203" s="686"/>
      <c r="B203" s="686"/>
      <c r="C203" s="823"/>
      <c r="D203" s="686"/>
      <c r="E203" s="686"/>
      <c r="F203" s="686"/>
      <c r="G203" s="687"/>
      <c r="H203" s="686"/>
      <c r="I203" s="687"/>
      <c r="J203" s="686"/>
      <c r="K203" s="686"/>
      <c r="L203" s="686"/>
      <c r="M203" s="686"/>
      <c r="N203" s="686"/>
      <c r="O203" s="687"/>
      <c r="P203" s="686"/>
      <c r="Q203" s="686"/>
      <c r="R203" s="687"/>
      <c r="S203" s="686"/>
      <c r="T203" s="686"/>
      <c r="U203" s="686"/>
      <c r="V203" s="686"/>
      <c r="W203" s="686"/>
    </row>
    <row r="204" ht="13.8" customHeight="1">
      <c r="A204" s="686"/>
      <c r="B204" s="686"/>
      <c r="C204" s="823"/>
      <c r="D204" s="686"/>
      <c r="E204" s="686"/>
      <c r="F204" s="686"/>
      <c r="G204" s="687"/>
      <c r="H204" s="686"/>
      <c r="I204" s="687"/>
      <c r="J204" s="686"/>
      <c r="K204" s="686"/>
      <c r="L204" s="686"/>
      <c r="M204" s="686"/>
      <c r="N204" s="686"/>
      <c r="O204" s="687"/>
      <c r="P204" s="686"/>
      <c r="Q204" s="686"/>
      <c r="R204" s="687"/>
      <c r="S204" s="686"/>
      <c r="T204" s="686"/>
      <c r="U204" s="686"/>
      <c r="V204" s="686"/>
      <c r="W204" s="686"/>
    </row>
    <row r="205" ht="13.8" customHeight="1">
      <c r="A205" s="686"/>
      <c r="B205" s="686"/>
      <c r="C205" s="823"/>
      <c r="D205" s="686"/>
      <c r="E205" s="686"/>
      <c r="F205" s="686"/>
      <c r="G205" s="687"/>
      <c r="H205" s="686"/>
      <c r="I205" s="687"/>
      <c r="J205" s="686"/>
      <c r="K205" s="686"/>
      <c r="L205" s="686"/>
      <c r="M205" s="686"/>
      <c r="N205" s="686"/>
      <c r="O205" s="687"/>
      <c r="P205" s="686"/>
      <c r="Q205" s="686"/>
      <c r="R205" s="687"/>
      <c r="S205" s="686"/>
      <c r="T205" s="686"/>
      <c r="U205" s="686"/>
      <c r="V205" s="686"/>
      <c r="W205" s="686"/>
    </row>
    <row r="206" ht="13.8" customHeight="1">
      <c r="A206" s="686"/>
      <c r="B206" s="686"/>
      <c r="C206" s="823"/>
      <c r="D206" s="686"/>
      <c r="E206" s="686"/>
      <c r="F206" s="686"/>
      <c r="G206" s="687"/>
      <c r="H206" s="686"/>
      <c r="I206" s="687"/>
      <c r="J206" s="686"/>
      <c r="K206" s="686"/>
      <c r="L206" s="686"/>
      <c r="M206" s="686"/>
      <c r="N206" s="686"/>
      <c r="O206" s="687"/>
      <c r="P206" s="686"/>
      <c r="Q206" s="686"/>
      <c r="R206" s="687"/>
      <c r="S206" s="686"/>
      <c r="T206" s="686"/>
      <c r="U206" s="686"/>
      <c r="V206" s="686"/>
      <c r="W206" s="686"/>
    </row>
    <row r="207" ht="13.8" customHeight="1">
      <c r="A207" s="686"/>
      <c r="B207" s="686"/>
      <c r="C207" s="823"/>
      <c r="D207" s="686"/>
      <c r="E207" s="686"/>
      <c r="F207" s="686"/>
      <c r="G207" s="687"/>
      <c r="H207" s="686"/>
      <c r="I207" s="687"/>
      <c r="J207" s="686"/>
      <c r="K207" s="686"/>
      <c r="L207" s="686"/>
      <c r="M207" s="686"/>
      <c r="N207" s="686"/>
      <c r="O207" s="687"/>
      <c r="P207" s="686"/>
      <c r="Q207" s="686"/>
      <c r="R207" s="687"/>
      <c r="S207" s="686"/>
      <c r="T207" s="686"/>
      <c r="U207" s="686"/>
      <c r="V207" s="686"/>
      <c r="W207" s="686"/>
    </row>
    <row r="208" ht="13.8" customHeight="1">
      <c r="A208" s="686"/>
      <c r="B208" s="686"/>
      <c r="C208" s="823"/>
      <c r="D208" s="686"/>
      <c r="E208" s="686"/>
      <c r="F208" s="686"/>
      <c r="G208" s="687"/>
      <c r="H208" s="686"/>
      <c r="I208" s="687"/>
      <c r="J208" s="686"/>
      <c r="K208" s="686"/>
      <c r="L208" s="686"/>
      <c r="M208" s="686"/>
      <c r="N208" s="686"/>
      <c r="O208" s="687"/>
      <c r="P208" s="686"/>
      <c r="Q208" s="686"/>
      <c r="R208" s="687"/>
      <c r="S208" s="686"/>
      <c r="T208" s="686"/>
      <c r="U208" s="686"/>
      <c r="V208" s="686"/>
      <c r="W208" s="686"/>
    </row>
    <row r="209" ht="13.8" customHeight="1">
      <c r="A209" s="686"/>
      <c r="B209" s="686"/>
      <c r="C209" s="823"/>
      <c r="D209" s="686"/>
      <c r="E209" s="686"/>
      <c r="F209" s="686"/>
      <c r="G209" s="687"/>
      <c r="H209" s="686"/>
      <c r="I209" s="687"/>
      <c r="J209" s="686"/>
      <c r="K209" s="686"/>
      <c r="L209" s="686"/>
      <c r="M209" s="686"/>
      <c r="N209" s="686"/>
      <c r="O209" s="687"/>
      <c r="P209" s="686"/>
      <c r="Q209" s="686"/>
      <c r="R209" s="687"/>
      <c r="S209" s="686"/>
      <c r="T209" s="686"/>
      <c r="U209" s="686"/>
      <c r="V209" s="686"/>
      <c r="W209" s="686"/>
    </row>
    <row r="210" ht="13.8" customHeight="1">
      <c r="A210" s="686"/>
      <c r="B210" s="686"/>
      <c r="C210" s="823"/>
      <c r="D210" s="686"/>
      <c r="E210" s="686"/>
      <c r="F210" s="686"/>
      <c r="G210" s="687"/>
      <c r="H210" s="686"/>
      <c r="I210" s="687"/>
      <c r="J210" s="686"/>
      <c r="K210" s="686"/>
      <c r="L210" s="686"/>
      <c r="M210" s="686"/>
      <c r="N210" s="686"/>
      <c r="O210" s="687"/>
      <c r="P210" s="686"/>
      <c r="Q210" s="686"/>
      <c r="R210" s="687"/>
      <c r="S210" s="686"/>
      <c r="T210" s="686"/>
      <c r="U210" s="686"/>
      <c r="V210" s="686"/>
      <c r="W210" s="686"/>
    </row>
    <row r="211" ht="13.8" customHeight="1">
      <c r="A211" s="686"/>
      <c r="B211" s="686"/>
      <c r="C211" s="823"/>
      <c r="D211" s="686"/>
      <c r="E211" s="686"/>
      <c r="F211" s="686"/>
      <c r="G211" s="687"/>
      <c r="H211" s="686"/>
      <c r="I211" s="687"/>
      <c r="J211" s="686"/>
      <c r="K211" s="686"/>
      <c r="L211" s="686"/>
      <c r="M211" s="686"/>
      <c r="N211" s="686"/>
      <c r="O211" s="687"/>
      <c r="P211" s="686"/>
      <c r="Q211" s="686"/>
      <c r="R211" s="687"/>
      <c r="S211" s="686"/>
      <c r="T211" s="686"/>
      <c r="U211" s="686"/>
      <c r="V211" s="686"/>
      <c r="W211" s="686"/>
    </row>
    <row r="212" ht="13.8" customHeight="1">
      <c r="A212" s="686"/>
      <c r="B212" s="686"/>
      <c r="C212" s="823"/>
      <c r="D212" s="686"/>
      <c r="E212" s="686"/>
      <c r="F212" s="686"/>
      <c r="G212" s="687"/>
      <c r="H212" s="686"/>
      <c r="I212" s="687"/>
      <c r="J212" s="686"/>
      <c r="K212" s="686"/>
      <c r="L212" s="686"/>
      <c r="M212" s="686"/>
      <c r="N212" s="686"/>
      <c r="O212" s="687"/>
      <c r="P212" s="686"/>
      <c r="Q212" s="686"/>
      <c r="R212" s="687"/>
      <c r="S212" s="686"/>
      <c r="T212" s="686"/>
      <c r="U212" s="686"/>
      <c r="V212" s="686"/>
      <c r="W212" s="686"/>
    </row>
    <row r="213" ht="13.8" customHeight="1">
      <c r="A213" s="686"/>
      <c r="B213" s="686"/>
      <c r="C213" s="823"/>
      <c r="D213" s="686"/>
      <c r="E213" s="686"/>
      <c r="F213" s="686"/>
      <c r="G213" s="687"/>
      <c r="H213" s="686"/>
      <c r="I213" s="687"/>
      <c r="J213" s="686"/>
      <c r="K213" s="686"/>
      <c r="L213" s="686"/>
      <c r="M213" s="686"/>
      <c r="N213" s="686"/>
      <c r="O213" s="687"/>
      <c r="P213" s="686"/>
      <c r="Q213" s="686"/>
      <c r="R213" s="687"/>
      <c r="S213" s="686"/>
      <c r="T213" s="686"/>
      <c r="U213" s="686"/>
      <c r="V213" s="686"/>
      <c r="W213" s="686"/>
    </row>
    <row r="214" ht="13.8" customHeight="1">
      <c r="A214" s="686"/>
      <c r="B214" s="686"/>
      <c r="C214" s="823"/>
      <c r="D214" s="686"/>
      <c r="E214" s="686"/>
      <c r="F214" s="686"/>
      <c r="G214" s="687"/>
      <c r="H214" s="686"/>
      <c r="I214" s="687"/>
      <c r="J214" s="686"/>
      <c r="K214" s="686"/>
      <c r="L214" s="686"/>
      <c r="M214" s="686"/>
      <c r="N214" s="686"/>
      <c r="O214" s="687"/>
      <c r="P214" s="686"/>
      <c r="Q214" s="686"/>
      <c r="R214" s="687"/>
      <c r="S214" s="686"/>
      <c r="T214" s="686"/>
      <c r="U214" s="686"/>
      <c r="V214" s="686"/>
      <c r="W214" s="686"/>
    </row>
    <row r="215" ht="13.8" customHeight="1">
      <c r="A215" s="686"/>
      <c r="B215" s="686"/>
      <c r="C215" s="823"/>
      <c r="D215" s="686"/>
      <c r="E215" s="686"/>
      <c r="F215" s="686"/>
      <c r="G215" s="687"/>
      <c r="H215" s="686"/>
      <c r="I215" s="687"/>
      <c r="J215" s="686"/>
      <c r="K215" s="686"/>
      <c r="L215" s="686"/>
      <c r="M215" s="686"/>
      <c r="N215" s="686"/>
      <c r="O215" s="687"/>
      <c r="P215" s="686"/>
      <c r="Q215" s="686"/>
      <c r="R215" s="687"/>
      <c r="S215" s="686"/>
      <c r="T215" s="686"/>
      <c r="U215" s="686"/>
      <c r="V215" s="686"/>
      <c r="W215" s="686"/>
    </row>
    <row r="216" ht="13.8" customHeight="1">
      <c r="A216" s="686"/>
      <c r="B216" s="686"/>
      <c r="C216" s="823"/>
      <c r="D216" s="686"/>
      <c r="E216" s="686"/>
      <c r="F216" s="686"/>
      <c r="G216" s="687"/>
      <c r="H216" s="686"/>
      <c r="I216" s="687"/>
      <c r="J216" s="686"/>
      <c r="K216" s="686"/>
      <c r="L216" s="686"/>
      <c r="M216" s="686"/>
      <c r="N216" s="686"/>
      <c r="O216" s="687"/>
      <c r="P216" s="686"/>
      <c r="Q216" s="686"/>
      <c r="R216" s="687"/>
      <c r="S216" s="686"/>
      <c r="T216" s="686"/>
      <c r="U216" s="686"/>
      <c r="V216" s="686"/>
      <c r="W216" s="686"/>
    </row>
    <row r="217" ht="13.8" customHeight="1">
      <c r="A217" s="686"/>
      <c r="B217" s="686"/>
      <c r="C217" s="823"/>
      <c r="D217" s="686"/>
      <c r="E217" s="686"/>
      <c r="F217" s="686"/>
      <c r="G217" s="687"/>
      <c r="H217" s="686"/>
      <c r="I217" s="687"/>
      <c r="J217" s="686"/>
      <c r="K217" s="686"/>
      <c r="L217" s="686"/>
      <c r="M217" s="686"/>
      <c r="N217" s="686"/>
      <c r="O217" s="687"/>
      <c r="P217" s="686"/>
      <c r="Q217" s="686"/>
      <c r="R217" s="687"/>
      <c r="S217" s="686"/>
      <c r="T217" s="686"/>
      <c r="U217" s="686"/>
      <c r="V217" s="686"/>
      <c r="W217" s="686"/>
    </row>
    <row r="218" ht="13.8" customHeight="1">
      <c r="A218" s="686"/>
      <c r="B218" s="686"/>
      <c r="C218" s="823"/>
      <c r="D218" s="686"/>
      <c r="E218" s="686"/>
      <c r="F218" s="686"/>
      <c r="G218" s="687"/>
      <c r="H218" s="686"/>
      <c r="I218" s="687"/>
      <c r="J218" s="686"/>
      <c r="K218" s="686"/>
      <c r="L218" s="686"/>
      <c r="M218" s="686"/>
      <c r="N218" s="686"/>
      <c r="O218" s="687"/>
      <c r="P218" s="686"/>
      <c r="Q218" s="686"/>
      <c r="R218" s="687"/>
      <c r="S218" s="686"/>
      <c r="T218" s="686"/>
      <c r="U218" s="686"/>
      <c r="V218" s="686"/>
      <c r="W218" s="686"/>
    </row>
    <row r="219" ht="13.8" customHeight="1">
      <c r="A219" s="686"/>
      <c r="B219" s="686"/>
      <c r="C219" s="823"/>
      <c r="D219" s="686"/>
      <c r="E219" s="686"/>
      <c r="F219" s="686"/>
      <c r="G219" s="687"/>
      <c r="H219" s="686"/>
      <c r="I219" s="687"/>
      <c r="J219" s="686"/>
      <c r="K219" s="686"/>
      <c r="L219" s="686"/>
      <c r="M219" s="686"/>
      <c r="N219" s="686"/>
      <c r="O219" s="687"/>
      <c r="P219" s="686"/>
      <c r="Q219" s="686"/>
      <c r="R219" s="687"/>
      <c r="S219" s="686"/>
      <c r="T219" s="686"/>
      <c r="U219" s="686"/>
      <c r="V219" s="686"/>
      <c r="W219" s="686"/>
    </row>
    <row r="220" ht="13.8" customHeight="1">
      <c r="A220" s="686"/>
      <c r="B220" s="686"/>
      <c r="C220" s="823"/>
      <c r="D220" s="686"/>
      <c r="E220" s="686"/>
      <c r="F220" s="686"/>
      <c r="G220" s="687"/>
      <c r="H220" s="686"/>
      <c r="I220" s="687"/>
      <c r="J220" s="686"/>
      <c r="K220" s="686"/>
      <c r="L220" s="686"/>
      <c r="M220" s="686"/>
      <c r="N220" s="686"/>
      <c r="O220" s="687"/>
      <c r="P220" s="686"/>
      <c r="Q220" s="686"/>
      <c r="R220" s="687"/>
      <c r="S220" s="686"/>
      <c r="T220" s="686"/>
      <c r="U220" s="686"/>
      <c r="V220" s="686"/>
      <c r="W220" s="686"/>
    </row>
    <row r="221" ht="13.8" customHeight="1">
      <c r="A221" s="686"/>
      <c r="B221" s="686"/>
      <c r="C221" s="823"/>
      <c r="D221" s="686"/>
      <c r="E221" s="686"/>
      <c r="F221" s="686"/>
      <c r="G221" s="687"/>
      <c r="H221" s="686"/>
      <c r="I221" s="687"/>
      <c r="J221" s="686"/>
      <c r="K221" s="686"/>
      <c r="L221" s="686"/>
      <c r="M221" s="686"/>
      <c r="N221" s="686"/>
      <c r="O221" s="687"/>
      <c r="P221" s="686"/>
      <c r="Q221" s="686"/>
      <c r="R221" s="687"/>
      <c r="S221" s="686"/>
      <c r="T221" s="686"/>
      <c r="U221" s="686"/>
      <c r="V221" s="686"/>
      <c r="W221" s="686"/>
    </row>
    <row r="222" ht="13.8" customHeight="1">
      <c r="A222" s="686"/>
      <c r="B222" s="686"/>
      <c r="C222" s="823"/>
      <c r="D222" s="686"/>
      <c r="E222" s="686"/>
      <c r="F222" s="686"/>
      <c r="G222" s="687"/>
      <c r="H222" s="686"/>
      <c r="I222" s="687"/>
      <c r="J222" s="686"/>
      <c r="K222" s="686"/>
      <c r="L222" s="686"/>
      <c r="M222" s="686"/>
      <c r="N222" s="686"/>
      <c r="O222" s="687"/>
      <c r="P222" s="686"/>
      <c r="Q222" s="686"/>
      <c r="R222" s="687"/>
      <c r="S222" s="686"/>
      <c r="T222" s="686"/>
      <c r="U222" s="686"/>
      <c r="V222" s="686"/>
      <c r="W222" s="686"/>
    </row>
    <row r="223" ht="13.8" customHeight="1">
      <c r="A223" s="686"/>
      <c r="B223" s="686"/>
      <c r="C223" s="823"/>
      <c r="D223" s="686"/>
      <c r="E223" s="686"/>
      <c r="F223" s="686"/>
      <c r="G223" s="687"/>
      <c r="H223" s="686"/>
      <c r="I223" s="687"/>
      <c r="J223" s="686"/>
      <c r="K223" s="686"/>
      <c r="L223" s="686"/>
      <c r="M223" s="686"/>
      <c r="N223" s="686"/>
      <c r="O223" s="687"/>
      <c r="P223" s="686"/>
      <c r="Q223" s="686"/>
      <c r="R223" s="687"/>
      <c r="S223" s="686"/>
      <c r="T223" s="686"/>
      <c r="U223" s="686"/>
      <c r="V223" s="686"/>
      <c r="W223" s="686"/>
    </row>
    <row r="224" ht="13.8" customHeight="1">
      <c r="A224" s="686"/>
      <c r="B224" s="686"/>
      <c r="C224" s="823"/>
      <c r="D224" s="686"/>
      <c r="E224" s="686"/>
      <c r="F224" s="686"/>
      <c r="G224" s="687"/>
      <c r="H224" s="686"/>
      <c r="I224" s="687"/>
      <c r="J224" s="686"/>
      <c r="K224" s="686"/>
      <c r="L224" s="686"/>
      <c r="M224" s="686"/>
      <c r="N224" s="686"/>
      <c r="O224" s="687"/>
      <c r="P224" s="686"/>
      <c r="Q224" s="686"/>
      <c r="R224" s="687"/>
      <c r="S224" s="686"/>
      <c r="T224" s="686"/>
      <c r="U224" s="686"/>
      <c r="V224" s="686"/>
      <c r="W224" s="686"/>
    </row>
    <row r="225" ht="13.8" customHeight="1">
      <c r="A225" s="686"/>
      <c r="B225" s="686"/>
      <c r="C225" s="823"/>
      <c r="D225" s="686"/>
      <c r="E225" s="686"/>
      <c r="F225" s="686"/>
      <c r="G225" s="687"/>
      <c r="H225" s="686"/>
      <c r="I225" s="687"/>
      <c r="J225" s="686"/>
      <c r="K225" s="686"/>
      <c r="L225" s="686"/>
      <c r="M225" s="686"/>
      <c r="N225" s="686"/>
      <c r="O225" s="687"/>
      <c r="P225" s="686"/>
      <c r="Q225" s="686"/>
      <c r="R225" s="687"/>
      <c r="S225" s="686"/>
      <c r="T225" s="686"/>
      <c r="U225" s="686"/>
      <c r="V225" s="686"/>
      <c r="W225" s="686"/>
    </row>
    <row r="226" ht="13.8" customHeight="1">
      <c r="A226" s="686"/>
      <c r="B226" s="686"/>
      <c r="C226" s="823"/>
      <c r="D226" s="686"/>
      <c r="E226" s="686"/>
      <c r="F226" s="686"/>
      <c r="G226" s="687"/>
      <c r="H226" s="686"/>
      <c r="I226" s="687"/>
      <c r="J226" s="686"/>
      <c r="K226" s="686"/>
      <c r="L226" s="686"/>
      <c r="M226" s="686"/>
      <c r="N226" s="686"/>
      <c r="O226" s="687"/>
      <c r="P226" s="686"/>
      <c r="Q226" s="686"/>
      <c r="R226" s="687"/>
      <c r="S226" s="686"/>
      <c r="T226" s="686"/>
      <c r="U226" s="686"/>
      <c r="V226" s="686"/>
      <c r="W226" s="686"/>
    </row>
    <row r="227" ht="13.8" customHeight="1">
      <c r="A227" s="686"/>
      <c r="B227" s="686"/>
      <c r="C227" s="823"/>
      <c r="D227" s="686"/>
      <c r="E227" s="686"/>
      <c r="F227" s="686"/>
      <c r="G227" s="687"/>
      <c r="H227" s="686"/>
      <c r="I227" s="687"/>
      <c r="J227" s="686"/>
      <c r="K227" s="686"/>
      <c r="L227" s="686"/>
      <c r="M227" s="686"/>
      <c r="N227" s="686"/>
      <c r="O227" s="687"/>
      <c r="P227" s="686"/>
      <c r="Q227" s="686"/>
      <c r="R227" s="687"/>
      <c r="S227" s="686"/>
      <c r="T227" s="686"/>
      <c r="U227" s="686"/>
      <c r="V227" s="686"/>
      <c r="W227" s="686"/>
    </row>
    <row r="228" ht="13.8" customHeight="1">
      <c r="A228" s="686"/>
      <c r="B228" s="686"/>
      <c r="C228" s="823"/>
      <c r="D228" s="686"/>
      <c r="E228" s="686"/>
      <c r="F228" s="686"/>
      <c r="G228" s="687"/>
      <c r="H228" s="686"/>
      <c r="I228" s="687"/>
      <c r="J228" s="686"/>
      <c r="K228" s="686"/>
      <c r="L228" s="686"/>
      <c r="M228" s="686"/>
      <c r="N228" s="686"/>
      <c r="O228" s="687"/>
      <c r="P228" s="686"/>
      <c r="Q228" s="686"/>
      <c r="R228" s="687"/>
      <c r="S228" s="686"/>
      <c r="T228" s="686"/>
      <c r="U228" s="686"/>
      <c r="V228" s="686"/>
      <c r="W228" s="686"/>
    </row>
    <row r="229" ht="13.8" customHeight="1">
      <c r="A229" s="686"/>
      <c r="B229" s="686"/>
      <c r="C229" s="823"/>
      <c r="D229" s="686"/>
      <c r="E229" s="686"/>
      <c r="F229" s="686"/>
      <c r="G229" s="687"/>
      <c r="H229" s="686"/>
      <c r="I229" s="687"/>
      <c r="J229" s="686"/>
      <c r="K229" s="686"/>
      <c r="L229" s="686"/>
      <c r="M229" s="686"/>
      <c r="N229" s="686"/>
      <c r="O229" s="687"/>
      <c r="P229" s="686"/>
      <c r="Q229" s="686"/>
      <c r="R229" s="687"/>
      <c r="S229" s="686"/>
      <c r="T229" s="686"/>
      <c r="U229" s="686"/>
      <c r="V229" s="686"/>
      <c r="W229" s="686"/>
    </row>
    <row r="230" ht="13.8" customHeight="1">
      <c r="A230" s="686"/>
      <c r="B230" s="686"/>
      <c r="C230" s="823"/>
      <c r="D230" s="686"/>
      <c r="E230" s="686"/>
      <c r="F230" s="686"/>
      <c r="G230" s="687"/>
      <c r="H230" s="686"/>
      <c r="I230" s="687"/>
      <c r="J230" s="686"/>
      <c r="K230" s="686"/>
      <c r="L230" s="686"/>
      <c r="M230" s="686"/>
      <c r="N230" s="686"/>
      <c r="O230" s="687"/>
      <c r="P230" s="686"/>
      <c r="Q230" s="686"/>
      <c r="R230" s="687"/>
      <c r="S230" s="686"/>
      <c r="T230" s="686"/>
      <c r="U230" s="686"/>
      <c r="V230" s="686"/>
      <c r="W230" s="686"/>
    </row>
    <row r="231" ht="13.8" customHeight="1">
      <c r="A231" s="686"/>
      <c r="B231" s="686"/>
      <c r="C231" s="823"/>
      <c r="D231" s="686"/>
      <c r="E231" s="686"/>
      <c r="F231" s="686"/>
      <c r="G231" s="687"/>
      <c r="H231" s="686"/>
      <c r="I231" s="687"/>
      <c r="J231" s="686"/>
      <c r="K231" s="686"/>
      <c r="L231" s="686"/>
      <c r="M231" s="686"/>
      <c r="N231" s="686"/>
      <c r="O231" s="687"/>
      <c r="P231" s="686"/>
      <c r="Q231" s="686"/>
      <c r="R231" s="687"/>
      <c r="S231" s="686"/>
      <c r="T231" s="686"/>
      <c r="U231" s="686"/>
      <c r="V231" s="686"/>
      <c r="W231" s="686"/>
    </row>
    <row r="232" ht="13.8" customHeight="1">
      <c r="A232" s="686"/>
      <c r="B232" s="686"/>
      <c r="C232" s="823"/>
      <c r="D232" s="686"/>
      <c r="E232" s="686"/>
      <c r="F232" s="686"/>
      <c r="G232" s="687"/>
      <c r="H232" s="686"/>
      <c r="I232" s="687"/>
      <c r="J232" s="686"/>
      <c r="K232" s="686"/>
      <c r="L232" s="686"/>
      <c r="M232" s="686"/>
      <c r="N232" s="686"/>
      <c r="O232" s="687"/>
      <c r="P232" s="686"/>
      <c r="Q232" s="686"/>
      <c r="R232" s="687"/>
      <c r="S232" s="686"/>
      <c r="T232" s="686"/>
      <c r="U232" s="686"/>
      <c r="V232" s="686"/>
      <c r="W232" s="686"/>
    </row>
    <row r="233" ht="13.8" customHeight="1">
      <c r="A233" s="686"/>
      <c r="B233" s="686"/>
      <c r="C233" s="823"/>
      <c r="D233" s="686"/>
      <c r="E233" s="686"/>
      <c r="F233" s="686"/>
      <c r="G233" s="687"/>
      <c r="H233" s="686"/>
      <c r="I233" s="687"/>
      <c r="J233" s="686"/>
      <c r="K233" s="686"/>
      <c r="L233" s="686"/>
      <c r="M233" s="686"/>
      <c r="N233" s="686"/>
      <c r="O233" s="687"/>
      <c r="P233" s="686"/>
      <c r="Q233" s="686"/>
      <c r="R233" s="687"/>
      <c r="S233" s="686"/>
      <c r="T233" s="686"/>
      <c r="U233" s="686"/>
      <c r="V233" s="686"/>
      <c r="W233" s="686"/>
    </row>
    <row r="234" ht="13.8" customHeight="1">
      <c r="A234" s="686"/>
      <c r="B234" s="686"/>
      <c r="C234" s="823"/>
      <c r="D234" s="686"/>
      <c r="E234" s="686"/>
      <c r="F234" s="686"/>
      <c r="G234" s="687"/>
      <c r="H234" s="686"/>
      <c r="I234" s="687"/>
      <c r="J234" s="686"/>
      <c r="K234" s="686"/>
      <c r="L234" s="686"/>
      <c r="M234" s="686"/>
      <c r="N234" s="686"/>
      <c r="O234" s="687"/>
      <c r="P234" s="686"/>
      <c r="Q234" s="686"/>
      <c r="R234" s="687"/>
      <c r="S234" s="686"/>
      <c r="T234" s="686"/>
      <c r="U234" s="686"/>
      <c r="V234" s="686"/>
      <c r="W234" s="686"/>
    </row>
    <row r="235" ht="13.8" customHeight="1">
      <c r="A235" s="686"/>
      <c r="B235" s="686"/>
      <c r="C235" s="823"/>
      <c r="D235" s="686"/>
      <c r="E235" s="686"/>
      <c r="F235" s="686"/>
      <c r="G235" s="687"/>
      <c r="H235" s="686"/>
      <c r="I235" s="687"/>
      <c r="J235" s="686"/>
      <c r="K235" s="686"/>
      <c r="L235" s="686"/>
      <c r="M235" s="686"/>
      <c r="N235" s="686"/>
      <c r="O235" s="687"/>
      <c r="P235" s="686"/>
      <c r="Q235" s="686"/>
      <c r="R235" s="687"/>
      <c r="S235" s="686"/>
      <c r="T235" s="686"/>
      <c r="U235" s="686"/>
      <c r="V235" s="686"/>
      <c r="W235" s="686"/>
    </row>
    <row r="236" ht="13.8" customHeight="1">
      <c r="A236" s="686"/>
      <c r="B236" s="686"/>
      <c r="C236" s="823"/>
      <c r="D236" s="686"/>
      <c r="E236" s="686"/>
      <c r="F236" s="686"/>
      <c r="G236" s="687"/>
      <c r="H236" s="686"/>
      <c r="I236" s="687"/>
      <c r="J236" s="686"/>
      <c r="K236" s="686"/>
      <c r="L236" s="686"/>
      <c r="M236" s="686"/>
      <c r="N236" s="686"/>
      <c r="O236" s="687"/>
      <c r="P236" s="686"/>
      <c r="Q236" s="686"/>
      <c r="R236" s="687"/>
      <c r="S236" s="686"/>
      <c r="T236" s="686"/>
      <c r="U236" s="686"/>
      <c r="V236" s="686"/>
      <c r="W236" s="686"/>
    </row>
    <row r="237" ht="13.8" customHeight="1">
      <c r="A237" s="686"/>
      <c r="B237" s="686"/>
      <c r="C237" s="823"/>
      <c r="D237" s="686"/>
      <c r="E237" s="686"/>
      <c r="F237" s="686"/>
      <c r="G237" s="687"/>
      <c r="H237" s="686"/>
      <c r="I237" s="687"/>
      <c r="J237" s="686"/>
      <c r="K237" s="686"/>
      <c r="L237" s="686"/>
      <c r="M237" s="686"/>
      <c r="N237" s="686"/>
      <c r="O237" s="687"/>
      <c r="P237" s="686"/>
      <c r="Q237" s="686"/>
      <c r="R237" s="687"/>
      <c r="S237" s="686"/>
      <c r="T237" s="686"/>
      <c r="U237" s="686"/>
      <c r="V237" s="686"/>
      <c r="W237" s="686"/>
    </row>
    <row r="238" ht="13.8" customHeight="1">
      <c r="A238" s="686"/>
      <c r="B238" s="686"/>
      <c r="C238" s="823"/>
      <c r="D238" s="686"/>
      <c r="E238" s="686"/>
      <c r="F238" s="686"/>
      <c r="G238" s="687"/>
      <c r="H238" s="686"/>
      <c r="I238" s="687"/>
      <c r="J238" s="686"/>
      <c r="K238" s="686"/>
      <c r="L238" s="686"/>
      <c r="M238" s="686"/>
      <c r="N238" s="686"/>
      <c r="O238" s="687"/>
      <c r="P238" s="686"/>
      <c r="Q238" s="686"/>
      <c r="R238" s="687"/>
      <c r="S238" s="686"/>
      <c r="T238" s="686"/>
      <c r="U238" s="686"/>
      <c r="V238" s="686"/>
      <c r="W238" s="686"/>
    </row>
    <row r="239" ht="13.8" customHeight="1">
      <c r="A239" s="686"/>
      <c r="B239" s="686"/>
      <c r="C239" s="823"/>
      <c r="D239" s="686"/>
      <c r="E239" s="686"/>
      <c r="F239" s="686"/>
      <c r="G239" s="687"/>
      <c r="H239" s="686"/>
      <c r="I239" s="687"/>
      <c r="J239" s="686"/>
      <c r="K239" s="686"/>
      <c r="L239" s="686"/>
      <c r="M239" s="686"/>
      <c r="N239" s="686"/>
      <c r="O239" s="687"/>
      <c r="P239" s="686"/>
      <c r="Q239" s="686"/>
      <c r="R239" s="687"/>
      <c r="S239" s="686"/>
      <c r="T239" s="686"/>
      <c r="U239" s="686"/>
      <c r="V239" s="686"/>
      <c r="W239" s="686"/>
    </row>
    <row r="240" ht="13.8" customHeight="1">
      <c r="A240" s="686"/>
      <c r="B240" s="686"/>
      <c r="C240" s="823"/>
      <c r="D240" s="686"/>
      <c r="E240" s="686"/>
      <c r="F240" s="686"/>
      <c r="G240" s="687"/>
      <c r="H240" s="686"/>
      <c r="I240" s="687"/>
      <c r="J240" s="686"/>
      <c r="K240" s="686"/>
      <c r="L240" s="686"/>
      <c r="M240" s="686"/>
      <c r="N240" s="686"/>
      <c r="O240" s="687"/>
      <c r="P240" s="686"/>
      <c r="Q240" s="686"/>
      <c r="R240" s="687"/>
      <c r="S240" s="686"/>
      <c r="T240" s="686"/>
      <c r="U240" s="686"/>
      <c r="V240" s="686"/>
      <c r="W240" s="686"/>
    </row>
    <row r="241" ht="13.8" customHeight="1">
      <c r="A241" s="686"/>
      <c r="B241" s="686"/>
      <c r="C241" s="823"/>
      <c r="D241" s="686"/>
      <c r="E241" s="686"/>
      <c r="F241" s="686"/>
      <c r="G241" s="687"/>
      <c r="H241" s="686"/>
      <c r="I241" s="687"/>
      <c r="J241" s="686"/>
      <c r="K241" s="686"/>
      <c r="L241" s="686"/>
      <c r="M241" s="686"/>
      <c r="N241" s="686"/>
      <c r="O241" s="687"/>
      <c r="P241" s="686"/>
      <c r="Q241" s="686"/>
      <c r="R241" s="687"/>
      <c r="S241" s="686"/>
      <c r="T241" s="686"/>
      <c r="U241" s="686"/>
      <c r="V241" s="686"/>
      <c r="W241" s="686"/>
    </row>
    <row r="242" ht="13.8" customHeight="1">
      <c r="A242" s="686"/>
      <c r="B242" s="686"/>
      <c r="C242" s="823"/>
      <c r="D242" s="686"/>
      <c r="E242" s="686"/>
      <c r="F242" s="686"/>
      <c r="G242" s="687"/>
      <c r="H242" s="686"/>
      <c r="I242" s="687"/>
      <c r="J242" s="686"/>
      <c r="K242" s="686"/>
      <c r="L242" s="686"/>
      <c r="M242" s="686"/>
      <c r="N242" s="686"/>
      <c r="O242" s="687"/>
      <c r="P242" s="686"/>
      <c r="Q242" s="686"/>
      <c r="R242" s="687"/>
      <c r="S242" s="686"/>
      <c r="T242" s="686"/>
      <c r="U242" s="686"/>
      <c r="V242" s="686"/>
      <c r="W242" s="686"/>
    </row>
    <row r="243" ht="13.8" customHeight="1">
      <c r="A243" s="686"/>
      <c r="B243" s="686"/>
      <c r="C243" s="823"/>
      <c r="D243" s="686"/>
      <c r="E243" s="686"/>
      <c r="F243" s="686"/>
      <c r="G243" s="687"/>
      <c r="H243" s="686"/>
      <c r="I243" s="687"/>
      <c r="J243" s="686"/>
      <c r="K243" s="686"/>
      <c r="L243" s="686"/>
      <c r="M243" s="686"/>
      <c r="N243" s="686"/>
      <c r="O243" s="687"/>
      <c r="P243" s="686"/>
      <c r="Q243" s="686"/>
      <c r="R243" s="687"/>
      <c r="S243" s="686"/>
      <c r="T243" s="686"/>
      <c r="U243" s="686"/>
      <c r="V243" s="686"/>
      <c r="W243" s="686"/>
    </row>
    <row r="244" ht="13.8" customHeight="1">
      <c r="A244" s="686"/>
      <c r="B244" s="686"/>
      <c r="C244" s="823"/>
      <c r="D244" s="686"/>
      <c r="E244" s="686"/>
      <c r="F244" s="686"/>
      <c r="G244" s="687"/>
      <c r="H244" s="686"/>
      <c r="I244" s="687"/>
      <c r="J244" s="686"/>
      <c r="K244" s="686"/>
      <c r="L244" s="686"/>
      <c r="M244" s="686"/>
      <c r="N244" s="686"/>
      <c r="O244" s="687"/>
      <c r="P244" s="686"/>
      <c r="Q244" s="686"/>
      <c r="R244" s="687"/>
      <c r="S244" s="686"/>
      <c r="T244" s="686"/>
      <c r="U244" s="686"/>
      <c r="V244" s="686"/>
      <c r="W244" s="686"/>
    </row>
    <row r="245" ht="13.8" customHeight="1">
      <c r="A245" s="686"/>
      <c r="B245" s="686"/>
      <c r="C245" s="823"/>
      <c r="D245" s="686"/>
      <c r="E245" s="686"/>
      <c r="F245" s="686"/>
      <c r="G245" s="687"/>
      <c r="H245" s="686"/>
      <c r="I245" s="687"/>
      <c r="J245" s="686"/>
      <c r="K245" s="686"/>
      <c r="L245" s="686"/>
      <c r="M245" s="686"/>
      <c r="N245" s="686"/>
      <c r="O245" s="687"/>
      <c r="P245" s="686"/>
      <c r="Q245" s="686"/>
      <c r="R245" s="687"/>
      <c r="S245" s="686"/>
      <c r="T245" s="686"/>
      <c r="U245" s="686"/>
      <c r="V245" s="686"/>
      <c r="W245" s="686"/>
    </row>
    <row r="246" ht="13.8" customHeight="1">
      <c r="A246" s="686"/>
      <c r="B246" s="686"/>
      <c r="C246" s="823"/>
      <c r="D246" s="686"/>
      <c r="E246" s="686"/>
      <c r="F246" s="686"/>
      <c r="G246" s="687"/>
      <c r="H246" s="686"/>
      <c r="I246" s="687"/>
      <c r="J246" s="686"/>
      <c r="K246" s="686"/>
      <c r="L246" s="686"/>
      <c r="M246" s="686"/>
      <c r="N246" s="686"/>
      <c r="O246" s="687"/>
      <c r="P246" s="686"/>
      <c r="Q246" s="686"/>
      <c r="R246" s="687"/>
      <c r="S246" s="686"/>
      <c r="T246" s="686"/>
      <c r="U246" s="686"/>
      <c r="V246" s="686"/>
      <c r="W246" s="686"/>
    </row>
    <row r="247" ht="13.8" customHeight="1">
      <c r="A247" s="686"/>
      <c r="B247" s="686"/>
      <c r="C247" s="823"/>
      <c r="D247" s="686"/>
      <c r="E247" s="686"/>
      <c r="F247" s="686"/>
      <c r="G247" s="687"/>
      <c r="H247" s="686"/>
      <c r="I247" s="687"/>
      <c r="J247" s="686"/>
      <c r="K247" s="686"/>
      <c r="L247" s="686"/>
      <c r="M247" s="686"/>
      <c r="N247" s="686"/>
      <c r="O247" s="687"/>
      <c r="P247" s="686"/>
      <c r="Q247" s="686"/>
      <c r="R247" s="687"/>
      <c r="S247" s="686"/>
      <c r="T247" s="686"/>
      <c r="U247" s="686"/>
      <c r="V247" s="686"/>
      <c r="W247" s="686"/>
    </row>
    <row r="248" ht="13.8" customHeight="1">
      <c r="A248" s="686"/>
      <c r="B248" s="686"/>
      <c r="C248" s="823"/>
      <c r="D248" s="686"/>
      <c r="E248" s="686"/>
      <c r="F248" s="686"/>
      <c r="G248" s="687"/>
      <c r="H248" s="686"/>
      <c r="I248" s="687"/>
      <c r="J248" s="686"/>
      <c r="K248" s="686"/>
      <c r="L248" s="686"/>
      <c r="M248" s="686"/>
      <c r="N248" s="686"/>
      <c r="O248" s="687"/>
      <c r="P248" s="686"/>
      <c r="Q248" s="686"/>
      <c r="R248" s="687"/>
      <c r="S248" s="686"/>
      <c r="T248" s="686"/>
      <c r="U248" s="686"/>
      <c r="V248" s="686"/>
      <c r="W248" s="686"/>
    </row>
    <row r="249" ht="13.8" customHeight="1">
      <c r="A249" s="686"/>
      <c r="B249" s="686"/>
      <c r="C249" s="823"/>
      <c r="D249" s="686"/>
      <c r="E249" s="686"/>
      <c r="F249" s="686"/>
      <c r="G249" s="687"/>
      <c r="H249" s="686"/>
      <c r="I249" s="687"/>
      <c r="J249" s="686"/>
      <c r="K249" s="686"/>
      <c r="L249" s="686"/>
      <c r="M249" s="686"/>
      <c r="N249" s="686"/>
      <c r="O249" s="687"/>
      <c r="P249" s="686"/>
      <c r="Q249" s="686"/>
      <c r="R249" s="687"/>
      <c r="S249" s="686"/>
      <c r="T249" s="686"/>
      <c r="U249" s="686"/>
      <c r="V249" s="686"/>
      <c r="W249" s="686"/>
    </row>
    <row r="250" ht="13.8" customHeight="1">
      <c r="A250" s="686"/>
      <c r="B250" s="686"/>
      <c r="C250" s="823"/>
      <c r="D250" s="686"/>
      <c r="E250" s="686"/>
      <c r="F250" s="686"/>
      <c r="G250" s="687"/>
      <c r="H250" s="686"/>
      <c r="I250" s="687"/>
      <c r="J250" s="686"/>
      <c r="K250" s="686"/>
      <c r="L250" s="686"/>
      <c r="M250" s="686"/>
      <c r="N250" s="686"/>
      <c r="O250" s="687"/>
      <c r="P250" s="686"/>
      <c r="Q250" s="686"/>
      <c r="R250" s="687"/>
      <c r="S250" s="686"/>
      <c r="T250" s="686"/>
      <c r="U250" s="686"/>
      <c r="V250" s="686"/>
      <c r="W250" s="686"/>
    </row>
    <row r="251" ht="13.8" customHeight="1">
      <c r="A251" s="686"/>
      <c r="B251" s="686"/>
      <c r="C251" s="823"/>
      <c r="D251" s="686"/>
      <c r="E251" s="686"/>
      <c r="F251" s="686"/>
      <c r="G251" s="687"/>
      <c r="H251" s="686"/>
      <c r="I251" s="687"/>
      <c r="J251" s="686"/>
      <c r="K251" s="686"/>
      <c r="L251" s="686"/>
      <c r="M251" s="686"/>
      <c r="N251" s="686"/>
      <c r="O251" s="687"/>
      <c r="P251" s="686"/>
      <c r="Q251" s="686"/>
      <c r="R251" s="687"/>
      <c r="S251" s="686"/>
      <c r="T251" s="686"/>
      <c r="U251" s="686"/>
      <c r="V251" s="686"/>
      <c r="W251" s="686"/>
    </row>
    <row r="252" ht="13.8" customHeight="1">
      <c r="A252" s="686"/>
      <c r="B252" s="686"/>
      <c r="C252" s="823"/>
      <c r="D252" s="686"/>
      <c r="E252" s="686"/>
      <c r="F252" s="686"/>
      <c r="G252" s="687"/>
      <c r="H252" s="686"/>
      <c r="I252" s="687"/>
      <c r="J252" s="686"/>
      <c r="K252" s="686"/>
      <c r="L252" s="686"/>
      <c r="M252" s="686"/>
      <c r="N252" s="686"/>
      <c r="O252" s="687"/>
      <c r="P252" s="686"/>
      <c r="Q252" s="686"/>
      <c r="R252" s="687"/>
      <c r="S252" s="686"/>
      <c r="T252" s="686"/>
      <c r="U252" s="686"/>
      <c r="V252" s="686"/>
      <c r="W252" s="686"/>
    </row>
    <row r="253" ht="13.8" customHeight="1">
      <c r="A253" s="686"/>
      <c r="B253" s="686"/>
      <c r="C253" s="823"/>
      <c r="D253" s="686"/>
      <c r="E253" s="686"/>
      <c r="F253" s="686"/>
      <c r="G253" s="687"/>
      <c r="H253" s="686"/>
      <c r="I253" s="687"/>
      <c r="J253" s="686"/>
      <c r="K253" s="686"/>
      <c r="L253" s="686"/>
      <c r="M253" s="686"/>
      <c r="N253" s="686"/>
      <c r="O253" s="687"/>
      <c r="P253" s="686"/>
      <c r="Q253" s="686"/>
      <c r="R253" s="687"/>
      <c r="S253" s="686"/>
      <c r="T253" s="686"/>
      <c r="U253" s="686"/>
      <c r="V253" s="686"/>
      <c r="W253" s="686"/>
    </row>
    <row r="254" ht="13.8" customHeight="1">
      <c r="A254" s="686"/>
      <c r="B254" s="686"/>
      <c r="C254" s="823"/>
      <c r="D254" s="686"/>
      <c r="E254" s="686"/>
      <c r="F254" s="686"/>
      <c r="G254" s="687"/>
      <c r="H254" s="686"/>
      <c r="I254" s="687"/>
      <c r="J254" s="686"/>
      <c r="K254" s="686"/>
      <c r="L254" s="686"/>
      <c r="M254" s="686"/>
      <c r="N254" s="686"/>
      <c r="O254" s="687"/>
      <c r="P254" s="686"/>
      <c r="Q254" s="686"/>
      <c r="R254" s="687"/>
      <c r="S254" s="686"/>
      <c r="T254" s="686"/>
      <c r="U254" s="686"/>
      <c r="V254" s="686"/>
      <c r="W254" s="686"/>
    </row>
    <row r="255" ht="13.8" customHeight="1">
      <c r="A255" s="686"/>
      <c r="B255" s="686"/>
      <c r="C255" s="823"/>
      <c r="D255" s="686"/>
      <c r="E255" s="686"/>
      <c r="F255" s="686"/>
      <c r="G255" s="687"/>
      <c r="H255" s="686"/>
      <c r="I255" s="687"/>
      <c r="J255" s="686"/>
      <c r="K255" s="686"/>
      <c r="L255" s="686"/>
      <c r="M255" s="686"/>
      <c r="N255" s="686"/>
      <c r="O255" s="687"/>
      <c r="P255" s="686"/>
      <c r="Q255" s="686"/>
      <c r="R255" s="687"/>
      <c r="S255" s="686"/>
      <c r="T255" s="686"/>
      <c r="U255" s="686"/>
      <c r="V255" s="686"/>
      <c r="W255" s="686"/>
    </row>
    <row r="256" ht="13.8" customHeight="1">
      <c r="A256" s="686"/>
      <c r="B256" s="686"/>
      <c r="C256" s="823"/>
      <c r="D256" s="686"/>
      <c r="E256" s="686"/>
      <c r="F256" s="686"/>
      <c r="G256" s="687"/>
      <c r="H256" s="686"/>
      <c r="I256" s="687"/>
      <c r="J256" s="686"/>
      <c r="K256" s="686"/>
      <c r="L256" s="686"/>
      <c r="M256" s="686"/>
      <c r="N256" s="686"/>
      <c r="O256" s="687"/>
      <c r="P256" s="686"/>
      <c r="Q256" s="686"/>
      <c r="R256" s="687"/>
      <c r="S256" s="686"/>
      <c r="T256" s="686"/>
      <c r="U256" s="686"/>
      <c r="V256" s="686"/>
      <c r="W256" s="686"/>
    </row>
    <row r="257" ht="13.8" customHeight="1">
      <c r="A257" s="686"/>
      <c r="B257" s="686"/>
      <c r="C257" s="823"/>
      <c r="D257" s="686"/>
      <c r="E257" s="686"/>
      <c r="F257" s="686"/>
      <c r="G257" s="687"/>
      <c r="H257" s="686"/>
      <c r="I257" s="687"/>
      <c r="J257" s="686"/>
      <c r="K257" s="686"/>
      <c r="L257" s="686"/>
      <c r="M257" s="686"/>
      <c r="N257" s="686"/>
      <c r="O257" s="687"/>
      <c r="P257" s="686"/>
      <c r="Q257" s="686"/>
      <c r="R257" s="687"/>
      <c r="S257" s="686"/>
      <c r="T257" s="686"/>
      <c r="U257" s="686"/>
      <c r="V257" s="686"/>
      <c r="W257" s="686"/>
    </row>
    <row r="258" ht="13.8" customHeight="1">
      <c r="A258" s="686"/>
      <c r="B258" s="686"/>
      <c r="C258" s="823"/>
      <c r="D258" s="686"/>
      <c r="E258" s="686"/>
      <c r="F258" s="686"/>
      <c r="G258" s="687"/>
      <c r="H258" s="686"/>
      <c r="I258" s="687"/>
      <c r="J258" s="686"/>
      <c r="K258" s="686"/>
      <c r="L258" s="686"/>
      <c r="M258" s="686"/>
      <c r="N258" s="686"/>
      <c r="O258" s="687"/>
      <c r="P258" s="686"/>
      <c r="Q258" s="686"/>
      <c r="R258" s="687"/>
      <c r="S258" s="686"/>
      <c r="T258" s="686"/>
      <c r="U258" s="686"/>
      <c r="V258" s="686"/>
      <c r="W258" s="686"/>
    </row>
    <row r="259" ht="13.8" customHeight="1">
      <c r="A259" s="686"/>
      <c r="B259" s="686"/>
      <c r="C259" s="823"/>
      <c r="D259" s="686"/>
      <c r="E259" s="686"/>
      <c r="F259" s="686"/>
      <c r="G259" s="687"/>
      <c r="H259" s="686"/>
      <c r="I259" s="687"/>
      <c r="J259" s="686"/>
      <c r="K259" s="686"/>
      <c r="L259" s="686"/>
      <c r="M259" s="686"/>
      <c r="N259" s="686"/>
      <c r="O259" s="687"/>
      <c r="P259" s="686"/>
      <c r="Q259" s="686"/>
      <c r="R259" s="687"/>
      <c r="S259" s="686"/>
      <c r="T259" s="686"/>
      <c r="U259" s="686"/>
      <c r="V259" s="686"/>
      <c r="W259" s="686"/>
    </row>
    <row r="260" ht="13.8" customHeight="1">
      <c r="A260" s="686"/>
      <c r="B260" s="686"/>
      <c r="C260" s="823"/>
      <c r="D260" s="686"/>
      <c r="E260" s="686"/>
      <c r="F260" s="686"/>
      <c r="G260" s="687"/>
      <c r="H260" s="686"/>
      <c r="I260" s="687"/>
      <c r="J260" s="686"/>
      <c r="K260" s="686"/>
      <c r="L260" s="686"/>
      <c r="M260" s="686"/>
      <c r="N260" s="686"/>
      <c r="O260" s="687"/>
      <c r="P260" s="686"/>
      <c r="Q260" s="686"/>
      <c r="R260" s="687"/>
      <c r="S260" s="686"/>
      <c r="T260" s="686"/>
      <c r="U260" s="686"/>
      <c r="V260" s="686"/>
      <c r="W260" s="686"/>
    </row>
    <row r="261" ht="13.8" customHeight="1">
      <c r="A261" s="686"/>
      <c r="B261" s="686"/>
      <c r="C261" s="823"/>
      <c r="D261" s="686"/>
      <c r="E261" s="686"/>
      <c r="F261" s="686"/>
      <c r="G261" s="687"/>
      <c r="H261" s="686"/>
      <c r="I261" s="687"/>
      <c r="J261" s="686"/>
      <c r="K261" s="686"/>
      <c r="L261" s="686"/>
      <c r="M261" s="686"/>
      <c r="N261" s="686"/>
      <c r="O261" s="687"/>
      <c r="P261" s="686"/>
      <c r="Q261" s="686"/>
      <c r="R261" s="687"/>
      <c r="S261" s="686"/>
      <c r="T261" s="686"/>
      <c r="U261" s="686"/>
      <c r="V261" s="686"/>
      <c r="W261" s="686"/>
    </row>
    <row r="262" ht="13.8" customHeight="1">
      <c r="A262" s="686"/>
      <c r="B262" s="686"/>
      <c r="C262" s="823"/>
      <c r="D262" s="686"/>
      <c r="E262" s="686"/>
      <c r="F262" s="686"/>
      <c r="G262" s="687"/>
      <c r="H262" s="686"/>
      <c r="I262" s="687"/>
      <c r="J262" s="686"/>
      <c r="K262" s="686"/>
      <c r="L262" s="686"/>
      <c r="M262" s="686"/>
      <c r="N262" s="686"/>
      <c r="O262" s="687"/>
      <c r="P262" s="686"/>
      <c r="Q262" s="686"/>
      <c r="R262" s="687"/>
      <c r="S262" s="686"/>
      <c r="T262" s="686"/>
      <c r="U262" s="686"/>
      <c r="V262" s="686"/>
      <c r="W262" s="686"/>
    </row>
    <row r="263" ht="13.8" customHeight="1">
      <c r="A263" s="686"/>
      <c r="B263" s="686"/>
      <c r="C263" s="823"/>
      <c r="D263" s="686"/>
      <c r="E263" s="686"/>
      <c r="F263" s="686"/>
      <c r="G263" s="687"/>
      <c r="H263" s="686"/>
      <c r="I263" s="687"/>
      <c r="J263" s="686"/>
      <c r="K263" s="686"/>
      <c r="L263" s="686"/>
      <c r="M263" s="686"/>
      <c r="N263" s="686"/>
      <c r="O263" s="687"/>
      <c r="P263" s="686"/>
      <c r="Q263" s="686"/>
      <c r="R263" s="687"/>
      <c r="S263" s="686"/>
      <c r="T263" s="686"/>
      <c r="U263" s="686"/>
      <c r="V263" s="686"/>
      <c r="W263" s="686"/>
    </row>
    <row r="264" ht="13.8" customHeight="1">
      <c r="A264" s="686"/>
      <c r="B264" s="686"/>
      <c r="C264" s="823"/>
      <c r="D264" s="686"/>
      <c r="E264" s="686"/>
      <c r="F264" s="686"/>
      <c r="G264" s="687"/>
      <c r="H264" s="686"/>
      <c r="I264" s="687"/>
      <c r="J264" s="686"/>
      <c r="K264" s="686"/>
      <c r="L264" s="686"/>
      <c r="M264" s="686"/>
      <c r="N264" s="686"/>
      <c r="O264" s="687"/>
      <c r="P264" s="686"/>
      <c r="Q264" s="686"/>
      <c r="R264" s="687"/>
      <c r="S264" s="686"/>
      <c r="T264" s="686"/>
      <c r="U264" s="686"/>
      <c r="V264" s="686"/>
      <c r="W264" s="686"/>
    </row>
    <row r="265" ht="13.8" customHeight="1">
      <c r="A265" s="686"/>
      <c r="B265" s="686"/>
      <c r="C265" s="823"/>
      <c r="D265" s="686"/>
      <c r="E265" s="686"/>
      <c r="F265" s="686"/>
      <c r="G265" s="687"/>
      <c r="H265" s="686"/>
      <c r="I265" s="687"/>
      <c r="J265" s="686"/>
      <c r="K265" s="686"/>
      <c r="L265" s="686"/>
      <c r="M265" s="686"/>
      <c r="N265" s="686"/>
      <c r="O265" s="687"/>
      <c r="P265" s="686"/>
      <c r="Q265" s="686"/>
      <c r="R265" s="687"/>
      <c r="S265" s="686"/>
      <c r="T265" s="686"/>
      <c r="U265" s="686"/>
      <c r="V265" s="686"/>
      <c r="W265" s="686"/>
    </row>
    <row r="266" ht="13.8" customHeight="1">
      <c r="A266" s="686"/>
      <c r="B266" s="686"/>
      <c r="C266" s="823"/>
      <c r="D266" s="686"/>
      <c r="E266" s="686"/>
      <c r="F266" s="686"/>
      <c r="G266" s="687"/>
      <c r="H266" s="686"/>
      <c r="I266" s="687"/>
      <c r="J266" s="686"/>
      <c r="K266" s="686"/>
      <c r="L266" s="686"/>
      <c r="M266" s="686"/>
      <c r="N266" s="686"/>
      <c r="O266" s="687"/>
      <c r="P266" s="686"/>
      <c r="Q266" s="686"/>
      <c r="R266" s="687"/>
      <c r="S266" s="686"/>
      <c r="T266" s="686"/>
      <c r="U266" s="686"/>
      <c r="V266" s="686"/>
      <c r="W266" s="686"/>
    </row>
    <row r="267" ht="13.8" customHeight="1">
      <c r="A267" s="686"/>
      <c r="B267" s="686"/>
      <c r="C267" s="823"/>
      <c r="D267" s="686"/>
      <c r="E267" s="686"/>
      <c r="F267" s="686"/>
      <c r="G267" s="687"/>
      <c r="H267" s="686"/>
      <c r="I267" s="687"/>
      <c r="J267" s="686"/>
      <c r="K267" s="686"/>
      <c r="L267" s="686"/>
      <c r="M267" s="686"/>
      <c r="N267" s="686"/>
      <c r="O267" s="687"/>
      <c r="P267" s="686"/>
      <c r="Q267" s="686"/>
      <c r="R267" s="687"/>
      <c r="S267" s="686"/>
      <c r="T267" s="686"/>
      <c r="U267" s="686"/>
      <c r="V267" s="686"/>
      <c r="W267" s="686"/>
    </row>
    <row r="268" ht="13.8" customHeight="1">
      <c r="A268" s="686"/>
      <c r="B268" s="686"/>
      <c r="C268" s="823"/>
      <c r="D268" s="686"/>
      <c r="E268" s="686"/>
      <c r="F268" s="686"/>
      <c r="G268" s="687"/>
      <c r="H268" s="686"/>
      <c r="I268" s="687"/>
      <c r="J268" s="686"/>
      <c r="K268" s="686"/>
      <c r="L268" s="686"/>
      <c r="M268" s="686"/>
      <c r="N268" s="686"/>
      <c r="O268" s="687"/>
      <c r="P268" s="686"/>
      <c r="Q268" s="686"/>
      <c r="R268" s="687"/>
      <c r="S268" s="686"/>
      <c r="T268" s="686"/>
      <c r="U268" s="686"/>
      <c r="V268" s="686"/>
      <c r="W268" s="686"/>
    </row>
    <row r="269" ht="13.8" customHeight="1">
      <c r="A269" s="686"/>
      <c r="B269" s="686"/>
      <c r="C269" s="823"/>
      <c r="D269" s="686"/>
      <c r="E269" s="686"/>
      <c r="F269" s="686"/>
      <c r="G269" s="687"/>
      <c r="H269" s="686"/>
      <c r="I269" s="687"/>
      <c r="J269" s="686"/>
      <c r="K269" s="686"/>
      <c r="L269" s="686"/>
      <c r="M269" s="686"/>
      <c r="N269" s="686"/>
      <c r="O269" s="687"/>
      <c r="P269" s="686"/>
      <c r="Q269" s="686"/>
      <c r="R269" s="687"/>
      <c r="S269" s="686"/>
      <c r="T269" s="686"/>
      <c r="U269" s="686"/>
      <c r="V269" s="686"/>
      <c r="W269" s="686"/>
    </row>
    <row r="270" ht="13.8" customHeight="1">
      <c r="A270" s="686"/>
      <c r="B270" s="686"/>
      <c r="C270" s="823"/>
      <c r="D270" s="686"/>
      <c r="E270" s="686"/>
      <c r="F270" s="686"/>
      <c r="G270" s="687"/>
      <c r="H270" s="686"/>
      <c r="I270" s="687"/>
      <c r="J270" s="686"/>
      <c r="K270" s="686"/>
      <c r="L270" s="686"/>
      <c r="M270" s="686"/>
      <c r="N270" s="686"/>
      <c r="O270" s="687"/>
      <c r="P270" s="686"/>
      <c r="Q270" s="686"/>
      <c r="R270" s="687"/>
      <c r="S270" s="686"/>
      <c r="T270" s="686"/>
      <c r="U270" s="686"/>
      <c r="V270" s="686"/>
      <c r="W270" s="686"/>
    </row>
    <row r="271" ht="13.8" customHeight="1">
      <c r="A271" s="686"/>
      <c r="B271" s="686"/>
      <c r="C271" s="823"/>
      <c r="D271" s="686"/>
      <c r="E271" s="686"/>
      <c r="F271" s="686"/>
      <c r="G271" s="687"/>
      <c r="H271" s="686"/>
      <c r="I271" s="687"/>
      <c r="J271" s="686"/>
      <c r="K271" s="686"/>
      <c r="L271" s="686"/>
      <c r="M271" s="686"/>
      <c r="N271" s="686"/>
      <c r="O271" s="687"/>
      <c r="P271" s="686"/>
      <c r="Q271" s="686"/>
      <c r="R271" s="687"/>
      <c r="S271" s="686"/>
      <c r="T271" s="686"/>
      <c r="U271" s="686"/>
      <c r="V271" s="686"/>
      <c r="W271" s="686"/>
    </row>
    <row r="272" ht="13.8" customHeight="1">
      <c r="A272" s="686"/>
      <c r="B272" s="686"/>
      <c r="C272" s="823"/>
      <c r="D272" s="686"/>
      <c r="E272" s="686"/>
      <c r="F272" s="686"/>
      <c r="G272" s="687"/>
      <c r="H272" s="686"/>
      <c r="I272" s="687"/>
      <c r="J272" s="686"/>
      <c r="K272" s="686"/>
      <c r="L272" s="686"/>
      <c r="M272" s="686"/>
      <c r="N272" s="686"/>
      <c r="O272" s="687"/>
      <c r="P272" s="686"/>
      <c r="Q272" s="686"/>
      <c r="R272" s="687"/>
      <c r="S272" s="686"/>
      <c r="T272" s="686"/>
      <c r="U272" s="686"/>
      <c r="V272" s="686"/>
      <c r="W272" s="686"/>
    </row>
    <row r="273" ht="13.8" customHeight="1">
      <c r="A273" s="686"/>
      <c r="B273" s="686"/>
      <c r="C273" s="823"/>
      <c r="D273" s="686"/>
      <c r="E273" s="686"/>
      <c r="F273" s="686"/>
      <c r="G273" s="687"/>
      <c r="H273" s="686"/>
      <c r="I273" s="687"/>
      <c r="J273" s="686"/>
      <c r="K273" s="686"/>
      <c r="L273" s="686"/>
      <c r="M273" s="686"/>
      <c r="N273" s="686"/>
      <c r="O273" s="687"/>
      <c r="P273" s="686"/>
      <c r="Q273" s="686"/>
      <c r="R273" s="687"/>
      <c r="S273" s="686"/>
      <c r="T273" s="686"/>
      <c r="U273" s="686"/>
      <c r="V273" s="686"/>
      <c r="W273" s="686"/>
    </row>
    <row r="274" ht="13.8" customHeight="1">
      <c r="A274" s="686"/>
      <c r="B274" s="686"/>
      <c r="C274" s="823"/>
      <c r="D274" s="686"/>
      <c r="E274" s="686"/>
      <c r="F274" s="686"/>
      <c r="G274" s="687"/>
      <c r="H274" s="686"/>
      <c r="I274" s="687"/>
      <c r="J274" s="686"/>
      <c r="K274" s="686"/>
      <c r="L274" s="686"/>
      <c r="M274" s="686"/>
      <c r="N274" s="686"/>
      <c r="O274" s="687"/>
      <c r="P274" s="686"/>
      <c r="Q274" s="686"/>
      <c r="R274" s="687"/>
      <c r="S274" s="686"/>
      <c r="T274" s="686"/>
      <c r="U274" s="686"/>
      <c r="V274" s="686"/>
      <c r="W274" s="686"/>
    </row>
    <row r="275" ht="13.8" customHeight="1">
      <c r="A275" s="686"/>
      <c r="B275" s="686"/>
      <c r="C275" s="823"/>
      <c r="D275" s="686"/>
      <c r="E275" s="686"/>
      <c r="F275" s="686"/>
      <c r="G275" s="687"/>
      <c r="H275" s="686"/>
      <c r="I275" s="687"/>
      <c r="J275" s="686"/>
      <c r="K275" s="686"/>
      <c r="L275" s="686"/>
      <c r="M275" s="686"/>
      <c r="N275" s="686"/>
      <c r="O275" s="687"/>
      <c r="P275" s="686"/>
      <c r="Q275" s="686"/>
      <c r="R275" s="687"/>
      <c r="S275" s="686"/>
      <c r="T275" s="686"/>
      <c r="U275" s="686"/>
      <c r="V275" s="686"/>
      <c r="W275" s="686"/>
    </row>
    <row r="276" ht="13.8" customHeight="1">
      <c r="A276" s="686"/>
      <c r="B276" s="686"/>
      <c r="C276" s="823"/>
      <c r="D276" s="686"/>
      <c r="E276" s="686"/>
      <c r="F276" s="686"/>
      <c r="G276" s="687"/>
      <c r="H276" s="686"/>
      <c r="I276" s="687"/>
      <c r="J276" s="686"/>
      <c r="K276" s="686"/>
      <c r="L276" s="686"/>
      <c r="M276" s="686"/>
      <c r="N276" s="686"/>
      <c r="O276" s="687"/>
      <c r="P276" s="686"/>
      <c r="Q276" s="686"/>
      <c r="R276" s="687"/>
      <c r="S276" s="686"/>
      <c r="T276" s="686"/>
      <c r="U276" s="686"/>
      <c r="V276" s="686"/>
      <c r="W276" s="686"/>
    </row>
    <row r="277" ht="13.8" customHeight="1">
      <c r="A277" s="686"/>
      <c r="B277" s="686"/>
      <c r="C277" s="823"/>
      <c r="D277" s="686"/>
      <c r="E277" s="686"/>
      <c r="F277" s="686"/>
      <c r="G277" s="687"/>
      <c r="H277" s="686"/>
      <c r="I277" s="687"/>
      <c r="J277" s="686"/>
      <c r="K277" s="686"/>
      <c r="L277" s="686"/>
      <c r="M277" s="686"/>
      <c r="N277" s="686"/>
      <c r="O277" s="687"/>
      <c r="P277" s="686"/>
      <c r="Q277" s="686"/>
      <c r="R277" s="687"/>
      <c r="S277" s="686"/>
      <c r="T277" s="686"/>
      <c r="U277" s="686"/>
      <c r="V277" s="686"/>
      <c r="W277" s="686"/>
    </row>
    <row r="278" ht="13.8" customHeight="1">
      <c r="A278" s="686"/>
      <c r="B278" s="686"/>
      <c r="C278" s="823"/>
      <c r="D278" s="686"/>
      <c r="E278" s="686"/>
      <c r="F278" s="686"/>
      <c r="G278" s="687"/>
      <c r="H278" s="686"/>
      <c r="I278" s="687"/>
      <c r="J278" s="686"/>
      <c r="K278" s="686"/>
      <c r="L278" s="686"/>
      <c r="M278" s="686"/>
      <c r="N278" s="686"/>
      <c r="O278" s="687"/>
      <c r="P278" s="686"/>
      <c r="Q278" s="686"/>
      <c r="R278" s="687"/>
      <c r="S278" s="686"/>
      <c r="T278" s="686"/>
      <c r="U278" s="686"/>
      <c r="V278" s="686"/>
      <c r="W278" s="686"/>
    </row>
    <row r="279" ht="13.8" customHeight="1">
      <c r="A279" s="686"/>
      <c r="B279" s="686"/>
      <c r="C279" s="823"/>
      <c r="D279" s="686"/>
      <c r="E279" s="686"/>
      <c r="F279" s="686"/>
      <c r="G279" s="687"/>
      <c r="H279" s="686"/>
      <c r="I279" s="687"/>
      <c r="J279" s="686"/>
      <c r="K279" s="686"/>
      <c r="L279" s="686"/>
      <c r="M279" s="686"/>
      <c r="N279" s="686"/>
      <c r="O279" s="687"/>
      <c r="P279" s="686"/>
      <c r="Q279" s="686"/>
      <c r="R279" s="687"/>
      <c r="S279" s="686"/>
      <c r="T279" s="686"/>
      <c r="U279" s="686"/>
      <c r="V279" s="686"/>
      <c r="W279" s="686"/>
    </row>
    <row r="280" ht="13.8" customHeight="1">
      <c r="A280" s="686"/>
      <c r="B280" s="686"/>
      <c r="C280" s="823"/>
      <c r="D280" s="686"/>
      <c r="E280" s="686"/>
      <c r="F280" s="686"/>
      <c r="G280" s="687"/>
      <c r="H280" s="686"/>
      <c r="I280" s="687"/>
      <c r="J280" s="686"/>
      <c r="K280" s="686"/>
      <c r="L280" s="686"/>
      <c r="M280" s="686"/>
      <c r="N280" s="686"/>
      <c r="O280" s="687"/>
      <c r="P280" s="686"/>
      <c r="Q280" s="686"/>
      <c r="R280" s="687"/>
      <c r="S280" s="686"/>
      <c r="T280" s="686"/>
      <c r="U280" s="686"/>
      <c r="V280" s="686"/>
      <c r="W280" s="686"/>
    </row>
    <row r="281" ht="13.8" customHeight="1">
      <c r="A281" s="686"/>
      <c r="B281" s="686"/>
      <c r="C281" s="823"/>
      <c r="D281" s="686"/>
      <c r="E281" s="686"/>
      <c r="F281" s="686"/>
      <c r="G281" s="687"/>
      <c r="H281" s="686"/>
      <c r="I281" s="687"/>
      <c r="J281" s="686"/>
      <c r="K281" s="686"/>
      <c r="L281" s="686"/>
      <c r="M281" s="686"/>
      <c r="N281" s="686"/>
      <c r="O281" s="687"/>
      <c r="P281" s="686"/>
      <c r="Q281" s="686"/>
      <c r="R281" s="687"/>
      <c r="S281" s="686"/>
      <c r="T281" s="686"/>
      <c r="U281" s="686"/>
      <c r="V281" s="686"/>
      <c r="W281" s="686"/>
    </row>
    <row r="282" ht="13.8" customHeight="1">
      <c r="A282" s="686"/>
      <c r="B282" s="686"/>
      <c r="C282" s="823"/>
      <c r="D282" s="686"/>
      <c r="E282" s="686"/>
      <c r="F282" s="686"/>
      <c r="G282" s="687"/>
      <c r="H282" s="686"/>
      <c r="I282" s="687"/>
      <c r="J282" s="686"/>
      <c r="K282" s="686"/>
      <c r="L282" s="686"/>
      <c r="M282" s="686"/>
      <c r="N282" s="686"/>
      <c r="O282" s="687"/>
      <c r="P282" s="686"/>
      <c r="Q282" s="686"/>
      <c r="R282" s="687"/>
      <c r="S282" s="686"/>
      <c r="T282" s="686"/>
      <c r="U282" s="686"/>
      <c r="V282" s="686"/>
      <c r="W282" s="686"/>
    </row>
    <row r="283" ht="13.8" customHeight="1">
      <c r="A283" s="686"/>
      <c r="B283" s="686"/>
      <c r="C283" s="823"/>
      <c r="D283" s="686"/>
      <c r="E283" s="686"/>
      <c r="F283" s="686"/>
      <c r="G283" s="687"/>
      <c r="H283" s="686"/>
      <c r="I283" s="687"/>
      <c r="J283" s="686"/>
      <c r="K283" s="686"/>
      <c r="L283" s="686"/>
      <c r="M283" s="686"/>
      <c r="N283" s="686"/>
      <c r="O283" s="687"/>
      <c r="P283" s="686"/>
      <c r="Q283" s="686"/>
      <c r="R283" s="687"/>
      <c r="S283" s="686"/>
      <c r="T283" s="686"/>
      <c r="U283" s="686"/>
      <c r="V283" s="686"/>
      <c r="W283" s="686"/>
    </row>
    <row r="284" ht="13.8" customHeight="1">
      <c r="A284" s="686"/>
      <c r="B284" s="686"/>
      <c r="C284" s="823"/>
      <c r="D284" s="686"/>
      <c r="E284" s="686"/>
      <c r="F284" s="686"/>
      <c r="G284" s="687"/>
      <c r="H284" s="686"/>
      <c r="I284" s="687"/>
      <c r="J284" s="686"/>
      <c r="K284" s="686"/>
      <c r="L284" s="686"/>
      <c r="M284" s="686"/>
      <c r="N284" s="686"/>
      <c r="O284" s="687"/>
      <c r="P284" s="686"/>
      <c r="Q284" s="686"/>
      <c r="R284" s="687"/>
      <c r="S284" s="686"/>
      <c r="T284" s="686"/>
      <c r="U284" s="686"/>
      <c r="V284" s="686"/>
      <c r="W284" s="686"/>
    </row>
    <row r="285" ht="13.8" customHeight="1">
      <c r="A285" s="686"/>
      <c r="B285" s="686"/>
      <c r="C285" s="823"/>
      <c r="D285" s="686"/>
      <c r="E285" s="686"/>
      <c r="F285" s="686"/>
      <c r="G285" s="687"/>
      <c r="H285" s="686"/>
      <c r="I285" s="687"/>
      <c r="J285" s="686"/>
      <c r="K285" s="686"/>
      <c r="L285" s="686"/>
      <c r="M285" s="686"/>
      <c r="N285" s="686"/>
      <c r="O285" s="687"/>
      <c r="P285" s="686"/>
      <c r="Q285" s="686"/>
      <c r="R285" s="687"/>
      <c r="S285" s="686"/>
      <c r="T285" s="686"/>
      <c r="U285" s="686"/>
      <c r="V285" s="686"/>
      <c r="W285" s="686"/>
    </row>
    <row r="286" ht="13.8" customHeight="1">
      <c r="A286" s="686"/>
      <c r="B286" s="686"/>
      <c r="C286" s="823"/>
      <c r="D286" s="686"/>
      <c r="E286" s="686"/>
      <c r="F286" s="686"/>
      <c r="G286" s="687"/>
      <c r="H286" s="686"/>
      <c r="I286" s="687"/>
      <c r="J286" s="686"/>
      <c r="K286" s="686"/>
      <c r="L286" s="686"/>
      <c r="M286" s="686"/>
      <c r="N286" s="686"/>
      <c r="O286" s="687"/>
      <c r="P286" s="686"/>
      <c r="Q286" s="686"/>
      <c r="R286" s="687"/>
      <c r="S286" s="686"/>
      <c r="T286" s="686"/>
      <c r="U286" s="686"/>
      <c r="V286" s="686"/>
      <c r="W286" s="686"/>
    </row>
    <row r="287" ht="13.8" customHeight="1">
      <c r="A287" s="686"/>
      <c r="B287" s="686"/>
      <c r="C287" s="823"/>
      <c r="D287" s="686"/>
      <c r="E287" s="686"/>
      <c r="F287" s="686"/>
      <c r="G287" s="687"/>
      <c r="H287" s="686"/>
      <c r="I287" s="687"/>
      <c r="J287" s="686"/>
      <c r="K287" s="686"/>
      <c r="L287" s="686"/>
      <c r="M287" s="686"/>
      <c r="N287" s="686"/>
      <c r="O287" s="687"/>
      <c r="P287" s="686"/>
      <c r="Q287" s="686"/>
      <c r="R287" s="687"/>
      <c r="S287" s="686"/>
      <c r="T287" s="686"/>
      <c r="U287" s="686"/>
      <c r="V287" s="686"/>
      <c r="W287" s="686"/>
    </row>
    <row r="288" ht="13.8" customHeight="1">
      <c r="A288" s="686"/>
      <c r="B288" s="686"/>
      <c r="C288" s="823"/>
      <c r="D288" s="686"/>
      <c r="E288" s="686"/>
      <c r="F288" s="686"/>
      <c r="G288" s="687"/>
      <c r="H288" s="686"/>
      <c r="I288" s="687"/>
      <c r="J288" s="686"/>
      <c r="K288" s="686"/>
      <c r="L288" s="686"/>
      <c r="M288" s="686"/>
      <c r="N288" s="686"/>
      <c r="O288" s="687"/>
      <c r="P288" s="686"/>
      <c r="Q288" s="686"/>
      <c r="R288" s="687"/>
      <c r="S288" s="686"/>
      <c r="T288" s="686"/>
      <c r="U288" s="686"/>
      <c r="V288" s="686"/>
      <c r="W288" s="686"/>
    </row>
    <row r="289" ht="13.8" customHeight="1">
      <c r="A289" s="686"/>
      <c r="B289" s="686"/>
      <c r="C289" s="823"/>
      <c r="D289" s="686"/>
      <c r="E289" s="686"/>
      <c r="F289" s="686"/>
      <c r="G289" s="687"/>
      <c r="H289" s="686"/>
      <c r="I289" s="687"/>
      <c r="J289" s="686"/>
      <c r="K289" s="686"/>
      <c r="L289" s="686"/>
      <c r="M289" s="686"/>
      <c r="N289" s="686"/>
      <c r="O289" s="687"/>
      <c r="P289" s="686"/>
      <c r="Q289" s="686"/>
      <c r="R289" s="687"/>
      <c r="S289" s="686"/>
      <c r="T289" s="686"/>
      <c r="U289" s="686"/>
      <c r="V289" s="686"/>
      <c r="W289" s="686"/>
    </row>
    <row r="290" ht="13.8" customHeight="1">
      <c r="A290" s="686"/>
      <c r="B290" s="686"/>
      <c r="C290" s="823"/>
      <c r="D290" s="686"/>
      <c r="E290" s="686"/>
      <c r="F290" s="686"/>
      <c r="G290" s="687"/>
      <c r="H290" s="686"/>
      <c r="I290" s="687"/>
      <c r="J290" s="686"/>
      <c r="K290" s="686"/>
      <c r="L290" s="686"/>
      <c r="M290" s="686"/>
      <c r="N290" s="686"/>
      <c r="O290" s="687"/>
      <c r="P290" s="686"/>
      <c r="Q290" s="686"/>
      <c r="R290" s="687"/>
      <c r="S290" s="686"/>
      <c r="T290" s="686"/>
      <c r="U290" s="686"/>
      <c r="V290" s="686"/>
      <c r="W290" s="686"/>
    </row>
    <row r="291" ht="13.8" customHeight="1">
      <c r="A291" s="686"/>
      <c r="B291" s="686"/>
      <c r="C291" s="823"/>
      <c r="D291" s="686"/>
      <c r="E291" s="686"/>
      <c r="F291" s="686"/>
      <c r="G291" s="687"/>
      <c r="H291" s="686"/>
      <c r="I291" s="687"/>
      <c r="J291" s="686"/>
      <c r="K291" s="686"/>
      <c r="L291" s="686"/>
      <c r="M291" s="686"/>
      <c r="N291" s="686"/>
      <c r="O291" s="687"/>
      <c r="P291" s="686"/>
      <c r="Q291" s="686"/>
      <c r="R291" s="687"/>
      <c r="S291" s="686"/>
      <c r="T291" s="686"/>
      <c r="U291" s="686"/>
      <c r="V291" s="686"/>
      <c r="W291" s="686"/>
    </row>
    <row r="292" ht="13.8" customHeight="1">
      <c r="A292" s="686"/>
      <c r="B292" s="686"/>
      <c r="C292" s="823"/>
      <c r="D292" s="686"/>
      <c r="E292" s="686"/>
      <c r="F292" s="686"/>
      <c r="G292" s="687"/>
      <c r="H292" s="686"/>
      <c r="I292" s="687"/>
      <c r="J292" s="686"/>
      <c r="K292" s="686"/>
      <c r="L292" s="686"/>
      <c r="M292" s="686"/>
      <c r="N292" s="686"/>
      <c r="O292" s="687"/>
      <c r="P292" s="686"/>
      <c r="Q292" s="686"/>
      <c r="R292" s="687"/>
      <c r="S292" s="686"/>
      <c r="T292" s="686"/>
      <c r="U292" s="686"/>
      <c r="V292" s="686"/>
      <c r="W292" s="686"/>
    </row>
    <row r="293" ht="13.8" customHeight="1">
      <c r="A293" s="686"/>
      <c r="B293" s="686"/>
      <c r="C293" s="823"/>
      <c r="D293" s="686"/>
      <c r="E293" s="686"/>
      <c r="F293" s="686"/>
      <c r="G293" s="687"/>
      <c r="H293" s="686"/>
      <c r="I293" s="687"/>
      <c r="J293" s="686"/>
      <c r="K293" s="686"/>
      <c r="L293" s="686"/>
      <c r="M293" s="686"/>
      <c r="N293" s="686"/>
      <c r="O293" s="687"/>
      <c r="P293" s="686"/>
      <c r="Q293" s="686"/>
      <c r="R293" s="687"/>
      <c r="S293" s="686"/>
      <c r="T293" s="686"/>
      <c r="U293" s="686"/>
      <c r="V293" s="686"/>
      <c r="W293" s="686"/>
    </row>
    <row r="294" ht="13.8" customHeight="1">
      <c r="A294" s="686"/>
      <c r="B294" s="686"/>
      <c r="C294" s="823"/>
      <c r="D294" s="686"/>
      <c r="E294" s="686"/>
      <c r="F294" s="686"/>
      <c r="G294" s="687"/>
      <c r="H294" s="686"/>
      <c r="I294" s="687"/>
      <c r="J294" s="686"/>
      <c r="K294" s="686"/>
      <c r="L294" s="686"/>
      <c r="M294" s="686"/>
      <c r="N294" s="686"/>
      <c r="O294" s="687"/>
      <c r="P294" s="686"/>
      <c r="Q294" s="686"/>
      <c r="R294" s="687"/>
      <c r="S294" s="686"/>
      <c r="T294" s="686"/>
      <c r="U294" s="686"/>
      <c r="V294" s="686"/>
      <c r="W294" s="686"/>
    </row>
    <row r="295" ht="13.8" customHeight="1">
      <c r="A295" s="686"/>
      <c r="B295" s="686"/>
      <c r="C295" s="823"/>
      <c r="D295" s="686"/>
      <c r="E295" s="686"/>
      <c r="F295" s="686"/>
      <c r="G295" s="687"/>
      <c r="H295" s="686"/>
      <c r="I295" s="687"/>
      <c r="J295" s="686"/>
      <c r="K295" s="686"/>
      <c r="L295" s="686"/>
      <c r="M295" s="686"/>
      <c r="N295" s="686"/>
      <c r="O295" s="687"/>
      <c r="P295" s="686"/>
      <c r="Q295" s="686"/>
      <c r="R295" s="687"/>
      <c r="S295" s="686"/>
      <c r="T295" s="686"/>
      <c r="U295" s="686"/>
      <c r="V295" s="686"/>
      <c r="W295" s="686"/>
    </row>
    <row r="296" ht="13.8" customHeight="1">
      <c r="A296" s="686"/>
      <c r="B296" s="686"/>
      <c r="C296" s="823"/>
      <c r="D296" s="686"/>
      <c r="E296" s="686"/>
      <c r="F296" s="686"/>
      <c r="G296" s="687"/>
      <c r="H296" s="686"/>
      <c r="I296" s="687"/>
      <c r="J296" s="686"/>
      <c r="K296" s="686"/>
      <c r="L296" s="686"/>
      <c r="M296" s="686"/>
      <c r="N296" s="686"/>
      <c r="O296" s="687"/>
      <c r="P296" s="686"/>
      <c r="Q296" s="686"/>
      <c r="R296" s="687"/>
      <c r="S296" s="686"/>
      <c r="T296" s="686"/>
      <c r="U296" s="686"/>
      <c r="V296" s="686"/>
      <c r="W296" s="686"/>
    </row>
    <row r="297" ht="13.8" customHeight="1">
      <c r="A297" s="686"/>
      <c r="B297" s="686"/>
      <c r="C297" s="823"/>
      <c r="D297" s="686"/>
      <c r="E297" s="686"/>
      <c r="F297" s="686"/>
      <c r="G297" s="687"/>
      <c r="H297" s="686"/>
      <c r="I297" s="687"/>
      <c r="J297" s="686"/>
      <c r="K297" s="686"/>
      <c r="L297" s="686"/>
      <c r="M297" s="686"/>
      <c r="N297" s="686"/>
      <c r="O297" s="687"/>
      <c r="P297" s="686"/>
      <c r="Q297" s="686"/>
      <c r="R297" s="687"/>
      <c r="S297" s="686"/>
      <c r="T297" s="686"/>
      <c r="U297" s="686"/>
      <c r="V297" s="686"/>
      <c r="W297" s="686"/>
    </row>
    <row r="298" ht="13.8" customHeight="1">
      <c r="A298" s="686"/>
      <c r="B298" s="686"/>
      <c r="C298" s="823"/>
      <c r="D298" s="686"/>
      <c r="E298" s="686"/>
      <c r="F298" s="686"/>
      <c r="G298" s="687"/>
      <c r="H298" s="686"/>
      <c r="I298" s="687"/>
      <c r="J298" s="686"/>
      <c r="K298" s="686"/>
      <c r="L298" s="686"/>
      <c r="M298" s="686"/>
      <c r="N298" s="686"/>
      <c r="O298" s="687"/>
      <c r="P298" s="686"/>
      <c r="Q298" s="686"/>
      <c r="R298" s="687"/>
      <c r="S298" s="686"/>
      <c r="T298" s="686"/>
      <c r="U298" s="686"/>
      <c r="V298" s="686"/>
      <c r="W298" s="686"/>
    </row>
    <row r="299" ht="13.8" customHeight="1">
      <c r="A299" s="686"/>
      <c r="B299" s="686"/>
      <c r="C299" s="823"/>
      <c r="D299" s="686"/>
      <c r="E299" s="686"/>
      <c r="F299" s="686"/>
      <c r="G299" s="687"/>
      <c r="H299" s="686"/>
      <c r="I299" s="687"/>
      <c r="J299" s="686"/>
      <c r="K299" s="686"/>
      <c r="L299" s="686"/>
      <c r="M299" s="686"/>
      <c r="N299" s="686"/>
      <c r="O299" s="687"/>
      <c r="P299" s="686"/>
      <c r="Q299" s="686"/>
      <c r="R299" s="687"/>
      <c r="S299" s="686"/>
      <c r="T299" s="686"/>
      <c r="U299" s="686"/>
      <c r="V299" s="686"/>
      <c r="W299" s="686"/>
    </row>
    <row r="300" ht="13.8" customHeight="1">
      <c r="A300" s="686"/>
      <c r="B300" s="686"/>
      <c r="C300" s="823"/>
      <c r="D300" s="686"/>
      <c r="E300" s="686"/>
      <c r="F300" s="686"/>
      <c r="G300" s="687"/>
      <c r="H300" s="686"/>
      <c r="I300" s="687"/>
      <c r="J300" s="686"/>
      <c r="K300" s="686"/>
      <c r="L300" s="686"/>
      <c r="M300" s="686"/>
      <c r="N300" s="686"/>
      <c r="O300" s="687"/>
      <c r="P300" s="686"/>
      <c r="Q300" s="686"/>
      <c r="R300" s="687"/>
      <c r="S300" s="686"/>
      <c r="T300" s="686"/>
      <c r="U300" s="686"/>
      <c r="V300" s="686"/>
      <c r="W300" s="686"/>
    </row>
    <row r="301" ht="13.8" customHeight="1">
      <c r="A301" s="686"/>
      <c r="B301" s="686"/>
      <c r="C301" s="823"/>
      <c r="D301" s="686"/>
      <c r="E301" s="686"/>
      <c r="F301" s="686"/>
      <c r="G301" s="687"/>
      <c r="H301" s="686"/>
      <c r="I301" s="687"/>
      <c r="J301" s="686"/>
      <c r="K301" s="686"/>
      <c r="L301" s="686"/>
      <c r="M301" s="686"/>
      <c r="N301" s="686"/>
      <c r="O301" s="687"/>
      <c r="P301" s="686"/>
      <c r="Q301" s="686"/>
      <c r="R301" s="687"/>
      <c r="S301" s="686"/>
      <c r="T301" s="686"/>
      <c r="U301" s="686"/>
      <c r="V301" s="686"/>
      <c r="W301" s="686"/>
    </row>
    <row r="302" ht="13.8" customHeight="1">
      <c r="A302" s="686"/>
      <c r="B302" s="686"/>
      <c r="C302" s="823"/>
      <c r="D302" s="686"/>
      <c r="E302" s="686"/>
      <c r="F302" s="686"/>
      <c r="G302" s="687"/>
      <c r="H302" s="686"/>
      <c r="I302" s="687"/>
      <c r="J302" s="686"/>
      <c r="K302" s="686"/>
      <c r="L302" s="686"/>
      <c r="M302" s="686"/>
      <c r="N302" s="686"/>
      <c r="O302" s="687"/>
      <c r="P302" s="686"/>
      <c r="Q302" s="686"/>
      <c r="R302" s="687"/>
      <c r="S302" s="686"/>
      <c r="T302" s="686"/>
      <c r="U302" s="686"/>
      <c r="V302" s="686"/>
      <c r="W302" s="686"/>
    </row>
    <row r="303" ht="13.8" customHeight="1">
      <c r="A303" s="686"/>
      <c r="B303" s="686"/>
      <c r="C303" s="823"/>
      <c r="D303" s="686"/>
      <c r="E303" s="686"/>
      <c r="F303" s="686"/>
      <c r="G303" s="687"/>
      <c r="H303" s="686"/>
      <c r="I303" s="687"/>
      <c r="J303" s="686"/>
      <c r="K303" s="686"/>
      <c r="L303" s="686"/>
      <c r="M303" s="686"/>
      <c r="N303" s="686"/>
      <c r="O303" s="687"/>
      <c r="P303" s="686"/>
      <c r="Q303" s="686"/>
      <c r="R303" s="687"/>
      <c r="S303" s="686"/>
      <c r="T303" s="686"/>
      <c r="U303" s="686"/>
      <c r="V303" s="686"/>
      <c r="W303" s="686"/>
    </row>
    <row r="304" ht="13.8" customHeight="1">
      <c r="A304" s="686"/>
      <c r="B304" s="686"/>
      <c r="C304" s="823"/>
      <c r="D304" s="686"/>
      <c r="E304" s="686"/>
      <c r="F304" s="686"/>
      <c r="G304" s="687"/>
      <c r="H304" s="686"/>
      <c r="I304" s="687"/>
      <c r="J304" s="686"/>
      <c r="K304" s="686"/>
      <c r="L304" s="686"/>
      <c r="M304" s="686"/>
      <c r="N304" s="686"/>
      <c r="O304" s="687"/>
      <c r="P304" s="686"/>
      <c r="Q304" s="686"/>
      <c r="R304" s="687"/>
      <c r="S304" s="686"/>
      <c r="T304" s="686"/>
      <c r="U304" s="686"/>
      <c r="V304" s="686"/>
      <c r="W304" s="686"/>
    </row>
    <row r="305" ht="13.8" customHeight="1">
      <c r="A305" s="686"/>
      <c r="B305" s="686"/>
      <c r="C305" s="823"/>
      <c r="D305" s="686"/>
      <c r="E305" s="686"/>
      <c r="F305" s="686"/>
      <c r="G305" s="687"/>
      <c r="H305" s="686"/>
      <c r="I305" s="687"/>
      <c r="J305" s="686"/>
      <c r="K305" s="686"/>
      <c r="L305" s="686"/>
      <c r="M305" s="686"/>
      <c r="N305" s="686"/>
      <c r="O305" s="687"/>
      <c r="P305" s="686"/>
      <c r="Q305" s="686"/>
      <c r="R305" s="687"/>
      <c r="S305" s="686"/>
      <c r="T305" s="686"/>
      <c r="U305" s="686"/>
      <c r="V305" s="686"/>
      <c r="W305" s="686"/>
    </row>
    <row r="306" ht="13.8" customHeight="1">
      <c r="A306" s="686"/>
      <c r="B306" s="686"/>
      <c r="C306" s="823"/>
      <c r="D306" s="686"/>
      <c r="E306" s="686"/>
      <c r="F306" s="686"/>
      <c r="G306" s="687"/>
      <c r="H306" s="686"/>
      <c r="I306" s="687"/>
      <c r="J306" s="686"/>
      <c r="K306" s="686"/>
      <c r="L306" s="686"/>
      <c r="M306" s="686"/>
      <c r="N306" s="686"/>
      <c r="O306" s="687"/>
      <c r="P306" s="686"/>
      <c r="Q306" s="686"/>
      <c r="R306" s="687"/>
      <c r="S306" s="686"/>
      <c r="T306" s="686"/>
      <c r="U306" s="686"/>
      <c r="V306" s="686"/>
      <c r="W306" s="686"/>
    </row>
    <row r="307" ht="13.8" customHeight="1">
      <c r="A307" s="686"/>
      <c r="B307" s="686"/>
      <c r="C307" s="823"/>
      <c r="D307" s="686"/>
      <c r="E307" s="686"/>
      <c r="F307" s="686"/>
      <c r="G307" s="687"/>
      <c r="H307" s="686"/>
      <c r="I307" s="687"/>
      <c r="J307" s="686"/>
      <c r="K307" s="686"/>
      <c r="L307" s="686"/>
      <c r="M307" s="686"/>
      <c r="N307" s="686"/>
      <c r="O307" s="687"/>
      <c r="P307" s="686"/>
      <c r="Q307" s="686"/>
      <c r="R307" s="687"/>
      <c r="S307" s="686"/>
      <c r="T307" s="686"/>
      <c r="U307" s="686"/>
      <c r="V307" s="686"/>
      <c r="W307" s="686"/>
    </row>
    <row r="308" ht="13.8" customHeight="1">
      <c r="A308" s="686"/>
      <c r="B308" s="686"/>
      <c r="C308" s="823"/>
      <c r="D308" s="686"/>
      <c r="E308" s="686"/>
      <c r="F308" s="686"/>
      <c r="G308" s="687"/>
      <c r="H308" s="686"/>
      <c r="I308" s="687"/>
      <c r="J308" s="686"/>
      <c r="K308" s="686"/>
      <c r="L308" s="686"/>
      <c r="M308" s="686"/>
      <c r="N308" s="686"/>
      <c r="O308" s="687"/>
      <c r="P308" s="686"/>
      <c r="Q308" s="686"/>
      <c r="R308" s="687"/>
      <c r="S308" s="686"/>
      <c r="T308" s="686"/>
      <c r="U308" s="686"/>
      <c r="V308" s="686"/>
      <c r="W308" s="686"/>
    </row>
    <row r="309" ht="13.8" customHeight="1">
      <c r="A309" s="686"/>
      <c r="B309" s="686"/>
      <c r="C309" s="823"/>
      <c r="D309" s="686"/>
      <c r="E309" s="686"/>
      <c r="F309" s="686"/>
      <c r="G309" s="687"/>
      <c r="H309" s="686"/>
      <c r="I309" s="687"/>
      <c r="J309" s="686"/>
      <c r="K309" s="686"/>
      <c r="L309" s="686"/>
      <c r="M309" s="686"/>
      <c r="N309" s="686"/>
      <c r="O309" s="687"/>
      <c r="P309" s="686"/>
      <c r="Q309" s="686"/>
      <c r="R309" s="687"/>
      <c r="S309" s="686"/>
      <c r="T309" s="686"/>
      <c r="U309" s="686"/>
      <c r="V309" s="686"/>
      <c r="W309" s="686"/>
    </row>
    <row r="310" ht="13.8" customHeight="1">
      <c r="A310" s="686"/>
      <c r="B310" s="686"/>
      <c r="C310" s="823"/>
      <c r="D310" s="686"/>
      <c r="E310" s="686"/>
      <c r="F310" s="686"/>
      <c r="G310" s="687"/>
      <c r="H310" s="686"/>
      <c r="I310" s="687"/>
      <c r="J310" s="686"/>
      <c r="K310" s="686"/>
      <c r="L310" s="686"/>
      <c r="M310" s="686"/>
      <c r="N310" s="686"/>
      <c r="O310" s="687"/>
      <c r="P310" s="686"/>
      <c r="Q310" s="686"/>
      <c r="R310" s="687"/>
      <c r="S310" s="686"/>
      <c r="T310" s="686"/>
      <c r="U310" s="686"/>
      <c r="V310" s="686"/>
      <c r="W310" s="686"/>
    </row>
    <row r="311" ht="13.8" customHeight="1">
      <c r="A311" s="686"/>
      <c r="B311" s="686"/>
      <c r="C311" s="823"/>
      <c r="D311" s="686"/>
      <c r="E311" s="686"/>
      <c r="F311" s="686"/>
      <c r="G311" s="687"/>
      <c r="H311" s="686"/>
      <c r="I311" s="687"/>
      <c r="J311" s="686"/>
      <c r="K311" s="686"/>
      <c r="L311" s="686"/>
      <c r="M311" s="686"/>
      <c r="N311" s="686"/>
      <c r="O311" s="687"/>
      <c r="P311" s="686"/>
      <c r="Q311" s="686"/>
      <c r="R311" s="687"/>
      <c r="S311" s="686"/>
      <c r="T311" s="686"/>
      <c r="U311" s="686"/>
      <c r="V311" s="686"/>
      <c r="W311" s="686"/>
    </row>
    <row r="312" ht="13.8" customHeight="1">
      <c r="A312" s="686"/>
      <c r="B312" s="686"/>
      <c r="C312" s="823"/>
      <c r="D312" s="686"/>
      <c r="E312" s="686"/>
      <c r="F312" s="686"/>
      <c r="G312" s="687"/>
      <c r="H312" s="686"/>
      <c r="I312" s="687"/>
      <c r="J312" s="686"/>
      <c r="K312" s="686"/>
      <c r="L312" s="686"/>
      <c r="M312" s="686"/>
      <c r="N312" s="686"/>
      <c r="O312" s="687"/>
      <c r="P312" s="686"/>
      <c r="Q312" s="686"/>
      <c r="R312" s="687"/>
      <c r="S312" s="686"/>
      <c r="T312" s="686"/>
      <c r="U312" s="686"/>
      <c r="V312" s="686"/>
      <c r="W312" s="686"/>
    </row>
    <row r="313" ht="13.8" customHeight="1">
      <c r="A313" s="686"/>
      <c r="B313" s="686"/>
      <c r="C313" s="823"/>
      <c r="D313" s="686"/>
      <c r="E313" s="686"/>
      <c r="F313" s="686"/>
      <c r="G313" s="687"/>
      <c r="H313" s="686"/>
      <c r="I313" s="687"/>
      <c r="J313" s="686"/>
      <c r="K313" s="686"/>
      <c r="L313" s="686"/>
      <c r="M313" s="686"/>
      <c r="N313" s="686"/>
      <c r="O313" s="687"/>
      <c r="P313" s="686"/>
      <c r="Q313" s="686"/>
      <c r="R313" s="687"/>
      <c r="S313" s="686"/>
      <c r="T313" s="686"/>
      <c r="U313" s="686"/>
      <c r="V313" s="686"/>
      <c r="W313" s="686"/>
    </row>
    <row r="314" ht="13.8" customHeight="1">
      <c r="A314" s="686"/>
      <c r="B314" s="686"/>
      <c r="C314" s="823"/>
      <c r="D314" s="686"/>
      <c r="E314" s="686"/>
      <c r="F314" s="686"/>
      <c r="G314" s="687"/>
      <c r="H314" s="686"/>
      <c r="I314" s="687"/>
      <c r="J314" s="686"/>
      <c r="K314" s="686"/>
      <c r="L314" s="686"/>
      <c r="M314" s="686"/>
      <c r="N314" s="686"/>
      <c r="O314" s="687"/>
      <c r="P314" s="686"/>
      <c r="Q314" s="686"/>
      <c r="R314" s="687"/>
      <c r="S314" s="686"/>
      <c r="T314" s="686"/>
      <c r="U314" s="686"/>
      <c r="V314" s="686"/>
      <c r="W314" s="686"/>
    </row>
    <row r="315" ht="13.8" customHeight="1">
      <c r="A315" s="686"/>
      <c r="B315" s="686"/>
      <c r="C315" s="823"/>
      <c r="D315" s="686"/>
      <c r="E315" s="686"/>
      <c r="F315" s="686"/>
      <c r="G315" s="687"/>
      <c r="H315" s="686"/>
      <c r="I315" s="687"/>
      <c r="J315" s="686"/>
      <c r="K315" s="686"/>
      <c r="L315" s="686"/>
      <c r="M315" s="686"/>
      <c r="N315" s="686"/>
      <c r="O315" s="687"/>
      <c r="P315" s="686"/>
      <c r="Q315" s="686"/>
      <c r="R315" s="687"/>
      <c r="S315" s="686"/>
      <c r="T315" s="686"/>
      <c r="U315" s="686"/>
      <c r="V315" s="686"/>
      <c r="W315" s="686"/>
    </row>
    <row r="316" ht="13.8" customHeight="1">
      <c r="A316" s="686"/>
      <c r="B316" s="686"/>
      <c r="C316" s="823"/>
      <c r="D316" s="686"/>
      <c r="E316" s="686"/>
      <c r="F316" s="686"/>
      <c r="G316" s="687"/>
      <c r="H316" s="686"/>
      <c r="I316" s="687"/>
      <c r="J316" s="686"/>
      <c r="K316" s="686"/>
      <c r="L316" s="686"/>
      <c r="M316" s="686"/>
      <c r="N316" s="686"/>
      <c r="O316" s="687"/>
      <c r="P316" s="686"/>
      <c r="Q316" s="686"/>
      <c r="R316" s="687"/>
      <c r="S316" s="686"/>
      <c r="T316" s="686"/>
      <c r="U316" s="686"/>
      <c r="V316" s="686"/>
      <c r="W316" s="686"/>
    </row>
    <row r="317" ht="13.8" customHeight="1">
      <c r="A317" s="686"/>
      <c r="B317" s="686"/>
      <c r="C317" s="823"/>
      <c r="D317" s="686"/>
      <c r="E317" s="686"/>
      <c r="F317" s="686"/>
      <c r="G317" s="687"/>
      <c r="H317" s="686"/>
      <c r="I317" s="687"/>
      <c r="J317" s="686"/>
      <c r="K317" s="686"/>
      <c r="L317" s="686"/>
      <c r="M317" s="686"/>
      <c r="N317" s="686"/>
      <c r="O317" s="687"/>
      <c r="P317" s="686"/>
      <c r="Q317" s="686"/>
      <c r="R317" s="687"/>
      <c r="S317" s="686"/>
      <c r="T317" s="686"/>
      <c r="U317" s="686"/>
      <c r="V317" s="686"/>
      <c r="W317" s="686"/>
    </row>
    <row r="318" ht="13.8" customHeight="1">
      <c r="A318" s="686"/>
      <c r="B318" s="686"/>
      <c r="C318" s="823"/>
      <c r="D318" s="686"/>
      <c r="E318" s="686"/>
      <c r="F318" s="686"/>
      <c r="G318" s="687"/>
      <c r="H318" s="686"/>
      <c r="I318" s="687"/>
      <c r="J318" s="686"/>
      <c r="K318" s="686"/>
      <c r="L318" s="686"/>
      <c r="M318" s="686"/>
      <c r="N318" s="686"/>
      <c r="O318" s="687"/>
      <c r="P318" s="686"/>
      <c r="Q318" s="686"/>
      <c r="R318" s="687"/>
      <c r="S318" s="686"/>
      <c r="T318" s="686"/>
      <c r="U318" s="686"/>
      <c r="V318" s="686"/>
      <c r="W318" s="686"/>
    </row>
    <row r="319" ht="13.8" customHeight="1">
      <c r="A319" s="686"/>
      <c r="B319" s="686"/>
      <c r="C319" s="823"/>
      <c r="D319" s="686"/>
      <c r="E319" s="686"/>
      <c r="F319" s="686"/>
      <c r="G319" s="687"/>
      <c r="H319" s="686"/>
      <c r="I319" s="687"/>
      <c r="J319" s="686"/>
      <c r="K319" s="686"/>
      <c r="L319" s="686"/>
      <c r="M319" s="686"/>
      <c r="N319" s="686"/>
      <c r="O319" s="687"/>
      <c r="P319" s="686"/>
      <c r="Q319" s="686"/>
      <c r="R319" s="687"/>
      <c r="S319" s="686"/>
      <c r="T319" s="686"/>
      <c r="U319" s="686"/>
      <c r="V319" s="686"/>
      <c r="W319" s="686"/>
    </row>
    <row r="320" ht="13.8" customHeight="1">
      <c r="A320" s="686"/>
      <c r="B320" s="686"/>
      <c r="C320" s="823"/>
      <c r="D320" s="686"/>
      <c r="E320" s="686"/>
      <c r="F320" s="686"/>
      <c r="G320" s="687"/>
      <c r="H320" s="686"/>
      <c r="I320" s="687"/>
      <c r="J320" s="686"/>
      <c r="K320" s="686"/>
      <c r="L320" s="686"/>
      <c r="M320" s="686"/>
      <c r="N320" s="686"/>
      <c r="O320" s="687"/>
      <c r="P320" s="686"/>
      <c r="Q320" s="686"/>
      <c r="R320" s="687"/>
      <c r="S320" s="686"/>
      <c r="T320" s="686"/>
      <c r="U320" s="686"/>
      <c r="V320" s="686"/>
      <c r="W320" s="686"/>
    </row>
    <row r="321" ht="13.8" customHeight="1">
      <c r="A321" s="686"/>
      <c r="B321" s="686"/>
      <c r="C321" s="823"/>
      <c r="D321" s="686"/>
      <c r="E321" s="686"/>
      <c r="F321" s="686"/>
      <c r="G321" s="687"/>
      <c r="H321" s="686"/>
      <c r="I321" s="687"/>
      <c r="J321" s="686"/>
      <c r="K321" s="686"/>
      <c r="L321" s="686"/>
      <c r="M321" s="686"/>
      <c r="N321" s="686"/>
      <c r="O321" s="687"/>
      <c r="P321" s="686"/>
      <c r="Q321" s="686"/>
      <c r="R321" s="687"/>
      <c r="S321" s="686"/>
      <c r="T321" s="686"/>
      <c r="U321" s="686"/>
      <c r="V321" s="686"/>
      <c r="W321" s="686"/>
    </row>
    <row r="322" ht="13.8" customHeight="1">
      <c r="A322" s="686"/>
      <c r="B322" s="686"/>
      <c r="C322" s="823"/>
      <c r="D322" s="686"/>
      <c r="E322" s="686"/>
      <c r="F322" s="686"/>
      <c r="G322" s="687"/>
      <c r="H322" s="686"/>
      <c r="I322" s="687"/>
      <c r="J322" s="686"/>
      <c r="K322" s="686"/>
      <c r="L322" s="686"/>
      <c r="M322" s="686"/>
      <c r="N322" s="686"/>
      <c r="O322" s="687"/>
      <c r="P322" s="686"/>
      <c r="Q322" s="686"/>
      <c r="R322" s="687"/>
      <c r="S322" s="686"/>
      <c r="T322" s="686"/>
      <c r="U322" s="686"/>
      <c r="V322" s="686"/>
      <c r="W322" s="686"/>
    </row>
    <row r="323" ht="13.8" customHeight="1">
      <c r="A323" s="686"/>
      <c r="B323" s="686"/>
      <c r="C323" s="823"/>
      <c r="D323" s="686"/>
      <c r="E323" s="686"/>
      <c r="F323" s="686"/>
      <c r="G323" s="687"/>
      <c r="H323" s="686"/>
      <c r="I323" s="687"/>
      <c r="J323" s="686"/>
      <c r="K323" s="686"/>
      <c r="L323" s="686"/>
      <c r="M323" s="686"/>
      <c r="N323" s="686"/>
      <c r="O323" s="687"/>
      <c r="P323" s="686"/>
      <c r="Q323" s="686"/>
      <c r="R323" s="687"/>
      <c r="S323" s="686"/>
      <c r="T323" s="686"/>
      <c r="U323" s="686"/>
      <c r="V323" s="686"/>
      <c r="W323" s="686"/>
    </row>
    <row r="324" ht="13.8" customHeight="1">
      <c r="A324" s="686"/>
      <c r="B324" s="686"/>
      <c r="C324" s="823"/>
      <c r="D324" s="686"/>
      <c r="E324" s="686"/>
      <c r="F324" s="686"/>
      <c r="G324" s="687"/>
      <c r="H324" s="686"/>
      <c r="I324" s="687"/>
      <c r="J324" s="686"/>
      <c r="K324" s="686"/>
      <c r="L324" s="686"/>
      <c r="M324" s="686"/>
      <c r="N324" s="686"/>
      <c r="O324" s="687"/>
      <c r="P324" s="686"/>
      <c r="Q324" s="686"/>
      <c r="R324" s="687"/>
      <c r="S324" s="686"/>
      <c r="T324" s="686"/>
      <c r="U324" s="686"/>
      <c r="V324" s="686"/>
      <c r="W324" s="686"/>
    </row>
    <row r="325" ht="13.8" customHeight="1">
      <c r="A325" s="686"/>
      <c r="B325" s="686"/>
      <c r="C325" s="823"/>
      <c r="D325" s="686"/>
      <c r="E325" s="686"/>
      <c r="F325" s="686"/>
      <c r="G325" s="687"/>
      <c r="H325" s="686"/>
      <c r="I325" s="687"/>
      <c r="J325" s="686"/>
      <c r="K325" s="686"/>
      <c r="L325" s="686"/>
      <c r="M325" s="686"/>
      <c r="N325" s="686"/>
      <c r="O325" s="687"/>
      <c r="P325" s="686"/>
      <c r="Q325" s="686"/>
      <c r="R325" s="687"/>
      <c r="S325" s="686"/>
      <c r="T325" s="686"/>
      <c r="U325" s="686"/>
      <c r="V325" s="686"/>
      <c r="W325" s="686"/>
    </row>
    <row r="326" ht="13.8" customHeight="1">
      <c r="A326" s="686"/>
      <c r="B326" s="686"/>
      <c r="C326" s="823"/>
      <c r="D326" s="686"/>
      <c r="E326" s="686"/>
      <c r="F326" s="686"/>
      <c r="G326" s="687"/>
      <c r="H326" s="686"/>
      <c r="I326" s="687"/>
      <c r="J326" s="686"/>
      <c r="K326" s="686"/>
      <c r="L326" s="686"/>
      <c r="M326" s="686"/>
      <c r="N326" s="686"/>
      <c r="O326" s="687"/>
      <c r="P326" s="686"/>
      <c r="Q326" s="686"/>
      <c r="R326" s="687"/>
      <c r="S326" s="686"/>
      <c r="T326" s="686"/>
      <c r="U326" s="686"/>
      <c r="V326" s="686"/>
      <c r="W326" s="686"/>
    </row>
    <row r="327" ht="13.8" customHeight="1">
      <c r="A327" s="686"/>
      <c r="B327" s="686"/>
      <c r="C327" s="823"/>
      <c r="D327" s="686"/>
      <c r="E327" s="686"/>
      <c r="F327" s="686"/>
      <c r="G327" s="687"/>
      <c r="H327" s="686"/>
      <c r="I327" s="687"/>
      <c r="J327" s="686"/>
      <c r="K327" s="686"/>
      <c r="L327" s="686"/>
      <c r="M327" s="686"/>
      <c r="N327" s="686"/>
      <c r="O327" s="687"/>
      <c r="P327" s="686"/>
      <c r="Q327" s="686"/>
      <c r="R327" s="687"/>
      <c r="S327" s="686"/>
      <c r="T327" s="686"/>
      <c r="U327" s="686"/>
      <c r="V327" s="686"/>
      <c r="W327" s="686"/>
    </row>
    <row r="328" ht="13.8" customHeight="1">
      <c r="A328" s="686"/>
      <c r="B328" s="686"/>
      <c r="C328" s="823"/>
      <c r="D328" s="686"/>
      <c r="E328" s="686"/>
      <c r="F328" s="686"/>
      <c r="G328" s="687"/>
      <c r="H328" s="686"/>
      <c r="I328" s="687"/>
      <c r="J328" s="686"/>
      <c r="K328" s="686"/>
      <c r="L328" s="686"/>
      <c r="M328" s="686"/>
      <c r="N328" s="686"/>
      <c r="O328" s="687"/>
      <c r="P328" s="686"/>
      <c r="Q328" s="686"/>
      <c r="R328" s="687"/>
      <c r="S328" s="686"/>
      <c r="T328" s="686"/>
      <c r="U328" s="686"/>
      <c r="V328" s="686"/>
      <c r="W328" s="686"/>
    </row>
    <row r="329" ht="13.8" customHeight="1">
      <c r="A329" s="686"/>
      <c r="B329" s="686"/>
      <c r="C329" s="823"/>
      <c r="D329" s="686"/>
      <c r="E329" s="686"/>
      <c r="F329" s="686"/>
      <c r="G329" s="687"/>
      <c r="H329" s="686"/>
      <c r="I329" s="687"/>
      <c r="J329" s="686"/>
      <c r="K329" s="686"/>
      <c r="L329" s="686"/>
      <c r="M329" s="686"/>
      <c r="N329" s="686"/>
      <c r="O329" s="687"/>
      <c r="P329" s="686"/>
      <c r="Q329" s="686"/>
      <c r="R329" s="687"/>
      <c r="S329" s="686"/>
      <c r="T329" s="686"/>
      <c r="U329" s="686"/>
      <c r="V329" s="686"/>
      <c r="W329" s="686"/>
    </row>
    <row r="330" ht="13.8" customHeight="1">
      <c r="A330" s="686"/>
      <c r="B330" s="686"/>
      <c r="C330" s="823"/>
      <c r="D330" s="686"/>
      <c r="E330" s="686"/>
      <c r="F330" s="686"/>
      <c r="G330" s="687"/>
      <c r="H330" s="686"/>
      <c r="I330" s="687"/>
      <c r="J330" s="686"/>
      <c r="K330" s="686"/>
      <c r="L330" s="686"/>
      <c r="M330" s="686"/>
      <c r="N330" s="686"/>
      <c r="O330" s="687"/>
      <c r="P330" s="686"/>
      <c r="Q330" s="686"/>
      <c r="R330" s="687"/>
      <c r="S330" s="686"/>
      <c r="T330" s="686"/>
      <c r="U330" s="686"/>
      <c r="V330" s="686"/>
      <c r="W330" s="686"/>
    </row>
    <row r="331" ht="13.8" customHeight="1">
      <c r="A331" s="686"/>
      <c r="B331" s="686"/>
      <c r="C331" s="823"/>
      <c r="D331" s="686"/>
      <c r="E331" s="686"/>
      <c r="F331" s="686"/>
      <c r="G331" s="687"/>
      <c r="H331" s="686"/>
      <c r="I331" s="687"/>
      <c r="J331" s="686"/>
      <c r="K331" s="686"/>
      <c r="L331" s="686"/>
      <c r="M331" s="686"/>
      <c r="N331" s="686"/>
      <c r="O331" s="687"/>
      <c r="P331" s="686"/>
      <c r="Q331" s="686"/>
      <c r="R331" s="687"/>
      <c r="S331" s="686"/>
      <c r="T331" s="686"/>
      <c r="U331" s="686"/>
      <c r="V331" s="686"/>
      <c r="W331" s="686"/>
    </row>
    <row r="332" ht="13.8" customHeight="1">
      <c r="A332" s="686"/>
      <c r="B332" s="686"/>
      <c r="C332" s="823"/>
      <c r="D332" s="686"/>
      <c r="E332" s="686"/>
      <c r="F332" s="686"/>
      <c r="G332" s="687"/>
      <c r="H332" s="686"/>
      <c r="I332" s="687"/>
      <c r="J332" s="686"/>
      <c r="K332" s="686"/>
      <c r="L332" s="686"/>
      <c r="M332" s="686"/>
      <c r="N332" s="686"/>
      <c r="O332" s="687"/>
      <c r="P332" s="686"/>
      <c r="Q332" s="686"/>
      <c r="R332" s="687"/>
      <c r="S332" s="686"/>
      <c r="T332" s="686"/>
      <c r="U332" s="686"/>
      <c r="V332" s="686"/>
      <c r="W332" s="686"/>
    </row>
    <row r="333" ht="13.8" customHeight="1">
      <c r="A333" s="686"/>
      <c r="B333" s="686"/>
      <c r="C333" s="823"/>
      <c r="D333" s="686"/>
      <c r="E333" s="686"/>
      <c r="F333" s="686"/>
      <c r="G333" s="687"/>
      <c r="H333" s="686"/>
      <c r="I333" s="687"/>
      <c r="J333" s="686"/>
      <c r="K333" s="686"/>
      <c r="L333" s="686"/>
      <c r="M333" s="686"/>
      <c r="N333" s="686"/>
      <c r="O333" s="687"/>
      <c r="P333" s="686"/>
      <c r="Q333" s="686"/>
      <c r="R333" s="687"/>
      <c r="S333" s="686"/>
      <c r="T333" s="686"/>
      <c r="U333" s="686"/>
      <c r="V333" s="686"/>
      <c r="W333" s="686"/>
    </row>
    <row r="334" ht="13.8" customHeight="1">
      <c r="A334" s="686"/>
      <c r="B334" s="686"/>
      <c r="C334" s="823"/>
      <c r="D334" s="686"/>
      <c r="E334" s="686"/>
      <c r="F334" s="686"/>
      <c r="G334" s="687"/>
      <c r="H334" s="686"/>
      <c r="I334" s="687"/>
      <c r="J334" s="686"/>
      <c r="K334" s="686"/>
      <c r="L334" s="686"/>
      <c r="M334" s="686"/>
      <c r="N334" s="686"/>
      <c r="O334" s="687"/>
      <c r="P334" s="686"/>
      <c r="Q334" s="686"/>
      <c r="R334" s="687"/>
      <c r="S334" s="686"/>
      <c r="T334" s="686"/>
      <c r="U334" s="686"/>
      <c r="V334" s="686"/>
      <c r="W334" s="686"/>
    </row>
    <row r="335" ht="13.8" customHeight="1">
      <c r="A335" s="686"/>
      <c r="B335" s="686"/>
      <c r="C335" s="823"/>
      <c r="D335" s="686"/>
      <c r="E335" s="686"/>
      <c r="F335" s="686"/>
      <c r="G335" s="687"/>
      <c r="H335" s="686"/>
      <c r="I335" s="687"/>
      <c r="J335" s="686"/>
      <c r="K335" s="686"/>
      <c r="L335" s="686"/>
      <c r="M335" s="686"/>
      <c r="N335" s="686"/>
      <c r="O335" s="687"/>
      <c r="P335" s="686"/>
      <c r="Q335" s="686"/>
      <c r="R335" s="687"/>
      <c r="S335" s="686"/>
      <c r="T335" s="686"/>
      <c r="U335" s="686"/>
      <c r="V335" s="686"/>
      <c r="W335" s="686"/>
    </row>
    <row r="336" ht="13.8" customHeight="1">
      <c r="A336" s="686"/>
      <c r="B336" s="686"/>
      <c r="C336" s="823"/>
      <c r="D336" s="686"/>
      <c r="E336" s="686"/>
      <c r="F336" s="686"/>
      <c r="G336" s="687"/>
      <c r="H336" s="686"/>
      <c r="I336" s="687"/>
      <c r="J336" s="686"/>
      <c r="K336" s="686"/>
      <c r="L336" s="686"/>
      <c r="M336" s="686"/>
      <c r="N336" s="686"/>
      <c r="O336" s="687"/>
      <c r="P336" s="686"/>
      <c r="Q336" s="686"/>
      <c r="R336" s="687"/>
      <c r="S336" s="686"/>
      <c r="T336" s="686"/>
      <c r="U336" s="686"/>
      <c r="V336" s="686"/>
      <c r="W336" s="686"/>
    </row>
    <row r="337" ht="13.8" customHeight="1">
      <c r="A337" s="686"/>
      <c r="B337" s="686"/>
      <c r="C337" s="823"/>
      <c r="D337" s="686"/>
      <c r="E337" s="686"/>
      <c r="F337" s="686"/>
      <c r="G337" s="687"/>
      <c r="H337" s="686"/>
      <c r="I337" s="687"/>
      <c r="J337" s="686"/>
      <c r="K337" s="686"/>
      <c r="L337" s="686"/>
      <c r="M337" s="686"/>
      <c r="N337" s="686"/>
      <c r="O337" s="687"/>
      <c r="P337" s="686"/>
      <c r="Q337" s="686"/>
      <c r="R337" s="687"/>
      <c r="S337" s="686"/>
      <c r="T337" s="686"/>
      <c r="U337" s="686"/>
      <c r="V337" s="686"/>
      <c r="W337" s="686"/>
    </row>
    <row r="338" ht="13.8" customHeight="1">
      <c r="A338" s="686"/>
      <c r="B338" s="686"/>
      <c r="C338" s="823"/>
      <c r="D338" s="686"/>
      <c r="E338" s="686"/>
      <c r="F338" s="686"/>
      <c r="G338" s="687"/>
      <c r="H338" s="686"/>
      <c r="I338" s="687"/>
      <c r="J338" s="686"/>
      <c r="K338" s="686"/>
      <c r="L338" s="686"/>
      <c r="M338" s="686"/>
      <c r="N338" s="686"/>
      <c r="O338" s="687"/>
      <c r="P338" s="686"/>
      <c r="Q338" s="686"/>
      <c r="R338" s="687"/>
      <c r="S338" s="686"/>
      <c r="T338" s="686"/>
      <c r="U338" s="686"/>
      <c r="V338" s="686"/>
      <c r="W338" s="686"/>
    </row>
    <row r="339" ht="13.8" customHeight="1">
      <c r="A339" s="686"/>
      <c r="B339" s="686"/>
      <c r="C339" s="823"/>
      <c r="D339" s="686"/>
      <c r="E339" s="686"/>
      <c r="F339" s="686"/>
      <c r="G339" s="687"/>
      <c r="H339" s="686"/>
      <c r="I339" s="687"/>
      <c r="J339" s="686"/>
      <c r="K339" s="686"/>
      <c r="L339" s="686"/>
      <c r="M339" s="686"/>
      <c r="N339" s="686"/>
      <c r="O339" s="687"/>
      <c r="P339" s="686"/>
      <c r="Q339" s="686"/>
      <c r="R339" s="687"/>
      <c r="S339" s="686"/>
      <c r="T339" s="686"/>
      <c r="U339" s="686"/>
      <c r="V339" s="686"/>
      <c r="W339" s="686"/>
    </row>
    <row r="340" ht="13.8" customHeight="1">
      <c r="A340" s="686"/>
      <c r="B340" s="686"/>
      <c r="C340" s="823"/>
      <c r="D340" s="686"/>
      <c r="E340" s="686"/>
      <c r="F340" s="686"/>
      <c r="G340" s="687"/>
      <c r="H340" s="686"/>
      <c r="I340" s="687"/>
      <c r="J340" s="686"/>
      <c r="K340" s="686"/>
      <c r="L340" s="686"/>
      <c r="M340" s="686"/>
      <c r="N340" s="686"/>
      <c r="O340" s="687"/>
      <c r="P340" s="686"/>
      <c r="Q340" s="686"/>
      <c r="R340" s="687"/>
      <c r="S340" s="686"/>
      <c r="T340" s="686"/>
      <c r="U340" s="686"/>
      <c r="V340" s="686"/>
      <c r="W340" s="686"/>
    </row>
    <row r="341" ht="13.8" customHeight="1">
      <c r="A341" s="686"/>
      <c r="B341" s="686"/>
      <c r="C341" s="823"/>
      <c r="D341" s="686"/>
      <c r="E341" s="686"/>
      <c r="F341" s="686"/>
      <c r="G341" s="687"/>
      <c r="H341" s="686"/>
      <c r="I341" s="687"/>
      <c r="J341" s="686"/>
      <c r="K341" s="686"/>
      <c r="L341" s="686"/>
      <c r="M341" s="686"/>
      <c r="N341" s="686"/>
      <c r="O341" s="687"/>
      <c r="P341" s="686"/>
      <c r="Q341" s="686"/>
      <c r="R341" s="687"/>
      <c r="S341" s="686"/>
      <c r="T341" s="686"/>
      <c r="U341" s="686"/>
      <c r="V341" s="686"/>
      <c r="W341" s="686"/>
    </row>
    <row r="342" ht="13.8" customHeight="1">
      <c r="A342" s="686"/>
      <c r="B342" s="686"/>
      <c r="C342" s="823"/>
      <c r="D342" s="686"/>
      <c r="E342" s="686"/>
      <c r="F342" s="686"/>
      <c r="G342" s="687"/>
      <c r="H342" s="686"/>
      <c r="I342" s="687"/>
      <c r="J342" s="686"/>
      <c r="K342" s="686"/>
      <c r="L342" s="686"/>
      <c r="M342" s="686"/>
      <c r="N342" s="686"/>
      <c r="O342" s="687"/>
      <c r="P342" s="686"/>
      <c r="Q342" s="686"/>
      <c r="R342" s="687"/>
      <c r="S342" s="686"/>
      <c r="T342" s="686"/>
      <c r="U342" s="686"/>
      <c r="V342" s="686"/>
      <c r="W342" s="686"/>
    </row>
    <row r="343" ht="13.8" customHeight="1">
      <c r="A343" s="686"/>
      <c r="B343" s="686"/>
      <c r="C343" s="823"/>
      <c r="D343" s="686"/>
      <c r="E343" s="686"/>
      <c r="F343" s="686"/>
      <c r="G343" s="687"/>
      <c r="H343" s="686"/>
      <c r="I343" s="687"/>
      <c r="J343" s="686"/>
      <c r="K343" s="686"/>
      <c r="L343" s="686"/>
      <c r="M343" s="686"/>
      <c r="N343" s="686"/>
      <c r="O343" s="687"/>
      <c r="P343" s="686"/>
      <c r="Q343" s="686"/>
      <c r="R343" s="687"/>
      <c r="S343" s="686"/>
      <c r="T343" s="686"/>
      <c r="U343" s="686"/>
      <c r="V343" s="686"/>
      <c r="W343" s="686"/>
    </row>
    <row r="344" ht="13.8" customHeight="1">
      <c r="A344" s="686"/>
      <c r="B344" s="686"/>
      <c r="C344" s="823"/>
      <c r="D344" s="686"/>
      <c r="E344" s="686"/>
      <c r="F344" s="686"/>
      <c r="G344" s="687"/>
      <c r="H344" s="686"/>
      <c r="I344" s="687"/>
      <c r="J344" s="686"/>
      <c r="K344" s="686"/>
      <c r="L344" s="686"/>
      <c r="M344" s="686"/>
      <c r="N344" s="686"/>
      <c r="O344" s="687"/>
      <c r="P344" s="686"/>
      <c r="Q344" s="686"/>
      <c r="R344" s="687"/>
      <c r="S344" s="686"/>
      <c r="T344" s="686"/>
      <c r="U344" s="686"/>
      <c r="V344" s="686"/>
      <c r="W344" s="686"/>
    </row>
    <row r="345" ht="13.8" customHeight="1">
      <c r="A345" s="686"/>
      <c r="B345" s="686"/>
      <c r="C345" s="823"/>
      <c r="D345" s="686"/>
      <c r="E345" s="686"/>
      <c r="F345" s="686"/>
      <c r="G345" s="687"/>
      <c r="H345" s="686"/>
      <c r="I345" s="687"/>
      <c r="J345" s="686"/>
      <c r="K345" s="686"/>
      <c r="L345" s="686"/>
      <c r="M345" s="686"/>
      <c r="N345" s="686"/>
      <c r="O345" s="687"/>
      <c r="P345" s="686"/>
      <c r="Q345" s="686"/>
      <c r="R345" s="687"/>
      <c r="S345" s="686"/>
      <c r="T345" s="686"/>
      <c r="U345" s="686"/>
      <c r="V345" s="686"/>
      <c r="W345" s="686"/>
    </row>
    <row r="346" ht="13.8" customHeight="1">
      <c r="A346" s="686"/>
      <c r="B346" s="686"/>
      <c r="C346" s="823"/>
      <c r="D346" s="686"/>
      <c r="E346" s="686"/>
      <c r="F346" s="686"/>
      <c r="G346" s="687"/>
      <c r="H346" s="686"/>
      <c r="I346" s="687"/>
      <c r="J346" s="686"/>
      <c r="K346" s="686"/>
      <c r="L346" s="686"/>
      <c r="M346" s="686"/>
      <c r="N346" s="686"/>
      <c r="O346" s="687"/>
      <c r="P346" s="686"/>
      <c r="Q346" s="686"/>
      <c r="R346" s="687"/>
      <c r="S346" s="686"/>
      <c r="T346" s="686"/>
      <c r="U346" s="686"/>
      <c r="V346" s="686"/>
      <c r="W346" s="686"/>
    </row>
    <row r="347" ht="13.8" customHeight="1">
      <c r="A347" s="686"/>
      <c r="B347" s="686"/>
      <c r="C347" s="823"/>
      <c r="D347" s="686"/>
      <c r="E347" s="686"/>
      <c r="F347" s="686"/>
      <c r="G347" s="687"/>
      <c r="H347" s="686"/>
      <c r="I347" s="687"/>
      <c r="J347" s="686"/>
      <c r="K347" s="686"/>
      <c r="L347" s="686"/>
      <c r="M347" s="686"/>
      <c r="N347" s="686"/>
      <c r="O347" s="687"/>
      <c r="P347" s="686"/>
      <c r="Q347" s="686"/>
      <c r="R347" s="687"/>
      <c r="S347" s="686"/>
      <c r="T347" s="686"/>
      <c r="U347" s="686"/>
      <c r="V347" s="686"/>
      <c r="W347" s="686"/>
    </row>
    <row r="348" ht="13.8" customHeight="1">
      <c r="A348" s="686"/>
      <c r="B348" s="686"/>
      <c r="C348" s="823"/>
      <c r="D348" s="686"/>
      <c r="E348" s="686"/>
      <c r="F348" s="686"/>
      <c r="G348" s="687"/>
      <c r="H348" s="686"/>
      <c r="I348" s="687"/>
      <c r="J348" s="686"/>
      <c r="K348" s="686"/>
      <c r="L348" s="686"/>
      <c r="M348" s="686"/>
      <c r="N348" s="686"/>
      <c r="O348" s="687"/>
      <c r="P348" s="686"/>
      <c r="Q348" s="686"/>
      <c r="R348" s="687"/>
      <c r="S348" s="686"/>
      <c r="T348" s="686"/>
      <c r="U348" s="686"/>
      <c r="V348" s="686"/>
      <c r="W348" s="686"/>
    </row>
    <row r="349" ht="13.8" customHeight="1">
      <c r="A349" s="686"/>
      <c r="B349" s="686"/>
      <c r="C349" s="823"/>
      <c r="D349" s="686"/>
      <c r="E349" s="686"/>
      <c r="F349" s="686"/>
      <c r="G349" s="687"/>
      <c r="H349" s="686"/>
      <c r="I349" s="687"/>
      <c r="J349" s="686"/>
      <c r="K349" s="686"/>
      <c r="L349" s="686"/>
      <c r="M349" s="686"/>
      <c r="N349" s="686"/>
      <c r="O349" s="687"/>
      <c r="P349" s="686"/>
      <c r="Q349" s="686"/>
      <c r="R349" s="687"/>
      <c r="S349" s="686"/>
      <c r="T349" s="686"/>
      <c r="U349" s="686"/>
      <c r="V349" s="686"/>
      <c r="W349" s="686"/>
    </row>
    <row r="350" ht="13.8" customHeight="1">
      <c r="A350" s="686"/>
      <c r="B350" s="686"/>
      <c r="C350" s="823"/>
      <c r="D350" s="686"/>
      <c r="E350" s="686"/>
      <c r="F350" s="686"/>
      <c r="G350" s="687"/>
      <c r="H350" s="686"/>
      <c r="I350" s="687"/>
      <c r="J350" s="686"/>
      <c r="K350" s="686"/>
      <c r="L350" s="686"/>
      <c r="M350" s="686"/>
      <c r="N350" s="686"/>
      <c r="O350" s="687"/>
      <c r="P350" s="686"/>
      <c r="Q350" s="686"/>
      <c r="R350" s="687"/>
      <c r="S350" s="686"/>
      <c r="T350" s="686"/>
      <c r="U350" s="686"/>
      <c r="V350" s="686"/>
      <c r="W350" s="686"/>
    </row>
    <row r="351" ht="13.8" customHeight="1">
      <c r="A351" s="686"/>
      <c r="B351" s="686"/>
      <c r="C351" s="823"/>
      <c r="D351" s="686"/>
      <c r="E351" s="686"/>
      <c r="F351" s="686"/>
      <c r="G351" s="687"/>
      <c r="H351" s="686"/>
      <c r="I351" s="687"/>
      <c r="J351" s="686"/>
      <c r="K351" s="686"/>
      <c r="L351" s="686"/>
      <c r="M351" s="686"/>
      <c r="N351" s="686"/>
      <c r="O351" s="687"/>
      <c r="P351" s="686"/>
      <c r="Q351" s="686"/>
      <c r="R351" s="687"/>
      <c r="S351" s="686"/>
      <c r="T351" s="686"/>
      <c r="U351" s="686"/>
      <c r="V351" s="686"/>
      <c r="W351" s="686"/>
    </row>
    <row r="352" ht="13.8" customHeight="1">
      <c r="A352" s="686"/>
      <c r="B352" s="686"/>
      <c r="C352" s="823"/>
      <c r="D352" s="686"/>
      <c r="E352" s="686"/>
      <c r="F352" s="686"/>
      <c r="G352" s="687"/>
      <c r="H352" s="686"/>
      <c r="I352" s="687"/>
      <c r="J352" s="686"/>
      <c r="K352" s="686"/>
      <c r="L352" s="686"/>
      <c r="M352" s="686"/>
      <c r="N352" s="686"/>
      <c r="O352" s="687"/>
      <c r="P352" s="686"/>
      <c r="Q352" s="686"/>
      <c r="R352" s="687"/>
      <c r="S352" s="686"/>
      <c r="T352" s="686"/>
      <c r="U352" s="686"/>
      <c r="V352" s="686"/>
      <c r="W352" s="686"/>
    </row>
    <row r="353" ht="13.8" customHeight="1">
      <c r="A353" s="686"/>
      <c r="B353" s="686"/>
      <c r="C353" s="823"/>
      <c r="D353" s="686"/>
      <c r="E353" s="686"/>
      <c r="F353" s="686"/>
      <c r="G353" s="687"/>
      <c r="H353" s="686"/>
      <c r="I353" s="687"/>
      <c r="J353" s="686"/>
      <c r="K353" s="686"/>
      <c r="L353" s="686"/>
      <c r="M353" s="686"/>
      <c r="N353" s="686"/>
      <c r="O353" s="687"/>
      <c r="P353" s="686"/>
      <c r="Q353" s="686"/>
      <c r="R353" s="687"/>
      <c r="S353" s="686"/>
      <c r="T353" s="686"/>
      <c r="U353" s="686"/>
      <c r="V353" s="686"/>
      <c r="W353" s="686"/>
    </row>
    <row r="354" ht="13.8" customHeight="1">
      <c r="A354" s="686"/>
      <c r="B354" s="686"/>
      <c r="C354" s="823"/>
      <c r="D354" s="686"/>
      <c r="E354" s="686"/>
      <c r="F354" s="686"/>
      <c r="G354" s="687"/>
      <c r="H354" s="686"/>
      <c r="I354" s="687"/>
      <c r="J354" s="686"/>
      <c r="K354" s="686"/>
      <c r="L354" s="686"/>
      <c r="M354" s="686"/>
      <c r="N354" s="686"/>
      <c r="O354" s="687"/>
      <c r="P354" s="686"/>
      <c r="Q354" s="686"/>
      <c r="R354" s="687"/>
      <c r="S354" s="686"/>
      <c r="T354" s="686"/>
      <c r="U354" s="686"/>
      <c r="V354" s="686"/>
      <c r="W354" s="686"/>
    </row>
    <row r="355" ht="13.8" customHeight="1">
      <c r="A355" s="686"/>
      <c r="B355" s="686"/>
      <c r="C355" s="823"/>
      <c r="D355" s="686"/>
      <c r="E355" s="686"/>
      <c r="F355" s="686"/>
      <c r="G355" s="687"/>
      <c r="H355" s="686"/>
      <c r="I355" s="687"/>
      <c r="J355" s="686"/>
      <c r="K355" s="686"/>
      <c r="L355" s="686"/>
      <c r="M355" s="686"/>
      <c r="N355" s="686"/>
      <c r="O355" s="687"/>
      <c r="P355" s="686"/>
      <c r="Q355" s="686"/>
      <c r="R355" s="687"/>
      <c r="S355" s="686"/>
      <c r="T355" s="686"/>
      <c r="U355" s="686"/>
      <c r="V355" s="686"/>
      <c r="W355" s="686"/>
    </row>
    <row r="356" ht="13.8" customHeight="1">
      <c r="A356" s="686"/>
      <c r="B356" s="686"/>
      <c r="C356" s="823"/>
      <c r="D356" s="686"/>
      <c r="E356" s="686"/>
      <c r="F356" s="686"/>
      <c r="G356" s="687"/>
      <c r="H356" s="686"/>
      <c r="I356" s="687"/>
      <c r="J356" s="686"/>
      <c r="K356" s="686"/>
      <c r="L356" s="686"/>
      <c r="M356" s="686"/>
      <c r="N356" s="686"/>
      <c r="O356" s="687"/>
      <c r="P356" s="686"/>
      <c r="Q356" s="686"/>
      <c r="R356" s="687"/>
      <c r="S356" s="686"/>
      <c r="T356" s="686"/>
      <c r="U356" s="686"/>
      <c r="V356" s="686"/>
      <c r="W356" s="686"/>
    </row>
    <row r="357" ht="13.8" customHeight="1">
      <c r="A357" s="686"/>
      <c r="B357" s="686"/>
      <c r="C357" s="823"/>
      <c r="D357" s="686"/>
      <c r="E357" s="686"/>
      <c r="F357" s="686"/>
      <c r="G357" s="687"/>
      <c r="H357" s="686"/>
      <c r="I357" s="687"/>
      <c r="J357" s="686"/>
      <c r="K357" s="686"/>
      <c r="L357" s="686"/>
      <c r="M357" s="686"/>
      <c r="N357" s="686"/>
      <c r="O357" s="687"/>
      <c r="P357" s="686"/>
      <c r="Q357" s="686"/>
      <c r="R357" s="687"/>
      <c r="S357" s="686"/>
      <c r="T357" s="686"/>
      <c r="U357" s="686"/>
      <c r="V357" s="686"/>
      <c r="W357" s="686"/>
    </row>
    <row r="358" ht="13.8" customHeight="1">
      <c r="A358" s="686"/>
      <c r="B358" s="686"/>
      <c r="C358" s="823"/>
      <c r="D358" s="686"/>
      <c r="E358" s="686"/>
      <c r="F358" s="686"/>
      <c r="G358" s="687"/>
      <c r="H358" s="686"/>
      <c r="I358" s="687"/>
      <c r="J358" s="686"/>
      <c r="K358" s="686"/>
      <c r="L358" s="686"/>
      <c r="M358" s="686"/>
      <c r="N358" s="686"/>
      <c r="O358" s="687"/>
      <c r="P358" s="686"/>
      <c r="Q358" s="686"/>
      <c r="R358" s="687"/>
      <c r="S358" s="686"/>
      <c r="T358" s="686"/>
      <c r="U358" s="686"/>
      <c r="V358" s="686"/>
      <c r="W358" s="686"/>
    </row>
    <row r="359" ht="13.8" customHeight="1">
      <c r="A359" s="686"/>
      <c r="B359" s="686"/>
      <c r="C359" s="823"/>
      <c r="D359" s="686"/>
      <c r="E359" s="686"/>
      <c r="F359" s="686"/>
      <c r="G359" s="687"/>
      <c r="H359" s="686"/>
      <c r="I359" s="687"/>
      <c r="J359" s="686"/>
      <c r="K359" s="686"/>
      <c r="L359" s="686"/>
      <c r="M359" s="686"/>
      <c r="N359" s="686"/>
      <c r="O359" s="687"/>
      <c r="P359" s="686"/>
      <c r="Q359" s="686"/>
      <c r="R359" s="687"/>
      <c r="S359" s="686"/>
      <c r="T359" s="686"/>
      <c r="U359" s="686"/>
      <c r="V359" s="686"/>
      <c r="W359" s="686"/>
    </row>
    <row r="360" ht="13.8" customHeight="1">
      <c r="A360" s="686"/>
      <c r="B360" s="686"/>
      <c r="C360" s="823"/>
      <c r="D360" s="686"/>
      <c r="E360" s="686"/>
      <c r="F360" s="686"/>
      <c r="G360" s="687"/>
      <c r="H360" s="686"/>
      <c r="I360" s="687"/>
      <c r="J360" s="686"/>
      <c r="K360" s="686"/>
      <c r="L360" s="686"/>
      <c r="M360" s="686"/>
      <c r="N360" s="686"/>
      <c r="O360" s="687"/>
      <c r="P360" s="686"/>
      <c r="Q360" s="686"/>
      <c r="R360" s="687"/>
      <c r="S360" s="686"/>
      <c r="T360" s="686"/>
      <c r="U360" s="686"/>
      <c r="V360" s="686"/>
      <c r="W360" s="686"/>
    </row>
    <row r="361" ht="13.8" customHeight="1">
      <c r="A361" s="686"/>
      <c r="B361" s="686"/>
      <c r="C361" s="823"/>
      <c r="D361" s="686"/>
      <c r="E361" s="686"/>
      <c r="F361" s="686"/>
      <c r="G361" s="687"/>
      <c r="H361" s="686"/>
      <c r="I361" s="687"/>
      <c r="J361" s="686"/>
      <c r="K361" s="686"/>
      <c r="L361" s="686"/>
      <c r="M361" s="686"/>
      <c r="N361" s="686"/>
      <c r="O361" s="687"/>
      <c r="P361" s="686"/>
      <c r="Q361" s="686"/>
      <c r="R361" s="687"/>
      <c r="S361" s="686"/>
      <c r="T361" s="686"/>
      <c r="U361" s="686"/>
      <c r="V361" s="686"/>
      <c r="W361" s="686"/>
    </row>
    <row r="362" ht="13.8" customHeight="1">
      <c r="A362" s="686"/>
      <c r="B362" s="686"/>
      <c r="C362" s="823"/>
      <c r="D362" s="686"/>
      <c r="E362" s="686"/>
      <c r="F362" s="686"/>
      <c r="G362" s="687"/>
      <c r="H362" s="686"/>
      <c r="I362" s="687"/>
      <c r="J362" s="686"/>
      <c r="K362" s="686"/>
      <c r="L362" s="686"/>
      <c r="M362" s="686"/>
      <c r="N362" s="686"/>
      <c r="O362" s="687"/>
      <c r="P362" s="686"/>
      <c r="Q362" s="686"/>
      <c r="R362" s="687"/>
      <c r="S362" s="686"/>
      <c r="T362" s="686"/>
      <c r="U362" s="686"/>
      <c r="V362" s="686"/>
      <c r="W362" s="686"/>
    </row>
    <row r="363" ht="13.8" customHeight="1">
      <c r="A363" s="686"/>
      <c r="B363" s="686"/>
      <c r="C363" s="823"/>
      <c r="D363" s="686"/>
      <c r="E363" s="686"/>
      <c r="F363" s="686"/>
      <c r="G363" s="687"/>
      <c r="H363" s="686"/>
      <c r="I363" s="687"/>
      <c r="J363" s="686"/>
      <c r="K363" s="686"/>
      <c r="L363" s="686"/>
      <c r="M363" s="686"/>
      <c r="N363" s="686"/>
      <c r="O363" s="687"/>
      <c r="P363" s="686"/>
      <c r="Q363" s="686"/>
      <c r="R363" s="687"/>
      <c r="S363" s="686"/>
      <c r="T363" s="686"/>
      <c r="U363" s="686"/>
      <c r="V363" s="686"/>
      <c r="W363" s="686"/>
    </row>
    <row r="364" ht="13.8" customHeight="1">
      <c r="A364" s="686"/>
      <c r="B364" s="686"/>
      <c r="C364" s="823"/>
      <c r="D364" s="686"/>
      <c r="E364" s="686"/>
      <c r="F364" s="686"/>
      <c r="G364" s="687"/>
      <c r="H364" s="686"/>
      <c r="I364" s="687"/>
      <c r="J364" s="686"/>
      <c r="K364" s="686"/>
      <c r="L364" s="686"/>
      <c r="M364" s="686"/>
      <c r="N364" s="686"/>
      <c r="O364" s="687"/>
      <c r="P364" s="686"/>
      <c r="Q364" s="686"/>
      <c r="R364" s="687"/>
      <c r="S364" s="686"/>
      <c r="T364" s="686"/>
      <c r="U364" s="686"/>
      <c r="V364" s="686"/>
      <c r="W364" s="686"/>
    </row>
    <row r="365" ht="13.8" customHeight="1">
      <c r="A365" s="686"/>
      <c r="B365" s="686"/>
      <c r="C365" s="823"/>
      <c r="D365" s="686"/>
      <c r="E365" s="686"/>
      <c r="F365" s="686"/>
      <c r="G365" s="687"/>
      <c r="H365" s="686"/>
      <c r="I365" s="687"/>
      <c r="J365" s="686"/>
      <c r="K365" s="686"/>
      <c r="L365" s="686"/>
      <c r="M365" s="686"/>
      <c r="N365" s="686"/>
      <c r="O365" s="687"/>
      <c r="P365" s="686"/>
      <c r="Q365" s="686"/>
      <c r="R365" s="687"/>
      <c r="S365" s="686"/>
      <c r="T365" s="686"/>
      <c r="U365" s="686"/>
      <c r="V365" s="686"/>
      <c r="W365" s="686"/>
    </row>
    <row r="366" ht="13.8" customHeight="1">
      <c r="A366" s="686"/>
      <c r="B366" s="686"/>
      <c r="C366" s="823"/>
      <c r="D366" s="686"/>
      <c r="E366" s="686"/>
      <c r="F366" s="686"/>
      <c r="G366" s="687"/>
      <c r="H366" s="686"/>
      <c r="I366" s="687"/>
      <c r="J366" s="686"/>
      <c r="K366" s="686"/>
      <c r="L366" s="686"/>
      <c r="M366" s="686"/>
      <c r="N366" s="686"/>
      <c r="O366" s="687"/>
      <c r="P366" s="686"/>
      <c r="Q366" s="686"/>
      <c r="R366" s="687"/>
      <c r="S366" s="686"/>
      <c r="T366" s="686"/>
      <c r="U366" s="686"/>
      <c r="V366" s="686"/>
      <c r="W366" s="686"/>
    </row>
    <row r="367" ht="13.8" customHeight="1">
      <c r="A367" s="686"/>
      <c r="B367" s="686"/>
      <c r="C367" s="823"/>
      <c r="D367" s="686"/>
      <c r="E367" s="686"/>
      <c r="F367" s="686"/>
      <c r="G367" s="687"/>
      <c r="H367" s="686"/>
      <c r="I367" s="687"/>
      <c r="J367" s="686"/>
      <c r="K367" s="686"/>
      <c r="L367" s="686"/>
      <c r="M367" s="686"/>
      <c r="N367" s="686"/>
      <c r="O367" s="687"/>
      <c r="P367" s="686"/>
      <c r="Q367" s="686"/>
      <c r="R367" s="687"/>
      <c r="S367" s="686"/>
      <c r="T367" s="686"/>
      <c r="U367" s="686"/>
      <c r="V367" s="686"/>
      <c r="W367" s="686"/>
    </row>
    <row r="368" ht="13.8" customHeight="1">
      <c r="A368" s="686"/>
      <c r="B368" s="686"/>
      <c r="C368" s="823"/>
      <c r="D368" s="686"/>
      <c r="E368" s="686"/>
      <c r="F368" s="686"/>
      <c r="G368" s="687"/>
      <c r="H368" s="686"/>
      <c r="I368" s="687"/>
      <c r="J368" s="686"/>
      <c r="K368" s="686"/>
      <c r="L368" s="686"/>
      <c r="M368" s="686"/>
      <c r="N368" s="686"/>
      <c r="O368" s="687"/>
      <c r="P368" s="686"/>
      <c r="Q368" s="686"/>
      <c r="R368" s="687"/>
      <c r="S368" s="686"/>
      <c r="T368" s="686"/>
      <c r="U368" s="686"/>
      <c r="V368" s="686"/>
      <c r="W368" s="686"/>
    </row>
    <row r="369" ht="13.8" customHeight="1">
      <c r="A369" s="686"/>
      <c r="B369" s="686"/>
      <c r="C369" s="823"/>
      <c r="D369" s="686"/>
      <c r="E369" s="686"/>
      <c r="F369" s="686"/>
      <c r="G369" s="687"/>
      <c r="H369" s="686"/>
      <c r="I369" s="687"/>
      <c r="J369" s="686"/>
      <c r="K369" s="686"/>
      <c r="L369" s="686"/>
      <c r="M369" s="686"/>
      <c r="N369" s="686"/>
      <c r="O369" s="687"/>
      <c r="P369" s="686"/>
      <c r="Q369" s="686"/>
      <c r="R369" s="687"/>
      <c r="S369" s="686"/>
      <c r="T369" s="686"/>
      <c r="U369" s="686"/>
      <c r="V369" s="686"/>
      <c r="W369" s="686"/>
    </row>
    <row r="370" ht="13.8" customHeight="1">
      <c r="A370" s="686"/>
      <c r="B370" s="686"/>
      <c r="C370" s="823"/>
      <c r="D370" s="686"/>
      <c r="E370" s="686"/>
      <c r="F370" s="686"/>
      <c r="G370" s="687"/>
      <c r="H370" s="686"/>
      <c r="I370" s="687"/>
      <c r="J370" s="686"/>
      <c r="K370" s="686"/>
      <c r="L370" s="686"/>
      <c r="M370" s="686"/>
      <c r="N370" s="686"/>
      <c r="O370" s="687"/>
      <c r="P370" s="686"/>
      <c r="Q370" s="686"/>
      <c r="R370" s="687"/>
      <c r="S370" s="686"/>
      <c r="T370" s="686"/>
      <c r="U370" s="686"/>
      <c r="V370" s="686"/>
      <c r="W370" s="686"/>
    </row>
    <row r="371" ht="13.8" customHeight="1">
      <c r="A371" s="686"/>
      <c r="B371" s="686"/>
      <c r="C371" s="823"/>
      <c r="D371" s="686"/>
      <c r="E371" s="686"/>
      <c r="F371" s="686"/>
      <c r="G371" s="687"/>
      <c r="H371" s="686"/>
      <c r="I371" s="687"/>
      <c r="J371" s="686"/>
      <c r="K371" s="686"/>
      <c r="L371" s="686"/>
      <c r="M371" s="686"/>
      <c r="N371" s="686"/>
      <c r="O371" s="687"/>
      <c r="P371" s="686"/>
      <c r="Q371" s="686"/>
      <c r="R371" s="687"/>
      <c r="S371" s="686"/>
      <c r="T371" s="686"/>
      <c r="U371" s="686"/>
      <c r="V371" s="686"/>
      <c r="W371" s="686"/>
    </row>
    <row r="372" ht="13.8" customHeight="1">
      <c r="A372" s="686"/>
      <c r="B372" s="686"/>
      <c r="C372" s="823"/>
      <c r="D372" s="686"/>
      <c r="E372" s="686"/>
      <c r="F372" s="686"/>
      <c r="G372" s="687"/>
      <c r="H372" s="686"/>
      <c r="I372" s="687"/>
      <c r="J372" s="686"/>
      <c r="K372" s="686"/>
      <c r="L372" s="686"/>
      <c r="M372" s="686"/>
      <c r="N372" s="686"/>
      <c r="O372" s="687"/>
      <c r="P372" s="686"/>
      <c r="Q372" s="686"/>
      <c r="R372" s="687"/>
      <c r="S372" s="686"/>
      <c r="T372" s="686"/>
      <c r="U372" s="686"/>
      <c r="V372" s="686"/>
      <c r="W372" s="686"/>
    </row>
    <row r="373" ht="13.8" customHeight="1">
      <c r="A373" s="686"/>
      <c r="B373" s="686"/>
      <c r="C373" s="823"/>
      <c r="D373" s="686"/>
      <c r="E373" s="686"/>
      <c r="F373" s="686"/>
      <c r="G373" s="687"/>
      <c r="H373" s="686"/>
      <c r="I373" s="687"/>
      <c r="J373" s="686"/>
      <c r="K373" s="686"/>
      <c r="L373" s="686"/>
      <c r="M373" s="686"/>
      <c r="N373" s="686"/>
      <c r="O373" s="687"/>
      <c r="P373" s="686"/>
      <c r="Q373" s="686"/>
      <c r="R373" s="687"/>
      <c r="S373" s="686"/>
      <c r="T373" s="686"/>
      <c r="U373" s="686"/>
      <c r="V373" s="686"/>
      <c r="W373" s="686"/>
    </row>
    <row r="374" ht="13.8" customHeight="1">
      <c r="A374" s="686"/>
      <c r="B374" s="686"/>
      <c r="C374" s="823"/>
      <c r="D374" s="686"/>
      <c r="E374" s="686"/>
      <c r="F374" s="686"/>
      <c r="G374" s="687"/>
      <c r="H374" s="686"/>
      <c r="I374" s="687"/>
      <c r="J374" s="686"/>
      <c r="K374" s="686"/>
      <c r="L374" s="686"/>
      <c r="M374" s="686"/>
      <c r="N374" s="686"/>
      <c r="O374" s="687"/>
      <c r="P374" s="686"/>
      <c r="Q374" s="686"/>
      <c r="R374" s="687"/>
      <c r="S374" s="686"/>
      <c r="T374" s="686"/>
      <c r="U374" s="686"/>
      <c r="V374" s="686"/>
      <c r="W374" s="686"/>
    </row>
    <row r="375" ht="13.8" customHeight="1">
      <c r="A375" s="686"/>
      <c r="B375" s="686"/>
      <c r="C375" s="823"/>
      <c r="D375" s="686"/>
      <c r="E375" s="686"/>
      <c r="F375" s="686"/>
      <c r="G375" s="687"/>
      <c r="H375" s="686"/>
      <c r="I375" s="687"/>
      <c r="J375" s="686"/>
      <c r="K375" s="686"/>
      <c r="L375" s="686"/>
      <c r="M375" s="686"/>
      <c r="N375" s="686"/>
      <c r="O375" s="687"/>
      <c r="P375" s="686"/>
      <c r="Q375" s="686"/>
      <c r="R375" s="687"/>
      <c r="S375" s="686"/>
      <c r="T375" s="686"/>
      <c r="U375" s="686"/>
      <c r="V375" s="686"/>
      <c r="W375" s="686"/>
    </row>
    <row r="376" ht="13.8" customHeight="1">
      <c r="A376" s="686"/>
      <c r="B376" s="686"/>
      <c r="C376" s="823"/>
      <c r="D376" s="686"/>
      <c r="E376" s="686"/>
      <c r="F376" s="686"/>
      <c r="G376" s="687"/>
      <c r="H376" s="686"/>
      <c r="I376" s="687"/>
      <c r="J376" s="686"/>
      <c r="K376" s="686"/>
      <c r="L376" s="686"/>
      <c r="M376" s="686"/>
      <c r="N376" s="686"/>
      <c r="O376" s="687"/>
      <c r="P376" s="686"/>
      <c r="Q376" s="686"/>
      <c r="R376" s="687"/>
      <c r="S376" s="686"/>
      <c r="T376" s="686"/>
      <c r="U376" s="686"/>
      <c r="V376" s="686"/>
      <c r="W376" s="686"/>
    </row>
    <row r="377" ht="13.8" customHeight="1">
      <c r="A377" s="686"/>
      <c r="B377" s="686"/>
      <c r="C377" s="823"/>
      <c r="D377" s="686"/>
      <c r="E377" s="686"/>
      <c r="F377" s="686"/>
      <c r="G377" s="687"/>
      <c r="H377" s="686"/>
      <c r="I377" s="687"/>
      <c r="J377" s="686"/>
      <c r="K377" s="686"/>
      <c r="L377" s="686"/>
      <c r="M377" s="686"/>
      <c r="N377" s="686"/>
      <c r="O377" s="687"/>
      <c r="P377" s="686"/>
      <c r="Q377" s="686"/>
      <c r="R377" s="687"/>
      <c r="S377" s="686"/>
      <c r="T377" s="686"/>
      <c r="U377" s="686"/>
      <c r="V377" s="686"/>
      <c r="W377" s="686"/>
    </row>
    <row r="378" ht="13.8" customHeight="1">
      <c r="A378" s="686"/>
      <c r="B378" s="686"/>
      <c r="C378" s="823"/>
      <c r="D378" s="686"/>
      <c r="E378" s="686"/>
      <c r="F378" s="686"/>
      <c r="G378" s="687"/>
      <c r="H378" s="686"/>
      <c r="I378" s="687"/>
      <c r="J378" s="686"/>
      <c r="K378" s="686"/>
      <c r="L378" s="686"/>
      <c r="M378" s="686"/>
      <c r="N378" s="686"/>
      <c r="O378" s="687"/>
      <c r="P378" s="686"/>
      <c r="Q378" s="686"/>
      <c r="R378" s="687"/>
      <c r="S378" s="686"/>
      <c r="T378" s="686"/>
      <c r="U378" s="686"/>
      <c r="V378" s="686"/>
      <c r="W378" s="686"/>
    </row>
    <row r="379" ht="13.8" customHeight="1">
      <c r="A379" s="686"/>
      <c r="B379" s="686"/>
      <c r="C379" s="823"/>
      <c r="D379" s="686"/>
      <c r="E379" s="686"/>
      <c r="F379" s="686"/>
      <c r="G379" s="687"/>
      <c r="H379" s="686"/>
      <c r="I379" s="687"/>
      <c r="J379" s="686"/>
      <c r="K379" s="686"/>
      <c r="L379" s="686"/>
      <c r="M379" s="686"/>
      <c r="N379" s="686"/>
      <c r="O379" s="687"/>
      <c r="P379" s="686"/>
      <c r="Q379" s="686"/>
      <c r="R379" s="687"/>
      <c r="S379" s="686"/>
      <c r="T379" s="686"/>
      <c r="U379" s="686"/>
      <c r="V379" s="686"/>
      <c r="W379" s="686"/>
    </row>
    <row r="380" ht="13.8" customHeight="1">
      <c r="A380" s="686"/>
      <c r="B380" s="686"/>
      <c r="C380" s="823"/>
      <c r="D380" s="686"/>
      <c r="E380" s="686"/>
      <c r="F380" s="686"/>
      <c r="G380" s="687"/>
      <c r="H380" s="686"/>
      <c r="I380" s="687"/>
      <c r="J380" s="686"/>
      <c r="K380" s="686"/>
      <c r="L380" s="686"/>
      <c r="M380" s="686"/>
      <c r="N380" s="686"/>
      <c r="O380" s="687"/>
      <c r="P380" s="686"/>
      <c r="Q380" s="686"/>
      <c r="R380" s="687"/>
      <c r="S380" s="686"/>
      <c r="T380" s="686"/>
      <c r="U380" s="686"/>
      <c r="V380" s="686"/>
      <c r="W380" s="686"/>
    </row>
    <row r="381" ht="13.8" customHeight="1">
      <c r="A381" s="686"/>
      <c r="B381" s="686"/>
      <c r="C381" s="823"/>
      <c r="D381" s="686"/>
      <c r="E381" s="686"/>
      <c r="F381" s="686"/>
      <c r="G381" s="687"/>
      <c r="H381" s="686"/>
      <c r="I381" s="687"/>
      <c r="J381" s="686"/>
      <c r="K381" s="686"/>
      <c r="L381" s="686"/>
      <c r="M381" s="686"/>
      <c r="N381" s="686"/>
      <c r="O381" s="687"/>
      <c r="P381" s="686"/>
      <c r="Q381" s="686"/>
      <c r="R381" s="687"/>
      <c r="S381" s="686"/>
      <c r="T381" s="686"/>
      <c r="U381" s="686"/>
      <c r="V381" s="686"/>
      <c r="W381" s="686"/>
    </row>
    <row r="382" ht="13.8" customHeight="1">
      <c r="A382" s="686"/>
      <c r="B382" s="686"/>
      <c r="C382" s="823"/>
      <c r="D382" s="686"/>
      <c r="E382" s="686"/>
      <c r="F382" s="686"/>
      <c r="G382" s="687"/>
      <c r="H382" s="686"/>
      <c r="I382" s="687"/>
      <c r="J382" s="686"/>
      <c r="K382" s="686"/>
      <c r="L382" s="686"/>
      <c r="M382" s="686"/>
      <c r="N382" s="686"/>
      <c r="O382" s="687"/>
      <c r="P382" s="686"/>
      <c r="Q382" s="686"/>
      <c r="R382" s="687"/>
      <c r="S382" s="686"/>
      <c r="T382" s="686"/>
      <c r="U382" s="686"/>
      <c r="V382" s="686"/>
      <c r="W382" s="686"/>
    </row>
    <row r="383" ht="13.8" customHeight="1">
      <c r="A383" s="686"/>
      <c r="B383" s="686"/>
      <c r="C383" s="823"/>
      <c r="D383" s="686"/>
      <c r="E383" s="686"/>
      <c r="F383" s="686"/>
      <c r="G383" s="687"/>
      <c r="H383" s="686"/>
      <c r="I383" s="687"/>
      <c r="J383" s="686"/>
      <c r="K383" s="686"/>
      <c r="L383" s="686"/>
      <c r="M383" s="686"/>
      <c r="N383" s="686"/>
      <c r="O383" s="687"/>
      <c r="P383" s="686"/>
      <c r="Q383" s="686"/>
      <c r="R383" s="687"/>
      <c r="S383" s="686"/>
      <c r="T383" s="686"/>
      <c r="U383" s="686"/>
      <c r="V383" s="686"/>
      <c r="W383" s="686"/>
    </row>
    <row r="384" ht="13.8" customHeight="1">
      <c r="A384" s="686"/>
      <c r="B384" s="686"/>
      <c r="C384" s="823"/>
      <c r="D384" s="686"/>
      <c r="E384" s="686"/>
      <c r="F384" s="686"/>
      <c r="G384" s="687"/>
      <c r="H384" s="686"/>
      <c r="I384" s="687"/>
      <c r="J384" s="686"/>
      <c r="K384" s="686"/>
      <c r="L384" s="686"/>
      <c r="M384" s="686"/>
      <c r="N384" s="686"/>
      <c r="O384" s="687"/>
      <c r="P384" s="686"/>
      <c r="Q384" s="686"/>
      <c r="R384" s="687"/>
      <c r="S384" s="686"/>
      <c r="T384" s="686"/>
      <c r="U384" s="686"/>
      <c r="V384" s="686"/>
      <c r="W384" s="686"/>
    </row>
    <row r="385" ht="13.8" customHeight="1">
      <c r="A385" s="686"/>
      <c r="B385" s="686"/>
      <c r="C385" s="823"/>
      <c r="D385" s="686"/>
      <c r="E385" s="686"/>
      <c r="F385" s="686"/>
      <c r="G385" s="687"/>
      <c r="H385" s="686"/>
      <c r="I385" s="687"/>
      <c r="J385" s="686"/>
      <c r="K385" s="686"/>
      <c r="L385" s="686"/>
      <c r="M385" s="686"/>
      <c r="N385" s="686"/>
      <c r="O385" s="687"/>
      <c r="P385" s="686"/>
      <c r="Q385" s="686"/>
      <c r="R385" s="687"/>
      <c r="S385" s="686"/>
      <c r="T385" s="686"/>
      <c r="U385" s="686"/>
      <c r="V385" s="686"/>
      <c r="W385" s="686"/>
    </row>
    <row r="386" ht="13.8" customHeight="1">
      <c r="A386" s="686"/>
      <c r="B386" s="686"/>
      <c r="C386" s="823"/>
      <c r="D386" s="686"/>
      <c r="E386" s="686"/>
      <c r="F386" s="686"/>
      <c r="G386" s="687"/>
      <c r="H386" s="686"/>
      <c r="I386" s="687"/>
      <c r="J386" s="686"/>
      <c r="K386" s="686"/>
      <c r="L386" s="686"/>
      <c r="M386" s="686"/>
      <c r="N386" s="686"/>
      <c r="O386" s="687"/>
      <c r="P386" s="686"/>
      <c r="Q386" s="686"/>
      <c r="R386" s="687"/>
      <c r="S386" s="686"/>
      <c r="T386" s="686"/>
      <c r="U386" s="686"/>
      <c r="V386" s="686"/>
      <c r="W386" s="686"/>
    </row>
    <row r="387" ht="13.8" customHeight="1">
      <c r="A387" s="686"/>
      <c r="B387" s="686"/>
      <c r="C387" s="823"/>
      <c r="D387" s="686"/>
      <c r="E387" s="686"/>
      <c r="F387" s="686"/>
      <c r="G387" s="687"/>
      <c r="H387" s="686"/>
      <c r="I387" s="687"/>
      <c r="J387" s="686"/>
      <c r="K387" s="686"/>
      <c r="L387" s="686"/>
      <c r="M387" s="686"/>
      <c r="N387" s="686"/>
      <c r="O387" s="687"/>
      <c r="P387" s="686"/>
      <c r="Q387" s="686"/>
      <c r="R387" s="687"/>
      <c r="S387" s="686"/>
      <c r="T387" s="686"/>
      <c r="U387" s="686"/>
      <c r="V387" s="686"/>
      <c r="W387" s="686"/>
    </row>
    <row r="388" ht="13.8" customHeight="1">
      <c r="A388" s="686"/>
      <c r="B388" s="686"/>
      <c r="C388" s="823"/>
      <c r="D388" s="686"/>
      <c r="E388" s="686"/>
      <c r="F388" s="686"/>
      <c r="G388" s="687"/>
      <c r="H388" s="686"/>
      <c r="I388" s="687"/>
      <c r="J388" s="686"/>
      <c r="K388" s="686"/>
      <c r="L388" s="686"/>
      <c r="M388" s="686"/>
      <c r="N388" s="686"/>
      <c r="O388" s="687"/>
      <c r="P388" s="686"/>
      <c r="Q388" s="686"/>
      <c r="R388" s="687"/>
      <c r="S388" s="686"/>
      <c r="T388" s="686"/>
      <c r="U388" s="686"/>
      <c r="V388" s="686"/>
      <c r="W388" s="686"/>
    </row>
    <row r="389" ht="13.8" customHeight="1">
      <c r="A389" s="686"/>
      <c r="B389" s="686"/>
      <c r="C389" s="823"/>
      <c r="D389" s="686"/>
      <c r="E389" s="686"/>
      <c r="F389" s="686"/>
      <c r="G389" s="687"/>
      <c r="H389" s="686"/>
      <c r="I389" s="687"/>
      <c r="J389" s="686"/>
      <c r="K389" s="686"/>
      <c r="L389" s="686"/>
      <c r="M389" s="686"/>
      <c r="N389" s="686"/>
      <c r="O389" s="687"/>
      <c r="P389" s="686"/>
      <c r="Q389" s="686"/>
      <c r="R389" s="687"/>
      <c r="S389" s="686"/>
      <c r="T389" s="686"/>
      <c r="U389" s="686"/>
      <c r="V389" s="686"/>
      <c r="W389" s="686"/>
    </row>
    <row r="390" ht="13.8" customHeight="1">
      <c r="A390" s="686"/>
      <c r="B390" s="686"/>
      <c r="C390" s="823"/>
      <c r="D390" s="686"/>
      <c r="E390" s="686"/>
      <c r="F390" s="686"/>
      <c r="G390" s="687"/>
      <c r="H390" s="686"/>
      <c r="I390" s="687"/>
      <c r="J390" s="686"/>
      <c r="K390" s="686"/>
      <c r="L390" s="686"/>
      <c r="M390" s="686"/>
      <c r="N390" s="686"/>
      <c r="O390" s="687"/>
      <c r="P390" s="686"/>
      <c r="Q390" s="686"/>
      <c r="R390" s="687"/>
      <c r="S390" s="686"/>
      <c r="T390" s="686"/>
      <c r="U390" s="686"/>
      <c r="V390" s="686"/>
      <c r="W390" s="686"/>
    </row>
    <row r="391" ht="13.8" customHeight="1">
      <c r="A391" s="686"/>
      <c r="B391" s="686"/>
      <c r="C391" s="823"/>
      <c r="D391" s="686"/>
      <c r="E391" s="686"/>
      <c r="F391" s="686"/>
      <c r="G391" s="687"/>
      <c r="H391" s="686"/>
      <c r="I391" s="687"/>
      <c r="J391" s="686"/>
      <c r="K391" s="686"/>
      <c r="L391" s="686"/>
      <c r="M391" s="686"/>
      <c r="N391" s="686"/>
      <c r="O391" s="687"/>
      <c r="P391" s="686"/>
      <c r="Q391" s="686"/>
      <c r="R391" s="687"/>
      <c r="S391" s="686"/>
      <c r="T391" s="686"/>
      <c r="U391" s="686"/>
      <c r="V391" s="686"/>
      <c r="W391" s="686"/>
    </row>
    <row r="392" ht="13.8" customHeight="1">
      <c r="A392" s="686"/>
      <c r="B392" s="686"/>
      <c r="C392" s="823"/>
      <c r="D392" s="686"/>
      <c r="E392" s="686"/>
      <c r="F392" s="686"/>
      <c r="G392" s="687"/>
      <c r="H392" s="686"/>
      <c r="I392" s="687"/>
      <c r="J392" s="686"/>
      <c r="K392" s="686"/>
      <c r="L392" s="686"/>
      <c r="M392" s="686"/>
      <c r="N392" s="686"/>
      <c r="O392" s="687"/>
      <c r="P392" s="686"/>
      <c r="Q392" s="686"/>
      <c r="R392" s="687"/>
      <c r="S392" s="686"/>
      <c r="T392" s="686"/>
      <c r="U392" s="686"/>
      <c r="V392" s="686"/>
      <c r="W392" s="686"/>
    </row>
    <row r="393" ht="13.8" customHeight="1">
      <c r="A393" s="686"/>
      <c r="B393" s="686"/>
      <c r="C393" s="823"/>
      <c r="D393" s="686"/>
      <c r="E393" s="686"/>
      <c r="F393" s="686"/>
      <c r="G393" s="687"/>
      <c r="H393" s="686"/>
      <c r="I393" s="687"/>
      <c r="J393" s="686"/>
      <c r="K393" s="686"/>
      <c r="L393" s="686"/>
      <c r="M393" s="686"/>
      <c r="N393" s="686"/>
      <c r="O393" s="687"/>
      <c r="P393" s="686"/>
      <c r="Q393" s="686"/>
      <c r="R393" s="687"/>
      <c r="S393" s="686"/>
      <c r="T393" s="686"/>
      <c r="U393" s="686"/>
      <c r="V393" s="686"/>
      <c r="W393" s="686"/>
    </row>
    <row r="394" ht="13.8" customHeight="1">
      <c r="A394" s="686"/>
      <c r="B394" s="686"/>
      <c r="C394" s="823"/>
      <c r="D394" s="686"/>
      <c r="E394" s="686"/>
      <c r="F394" s="686"/>
      <c r="G394" s="687"/>
      <c r="H394" s="686"/>
      <c r="I394" s="687"/>
      <c r="J394" s="686"/>
      <c r="K394" s="686"/>
      <c r="L394" s="686"/>
      <c r="M394" s="686"/>
      <c r="N394" s="686"/>
      <c r="O394" s="687"/>
      <c r="P394" s="686"/>
      <c r="Q394" s="686"/>
      <c r="R394" s="687"/>
      <c r="S394" s="686"/>
      <c r="T394" s="686"/>
      <c r="U394" s="686"/>
      <c r="V394" s="686"/>
      <c r="W394" s="686"/>
    </row>
    <row r="395" ht="13.8" customHeight="1">
      <c r="A395" s="686"/>
      <c r="B395" s="686"/>
      <c r="C395" s="823"/>
      <c r="D395" s="686"/>
      <c r="E395" s="686"/>
      <c r="F395" s="686"/>
      <c r="G395" s="687"/>
      <c r="H395" s="686"/>
      <c r="I395" s="687"/>
      <c r="J395" s="686"/>
      <c r="K395" s="686"/>
      <c r="L395" s="686"/>
      <c r="M395" s="686"/>
      <c r="N395" s="686"/>
      <c r="O395" s="687"/>
      <c r="P395" s="686"/>
      <c r="Q395" s="686"/>
      <c r="R395" s="687"/>
      <c r="S395" s="686"/>
      <c r="T395" s="686"/>
      <c r="U395" s="686"/>
      <c r="V395" s="686"/>
      <c r="W395" s="686"/>
    </row>
    <row r="396" ht="13.8" customHeight="1">
      <c r="A396" s="686"/>
      <c r="B396" s="686"/>
      <c r="C396" s="823"/>
      <c r="D396" s="686"/>
      <c r="E396" s="686"/>
      <c r="F396" s="686"/>
      <c r="G396" s="687"/>
      <c r="H396" s="686"/>
      <c r="I396" s="687"/>
      <c r="J396" s="686"/>
      <c r="K396" s="686"/>
      <c r="L396" s="686"/>
      <c r="M396" s="686"/>
      <c r="N396" s="686"/>
      <c r="O396" s="687"/>
      <c r="P396" s="686"/>
      <c r="Q396" s="686"/>
      <c r="R396" s="687"/>
      <c r="S396" s="686"/>
      <c r="T396" s="686"/>
      <c r="U396" s="686"/>
      <c r="V396" s="686"/>
      <c r="W396" s="686"/>
    </row>
    <row r="397" ht="13.8" customHeight="1">
      <c r="A397" s="686"/>
      <c r="B397" s="686"/>
      <c r="C397" s="823"/>
      <c r="D397" s="686"/>
      <c r="E397" s="686"/>
      <c r="F397" s="686"/>
      <c r="G397" s="687"/>
      <c r="H397" s="686"/>
      <c r="I397" s="687"/>
      <c r="J397" s="686"/>
      <c r="K397" s="686"/>
      <c r="L397" s="686"/>
      <c r="M397" s="686"/>
      <c r="N397" s="686"/>
      <c r="O397" s="687"/>
      <c r="P397" s="686"/>
      <c r="Q397" s="686"/>
      <c r="R397" s="687"/>
      <c r="S397" s="686"/>
      <c r="T397" s="686"/>
      <c r="U397" s="686"/>
      <c r="V397" s="686"/>
      <c r="W397" s="686"/>
    </row>
    <row r="398" ht="13.8" customHeight="1">
      <c r="A398" s="686"/>
      <c r="B398" s="686"/>
      <c r="C398" s="823"/>
      <c r="D398" s="686"/>
      <c r="E398" s="686"/>
      <c r="F398" s="686"/>
      <c r="G398" s="687"/>
      <c r="H398" s="686"/>
      <c r="I398" s="687"/>
      <c r="J398" s="686"/>
      <c r="K398" s="686"/>
      <c r="L398" s="686"/>
      <c r="M398" s="686"/>
      <c r="N398" s="686"/>
      <c r="O398" s="687"/>
      <c r="P398" s="686"/>
      <c r="Q398" s="686"/>
      <c r="R398" s="687"/>
      <c r="S398" s="686"/>
      <c r="T398" s="686"/>
      <c r="U398" s="686"/>
      <c r="V398" s="686"/>
      <c r="W398" s="686"/>
    </row>
    <row r="399" ht="13.8" customHeight="1">
      <c r="A399" s="686"/>
      <c r="B399" s="686"/>
      <c r="C399" s="823"/>
      <c r="D399" s="686"/>
      <c r="E399" s="686"/>
      <c r="F399" s="686"/>
      <c r="G399" s="687"/>
      <c r="H399" s="686"/>
      <c r="I399" s="687"/>
      <c r="J399" s="686"/>
      <c r="K399" s="686"/>
      <c r="L399" s="686"/>
      <c r="M399" s="686"/>
      <c r="N399" s="686"/>
      <c r="O399" s="687"/>
      <c r="P399" s="686"/>
      <c r="Q399" s="686"/>
      <c r="R399" s="687"/>
      <c r="S399" s="686"/>
      <c r="T399" s="686"/>
      <c r="U399" s="686"/>
      <c r="V399" s="686"/>
      <c r="W399" s="686"/>
    </row>
    <row r="400" ht="13.8" customHeight="1">
      <c r="A400" s="686"/>
      <c r="B400" s="686"/>
      <c r="C400" s="823"/>
      <c r="D400" s="686"/>
      <c r="E400" s="686"/>
      <c r="F400" s="686"/>
      <c r="G400" s="687"/>
      <c r="H400" s="686"/>
      <c r="I400" s="687"/>
      <c r="J400" s="686"/>
      <c r="K400" s="686"/>
      <c r="L400" s="686"/>
      <c r="M400" s="686"/>
      <c r="N400" s="686"/>
      <c r="O400" s="687"/>
      <c r="P400" s="686"/>
      <c r="Q400" s="686"/>
      <c r="R400" s="687"/>
      <c r="S400" s="686"/>
      <c r="T400" s="686"/>
      <c r="U400" s="686"/>
      <c r="V400" s="686"/>
      <c r="W400" s="686"/>
    </row>
    <row r="401" ht="13.8" customHeight="1">
      <c r="A401" s="686"/>
      <c r="B401" s="686"/>
      <c r="C401" s="823"/>
      <c r="D401" s="686"/>
      <c r="E401" s="686"/>
      <c r="F401" s="686"/>
      <c r="G401" s="687"/>
      <c r="H401" s="686"/>
      <c r="I401" s="687"/>
      <c r="J401" s="686"/>
      <c r="K401" s="686"/>
      <c r="L401" s="686"/>
      <c r="M401" s="686"/>
      <c r="N401" s="686"/>
      <c r="O401" s="687"/>
      <c r="P401" s="686"/>
      <c r="Q401" s="686"/>
      <c r="R401" s="687"/>
      <c r="S401" s="686"/>
      <c r="T401" s="686"/>
      <c r="U401" s="686"/>
      <c r="V401" s="686"/>
      <c r="W401" s="686"/>
    </row>
    <row r="402" ht="13.8" customHeight="1">
      <c r="A402" s="686"/>
      <c r="B402" s="686"/>
      <c r="C402" s="823"/>
      <c r="D402" s="686"/>
      <c r="E402" s="686"/>
      <c r="F402" s="686"/>
      <c r="G402" s="687"/>
      <c r="H402" s="686"/>
      <c r="I402" s="687"/>
      <c r="J402" s="686"/>
      <c r="K402" s="686"/>
      <c r="L402" s="686"/>
      <c r="M402" s="686"/>
      <c r="N402" s="686"/>
      <c r="O402" s="687"/>
      <c r="P402" s="686"/>
      <c r="Q402" s="686"/>
      <c r="R402" s="687"/>
      <c r="S402" s="686"/>
      <c r="T402" s="686"/>
      <c r="U402" s="686"/>
      <c r="V402" s="686"/>
      <c r="W402" s="686"/>
    </row>
    <row r="403" ht="13.8" customHeight="1">
      <c r="A403" s="686"/>
      <c r="B403" s="686"/>
      <c r="C403" s="823"/>
      <c r="D403" s="686"/>
      <c r="E403" s="686"/>
      <c r="F403" s="686"/>
      <c r="G403" s="687"/>
      <c r="H403" s="686"/>
      <c r="I403" s="687"/>
      <c r="J403" s="686"/>
      <c r="K403" s="686"/>
      <c r="L403" s="686"/>
      <c r="M403" s="686"/>
      <c r="N403" s="686"/>
      <c r="O403" s="687"/>
      <c r="P403" s="686"/>
      <c r="Q403" s="686"/>
      <c r="R403" s="687"/>
      <c r="S403" s="686"/>
      <c r="T403" s="686"/>
      <c r="U403" s="686"/>
      <c r="V403" s="686"/>
      <c r="W403" s="686"/>
    </row>
    <row r="404" ht="13.8" customHeight="1">
      <c r="A404" s="686"/>
      <c r="B404" s="686"/>
      <c r="C404" s="823"/>
      <c r="D404" s="686"/>
      <c r="E404" s="686"/>
      <c r="F404" s="686"/>
      <c r="G404" s="687"/>
      <c r="H404" s="686"/>
      <c r="I404" s="687"/>
      <c r="J404" s="686"/>
      <c r="K404" s="686"/>
      <c r="L404" s="686"/>
      <c r="M404" s="686"/>
      <c r="N404" s="686"/>
      <c r="O404" s="687"/>
      <c r="P404" s="686"/>
      <c r="Q404" s="686"/>
      <c r="R404" s="687"/>
      <c r="S404" s="686"/>
      <c r="T404" s="686"/>
      <c r="U404" s="686"/>
      <c r="V404" s="686"/>
      <c r="W404" s="686"/>
    </row>
    <row r="405" ht="13.8" customHeight="1">
      <c r="A405" s="686"/>
      <c r="B405" s="686"/>
      <c r="C405" s="823"/>
      <c r="D405" s="686"/>
      <c r="E405" s="686"/>
      <c r="F405" s="686"/>
      <c r="G405" s="687"/>
      <c r="H405" s="686"/>
      <c r="I405" s="687"/>
      <c r="J405" s="686"/>
      <c r="K405" s="686"/>
      <c r="L405" s="686"/>
      <c r="M405" s="686"/>
      <c r="N405" s="686"/>
      <c r="O405" s="687"/>
      <c r="P405" s="686"/>
      <c r="Q405" s="686"/>
      <c r="R405" s="687"/>
      <c r="S405" s="686"/>
      <c r="T405" s="686"/>
      <c r="U405" s="686"/>
      <c r="V405" s="686"/>
      <c r="W405" s="686"/>
    </row>
    <row r="406" ht="13.8" customHeight="1">
      <c r="A406" s="686"/>
      <c r="B406" s="686"/>
      <c r="C406" s="823"/>
      <c r="D406" s="686"/>
      <c r="E406" s="686"/>
      <c r="F406" s="686"/>
      <c r="G406" s="687"/>
      <c r="H406" s="686"/>
      <c r="I406" s="687"/>
      <c r="J406" s="686"/>
      <c r="K406" s="686"/>
      <c r="L406" s="686"/>
      <c r="M406" s="686"/>
      <c r="N406" s="686"/>
      <c r="O406" s="687"/>
      <c r="P406" s="686"/>
      <c r="Q406" s="686"/>
      <c r="R406" s="687"/>
      <c r="S406" s="686"/>
      <c r="T406" s="686"/>
      <c r="U406" s="686"/>
      <c r="V406" s="686"/>
      <c r="W406" s="686"/>
    </row>
    <row r="407" ht="13.8" customHeight="1">
      <c r="A407" s="686"/>
      <c r="B407" s="686"/>
      <c r="C407" s="823"/>
      <c r="D407" s="686"/>
      <c r="E407" s="686"/>
      <c r="F407" s="686"/>
      <c r="G407" s="687"/>
      <c r="H407" s="686"/>
      <c r="I407" s="687"/>
      <c r="J407" s="686"/>
      <c r="K407" s="686"/>
      <c r="L407" s="686"/>
      <c r="M407" s="686"/>
      <c r="N407" s="686"/>
      <c r="O407" s="687"/>
      <c r="P407" s="686"/>
      <c r="Q407" s="686"/>
      <c r="R407" s="687"/>
      <c r="S407" s="686"/>
      <c r="T407" s="686"/>
      <c r="U407" s="686"/>
      <c r="V407" s="686"/>
      <c r="W407" s="686"/>
    </row>
    <row r="408" ht="13.8" customHeight="1">
      <c r="A408" s="686"/>
      <c r="B408" s="686"/>
      <c r="C408" s="823"/>
      <c r="D408" s="686"/>
      <c r="E408" s="686"/>
      <c r="F408" s="686"/>
      <c r="G408" s="687"/>
      <c r="H408" s="686"/>
      <c r="I408" s="687"/>
      <c r="J408" s="686"/>
      <c r="K408" s="686"/>
      <c r="L408" s="686"/>
      <c r="M408" s="686"/>
      <c r="N408" s="686"/>
      <c r="O408" s="687"/>
      <c r="P408" s="686"/>
      <c r="Q408" s="686"/>
      <c r="R408" s="687"/>
      <c r="S408" s="686"/>
      <c r="T408" s="686"/>
      <c r="U408" s="686"/>
      <c r="V408" s="686"/>
      <c r="W408" s="686"/>
    </row>
    <row r="409" ht="13.8" customHeight="1">
      <c r="A409" s="686"/>
      <c r="B409" s="686"/>
      <c r="C409" s="823"/>
      <c r="D409" s="686"/>
      <c r="E409" s="686"/>
      <c r="F409" s="686"/>
      <c r="G409" s="687"/>
      <c r="H409" s="686"/>
      <c r="I409" s="687"/>
      <c r="J409" s="686"/>
      <c r="K409" s="686"/>
      <c r="L409" s="686"/>
      <c r="M409" s="686"/>
      <c r="N409" s="686"/>
      <c r="O409" s="687"/>
      <c r="P409" s="686"/>
      <c r="Q409" s="686"/>
      <c r="R409" s="687"/>
      <c r="S409" s="686"/>
      <c r="T409" s="686"/>
      <c r="U409" s="686"/>
      <c r="V409" s="686"/>
      <c r="W409" s="686"/>
    </row>
    <row r="410" ht="13.8" customHeight="1">
      <c r="A410" s="686"/>
      <c r="B410" s="686"/>
      <c r="C410" s="823"/>
      <c r="D410" s="686"/>
      <c r="E410" s="686"/>
      <c r="F410" s="686"/>
      <c r="G410" s="687"/>
      <c r="H410" s="686"/>
      <c r="I410" s="687"/>
      <c r="J410" s="686"/>
      <c r="K410" s="686"/>
      <c r="L410" s="686"/>
      <c r="M410" s="686"/>
      <c r="N410" s="686"/>
      <c r="O410" s="687"/>
      <c r="P410" s="686"/>
      <c r="Q410" s="686"/>
      <c r="R410" s="687"/>
      <c r="S410" s="686"/>
      <c r="T410" s="686"/>
      <c r="U410" s="686"/>
      <c r="V410" s="686"/>
      <c r="W410" s="686"/>
    </row>
    <row r="411" ht="13.8" customHeight="1">
      <c r="A411" s="686"/>
      <c r="B411" s="686"/>
      <c r="C411" s="823"/>
      <c r="D411" s="686"/>
      <c r="E411" s="686"/>
      <c r="F411" s="686"/>
      <c r="G411" s="687"/>
      <c r="H411" s="686"/>
      <c r="I411" s="687"/>
      <c r="J411" s="686"/>
      <c r="K411" s="686"/>
      <c r="L411" s="686"/>
      <c r="M411" s="686"/>
      <c r="N411" s="686"/>
      <c r="O411" s="687"/>
      <c r="P411" s="686"/>
      <c r="Q411" s="686"/>
      <c r="R411" s="687"/>
      <c r="S411" s="686"/>
      <c r="T411" s="686"/>
      <c r="U411" s="686"/>
      <c r="V411" s="686"/>
      <c r="W411" s="686"/>
    </row>
    <row r="412" ht="13.8" customHeight="1">
      <c r="A412" s="686"/>
      <c r="B412" s="686"/>
      <c r="C412" s="823"/>
      <c r="D412" s="686"/>
      <c r="E412" s="686"/>
      <c r="F412" s="686"/>
      <c r="G412" s="687"/>
      <c r="H412" s="686"/>
      <c r="I412" s="687"/>
      <c r="J412" s="686"/>
      <c r="K412" s="686"/>
      <c r="L412" s="686"/>
      <c r="M412" s="686"/>
      <c r="N412" s="686"/>
      <c r="O412" s="687"/>
      <c r="P412" s="686"/>
      <c r="Q412" s="686"/>
      <c r="R412" s="687"/>
      <c r="S412" s="686"/>
      <c r="T412" s="686"/>
      <c r="U412" s="686"/>
      <c r="V412" s="686"/>
      <c r="W412" s="686"/>
    </row>
    <row r="413" ht="13.8" customHeight="1">
      <c r="A413" s="686"/>
      <c r="B413" s="686"/>
      <c r="C413" s="823"/>
      <c r="D413" s="686"/>
      <c r="E413" s="686"/>
      <c r="F413" s="686"/>
      <c r="G413" s="687"/>
      <c r="H413" s="686"/>
      <c r="I413" s="687"/>
      <c r="J413" s="686"/>
      <c r="K413" s="686"/>
      <c r="L413" s="686"/>
      <c r="M413" s="686"/>
      <c r="N413" s="686"/>
      <c r="O413" s="687"/>
      <c r="P413" s="686"/>
      <c r="Q413" s="686"/>
      <c r="R413" s="687"/>
      <c r="S413" s="686"/>
      <c r="T413" s="686"/>
      <c r="U413" s="686"/>
      <c r="V413" s="686"/>
      <c r="W413" s="686"/>
    </row>
    <row r="414" ht="13.8" customHeight="1">
      <c r="A414" s="686"/>
      <c r="B414" s="686"/>
      <c r="C414" s="823"/>
      <c r="D414" s="686"/>
      <c r="E414" s="686"/>
      <c r="F414" s="686"/>
      <c r="G414" s="687"/>
      <c r="H414" s="686"/>
      <c r="I414" s="687"/>
      <c r="J414" s="686"/>
      <c r="K414" s="686"/>
      <c r="L414" s="686"/>
      <c r="M414" s="686"/>
      <c r="N414" s="686"/>
      <c r="O414" s="687"/>
      <c r="P414" s="686"/>
      <c r="Q414" s="686"/>
      <c r="R414" s="687"/>
      <c r="S414" s="686"/>
      <c r="T414" s="686"/>
      <c r="U414" s="686"/>
      <c r="V414" s="686"/>
      <c r="W414" s="686"/>
    </row>
    <row r="415" ht="13.8" customHeight="1">
      <c r="A415" s="686"/>
      <c r="B415" s="686"/>
      <c r="C415" s="823"/>
      <c r="D415" s="686"/>
      <c r="E415" s="686"/>
      <c r="F415" s="686"/>
      <c r="G415" s="687"/>
      <c r="H415" s="686"/>
      <c r="I415" s="687"/>
      <c r="J415" s="686"/>
      <c r="K415" s="686"/>
      <c r="L415" s="686"/>
      <c r="M415" s="686"/>
      <c r="N415" s="686"/>
      <c r="O415" s="687"/>
      <c r="P415" s="686"/>
      <c r="Q415" s="686"/>
      <c r="R415" s="687"/>
      <c r="S415" s="686"/>
      <c r="T415" s="686"/>
      <c r="U415" s="686"/>
      <c r="V415" s="686"/>
      <c r="W415" s="686"/>
    </row>
    <row r="416" ht="13.8" customHeight="1">
      <c r="A416" s="686"/>
      <c r="B416" s="686"/>
      <c r="C416" s="823"/>
      <c r="D416" s="686"/>
      <c r="E416" s="686"/>
      <c r="F416" s="686"/>
      <c r="G416" s="687"/>
      <c r="H416" s="686"/>
      <c r="I416" s="687"/>
      <c r="J416" s="686"/>
      <c r="K416" s="686"/>
      <c r="L416" s="686"/>
      <c r="M416" s="686"/>
      <c r="N416" s="686"/>
      <c r="O416" s="687"/>
      <c r="P416" s="686"/>
      <c r="Q416" s="686"/>
      <c r="R416" s="687"/>
      <c r="S416" s="686"/>
      <c r="T416" s="686"/>
      <c r="U416" s="686"/>
      <c r="V416" s="686"/>
      <c r="W416" s="686"/>
    </row>
    <row r="417" ht="13.8" customHeight="1">
      <c r="A417" s="686"/>
      <c r="B417" s="686"/>
      <c r="C417" s="823"/>
      <c r="D417" s="686"/>
      <c r="E417" s="686"/>
      <c r="F417" s="686"/>
      <c r="G417" s="687"/>
      <c r="H417" s="686"/>
      <c r="I417" s="687"/>
      <c r="J417" s="686"/>
      <c r="K417" s="686"/>
      <c r="L417" s="686"/>
      <c r="M417" s="686"/>
      <c r="N417" s="686"/>
      <c r="O417" s="687"/>
      <c r="P417" s="686"/>
      <c r="Q417" s="686"/>
      <c r="R417" s="687"/>
      <c r="S417" s="686"/>
      <c r="T417" s="686"/>
      <c r="U417" s="686"/>
      <c r="V417" s="686"/>
      <c r="W417" s="686"/>
    </row>
    <row r="418" ht="13.8" customHeight="1">
      <c r="A418" s="686"/>
      <c r="B418" s="686"/>
      <c r="C418" s="823"/>
      <c r="D418" s="686"/>
      <c r="E418" s="686"/>
      <c r="F418" s="686"/>
      <c r="G418" s="687"/>
      <c r="H418" s="686"/>
      <c r="I418" s="687"/>
      <c r="J418" s="686"/>
      <c r="K418" s="686"/>
      <c r="L418" s="686"/>
      <c r="M418" s="686"/>
      <c r="N418" s="686"/>
      <c r="O418" s="687"/>
      <c r="P418" s="686"/>
      <c r="Q418" s="686"/>
      <c r="R418" s="687"/>
      <c r="S418" s="686"/>
      <c r="T418" s="686"/>
      <c r="U418" s="686"/>
      <c r="V418" s="686"/>
      <c r="W418" s="686"/>
    </row>
    <row r="419" ht="13.8" customHeight="1">
      <c r="A419" s="686"/>
      <c r="B419" s="686"/>
      <c r="C419" s="823"/>
      <c r="D419" s="686"/>
      <c r="E419" s="686"/>
      <c r="F419" s="686"/>
      <c r="G419" s="687"/>
      <c r="H419" s="686"/>
      <c r="I419" s="687"/>
      <c r="J419" s="686"/>
      <c r="K419" s="686"/>
      <c r="L419" s="686"/>
      <c r="M419" s="686"/>
      <c r="N419" s="686"/>
      <c r="O419" s="687"/>
      <c r="P419" s="686"/>
      <c r="Q419" s="686"/>
      <c r="R419" s="687"/>
      <c r="S419" s="686"/>
      <c r="T419" s="686"/>
      <c r="U419" s="686"/>
      <c r="V419" s="686"/>
      <c r="W419" s="686"/>
    </row>
    <row r="420" ht="13.8" customHeight="1">
      <c r="A420" s="686"/>
      <c r="B420" s="686"/>
      <c r="C420" s="823"/>
      <c r="D420" s="686"/>
      <c r="E420" s="686"/>
      <c r="F420" s="686"/>
      <c r="G420" s="687"/>
      <c r="H420" s="686"/>
      <c r="I420" s="687"/>
      <c r="J420" s="686"/>
      <c r="K420" s="686"/>
      <c r="L420" s="686"/>
      <c r="M420" s="686"/>
      <c r="N420" s="686"/>
      <c r="O420" s="687"/>
      <c r="P420" s="686"/>
      <c r="Q420" s="686"/>
      <c r="R420" s="687"/>
      <c r="S420" s="686"/>
      <c r="T420" s="686"/>
      <c r="U420" s="686"/>
      <c r="V420" s="686"/>
      <c r="W420" s="686"/>
    </row>
    <row r="421" ht="13.8" customHeight="1">
      <c r="A421" s="686"/>
      <c r="B421" s="686"/>
      <c r="C421" s="823"/>
      <c r="D421" s="686"/>
      <c r="E421" s="686"/>
      <c r="F421" s="686"/>
      <c r="G421" s="687"/>
      <c r="H421" s="686"/>
      <c r="I421" s="687"/>
      <c r="J421" s="686"/>
      <c r="K421" s="686"/>
      <c r="L421" s="686"/>
      <c r="M421" s="686"/>
      <c r="N421" s="686"/>
      <c r="O421" s="687"/>
      <c r="P421" s="686"/>
      <c r="Q421" s="686"/>
      <c r="R421" s="687"/>
      <c r="S421" s="686"/>
      <c r="T421" s="686"/>
      <c r="U421" s="686"/>
      <c r="V421" s="686"/>
      <c r="W421" s="686"/>
    </row>
    <row r="422" ht="13.8" customHeight="1">
      <c r="A422" s="686"/>
      <c r="B422" s="686"/>
      <c r="C422" s="823"/>
      <c r="D422" s="686"/>
      <c r="E422" s="686"/>
      <c r="F422" s="686"/>
      <c r="G422" s="687"/>
      <c r="H422" s="686"/>
      <c r="I422" s="687"/>
      <c r="J422" s="686"/>
      <c r="K422" s="686"/>
      <c r="L422" s="686"/>
      <c r="M422" s="686"/>
      <c r="N422" s="686"/>
      <c r="O422" s="687"/>
      <c r="P422" s="686"/>
      <c r="Q422" s="686"/>
      <c r="R422" s="687"/>
      <c r="S422" s="686"/>
      <c r="T422" s="686"/>
      <c r="U422" s="686"/>
      <c r="V422" s="686"/>
      <c r="W422" s="686"/>
    </row>
    <row r="423" ht="13.8" customHeight="1">
      <c r="A423" s="686"/>
      <c r="B423" s="686"/>
      <c r="C423" s="823"/>
      <c r="D423" s="686"/>
      <c r="E423" s="686"/>
      <c r="F423" s="686"/>
      <c r="G423" s="687"/>
      <c r="H423" s="686"/>
      <c r="I423" s="687"/>
      <c r="J423" s="686"/>
      <c r="K423" s="686"/>
      <c r="L423" s="686"/>
      <c r="M423" s="686"/>
      <c r="N423" s="686"/>
      <c r="O423" s="687"/>
      <c r="P423" s="686"/>
      <c r="Q423" s="686"/>
      <c r="R423" s="687"/>
      <c r="S423" s="686"/>
      <c r="T423" s="686"/>
      <c r="U423" s="686"/>
      <c r="V423" s="686"/>
      <c r="W423" s="686"/>
    </row>
    <row r="424" ht="13.8" customHeight="1">
      <c r="A424" s="686"/>
      <c r="B424" s="686"/>
      <c r="C424" s="823"/>
      <c r="D424" s="686"/>
      <c r="E424" s="686"/>
      <c r="F424" s="686"/>
      <c r="G424" s="687"/>
      <c r="H424" s="686"/>
      <c r="I424" s="687"/>
      <c r="J424" s="686"/>
      <c r="K424" s="686"/>
      <c r="L424" s="686"/>
      <c r="M424" s="686"/>
      <c r="N424" s="686"/>
      <c r="O424" s="687"/>
      <c r="P424" s="686"/>
      <c r="Q424" s="686"/>
      <c r="R424" s="687"/>
      <c r="S424" s="686"/>
      <c r="T424" s="686"/>
      <c r="U424" s="686"/>
      <c r="V424" s="686"/>
      <c r="W424" s="686"/>
    </row>
    <row r="425" ht="13.8" customHeight="1">
      <c r="A425" s="686"/>
      <c r="B425" s="686"/>
      <c r="C425" s="823"/>
      <c r="D425" s="686"/>
      <c r="E425" s="686"/>
      <c r="F425" s="686"/>
      <c r="G425" s="687"/>
      <c r="H425" s="686"/>
      <c r="I425" s="687"/>
      <c r="J425" s="686"/>
      <c r="K425" s="686"/>
      <c r="L425" s="686"/>
      <c r="M425" s="686"/>
      <c r="N425" s="686"/>
      <c r="O425" s="687"/>
      <c r="P425" s="686"/>
      <c r="Q425" s="686"/>
      <c r="R425" s="687"/>
      <c r="S425" s="686"/>
      <c r="T425" s="686"/>
      <c r="U425" s="686"/>
      <c r="V425" s="686"/>
      <c r="W425" s="686"/>
    </row>
    <row r="426" ht="13.8" customHeight="1">
      <c r="A426" s="686"/>
      <c r="B426" s="686"/>
      <c r="C426" s="823"/>
      <c r="D426" s="686"/>
      <c r="E426" s="686"/>
      <c r="F426" s="686"/>
      <c r="G426" s="687"/>
      <c r="H426" s="686"/>
      <c r="I426" s="687"/>
      <c r="J426" s="686"/>
      <c r="K426" s="686"/>
      <c r="L426" s="686"/>
      <c r="M426" s="686"/>
      <c r="N426" s="686"/>
      <c r="O426" s="687"/>
      <c r="P426" s="686"/>
      <c r="Q426" s="686"/>
      <c r="R426" s="687"/>
      <c r="S426" s="686"/>
      <c r="T426" s="686"/>
      <c r="U426" s="686"/>
      <c r="V426" s="686"/>
      <c r="W426" s="686"/>
    </row>
    <row r="427" ht="13.8" customHeight="1">
      <c r="A427" s="686"/>
      <c r="B427" s="686"/>
      <c r="C427" s="823"/>
      <c r="D427" s="686"/>
      <c r="E427" s="686"/>
      <c r="F427" s="686"/>
      <c r="G427" s="687"/>
      <c r="H427" s="686"/>
      <c r="I427" s="687"/>
      <c r="J427" s="686"/>
      <c r="K427" s="686"/>
      <c r="L427" s="686"/>
      <c r="M427" s="686"/>
      <c r="N427" s="686"/>
      <c r="O427" s="687"/>
      <c r="P427" s="686"/>
      <c r="Q427" s="686"/>
      <c r="R427" s="687"/>
      <c r="S427" s="686"/>
      <c r="T427" s="686"/>
      <c r="U427" s="686"/>
      <c r="V427" s="686"/>
      <c r="W427" s="686"/>
    </row>
    <row r="428" ht="13.8" customHeight="1">
      <c r="A428" s="686"/>
      <c r="B428" s="686"/>
      <c r="C428" s="823"/>
      <c r="D428" s="686"/>
      <c r="E428" s="686"/>
      <c r="F428" s="686"/>
      <c r="G428" s="687"/>
      <c r="H428" s="686"/>
      <c r="I428" s="687"/>
      <c r="J428" s="686"/>
      <c r="K428" s="686"/>
      <c r="L428" s="686"/>
      <c r="M428" s="686"/>
      <c r="N428" s="686"/>
      <c r="O428" s="687"/>
      <c r="P428" s="686"/>
      <c r="Q428" s="686"/>
      <c r="R428" s="687"/>
      <c r="S428" s="686"/>
      <c r="T428" s="686"/>
      <c r="U428" s="686"/>
      <c r="V428" s="686"/>
      <c r="W428" s="686"/>
    </row>
    <row r="429" ht="13.8" customHeight="1">
      <c r="A429" s="686"/>
      <c r="B429" s="686"/>
      <c r="C429" s="823"/>
      <c r="D429" s="686"/>
      <c r="E429" s="686"/>
      <c r="F429" s="686"/>
      <c r="G429" s="687"/>
      <c r="H429" s="686"/>
      <c r="I429" s="687"/>
      <c r="J429" s="686"/>
      <c r="K429" s="686"/>
      <c r="L429" s="686"/>
      <c r="M429" s="686"/>
      <c r="N429" s="686"/>
      <c r="O429" s="687"/>
      <c r="P429" s="686"/>
      <c r="Q429" s="686"/>
      <c r="R429" s="687"/>
      <c r="S429" s="686"/>
      <c r="T429" s="686"/>
      <c r="U429" s="686"/>
      <c r="V429" s="686"/>
      <c r="W429" s="686"/>
    </row>
    <row r="430" ht="13.8" customHeight="1">
      <c r="A430" s="686"/>
      <c r="B430" s="686"/>
      <c r="C430" s="823"/>
      <c r="D430" s="686"/>
      <c r="E430" s="686"/>
      <c r="F430" s="686"/>
      <c r="G430" s="687"/>
      <c r="H430" s="686"/>
      <c r="I430" s="687"/>
      <c r="J430" s="686"/>
      <c r="K430" s="686"/>
      <c r="L430" s="686"/>
      <c r="M430" s="686"/>
      <c r="N430" s="686"/>
      <c r="O430" s="687"/>
      <c r="P430" s="686"/>
      <c r="Q430" s="686"/>
      <c r="R430" s="687"/>
      <c r="S430" s="686"/>
      <c r="T430" s="686"/>
      <c r="U430" s="686"/>
      <c r="V430" s="686"/>
      <c r="W430" s="686"/>
    </row>
    <row r="431" ht="13.8" customHeight="1">
      <c r="A431" s="686"/>
      <c r="B431" s="686"/>
      <c r="C431" s="823"/>
      <c r="D431" s="686"/>
      <c r="E431" s="686"/>
      <c r="F431" s="686"/>
      <c r="G431" s="687"/>
      <c r="H431" s="686"/>
      <c r="I431" s="687"/>
      <c r="J431" s="686"/>
      <c r="K431" s="686"/>
      <c r="L431" s="686"/>
      <c r="M431" s="686"/>
      <c r="N431" s="686"/>
      <c r="O431" s="687"/>
      <c r="P431" s="686"/>
      <c r="Q431" s="686"/>
      <c r="R431" s="687"/>
      <c r="S431" s="686"/>
      <c r="T431" s="686"/>
      <c r="U431" s="686"/>
      <c r="V431" s="686"/>
      <c r="W431" s="686"/>
    </row>
    <row r="432" ht="13.8" customHeight="1">
      <c r="A432" s="686"/>
      <c r="B432" s="686"/>
      <c r="C432" s="823"/>
      <c r="D432" s="686"/>
      <c r="E432" s="686"/>
      <c r="F432" s="686"/>
      <c r="G432" s="687"/>
      <c r="H432" s="686"/>
      <c r="I432" s="687"/>
      <c r="J432" s="686"/>
      <c r="K432" s="686"/>
      <c r="L432" s="686"/>
      <c r="M432" s="686"/>
      <c r="N432" s="686"/>
      <c r="O432" s="687"/>
      <c r="P432" s="686"/>
      <c r="Q432" s="686"/>
      <c r="R432" s="687"/>
      <c r="S432" s="686"/>
      <c r="T432" s="686"/>
      <c r="U432" s="686"/>
      <c r="V432" s="686"/>
      <c r="W432" s="686"/>
    </row>
    <row r="433" ht="13.8" customHeight="1">
      <c r="A433" s="686"/>
      <c r="B433" s="686"/>
      <c r="C433" s="823"/>
      <c r="D433" s="686"/>
      <c r="E433" s="686"/>
      <c r="F433" s="686"/>
      <c r="G433" s="687"/>
      <c r="H433" s="686"/>
      <c r="I433" s="687"/>
      <c r="J433" s="686"/>
      <c r="K433" s="686"/>
      <c r="L433" s="686"/>
      <c r="M433" s="686"/>
      <c r="N433" s="686"/>
      <c r="O433" s="687"/>
      <c r="P433" s="686"/>
      <c r="Q433" s="686"/>
      <c r="R433" s="687"/>
      <c r="S433" s="686"/>
      <c r="T433" s="686"/>
      <c r="U433" s="686"/>
      <c r="V433" s="686"/>
      <c r="W433" s="686"/>
    </row>
    <row r="434" ht="13.8" customHeight="1">
      <c r="A434" s="686"/>
      <c r="B434" s="686"/>
      <c r="C434" s="823"/>
      <c r="D434" s="686"/>
      <c r="E434" s="686"/>
      <c r="F434" s="686"/>
      <c r="G434" s="687"/>
      <c r="H434" s="686"/>
      <c r="I434" s="687"/>
      <c r="J434" s="686"/>
      <c r="K434" s="686"/>
      <c r="L434" s="686"/>
      <c r="M434" s="686"/>
      <c r="N434" s="686"/>
      <c r="O434" s="687"/>
      <c r="P434" s="686"/>
      <c r="Q434" s="686"/>
      <c r="R434" s="687"/>
      <c r="S434" s="686"/>
      <c r="T434" s="686"/>
      <c r="U434" s="686"/>
      <c r="V434" s="686"/>
      <c r="W434" s="686"/>
    </row>
    <row r="435" ht="13.8" customHeight="1">
      <c r="A435" s="686"/>
      <c r="B435" s="686"/>
      <c r="C435" s="823"/>
      <c r="D435" s="686"/>
      <c r="E435" s="686"/>
      <c r="F435" s="686"/>
      <c r="G435" s="687"/>
      <c r="H435" s="686"/>
      <c r="I435" s="687"/>
      <c r="J435" s="686"/>
      <c r="K435" s="686"/>
      <c r="L435" s="686"/>
      <c r="M435" s="686"/>
      <c r="N435" s="686"/>
      <c r="O435" s="687"/>
      <c r="P435" s="686"/>
      <c r="Q435" s="686"/>
      <c r="R435" s="687"/>
      <c r="S435" s="686"/>
      <c r="T435" s="686"/>
      <c r="U435" s="686"/>
      <c r="V435" s="686"/>
      <c r="W435" s="686"/>
    </row>
    <row r="436" ht="13.8" customHeight="1">
      <c r="A436" s="686"/>
      <c r="B436" s="686"/>
      <c r="C436" s="823"/>
      <c r="D436" s="686"/>
      <c r="E436" s="686"/>
      <c r="F436" s="686"/>
      <c r="G436" s="687"/>
      <c r="H436" s="686"/>
      <c r="I436" s="687"/>
      <c r="J436" s="686"/>
      <c r="K436" s="686"/>
      <c r="L436" s="686"/>
      <c r="M436" s="686"/>
      <c r="N436" s="686"/>
      <c r="O436" s="687"/>
      <c r="P436" s="686"/>
      <c r="Q436" s="686"/>
      <c r="R436" s="687"/>
      <c r="S436" s="686"/>
      <c r="T436" s="686"/>
      <c r="U436" s="686"/>
      <c r="V436" s="686"/>
      <c r="W436" s="686"/>
    </row>
    <row r="437" ht="13.8" customHeight="1">
      <c r="A437" s="686"/>
      <c r="B437" s="686"/>
      <c r="C437" s="823"/>
      <c r="D437" s="686"/>
      <c r="E437" s="686"/>
      <c r="F437" s="686"/>
      <c r="G437" s="687"/>
      <c r="H437" s="686"/>
      <c r="I437" s="687"/>
      <c r="J437" s="686"/>
      <c r="K437" s="686"/>
      <c r="L437" s="686"/>
      <c r="M437" s="686"/>
      <c r="N437" s="686"/>
      <c r="O437" s="687"/>
      <c r="P437" s="686"/>
      <c r="Q437" s="686"/>
      <c r="R437" s="687"/>
      <c r="S437" s="686"/>
      <c r="T437" s="686"/>
      <c r="U437" s="686"/>
      <c r="V437" s="686"/>
      <c r="W437" s="686"/>
    </row>
    <row r="438" ht="13.8" customHeight="1">
      <c r="A438" s="686"/>
      <c r="B438" s="686"/>
      <c r="C438" s="823"/>
      <c r="D438" s="686"/>
      <c r="E438" s="686"/>
      <c r="F438" s="686"/>
      <c r="G438" s="687"/>
      <c r="H438" s="686"/>
      <c r="I438" s="687"/>
      <c r="J438" s="686"/>
      <c r="K438" s="686"/>
      <c r="L438" s="686"/>
      <c r="M438" s="686"/>
      <c r="N438" s="686"/>
      <c r="O438" s="687"/>
      <c r="P438" s="686"/>
      <c r="Q438" s="686"/>
      <c r="R438" s="687"/>
      <c r="S438" s="686"/>
      <c r="T438" s="686"/>
      <c r="U438" s="686"/>
      <c r="V438" s="686"/>
      <c r="W438" s="686"/>
    </row>
    <row r="439" ht="13.8" customHeight="1">
      <c r="A439" s="686"/>
      <c r="B439" s="686"/>
      <c r="C439" s="823"/>
      <c r="D439" s="686"/>
      <c r="E439" s="686"/>
      <c r="F439" s="686"/>
      <c r="G439" s="687"/>
      <c r="H439" s="686"/>
      <c r="I439" s="687"/>
      <c r="J439" s="686"/>
      <c r="K439" s="686"/>
      <c r="L439" s="686"/>
      <c r="M439" s="686"/>
      <c r="N439" s="686"/>
      <c r="O439" s="687"/>
      <c r="P439" s="686"/>
      <c r="Q439" s="686"/>
      <c r="R439" s="687"/>
      <c r="S439" s="686"/>
      <c r="T439" s="686"/>
      <c r="U439" s="686"/>
      <c r="V439" s="686"/>
      <c r="W439" s="686"/>
    </row>
    <row r="440" ht="13.8" customHeight="1">
      <c r="A440" s="686"/>
      <c r="B440" s="686"/>
      <c r="C440" s="823"/>
      <c r="D440" s="686"/>
      <c r="E440" s="686"/>
      <c r="F440" s="686"/>
      <c r="G440" s="687"/>
      <c r="H440" s="686"/>
      <c r="I440" s="687"/>
      <c r="J440" s="686"/>
      <c r="K440" s="686"/>
      <c r="L440" s="686"/>
      <c r="M440" s="686"/>
      <c r="N440" s="686"/>
      <c r="O440" s="687"/>
      <c r="P440" s="686"/>
      <c r="Q440" s="686"/>
      <c r="R440" s="687"/>
      <c r="S440" s="686"/>
      <c r="T440" s="686"/>
      <c r="U440" s="686"/>
      <c r="V440" s="686"/>
      <c r="W440" s="686"/>
    </row>
    <row r="441" ht="13.8" customHeight="1">
      <c r="A441" s="686"/>
      <c r="B441" s="686"/>
      <c r="C441" s="823"/>
      <c r="D441" s="686"/>
      <c r="E441" s="686"/>
      <c r="F441" s="686"/>
      <c r="G441" s="687"/>
      <c r="H441" s="686"/>
      <c r="I441" s="687"/>
      <c r="J441" s="686"/>
      <c r="K441" s="686"/>
      <c r="L441" s="686"/>
      <c r="M441" s="686"/>
      <c r="N441" s="686"/>
      <c r="O441" s="687"/>
      <c r="P441" s="686"/>
      <c r="Q441" s="686"/>
      <c r="R441" s="687"/>
      <c r="S441" s="686"/>
      <c r="T441" s="686"/>
      <c r="U441" s="686"/>
      <c r="V441" s="686"/>
      <c r="W441" s="686"/>
    </row>
    <row r="442" ht="13.8" customHeight="1">
      <c r="A442" s="686"/>
      <c r="B442" s="686"/>
      <c r="C442" s="823"/>
      <c r="D442" s="686"/>
      <c r="E442" s="686"/>
      <c r="F442" s="686"/>
      <c r="G442" s="687"/>
      <c r="H442" s="686"/>
      <c r="I442" s="687"/>
      <c r="J442" s="686"/>
      <c r="K442" s="686"/>
      <c r="L442" s="686"/>
      <c r="M442" s="686"/>
      <c r="N442" s="686"/>
      <c r="O442" s="687"/>
      <c r="P442" s="686"/>
      <c r="Q442" s="686"/>
      <c r="R442" s="687"/>
      <c r="S442" s="686"/>
      <c r="T442" s="686"/>
      <c r="U442" s="686"/>
      <c r="V442" s="686"/>
      <c r="W442" s="686"/>
    </row>
    <row r="443" ht="13.8" customHeight="1">
      <c r="A443" s="686"/>
      <c r="B443" s="686"/>
      <c r="C443" s="823"/>
      <c r="D443" s="686"/>
      <c r="E443" s="686"/>
      <c r="F443" s="686"/>
      <c r="G443" s="687"/>
      <c r="H443" s="686"/>
      <c r="I443" s="687"/>
      <c r="J443" s="686"/>
      <c r="K443" s="686"/>
      <c r="L443" s="686"/>
      <c r="M443" s="686"/>
      <c r="N443" s="686"/>
      <c r="O443" s="687"/>
      <c r="P443" s="686"/>
      <c r="Q443" s="686"/>
      <c r="R443" s="687"/>
      <c r="S443" s="686"/>
      <c r="T443" s="686"/>
      <c r="U443" s="686"/>
      <c r="V443" s="686"/>
      <c r="W443" s="686"/>
    </row>
    <row r="444" ht="13.8" customHeight="1">
      <c r="A444" s="686"/>
      <c r="B444" s="686"/>
      <c r="C444" s="823"/>
      <c r="D444" s="686"/>
      <c r="E444" s="686"/>
      <c r="F444" s="686"/>
      <c r="G444" s="687"/>
      <c r="H444" s="686"/>
      <c r="I444" s="687"/>
      <c r="J444" s="686"/>
      <c r="K444" s="686"/>
      <c r="L444" s="686"/>
      <c r="M444" s="686"/>
      <c r="N444" s="686"/>
      <c r="O444" s="687"/>
      <c r="P444" s="686"/>
      <c r="Q444" s="686"/>
      <c r="R444" s="687"/>
      <c r="S444" s="686"/>
      <c r="T444" s="686"/>
      <c r="U444" s="686"/>
      <c r="V444" s="686"/>
      <c r="W444" s="686"/>
    </row>
    <row r="445" ht="13.8" customHeight="1">
      <c r="A445" s="686"/>
      <c r="B445" s="686"/>
      <c r="C445" s="823"/>
      <c r="D445" s="686"/>
      <c r="E445" s="686"/>
      <c r="F445" s="686"/>
      <c r="G445" s="687"/>
      <c r="H445" s="686"/>
      <c r="I445" s="687"/>
      <c r="J445" s="686"/>
      <c r="K445" s="686"/>
      <c r="L445" s="686"/>
      <c r="M445" s="686"/>
      <c r="N445" s="686"/>
      <c r="O445" s="687"/>
      <c r="P445" s="686"/>
      <c r="Q445" s="686"/>
      <c r="R445" s="687"/>
      <c r="S445" s="686"/>
      <c r="T445" s="686"/>
      <c r="U445" s="686"/>
      <c r="V445" s="686"/>
      <c r="W445" s="686"/>
    </row>
    <row r="446" ht="13.8" customHeight="1">
      <c r="A446" s="686"/>
      <c r="B446" s="686"/>
      <c r="C446" s="823"/>
      <c r="D446" s="686"/>
      <c r="E446" s="686"/>
      <c r="F446" s="686"/>
      <c r="G446" s="687"/>
      <c r="H446" s="686"/>
      <c r="I446" s="687"/>
      <c r="J446" s="686"/>
      <c r="K446" s="686"/>
      <c r="L446" s="686"/>
      <c r="M446" s="686"/>
      <c r="N446" s="686"/>
      <c r="O446" s="687"/>
      <c r="P446" s="686"/>
      <c r="Q446" s="686"/>
      <c r="R446" s="687"/>
      <c r="S446" s="686"/>
      <c r="T446" s="686"/>
      <c r="U446" s="686"/>
      <c r="V446" s="686"/>
      <c r="W446" s="686"/>
    </row>
    <row r="447" ht="13.8" customHeight="1">
      <c r="A447" s="686"/>
      <c r="B447" s="686"/>
      <c r="C447" s="823"/>
      <c r="D447" s="686"/>
      <c r="E447" s="686"/>
      <c r="F447" s="686"/>
      <c r="G447" s="687"/>
      <c r="H447" s="686"/>
      <c r="I447" s="687"/>
      <c r="J447" s="686"/>
      <c r="K447" s="686"/>
      <c r="L447" s="686"/>
      <c r="M447" s="686"/>
      <c r="N447" s="686"/>
      <c r="O447" s="687"/>
      <c r="P447" s="686"/>
      <c r="Q447" s="686"/>
      <c r="R447" s="687"/>
      <c r="S447" s="686"/>
      <c r="T447" s="686"/>
      <c r="U447" s="686"/>
      <c r="V447" s="686"/>
      <c r="W447" s="686"/>
    </row>
    <row r="448" ht="13.8" customHeight="1">
      <c r="A448" s="686"/>
      <c r="B448" s="686"/>
      <c r="C448" s="823"/>
      <c r="D448" s="686"/>
      <c r="E448" s="686"/>
      <c r="F448" s="686"/>
      <c r="G448" s="687"/>
      <c r="H448" s="686"/>
      <c r="I448" s="687"/>
      <c r="J448" s="686"/>
      <c r="K448" s="686"/>
      <c r="L448" s="686"/>
      <c r="M448" s="686"/>
      <c r="N448" s="686"/>
      <c r="O448" s="687"/>
      <c r="P448" s="686"/>
      <c r="Q448" s="686"/>
      <c r="R448" s="687"/>
      <c r="S448" s="686"/>
      <c r="T448" s="686"/>
      <c r="U448" s="686"/>
      <c r="V448" s="686"/>
      <c r="W448" s="686"/>
    </row>
    <row r="449" ht="13.8" customHeight="1">
      <c r="A449" s="686"/>
      <c r="B449" s="686"/>
      <c r="C449" s="823"/>
      <c r="D449" s="686"/>
      <c r="E449" s="686"/>
      <c r="F449" s="686"/>
      <c r="G449" s="687"/>
      <c r="H449" s="686"/>
      <c r="I449" s="687"/>
      <c r="J449" s="686"/>
      <c r="K449" s="686"/>
      <c r="L449" s="686"/>
      <c r="M449" s="686"/>
      <c r="N449" s="686"/>
      <c r="O449" s="687"/>
      <c r="P449" s="686"/>
      <c r="Q449" s="686"/>
      <c r="R449" s="687"/>
      <c r="S449" s="686"/>
      <c r="T449" s="686"/>
      <c r="U449" s="686"/>
      <c r="V449" s="686"/>
      <c r="W449" s="686"/>
    </row>
    <row r="450" ht="13.8" customHeight="1">
      <c r="A450" s="686"/>
      <c r="B450" s="686"/>
      <c r="C450" s="823"/>
      <c r="D450" s="686"/>
      <c r="E450" s="686"/>
      <c r="F450" s="686"/>
      <c r="G450" s="687"/>
      <c r="H450" s="686"/>
      <c r="I450" s="687"/>
      <c r="J450" s="686"/>
      <c r="K450" s="686"/>
      <c r="L450" s="686"/>
      <c r="M450" s="686"/>
      <c r="N450" s="686"/>
      <c r="O450" s="687"/>
      <c r="P450" s="686"/>
      <c r="Q450" s="686"/>
      <c r="R450" s="687"/>
      <c r="S450" s="686"/>
      <c r="T450" s="686"/>
      <c r="U450" s="686"/>
      <c r="V450" s="686"/>
      <c r="W450" s="686"/>
    </row>
    <row r="451" ht="13.8" customHeight="1">
      <c r="A451" s="686"/>
      <c r="B451" s="686"/>
      <c r="C451" s="823"/>
      <c r="D451" s="686"/>
      <c r="E451" s="686"/>
      <c r="F451" s="686"/>
      <c r="G451" s="687"/>
      <c r="H451" s="686"/>
      <c r="I451" s="687"/>
      <c r="J451" s="686"/>
      <c r="K451" s="686"/>
      <c r="L451" s="686"/>
      <c r="M451" s="686"/>
      <c r="N451" s="686"/>
      <c r="O451" s="687"/>
      <c r="P451" s="686"/>
      <c r="Q451" s="686"/>
      <c r="R451" s="687"/>
      <c r="S451" s="686"/>
      <c r="T451" s="686"/>
      <c r="U451" s="686"/>
      <c r="V451" s="686"/>
      <c r="W451" s="686"/>
    </row>
    <row r="452" ht="13.8" customHeight="1">
      <c r="A452" s="686"/>
      <c r="B452" s="686"/>
      <c r="C452" s="823"/>
      <c r="D452" s="686"/>
      <c r="E452" s="686"/>
      <c r="F452" s="686"/>
      <c r="G452" s="687"/>
      <c r="H452" s="686"/>
      <c r="I452" s="687"/>
      <c r="J452" s="686"/>
      <c r="K452" s="686"/>
      <c r="L452" s="686"/>
      <c r="M452" s="686"/>
      <c r="N452" s="686"/>
      <c r="O452" s="687"/>
      <c r="P452" s="686"/>
      <c r="Q452" s="686"/>
      <c r="R452" s="687"/>
      <c r="S452" s="686"/>
      <c r="T452" s="686"/>
      <c r="U452" s="686"/>
      <c r="V452" s="686"/>
      <c r="W452" s="686"/>
    </row>
    <row r="453" ht="13.8" customHeight="1">
      <c r="A453" s="686"/>
      <c r="B453" s="686"/>
      <c r="C453" s="823"/>
      <c r="D453" s="686"/>
      <c r="E453" s="686"/>
      <c r="F453" s="686"/>
      <c r="G453" s="687"/>
      <c r="H453" s="686"/>
      <c r="I453" s="687"/>
      <c r="J453" s="686"/>
      <c r="K453" s="686"/>
      <c r="L453" s="686"/>
      <c r="M453" s="686"/>
      <c r="N453" s="686"/>
      <c r="O453" s="687"/>
      <c r="P453" s="686"/>
      <c r="Q453" s="686"/>
      <c r="R453" s="687"/>
      <c r="S453" s="686"/>
      <c r="T453" s="686"/>
      <c r="U453" s="686"/>
      <c r="V453" s="686"/>
      <c r="W453" s="686"/>
    </row>
    <row r="454" ht="13.8" customHeight="1">
      <c r="A454" s="686"/>
      <c r="B454" s="686"/>
      <c r="C454" s="823"/>
      <c r="D454" s="686"/>
      <c r="E454" s="686"/>
      <c r="F454" s="686"/>
      <c r="G454" s="687"/>
      <c r="H454" s="686"/>
      <c r="I454" s="687"/>
      <c r="J454" s="686"/>
      <c r="K454" s="686"/>
      <c r="L454" s="686"/>
      <c r="M454" s="686"/>
      <c r="N454" s="686"/>
      <c r="O454" s="687"/>
      <c r="P454" s="686"/>
      <c r="Q454" s="686"/>
      <c r="R454" s="687"/>
      <c r="S454" s="686"/>
      <c r="T454" s="686"/>
      <c r="U454" s="686"/>
      <c r="V454" s="686"/>
      <c r="W454" s="686"/>
    </row>
    <row r="455" ht="13.8" customHeight="1">
      <c r="A455" s="686"/>
      <c r="B455" s="686"/>
      <c r="C455" s="823"/>
      <c r="D455" s="686"/>
      <c r="E455" s="686"/>
      <c r="F455" s="686"/>
      <c r="G455" s="687"/>
      <c r="H455" s="686"/>
      <c r="I455" s="687"/>
      <c r="J455" s="686"/>
      <c r="K455" s="686"/>
      <c r="L455" s="686"/>
      <c r="M455" s="686"/>
      <c r="N455" s="686"/>
      <c r="O455" s="687"/>
      <c r="P455" s="686"/>
      <c r="Q455" s="686"/>
      <c r="R455" s="687"/>
      <c r="S455" s="686"/>
      <c r="T455" s="686"/>
      <c r="U455" s="686"/>
      <c r="V455" s="686"/>
      <c r="W455" s="686"/>
    </row>
    <row r="456" ht="13.8" customHeight="1">
      <c r="A456" s="686"/>
      <c r="B456" s="686"/>
      <c r="C456" s="823"/>
      <c r="D456" s="686"/>
      <c r="E456" s="686"/>
      <c r="F456" s="686"/>
      <c r="G456" s="687"/>
      <c r="H456" s="686"/>
      <c r="I456" s="687"/>
      <c r="J456" s="686"/>
      <c r="K456" s="686"/>
      <c r="L456" s="686"/>
      <c r="M456" s="686"/>
      <c r="N456" s="686"/>
      <c r="O456" s="687"/>
      <c r="P456" s="686"/>
      <c r="Q456" s="686"/>
      <c r="R456" s="687"/>
      <c r="S456" s="686"/>
      <c r="T456" s="686"/>
      <c r="U456" s="686"/>
      <c r="V456" s="686"/>
      <c r="W456" s="686"/>
    </row>
    <row r="457" ht="13.8" customHeight="1">
      <c r="A457" s="686"/>
      <c r="B457" s="686"/>
      <c r="C457" s="823"/>
      <c r="D457" s="686"/>
      <c r="E457" s="686"/>
      <c r="F457" s="686"/>
      <c r="G457" s="687"/>
      <c r="H457" s="686"/>
      <c r="I457" s="687"/>
      <c r="J457" s="686"/>
      <c r="K457" s="686"/>
      <c r="L457" s="686"/>
      <c r="M457" s="686"/>
      <c r="N457" s="686"/>
      <c r="O457" s="687"/>
      <c r="P457" s="686"/>
      <c r="Q457" s="686"/>
      <c r="R457" s="687"/>
      <c r="S457" s="686"/>
      <c r="T457" s="686"/>
      <c r="U457" s="686"/>
      <c r="V457" s="686"/>
      <c r="W457" s="686"/>
    </row>
    <row r="458" ht="13.8" customHeight="1">
      <c r="A458" s="686"/>
      <c r="B458" s="686"/>
      <c r="C458" s="823"/>
      <c r="D458" s="686"/>
      <c r="E458" s="686"/>
      <c r="F458" s="686"/>
      <c r="G458" s="687"/>
      <c r="H458" s="686"/>
      <c r="I458" s="687"/>
      <c r="J458" s="686"/>
      <c r="K458" s="686"/>
      <c r="L458" s="686"/>
      <c r="M458" s="686"/>
      <c r="N458" s="686"/>
      <c r="O458" s="687"/>
      <c r="P458" s="686"/>
      <c r="Q458" s="686"/>
      <c r="R458" s="687"/>
      <c r="S458" s="686"/>
      <c r="T458" s="686"/>
      <c r="U458" s="686"/>
      <c r="V458" s="686"/>
      <c r="W458" s="686"/>
    </row>
    <row r="459" ht="13.8" customHeight="1">
      <c r="A459" s="686"/>
      <c r="B459" s="686"/>
      <c r="C459" s="823"/>
      <c r="D459" s="686"/>
      <c r="E459" s="686"/>
      <c r="F459" s="686"/>
      <c r="G459" s="687"/>
      <c r="H459" s="686"/>
      <c r="I459" s="687"/>
      <c r="J459" s="686"/>
      <c r="K459" s="686"/>
      <c r="L459" s="686"/>
      <c r="M459" s="686"/>
      <c r="N459" s="686"/>
      <c r="O459" s="687"/>
      <c r="P459" s="686"/>
      <c r="Q459" s="686"/>
      <c r="R459" s="687"/>
      <c r="S459" s="686"/>
      <c r="T459" s="686"/>
      <c r="U459" s="686"/>
      <c r="V459" s="686"/>
      <c r="W459" s="686"/>
    </row>
    <row r="460" ht="13.8" customHeight="1">
      <c r="A460" s="686"/>
      <c r="B460" s="686"/>
      <c r="C460" s="823"/>
      <c r="D460" s="686"/>
      <c r="E460" s="686"/>
      <c r="F460" s="686"/>
      <c r="G460" s="687"/>
      <c r="H460" s="686"/>
      <c r="I460" s="687"/>
      <c r="J460" s="686"/>
      <c r="K460" s="686"/>
      <c r="L460" s="686"/>
      <c r="M460" s="686"/>
      <c r="N460" s="686"/>
      <c r="O460" s="687"/>
      <c r="P460" s="686"/>
      <c r="Q460" s="686"/>
      <c r="R460" s="687"/>
      <c r="S460" s="686"/>
      <c r="T460" s="686"/>
      <c r="U460" s="686"/>
      <c r="V460" s="686"/>
      <c r="W460" s="686"/>
    </row>
    <row r="461" ht="13.8" customHeight="1">
      <c r="A461" s="686"/>
      <c r="B461" s="686"/>
      <c r="C461" s="823"/>
      <c r="D461" s="686"/>
      <c r="E461" s="686"/>
      <c r="F461" s="686"/>
      <c r="G461" s="687"/>
      <c r="H461" s="686"/>
      <c r="I461" s="687"/>
      <c r="J461" s="686"/>
      <c r="K461" s="686"/>
      <c r="L461" s="686"/>
      <c r="M461" s="686"/>
      <c r="N461" s="686"/>
      <c r="O461" s="687"/>
      <c r="P461" s="686"/>
      <c r="Q461" s="686"/>
      <c r="R461" s="687"/>
      <c r="S461" s="686"/>
      <c r="T461" s="686"/>
      <c r="U461" s="686"/>
      <c r="V461" s="686"/>
      <c r="W461" s="686"/>
    </row>
    <row r="462" ht="13.8" customHeight="1">
      <c r="A462" s="686"/>
      <c r="B462" s="686"/>
      <c r="C462" s="823"/>
      <c r="D462" s="686"/>
      <c r="E462" s="686"/>
      <c r="F462" s="686"/>
      <c r="G462" s="687"/>
      <c r="H462" s="686"/>
      <c r="I462" s="687"/>
      <c r="J462" s="686"/>
      <c r="K462" s="686"/>
      <c r="L462" s="686"/>
      <c r="M462" s="686"/>
      <c r="N462" s="686"/>
      <c r="O462" s="687"/>
      <c r="P462" s="686"/>
      <c r="Q462" s="686"/>
      <c r="R462" s="687"/>
      <c r="S462" s="686"/>
      <c r="T462" s="686"/>
      <c r="U462" s="686"/>
      <c r="V462" s="686"/>
      <c r="W462" s="686"/>
    </row>
    <row r="463" ht="13.8" customHeight="1">
      <c r="A463" s="686"/>
      <c r="B463" s="686"/>
      <c r="C463" s="823"/>
      <c r="D463" s="686"/>
      <c r="E463" s="686"/>
      <c r="F463" s="686"/>
      <c r="G463" s="687"/>
      <c r="H463" s="686"/>
      <c r="I463" s="687"/>
      <c r="J463" s="686"/>
      <c r="K463" s="686"/>
      <c r="L463" s="686"/>
      <c r="M463" s="686"/>
      <c r="N463" s="686"/>
      <c r="O463" s="687"/>
      <c r="P463" s="686"/>
      <c r="Q463" s="686"/>
      <c r="R463" s="687"/>
      <c r="S463" s="686"/>
      <c r="T463" s="686"/>
      <c r="U463" s="686"/>
      <c r="V463" s="686"/>
      <c r="W463" s="686"/>
    </row>
    <row r="464" ht="13.8" customHeight="1">
      <c r="A464" s="686"/>
      <c r="B464" s="686"/>
      <c r="C464" s="823"/>
      <c r="D464" s="686"/>
      <c r="E464" s="686"/>
      <c r="F464" s="686"/>
      <c r="G464" s="687"/>
      <c r="H464" s="686"/>
      <c r="I464" s="687"/>
      <c r="J464" s="686"/>
      <c r="K464" s="686"/>
      <c r="L464" s="686"/>
      <c r="M464" s="686"/>
      <c r="N464" s="686"/>
      <c r="O464" s="687"/>
      <c r="P464" s="686"/>
      <c r="Q464" s="686"/>
      <c r="R464" s="687"/>
      <c r="S464" s="686"/>
      <c r="T464" s="686"/>
      <c r="U464" s="686"/>
      <c r="V464" s="686"/>
      <c r="W464" s="686"/>
    </row>
    <row r="465" ht="13.8" customHeight="1">
      <c r="A465" s="686"/>
      <c r="B465" s="686"/>
      <c r="C465" s="823"/>
      <c r="D465" s="686"/>
      <c r="E465" s="686"/>
      <c r="F465" s="686"/>
      <c r="G465" s="687"/>
      <c r="H465" s="686"/>
      <c r="I465" s="687"/>
      <c r="J465" s="686"/>
      <c r="K465" s="686"/>
      <c r="L465" s="686"/>
      <c r="M465" s="686"/>
      <c r="N465" s="686"/>
      <c r="O465" s="687"/>
      <c r="P465" s="686"/>
      <c r="Q465" s="686"/>
      <c r="R465" s="687"/>
      <c r="S465" s="686"/>
      <c r="T465" s="686"/>
      <c r="U465" s="686"/>
      <c r="V465" s="686"/>
      <c r="W465" s="686"/>
    </row>
    <row r="466" ht="13.8" customHeight="1">
      <c r="A466" s="686"/>
      <c r="B466" s="686"/>
      <c r="C466" s="823"/>
      <c r="D466" s="686"/>
      <c r="E466" s="686"/>
      <c r="F466" s="686"/>
      <c r="G466" s="687"/>
      <c r="H466" s="686"/>
      <c r="I466" s="687"/>
      <c r="J466" s="686"/>
      <c r="K466" s="686"/>
      <c r="L466" s="686"/>
      <c r="M466" s="686"/>
      <c r="N466" s="686"/>
      <c r="O466" s="687"/>
      <c r="P466" s="686"/>
      <c r="Q466" s="686"/>
      <c r="R466" s="687"/>
      <c r="S466" s="686"/>
      <c r="T466" s="686"/>
      <c r="U466" s="686"/>
      <c r="V466" s="686"/>
      <c r="W466" s="686"/>
    </row>
    <row r="467" ht="13.8" customHeight="1">
      <c r="A467" s="686"/>
      <c r="B467" s="686"/>
      <c r="C467" s="823"/>
      <c r="D467" s="686"/>
      <c r="E467" s="686"/>
      <c r="F467" s="686"/>
      <c r="G467" s="687"/>
      <c r="H467" s="686"/>
      <c r="I467" s="687"/>
      <c r="J467" s="686"/>
      <c r="K467" s="686"/>
      <c r="L467" s="686"/>
      <c r="M467" s="686"/>
      <c r="N467" s="686"/>
      <c r="O467" s="687"/>
      <c r="P467" s="686"/>
      <c r="Q467" s="686"/>
      <c r="R467" s="687"/>
      <c r="S467" s="686"/>
      <c r="T467" s="686"/>
      <c r="U467" s="686"/>
      <c r="V467" s="686"/>
      <c r="W467" s="686"/>
    </row>
    <row r="468" ht="13.8" customHeight="1">
      <c r="A468" s="686"/>
      <c r="B468" s="686"/>
      <c r="C468" s="823"/>
      <c r="D468" s="686"/>
      <c r="E468" s="686"/>
      <c r="F468" s="686"/>
      <c r="G468" s="687"/>
      <c r="H468" s="686"/>
      <c r="I468" s="687"/>
      <c r="J468" s="686"/>
      <c r="K468" s="686"/>
      <c r="L468" s="686"/>
      <c r="M468" s="686"/>
      <c r="N468" s="686"/>
      <c r="O468" s="687"/>
      <c r="P468" s="686"/>
      <c r="Q468" s="686"/>
      <c r="R468" s="687"/>
      <c r="S468" s="686"/>
      <c r="T468" s="686"/>
      <c r="U468" s="686"/>
      <c r="V468" s="686"/>
      <c r="W468" s="686"/>
    </row>
    <row r="469" ht="13.8" customHeight="1">
      <c r="A469" s="686"/>
      <c r="B469" s="686"/>
      <c r="C469" s="823"/>
      <c r="D469" s="686"/>
      <c r="E469" s="686"/>
      <c r="F469" s="686"/>
      <c r="G469" s="687"/>
      <c r="H469" s="686"/>
      <c r="I469" s="687"/>
      <c r="J469" s="686"/>
      <c r="K469" s="686"/>
      <c r="L469" s="686"/>
      <c r="M469" s="686"/>
      <c r="N469" s="686"/>
      <c r="O469" s="687"/>
      <c r="P469" s="686"/>
      <c r="Q469" s="686"/>
      <c r="R469" s="687"/>
      <c r="S469" s="686"/>
      <c r="T469" s="686"/>
      <c r="U469" s="686"/>
      <c r="V469" s="686"/>
      <c r="W469" s="686"/>
    </row>
    <row r="470" ht="13.8" customHeight="1">
      <c r="A470" s="686"/>
      <c r="B470" s="686"/>
      <c r="C470" s="823"/>
      <c r="D470" s="686"/>
      <c r="E470" s="686"/>
      <c r="F470" s="686"/>
      <c r="G470" s="687"/>
      <c r="H470" s="686"/>
      <c r="I470" s="687"/>
      <c r="J470" s="686"/>
      <c r="K470" s="686"/>
      <c r="L470" s="686"/>
      <c r="M470" s="686"/>
      <c r="N470" s="686"/>
      <c r="O470" s="687"/>
      <c r="P470" s="686"/>
      <c r="Q470" s="686"/>
      <c r="R470" s="687"/>
      <c r="S470" s="686"/>
      <c r="T470" s="686"/>
      <c r="U470" s="686"/>
      <c r="V470" s="686"/>
      <c r="W470" s="686"/>
    </row>
    <row r="471" ht="13.8" customHeight="1">
      <c r="A471" s="686"/>
      <c r="B471" s="686"/>
      <c r="C471" s="823"/>
      <c r="D471" s="686"/>
      <c r="E471" s="686"/>
      <c r="F471" s="686"/>
      <c r="G471" s="687"/>
      <c r="H471" s="686"/>
      <c r="I471" s="687"/>
      <c r="J471" s="686"/>
      <c r="K471" s="686"/>
      <c r="L471" s="686"/>
      <c r="M471" s="686"/>
      <c r="N471" s="686"/>
      <c r="O471" s="687"/>
      <c r="P471" s="686"/>
      <c r="Q471" s="686"/>
      <c r="R471" s="687"/>
      <c r="S471" s="686"/>
      <c r="T471" s="686"/>
      <c r="U471" s="686"/>
      <c r="V471" s="686"/>
      <c r="W471" s="686"/>
    </row>
    <row r="472" ht="13.8" customHeight="1">
      <c r="A472" s="686"/>
      <c r="B472" s="686"/>
      <c r="C472" s="823"/>
      <c r="D472" s="686"/>
      <c r="E472" s="686"/>
      <c r="F472" s="686"/>
      <c r="G472" s="687"/>
      <c r="H472" s="686"/>
      <c r="I472" s="687"/>
      <c r="J472" s="686"/>
      <c r="K472" s="686"/>
      <c r="L472" s="686"/>
      <c r="M472" s="686"/>
      <c r="N472" s="686"/>
      <c r="O472" s="687"/>
      <c r="P472" s="686"/>
      <c r="Q472" s="686"/>
      <c r="R472" s="687"/>
      <c r="S472" s="686"/>
      <c r="T472" s="686"/>
      <c r="U472" s="686"/>
      <c r="V472" s="686"/>
      <c r="W472" s="686"/>
    </row>
    <row r="473" ht="13.8" customHeight="1">
      <c r="A473" s="686"/>
      <c r="B473" s="686"/>
      <c r="C473" s="823"/>
      <c r="D473" s="686"/>
      <c r="E473" s="686"/>
      <c r="F473" s="686"/>
      <c r="G473" s="687"/>
      <c r="H473" s="686"/>
      <c r="I473" s="687"/>
      <c r="J473" s="686"/>
      <c r="K473" s="686"/>
      <c r="L473" s="686"/>
      <c r="M473" s="686"/>
      <c r="N473" s="686"/>
      <c r="O473" s="687"/>
      <c r="P473" s="686"/>
      <c r="Q473" s="686"/>
      <c r="R473" s="687"/>
      <c r="S473" s="686"/>
      <c r="T473" s="686"/>
      <c r="U473" s="686"/>
      <c r="V473" s="686"/>
      <c r="W473" s="686"/>
    </row>
    <row r="474" ht="13.8" customHeight="1">
      <c r="A474" s="686"/>
      <c r="B474" s="686"/>
      <c r="C474" s="823"/>
      <c r="D474" s="686"/>
      <c r="E474" s="686"/>
      <c r="F474" s="686"/>
      <c r="G474" s="687"/>
      <c r="H474" s="686"/>
      <c r="I474" s="687"/>
      <c r="J474" s="686"/>
      <c r="K474" s="686"/>
      <c r="L474" s="686"/>
      <c r="M474" s="686"/>
      <c r="N474" s="686"/>
      <c r="O474" s="687"/>
      <c r="P474" s="686"/>
      <c r="Q474" s="686"/>
      <c r="R474" s="687"/>
      <c r="S474" s="686"/>
      <c r="T474" s="686"/>
      <c r="U474" s="686"/>
      <c r="V474" s="686"/>
      <c r="W474" s="686"/>
    </row>
    <row r="475" ht="13.8" customHeight="1">
      <c r="A475" s="686"/>
      <c r="B475" s="686"/>
      <c r="C475" s="823"/>
      <c r="D475" s="686"/>
      <c r="E475" s="686"/>
      <c r="F475" s="686"/>
      <c r="G475" s="687"/>
      <c r="H475" s="686"/>
      <c r="I475" s="687"/>
      <c r="J475" s="686"/>
      <c r="K475" s="686"/>
      <c r="L475" s="686"/>
      <c r="M475" s="686"/>
      <c r="N475" s="686"/>
      <c r="O475" s="687"/>
      <c r="P475" s="686"/>
      <c r="Q475" s="686"/>
      <c r="R475" s="687"/>
      <c r="S475" s="686"/>
      <c r="T475" s="686"/>
      <c r="U475" s="686"/>
      <c r="V475" s="686"/>
      <c r="W475" s="686"/>
    </row>
    <row r="476" ht="13.8" customHeight="1">
      <c r="A476" s="686"/>
      <c r="B476" s="686"/>
      <c r="C476" s="823"/>
      <c r="D476" s="686"/>
      <c r="E476" s="686"/>
      <c r="F476" s="686"/>
      <c r="G476" s="687"/>
      <c r="H476" s="686"/>
      <c r="I476" s="687"/>
      <c r="J476" s="686"/>
      <c r="K476" s="686"/>
      <c r="L476" s="686"/>
      <c r="M476" s="686"/>
      <c r="N476" s="686"/>
      <c r="O476" s="687"/>
      <c r="P476" s="686"/>
      <c r="Q476" s="686"/>
      <c r="R476" s="687"/>
      <c r="S476" s="686"/>
      <c r="T476" s="686"/>
      <c r="U476" s="686"/>
      <c r="V476" s="686"/>
      <c r="W476" s="686"/>
    </row>
    <row r="477" ht="13.8" customHeight="1">
      <c r="A477" s="686"/>
      <c r="B477" s="686"/>
      <c r="C477" s="823"/>
      <c r="D477" s="686"/>
      <c r="E477" s="686"/>
      <c r="F477" s="686"/>
      <c r="G477" s="687"/>
      <c r="H477" s="686"/>
      <c r="I477" s="687"/>
      <c r="J477" s="686"/>
      <c r="K477" s="686"/>
      <c r="L477" s="686"/>
      <c r="M477" s="686"/>
      <c r="N477" s="686"/>
      <c r="O477" s="687"/>
      <c r="P477" s="686"/>
      <c r="Q477" s="686"/>
      <c r="R477" s="687"/>
      <c r="S477" s="686"/>
      <c r="T477" s="686"/>
      <c r="U477" s="686"/>
      <c r="V477" s="686"/>
      <c r="W477" s="686"/>
    </row>
    <row r="478" ht="13.8" customHeight="1">
      <c r="A478" s="686"/>
      <c r="B478" s="686"/>
      <c r="C478" s="823"/>
      <c r="D478" s="686"/>
      <c r="E478" s="686"/>
      <c r="F478" s="686"/>
      <c r="G478" s="687"/>
      <c r="H478" s="686"/>
      <c r="I478" s="687"/>
      <c r="J478" s="686"/>
      <c r="K478" s="686"/>
      <c r="L478" s="686"/>
      <c r="M478" s="686"/>
      <c r="N478" s="686"/>
      <c r="O478" s="687"/>
      <c r="P478" s="686"/>
      <c r="Q478" s="686"/>
      <c r="R478" s="687"/>
      <c r="S478" s="686"/>
      <c r="T478" s="686"/>
      <c r="U478" s="686"/>
      <c r="V478" s="686"/>
      <c r="W478" s="686"/>
    </row>
    <row r="479" ht="13.8" customHeight="1">
      <c r="A479" s="686"/>
      <c r="B479" s="686"/>
      <c r="C479" s="823"/>
      <c r="D479" s="686"/>
      <c r="E479" s="686"/>
      <c r="F479" s="686"/>
      <c r="G479" s="687"/>
      <c r="H479" s="686"/>
      <c r="I479" s="687"/>
      <c r="J479" s="686"/>
      <c r="K479" s="686"/>
      <c r="L479" s="686"/>
      <c r="M479" s="686"/>
      <c r="N479" s="686"/>
      <c r="O479" s="687"/>
      <c r="P479" s="686"/>
      <c r="Q479" s="686"/>
      <c r="R479" s="687"/>
      <c r="S479" s="686"/>
      <c r="T479" s="686"/>
      <c r="U479" s="686"/>
      <c r="V479" s="686"/>
      <c r="W479" s="686"/>
    </row>
    <row r="480" ht="13.8" customHeight="1">
      <c r="A480" s="686"/>
      <c r="B480" s="686"/>
      <c r="C480" s="823"/>
      <c r="D480" s="686"/>
      <c r="E480" s="686"/>
      <c r="F480" s="686"/>
      <c r="G480" s="687"/>
      <c r="H480" s="686"/>
      <c r="I480" s="687"/>
      <c r="J480" s="686"/>
      <c r="K480" s="686"/>
      <c r="L480" s="686"/>
      <c r="M480" s="686"/>
      <c r="N480" s="686"/>
      <c r="O480" s="687"/>
      <c r="P480" s="686"/>
      <c r="Q480" s="686"/>
      <c r="R480" s="687"/>
      <c r="S480" s="686"/>
      <c r="T480" s="686"/>
      <c r="U480" s="686"/>
      <c r="V480" s="686"/>
      <c r="W480" s="686"/>
    </row>
    <row r="481" ht="13.8" customHeight="1">
      <c r="A481" s="686"/>
      <c r="B481" s="686"/>
      <c r="C481" s="823"/>
      <c r="D481" s="686"/>
      <c r="E481" s="686"/>
      <c r="F481" s="686"/>
      <c r="G481" s="687"/>
      <c r="H481" s="686"/>
      <c r="I481" s="687"/>
      <c r="J481" s="686"/>
      <c r="K481" s="686"/>
      <c r="L481" s="686"/>
      <c r="M481" s="686"/>
      <c r="N481" s="686"/>
      <c r="O481" s="687"/>
      <c r="P481" s="686"/>
      <c r="Q481" s="686"/>
      <c r="R481" s="687"/>
      <c r="S481" s="686"/>
      <c r="T481" s="686"/>
      <c r="U481" s="686"/>
      <c r="V481" s="686"/>
      <c r="W481" s="686"/>
    </row>
    <row r="482" ht="13.8" customHeight="1">
      <c r="A482" s="686"/>
      <c r="B482" s="686"/>
      <c r="C482" s="823"/>
      <c r="D482" s="686"/>
      <c r="E482" s="686"/>
      <c r="F482" s="686"/>
      <c r="G482" s="687"/>
      <c r="H482" s="686"/>
      <c r="I482" s="687"/>
      <c r="J482" s="686"/>
      <c r="K482" s="686"/>
      <c r="L482" s="686"/>
      <c r="M482" s="686"/>
      <c r="N482" s="686"/>
      <c r="O482" s="687"/>
      <c r="P482" s="686"/>
      <c r="Q482" s="686"/>
      <c r="R482" s="687"/>
      <c r="S482" s="686"/>
      <c r="T482" s="686"/>
      <c r="U482" s="686"/>
      <c r="V482" s="686"/>
      <c r="W482" s="686"/>
    </row>
    <row r="483" ht="13.8" customHeight="1">
      <c r="A483" s="686"/>
      <c r="B483" s="686"/>
      <c r="C483" s="823"/>
      <c r="D483" s="686"/>
      <c r="E483" s="686"/>
      <c r="F483" s="686"/>
      <c r="G483" s="687"/>
      <c r="H483" s="686"/>
      <c r="I483" s="687"/>
      <c r="J483" s="686"/>
      <c r="K483" s="686"/>
      <c r="L483" s="686"/>
      <c r="M483" s="686"/>
      <c r="N483" s="686"/>
      <c r="O483" s="687"/>
      <c r="P483" s="686"/>
      <c r="Q483" s="686"/>
      <c r="R483" s="687"/>
      <c r="S483" s="686"/>
      <c r="T483" s="686"/>
      <c r="U483" s="686"/>
      <c r="V483" s="686"/>
      <c r="W483" s="686"/>
    </row>
    <row r="484" ht="13.8" customHeight="1">
      <c r="A484" s="686"/>
      <c r="B484" s="686"/>
      <c r="C484" s="823"/>
      <c r="D484" s="686"/>
      <c r="E484" s="686"/>
      <c r="F484" s="686"/>
      <c r="G484" s="687"/>
      <c r="H484" s="686"/>
      <c r="I484" s="687"/>
      <c r="J484" s="686"/>
      <c r="K484" s="686"/>
      <c r="L484" s="686"/>
      <c r="M484" s="686"/>
      <c r="N484" s="686"/>
      <c r="O484" s="687"/>
      <c r="P484" s="686"/>
      <c r="Q484" s="686"/>
      <c r="R484" s="687"/>
      <c r="S484" s="686"/>
      <c r="T484" s="686"/>
      <c r="U484" s="686"/>
      <c r="V484" s="686"/>
      <c r="W484" s="686"/>
    </row>
    <row r="485" ht="13.8" customHeight="1">
      <c r="A485" s="686"/>
      <c r="B485" s="686"/>
      <c r="C485" s="823"/>
      <c r="D485" s="686"/>
      <c r="E485" s="686"/>
      <c r="F485" s="686"/>
      <c r="G485" s="687"/>
      <c r="H485" s="686"/>
      <c r="I485" s="687"/>
      <c r="J485" s="686"/>
      <c r="K485" s="686"/>
      <c r="L485" s="686"/>
      <c r="M485" s="686"/>
      <c r="N485" s="686"/>
      <c r="O485" s="687"/>
      <c r="P485" s="686"/>
      <c r="Q485" s="686"/>
      <c r="R485" s="687"/>
      <c r="S485" s="686"/>
      <c r="T485" s="686"/>
      <c r="U485" s="686"/>
      <c r="V485" s="686"/>
      <c r="W485" s="686"/>
    </row>
    <row r="486" ht="13.8" customHeight="1">
      <c r="A486" s="686"/>
      <c r="B486" s="686"/>
      <c r="C486" s="823"/>
      <c r="D486" s="686"/>
      <c r="E486" s="686"/>
      <c r="F486" s="686"/>
      <c r="G486" s="687"/>
      <c r="H486" s="686"/>
      <c r="I486" s="687"/>
      <c r="J486" s="686"/>
      <c r="K486" s="686"/>
      <c r="L486" s="686"/>
      <c r="M486" s="686"/>
      <c r="N486" s="686"/>
      <c r="O486" s="687"/>
      <c r="P486" s="686"/>
      <c r="Q486" s="686"/>
      <c r="R486" s="687"/>
      <c r="S486" s="686"/>
      <c r="T486" s="686"/>
      <c r="U486" s="686"/>
      <c r="V486" s="686"/>
      <c r="W486" s="686"/>
    </row>
    <row r="487" ht="13.8" customHeight="1">
      <c r="A487" s="686"/>
      <c r="B487" s="686"/>
      <c r="C487" s="823"/>
      <c r="D487" s="686"/>
      <c r="E487" s="686"/>
      <c r="F487" s="686"/>
      <c r="G487" s="687"/>
      <c r="H487" s="686"/>
      <c r="I487" s="687"/>
      <c r="J487" s="686"/>
      <c r="K487" s="686"/>
      <c r="L487" s="686"/>
      <c r="M487" s="686"/>
      <c r="N487" s="686"/>
      <c r="O487" s="687"/>
      <c r="P487" s="686"/>
      <c r="Q487" s="686"/>
      <c r="R487" s="687"/>
      <c r="S487" s="686"/>
      <c r="T487" s="686"/>
      <c r="U487" s="686"/>
      <c r="V487" s="686"/>
      <c r="W487" s="686"/>
    </row>
    <row r="488" ht="13.8" customHeight="1">
      <c r="A488" s="686"/>
      <c r="B488" s="686"/>
      <c r="C488" s="823"/>
      <c r="D488" s="686"/>
      <c r="E488" s="686"/>
      <c r="F488" s="686"/>
      <c r="G488" s="687"/>
      <c r="H488" s="686"/>
      <c r="I488" s="687"/>
      <c r="J488" s="686"/>
      <c r="K488" s="686"/>
      <c r="L488" s="686"/>
      <c r="M488" s="686"/>
      <c r="N488" s="686"/>
      <c r="O488" s="687"/>
      <c r="P488" s="686"/>
      <c r="Q488" s="686"/>
      <c r="R488" s="687"/>
      <c r="S488" s="686"/>
      <c r="T488" s="686"/>
      <c r="U488" s="686"/>
      <c r="V488" s="686"/>
      <c r="W488" s="686"/>
    </row>
    <row r="489" ht="13.8" customHeight="1">
      <c r="A489" s="686"/>
      <c r="B489" s="686"/>
      <c r="C489" s="823"/>
      <c r="D489" s="686"/>
      <c r="E489" s="686"/>
      <c r="F489" s="686"/>
      <c r="G489" s="687"/>
      <c r="H489" s="686"/>
      <c r="I489" s="687"/>
      <c r="J489" s="686"/>
      <c r="K489" s="686"/>
      <c r="L489" s="686"/>
      <c r="M489" s="686"/>
      <c r="N489" s="686"/>
      <c r="O489" s="687"/>
      <c r="P489" s="686"/>
      <c r="Q489" s="686"/>
      <c r="R489" s="687"/>
      <c r="S489" s="686"/>
      <c r="T489" s="686"/>
      <c r="U489" s="686"/>
      <c r="V489" s="686"/>
      <c r="W489" s="686"/>
    </row>
    <row r="490" ht="13.8" customHeight="1">
      <c r="A490" s="686"/>
      <c r="B490" s="686"/>
      <c r="C490" s="823"/>
      <c r="D490" s="686"/>
      <c r="E490" s="686"/>
      <c r="F490" s="686"/>
      <c r="G490" s="687"/>
      <c r="H490" s="686"/>
      <c r="I490" s="687"/>
      <c r="J490" s="686"/>
      <c r="K490" s="686"/>
      <c r="L490" s="686"/>
      <c r="M490" s="686"/>
      <c r="N490" s="686"/>
      <c r="O490" s="687"/>
      <c r="P490" s="686"/>
      <c r="Q490" s="686"/>
      <c r="R490" s="687"/>
      <c r="S490" s="686"/>
      <c r="T490" s="686"/>
      <c r="U490" s="686"/>
      <c r="V490" s="686"/>
      <c r="W490" s="686"/>
    </row>
    <row r="491" ht="13.8" customHeight="1">
      <c r="A491" s="686"/>
      <c r="B491" s="686"/>
      <c r="C491" s="823"/>
      <c r="D491" s="686"/>
      <c r="E491" s="686"/>
      <c r="F491" s="686"/>
      <c r="G491" s="687"/>
      <c r="H491" s="686"/>
      <c r="I491" s="687"/>
      <c r="J491" s="686"/>
      <c r="K491" s="686"/>
      <c r="L491" s="686"/>
      <c r="M491" s="686"/>
      <c r="N491" s="686"/>
      <c r="O491" s="687"/>
      <c r="P491" s="686"/>
      <c r="Q491" s="686"/>
      <c r="R491" s="687"/>
      <c r="S491" s="686"/>
      <c r="T491" s="686"/>
      <c r="U491" s="686"/>
      <c r="V491" s="686"/>
      <c r="W491" s="686"/>
    </row>
    <row r="492" ht="13.8" customHeight="1">
      <c r="A492" s="686"/>
      <c r="B492" s="686"/>
      <c r="C492" s="823"/>
      <c r="D492" s="686"/>
      <c r="E492" s="686"/>
      <c r="F492" s="686"/>
      <c r="G492" s="687"/>
      <c r="H492" s="686"/>
      <c r="I492" s="687"/>
      <c r="J492" s="686"/>
      <c r="K492" s="686"/>
      <c r="L492" s="686"/>
      <c r="M492" s="686"/>
      <c r="N492" s="686"/>
      <c r="O492" s="687"/>
      <c r="P492" s="686"/>
      <c r="Q492" s="686"/>
      <c r="R492" s="687"/>
      <c r="S492" s="686"/>
      <c r="T492" s="686"/>
      <c r="U492" s="686"/>
      <c r="V492" s="686"/>
      <c r="W492" s="686"/>
    </row>
    <row r="493" ht="13.8" customHeight="1">
      <c r="A493" s="686"/>
      <c r="B493" s="686"/>
      <c r="C493" s="823"/>
      <c r="D493" s="686"/>
      <c r="E493" s="686"/>
      <c r="F493" s="686"/>
      <c r="G493" s="687"/>
      <c r="H493" s="686"/>
      <c r="I493" s="687"/>
      <c r="J493" s="686"/>
      <c r="K493" s="686"/>
      <c r="L493" s="686"/>
      <c r="M493" s="686"/>
      <c r="N493" s="686"/>
      <c r="O493" s="687"/>
      <c r="P493" s="686"/>
      <c r="Q493" s="686"/>
      <c r="R493" s="687"/>
      <c r="S493" s="686"/>
      <c r="T493" s="686"/>
      <c r="U493" s="686"/>
      <c r="V493" s="686"/>
      <c r="W493" s="686"/>
    </row>
    <row r="494" ht="13.8" customHeight="1">
      <c r="A494" s="686"/>
      <c r="B494" s="686"/>
      <c r="C494" s="823"/>
      <c r="D494" s="686"/>
      <c r="E494" s="686"/>
      <c r="F494" s="686"/>
      <c r="G494" s="687"/>
      <c r="H494" s="686"/>
      <c r="I494" s="687"/>
      <c r="J494" s="686"/>
      <c r="K494" s="686"/>
      <c r="L494" s="686"/>
      <c r="M494" s="686"/>
      <c r="N494" s="686"/>
      <c r="O494" s="687"/>
      <c r="P494" s="686"/>
      <c r="Q494" s="686"/>
      <c r="R494" s="687"/>
      <c r="S494" s="686"/>
      <c r="T494" s="686"/>
      <c r="U494" s="686"/>
      <c r="V494" s="686"/>
      <c r="W494" s="686"/>
    </row>
    <row r="495" ht="13.8" customHeight="1">
      <c r="A495" s="686"/>
      <c r="B495" s="686"/>
      <c r="C495" s="823"/>
      <c r="D495" s="686"/>
      <c r="E495" s="686"/>
      <c r="F495" s="686"/>
      <c r="G495" s="687"/>
      <c r="H495" s="686"/>
      <c r="I495" s="687"/>
      <c r="J495" s="686"/>
      <c r="K495" s="686"/>
      <c r="L495" s="686"/>
      <c r="M495" s="686"/>
      <c r="N495" s="686"/>
      <c r="O495" s="687"/>
      <c r="P495" s="686"/>
      <c r="Q495" s="686"/>
      <c r="R495" s="687"/>
      <c r="S495" s="686"/>
      <c r="T495" s="686"/>
      <c r="U495" s="686"/>
      <c r="V495" s="686"/>
      <c r="W495" s="686"/>
    </row>
    <row r="496" ht="13.8" customHeight="1">
      <c r="A496" s="686"/>
      <c r="B496" s="686"/>
      <c r="C496" s="823"/>
      <c r="D496" s="686"/>
      <c r="E496" s="686"/>
      <c r="F496" s="686"/>
      <c r="G496" s="687"/>
      <c r="H496" s="686"/>
      <c r="I496" s="687"/>
      <c r="J496" s="686"/>
      <c r="K496" s="686"/>
      <c r="L496" s="686"/>
      <c r="M496" s="686"/>
      <c r="N496" s="686"/>
      <c r="O496" s="687"/>
      <c r="P496" s="686"/>
      <c r="Q496" s="686"/>
      <c r="R496" s="687"/>
      <c r="S496" s="686"/>
      <c r="T496" s="686"/>
      <c r="U496" s="686"/>
      <c r="V496" s="686"/>
      <c r="W496" s="686"/>
    </row>
    <row r="497" ht="13.8" customHeight="1">
      <c r="A497" s="686"/>
      <c r="B497" s="686"/>
      <c r="C497" s="823"/>
      <c r="D497" s="686"/>
      <c r="E497" s="686"/>
      <c r="F497" s="686"/>
      <c r="G497" s="687"/>
      <c r="H497" s="686"/>
      <c r="I497" s="687"/>
      <c r="J497" s="686"/>
      <c r="K497" s="686"/>
      <c r="L497" s="686"/>
      <c r="M497" s="686"/>
      <c r="N497" s="686"/>
      <c r="O497" s="687"/>
      <c r="P497" s="686"/>
      <c r="Q497" s="686"/>
      <c r="R497" s="687"/>
      <c r="S497" s="686"/>
      <c r="T497" s="686"/>
      <c r="U497" s="686"/>
      <c r="V497" s="686"/>
      <c r="W497" s="686"/>
    </row>
    <row r="498" ht="13.8" customHeight="1">
      <c r="A498" s="686"/>
      <c r="B498" s="686"/>
      <c r="C498" s="823"/>
      <c r="D498" s="686"/>
      <c r="E498" s="686"/>
      <c r="F498" s="686"/>
      <c r="G498" s="687"/>
      <c r="H498" s="686"/>
      <c r="I498" s="687"/>
      <c r="J498" s="686"/>
      <c r="K498" s="686"/>
      <c r="L498" s="686"/>
      <c r="M498" s="686"/>
      <c r="N498" s="686"/>
      <c r="O498" s="687"/>
      <c r="P498" s="686"/>
      <c r="Q498" s="686"/>
      <c r="R498" s="687"/>
      <c r="S498" s="686"/>
      <c r="T498" s="686"/>
      <c r="U498" s="686"/>
      <c r="V498" s="686"/>
      <c r="W498" s="686"/>
    </row>
    <row r="499" ht="13.8" customHeight="1">
      <c r="A499" s="686"/>
      <c r="B499" s="686"/>
      <c r="C499" s="823"/>
      <c r="D499" s="686"/>
      <c r="E499" s="686"/>
      <c r="F499" s="686"/>
      <c r="G499" s="687"/>
      <c r="H499" s="686"/>
      <c r="I499" s="687"/>
      <c r="J499" s="686"/>
      <c r="K499" s="686"/>
      <c r="L499" s="686"/>
      <c r="M499" s="686"/>
      <c r="N499" s="686"/>
      <c r="O499" s="687"/>
      <c r="P499" s="686"/>
      <c r="Q499" s="686"/>
      <c r="R499" s="687"/>
      <c r="S499" s="686"/>
      <c r="T499" s="686"/>
      <c r="U499" s="686"/>
      <c r="V499" s="686"/>
      <c r="W499" s="686"/>
    </row>
    <row r="500" ht="13.8" customHeight="1">
      <c r="A500" s="686"/>
      <c r="B500" s="686"/>
      <c r="C500" s="823"/>
      <c r="D500" s="686"/>
      <c r="E500" s="686"/>
      <c r="F500" s="686"/>
      <c r="G500" s="687"/>
      <c r="H500" s="686"/>
      <c r="I500" s="687"/>
      <c r="J500" s="686"/>
      <c r="K500" s="686"/>
      <c r="L500" s="686"/>
      <c r="M500" s="686"/>
      <c r="N500" s="686"/>
      <c r="O500" s="687"/>
      <c r="P500" s="686"/>
      <c r="Q500" s="686"/>
      <c r="R500" s="687"/>
      <c r="S500" s="686"/>
      <c r="T500" s="686"/>
      <c r="U500" s="686"/>
      <c r="V500" s="686"/>
      <c r="W500" s="686"/>
    </row>
    <row r="501" ht="13.8" customHeight="1">
      <c r="A501" s="686"/>
      <c r="B501" s="686"/>
      <c r="C501" s="823"/>
      <c r="D501" s="686"/>
      <c r="E501" s="686"/>
      <c r="F501" s="686"/>
      <c r="G501" s="687"/>
      <c r="H501" s="686"/>
      <c r="I501" s="687"/>
      <c r="J501" s="686"/>
      <c r="K501" s="686"/>
      <c r="L501" s="686"/>
      <c r="M501" s="686"/>
      <c r="N501" s="686"/>
      <c r="O501" s="687"/>
      <c r="P501" s="686"/>
      <c r="Q501" s="686"/>
      <c r="R501" s="687"/>
      <c r="S501" s="686"/>
      <c r="T501" s="686"/>
      <c r="U501" s="686"/>
      <c r="V501" s="686"/>
      <c r="W501" s="686"/>
    </row>
    <row r="502" ht="13.8" customHeight="1">
      <c r="A502" s="686"/>
      <c r="B502" s="686"/>
      <c r="C502" s="823"/>
      <c r="D502" s="686"/>
      <c r="E502" s="686"/>
      <c r="F502" s="686"/>
      <c r="G502" s="687"/>
      <c r="H502" s="686"/>
      <c r="I502" s="687"/>
      <c r="J502" s="686"/>
      <c r="K502" s="686"/>
      <c r="L502" s="686"/>
      <c r="M502" s="686"/>
      <c r="N502" s="686"/>
      <c r="O502" s="687"/>
      <c r="P502" s="686"/>
      <c r="Q502" s="686"/>
      <c r="R502" s="687"/>
      <c r="S502" s="686"/>
      <c r="T502" s="686"/>
      <c r="U502" s="686"/>
      <c r="V502" s="686"/>
      <c r="W502" s="686"/>
    </row>
    <row r="503" ht="13.8" customHeight="1">
      <c r="A503" s="686"/>
      <c r="B503" s="686"/>
      <c r="C503" s="823"/>
      <c r="D503" s="686"/>
      <c r="E503" s="686"/>
      <c r="F503" s="686"/>
      <c r="G503" s="687"/>
      <c r="H503" s="686"/>
      <c r="I503" s="687"/>
      <c r="J503" s="686"/>
      <c r="K503" s="686"/>
      <c r="L503" s="686"/>
      <c r="M503" s="686"/>
      <c r="N503" s="686"/>
      <c r="O503" s="687"/>
      <c r="P503" s="686"/>
      <c r="Q503" s="686"/>
      <c r="R503" s="687"/>
      <c r="S503" s="686"/>
      <c r="T503" s="686"/>
      <c r="U503" s="686"/>
      <c r="V503" s="686"/>
      <c r="W503" s="686"/>
    </row>
    <row r="504" ht="13.8" customHeight="1">
      <c r="A504" s="686"/>
      <c r="B504" s="686"/>
      <c r="C504" s="823"/>
      <c r="D504" s="686"/>
      <c r="E504" s="686"/>
      <c r="F504" s="686"/>
      <c r="G504" s="687"/>
      <c r="H504" s="686"/>
      <c r="I504" s="687"/>
      <c r="J504" s="686"/>
      <c r="K504" s="686"/>
      <c r="L504" s="686"/>
      <c r="M504" s="686"/>
      <c r="N504" s="686"/>
      <c r="O504" s="687"/>
      <c r="P504" s="686"/>
      <c r="Q504" s="686"/>
      <c r="R504" s="687"/>
      <c r="S504" s="686"/>
      <c r="T504" s="686"/>
      <c r="U504" s="686"/>
      <c r="V504" s="686"/>
      <c r="W504" s="686"/>
    </row>
    <row r="505" ht="13.8" customHeight="1">
      <c r="A505" s="686"/>
      <c r="B505" s="686"/>
      <c r="C505" s="823"/>
      <c r="D505" s="686"/>
      <c r="E505" s="686"/>
      <c r="F505" s="686"/>
      <c r="G505" s="687"/>
      <c r="H505" s="686"/>
      <c r="I505" s="687"/>
      <c r="J505" s="686"/>
      <c r="K505" s="686"/>
      <c r="L505" s="686"/>
      <c r="M505" s="686"/>
      <c r="N505" s="686"/>
      <c r="O505" s="687"/>
      <c r="P505" s="686"/>
      <c r="Q505" s="686"/>
      <c r="R505" s="687"/>
      <c r="S505" s="686"/>
      <c r="T505" s="686"/>
      <c r="U505" s="686"/>
      <c r="V505" s="686"/>
      <c r="W505" s="686"/>
    </row>
    <row r="506" ht="13.8" customHeight="1">
      <c r="A506" s="686"/>
      <c r="B506" s="686"/>
      <c r="C506" s="823"/>
      <c r="D506" s="686"/>
      <c r="E506" s="686"/>
      <c r="F506" s="686"/>
      <c r="G506" s="687"/>
      <c r="H506" s="686"/>
      <c r="I506" s="687"/>
      <c r="J506" s="686"/>
      <c r="K506" s="686"/>
      <c r="L506" s="686"/>
      <c r="M506" s="686"/>
      <c r="N506" s="686"/>
      <c r="O506" s="687"/>
      <c r="P506" s="686"/>
      <c r="Q506" s="686"/>
      <c r="R506" s="687"/>
      <c r="S506" s="686"/>
      <c r="T506" s="686"/>
      <c r="U506" s="686"/>
      <c r="V506" s="686"/>
      <c r="W506" s="686"/>
    </row>
    <row r="507" ht="13.8" customHeight="1">
      <c r="A507" s="686"/>
      <c r="B507" s="686"/>
      <c r="C507" s="823"/>
      <c r="D507" s="686"/>
      <c r="E507" s="686"/>
      <c r="F507" s="686"/>
      <c r="G507" s="687"/>
      <c r="H507" s="686"/>
      <c r="I507" s="687"/>
      <c r="J507" s="686"/>
      <c r="K507" s="686"/>
      <c r="L507" s="686"/>
      <c r="M507" s="686"/>
      <c r="N507" s="686"/>
      <c r="O507" s="687"/>
      <c r="P507" s="686"/>
      <c r="Q507" s="686"/>
      <c r="R507" s="687"/>
      <c r="S507" s="686"/>
      <c r="T507" s="686"/>
      <c r="U507" s="686"/>
      <c r="V507" s="686"/>
      <c r="W507" s="686"/>
    </row>
    <row r="508" ht="13.8" customHeight="1">
      <c r="A508" s="686"/>
      <c r="B508" s="686"/>
      <c r="C508" s="823"/>
      <c r="D508" s="686"/>
      <c r="E508" s="686"/>
      <c r="F508" s="686"/>
      <c r="G508" s="687"/>
      <c r="H508" s="686"/>
      <c r="I508" s="687"/>
      <c r="J508" s="686"/>
      <c r="K508" s="686"/>
      <c r="L508" s="686"/>
      <c r="M508" s="686"/>
      <c r="N508" s="686"/>
      <c r="O508" s="687"/>
      <c r="P508" s="686"/>
      <c r="Q508" s="686"/>
      <c r="R508" s="687"/>
      <c r="S508" s="686"/>
      <c r="T508" s="686"/>
      <c r="U508" s="686"/>
      <c r="V508" s="686"/>
      <c r="W508" s="686"/>
    </row>
    <row r="509" ht="13.8" customHeight="1">
      <c r="A509" s="686"/>
      <c r="B509" s="686"/>
      <c r="C509" s="823"/>
      <c r="D509" s="686"/>
      <c r="E509" s="686"/>
      <c r="F509" s="686"/>
      <c r="G509" s="687"/>
      <c r="H509" s="686"/>
      <c r="I509" s="687"/>
      <c r="J509" s="686"/>
      <c r="K509" s="686"/>
      <c r="L509" s="686"/>
      <c r="M509" s="686"/>
      <c r="N509" s="686"/>
      <c r="O509" s="687"/>
      <c r="P509" s="686"/>
      <c r="Q509" s="686"/>
      <c r="R509" s="687"/>
      <c r="S509" s="686"/>
      <c r="T509" s="686"/>
      <c r="U509" s="686"/>
      <c r="V509" s="686"/>
      <c r="W509" s="686"/>
    </row>
    <row r="510" ht="13.8" customHeight="1">
      <c r="A510" s="686"/>
      <c r="B510" s="686"/>
      <c r="C510" s="823"/>
      <c r="D510" s="686"/>
      <c r="E510" s="686"/>
      <c r="F510" s="686"/>
      <c r="G510" s="687"/>
      <c r="H510" s="686"/>
      <c r="I510" s="687"/>
      <c r="J510" s="686"/>
      <c r="K510" s="686"/>
      <c r="L510" s="686"/>
      <c r="M510" s="686"/>
      <c r="N510" s="686"/>
      <c r="O510" s="687"/>
      <c r="P510" s="686"/>
      <c r="Q510" s="686"/>
      <c r="R510" s="687"/>
      <c r="S510" s="686"/>
      <c r="T510" s="686"/>
      <c r="U510" s="686"/>
      <c r="V510" s="686"/>
      <c r="W510" s="686"/>
    </row>
    <row r="511" ht="13.8" customHeight="1">
      <c r="A511" s="686"/>
      <c r="B511" s="686"/>
      <c r="C511" s="823"/>
      <c r="D511" s="686"/>
      <c r="E511" s="686"/>
      <c r="F511" s="686"/>
      <c r="G511" s="687"/>
      <c r="H511" s="686"/>
      <c r="I511" s="687"/>
      <c r="J511" s="686"/>
      <c r="K511" s="686"/>
      <c r="L511" s="686"/>
      <c r="M511" s="686"/>
      <c r="N511" s="686"/>
      <c r="O511" s="687"/>
      <c r="P511" s="686"/>
      <c r="Q511" s="686"/>
      <c r="R511" s="687"/>
      <c r="S511" s="686"/>
      <c r="T511" s="686"/>
      <c r="U511" s="686"/>
      <c r="V511" s="686"/>
      <c r="W511" s="686"/>
    </row>
    <row r="512" ht="13.8" customHeight="1">
      <c r="A512" s="686"/>
      <c r="B512" s="686"/>
      <c r="C512" s="823"/>
      <c r="D512" s="686"/>
      <c r="E512" s="686"/>
      <c r="F512" s="686"/>
      <c r="G512" s="687"/>
      <c r="H512" s="686"/>
      <c r="I512" s="687"/>
      <c r="J512" s="686"/>
      <c r="K512" s="686"/>
      <c r="L512" s="686"/>
      <c r="M512" s="686"/>
      <c r="N512" s="686"/>
      <c r="O512" s="687"/>
      <c r="P512" s="686"/>
      <c r="Q512" s="686"/>
      <c r="R512" s="687"/>
      <c r="S512" s="686"/>
      <c r="T512" s="686"/>
      <c r="U512" s="686"/>
      <c r="V512" s="686"/>
      <c r="W512" s="686"/>
    </row>
    <row r="513" ht="13.8" customHeight="1">
      <c r="A513" s="686"/>
      <c r="B513" s="686"/>
      <c r="C513" s="823"/>
      <c r="D513" s="686"/>
      <c r="E513" s="686"/>
      <c r="F513" s="686"/>
      <c r="G513" s="687"/>
      <c r="H513" s="686"/>
      <c r="I513" s="687"/>
      <c r="J513" s="686"/>
      <c r="K513" s="686"/>
      <c r="L513" s="686"/>
      <c r="M513" s="686"/>
      <c r="N513" s="686"/>
      <c r="O513" s="687"/>
      <c r="P513" s="686"/>
      <c r="Q513" s="686"/>
      <c r="R513" s="687"/>
      <c r="S513" s="686"/>
      <c r="T513" s="686"/>
      <c r="U513" s="686"/>
      <c r="V513" s="686"/>
      <c r="W513" s="686"/>
    </row>
    <row r="514" ht="13.8" customHeight="1">
      <c r="A514" s="686"/>
      <c r="B514" s="686"/>
      <c r="C514" s="823"/>
      <c r="D514" s="686"/>
      <c r="E514" s="686"/>
      <c r="F514" s="686"/>
      <c r="G514" s="687"/>
      <c r="H514" s="686"/>
      <c r="I514" s="687"/>
      <c r="J514" s="686"/>
      <c r="K514" s="686"/>
      <c r="L514" s="686"/>
      <c r="M514" s="686"/>
      <c r="N514" s="686"/>
      <c r="O514" s="687"/>
      <c r="P514" s="686"/>
      <c r="Q514" s="686"/>
      <c r="R514" s="687"/>
      <c r="S514" s="686"/>
      <c r="T514" s="686"/>
      <c r="U514" s="686"/>
      <c r="V514" s="686"/>
      <c r="W514" s="686"/>
    </row>
    <row r="515" ht="13.8" customHeight="1">
      <c r="A515" s="686"/>
      <c r="B515" s="686"/>
      <c r="C515" s="823"/>
      <c r="D515" s="686"/>
      <c r="E515" s="686"/>
      <c r="F515" s="686"/>
      <c r="G515" s="687"/>
      <c r="H515" s="686"/>
      <c r="I515" s="687"/>
      <c r="J515" s="686"/>
      <c r="K515" s="686"/>
      <c r="L515" s="686"/>
      <c r="M515" s="686"/>
      <c r="N515" s="686"/>
      <c r="O515" s="687"/>
      <c r="P515" s="686"/>
      <c r="Q515" s="686"/>
      <c r="R515" s="687"/>
      <c r="S515" s="686"/>
      <c r="T515" s="686"/>
      <c r="U515" s="686"/>
      <c r="V515" s="686"/>
      <c r="W515" s="686"/>
    </row>
    <row r="516" ht="13.8" customHeight="1">
      <c r="A516" s="686"/>
      <c r="B516" s="686"/>
      <c r="C516" s="823"/>
      <c r="D516" s="686"/>
      <c r="E516" s="686"/>
      <c r="F516" s="686"/>
      <c r="G516" s="687"/>
      <c r="H516" s="686"/>
      <c r="I516" s="687"/>
      <c r="J516" s="686"/>
      <c r="K516" s="686"/>
      <c r="L516" s="686"/>
      <c r="M516" s="686"/>
      <c r="N516" s="686"/>
      <c r="O516" s="687"/>
      <c r="P516" s="686"/>
      <c r="Q516" s="686"/>
      <c r="R516" s="687"/>
      <c r="S516" s="686"/>
      <c r="T516" s="686"/>
      <c r="U516" s="686"/>
      <c r="V516" s="686"/>
      <c r="W516" s="686"/>
    </row>
    <row r="517" ht="13.8" customHeight="1">
      <c r="A517" s="686"/>
      <c r="B517" s="686"/>
      <c r="C517" s="823"/>
      <c r="D517" s="686"/>
      <c r="E517" s="686"/>
      <c r="F517" s="686"/>
      <c r="G517" s="687"/>
      <c r="H517" s="686"/>
      <c r="I517" s="687"/>
      <c r="J517" s="686"/>
      <c r="K517" s="686"/>
      <c r="L517" s="686"/>
      <c r="M517" s="686"/>
      <c r="N517" s="686"/>
      <c r="O517" s="687"/>
      <c r="P517" s="686"/>
      <c r="Q517" s="686"/>
      <c r="R517" s="687"/>
      <c r="S517" s="686"/>
      <c r="T517" s="686"/>
      <c r="U517" s="686"/>
      <c r="V517" s="686"/>
      <c r="W517" s="686"/>
    </row>
    <row r="518" ht="13.8" customHeight="1">
      <c r="A518" s="686"/>
      <c r="B518" s="686"/>
      <c r="C518" s="823"/>
      <c r="D518" s="686"/>
      <c r="E518" s="686"/>
      <c r="F518" s="686"/>
      <c r="G518" s="687"/>
      <c r="H518" s="686"/>
      <c r="I518" s="687"/>
      <c r="J518" s="686"/>
      <c r="K518" s="686"/>
      <c r="L518" s="686"/>
      <c r="M518" s="686"/>
      <c r="N518" s="686"/>
      <c r="O518" s="687"/>
      <c r="P518" s="686"/>
      <c r="Q518" s="686"/>
      <c r="R518" s="687"/>
      <c r="S518" s="686"/>
      <c r="T518" s="686"/>
      <c r="U518" s="686"/>
      <c r="V518" s="686"/>
      <c r="W518" s="686"/>
    </row>
    <row r="519" ht="13.8" customHeight="1">
      <c r="A519" s="686"/>
      <c r="B519" s="686"/>
      <c r="C519" s="823"/>
      <c r="D519" s="686"/>
      <c r="E519" s="686"/>
      <c r="F519" s="686"/>
      <c r="G519" s="687"/>
      <c r="H519" s="686"/>
      <c r="I519" s="687"/>
      <c r="J519" s="686"/>
      <c r="K519" s="686"/>
      <c r="L519" s="686"/>
      <c r="M519" s="686"/>
      <c r="N519" s="686"/>
      <c r="O519" s="687"/>
      <c r="P519" s="686"/>
      <c r="Q519" s="686"/>
      <c r="R519" s="687"/>
      <c r="S519" s="686"/>
      <c r="T519" s="686"/>
      <c r="U519" s="686"/>
      <c r="V519" s="686"/>
      <c r="W519" s="686"/>
    </row>
    <row r="520" ht="13.8" customHeight="1">
      <c r="A520" s="686"/>
      <c r="B520" s="686"/>
      <c r="C520" s="823"/>
      <c r="D520" s="686"/>
      <c r="E520" s="686"/>
      <c r="F520" s="686"/>
      <c r="G520" s="687"/>
      <c r="H520" s="686"/>
      <c r="I520" s="687"/>
      <c r="J520" s="686"/>
      <c r="K520" s="686"/>
      <c r="L520" s="686"/>
      <c r="M520" s="686"/>
      <c r="N520" s="686"/>
      <c r="O520" s="687"/>
      <c r="P520" s="686"/>
      <c r="Q520" s="686"/>
      <c r="R520" s="687"/>
      <c r="S520" s="686"/>
      <c r="T520" s="686"/>
      <c r="U520" s="686"/>
      <c r="V520" s="686"/>
      <c r="W520" s="686"/>
    </row>
    <row r="521" ht="13.8" customHeight="1">
      <c r="A521" s="686"/>
      <c r="B521" s="686"/>
      <c r="C521" s="823"/>
      <c r="D521" s="686"/>
      <c r="E521" s="686"/>
      <c r="F521" s="686"/>
      <c r="G521" s="687"/>
      <c r="H521" s="686"/>
      <c r="I521" s="687"/>
      <c r="J521" s="686"/>
      <c r="K521" s="686"/>
      <c r="L521" s="686"/>
      <c r="M521" s="686"/>
      <c r="N521" s="686"/>
      <c r="O521" s="687"/>
      <c r="P521" s="686"/>
      <c r="Q521" s="686"/>
      <c r="R521" s="687"/>
      <c r="S521" s="686"/>
      <c r="T521" s="686"/>
      <c r="U521" s="686"/>
      <c r="V521" s="686"/>
      <c r="W521" s="686"/>
    </row>
    <row r="522" ht="13.8" customHeight="1">
      <c r="A522" s="686"/>
      <c r="B522" s="686"/>
      <c r="C522" s="823"/>
      <c r="D522" s="686"/>
      <c r="E522" s="686"/>
      <c r="F522" s="686"/>
      <c r="G522" s="687"/>
      <c r="H522" s="686"/>
      <c r="I522" s="687"/>
      <c r="J522" s="686"/>
      <c r="K522" s="686"/>
      <c r="L522" s="686"/>
      <c r="M522" s="686"/>
      <c r="N522" s="686"/>
      <c r="O522" s="687"/>
      <c r="P522" s="686"/>
      <c r="Q522" s="686"/>
      <c r="R522" s="687"/>
      <c r="S522" s="686"/>
      <c r="T522" s="686"/>
      <c r="U522" s="686"/>
      <c r="V522" s="686"/>
      <c r="W522" s="686"/>
    </row>
    <row r="523" ht="13.8" customHeight="1">
      <c r="A523" s="686"/>
      <c r="B523" s="686"/>
      <c r="C523" s="823"/>
      <c r="D523" s="686"/>
      <c r="E523" s="686"/>
      <c r="F523" s="686"/>
      <c r="G523" s="687"/>
      <c r="H523" s="686"/>
      <c r="I523" s="687"/>
      <c r="J523" s="686"/>
      <c r="K523" s="686"/>
      <c r="L523" s="686"/>
      <c r="M523" s="686"/>
      <c r="N523" s="686"/>
      <c r="O523" s="687"/>
      <c r="P523" s="686"/>
      <c r="Q523" s="686"/>
      <c r="R523" s="687"/>
      <c r="S523" s="686"/>
      <c r="T523" s="686"/>
      <c r="U523" s="686"/>
      <c r="V523" s="686"/>
      <c r="W523" s="686"/>
    </row>
    <row r="524" ht="13.8" customHeight="1">
      <c r="A524" s="686"/>
      <c r="B524" s="686"/>
      <c r="C524" s="823"/>
      <c r="D524" s="686"/>
      <c r="E524" s="686"/>
      <c r="F524" s="686"/>
      <c r="G524" s="687"/>
      <c r="H524" s="686"/>
      <c r="I524" s="687"/>
      <c r="J524" s="686"/>
      <c r="K524" s="686"/>
      <c r="L524" s="686"/>
      <c r="M524" s="686"/>
      <c r="N524" s="686"/>
      <c r="O524" s="687"/>
      <c r="P524" s="686"/>
      <c r="Q524" s="686"/>
      <c r="R524" s="687"/>
      <c r="S524" s="686"/>
      <c r="T524" s="686"/>
      <c r="U524" s="686"/>
      <c r="V524" s="686"/>
      <c r="W524" s="686"/>
    </row>
    <row r="525" ht="13.8" customHeight="1">
      <c r="A525" s="686"/>
      <c r="B525" s="686"/>
      <c r="C525" s="823"/>
      <c r="D525" s="686"/>
      <c r="E525" s="686"/>
      <c r="F525" s="686"/>
      <c r="G525" s="687"/>
      <c r="H525" s="686"/>
      <c r="I525" s="687"/>
      <c r="J525" s="686"/>
      <c r="K525" s="686"/>
      <c r="L525" s="686"/>
      <c r="M525" s="686"/>
      <c r="N525" s="686"/>
      <c r="O525" s="687"/>
      <c r="P525" s="686"/>
      <c r="Q525" s="686"/>
      <c r="R525" s="687"/>
      <c r="S525" s="686"/>
      <c r="T525" s="686"/>
      <c r="U525" s="686"/>
      <c r="V525" s="686"/>
      <c r="W525" s="686"/>
    </row>
    <row r="526" ht="13.8" customHeight="1">
      <c r="A526" s="686"/>
      <c r="B526" s="686"/>
      <c r="C526" s="823"/>
      <c r="D526" s="686"/>
      <c r="E526" s="686"/>
      <c r="F526" s="686"/>
      <c r="G526" s="687"/>
      <c r="H526" s="686"/>
      <c r="I526" s="687"/>
      <c r="J526" s="686"/>
      <c r="K526" s="686"/>
      <c r="L526" s="686"/>
      <c r="M526" s="686"/>
      <c r="N526" s="686"/>
      <c r="O526" s="687"/>
      <c r="P526" s="686"/>
      <c r="Q526" s="686"/>
      <c r="R526" s="687"/>
      <c r="S526" s="686"/>
      <c r="T526" s="686"/>
      <c r="U526" s="686"/>
      <c r="V526" s="686"/>
      <c r="W526" s="686"/>
    </row>
    <row r="527" ht="13.8" customHeight="1">
      <c r="A527" s="686"/>
      <c r="B527" s="686"/>
      <c r="C527" s="823"/>
      <c r="D527" s="686"/>
      <c r="E527" s="686"/>
      <c r="F527" s="686"/>
      <c r="G527" s="687"/>
      <c r="H527" s="686"/>
      <c r="I527" s="687"/>
      <c r="J527" s="686"/>
      <c r="K527" s="686"/>
      <c r="L527" s="686"/>
      <c r="M527" s="686"/>
      <c r="N527" s="686"/>
      <c r="O527" s="687"/>
      <c r="P527" s="686"/>
      <c r="Q527" s="686"/>
      <c r="R527" s="687"/>
      <c r="S527" s="686"/>
      <c r="T527" s="686"/>
      <c r="U527" s="686"/>
      <c r="V527" s="686"/>
      <c r="W527" s="686"/>
    </row>
    <row r="528" ht="13.8" customHeight="1">
      <c r="A528" s="686"/>
      <c r="B528" s="686"/>
      <c r="C528" s="823"/>
      <c r="D528" s="686"/>
      <c r="E528" s="686"/>
      <c r="F528" s="686"/>
      <c r="G528" s="687"/>
      <c r="H528" s="686"/>
      <c r="I528" s="687"/>
      <c r="J528" s="686"/>
      <c r="K528" s="686"/>
      <c r="L528" s="686"/>
      <c r="M528" s="686"/>
      <c r="N528" s="686"/>
      <c r="O528" s="687"/>
      <c r="P528" s="686"/>
      <c r="Q528" s="686"/>
      <c r="R528" s="687"/>
      <c r="S528" s="686"/>
      <c r="T528" s="686"/>
      <c r="U528" s="686"/>
      <c r="V528" s="686"/>
      <c r="W528" s="686"/>
    </row>
    <row r="529" ht="13.8" customHeight="1">
      <c r="A529" s="686"/>
      <c r="B529" s="686"/>
      <c r="C529" s="823"/>
      <c r="D529" s="686"/>
      <c r="E529" s="686"/>
      <c r="F529" s="686"/>
      <c r="G529" s="687"/>
      <c r="H529" s="686"/>
      <c r="I529" s="687"/>
      <c r="J529" s="686"/>
      <c r="K529" s="686"/>
      <c r="L529" s="686"/>
      <c r="M529" s="686"/>
      <c r="N529" s="686"/>
      <c r="O529" s="687"/>
      <c r="P529" s="686"/>
      <c r="Q529" s="686"/>
      <c r="R529" s="687"/>
      <c r="S529" s="686"/>
      <c r="T529" s="686"/>
      <c r="U529" s="686"/>
      <c r="V529" s="686"/>
      <c r="W529" s="686"/>
    </row>
    <row r="530" ht="13.8" customHeight="1">
      <c r="A530" s="686"/>
      <c r="B530" s="686"/>
      <c r="C530" s="823"/>
      <c r="D530" s="686"/>
      <c r="E530" s="686"/>
      <c r="F530" s="686"/>
      <c r="G530" s="687"/>
      <c r="H530" s="686"/>
      <c r="I530" s="687"/>
      <c r="J530" s="686"/>
      <c r="K530" s="686"/>
      <c r="L530" s="686"/>
      <c r="M530" s="686"/>
      <c r="N530" s="686"/>
      <c r="O530" s="687"/>
      <c r="P530" s="686"/>
      <c r="Q530" s="686"/>
      <c r="R530" s="687"/>
      <c r="S530" s="686"/>
      <c r="T530" s="686"/>
      <c r="U530" s="686"/>
      <c r="V530" s="686"/>
      <c r="W530" s="686"/>
    </row>
    <row r="531" ht="13.8" customHeight="1">
      <c r="A531" s="686"/>
      <c r="B531" s="686"/>
      <c r="C531" s="823"/>
      <c r="D531" s="686"/>
      <c r="E531" s="686"/>
      <c r="F531" s="686"/>
      <c r="G531" s="687"/>
      <c r="H531" s="686"/>
      <c r="I531" s="687"/>
      <c r="J531" s="686"/>
      <c r="K531" s="686"/>
      <c r="L531" s="686"/>
      <c r="M531" s="686"/>
      <c r="N531" s="686"/>
      <c r="O531" s="687"/>
      <c r="P531" s="686"/>
      <c r="Q531" s="686"/>
      <c r="R531" s="687"/>
      <c r="S531" s="686"/>
      <c r="T531" s="686"/>
      <c r="U531" s="686"/>
      <c r="V531" s="686"/>
      <c r="W531" s="686"/>
    </row>
    <row r="532" ht="13.8" customHeight="1">
      <c r="A532" s="686"/>
      <c r="B532" s="686"/>
      <c r="C532" s="823"/>
      <c r="D532" s="686"/>
      <c r="E532" s="686"/>
      <c r="F532" s="686"/>
      <c r="G532" s="687"/>
      <c r="H532" s="686"/>
      <c r="I532" s="687"/>
      <c r="J532" s="686"/>
      <c r="K532" s="686"/>
      <c r="L532" s="686"/>
      <c r="M532" s="686"/>
      <c r="N532" s="686"/>
      <c r="O532" s="687"/>
      <c r="P532" s="686"/>
      <c r="Q532" s="686"/>
      <c r="R532" s="687"/>
      <c r="S532" s="686"/>
      <c r="T532" s="686"/>
      <c r="U532" s="686"/>
      <c r="V532" s="686"/>
      <c r="W532" s="686"/>
    </row>
    <row r="533" ht="13.8" customHeight="1">
      <c r="A533" s="686"/>
      <c r="B533" s="686"/>
      <c r="C533" s="823"/>
      <c r="D533" s="686"/>
      <c r="E533" s="686"/>
      <c r="F533" s="686"/>
      <c r="G533" s="687"/>
      <c r="H533" s="686"/>
      <c r="I533" s="687"/>
      <c r="J533" s="686"/>
      <c r="K533" s="686"/>
      <c r="L533" s="686"/>
      <c r="M533" s="686"/>
      <c r="N533" s="686"/>
      <c r="O533" s="687"/>
      <c r="P533" s="686"/>
      <c r="Q533" s="686"/>
      <c r="R533" s="687"/>
      <c r="S533" s="686"/>
      <c r="T533" s="686"/>
      <c r="U533" s="686"/>
      <c r="V533" s="686"/>
      <c r="W533" s="686"/>
    </row>
    <row r="534" ht="13.8" customHeight="1">
      <c r="A534" s="686"/>
      <c r="B534" s="686"/>
      <c r="C534" s="823"/>
      <c r="D534" s="686"/>
      <c r="E534" s="686"/>
      <c r="F534" s="686"/>
      <c r="G534" s="687"/>
      <c r="H534" s="686"/>
      <c r="I534" s="687"/>
      <c r="J534" s="686"/>
      <c r="K534" s="686"/>
      <c r="L534" s="686"/>
      <c r="M534" s="686"/>
      <c r="N534" s="686"/>
      <c r="O534" s="687"/>
      <c r="P534" s="686"/>
      <c r="Q534" s="686"/>
      <c r="R534" s="687"/>
      <c r="S534" s="686"/>
      <c r="T534" s="686"/>
      <c r="U534" s="686"/>
      <c r="V534" s="686"/>
      <c r="W534" s="686"/>
    </row>
    <row r="535" ht="13.8" customHeight="1">
      <c r="A535" s="686"/>
      <c r="B535" s="686"/>
      <c r="C535" s="823"/>
      <c r="D535" s="686"/>
      <c r="E535" s="686"/>
      <c r="F535" s="686"/>
      <c r="G535" s="687"/>
      <c r="H535" s="686"/>
      <c r="I535" s="687"/>
      <c r="J535" s="686"/>
      <c r="K535" s="686"/>
      <c r="L535" s="686"/>
      <c r="M535" s="686"/>
      <c r="N535" s="686"/>
      <c r="O535" s="687"/>
      <c r="P535" s="686"/>
      <c r="Q535" s="686"/>
      <c r="R535" s="687"/>
      <c r="S535" s="686"/>
      <c r="T535" s="686"/>
      <c r="U535" s="686"/>
      <c r="V535" s="686"/>
      <c r="W535" s="686"/>
    </row>
    <row r="536" ht="13.8" customHeight="1">
      <c r="A536" s="686"/>
      <c r="B536" s="686"/>
      <c r="C536" s="823"/>
      <c r="D536" s="686"/>
      <c r="E536" s="686"/>
      <c r="F536" s="686"/>
      <c r="G536" s="687"/>
      <c r="H536" s="686"/>
      <c r="I536" s="687"/>
      <c r="J536" s="686"/>
      <c r="K536" s="686"/>
      <c r="L536" s="686"/>
      <c r="M536" s="686"/>
      <c r="N536" s="686"/>
      <c r="O536" s="687"/>
      <c r="P536" s="686"/>
      <c r="Q536" s="686"/>
      <c r="R536" s="687"/>
      <c r="S536" s="686"/>
      <c r="T536" s="686"/>
      <c r="U536" s="686"/>
      <c r="V536" s="686"/>
      <c r="W536" s="686"/>
    </row>
    <row r="537" ht="13.8" customHeight="1">
      <c r="A537" s="686"/>
      <c r="B537" s="686"/>
      <c r="C537" s="823"/>
      <c r="D537" s="686"/>
      <c r="E537" s="686"/>
      <c r="F537" s="686"/>
      <c r="G537" s="687"/>
      <c r="H537" s="686"/>
      <c r="I537" s="687"/>
      <c r="J537" s="686"/>
      <c r="K537" s="686"/>
      <c r="L537" s="686"/>
      <c r="M537" s="686"/>
      <c r="N537" s="686"/>
      <c r="O537" s="687"/>
      <c r="P537" s="686"/>
      <c r="Q537" s="686"/>
      <c r="R537" s="687"/>
      <c r="S537" s="686"/>
      <c r="T537" s="686"/>
      <c r="U537" s="686"/>
      <c r="V537" s="686"/>
      <c r="W537" s="686"/>
    </row>
    <row r="538" ht="13.8" customHeight="1">
      <c r="A538" s="686"/>
      <c r="B538" s="686"/>
      <c r="C538" s="823"/>
      <c r="D538" s="686"/>
      <c r="E538" s="686"/>
      <c r="F538" s="686"/>
      <c r="G538" s="687"/>
      <c r="H538" s="686"/>
      <c r="I538" s="687"/>
      <c r="J538" s="686"/>
      <c r="K538" s="686"/>
      <c r="L538" s="686"/>
      <c r="M538" s="686"/>
      <c r="N538" s="686"/>
      <c r="O538" s="687"/>
      <c r="P538" s="686"/>
      <c r="Q538" s="686"/>
      <c r="R538" s="687"/>
      <c r="S538" s="686"/>
      <c r="T538" s="686"/>
      <c r="U538" s="686"/>
      <c r="V538" s="686"/>
      <c r="W538" s="686"/>
    </row>
    <row r="539" ht="13.8" customHeight="1">
      <c r="A539" s="686"/>
      <c r="B539" s="686"/>
      <c r="C539" s="823"/>
      <c r="D539" s="686"/>
      <c r="E539" s="686"/>
      <c r="F539" s="686"/>
      <c r="G539" s="687"/>
      <c r="H539" s="686"/>
      <c r="I539" s="687"/>
      <c r="J539" s="686"/>
      <c r="K539" s="686"/>
      <c r="L539" s="686"/>
      <c r="M539" s="686"/>
      <c r="N539" s="686"/>
      <c r="O539" s="687"/>
      <c r="P539" s="686"/>
      <c r="Q539" s="686"/>
      <c r="R539" s="687"/>
      <c r="S539" s="686"/>
      <c r="T539" s="686"/>
      <c r="U539" s="686"/>
      <c r="V539" s="686"/>
      <c r="W539" s="686"/>
    </row>
    <row r="540" ht="13.8" customHeight="1">
      <c r="A540" s="686"/>
      <c r="B540" s="686"/>
      <c r="C540" s="823"/>
      <c r="D540" s="686"/>
      <c r="E540" s="686"/>
      <c r="F540" s="686"/>
      <c r="G540" s="687"/>
      <c r="H540" s="686"/>
      <c r="I540" s="687"/>
      <c r="J540" s="686"/>
      <c r="K540" s="686"/>
      <c r="L540" s="686"/>
      <c r="M540" s="686"/>
      <c r="N540" s="686"/>
      <c r="O540" s="687"/>
      <c r="P540" s="686"/>
      <c r="Q540" s="686"/>
      <c r="R540" s="687"/>
      <c r="S540" s="686"/>
      <c r="T540" s="686"/>
      <c r="U540" s="686"/>
      <c r="V540" s="686"/>
      <c r="W540" s="686"/>
    </row>
    <row r="541" ht="13.8" customHeight="1">
      <c r="A541" s="686"/>
      <c r="B541" s="686"/>
      <c r="C541" s="823"/>
      <c r="D541" s="686"/>
      <c r="E541" s="686"/>
      <c r="F541" s="686"/>
      <c r="G541" s="687"/>
      <c r="H541" s="686"/>
      <c r="I541" s="687"/>
      <c r="J541" s="686"/>
      <c r="K541" s="686"/>
      <c r="L541" s="686"/>
      <c r="M541" s="686"/>
      <c r="N541" s="686"/>
      <c r="O541" s="687"/>
      <c r="P541" s="686"/>
      <c r="Q541" s="686"/>
      <c r="R541" s="687"/>
      <c r="S541" s="686"/>
      <c r="T541" s="686"/>
      <c r="U541" s="686"/>
      <c r="V541" s="686"/>
      <c r="W541" s="686"/>
    </row>
    <row r="542" ht="13.8" customHeight="1">
      <c r="A542" s="686"/>
      <c r="B542" s="686"/>
      <c r="C542" s="823"/>
      <c r="D542" s="686"/>
      <c r="E542" s="686"/>
      <c r="F542" s="686"/>
      <c r="G542" s="687"/>
      <c r="H542" s="686"/>
      <c r="I542" s="687"/>
      <c r="J542" s="686"/>
      <c r="K542" s="686"/>
      <c r="L542" s="686"/>
      <c r="M542" s="686"/>
      <c r="N542" s="686"/>
      <c r="O542" s="687"/>
      <c r="P542" s="686"/>
      <c r="Q542" s="686"/>
      <c r="R542" s="687"/>
      <c r="S542" s="686"/>
      <c r="T542" s="686"/>
      <c r="U542" s="686"/>
      <c r="V542" s="686"/>
      <c r="W542" s="686"/>
    </row>
    <row r="543" ht="13.8" customHeight="1">
      <c r="A543" s="686"/>
      <c r="B543" s="686"/>
      <c r="C543" s="823"/>
      <c r="D543" s="686"/>
      <c r="E543" s="686"/>
      <c r="F543" s="686"/>
      <c r="G543" s="687"/>
      <c r="H543" s="686"/>
      <c r="I543" s="687"/>
      <c r="J543" s="686"/>
      <c r="K543" s="686"/>
      <c r="L543" s="686"/>
      <c r="M543" s="686"/>
      <c r="N543" s="686"/>
      <c r="O543" s="687"/>
      <c r="P543" s="686"/>
      <c r="Q543" s="686"/>
      <c r="R543" s="687"/>
      <c r="S543" s="686"/>
      <c r="T543" s="686"/>
      <c r="U543" s="686"/>
      <c r="V543" s="686"/>
      <c r="W543" s="686"/>
    </row>
    <row r="544" ht="13.8" customHeight="1">
      <c r="A544" s="686"/>
      <c r="B544" s="686"/>
      <c r="C544" s="823"/>
      <c r="D544" s="686"/>
      <c r="E544" s="686"/>
      <c r="F544" s="686"/>
      <c r="G544" s="687"/>
      <c r="H544" s="686"/>
      <c r="I544" s="687"/>
      <c r="J544" s="686"/>
      <c r="K544" s="686"/>
      <c r="L544" s="686"/>
      <c r="M544" s="686"/>
      <c r="N544" s="686"/>
      <c r="O544" s="687"/>
      <c r="P544" s="686"/>
      <c r="Q544" s="686"/>
      <c r="R544" s="687"/>
      <c r="S544" s="686"/>
      <c r="T544" s="686"/>
      <c r="U544" s="686"/>
      <c r="V544" s="686"/>
      <c r="W544" s="686"/>
    </row>
    <row r="545" ht="13.8" customHeight="1">
      <c r="A545" s="686"/>
      <c r="B545" s="686"/>
      <c r="C545" s="823"/>
      <c r="D545" s="686"/>
      <c r="E545" s="686"/>
      <c r="F545" s="686"/>
      <c r="G545" s="687"/>
      <c r="H545" s="686"/>
      <c r="I545" s="687"/>
      <c r="J545" s="686"/>
      <c r="K545" s="686"/>
      <c r="L545" s="686"/>
      <c r="M545" s="686"/>
      <c r="N545" s="686"/>
      <c r="O545" s="687"/>
      <c r="P545" s="686"/>
      <c r="Q545" s="686"/>
      <c r="R545" s="687"/>
      <c r="S545" s="686"/>
      <c r="T545" s="686"/>
      <c r="U545" s="686"/>
      <c r="V545" s="686"/>
      <c r="W545" s="686"/>
    </row>
    <row r="546" ht="13.8" customHeight="1">
      <c r="A546" s="686"/>
      <c r="B546" s="686"/>
      <c r="C546" s="823"/>
      <c r="D546" s="686"/>
      <c r="E546" s="686"/>
      <c r="F546" s="686"/>
      <c r="G546" s="687"/>
      <c r="H546" s="686"/>
      <c r="I546" s="687"/>
      <c r="J546" s="686"/>
      <c r="K546" s="686"/>
      <c r="L546" s="686"/>
      <c r="M546" s="686"/>
      <c r="N546" s="686"/>
      <c r="O546" s="687"/>
      <c r="P546" s="686"/>
      <c r="Q546" s="686"/>
      <c r="R546" s="687"/>
      <c r="S546" s="686"/>
      <c r="T546" s="686"/>
      <c r="U546" s="686"/>
      <c r="V546" s="686"/>
      <c r="W546" s="686"/>
    </row>
    <row r="547" ht="13.8" customHeight="1">
      <c r="A547" s="686"/>
      <c r="B547" s="686"/>
      <c r="C547" s="823"/>
      <c r="D547" s="686"/>
      <c r="E547" s="686"/>
      <c r="F547" s="686"/>
      <c r="G547" s="687"/>
      <c r="H547" s="686"/>
      <c r="I547" s="687"/>
      <c r="J547" s="686"/>
      <c r="K547" s="686"/>
      <c r="L547" s="686"/>
      <c r="M547" s="686"/>
      <c r="N547" s="686"/>
      <c r="O547" s="687"/>
      <c r="P547" s="686"/>
      <c r="Q547" s="686"/>
      <c r="R547" s="687"/>
      <c r="S547" s="686"/>
      <c r="T547" s="686"/>
      <c r="U547" s="686"/>
      <c r="V547" s="686"/>
      <c r="W547" s="686"/>
    </row>
    <row r="548" ht="13.8" customHeight="1">
      <c r="A548" s="686"/>
      <c r="B548" s="686"/>
      <c r="C548" s="823"/>
      <c r="D548" s="686"/>
      <c r="E548" s="686"/>
      <c r="F548" s="686"/>
      <c r="G548" s="687"/>
      <c r="H548" s="686"/>
      <c r="I548" s="687"/>
      <c r="J548" s="686"/>
      <c r="K548" s="686"/>
      <c r="L548" s="686"/>
      <c r="M548" s="686"/>
      <c r="N548" s="686"/>
      <c r="O548" s="687"/>
      <c r="P548" s="686"/>
      <c r="Q548" s="686"/>
      <c r="R548" s="687"/>
      <c r="S548" s="686"/>
      <c r="T548" s="686"/>
      <c r="U548" s="686"/>
      <c r="V548" s="686"/>
      <c r="W548" s="686"/>
    </row>
    <row r="549" ht="13.8" customHeight="1">
      <c r="A549" s="686"/>
      <c r="B549" s="686"/>
      <c r="C549" s="823"/>
      <c r="D549" s="686"/>
      <c r="E549" s="686"/>
      <c r="F549" s="686"/>
      <c r="G549" s="687"/>
      <c r="H549" s="686"/>
      <c r="I549" s="687"/>
      <c r="J549" s="686"/>
      <c r="K549" s="686"/>
      <c r="L549" s="686"/>
      <c r="M549" s="686"/>
      <c r="N549" s="686"/>
      <c r="O549" s="687"/>
      <c r="P549" s="686"/>
      <c r="Q549" s="686"/>
      <c r="R549" s="687"/>
      <c r="S549" s="686"/>
      <c r="T549" s="686"/>
      <c r="U549" s="686"/>
      <c r="V549" s="686"/>
      <c r="W549" s="686"/>
    </row>
    <row r="550" ht="13.8" customHeight="1">
      <c r="A550" s="686"/>
      <c r="B550" s="686"/>
      <c r="C550" s="823"/>
      <c r="D550" s="686"/>
      <c r="E550" s="686"/>
      <c r="F550" s="686"/>
      <c r="G550" s="687"/>
      <c r="H550" s="686"/>
      <c r="I550" s="687"/>
      <c r="J550" s="686"/>
      <c r="K550" s="686"/>
      <c r="L550" s="686"/>
      <c r="M550" s="686"/>
      <c r="N550" s="686"/>
      <c r="O550" s="687"/>
      <c r="P550" s="686"/>
      <c r="Q550" s="686"/>
      <c r="R550" s="687"/>
      <c r="S550" s="686"/>
      <c r="T550" s="686"/>
      <c r="U550" s="686"/>
      <c r="V550" s="686"/>
      <c r="W550" s="686"/>
    </row>
    <row r="551" ht="13.8" customHeight="1">
      <c r="A551" s="686"/>
      <c r="B551" s="686"/>
      <c r="C551" s="823"/>
      <c r="D551" s="686"/>
      <c r="E551" s="686"/>
      <c r="F551" s="686"/>
      <c r="G551" s="687"/>
      <c r="H551" s="686"/>
      <c r="I551" s="687"/>
      <c r="J551" s="686"/>
      <c r="K551" s="686"/>
      <c r="L551" s="686"/>
      <c r="M551" s="686"/>
      <c r="N551" s="686"/>
      <c r="O551" s="687"/>
      <c r="P551" s="686"/>
      <c r="Q551" s="686"/>
      <c r="R551" s="687"/>
      <c r="S551" s="686"/>
      <c r="T551" s="686"/>
      <c r="U551" s="686"/>
      <c r="V551" s="686"/>
      <c r="W551" s="686"/>
    </row>
    <row r="552" ht="13.8" customHeight="1">
      <c r="A552" s="686"/>
      <c r="B552" s="686"/>
      <c r="C552" s="823"/>
      <c r="D552" s="686"/>
      <c r="E552" s="686"/>
      <c r="F552" s="686"/>
      <c r="G552" s="687"/>
      <c r="H552" s="686"/>
      <c r="I552" s="687"/>
      <c r="J552" s="686"/>
      <c r="K552" s="686"/>
      <c r="L552" s="686"/>
      <c r="M552" s="686"/>
      <c r="N552" s="686"/>
      <c r="O552" s="687"/>
      <c r="P552" s="686"/>
      <c r="Q552" s="686"/>
      <c r="R552" s="687"/>
      <c r="S552" s="686"/>
      <c r="T552" s="686"/>
      <c r="U552" s="686"/>
      <c r="V552" s="686"/>
      <c r="W552" s="686"/>
    </row>
    <row r="553" ht="13.8" customHeight="1">
      <c r="A553" s="686"/>
      <c r="B553" s="686"/>
      <c r="C553" s="823"/>
      <c r="D553" s="686"/>
      <c r="E553" s="686"/>
      <c r="F553" s="686"/>
      <c r="G553" s="687"/>
      <c r="H553" s="686"/>
      <c r="I553" s="687"/>
      <c r="J553" s="686"/>
      <c r="K553" s="686"/>
      <c r="L553" s="686"/>
      <c r="M553" s="686"/>
      <c r="N553" s="686"/>
      <c r="O553" s="687"/>
      <c r="P553" s="686"/>
      <c r="Q553" s="686"/>
      <c r="R553" s="687"/>
      <c r="S553" s="686"/>
      <c r="T553" s="686"/>
      <c r="U553" s="686"/>
      <c r="V553" s="686"/>
      <c r="W553" s="686"/>
    </row>
    <row r="554" ht="13.8" customHeight="1">
      <c r="A554" s="686"/>
      <c r="B554" s="686"/>
      <c r="C554" s="823"/>
      <c r="D554" s="686"/>
      <c r="E554" s="686"/>
      <c r="F554" s="686"/>
      <c r="G554" s="687"/>
      <c r="H554" s="686"/>
      <c r="I554" s="687"/>
      <c r="J554" s="686"/>
      <c r="K554" s="686"/>
      <c r="L554" s="686"/>
      <c r="M554" s="686"/>
      <c r="N554" s="686"/>
      <c r="O554" s="687"/>
      <c r="P554" s="686"/>
      <c r="Q554" s="686"/>
      <c r="R554" s="687"/>
      <c r="S554" s="686"/>
      <c r="T554" s="686"/>
      <c r="U554" s="686"/>
      <c r="V554" s="686"/>
      <c r="W554" s="686"/>
    </row>
    <row r="555" ht="13.8" customHeight="1">
      <c r="A555" s="686"/>
      <c r="B555" s="686"/>
      <c r="C555" s="823"/>
      <c r="D555" s="686"/>
      <c r="E555" s="686"/>
      <c r="F555" s="686"/>
      <c r="G555" s="687"/>
      <c r="H555" s="686"/>
      <c r="I555" s="687"/>
      <c r="J555" s="686"/>
      <c r="K555" s="686"/>
      <c r="L555" s="686"/>
      <c r="M555" s="686"/>
      <c r="N555" s="686"/>
      <c r="O555" s="687"/>
      <c r="P555" s="686"/>
      <c r="Q555" s="686"/>
      <c r="R555" s="687"/>
      <c r="S555" s="686"/>
      <c r="T555" s="686"/>
      <c r="U555" s="686"/>
      <c r="V555" s="686"/>
      <c r="W555" s="686"/>
    </row>
    <row r="556" ht="13.8" customHeight="1">
      <c r="A556" s="686"/>
      <c r="B556" s="686"/>
      <c r="C556" s="823"/>
      <c r="D556" s="686"/>
      <c r="E556" s="686"/>
      <c r="F556" s="686"/>
      <c r="G556" s="687"/>
      <c r="H556" s="686"/>
      <c r="I556" s="687"/>
      <c r="J556" s="686"/>
      <c r="K556" s="686"/>
      <c r="L556" s="686"/>
      <c r="M556" s="686"/>
      <c r="N556" s="686"/>
      <c r="O556" s="687"/>
      <c r="P556" s="686"/>
      <c r="Q556" s="686"/>
      <c r="R556" s="687"/>
      <c r="S556" s="686"/>
      <c r="T556" s="686"/>
      <c r="U556" s="686"/>
      <c r="V556" s="686"/>
      <c r="W556" s="686"/>
    </row>
    <row r="557" ht="13.8" customHeight="1">
      <c r="A557" s="686"/>
      <c r="B557" s="686"/>
      <c r="C557" s="823"/>
      <c r="D557" s="686"/>
      <c r="E557" s="686"/>
      <c r="F557" s="686"/>
      <c r="G557" s="687"/>
      <c r="H557" s="686"/>
      <c r="I557" s="687"/>
      <c r="J557" s="686"/>
      <c r="K557" s="686"/>
      <c r="L557" s="686"/>
      <c r="M557" s="686"/>
      <c r="N557" s="686"/>
      <c r="O557" s="687"/>
      <c r="P557" s="686"/>
      <c r="Q557" s="686"/>
      <c r="R557" s="687"/>
      <c r="S557" s="686"/>
      <c r="T557" s="686"/>
      <c r="U557" s="686"/>
      <c r="V557" s="686"/>
      <c r="W557" s="686"/>
    </row>
    <row r="558" ht="13.8" customHeight="1">
      <c r="A558" s="686"/>
      <c r="B558" s="686"/>
      <c r="C558" s="823"/>
      <c r="D558" s="686"/>
      <c r="E558" s="686"/>
      <c r="F558" s="686"/>
      <c r="G558" s="687"/>
      <c r="H558" s="686"/>
      <c r="I558" s="687"/>
      <c r="J558" s="686"/>
      <c r="K558" s="686"/>
      <c r="L558" s="686"/>
      <c r="M558" s="686"/>
      <c r="N558" s="686"/>
      <c r="O558" s="687"/>
      <c r="P558" s="686"/>
      <c r="Q558" s="686"/>
      <c r="R558" s="687"/>
      <c r="S558" s="686"/>
      <c r="T558" s="686"/>
      <c r="U558" s="686"/>
      <c r="V558" s="686"/>
      <c r="W558" s="686"/>
    </row>
    <row r="559" ht="13.8" customHeight="1">
      <c r="A559" s="686"/>
      <c r="B559" s="686"/>
      <c r="C559" s="823"/>
      <c r="D559" s="686"/>
      <c r="E559" s="686"/>
      <c r="F559" s="686"/>
      <c r="G559" s="687"/>
      <c r="H559" s="686"/>
      <c r="I559" s="687"/>
      <c r="J559" s="686"/>
      <c r="K559" s="686"/>
      <c r="L559" s="686"/>
      <c r="M559" s="686"/>
      <c r="N559" s="686"/>
      <c r="O559" s="687"/>
      <c r="P559" s="686"/>
      <c r="Q559" s="686"/>
      <c r="R559" s="687"/>
      <c r="S559" s="686"/>
      <c r="T559" s="686"/>
      <c r="U559" s="686"/>
      <c r="V559" s="686"/>
      <c r="W559" s="686"/>
    </row>
    <row r="560" ht="13.8" customHeight="1">
      <c r="A560" s="686"/>
      <c r="B560" s="686"/>
      <c r="C560" s="823"/>
      <c r="D560" s="686"/>
      <c r="E560" s="686"/>
      <c r="F560" s="686"/>
      <c r="G560" s="687"/>
      <c r="H560" s="686"/>
      <c r="I560" s="687"/>
      <c r="J560" s="686"/>
      <c r="K560" s="686"/>
      <c r="L560" s="686"/>
      <c r="M560" s="686"/>
      <c r="N560" s="686"/>
      <c r="O560" s="687"/>
      <c r="P560" s="686"/>
      <c r="Q560" s="686"/>
      <c r="R560" s="687"/>
      <c r="S560" s="686"/>
      <c r="T560" s="686"/>
      <c r="U560" s="686"/>
      <c r="V560" s="686"/>
      <c r="W560" s="686"/>
    </row>
    <row r="561" ht="13.8" customHeight="1">
      <c r="A561" s="686"/>
      <c r="B561" s="686"/>
      <c r="C561" s="823"/>
      <c r="D561" s="686"/>
      <c r="E561" s="686"/>
      <c r="F561" s="686"/>
      <c r="G561" s="687"/>
      <c r="H561" s="686"/>
      <c r="I561" s="687"/>
      <c r="J561" s="686"/>
      <c r="K561" s="686"/>
      <c r="L561" s="686"/>
      <c r="M561" s="686"/>
      <c r="N561" s="686"/>
      <c r="O561" s="687"/>
      <c r="P561" s="686"/>
      <c r="Q561" s="686"/>
      <c r="R561" s="687"/>
      <c r="S561" s="686"/>
      <c r="T561" s="686"/>
      <c r="U561" s="686"/>
      <c r="V561" s="686"/>
      <c r="W561" s="686"/>
    </row>
    <row r="562" ht="13.8" customHeight="1">
      <c r="A562" s="686"/>
      <c r="B562" s="686"/>
      <c r="C562" s="823"/>
      <c r="D562" s="686"/>
      <c r="E562" s="686"/>
      <c r="F562" s="686"/>
      <c r="G562" s="687"/>
      <c r="H562" s="686"/>
      <c r="I562" s="687"/>
      <c r="J562" s="686"/>
      <c r="K562" s="686"/>
      <c r="L562" s="686"/>
      <c r="M562" s="686"/>
      <c r="N562" s="686"/>
      <c r="O562" s="687"/>
      <c r="P562" s="686"/>
      <c r="Q562" s="686"/>
      <c r="R562" s="687"/>
      <c r="S562" s="686"/>
      <c r="T562" s="686"/>
      <c r="U562" s="686"/>
      <c r="V562" s="686"/>
      <c r="W562" s="686"/>
    </row>
    <row r="563" ht="13.8" customHeight="1">
      <c r="A563" s="686"/>
      <c r="B563" s="686"/>
      <c r="C563" s="823"/>
      <c r="D563" s="686"/>
      <c r="E563" s="686"/>
      <c r="F563" s="686"/>
      <c r="G563" s="687"/>
      <c r="H563" s="686"/>
      <c r="I563" s="687"/>
      <c r="J563" s="686"/>
      <c r="K563" s="686"/>
      <c r="L563" s="686"/>
      <c r="M563" s="686"/>
      <c r="N563" s="686"/>
      <c r="O563" s="687"/>
      <c r="P563" s="686"/>
      <c r="Q563" s="686"/>
      <c r="R563" s="687"/>
      <c r="S563" s="686"/>
      <c r="T563" s="686"/>
      <c r="U563" s="686"/>
      <c r="V563" s="686"/>
      <c r="W563" s="686"/>
    </row>
    <row r="564" ht="13.8" customHeight="1">
      <c r="A564" s="686"/>
      <c r="B564" s="686"/>
      <c r="C564" s="823"/>
      <c r="D564" s="686"/>
      <c r="E564" s="686"/>
      <c r="F564" s="686"/>
      <c r="G564" s="687"/>
      <c r="H564" s="686"/>
      <c r="I564" s="687"/>
      <c r="J564" s="686"/>
      <c r="K564" s="686"/>
      <c r="L564" s="686"/>
      <c r="M564" s="686"/>
      <c r="N564" s="686"/>
      <c r="O564" s="687"/>
      <c r="P564" s="686"/>
      <c r="Q564" s="686"/>
      <c r="R564" s="687"/>
      <c r="S564" s="686"/>
      <c r="T564" s="686"/>
      <c r="U564" s="686"/>
      <c r="V564" s="686"/>
      <c r="W564" s="686"/>
    </row>
    <row r="565" ht="13.8" customHeight="1">
      <c r="A565" s="686"/>
      <c r="B565" s="686"/>
      <c r="C565" s="823"/>
      <c r="D565" s="686"/>
      <c r="E565" s="686"/>
      <c r="F565" s="686"/>
      <c r="G565" s="687"/>
      <c r="H565" s="686"/>
      <c r="I565" s="687"/>
      <c r="J565" s="686"/>
      <c r="K565" s="686"/>
      <c r="L565" s="686"/>
      <c r="M565" s="686"/>
      <c r="N565" s="686"/>
      <c r="O565" s="687"/>
      <c r="P565" s="686"/>
      <c r="Q565" s="686"/>
      <c r="R565" s="687"/>
      <c r="S565" s="686"/>
      <c r="T565" s="686"/>
      <c r="U565" s="686"/>
      <c r="V565" s="686"/>
      <c r="W565" s="686"/>
    </row>
    <row r="566" ht="13.8" customHeight="1">
      <c r="A566" s="686"/>
      <c r="B566" s="686"/>
      <c r="C566" s="823"/>
      <c r="D566" s="686"/>
      <c r="E566" s="686"/>
      <c r="F566" s="686"/>
      <c r="G566" s="687"/>
      <c r="H566" s="686"/>
      <c r="I566" s="687"/>
      <c r="J566" s="686"/>
      <c r="K566" s="686"/>
      <c r="L566" s="686"/>
      <c r="M566" s="686"/>
      <c r="N566" s="686"/>
      <c r="O566" s="687"/>
      <c r="P566" s="686"/>
      <c r="Q566" s="686"/>
      <c r="R566" s="687"/>
      <c r="S566" s="686"/>
      <c r="T566" s="686"/>
      <c r="U566" s="686"/>
      <c r="V566" s="686"/>
      <c r="W566" s="686"/>
    </row>
    <row r="567" ht="13.8" customHeight="1">
      <c r="A567" s="686"/>
      <c r="B567" s="686"/>
      <c r="C567" s="823"/>
      <c r="D567" s="686"/>
      <c r="E567" s="686"/>
      <c r="F567" s="686"/>
      <c r="G567" s="687"/>
      <c r="H567" s="686"/>
      <c r="I567" s="687"/>
      <c r="J567" s="686"/>
      <c r="K567" s="686"/>
      <c r="L567" s="686"/>
      <c r="M567" s="686"/>
      <c r="N567" s="686"/>
      <c r="O567" s="687"/>
      <c r="P567" s="686"/>
      <c r="Q567" s="686"/>
      <c r="R567" s="687"/>
      <c r="S567" s="686"/>
      <c r="T567" s="686"/>
      <c r="U567" s="686"/>
      <c r="V567" s="686"/>
      <c r="W567" s="686"/>
    </row>
    <row r="568" ht="13.8" customHeight="1">
      <c r="A568" s="686"/>
      <c r="B568" s="686"/>
      <c r="C568" s="823"/>
      <c r="D568" s="686"/>
      <c r="E568" s="686"/>
      <c r="F568" s="686"/>
      <c r="G568" s="687"/>
      <c r="H568" s="686"/>
      <c r="I568" s="687"/>
      <c r="J568" s="686"/>
      <c r="K568" s="686"/>
      <c r="L568" s="686"/>
      <c r="M568" s="686"/>
      <c r="N568" s="686"/>
      <c r="O568" s="687"/>
      <c r="P568" s="686"/>
      <c r="Q568" s="686"/>
      <c r="R568" s="687"/>
      <c r="S568" s="686"/>
      <c r="T568" s="686"/>
      <c r="U568" s="686"/>
      <c r="V568" s="686"/>
      <c r="W568" s="686"/>
    </row>
    <row r="569" ht="13.8" customHeight="1">
      <c r="A569" s="686"/>
      <c r="B569" s="686"/>
      <c r="C569" s="823"/>
      <c r="D569" s="686"/>
      <c r="E569" s="686"/>
      <c r="F569" s="686"/>
      <c r="G569" s="687"/>
      <c r="H569" s="686"/>
      <c r="I569" s="687"/>
      <c r="J569" s="686"/>
      <c r="K569" s="686"/>
      <c r="L569" s="686"/>
      <c r="M569" s="686"/>
      <c r="N569" s="686"/>
      <c r="O569" s="687"/>
      <c r="P569" s="686"/>
      <c r="Q569" s="686"/>
      <c r="R569" s="687"/>
      <c r="S569" s="686"/>
      <c r="T569" s="686"/>
      <c r="U569" s="686"/>
      <c r="V569" s="686"/>
      <c r="W569" s="686"/>
    </row>
    <row r="570" ht="13.8" customHeight="1">
      <c r="A570" s="686"/>
      <c r="B570" s="686"/>
      <c r="C570" s="823"/>
      <c r="D570" s="686"/>
      <c r="E570" s="686"/>
      <c r="F570" s="686"/>
      <c r="G570" s="687"/>
      <c r="H570" s="686"/>
      <c r="I570" s="687"/>
      <c r="J570" s="686"/>
      <c r="K570" s="686"/>
      <c r="L570" s="686"/>
      <c r="M570" s="686"/>
      <c r="N570" s="686"/>
      <c r="O570" s="687"/>
      <c r="P570" s="686"/>
      <c r="Q570" s="686"/>
      <c r="R570" s="687"/>
      <c r="S570" s="686"/>
      <c r="T570" s="686"/>
      <c r="U570" s="686"/>
      <c r="V570" s="686"/>
      <c r="W570" s="686"/>
    </row>
    <row r="571" ht="13.8" customHeight="1">
      <c r="A571" s="686"/>
      <c r="B571" s="686"/>
      <c r="C571" s="823"/>
      <c r="D571" s="686"/>
      <c r="E571" s="686"/>
      <c r="F571" s="686"/>
      <c r="G571" s="687"/>
      <c r="H571" s="686"/>
      <c r="I571" s="687"/>
      <c r="J571" s="686"/>
      <c r="K571" s="686"/>
      <c r="L571" s="686"/>
      <c r="M571" s="686"/>
      <c r="N571" s="686"/>
      <c r="O571" s="687"/>
      <c r="P571" s="686"/>
      <c r="Q571" s="686"/>
      <c r="R571" s="687"/>
      <c r="S571" s="686"/>
      <c r="T571" s="686"/>
      <c r="U571" s="686"/>
      <c r="V571" s="686"/>
      <c r="W571" s="686"/>
    </row>
    <row r="572" ht="13.8" customHeight="1">
      <c r="A572" s="686"/>
      <c r="B572" s="686"/>
      <c r="C572" s="823"/>
      <c r="D572" s="686"/>
      <c r="E572" s="686"/>
      <c r="F572" s="686"/>
      <c r="G572" s="687"/>
      <c r="H572" s="686"/>
      <c r="I572" s="687"/>
      <c r="J572" s="686"/>
      <c r="K572" s="686"/>
      <c r="L572" s="686"/>
      <c r="M572" s="686"/>
      <c r="N572" s="686"/>
      <c r="O572" s="687"/>
      <c r="P572" s="686"/>
      <c r="Q572" s="686"/>
      <c r="R572" s="687"/>
      <c r="S572" s="686"/>
      <c r="T572" s="686"/>
      <c r="U572" s="686"/>
      <c r="V572" s="686"/>
      <c r="W572" s="686"/>
    </row>
    <row r="573" ht="13.8" customHeight="1">
      <c r="A573" s="686"/>
      <c r="B573" s="686"/>
      <c r="C573" s="823"/>
      <c r="D573" s="686"/>
      <c r="E573" s="686"/>
      <c r="F573" s="686"/>
      <c r="G573" s="687"/>
      <c r="H573" s="686"/>
      <c r="I573" s="687"/>
      <c r="J573" s="686"/>
      <c r="K573" s="686"/>
      <c r="L573" s="686"/>
      <c r="M573" s="686"/>
      <c r="N573" s="686"/>
      <c r="O573" s="687"/>
      <c r="P573" s="686"/>
      <c r="Q573" s="686"/>
      <c r="R573" s="687"/>
      <c r="S573" s="686"/>
      <c r="T573" s="686"/>
      <c r="U573" s="686"/>
      <c r="V573" s="686"/>
      <c r="W573" s="686"/>
    </row>
    <row r="574" ht="13.8" customHeight="1">
      <c r="A574" s="686"/>
      <c r="B574" s="686"/>
      <c r="C574" s="823"/>
      <c r="D574" s="686"/>
      <c r="E574" s="686"/>
      <c r="F574" s="686"/>
      <c r="G574" s="687"/>
      <c r="H574" s="686"/>
      <c r="I574" s="687"/>
      <c r="J574" s="686"/>
      <c r="K574" s="686"/>
      <c r="L574" s="686"/>
      <c r="M574" s="686"/>
      <c r="N574" s="686"/>
      <c r="O574" s="687"/>
      <c r="P574" s="686"/>
      <c r="Q574" s="686"/>
      <c r="R574" s="687"/>
      <c r="S574" s="686"/>
      <c r="T574" s="686"/>
      <c r="U574" s="686"/>
      <c r="V574" s="686"/>
      <c r="W574" s="686"/>
    </row>
    <row r="575" ht="13.8" customHeight="1">
      <c r="A575" s="686"/>
      <c r="B575" s="686"/>
      <c r="C575" s="823"/>
      <c r="D575" s="686"/>
      <c r="E575" s="686"/>
      <c r="F575" s="686"/>
      <c r="G575" s="687"/>
      <c r="H575" s="686"/>
      <c r="I575" s="687"/>
      <c r="J575" s="686"/>
      <c r="K575" s="686"/>
      <c r="L575" s="686"/>
      <c r="M575" s="686"/>
      <c r="N575" s="686"/>
      <c r="O575" s="687"/>
      <c r="P575" s="686"/>
      <c r="Q575" s="686"/>
      <c r="R575" s="687"/>
      <c r="S575" s="686"/>
      <c r="T575" s="686"/>
      <c r="U575" s="686"/>
      <c r="V575" s="686"/>
      <c r="W575" s="686"/>
    </row>
    <row r="576" ht="13.8" customHeight="1">
      <c r="A576" s="686"/>
      <c r="B576" s="686"/>
      <c r="C576" s="823"/>
      <c r="D576" s="686"/>
      <c r="E576" s="686"/>
      <c r="F576" s="686"/>
      <c r="G576" s="687"/>
      <c r="H576" s="686"/>
      <c r="I576" s="687"/>
      <c r="J576" s="686"/>
      <c r="K576" s="686"/>
      <c r="L576" s="686"/>
      <c r="M576" s="686"/>
      <c r="N576" s="686"/>
      <c r="O576" s="687"/>
      <c r="P576" s="686"/>
      <c r="Q576" s="686"/>
      <c r="R576" s="687"/>
      <c r="S576" s="686"/>
      <c r="T576" s="686"/>
      <c r="U576" s="686"/>
      <c r="V576" s="686"/>
      <c r="W576" s="686"/>
    </row>
    <row r="577" ht="13.8" customHeight="1">
      <c r="A577" s="686"/>
      <c r="B577" s="686"/>
      <c r="C577" s="823"/>
      <c r="D577" s="686"/>
      <c r="E577" s="686"/>
      <c r="F577" s="686"/>
      <c r="G577" s="687"/>
      <c r="H577" s="686"/>
      <c r="I577" s="687"/>
      <c r="J577" s="686"/>
      <c r="K577" s="686"/>
      <c r="L577" s="686"/>
      <c r="M577" s="686"/>
      <c r="N577" s="686"/>
      <c r="O577" s="687"/>
      <c r="P577" s="686"/>
      <c r="Q577" s="686"/>
      <c r="R577" s="687"/>
      <c r="S577" s="686"/>
      <c r="T577" s="686"/>
      <c r="U577" s="686"/>
      <c r="V577" s="686"/>
      <c r="W577" s="686"/>
    </row>
    <row r="578" ht="13.8" customHeight="1">
      <c r="A578" s="686"/>
      <c r="B578" s="686"/>
      <c r="C578" s="823"/>
      <c r="D578" s="686"/>
      <c r="E578" s="686"/>
      <c r="F578" s="686"/>
      <c r="G578" s="687"/>
      <c r="H578" s="686"/>
      <c r="I578" s="687"/>
      <c r="J578" s="686"/>
      <c r="K578" s="686"/>
      <c r="L578" s="686"/>
      <c r="M578" s="686"/>
      <c r="N578" s="686"/>
      <c r="O578" s="687"/>
      <c r="P578" s="686"/>
      <c r="Q578" s="686"/>
      <c r="R578" s="687"/>
      <c r="S578" s="686"/>
      <c r="T578" s="686"/>
      <c r="U578" s="686"/>
      <c r="V578" s="686"/>
      <c r="W578" s="686"/>
    </row>
    <row r="579" ht="13.8" customHeight="1">
      <c r="A579" s="686"/>
      <c r="B579" s="686"/>
      <c r="C579" s="823"/>
      <c r="D579" s="686"/>
      <c r="E579" s="686"/>
      <c r="F579" s="686"/>
      <c r="G579" s="687"/>
      <c r="H579" s="686"/>
      <c r="I579" s="687"/>
      <c r="J579" s="686"/>
      <c r="K579" s="686"/>
      <c r="L579" s="686"/>
      <c r="M579" s="686"/>
      <c r="N579" s="686"/>
      <c r="O579" s="687"/>
      <c r="P579" s="686"/>
      <c r="Q579" s="686"/>
      <c r="R579" s="687"/>
      <c r="S579" s="686"/>
      <c r="T579" s="686"/>
      <c r="U579" s="686"/>
      <c r="V579" s="686"/>
      <c r="W579" s="686"/>
    </row>
    <row r="580" ht="13.8" customHeight="1">
      <c r="A580" s="686"/>
      <c r="B580" s="686"/>
      <c r="C580" s="823"/>
      <c r="D580" s="686"/>
      <c r="E580" s="686"/>
      <c r="F580" s="686"/>
      <c r="G580" s="687"/>
      <c r="H580" s="686"/>
      <c r="I580" s="687"/>
      <c r="J580" s="686"/>
      <c r="K580" s="686"/>
      <c r="L580" s="686"/>
      <c r="M580" s="686"/>
      <c r="N580" s="686"/>
      <c r="O580" s="687"/>
      <c r="P580" s="686"/>
      <c r="Q580" s="686"/>
      <c r="R580" s="687"/>
      <c r="S580" s="686"/>
      <c r="T580" s="686"/>
      <c r="U580" s="686"/>
      <c r="V580" s="686"/>
      <c r="W580" s="686"/>
    </row>
    <row r="581" ht="13.8" customHeight="1">
      <c r="A581" s="686"/>
      <c r="B581" s="686"/>
      <c r="C581" s="823"/>
      <c r="D581" s="686"/>
      <c r="E581" s="686"/>
      <c r="F581" s="686"/>
      <c r="G581" s="687"/>
      <c r="H581" s="686"/>
      <c r="I581" s="687"/>
      <c r="J581" s="686"/>
      <c r="K581" s="686"/>
      <c r="L581" s="686"/>
      <c r="M581" s="686"/>
      <c r="N581" s="686"/>
      <c r="O581" s="687"/>
      <c r="P581" s="686"/>
      <c r="Q581" s="686"/>
      <c r="R581" s="687"/>
      <c r="S581" s="686"/>
      <c r="T581" s="686"/>
      <c r="U581" s="686"/>
      <c r="V581" s="686"/>
      <c r="W581" s="686"/>
    </row>
    <row r="582" ht="13.8" customHeight="1">
      <c r="A582" s="686"/>
      <c r="B582" s="686"/>
      <c r="C582" s="823"/>
      <c r="D582" s="686"/>
      <c r="E582" s="686"/>
      <c r="F582" s="686"/>
      <c r="G582" s="687"/>
      <c r="H582" s="686"/>
      <c r="I582" s="687"/>
      <c r="J582" s="686"/>
      <c r="K582" s="686"/>
      <c r="L582" s="686"/>
      <c r="M582" s="686"/>
      <c r="N582" s="686"/>
      <c r="O582" s="687"/>
      <c r="P582" s="686"/>
      <c r="Q582" s="686"/>
      <c r="R582" s="687"/>
      <c r="S582" s="686"/>
      <c r="T582" s="686"/>
      <c r="U582" s="686"/>
      <c r="V582" s="686"/>
      <c r="W582" s="686"/>
    </row>
    <row r="583" ht="13.8" customHeight="1">
      <c r="A583" s="686"/>
      <c r="B583" s="686"/>
      <c r="C583" s="823"/>
      <c r="D583" s="686"/>
      <c r="E583" s="686"/>
      <c r="F583" s="686"/>
      <c r="G583" s="687"/>
      <c r="H583" s="686"/>
      <c r="I583" s="687"/>
      <c r="J583" s="686"/>
      <c r="K583" s="686"/>
      <c r="L583" s="686"/>
      <c r="M583" s="686"/>
      <c r="N583" s="686"/>
      <c r="O583" s="687"/>
      <c r="P583" s="686"/>
      <c r="Q583" s="686"/>
      <c r="R583" s="687"/>
      <c r="S583" s="686"/>
      <c r="T583" s="686"/>
      <c r="U583" s="686"/>
      <c r="V583" s="686"/>
      <c r="W583" s="686"/>
    </row>
    <row r="584" ht="13.8" customHeight="1">
      <c r="A584" s="686"/>
      <c r="B584" s="686"/>
      <c r="C584" s="823"/>
      <c r="D584" s="686"/>
      <c r="E584" s="686"/>
      <c r="F584" s="686"/>
      <c r="G584" s="687"/>
      <c r="H584" s="686"/>
      <c r="I584" s="687"/>
      <c r="J584" s="686"/>
      <c r="K584" s="686"/>
      <c r="L584" s="686"/>
      <c r="M584" s="686"/>
      <c r="N584" s="686"/>
      <c r="O584" s="687"/>
      <c r="P584" s="686"/>
      <c r="Q584" s="686"/>
      <c r="R584" s="687"/>
      <c r="S584" s="686"/>
      <c r="T584" s="686"/>
      <c r="U584" s="686"/>
      <c r="V584" s="686"/>
      <c r="W584" s="686"/>
    </row>
    <row r="585" ht="13.8" customHeight="1">
      <c r="A585" s="686"/>
      <c r="B585" s="686"/>
      <c r="C585" s="823"/>
      <c r="D585" s="686"/>
      <c r="E585" s="686"/>
      <c r="F585" s="686"/>
      <c r="G585" s="687"/>
      <c r="H585" s="686"/>
      <c r="I585" s="687"/>
      <c r="J585" s="686"/>
      <c r="K585" s="686"/>
      <c r="L585" s="686"/>
      <c r="M585" s="686"/>
      <c r="N585" s="686"/>
      <c r="O585" s="687"/>
      <c r="P585" s="686"/>
      <c r="Q585" s="686"/>
      <c r="R585" s="687"/>
      <c r="S585" s="686"/>
      <c r="T585" s="686"/>
      <c r="U585" s="686"/>
      <c r="V585" s="686"/>
      <c r="W585" s="686"/>
    </row>
    <row r="586" ht="13.8" customHeight="1">
      <c r="A586" s="686"/>
      <c r="B586" s="686"/>
      <c r="C586" s="823"/>
      <c r="D586" s="686"/>
      <c r="E586" s="686"/>
      <c r="F586" s="686"/>
      <c r="G586" s="687"/>
      <c r="H586" s="686"/>
      <c r="I586" s="687"/>
      <c r="J586" s="686"/>
      <c r="K586" s="686"/>
      <c r="L586" s="686"/>
      <c r="M586" s="686"/>
      <c r="N586" s="686"/>
      <c r="O586" s="687"/>
      <c r="P586" s="686"/>
      <c r="Q586" s="686"/>
      <c r="R586" s="687"/>
      <c r="S586" s="686"/>
      <c r="T586" s="686"/>
      <c r="U586" s="686"/>
      <c r="V586" s="686"/>
      <c r="W586" s="686"/>
    </row>
    <row r="587" ht="13.8" customHeight="1">
      <c r="A587" s="686"/>
      <c r="B587" s="686"/>
      <c r="C587" s="823"/>
      <c r="D587" s="686"/>
      <c r="E587" s="686"/>
      <c r="F587" s="686"/>
      <c r="G587" s="687"/>
      <c r="H587" s="686"/>
      <c r="I587" s="687"/>
      <c r="J587" s="686"/>
      <c r="K587" s="686"/>
      <c r="L587" s="686"/>
      <c r="M587" s="686"/>
      <c r="N587" s="686"/>
      <c r="O587" s="687"/>
      <c r="P587" s="686"/>
      <c r="Q587" s="686"/>
      <c r="R587" s="687"/>
      <c r="S587" s="686"/>
      <c r="T587" s="686"/>
      <c r="U587" s="686"/>
      <c r="V587" s="686"/>
      <c r="W587" s="686"/>
    </row>
    <row r="588" ht="13.8" customHeight="1">
      <c r="A588" s="686"/>
      <c r="B588" s="686"/>
      <c r="C588" s="823"/>
      <c r="D588" s="686"/>
      <c r="E588" s="686"/>
      <c r="F588" s="686"/>
      <c r="G588" s="687"/>
      <c r="H588" s="686"/>
      <c r="I588" s="687"/>
      <c r="J588" s="686"/>
      <c r="K588" s="686"/>
      <c r="L588" s="686"/>
      <c r="M588" s="686"/>
      <c r="N588" s="686"/>
      <c r="O588" s="687"/>
      <c r="P588" s="686"/>
      <c r="Q588" s="686"/>
      <c r="R588" s="687"/>
      <c r="S588" s="686"/>
      <c r="T588" s="686"/>
      <c r="U588" s="686"/>
      <c r="V588" s="686"/>
      <c r="W588" s="686"/>
    </row>
    <row r="589" ht="13.8" customHeight="1">
      <c r="A589" s="686"/>
      <c r="B589" s="686"/>
      <c r="C589" s="823"/>
      <c r="D589" s="686"/>
      <c r="E589" s="686"/>
      <c r="F589" s="686"/>
      <c r="G589" s="687"/>
      <c r="H589" s="686"/>
      <c r="I589" s="687"/>
      <c r="J589" s="686"/>
      <c r="K589" s="686"/>
      <c r="L589" s="686"/>
      <c r="M589" s="686"/>
      <c r="N589" s="686"/>
      <c r="O589" s="687"/>
      <c r="P589" s="686"/>
      <c r="Q589" s="686"/>
      <c r="R589" s="687"/>
      <c r="S589" s="686"/>
      <c r="T589" s="686"/>
      <c r="U589" s="686"/>
      <c r="V589" s="686"/>
      <c r="W589" s="686"/>
    </row>
    <row r="590" ht="13.8" customHeight="1">
      <c r="A590" s="686"/>
      <c r="B590" s="686"/>
      <c r="C590" s="823"/>
      <c r="D590" s="686"/>
      <c r="E590" s="686"/>
      <c r="F590" s="686"/>
      <c r="G590" s="687"/>
      <c r="H590" s="686"/>
      <c r="I590" s="687"/>
      <c r="J590" s="686"/>
      <c r="K590" s="686"/>
      <c r="L590" s="686"/>
      <c r="M590" s="686"/>
      <c r="N590" s="686"/>
      <c r="O590" s="687"/>
      <c r="P590" s="686"/>
      <c r="Q590" s="686"/>
      <c r="R590" s="687"/>
      <c r="S590" s="686"/>
      <c r="T590" s="686"/>
      <c r="U590" s="686"/>
      <c r="V590" s="686"/>
      <c r="W590" s="686"/>
    </row>
    <row r="591" ht="13.8" customHeight="1">
      <c r="A591" s="686"/>
      <c r="B591" s="686"/>
      <c r="C591" s="823"/>
      <c r="D591" s="686"/>
      <c r="E591" s="686"/>
      <c r="F591" s="686"/>
      <c r="G591" s="687"/>
      <c r="H591" s="686"/>
      <c r="I591" s="687"/>
      <c r="J591" s="686"/>
      <c r="K591" s="686"/>
      <c r="L591" s="686"/>
      <c r="M591" s="686"/>
      <c r="N591" s="686"/>
      <c r="O591" s="687"/>
      <c r="P591" s="686"/>
      <c r="Q591" s="686"/>
      <c r="R591" s="687"/>
      <c r="S591" s="686"/>
      <c r="T591" s="686"/>
      <c r="U591" s="686"/>
      <c r="V591" s="686"/>
      <c r="W591" s="686"/>
    </row>
    <row r="592" ht="13.8" customHeight="1">
      <c r="A592" s="686"/>
      <c r="B592" s="686"/>
      <c r="C592" s="823"/>
      <c r="D592" s="686"/>
      <c r="E592" s="686"/>
      <c r="F592" s="686"/>
      <c r="G592" s="687"/>
      <c r="H592" s="686"/>
      <c r="I592" s="687"/>
      <c r="J592" s="686"/>
      <c r="K592" s="686"/>
      <c r="L592" s="686"/>
      <c r="M592" s="686"/>
      <c r="N592" s="686"/>
      <c r="O592" s="687"/>
      <c r="P592" s="686"/>
      <c r="Q592" s="686"/>
      <c r="R592" s="687"/>
      <c r="S592" s="686"/>
      <c r="T592" s="686"/>
      <c r="U592" s="686"/>
      <c r="V592" s="686"/>
      <c r="W592" s="686"/>
    </row>
    <row r="593" ht="13.8" customHeight="1">
      <c r="A593" s="686"/>
      <c r="B593" s="686"/>
      <c r="C593" s="823"/>
      <c r="D593" s="686"/>
      <c r="E593" s="686"/>
      <c r="F593" s="686"/>
      <c r="G593" s="687"/>
      <c r="H593" s="686"/>
      <c r="I593" s="687"/>
      <c r="J593" s="686"/>
      <c r="K593" s="686"/>
      <c r="L593" s="686"/>
      <c r="M593" s="686"/>
      <c r="N593" s="686"/>
      <c r="O593" s="687"/>
      <c r="P593" s="686"/>
      <c r="Q593" s="686"/>
      <c r="R593" s="687"/>
      <c r="S593" s="686"/>
      <c r="T593" s="686"/>
      <c r="U593" s="686"/>
      <c r="V593" s="686"/>
      <c r="W593" s="686"/>
    </row>
    <row r="594" ht="13.8" customHeight="1">
      <c r="A594" s="686"/>
      <c r="B594" s="686"/>
      <c r="C594" s="823"/>
      <c r="D594" s="686"/>
      <c r="E594" s="686"/>
      <c r="F594" s="686"/>
      <c r="G594" s="687"/>
      <c r="H594" s="686"/>
      <c r="I594" s="687"/>
      <c r="J594" s="686"/>
      <c r="K594" s="686"/>
      <c r="L594" s="686"/>
      <c r="M594" s="686"/>
      <c r="N594" s="686"/>
      <c r="O594" s="687"/>
      <c r="P594" s="686"/>
      <c r="Q594" s="686"/>
      <c r="R594" s="687"/>
      <c r="S594" s="686"/>
      <c r="T594" s="686"/>
      <c r="U594" s="686"/>
      <c r="V594" s="686"/>
      <c r="W594" s="686"/>
    </row>
    <row r="595" ht="13.8" customHeight="1">
      <c r="A595" s="686"/>
      <c r="B595" s="686"/>
      <c r="C595" s="823"/>
      <c r="D595" s="686"/>
      <c r="E595" s="686"/>
      <c r="F595" s="686"/>
      <c r="G595" s="687"/>
      <c r="H595" s="686"/>
      <c r="I595" s="687"/>
      <c r="J595" s="686"/>
      <c r="K595" s="686"/>
      <c r="L595" s="686"/>
      <c r="M595" s="686"/>
      <c r="N595" s="686"/>
      <c r="O595" s="687"/>
      <c r="P595" s="686"/>
      <c r="Q595" s="686"/>
      <c r="R595" s="687"/>
      <c r="S595" s="686"/>
      <c r="T595" s="686"/>
      <c r="U595" s="686"/>
      <c r="V595" s="686"/>
      <c r="W595" s="686"/>
    </row>
    <row r="596" ht="13.8" customHeight="1">
      <c r="A596" s="686"/>
      <c r="B596" s="686"/>
      <c r="C596" s="823"/>
      <c r="D596" s="686"/>
      <c r="E596" s="686"/>
      <c r="F596" s="686"/>
      <c r="G596" s="687"/>
      <c r="H596" s="686"/>
      <c r="I596" s="687"/>
      <c r="J596" s="686"/>
      <c r="K596" s="686"/>
      <c r="L596" s="686"/>
      <c r="M596" s="686"/>
      <c r="N596" s="686"/>
      <c r="O596" s="687"/>
      <c r="P596" s="686"/>
      <c r="Q596" s="686"/>
      <c r="R596" s="687"/>
      <c r="S596" s="686"/>
      <c r="T596" s="686"/>
      <c r="U596" s="686"/>
      <c r="V596" s="686"/>
      <c r="W596" s="686"/>
    </row>
    <row r="597" ht="13.8" customHeight="1">
      <c r="A597" s="686"/>
      <c r="B597" s="686"/>
      <c r="C597" s="823"/>
      <c r="D597" s="686"/>
      <c r="E597" s="686"/>
      <c r="F597" s="686"/>
      <c r="G597" s="687"/>
      <c r="H597" s="686"/>
      <c r="I597" s="687"/>
      <c r="J597" s="686"/>
      <c r="K597" s="686"/>
      <c r="L597" s="686"/>
      <c r="M597" s="686"/>
      <c r="N597" s="686"/>
      <c r="O597" s="687"/>
      <c r="P597" s="686"/>
      <c r="Q597" s="686"/>
      <c r="R597" s="687"/>
      <c r="S597" s="686"/>
      <c r="T597" s="686"/>
      <c r="U597" s="686"/>
      <c r="V597" s="686"/>
      <c r="W597" s="686"/>
    </row>
    <row r="598" ht="13.8" customHeight="1">
      <c r="A598" s="686"/>
      <c r="B598" s="686"/>
      <c r="C598" s="823"/>
      <c r="D598" s="686"/>
      <c r="E598" s="686"/>
      <c r="F598" s="686"/>
      <c r="G598" s="687"/>
      <c r="H598" s="686"/>
      <c r="I598" s="687"/>
      <c r="J598" s="686"/>
      <c r="K598" s="686"/>
      <c r="L598" s="686"/>
      <c r="M598" s="686"/>
      <c r="N598" s="686"/>
      <c r="O598" s="687"/>
      <c r="P598" s="686"/>
      <c r="Q598" s="686"/>
      <c r="R598" s="687"/>
      <c r="S598" s="686"/>
      <c r="T598" s="686"/>
      <c r="U598" s="686"/>
      <c r="V598" s="686"/>
      <c r="W598" s="686"/>
    </row>
    <row r="599" ht="13.8" customHeight="1">
      <c r="A599" s="686"/>
      <c r="B599" s="686"/>
      <c r="C599" s="823"/>
      <c r="D599" s="686"/>
      <c r="E599" s="686"/>
      <c r="F599" s="686"/>
      <c r="G599" s="687"/>
      <c r="H599" s="686"/>
      <c r="I599" s="687"/>
      <c r="J599" s="686"/>
      <c r="K599" s="686"/>
      <c r="L599" s="686"/>
      <c r="M599" s="686"/>
      <c r="N599" s="686"/>
      <c r="O599" s="687"/>
      <c r="P599" s="686"/>
      <c r="Q599" s="686"/>
      <c r="R599" s="687"/>
      <c r="S599" s="686"/>
      <c r="T599" s="686"/>
      <c r="U599" s="686"/>
      <c r="V599" s="686"/>
      <c r="W599" s="686"/>
    </row>
    <row r="600" ht="13.8" customHeight="1">
      <c r="A600" s="686"/>
      <c r="B600" s="686"/>
      <c r="C600" s="823"/>
      <c r="D600" s="686"/>
      <c r="E600" s="686"/>
      <c r="F600" s="686"/>
      <c r="G600" s="687"/>
      <c r="H600" s="686"/>
      <c r="I600" s="687"/>
      <c r="J600" s="686"/>
      <c r="K600" s="686"/>
      <c r="L600" s="686"/>
      <c r="M600" s="686"/>
      <c r="N600" s="686"/>
      <c r="O600" s="687"/>
      <c r="P600" s="686"/>
      <c r="Q600" s="686"/>
      <c r="R600" s="687"/>
      <c r="S600" s="686"/>
      <c r="T600" s="686"/>
      <c r="U600" s="686"/>
      <c r="V600" s="686"/>
      <c r="W600" s="686"/>
    </row>
    <row r="601" ht="13.8" customHeight="1">
      <c r="A601" s="686"/>
      <c r="B601" s="686"/>
      <c r="C601" s="823"/>
      <c r="D601" s="686"/>
      <c r="E601" s="686"/>
      <c r="F601" s="686"/>
      <c r="G601" s="687"/>
      <c r="H601" s="686"/>
      <c r="I601" s="687"/>
      <c r="J601" s="686"/>
      <c r="K601" s="686"/>
      <c r="L601" s="686"/>
      <c r="M601" s="686"/>
      <c r="N601" s="686"/>
      <c r="O601" s="687"/>
      <c r="P601" s="686"/>
      <c r="Q601" s="686"/>
      <c r="R601" s="687"/>
      <c r="S601" s="686"/>
      <c r="T601" s="686"/>
      <c r="U601" s="686"/>
      <c r="V601" s="686"/>
      <c r="W601" s="686"/>
    </row>
    <row r="602" ht="13.8" customHeight="1">
      <c r="A602" s="686"/>
      <c r="B602" s="686"/>
      <c r="C602" s="823"/>
      <c r="D602" s="686"/>
      <c r="E602" s="686"/>
      <c r="F602" s="686"/>
      <c r="G602" s="687"/>
      <c r="H602" s="686"/>
      <c r="I602" s="687"/>
      <c r="J602" s="686"/>
      <c r="K602" s="686"/>
      <c r="L602" s="686"/>
      <c r="M602" s="686"/>
      <c r="N602" s="686"/>
      <c r="O602" s="687"/>
      <c r="P602" s="686"/>
      <c r="Q602" s="686"/>
      <c r="R602" s="687"/>
      <c r="S602" s="686"/>
      <c r="T602" s="686"/>
      <c r="U602" s="686"/>
      <c r="V602" s="686"/>
      <c r="W602" s="686"/>
    </row>
    <row r="603" ht="13.8" customHeight="1">
      <c r="A603" s="686"/>
      <c r="B603" s="686"/>
      <c r="C603" s="823"/>
      <c r="D603" s="686"/>
      <c r="E603" s="686"/>
      <c r="F603" s="686"/>
      <c r="G603" s="687"/>
      <c r="H603" s="686"/>
      <c r="I603" s="687"/>
      <c r="J603" s="686"/>
      <c r="K603" s="686"/>
      <c r="L603" s="686"/>
      <c r="M603" s="686"/>
      <c r="N603" s="686"/>
      <c r="O603" s="687"/>
      <c r="P603" s="686"/>
      <c r="Q603" s="686"/>
      <c r="R603" s="687"/>
      <c r="S603" s="686"/>
      <c r="T603" s="686"/>
      <c r="U603" s="686"/>
      <c r="V603" s="686"/>
      <c r="W603" s="686"/>
    </row>
    <row r="604" ht="13.8" customHeight="1">
      <c r="A604" s="686"/>
      <c r="B604" s="686"/>
      <c r="C604" s="823"/>
      <c r="D604" s="686"/>
      <c r="E604" s="686"/>
      <c r="F604" s="686"/>
      <c r="G604" s="687"/>
      <c r="H604" s="686"/>
      <c r="I604" s="687"/>
      <c r="J604" s="686"/>
      <c r="K604" s="686"/>
      <c r="L604" s="686"/>
      <c r="M604" s="686"/>
      <c r="N604" s="686"/>
      <c r="O604" s="687"/>
      <c r="P604" s="686"/>
      <c r="Q604" s="686"/>
      <c r="R604" s="687"/>
      <c r="S604" s="686"/>
      <c r="T604" s="686"/>
      <c r="U604" s="686"/>
      <c r="V604" s="686"/>
      <c r="W604" s="686"/>
    </row>
    <row r="605" ht="13.8" customHeight="1">
      <c r="A605" s="686"/>
      <c r="B605" s="686"/>
      <c r="C605" s="823"/>
      <c r="D605" s="686"/>
      <c r="E605" s="686"/>
      <c r="F605" s="686"/>
      <c r="G605" s="687"/>
      <c r="H605" s="686"/>
      <c r="I605" s="687"/>
      <c r="J605" s="686"/>
      <c r="K605" s="686"/>
      <c r="L605" s="686"/>
      <c r="M605" s="686"/>
      <c r="N605" s="686"/>
      <c r="O605" s="687"/>
      <c r="P605" s="686"/>
      <c r="Q605" s="686"/>
      <c r="R605" s="687"/>
      <c r="S605" s="686"/>
      <c r="T605" s="686"/>
      <c r="U605" s="686"/>
      <c r="V605" s="686"/>
      <c r="W605" s="686"/>
    </row>
    <row r="606" ht="13.8" customHeight="1">
      <c r="A606" s="686"/>
      <c r="B606" s="686"/>
      <c r="C606" s="823"/>
      <c r="D606" s="686"/>
      <c r="E606" s="686"/>
      <c r="F606" s="686"/>
      <c r="G606" s="687"/>
      <c r="H606" s="686"/>
      <c r="I606" s="687"/>
      <c r="J606" s="686"/>
      <c r="K606" s="686"/>
      <c r="L606" s="686"/>
      <c r="M606" s="686"/>
      <c r="N606" s="686"/>
      <c r="O606" s="687"/>
      <c r="P606" s="686"/>
      <c r="Q606" s="686"/>
      <c r="R606" s="687"/>
      <c r="S606" s="686"/>
      <c r="T606" s="686"/>
      <c r="U606" s="686"/>
      <c r="V606" s="686"/>
      <c r="W606" s="686"/>
    </row>
    <row r="607" ht="13.8" customHeight="1">
      <c r="A607" s="686"/>
      <c r="B607" s="686"/>
      <c r="C607" s="823"/>
      <c r="D607" s="686"/>
      <c r="E607" s="686"/>
      <c r="F607" s="686"/>
      <c r="G607" s="687"/>
      <c r="H607" s="686"/>
      <c r="I607" s="687"/>
      <c r="J607" s="686"/>
      <c r="K607" s="686"/>
      <c r="L607" s="686"/>
      <c r="M607" s="686"/>
      <c r="N607" s="686"/>
      <c r="O607" s="687"/>
      <c r="P607" s="686"/>
      <c r="Q607" s="686"/>
      <c r="R607" s="687"/>
      <c r="S607" s="686"/>
      <c r="T607" s="686"/>
      <c r="U607" s="686"/>
      <c r="V607" s="686"/>
      <c r="W607" s="686"/>
    </row>
    <row r="608" ht="13.8" customHeight="1">
      <c r="A608" s="686"/>
      <c r="B608" s="686"/>
      <c r="C608" s="823"/>
      <c r="D608" s="686"/>
      <c r="E608" s="686"/>
      <c r="F608" s="686"/>
      <c r="G608" s="687"/>
      <c r="H608" s="686"/>
      <c r="I608" s="687"/>
      <c r="J608" s="686"/>
      <c r="K608" s="686"/>
      <c r="L608" s="686"/>
      <c r="M608" s="686"/>
      <c r="N608" s="686"/>
      <c r="O608" s="687"/>
      <c r="P608" s="686"/>
      <c r="Q608" s="686"/>
      <c r="R608" s="687"/>
      <c r="S608" s="686"/>
      <c r="T608" s="686"/>
      <c r="U608" s="686"/>
      <c r="V608" s="686"/>
      <c r="W608" s="686"/>
    </row>
    <row r="609" ht="13.8" customHeight="1">
      <c r="A609" s="686"/>
      <c r="B609" s="686"/>
      <c r="C609" s="823"/>
      <c r="D609" s="686"/>
      <c r="E609" s="686"/>
      <c r="F609" s="686"/>
      <c r="G609" s="687"/>
      <c r="H609" s="686"/>
      <c r="I609" s="687"/>
      <c r="J609" s="686"/>
      <c r="K609" s="686"/>
      <c r="L609" s="686"/>
      <c r="M609" s="686"/>
      <c r="N609" s="686"/>
      <c r="O609" s="687"/>
      <c r="P609" s="686"/>
      <c r="Q609" s="686"/>
      <c r="R609" s="687"/>
      <c r="S609" s="686"/>
      <c r="T609" s="686"/>
      <c r="U609" s="686"/>
      <c r="V609" s="686"/>
      <c r="W609" s="686"/>
    </row>
    <row r="610" ht="13.8" customHeight="1">
      <c r="A610" s="686"/>
      <c r="B610" s="686"/>
      <c r="C610" s="823"/>
      <c r="D610" s="686"/>
      <c r="E610" s="686"/>
      <c r="F610" s="686"/>
      <c r="G610" s="687"/>
      <c r="H610" s="686"/>
      <c r="I610" s="687"/>
      <c r="J610" s="686"/>
      <c r="K610" s="686"/>
      <c r="L610" s="686"/>
      <c r="M610" s="686"/>
      <c r="N610" s="686"/>
      <c r="O610" s="687"/>
      <c r="P610" s="686"/>
      <c r="Q610" s="686"/>
      <c r="R610" s="687"/>
      <c r="S610" s="686"/>
      <c r="T610" s="686"/>
      <c r="U610" s="686"/>
      <c r="V610" s="686"/>
      <c r="W610" s="686"/>
    </row>
    <row r="611" ht="13.8" customHeight="1">
      <c r="A611" s="686"/>
      <c r="B611" s="686"/>
      <c r="C611" s="823"/>
      <c r="D611" s="686"/>
      <c r="E611" s="686"/>
      <c r="F611" s="686"/>
      <c r="G611" s="687"/>
      <c r="H611" s="686"/>
      <c r="I611" s="687"/>
      <c r="J611" s="686"/>
      <c r="K611" s="686"/>
      <c r="L611" s="686"/>
      <c r="M611" s="686"/>
      <c r="N611" s="686"/>
      <c r="O611" s="687"/>
      <c r="P611" s="686"/>
      <c r="Q611" s="686"/>
      <c r="R611" s="687"/>
      <c r="S611" s="686"/>
      <c r="T611" s="686"/>
      <c r="U611" s="686"/>
      <c r="V611" s="686"/>
      <c r="W611" s="686"/>
    </row>
    <row r="612" ht="13.8" customHeight="1">
      <c r="A612" s="686"/>
      <c r="B612" s="686"/>
      <c r="C612" s="823"/>
      <c r="D612" s="686"/>
      <c r="E612" s="686"/>
      <c r="F612" s="686"/>
      <c r="G612" s="687"/>
      <c r="H612" s="686"/>
      <c r="I612" s="687"/>
      <c r="J612" s="686"/>
      <c r="K612" s="686"/>
      <c r="L612" s="686"/>
      <c r="M612" s="686"/>
      <c r="N612" s="686"/>
      <c r="O612" s="687"/>
      <c r="P612" s="686"/>
      <c r="Q612" s="686"/>
      <c r="R612" s="687"/>
      <c r="S612" s="686"/>
      <c r="T612" s="686"/>
      <c r="U612" s="686"/>
      <c r="V612" s="686"/>
      <c r="W612" s="686"/>
    </row>
    <row r="613" ht="13.8" customHeight="1">
      <c r="A613" s="686"/>
      <c r="B613" s="686"/>
      <c r="C613" s="823"/>
      <c r="D613" s="686"/>
      <c r="E613" s="686"/>
      <c r="F613" s="686"/>
      <c r="G613" s="687"/>
      <c r="H613" s="686"/>
      <c r="I613" s="687"/>
      <c r="J613" s="686"/>
      <c r="K613" s="686"/>
      <c r="L613" s="686"/>
      <c r="M613" s="686"/>
      <c r="N613" s="686"/>
      <c r="O613" s="687"/>
      <c r="P613" s="686"/>
      <c r="Q613" s="686"/>
      <c r="R613" s="687"/>
      <c r="S613" s="686"/>
      <c r="T613" s="686"/>
      <c r="U613" s="686"/>
      <c r="V613" s="686"/>
      <c r="W613" s="686"/>
    </row>
    <row r="614" ht="13.8" customHeight="1">
      <c r="A614" s="686"/>
      <c r="B614" s="686"/>
      <c r="C614" s="823"/>
      <c r="D614" s="686"/>
      <c r="E614" s="686"/>
      <c r="F614" s="686"/>
      <c r="G614" s="687"/>
      <c r="H614" s="686"/>
      <c r="I614" s="687"/>
      <c r="J614" s="686"/>
      <c r="K614" s="686"/>
      <c r="L614" s="686"/>
      <c r="M614" s="686"/>
      <c r="N614" s="686"/>
      <c r="O614" s="687"/>
      <c r="P614" s="686"/>
      <c r="Q614" s="686"/>
      <c r="R614" s="687"/>
      <c r="S614" s="686"/>
      <c r="T614" s="686"/>
      <c r="U614" s="686"/>
      <c r="V614" s="686"/>
      <c r="W614" s="686"/>
    </row>
    <row r="615" ht="13.8" customHeight="1">
      <c r="A615" s="686"/>
      <c r="B615" s="686"/>
      <c r="C615" s="823"/>
      <c r="D615" s="686"/>
      <c r="E615" s="686"/>
      <c r="F615" s="686"/>
      <c r="G615" s="687"/>
      <c r="H615" s="686"/>
      <c r="I615" s="687"/>
      <c r="J615" s="686"/>
      <c r="K615" s="686"/>
      <c r="L615" s="686"/>
      <c r="M615" s="686"/>
      <c r="N615" s="686"/>
      <c r="O615" s="687"/>
      <c r="P615" s="686"/>
      <c r="Q615" s="686"/>
      <c r="R615" s="687"/>
      <c r="S615" s="686"/>
      <c r="T615" s="686"/>
      <c r="U615" s="686"/>
      <c r="V615" s="686"/>
      <c r="W615" s="686"/>
    </row>
    <row r="616" ht="13.8" customHeight="1">
      <c r="A616" s="686"/>
      <c r="B616" s="686"/>
      <c r="C616" s="823"/>
      <c r="D616" s="686"/>
      <c r="E616" s="686"/>
      <c r="F616" s="686"/>
      <c r="G616" s="687"/>
      <c r="H616" s="686"/>
      <c r="I616" s="687"/>
      <c r="J616" s="686"/>
      <c r="K616" s="686"/>
      <c r="L616" s="686"/>
      <c r="M616" s="686"/>
      <c r="N616" s="686"/>
      <c r="O616" s="687"/>
      <c r="P616" s="686"/>
      <c r="Q616" s="686"/>
      <c r="R616" s="687"/>
      <c r="S616" s="686"/>
      <c r="T616" s="686"/>
      <c r="U616" s="686"/>
      <c r="V616" s="686"/>
      <c r="W616" s="686"/>
    </row>
    <row r="617" ht="13.8" customHeight="1">
      <c r="A617" s="686"/>
      <c r="B617" s="686"/>
      <c r="C617" s="823"/>
      <c r="D617" s="686"/>
      <c r="E617" s="686"/>
      <c r="F617" s="686"/>
      <c r="G617" s="687"/>
      <c r="H617" s="686"/>
      <c r="I617" s="687"/>
      <c r="J617" s="686"/>
      <c r="K617" s="686"/>
      <c r="L617" s="686"/>
      <c r="M617" s="686"/>
      <c r="N617" s="686"/>
      <c r="O617" s="687"/>
      <c r="P617" s="686"/>
      <c r="Q617" s="686"/>
      <c r="R617" s="687"/>
      <c r="S617" s="686"/>
      <c r="T617" s="686"/>
      <c r="U617" s="686"/>
      <c r="V617" s="686"/>
      <c r="W617" s="686"/>
    </row>
    <row r="618" ht="13.8" customHeight="1">
      <c r="A618" s="686"/>
      <c r="B618" s="686"/>
      <c r="C618" s="823"/>
      <c r="D618" s="686"/>
      <c r="E618" s="686"/>
      <c r="F618" s="686"/>
      <c r="G618" s="687"/>
      <c r="H618" s="686"/>
      <c r="I618" s="687"/>
      <c r="J618" s="686"/>
      <c r="K618" s="686"/>
      <c r="L618" s="686"/>
      <c r="M618" s="686"/>
      <c r="N618" s="686"/>
      <c r="O618" s="687"/>
      <c r="P618" s="686"/>
      <c r="Q618" s="686"/>
      <c r="R618" s="687"/>
      <c r="S618" s="686"/>
      <c r="T618" s="686"/>
      <c r="U618" s="686"/>
      <c r="V618" s="686"/>
      <c r="W618" s="686"/>
    </row>
    <row r="619" ht="13.8" customHeight="1">
      <c r="A619" s="686"/>
      <c r="B619" s="686"/>
      <c r="C619" s="823"/>
      <c r="D619" s="686"/>
      <c r="E619" s="686"/>
      <c r="F619" s="686"/>
      <c r="G619" s="687"/>
      <c r="H619" s="686"/>
      <c r="I619" s="687"/>
      <c r="J619" s="686"/>
      <c r="K619" s="686"/>
      <c r="L619" s="686"/>
      <c r="M619" s="686"/>
      <c r="N619" s="686"/>
      <c r="O619" s="687"/>
      <c r="P619" s="686"/>
      <c r="Q619" s="686"/>
      <c r="R619" s="687"/>
      <c r="S619" s="686"/>
      <c r="T619" s="686"/>
      <c r="U619" s="686"/>
      <c r="V619" s="686"/>
      <c r="W619" s="686"/>
    </row>
    <row r="620" ht="13.8" customHeight="1">
      <c r="A620" s="686"/>
      <c r="B620" s="686"/>
      <c r="C620" s="823"/>
      <c r="D620" s="686"/>
      <c r="E620" s="686"/>
      <c r="F620" s="686"/>
      <c r="G620" s="687"/>
      <c r="H620" s="686"/>
      <c r="I620" s="687"/>
      <c r="J620" s="686"/>
      <c r="K620" s="686"/>
      <c r="L620" s="686"/>
      <c r="M620" s="686"/>
      <c r="N620" s="686"/>
      <c r="O620" s="687"/>
      <c r="P620" s="686"/>
      <c r="Q620" s="686"/>
      <c r="R620" s="687"/>
      <c r="S620" s="686"/>
      <c r="T620" s="686"/>
      <c r="U620" s="686"/>
      <c r="V620" s="686"/>
      <c r="W620" s="686"/>
    </row>
    <row r="621" ht="13.8" customHeight="1">
      <c r="A621" s="686"/>
      <c r="B621" s="686"/>
      <c r="C621" s="823"/>
      <c r="D621" s="686"/>
      <c r="E621" s="686"/>
      <c r="F621" s="686"/>
      <c r="G621" s="687"/>
      <c r="H621" s="686"/>
      <c r="I621" s="687"/>
      <c r="J621" s="686"/>
      <c r="K621" s="686"/>
      <c r="L621" s="686"/>
      <c r="M621" s="686"/>
      <c r="N621" s="686"/>
      <c r="O621" s="687"/>
      <c r="P621" s="686"/>
      <c r="Q621" s="686"/>
      <c r="R621" s="687"/>
      <c r="S621" s="686"/>
      <c r="T621" s="686"/>
      <c r="U621" s="686"/>
      <c r="V621" s="686"/>
      <c r="W621" s="686"/>
    </row>
    <row r="622" ht="13.8" customHeight="1">
      <c r="A622" s="686"/>
      <c r="B622" s="686"/>
      <c r="C622" s="823"/>
      <c r="D622" s="686"/>
      <c r="E622" s="686"/>
      <c r="F622" s="686"/>
      <c r="G622" s="687"/>
      <c r="H622" s="686"/>
      <c r="I622" s="687"/>
      <c r="J622" s="686"/>
      <c r="K622" s="686"/>
      <c r="L622" s="686"/>
      <c r="M622" s="686"/>
      <c r="N622" s="686"/>
      <c r="O622" s="687"/>
      <c r="P622" s="686"/>
      <c r="Q622" s="686"/>
      <c r="R622" s="687"/>
      <c r="S622" s="686"/>
      <c r="T622" s="686"/>
      <c r="U622" s="686"/>
      <c r="V622" s="686"/>
      <c r="W622" s="686"/>
    </row>
    <row r="623" ht="13.8" customHeight="1">
      <c r="A623" s="686"/>
      <c r="B623" s="686"/>
      <c r="C623" s="823"/>
      <c r="D623" s="686"/>
      <c r="E623" s="686"/>
      <c r="F623" s="686"/>
      <c r="G623" s="687"/>
      <c r="H623" s="686"/>
      <c r="I623" s="687"/>
      <c r="J623" s="686"/>
      <c r="K623" s="686"/>
      <c r="L623" s="686"/>
      <c r="M623" s="686"/>
      <c r="N623" s="686"/>
      <c r="O623" s="687"/>
      <c r="P623" s="686"/>
      <c r="Q623" s="686"/>
      <c r="R623" s="687"/>
      <c r="S623" s="686"/>
      <c r="T623" s="686"/>
      <c r="U623" s="686"/>
      <c r="V623" s="686"/>
      <c r="W623" s="686"/>
    </row>
    <row r="624" ht="13.8" customHeight="1">
      <c r="A624" s="686"/>
      <c r="B624" s="686"/>
      <c r="C624" s="823"/>
      <c r="D624" s="686"/>
      <c r="E624" s="686"/>
      <c r="F624" s="686"/>
      <c r="G624" s="687"/>
      <c r="H624" s="686"/>
      <c r="I624" s="687"/>
      <c r="J624" s="686"/>
      <c r="K624" s="686"/>
      <c r="L624" s="686"/>
      <c r="M624" s="686"/>
      <c r="N624" s="686"/>
      <c r="O624" s="687"/>
      <c r="P624" s="686"/>
      <c r="Q624" s="686"/>
      <c r="R624" s="687"/>
      <c r="S624" s="686"/>
      <c r="T624" s="686"/>
      <c r="U624" s="686"/>
      <c r="V624" s="686"/>
      <c r="W624" s="686"/>
    </row>
    <row r="625" ht="13.8" customHeight="1">
      <c r="A625" s="686"/>
      <c r="B625" s="686"/>
      <c r="C625" s="823"/>
      <c r="D625" s="686"/>
      <c r="E625" s="686"/>
      <c r="F625" s="686"/>
      <c r="G625" s="687"/>
      <c r="H625" s="686"/>
      <c r="I625" s="687"/>
      <c r="J625" s="686"/>
      <c r="K625" s="686"/>
      <c r="L625" s="686"/>
      <c r="M625" s="686"/>
      <c r="N625" s="686"/>
      <c r="O625" s="687"/>
      <c r="P625" s="686"/>
      <c r="Q625" s="686"/>
      <c r="R625" s="687"/>
      <c r="S625" s="686"/>
      <c r="T625" s="686"/>
      <c r="U625" s="686"/>
      <c r="V625" s="686"/>
      <c r="W625" s="686"/>
    </row>
    <row r="626" ht="13.8" customHeight="1">
      <c r="A626" s="686"/>
      <c r="B626" s="686"/>
      <c r="C626" s="823"/>
      <c r="D626" s="686"/>
      <c r="E626" s="686"/>
      <c r="F626" s="686"/>
      <c r="G626" s="687"/>
      <c r="H626" s="686"/>
      <c r="I626" s="687"/>
      <c r="J626" s="686"/>
      <c r="K626" s="686"/>
      <c r="L626" s="686"/>
      <c r="M626" s="686"/>
      <c r="N626" s="686"/>
      <c r="O626" s="687"/>
      <c r="P626" s="686"/>
      <c r="Q626" s="686"/>
      <c r="R626" s="687"/>
      <c r="S626" s="686"/>
      <c r="T626" s="686"/>
      <c r="U626" s="686"/>
      <c r="V626" s="686"/>
      <c r="W626" s="686"/>
    </row>
    <row r="627" ht="13.8" customHeight="1">
      <c r="A627" s="686"/>
      <c r="B627" s="686"/>
      <c r="C627" s="823"/>
      <c r="D627" s="686"/>
      <c r="E627" s="686"/>
      <c r="F627" s="686"/>
      <c r="G627" s="687"/>
      <c r="H627" s="686"/>
      <c r="I627" s="687"/>
      <c r="J627" s="686"/>
      <c r="K627" s="686"/>
      <c r="L627" s="686"/>
      <c r="M627" s="686"/>
      <c r="N627" s="686"/>
      <c r="O627" s="687"/>
      <c r="P627" s="686"/>
      <c r="Q627" s="686"/>
      <c r="R627" s="687"/>
      <c r="S627" s="686"/>
      <c r="T627" s="686"/>
      <c r="U627" s="686"/>
      <c r="V627" s="686"/>
      <c r="W627" s="686"/>
    </row>
    <row r="628" ht="13.8" customHeight="1">
      <c r="A628" s="686"/>
      <c r="B628" s="686"/>
      <c r="C628" s="823"/>
      <c r="D628" s="686"/>
      <c r="E628" s="686"/>
      <c r="F628" s="686"/>
      <c r="G628" s="687"/>
      <c r="H628" s="686"/>
      <c r="I628" s="687"/>
      <c r="J628" s="686"/>
      <c r="K628" s="686"/>
      <c r="L628" s="686"/>
      <c r="M628" s="686"/>
      <c r="N628" s="686"/>
      <c r="O628" s="687"/>
      <c r="P628" s="686"/>
      <c r="Q628" s="686"/>
      <c r="R628" s="687"/>
      <c r="S628" s="686"/>
      <c r="T628" s="686"/>
      <c r="U628" s="686"/>
      <c r="V628" s="686"/>
      <c r="W628" s="686"/>
    </row>
    <row r="629" ht="13.8" customHeight="1">
      <c r="A629" s="686"/>
      <c r="B629" s="686"/>
      <c r="C629" s="823"/>
      <c r="D629" s="686"/>
      <c r="E629" s="686"/>
      <c r="F629" s="686"/>
      <c r="G629" s="687"/>
      <c r="H629" s="686"/>
      <c r="I629" s="687"/>
      <c r="J629" s="686"/>
      <c r="K629" s="686"/>
      <c r="L629" s="686"/>
      <c r="M629" s="686"/>
      <c r="N629" s="686"/>
      <c r="O629" s="687"/>
      <c r="P629" s="686"/>
      <c r="Q629" s="686"/>
      <c r="R629" s="687"/>
      <c r="S629" s="686"/>
      <c r="T629" s="686"/>
      <c r="U629" s="686"/>
      <c r="V629" s="686"/>
      <c r="W629" s="686"/>
    </row>
    <row r="630" ht="13.8" customHeight="1">
      <c r="A630" s="686"/>
      <c r="B630" s="686"/>
      <c r="C630" s="823"/>
      <c r="D630" s="686"/>
      <c r="E630" s="686"/>
      <c r="F630" s="686"/>
      <c r="G630" s="687"/>
      <c r="H630" s="686"/>
      <c r="I630" s="687"/>
      <c r="J630" s="686"/>
      <c r="K630" s="686"/>
      <c r="L630" s="686"/>
      <c r="M630" s="686"/>
      <c r="N630" s="686"/>
      <c r="O630" s="687"/>
      <c r="P630" s="686"/>
      <c r="Q630" s="686"/>
      <c r="R630" s="687"/>
      <c r="S630" s="686"/>
      <c r="T630" s="686"/>
      <c r="U630" s="686"/>
      <c r="V630" s="686"/>
      <c r="W630" s="686"/>
    </row>
    <row r="631" ht="13.8" customHeight="1">
      <c r="A631" s="686"/>
      <c r="B631" s="686"/>
      <c r="C631" s="823"/>
      <c r="D631" s="686"/>
      <c r="E631" s="686"/>
      <c r="F631" s="686"/>
      <c r="G631" s="687"/>
      <c r="H631" s="686"/>
      <c r="I631" s="687"/>
      <c r="J631" s="686"/>
      <c r="K631" s="686"/>
      <c r="L631" s="686"/>
      <c r="M631" s="686"/>
      <c r="N631" s="686"/>
      <c r="O631" s="687"/>
      <c r="P631" s="686"/>
      <c r="Q631" s="686"/>
      <c r="R631" s="687"/>
      <c r="S631" s="686"/>
      <c r="T631" s="686"/>
      <c r="U631" s="686"/>
      <c r="V631" s="686"/>
      <c r="W631" s="686"/>
    </row>
    <row r="632" ht="13.8" customHeight="1">
      <c r="A632" s="686"/>
      <c r="B632" s="686"/>
      <c r="C632" s="823"/>
      <c r="D632" s="686"/>
      <c r="E632" s="686"/>
      <c r="F632" s="686"/>
      <c r="G632" s="687"/>
      <c r="H632" s="686"/>
      <c r="I632" s="687"/>
      <c r="J632" s="686"/>
      <c r="K632" s="686"/>
      <c r="L632" s="686"/>
      <c r="M632" s="686"/>
      <c r="N632" s="686"/>
      <c r="O632" s="687"/>
      <c r="P632" s="686"/>
      <c r="Q632" s="686"/>
      <c r="R632" s="687"/>
      <c r="S632" s="686"/>
      <c r="T632" s="686"/>
      <c r="U632" s="686"/>
      <c r="V632" s="686"/>
      <c r="W632" s="686"/>
    </row>
    <row r="633" ht="13.8" customHeight="1">
      <c r="A633" s="686"/>
      <c r="B633" s="686"/>
      <c r="C633" s="823"/>
      <c r="D633" s="686"/>
      <c r="E633" s="686"/>
      <c r="F633" s="686"/>
      <c r="G633" s="687"/>
      <c r="H633" s="686"/>
      <c r="I633" s="687"/>
      <c r="J633" s="686"/>
      <c r="K633" s="686"/>
      <c r="L633" s="686"/>
      <c r="M633" s="686"/>
      <c r="N633" s="686"/>
      <c r="O633" s="687"/>
      <c r="P633" s="686"/>
      <c r="Q633" s="686"/>
      <c r="R633" s="687"/>
      <c r="S633" s="686"/>
      <c r="T633" s="686"/>
      <c r="U633" s="686"/>
      <c r="V633" s="686"/>
      <c r="W633" s="686"/>
    </row>
    <row r="634" ht="13.8" customHeight="1">
      <c r="A634" s="686"/>
      <c r="B634" s="686"/>
      <c r="C634" s="823"/>
      <c r="D634" s="686"/>
      <c r="E634" s="686"/>
      <c r="F634" s="686"/>
      <c r="G634" s="687"/>
      <c r="H634" s="686"/>
      <c r="I634" s="687"/>
      <c r="J634" s="686"/>
      <c r="K634" s="686"/>
      <c r="L634" s="686"/>
      <c r="M634" s="686"/>
      <c r="N634" s="686"/>
      <c r="O634" s="687"/>
      <c r="P634" s="686"/>
      <c r="Q634" s="686"/>
      <c r="R634" s="687"/>
      <c r="S634" s="686"/>
      <c r="T634" s="686"/>
      <c r="U634" s="686"/>
      <c r="V634" s="686"/>
      <c r="W634" s="686"/>
    </row>
    <row r="635" ht="13.8" customHeight="1">
      <c r="A635" s="686"/>
      <c r="B635" s="686"/>
      <c r="C635" s="823"/>
      <c r="D635" s="686"/>
      <c r="E635" s="686"/>
      <c r="F635" s="686"/>
      <c r="G635" s="687"/>
      <c r="H635" s="686"/>
      <c r="I635" s="687"/>
      <c r="J635" s="686"/>
      <c r="K635" s="686"/>
      <c r="L635" s="686"/>
      <c r="M635" s="686"/>
      <c r="N635" s="686"/>
      <c r="O635" s="687"/>
      <c r="P635" s="686"/>
      <c r="Q635" s="686"/>
      <c r="R635" s="687"/>
      <c r="S635" s="686"/>
      <c r="T635" s="686"/>
      <c r="U635" s="686"/>
      <c r="V635" s="686"/>
      <c r="W635" s="686"/>
    </row>
    <row r="636" ht="13.8" customHeight="1">
      <c r="A636" s="686"/>
      <c r="B636" s="686"/>
      <c r="C636" s="823"/>
      <c r="D636" s="686"/>
      <c r="E636" s="686"/>
      <c r="F636" s="686"/>
      <c r="G636" s="687"/>
      <c r="H636" s="686"/>
      <c r="I636" s="687"/>
      <c r="J636" s="686"/>
      <c r="K636" s="686"/>
      <c r="L636" s="686"/>
      <c r="M636" s="686"/>
      <c r="N636" s="686"/>
      <c r="O636" s="687"/>
      <c r="P636" s="686"/>
      <c r="Q636" s="686"/>
      <c r="R636" s="687"/>
      <c r="S636" s="686"/>
      <c r="T636" s="686"/>
      <c r="U636" s="686"/>
      <c r="V636" s="686"/>
      <c r="W636" s="686"/>
    </row>
    <row r="637" ht="13.8" customHeight="1">
      <c r="A637" s="686"/>
      <c r="B637" s="686"/>
      <c r="C637" s="823"/>
      <c r="D637" s="686"/>
      <c r="E637" s="686"/>
      <c r="F637" s="686"/>
      <c r="G637" s="687"/>
      <c r="H637" s="686"/>
      <c r="I637" s="687"/>
      <c r="J637" s="686"/>
      <c r="K637" s="686"/>
      <c r="L637" s="686"/>
      <c r="M637" s="686"/>
      <c r="N637" s="686"/>
      <c r="O637" s="687"/>
      <c r="P637" s="686"/>
      <c r="Q637" s="686"/>
      <c r="R637" s="687"/>
      <c r="S637" s="686"/>
      <c r="T637" s="686"/>
      <c r="U637" s="686"/>
      <c r="V637" s="686"/>
      <c r="W637" s="686"/>
    </row>
    <row r="638" ht="13.8" customHeight="1">
      <c r="A638" s="686"/>
      <c r="B638" s="686"/>
      <c r="C638" s="823"/>
      <c r="D638" s="686"/>
      <c r="E638" s="686"/>
      <c r="F638" s="686"/>
      <c r="G638" s="687"/>
      <c r="H638" s="686"/>
      <c r="I638" s="687"/>
      <c r="J638" s="686"/>
      <c r="K638" s="686"/>
      <c r="L638" s="686"/>
      <c r="M638" s="686"/>
      <c r="N638" s="686"/>
      <c r="O638" s="687"/>
      <c r="P638" s="686"/>
      <c r="Q638" s="686"/>
      <c r="R638" s="687"/>
      <c r="S638" s="686"/>
      <c r="T638" s="686"/>
      <c r="U638" s="686"/>
      <c r="V638" s="686"/>
      <c r="W638" s="686"/>
    </row>
    <row r="639" ht="13.8" customHeight="1">
      <c r="A639" s="686"/>
      <c r="B639" s="686"/>
      <c r="C639" s="823"/>
      <c r="D639" s="686"/>
      <c r="E639" s="686"/>
      <c r="F639" s="686"/>
      <c r="G639" s="687"/>
      <c r="H639" s="686"/>
      <c r="I639" s="687"/>
      <c r="J639" s="686"/>
      <c r="K639" s="686"/>
      <c r="L639" s="686"/>
      <c r="M639" s="686"/>
      <c r="N639" s="686"/>
      <c r="O639" s="687"/>
      <c r="P639" s="686"/>
      <c r="Q639" s="686"/>
      <c r="R639" s="687"/>
      <c r="S639" s="686"/>
      <c r="T639" s="686"/>
      <c r="U639" s="686"/>
      <c r="V639" s="686"/>
      <c r="W639" s="686"/>
    </row>
    <row r="640" ht="13.8" customHeight="1">
      <c r="A640" s="686"/>
      <c r="B640" s="686"/>
      <c r="C640" s="823"/>
      <c r="D640" s="686"/>
      <c r="E640" s="686"/>
      <c r="F640" s="686"/>
      <c r="G640" s="687"/>
      <c r="H640" s="686"/>
      <c r="I640" s="687"/>
      <c r="J640" s="686"/>
      <c r="K640" s="686"/>
      <c r="L640" s="686"/>
      <c r="M640" s="686"/>
      <c r="N640" s="686"/>
      <c r="O640" s="687"/>
      <c r="P640" s="686"/>
      <c r="Q640" s="686"/>
      <c r="R640" s="687"/>
      <c r="S640" s="686"/>
      <c r="T640" s="686"/>
      <c r="U640" s="686"/>
      <c r="V640" s="686"/>
      <c r="W640" s="686"/>
    </row>
    <row r="641" ht="13.8" customHeight="1">
      <c r="A641" s="686"/>
      <c r="B641" s="686"/>
      <c r="C641" s="823"/>
      <c r="D641" s="686"/>
      <c r="E641" s="686"/>
      <c r="F641" s="686"/>
      <c r="G641" s="687"/>
      <c r="H641" s="686"/>
      <c r="I641" s="687"/>
      <c r="J641" s="686"/>
      <c r="K641" s="686"/>
      <c r="L641" s="686"/>
      <c r="M641" s="686"/>
      <c r="N641" s="686"/>
      <c r="O641" s="687"/>
      <c r="P641" s="686"/>
      <c r="Q641" s="686"/>
      <c r="R641" s="687"/>
      <c r="S641" s="686"/>
      <c r="T641" s="686"/>
      <c r="U641" s="686"/>
      <c r="V641" s="686"/>
      <c r="W641" s="686"/>
    </row>
    <row r="642" ht="13.8" customHeight="1">
      <c r="A642" s="686"/>
      <c r="B642" s="686"/>
      <c r="C642" s="823"/>
      <c r="D642" s="686"/>
      <c r="E642" s="686"/>
      <c r="F642" s="686"/>
      <c r="G642" s="687"/>
      <c r="H642" s="686"/>
      <c r="I642" s="687"/>
      <c r="J642" s="686"/>
      <c r="K642" s="686"/>
      <c r="L642" s="686"/>
      <c r="M642" s="686"/>
      <c r="N642" s="686"/>
      <c r="O642" s="687"/>
      <c r="P642" s="686"/>
      <c r="Q642" s="686"/>
      <c r="R642" s="687"/>
      <c r="S642" s="686"/>
      <c r="T642" s="686"/>
      <c r="U642" s="686"/>
      <c r="V642" s="686"/>
      <c r="W642" s="686"/>
    </row>
    <row r="643" ht="13.8" customHeight="1">
      <c r="A643" s="686"/>
      <c r="B643" s="686"/>
      <c r="C643" s="823"/>
      <c r="D643" s="686"/>
      <c r="E643" s="686"/>
      <c r="F643" s="686"/>
      <c r="G643" s="687"/>
      <c r="H643" s="686"/>
      <c r="I643" s="687"/>
      <c r="J643" s="686"/>
      <c r="K643" s="686"/>
      <c r="L643" s="686"/>
      <c r="M643" s="686"/>
      <c r="N643" s="686"/>
      <c r="O643" s="687"/>
      <c r="P643" s="686"/>
      <c r="Q643" s="686"/>
      <c r="R643" s="687"/>
      <c r="S643" s="686"/>
      <c r="T643" s="686"/>
      <c r="U643" s="686"/>
      <c r="V643" s="686"/>
      <c r="W643" s="686"/>
    </row>
    <row r="644" ht="13.8" customHeight="1">
      <c r="A644" s="686"/>
      <c r="B644" s="686"/>
      <c r="C644" s="823"/>
      <c r="D644" s="686"/>
      <c r="E644" s="686"/>
      <c r="F644" s="686"/>
      <c r="G644" s="687"/>
      <c r="H644" s="686"/>
      <c r="I644" s="687"/>
      <c r="J644" s="686"/>
      <c r="K644" s="686"/>
      <c r="L644" s="686"/>
      <c r="M644" s="686"/>
      <c r="N644" s="686"/>
      <c r="O644" s="687"/>
      <c r="P644" s="686"/>
      <c r="Q644" s="686"/>
      <c r="R644" s="687"/>
      <c r="S644" s="686"/>
      <c r="T644" s="686"/>
      <c r="U644" s="686"/>
      <c r="V644" s="686"/>
      <c r="W644" s="686"/>
    </row>
    <row r="645" ht="13.8" customHeight="1">
      <c r="A645" s="686"/>
      <c r="B645" s="686"/>
      <c r="C645" s="823"/>
      <c r="D645" s="686"/>
      <c r="E645" s="686"/>
      <c r="F645" s="686"/>
      <c r="G645" s="687"/>
      <c r="H645" s="686"/>
      <c r="I645" s="687"/>
      <c r="J645" s="686"/>
      <c r="K645" s="686"/>
      <c r="L645" s="686"/>
      <c r="M645" s="686"/>
      <c r="N645" s="686"/>
      <c r="O645" s="687"/>
      <c r="P645" s="686"/>
      <c r="Q645" s="686"/>
      <c r="R645" s="687"/>
      <c r="S645" s="686"/>
      <c r="T645" s="686"/>
      <c r="U645" s="686"/>
      <c r="V645" s="686"/>
      <c r="W645" s="686"/>
    </row>
    <row r="646" ht="13.8" customHeight="1">
      <c r="A646" s="686"/>
      <c r="B646" s="686"/>
      <c r="C646" s="823"/>
      <c r="D646" s="686"/>
      <c r="E646" s="686"/>
      <c r="F646" s="686"/>
      <c r="G646" s="687"/>
      <c r="H646" s="686"/>
      <c r="I646" s="687"/>
      <c r="J646" s="686"/>
      <c r="K646" s="686"/>
      <c r="L646" s="686"/>
      <c r="M646" s="686"/>
      <c r="N646" s="686"/>
      <c r="O646" s="687"/>
      <c r="P646" s="686"/>
      <c r="Q646" s="686"/>
      <c r="R646" s="687"/>
      <c r="S646" s="686"/>
      <c r="T646" s="686"/>
      <c r="U646" s="686"/>
      <c r="V646" s="686"/>
      <c r="W646" s="686"/>
    </row>
    <row r="647" ht="13.8" customHeight="1">
      <c r="A647" s="686"/>
      <c r="B647" s="686"/>
      <c r="C647" s="823"/>
      <c r="D647" s="686"/>
      <c r="E647" s="686"/>
      <c r="F647" s="686"/>
      <c r="G647" s="687"/>
      <c r="H647" s="686"/>
      <c r="I647" s="687"/>
      <c r="J647" s="686"/>
      <c r="K647" s="686"/>
      <c r="L647" s="686"/>
      <c r="M647" s="686"/>
      <c r="N647" s="686"/>
      <c r="O647" s="687"/>
      <c r="P647" s="686"/>
      <c r="Q647" s="686"/>
      <c r="R647" s="687"/>
      <c r="S647" s="686"/>
      <c r="T647" s="686"/>
      <c r="U647" s="686"/>
      <c r="V647" s="686"/>
      <c r="W647" s="686"/>
    </row>
    <row r="648" ht="13.8" customHeight="1">
      <c r="A648" s="686"/>
      <c r="B648" s="686"/>
      <c r="C648" s="823"/>
      <c r="D648" s="686"/>
      <c r="E648" s="686"/>
      <c r="F648" s="686"/>
      <c r="G648" s="687"/>
      <c r="H648" s="686"/>
      <c r="I648" s="687"/>
      <c r="J648" s="686"/>
      <c r="K648" s="686"/>
      <c r="L648" s="686"/>
      <c r="M648" s="686"/>
      <c r="N648" s="686"/>
      <c r="O648" s="687"/>
      <c r="P648" s="686"/>
      <c r="Q648" s="686"/>
      <c r="R648" s="687"/>
      <c r="S648" s="686"/>
      <c r="T648" s="686"/>
      <c r="U648" s="686"/>
      <c r="V648" s="686"/>
      <c r="W648" s="686"/>
    </row>
    <row r="649" ht="13.8" customHeight="1">
      <c r="A649" s="686"/>
      <c r="B649" s="686"/>
      <c r="C649" s="823"/>
      <c r="D649" s="686"/>
      <c r="E649" s="686"/>
      <c r="F649" s="686"/>
      <c r="G649" s="687"/>
      <c r="H649" s="686"/>
      <c r="I649" s="687"/>
      <c r="J649" s="686"/>
      <c r="K649" s="686"/>
      <c r="L649" s="686"/>
      <c r="M649" s="686"/>
      <c r="N649" s="686"/>
      <c r="O649" s="687"/>
      <c r="P649" s="686"/>
      <c r="Q649" s="686"/>
      <c r="R649" s="687"/>
      <c r="S649" s="686"/>
      <c r="T649" s="686"/>
      <c r="U649" s="686"/>
      <c r="V649" s="686"/>
      <c r="W649" s="686"/>
    </row>
    <row r="650" ht="13.8" customHeight="1">
      <c r="A650" s="686"/>
      <c r="B650" s="686"/>
      <c r="C650" s="823"/>
      <c r="D650" s="686"/>
      <c r="E650" s="686"/>
      <c r="F650" s="686"/>
      <c r="G650" s="687"/>
      <c r="H650" s="686"/>
      <c r="I650" s="687"/>
      <c r="J650" s="686"/>
      <c r="K650" s="686"/>
      <c r="L650" s="686"/>
      <c r="M650" s="686"/>
      <c r="N650" s="686"/>
      <c r="O650" s="687"/>
      <c r="P650" s="686"/>
      <c r="Q650" s="686"/>
      <c r="R650" s="687"/>
      <c r="S650" s="686"/>
      <c r="T650" s="686"/>
      <c r="U650" s="686"/>
      <c r="V650" s="686"/>
      <c r="W650" s="686"/>
    </row>
    <row r="651" ht="13.8" customHeight="1">
      <c r="A651" s="686"/>
      <c r="B651" s="686"/>
      <c r="C651" s="823"/>
      <c r="D651" s="686"/>
      <c r="E651" s="686"/>
      <c r="F651" s="686"/>
      <c r="G651" s="687"/>
      <c r="H651" s="686"/>
      <c r="I651" s="687"/>
      <c r="J651" s="686"/>
      <c r="K651" s="686"/>
      <c r="L651" s="686"/>
      <c r="M651" s="686"/>
      <c r="N651" s="686"/>
      <c r="O651" s="687"/>
      <c r="P651" s="686"/>
      <c r="Q651" s="686"/>
      <c r="R651" s="687"/>
      <c r="S651" s="686"/>
      <c r="T651" s="686"/>
      <c r="U651" s="686"/>
      <c r="V651" s="686"/>
      <c r="W651" s="686"/>
    </row>
    <row r="652" ht="13.8" customHeight="1">
      <c r="A652" s="686"/>
      <c r="B652" s="686"/>
      <c r="C652" s="823"/>
      <c r="D652" s="686"/>
      <c r="E652" s="686"/>
      <c r="F652" s="686"/>
      <c r="G652" s="687"/>
      <c r="H652" s="686"/>
      <c r="I652" s="687"/>
      <c r="J652" s="686"/>
      <c r="K652" s="686"/>
      <c r="L652" s="686"/>
      <c r="M652" s="686"/>
      <c r="N652" s="686"/>
      <c r="O652" s="687"/>
      <c r="P652" s="686"/>
      <c r="Q652" s="686"/>
      <c r="R652" s="687"/>
      <c r="S652" s="686"/>
      <c r="T652" s="686"/>
      <c r="U652" s="686"/>
      <c r="V652" s="686"/>
      <c r="W652" s="686"/>
    </row>
    <row r="653" ht="13.8" customHeight="1">
      <c r="A653" s="686"/>
      <c r="B653" s="686"/>
      <c r="C653" s="823"/>
      <c r="D653" s="686"/>
      <c r="E653" s="686"/>
      <c r="F653" s="686"/>
      <c r="G653" s="687"/>
      <c r="H653" s="686"/>
      <c r="I653" s="687"/>
      <c r="J653" s="686"/>
      <c r="K653" s="686"/>
      <c r="L653" s="686"/>
      <c r="M653" s="686"/>
      <c r="N653" s="686"/>
      <c r="O653" s="687"/>
      <c r="P653" s="686"/>
      <c r="Q653" s="686"/>
      <c r="R653" s="687"/>
      <c r="S653" s="686"/>
      <c r="T653" s="686"/>
      <c r="U653" s="686"/>
      <c r="V653" s="686"/>
      <c r="W653" s="686"/>
    </row>
    <row r="654" ht="13.8" customHeight="1">
      <c r="A654" s="686"/>
      <c r="B654" s="686"/>
      <c r="C654" s="823"/>
      <c r="D654" s="686"/>
      <c r="E654" s="686"/>
      <c r="F654" s="686"/>
      <c r="G654" s="687"/>
      <c r="H654" s="686"/>
      <c r="I654" s="687"/>
      <c r="J654" s="686"/>
      <c r="K654" s="686"/>
      <c r="L654" s="686"/>
      <c r="M654" s="686"/>
      <c r="N654" s="686"/>
      <c r="O654" s="687"/>
      <c r="P654" s="686"/>
      <c r="Q654" s="686"/>
      <c r="R654" s="687"/>
      <c r="S654" s="686"/>
      <c r="T654" s="686"/>
      <c r="U654" s="686"/>
      <c r="V654" s="686"/>
      <c r="W654" s="686"/>
    </row>
    <row r="655" ht="13.8" customHeight="1">
      <c r="A655" s="686"/>
      <c r="B655" s="686"/>
      <c r="C655" s="823"/>
      <c r="D655" s="686"/>
      <c r="E655" s="686"/>
      <c r="F655" s="686"/>
      <c r="G655" s="687"/>
      <c r="H655" s="686"/>
      <c r="I655" s="687"/>
      <c r="J655" s="686"/>
      <c r="K655" s="686"/>
      <c r="L655" s="686"/>
      <c r="M655" s="686"/>
      <c r="N655" s="686"/>
      <c r="O655" s="687"/>
      <c r="P655" s="686"/>
      <c r="Q655" s="686"/>
      <c r="R655" s="687"/>
      <c r="S655" s="686"/>
      <c r="T655" s="686"/>
      <c r="U655" s="686"/>
      <c r="V655" s="686"/>
      <c r="W655" s="686"/>
    </row>
    <row r="656" ht="13.8" customHeight="1">
      <c r="A656" s="686"/>
      <c r="B656" s="686"/>
      <c r="C656" s="823"/>
      <c r="D656" s="686"/>
      <c r="E656" s="686"/>
      <c r="F656" s="686"/>
      <c r="G656" s="687"/>
      <c r="H656" s="686"/>
      <c r="I656" s="687"/>
      <c r="J656" s="686"/>
      <c r="K656" s="686"/>
      <c r="L656" s="686"/>
      <c r="M656" s="686"/>
      <c r="N656" s="686"/>
      <c r="O656" s="687"/>
      <c r="P656" s="686"/>
      <c r="Q656" s="686"/>
      <c r="R656" s="687"/>
      <c r="S656" s="686"/>
      <c r="T656" s="686"/>
      <c r="U656" s="686"/>
      <c r="V656" s="686"/>
      <c r="W656" s="686"/>
    </row>
    <row r="657" ht="13.8" customHeight="1">
      <c r="A657" s="686"/>
      <c r="B657" s="686"/>
      <c r="C657" s="823"/>
      <c r="D657" s="686"/>
      <c r="E657" s="686"/>
      <c r="F657" s="686"/>
      <c r="G657" s="687"/>
      <c r="H657" s="686"/>
      <c r="I657" s="687"/>
      <c r="J657" s="686"/>
      <c r="K657" s="686"/>
      <c r="L657" s="686"/>
      <c r="M657" s="686"/>
      <c r="N657" s="686"/>
      <c r="O657" s="687"/>
      <c r="P657" s="686"/>
      <c r="Q657" s="686"/>
      <c r="R657" s="687"/>
      <c r="S657" s="686"/>
      <c r="T657" s="686"/>
      <c r="U657" s="686"/>
      <c r="V657" s="686"/>
      <c r="W657" s="686"/>
    </row>
    <row r="658" ht="13.8" customHeight="1">
      <c r="A658" s="686"/>
      <c r="B658" s="686"/>
      <c r="C658" s="823"/>
      <c r="D658" s="686"/>
      <c r="E658" s="686"/>
      <c r="F658" s="686"/>
      <c r="G658" s="687"/>
      <c r="H658" s="686"/>
      <c r="I658" s="687"/>
      <c r="J658" s="686"/>
      <c r="K658" s="686"/>
      <c r="L658" s="686"/>
      <c r="M658" s="686"/>
      <c r="N658" s="686"/>
      <c r="O658" s="687"/>
      <c r="P658" s="686"/>
      <c r="Q658" s="686"/>
      <c r="R658" s="687"/>
      <c r="S658" s="686"/>
      <c r="T658" s="686"/>
      <c r="U658" s="686"/>
      <c r="V658" s="686"/>
      <c r="W658" s="686"/>
    </row>
    <row r="659" ht="13.8" customHeight="1">
      <c r="A659" s="686"/>
      <c r="B659" s="686"/>
      <c r="C659" s="823"/>
      <c r="D659" s="686"/>
      <c r="E659" s="686"/>
      <c r="F659" s="686"/>
      <c r="G659" s="687"/>
      <c r="H659" s="686"/>
      <c r="I659" s="687"/>
      <c r="J659" s="686"/>
      <c r="K659" s="686"/>
      <c r="L659" s="686"/>
      <c r="M659" s="686"/>
      <c r="N659" s="686"/>
      <c r="O659" s="687"/>
      <c r="P659" s="686"/>
      <c r="Q659" s="686"/>
      <c r="R659" s="687"/>
      <c r="S659" s="686"/>
      <c r="T659" s="686"/>
      <c r="U659" s="686"/>
      <c r="V659" s="686"/>
      <c r="W659" s="686"/>
    </row>
    <row r="660" ht="13.8" customHeight="1">
      <c r="A660" s="686"/>
      <c r="B660" s="686"/>
      <c r="C660" s="823"/>
      <c r="D660" s="686"/>
      <c r="E660" s="686"/>
      <c r="F660" s="686"/>
      <c r="G660" s="687"/>
      <c r="H660" s="686"/>
      <c r="I660" s="687"/>
      <c r="J660" s="686"/>
      <c r="K660" s="686"/>
      <c r="L660" s="686"/>
      <c r="M660" s="686"/>
      <c r="N660" s="686"/>
      <c r="O660" s="687"/>
      <c r="P660" s="686"/>
      <c r="Q660" s="686"/>
      <c r="R660" s="687"/>
      <c r="S660" s="686"/>
      <c r="T660" s="686"/>
      <c r="U660" s="686"/>
      <c r="V660" s="686"/>
      <c r="W660" s="686"/>
    </row>
    <row r="661" ht="13.8" customHeight="1">
      <c r="A661" s="686"/>
      <c r="B661" s="686"/>
      <c r="C661" s="823"/>
      <c r="D661" s="686"/>
      <c r="E661" s="686"/>
      <c r="F661" s="686"/>
      <c r="G661" s="687"/>
      <c r="H661" s="686"/>
      <c r="I661" s="687"/>
      <c r="J661" s="686"/>
      <c r="K661" s="686"/>
      <c r="L661" s="686"/>
      <c r="M661" s="686"/>
      <c r="N661" s="686"/>
      <c r="O661" s="687"/>
      <c r="P661" s="686"/>
      <c r="Q661" s="686"/>
      <c r="R661" s="687"/>
      <c r="S661" s="686"/>
      <c r="T661" s="686"/>
      <c r="U661" s="686"/>
      <c r="V661" s="686"/>
      <c r="W661" s="686"/>
    </row>
    <row r="662" ht="13.8" customHeight="1">
      <c r="A662" s="686"/>
      <c r="B662" s="686"/>
      <c r="C662" s="823"/>
      <c r="D662" s="686"/>
      <c r="E662" s="686"/>
      <c r="F662" s="686"/>
      <c r="G662" s="687"/>
      <c r="H662" s="686"/>
      <c r="I662" s="687"/>
      <c r="J662" s="686"/>
      <c r="K662" s="686"/>
      <c r="L662" s="686"/>
      <c r="M662" s="686"/>
      <c r="N662" s="686"/>
      <c r="O662" s="687"/>
      <c r="P662" s="686"/>
      <c r="Q662" s="686"/>
      <c r="R662" s="687"/>
      <c r="S662" s="686"/>
      <c r="T662" s="686"/>
      <c r="U662" s="686"/>
      <c r="V662" s="686"/>
      <c r="W662" s="686"/>
    </row>
    <row r="663" ht="13.8" customHeight="1">
      <c r="A663" s="686"/>
      <c r="B663" s="686"/>
      <c r="C663" s="823"/>
      <c r="D663" s="686"/>
      <c r="E663" s="686"/>
      <c r="F663" s="686"/>
      <c r="G663" s="687"/>
      <c r="H663" s="686"/>
      <c r="I663" s="687"/>
      <c r="J663" s="686"/>
      <c r="K663" s="686"/>
      <c r="L663" s="686"/>
      <c r="M663" s="686"/>
      <c r="N663" s="686"/>
      <c r="O663" s="687"/>
      <c r="P663" s="686"/>
      <c r="Q663" s="686"/>
      <c r="R663" s="687"/>
      <c r="S663" s="686"/>
      <c r="T663" s="686"/>
      <c r="U663" s="686"/>
      <c r="V663" s="686"/>
      <c r="W663" s="686"/>
    </row>
    <row r="664" ht="13.8" customHeight="1">
      <c r="A664" s="686"/>
      <c r="B664" s="686"/>
      <c r="C664" s="823"/>
      <c r="D664" s="686"/>
      <c r="E664" s="686"/>
      <c r="F664" s="686"/>
      <c r="G664" s="687"/>
      <c r="H664" s="686"/>
      <c r="I664" s="687"/>
      <c r="J664" s="686"/>
      <c r="K664" s="686"/>
      <c r="L664" s="686"/>
      <c r="M664" s="686"/>
      <c r="N664" s="686"/>
      <c r="O664" s="687"/>
      <c r="P664" s="686"/>
      <c r="Q664" s="686"/>
      <c r="R664" s="687"/>
      <c r="S664" s="686"/>
      <c r="T664" s="686"/>
      <c r="U664" s="686"/>
      <c r="V664" s="686"/>
      <c r="W664" s="686"/>
    </row>
    <row r="665" ht="13.8" customHeight="1">
      <c r="A665" s="686"/>
      <c r="B665" s="686"/>
      <c r="C665" s="823"/>
      <c r="D665" s="686"/>
      <c r="E665" s="686"/>
      <c r="F665" s="686"/>
      <c r="G665" s="687"/>
      <c r="H665" s="686"/>
      <c r="I665" s="687"/>
      <c r="J665" s="686"/>
      <c r="K665" s="686"/>
      <c r="L665" s="686"/>
      <c r="M665" s="686"/>
      <c r="N665" s="686"/>
      <c r="O665" s="687"/>
      <c r="P665" s="686"/>
      <c r="Q665" s="686"/>
      <c r="R665" s="687"/>
      <c r="S665" s="686"/>
      <c r="T665" s="686"/>
      <c r="U665" s="686"/>
      <c r="V665" s="686"/>
      <c r="W665" s="686"/>
    </row>
    <row r="666" ht="13.8" customHeight="1">
      <c r="A666" s="686"/>
      <c r="B666" s="686"/>
      <c r="C666" s="823"/>
      <c r="D666" s="686"/>
      <c r="E666" s="686"/>
      <c r="F666" s="686"/>
      <c r="G666" s="687"/>
      <c r="H666" s="686"/>
      <c r="I666" s="687"/>
      <c r="J666" s="686"/>
      <c r="K666" s="686"/>
      <c r="L666" s="686"/>
      <c r="M666" s="686"/>
      <c r="N666" s="686"/>
      <c r="O666" s="687"/>
      <c r="P666" s="686"/>
      <c r="Q666" s="686"/>
      <c r="R666" s="687"/>
      <c r="S666" s="686"/>
      <c r="T666" s="686"/>
      <c r="U666" s="686"/>
      <c r="V666" s="686"/>
      <c r="W666" s="686"/>
    </row>
    <row r="667" ht="13.8" customHeight="1">
      <c r="A667" s="686"/>
      <c r="B667" s="686"/>
      <c r="C667" s="823"/>
      <c r="D667" s="686"/>
      <c r="E667" s="686"/>
      <c r="F667" s="686"/>
      <c r="G667" s="687"/>
      <c r="H667" s="686"/>
      <c r="I667" s="687"/>
      <c r="J667" s="686"/>
      <c r="K667" s="686"/>
      <c r="L667" s="686"/>
      <c r="M667" s="686"/>
      <c r="N667" s="686"/>
      <c r="O667" s="687"/>
      <c r="P667" s="686"/>
      <c r="Q667" s="686"/>
      <c r="R667" s="687"/>
      <c r="S667" s="686"/>
      <c r="T667" s="686"/>
      <c r="U667" s="686"/>
      <c r="V667" s="686"/>
      <c r="W667" s="686"/>
    </row>
    <row r="668" ht="13.8" customHeight="1">
      <c r="A668" s="686"/>
      <c r="B668" s="686"/>
      <c r="C668" s="823"/>
      <c r="D668" s="686"/>
      <c r="E668" s="686"/>
      <c r="F668" s="686"/>
      <c r="G668" s="687"/>
      <c r="H668" s="686"/>
      <c r="I668" s="687"/>
      <c r="J668" s="686"/>
      <c r="K668" s="686"/>
      <c r="L668" s="686"/>
      <c r="M668" s="686"/>
      <c r="N668" s="686"/>
      <c r="O668" s="687"/>
      <c r="P668" s="686"/>
      <c r="Q668" s="686"/>
      <c r="R668" s="687"/>
      <c r="S668" s="686"/>
      <c r="T668" s="686"/>
      <c r="U668" s="686"/>
      <c r="V668" s="686"/>
      <c r="W668" s="686"/>
    </row>
    <row r="669" ht="13.8" customHeight="1">
      <c r="A669" s="686"/>
      <c r="B669" s="686"/>
      <c r="C669" s="823"/>
      <c r="D669" s="686"/>
      <c r="E669" s="686"/>
      <c r="F669" s="686"/>
      <c r="G669" s="687"/>
      <c r="H669" s="686"/>
      <c r="I669" s="687"/>
      <c r="J669" s="686"/>
      <c r="K669" s="686"/>
      <c r="L669" s="686"/>
      <c r="M669" s="686"/>
      <c r="N669" s="686"/>
      <c r="O669" s="687"/>
      <c r="P669" s="686"/>
      <c r="Q669" s="686"/>
      <c r="R669" s="687"/>
      <c r="S669" s="686"/>
      <c r="T669" s="686"/>
      <c r="U669" s="686"/>
      <c r="V669" s="686"/>
      <c r="W669" s="686"/>
    </row>
    <row r="670" ht="13.8" customHeight="1">
      <c r="A670" s="686"/>
      <c r="B670" s="686"/>
      <c r="C670" s="823"/>
      <c r="D670" s="686"/>
      <c r="E670" s="686"/>
      <c r="F670" s="686"/>
      <c r="G670" s="687"/>
      <c r="H670" s="686"/>
      <c r="I670" s="687"/>
      <c r="J670" s="686"/>
      <c r="K670" s="686"/>
      <c r="L670" s="686"/>
      <c r="M670" s="686"/>
      <c r="N670" s="686"/>
      <c r="O670" s="687"/>
      <c r="P670" s="686"/>
      <c r="Q670" s="686"/>
      <c r="R670" s="687"/>
      <c r="S670" s="686"/>
      <c r="T670" s="686"/>
      <c r="U670" s="686"/>
      <c r="V670" s="686"/>
      <c r="W670" s="686"/>
    </row>
    <row r="671" ht="13.8" customHeight="1">
      <c r="A671" s="686"/>
      <c r="B671" s="686"/>
      <c r="C671" s="823"/>
      <c r="D671" s="686"/>
      <c r="E671" s="686"/>
      <c r="F671" s="686"/>
      <c r="G671" s="687"/>
      <c r="H671" s="686"/>
      <c r="I671" s="687"/>
      <c r="J671" s="686"/>
      <c r="K671" s="686"/>
      <c r="L671" s="686"/>
      <c r="M671" s="686"/>
      <c r="N671" s="686"/>
      <c r="O671" s="687"/>
      <c r="P671" s="686"/>
      <c r="Q671" s="686"/>
      <c r="R671" s="687"/>
      <c r="S671" s="686"/>
      <c r="T671" s="686"/>
      <c r="U671" s="686"/>
      <c r="V671" s="686"/>
      <c r="W671" s="686"/>
    </row>
    <row r="672" ht="13.8" customHeight="1">
      <c r="A672" s="686"/>
      <c r="B672" s="686"/>
      <c r="C672" s="823"/>
      <c r="D672" s="686"/>
      <c r="E672" s="686"/>
      <c r="F672" s="686"/>
      <c r="G672" s="687"/>
      <c r="H672" s="686"/>
      <c r="I672" s="687"/>
      <c r="J672" s="686"/>
      <c r="K672" s="686"/>
      <c r="L672" s="686"/>
      <c r="M672" s="686"/>
      <c r="N672" s="686"/>
      <c r="O672" s="687"/>
      <c r="P672" s="686"/>
      <c r="Q672" s="686"/>
      <c r="R672" s="687"/>
      <c r="S672" s="686"/>
      <c r="T672" s="686"/>
      <c r="U672" s="686"/>
      <c r="V672" s="686"/>
      <c r="W672" s="686"/>
    </row>
    <row r="673" ht="13.8" customHeight="1">
      <c r="A673" s="686"/>
      <c r="B673" s="686"/>
      <c r="C673" s="823"/>
      <c r="D673" s="686"/>
      <c r="E673" s="686"/>
      <c r="F673" s="686"/>
      <c r="G673" s="687"/>
      <c r="H673" s="686"/>
      <c r="I673" s="687"/>
      <c r="J673" s="686"/>
      <c r="K673" s="686"/>
      <c r="L673" s="686"/>
      <c r="M673" s="686"/>
      <c r="N673" s="686"/>
      <c r="O673" s="687"/>
      <c r="P673" s="686"/>
      <c r="Q673" s="686"/>
      <c r="R673" s="687"/>
      <c r="S673" s="686"/>
      <c r="T673" s="686"/>
      <c r="U673" s="686"/>
      <c r="V673" s="686"/>
      <c r="W673" s="686"/>
    </row>
    <row r="674" ht="13.8" customHeight="1">
      <c r="A674" s="686"/>
      <c r="B674" s="686"/>
      <c r="C674" s="823"/>
      <c r="D674" s="686"/>
      <c r="E674" s="686"/>
      <c r="F674" s="686"/>
      <c r="G674" s="687"/>
      <c r="H674" s="686"/>
      <c r="I674" s="687"/>
      <c r="J674" s="686"/>
      <c r="K674" s="686"/>
      <c r="L674" s="686"/>
      <c r="M674" s="686"/>
      <c r="N674" s="686"/>
      <c r="O674" s="687"/>
      <c r="P674" s="686"/>
      <c r="Q674" s="686"/>
      <c r="R674" s="687"/>
      <c r="S674" s="686"/>
      <c r="T674" s="686"/>
      <c r="U674" s="686"/>
      <c r="V674" s="686"/>
      <c r="W674" s="686"/>
    </row>
    <row r="675" ht="13.8" customHeight="1">
      <c r="A675" s="686"/>
      <c r="B675" s="686"/>
      <c r="C675" s="823"/>
      <c r="D675" s="686"/>
      <c r="E675" s="686"/>
      <c r="F675" s="686"/>
      <c r="G675" s="687"/>
      <c r="H675" s="686"/>
      <c r="I675" s="687"/>
      <c r="J675" s="686"/>
      <c r="K675" s="686"/>
      <c r="L675" s="686"/>
      <c r="M675" s="686"/>
      <c r="N675" s="686"/>
      <c r="O675" s="687"/>
      <c r="P675" s="686"/>
      <c r="Q675" s="686"/>
      <c r="R675" s="687"/>
      <c r="S675" s="686"/>
      <c r="T675" s="686"/>
      <c r="U675" s="686"/>
      <c r="V675" s="686"/>
      <c r="W675" s="686"/>
    </row>
    <row r="676" ht="13.8" customHeight="1">
      <c r="A676" s="686"/>
      <c r="B676" s="686"/>
      <c r="C676" s="823"/>
      <c r="D676" s="686"/>
      <c r="E676" s="686"/>
      <c r="F676" s="686"/>
      <c r="G676" s="687"/>
      <c r="H676" s="686"/>
      <c r="I676" s="687"/>
      <c r="J676" s="686"/>
      <c r="K676" s="686"/>
      <c r="L676" s="686"/>
      <c r="M676" s="686"/>
      <c r="N676" s="686"/>
      <c r="O676" s="687"/>
      <c r="P676" s="686"/>
      <c r="Q676" s="686"/>
      <c r="R676" s="687"/>
      <c r="S676" s="686"/>
      <c r="T676" s="686"/>
      <c r="U676" s="686"/>
      <c r="V676" s="686"/>
      <c r="W676" s="686"/>
    </row>
    <row r="677" ht="13.8" customHeight="1">
      <c r="A677" s="686"/>
      <c r="B677" s="686"/>
      <c r="C677" s="823"/>
      <c r="D677" s="686"/>
      <c r="E677" s="686"/>
      <c r="F677" s="686"/>
      <c r="G677" s="687"/>
      <c r="H677" s="686"/>
      <c r="I677" s="687"/>
      <c r="J677" s="686"/>
      <c r="K677" s="686"/>
      <c r="L677" s="686"/>
      <c r="M677" s="686"/>
      <c r="N677" s="686"/>
      <c r="O677" s="687"/>
      <c r="P677" s="686"/>
      <c r="Q677" s="686"/>
      <c r="R677" s="687"/>
      <c r="S677" s="686"/>
      <c r="T677" s="686"/>
      <c r="U677" s="686"/>
      <c r="V677" s="686"/>
      <c r="W677" s="686"/>
    </row>
    <row r="678" ht="13.8" customHeight="1">
      <c r="A678" s="686"/>
      <c r="B678" s="686"/>
      <c r="C678" s="823"/>
      <c r="D678" s="686"/>
      <c r="E678" s="686"/>
      <c r="F678" s="686"/>
      <c r="G678" s="687"/>
      <c r="H678" s="686"/>
      <c r="I678" s="687"/>
      <c r="J678" s="686"/>
      <c r="K678" s="686"/>
      <c r="L678" s="686"/>
      <c r="M678" s="686"/>
      <c r="N678" s="686"/>
      <c r="O678" s="687"/>
      <c r="P678" s="686"/>
      <c r="Q678" s="686"/>
      <c r="R678" s="687"/>
      <c r="S678" s="686"/>
      <c r="T678" s="686"/>
      <c r="U678" s="686"/>
      <c r="V678" s="686"/>
      <c r="W678" s="686"/>
    </row>
    <row r="679" ht="13.8" customHeight="1">
      <c r="A679" s="686"/>
      <c r="B679" s="686"/>
      <c r="C679" s="823"/>
      <c r="D679" s="686"/>
      <c r="E679" s="686"/>
      <c r="F679" s="686"/>
      <c r="G679" s="687"/>
      <c r="H679" s="686"/>
      <c r="I679" s="687"/>
      <c r="J679" s="686"/>
      <c r="K679" s="686"/>
      <c r="L679" s="686"/>
      <c r="M679" s="686"/>
      <c r="N679" s="686"/>
      <c r="O679" s="687"/>
      <c r="P679" s="686"/>
      <c r="Q679" s="686"/>
      <c r="R679" s="687"/>
      <c r="S679" s="686"/>
      <c r="T679" s="686"/>
      <c r="U679" s="686"/>
      <c r="V679" s="686"/>
      <c r="W679" s="686"/>
    </row>
    <row r="680" ht="13.8" customHeight="1">
      <c r="A680" s="686"/>
      <c r="B680" s="686"/>
      <c r="C680" s="823"/>
      <c r="D680" s="686"/>
      <c r="E680" s="686"/>
      <c r="F680" s="686"/>
      <c r="G680" s="687"/>
      <c r="H680" s="686"/>
      <c r="I680" s="687"/>
      <c r="J680" s="686"/>
      <c r="K680" s="686"/>
      <c r="L680" s="686"/>
      <c r="M680" s="686"/>
      <c r="N680" s="686"/>
      <c r="O680" s="687"/>
      <c r="P680" s="686"/>
      <c r="Q680" s="686"/>
      <c r="R680" s="687"/>
      <c r="S680" s="686"/>
      <c r="T680" s="686"/>
      <c r="U680" s="686"/>
      <c r="V680" s="686"/>
      <c r="W680" s="686"/>
    </row>
    <row r="681" ht="13.8" customHeight="1">
      <c r="A681" s="686"/>
      <c r="B681" s="686"/>
      <c r="C681" s="823"/>
      <c r="D681" s="686"/>
      <c r="E681" s="686"/>
      <c r="F681" s="686"/>
      <c r="G681" s="687"/>
      <c r="H681" s="686"/>
      <c r="I681" s="687"/>
      <c r="J681" s="686"/>
      <c r="K681" s="686"/>
      <c r="L681" s="686"/>
      <c r="M681" s="686"/>
      <c r="N681" s="686"/>
      <c r="O681" s="687"/>
      <c r="P681" s="686"/>
      <c r="Q681" s="686"/>
      <c r="R681" s="687"/>
      <c r="S681" s="686"/>
      <c r="T681" s="686"/>
      <c r="U681" s="686"/>
      <c r="V681" s="686"/>
      <c r="W681" s="686"/>
    </row>
    <row r="682" ht="13.8" customHeight="1">
      <c r="A682" s="686"/>
      <c r="B682" s="686"/>
      <c r="C682" s="823"/>
      <c r="D682" s="686"/>
      <c r="E682" s="686"/>
      <c r="F682" s="686"/>
      <c r="G682" s="687"/>
      <c r="H682" s="686"/>
      <c r="I682" s="687"/>
      <c r="J682" s="686"/>
      <c r="K682" s="686"/>
      <c r="L682" s="686"/>
      <c r="M682" s="686"/>
      <c r="N682" s="686"/>
      <c r="O682" s="687"/>
      <c r="P682" s="686"/>
      <c r="Q682" s="686"/>
      <c r="R682" s="687"/>
      <c r="S682" s="686"/>
      <c r="T682" s="686"/>
      <c r="U682" s="686"/>
      <c r="V682" s="686"/>
      <c r="W682" s="686"/>
    </row>
    <row r="683" ht="13.8" customHeight="1">
      <c r="A683" s="686"/>
      <c r="B683" s="686"/>
      <c r="C683" s="823"/>
      <c r="D683" s="686"/>
      <c r="E683" s="686"/>
      <c r="F683" s="686"/>
      <c r="G683" s="687"/>
      <c r="H683" s="686"/>
      <c r="I683" s="687"/>
      <c r="J683" s="686"/>
      <c r="K683" s="686"/>
      <c r="L683" s="686"/>
      <c r="M683" s="686"/>
      <c r="N683" s="686"/>
      <c r="O683" s="687"/>
      <c r="P683" s="686"/>
      <c r="Q683" s="686"/>
      <c r="R683" s="687"/>
      <c r="S683" s="686"/>
      <c r="T683" s="686"/>
      <c r="U683" s="686"/>
      <c r="V683" s="686"/>
      <c r="W683" s="686"/>
    </row>
    <row r="684" ht="13.8" customHeight="1">
      <c r="A684" s="686"/>
      <c r="B684" s="686"/>
      <c r="C684" s="823"/>
      <c r="D684" s="686"/>
      <c r="E684" s="686"/>
      <c r="F684" s="686"/>
      <c r="G684" s="687"/>
      <c r="H684" s="686"/>
      <c r="I684" s="687"/>
      <c r="J684" s="686"/>
      <c r="K684" s="686"/>
      <c r="L684" s="686"/>
      <c r="M684" s="686"/>
      <c r="N684" s="686"/>
      <c r="O684" s="687"/>
      <c r="P684" s="686"/>
      <c r="Q684" s="686"/>
      <c r="R684" s="687"/>
      <c r="S684" s="686"/>
      <c r="T684" s="686"/>
      <c r="U684" s="686"/>
      <c r="V684" s="686"/>
      <c r="W684" s="686"/>
    </row>
    <row r="685" ht="13.8" customHeight="1">
      <c r="A685" s="686"/>
      <c r="B685" s="686"/>
      <c r="C685" s="823"/>
      <c r="D685" s="686"/>
      <c r="E685" s="686"/>
      <c r="F685" s="686"/>
      <c r="G685" s="687"/>
      <c r="H685" s="686"/>
      <c r="I685" s="687"/>
      <c r="J685" s="686"/>
      <c r="K685" s="686"/>
      <c r="L685" s="686"/>
      <c r="M685" s="686"/>
      <c r="N685" s="686"/>
      <c r="O685" s="687"/>
      <c r="P685" s="686"/>
      <c r="Q685" s="686"/>
      <c r="R685" s="687"/>
      <c r="S685" s="686"/>
      <c r="T685" s="686"/>
      <c r="U685" s="686"/>
      <c r="V685" s="686"/>
      <c r="W685" s="686"/>
    </row>
    <row r="686" ht="13.8" customHeight="1">
      <c r="A686" s="686"/>
      <c r="B686" s="686"/>
      <c r="C686" s="823"/>
      <c r="D686" s="686"/>
      <c r="E686" s="686"/>
      <c r="F686" s="686"/>
      <c r="G686" s="687"/>
      <c r="H686" s="686"/>
      <c r="I686" s="687"/>
      <c r="J686" s="686"/>
      <c r="K686" s="686"/>
      <c r="L686" s="686"/>
      <c r="M686" s="686"/>
      <c r="N686" s="686"/>
      <c r="O686" s="687"/>
      <c r="P686" s="686"/>
      <c r="Q686" s="686"/>
      <c r="R686" s="687"/>
      <c r="S686" s="686"/>
      <c r="T686" s="686"/>
      <c r="U686" s="686"/>
      <c r="V686" s="686"/>
      <c r="W686" s="686"/>
    </row>
    <row r="687" ht="13.8" customHeight="1">
      <c r="A687" s="686"/>
      <c r="B687" s="686"/>
      <c r="C687" s="823"/>
      <c r="D687" s="686"/>
      <c r="E687" s="686"/>
      <c r="F687" s="686"/>
      <c r="G687" s="687"/>
      <c r="H687" s="686"/>
      <c r="I687" s="687"/>
      <c r="J687" s="686"/>
      <c r="K687" s="686"/>
      <c r="L687" s="686"/>
      <c r="M687" s="686"/>
      <c r="N687" s="686"/>
      <c r="O687" s="687"/>
      <c r="P687" s="686"/>
      <c r="Q687" s="686"/>
      <c r="R687" s="687"/>
      <c r="S687" s="686"/>
      <c r="T687" s="686"/>
      <c r="U687" s="686"/>
      <c r="V687" s="686"/>
      <c r="W687" s="686"/>
    </row>
    <row r="688" ht="13.8" customHeight="1">
      <c r="A688" s="686"/>
      <c r="B688" s="686"/>
      <c r="C688" s="823"/>
      <c r="D688" s="686"/>
      <c r="E688" s="686"/>
      <c r="F688" s="686"/>
      <c r="G688" s="687"/>
      <c r="H688" s="686"/>
      <c r="I688" s="687"/>
      <c r="J688" s="686"/>
      <c r="K688" s="686"/>
      <c r="L688" s="686"/>
      <c r="M688" s="686"/>
      <c r="N688" s="686"/>
      <c r="O688" s="687"/>
      <c r="P688" s="686"/>
      <c r="Q688" s="686"/>
      <c r="R688" s="687"/>
      <c r="S688" s="686"/>
      <c r="T688" s="686"/>
      <c r="U688" s="686"/>
      <c r="V688" s="686"/>
      <c r="W688" s="686"/>
    </row>
    <row r="689" ht="13.8" customHeight="1">
      <c r="A689" s="686"/>
      <c r="B689" s="686"/>
      <c r="C689" s="823"/>
      <c r="D689" s="686"/>
      <c r="E689" s="686"/>
      <c r="F689" s="686"/>
      <c r="G689" s="687"/>
      <c r="H689" s="686"/>
      <c r="I689" s="687"/>
      <c r="J689" s="686"/>
      <c r="K689" s="686"/>
      <c r="L689" s="686"/>
      <c r="M689" s="686"/>
      <c r="N689" s="686"/>
      <c r="O689" s="687"/>
      <c r="P689" s="686"/>
      <c r="Q689" s="686"/>
      <c r="R689" s="687"/>
      <c r="S689" s="686"/>
      <c r="T689" s="686"/>
      <c r="U689" s="686"/>
      <c r="V689" s="686"/>
      <c r="W689" s="686"/>
    </row>
    <row r="690" ht="13.8" customHeight="1">
      <c r="A690" s="686"/>
      <c r="B690" s="686"/>
      <c r="C690" s="823"/>
      <c r="D690" s="686"/>
      <c r="E690" s="686"/>
      <c r="F690" s="686"/>
      <c r="G690" s="687"/>
      <c r="H690" s="686"/>
      <c r="I690" s="687"/>
      <c r="J690" s="686"/>
      <c r="K690" s="686"/>
      <c r="L690" s="686"/>
      <c r="M690" s="686"/>
      <c r="N690" s="686"/>
      <c r="O690" s="687"/>
      <c r="P690" s="686"/>
      <c r="Q690" s="686"/>
      <c r="R690" s="687"/>
      <c r="S690" s="686"/>
      <c r="T690" s="686"/>
      <c r="U690" s="686"/>
      <c r="V690" s="686"/>
      <c r="W690" s="686"/>
    </row>
    <row r="691" ht="13.8" customHeight="1">
      <c r="A691" s="686"/>
      <c r="B691" s="686"/>
      <c r="C691" s="823"/>
      <c r="D691" s="686"/>
      <c r="E691" s="686"/>
      <c r="F691" s="686"/>
      <c r="G691" s="687"/>
      <c r="H691" s="686"/>
      <c r="I691" s="687"/>
      <c r="J691" s="686"/>
      <c r="K691" s="686"/>
      <c r="L691" s="686"/>
      <c r="M691" s="686"/>
      <c r="N691" s="686"/>
      <c r="O691" s="687"/>
      <c r="P691" s="686"/>
      <c r="Q691" s="686"/>
      <c r="R691" s="687"/>
      <c r="S691" s="686"/>
      <c r="T691" s="686"/>
      <c r="U691" s="686"/>
      <c r="V691" s="686"/>
      <c r="W691" s="686"/>
    </row>
    <row r="692" ht="13.8" customHeight="1">
      <c r="A692" s="686"/>
      <c r="B692" s="686"/>
      <c r="C692" s="823"/>
      <c r="D692" s="686"/>
      <c r="E692" s="686"/>
      <c r="F692" s="686"/>
      <c r="G692" s="687"/>
      <c r="H692" s="686"/>
      <c r="I692" s="687"/>
      <c r="J692" s="686"/>
      <c r="K692" s="686"/>
      <c r="L692" s="686"/>
      <c r="M692" s="686"/>
      <c r="N692" s="686"/>
      <c r="O692" s="687"/>
      <c r="P692" s="686"/>
      <c r="Q692" s="686"/>
      <c r="R692" s="687"/>
      <c r="S692" s="686"/>
      <c r="T692" s="686"/>
      <c r="U692" s="686"/>
      <c r="V692" s="686"/>
      <c r="W692" s="686"/>
    </row>
    <row r="693" ht="13.8" customHeight="1">
      <c r="A693" s="686"/>
      <c r="B693" s="686"/>
      <c r="C693" s="823"/>
      <c r="D693" s="686"/>
      <c r="E693" s="686"/>
      <c r="F693" s="686"/>
      <c r="G693" s="687"/>
      <c r="H693" s="686"/>
      <c r="I693" s="687"/>
      <c r="J693" s="686"/>
      <c r="K693" s="686"/>
      <c r="L693" s="686"/>
      <c r="M693" s="686"/>
      <c r="N693" s="686"/>
      <c r="O693" s="687"/>
      <c r="P693" s="686"/>
      <c r="Q693" s="686"/>
      <c r="R693" s="687"/>
      <c r="S693" s="686"/>
      <c r="T693" s="686"/>
      <c r="U693" s="686"/>
      <c r="V693" s="686"/>
      <c r="W693" s="686"/>
    </row>
    <row r="694" ht="13.8" customHeight="1">
      <c r="A694" s="686"/>
      <c r="B694" s="686"/>
      <c r="C694" s="823"/>
      <c r="D694" s="686"/>
      <c r="E694" s="686"/>
      <c r="F694" s="686"/>
      <c r="G694" s="687"/>
      <c r="H694" s="686"/>
      <c r="I694" s="687"/>
      <c r="J694" s="686"/>
      <c r="K694" s="686"/>
      <c r="L694" s="686"/>
      <c r="M694" s="686"/>
      <c r="N694" s="686"/>
      <c r="O694" s="687"/>
      <c r="P694" s="686"/>
      <c r="Q694" s="686"/>
      <c r="R694" s="687"/>
      <c r="S694" s="686"/>
      <c r="T694" s="686"/>
      <c r="U694" s="686"/>
      <c r="V694" s="686"/>
      <c r="W694" s="686"/>
    </row>
    <row r="695" ht="13.8" customHeight="1">
      <c r="A695" s="686"/>
      <c r="B695" s="686"/>
      <c r="C695" s="823"/>
      <c r="D695" s="686"/>
      <c r="E695" s="686"/>
      <c r="F695" s="686"/>
      <c r="G695" s="687"/>
      <c r="H695" s="686"/>
      <c r="I695" s="687"/>
      <c r="J695" s="686"/>
      <c r="K695" s="686"/>
      <c r="L695" s="686"/>
      <c r="M695" s="686"/>
      <c r="N695" s="686"/>
      <c r="O695" s="687"/>
      <c r="P695" s="686"/>
      <c r="Q695" s="686"/>
      <c r="R695" s="687"/>
      <c r="S695" s="686"/>
      <c r="T695" s="686"/>
      <c r="U695" s="686"/>
      <c r="V695" s="686"/>
      <c r="W695" s="686"/>
    </row>
    <row r="696" ht="13.8" customHeight="1">
      <c r="A696" s="686"/>
      <c r="B696" s="686"/>
      <c r="C696" s="823"/>
      <c r="D696" s="686"/>
      <c r="E696" s="686"/>
      <c r="F696" s="686"/>
      <c r="G696" s="687"/>
      <c r="H696" s="686"/>
      <c r="I696" s="687"/>
      <c r="J696" s="686"/>
      <c r="K696" s="686"/>
      <c r="L696" s="686"/>
      <c r="M696" s="686"/>
      <c r="N696" s="686"/>
      <c r="O696" s="687"/>
      <c r="P696" s="686"/>
      <c r="Q696" s="686"/>
      <c r="R696" s="687"/>
      <c r="S696" s="686"/>
      <c r="T696" s="686"/>
      <c r="U696" s="686"/>
      <c r="V696" s="686"/>
      <c r="W696" s="686"/>
    </row>
    <row r="697" ht="13.8" customHeight="1">
      <c r="A697" s="686"/>
      <c r="B697" s="686"/>
      <c r="C697" s="823"/>
      <c r="D697" s="686"/>
      <c r="E697" s="686"/>
      <c r="F697" s="686"/>
      <c r="G697" s="687"/>
      <c r="H697" s="686"/>
      <c r="I697" s="687"/>
      <c r="J697" s="686"/>
      <c r="K697" s="686"/>
      <c r="L697" s="686"/>
      <c r="M697" s="686"/>
      <c r="N697" s="686"/>
      <c r="O697" s="687"/>
      <c r="P697" s="686"/>
      <c r="Q697" s="686"/>
      <c r="R697" s="687"/>
      <c r="S697" s="686"/>
      <c r="T697" s="686"/>
      <c r="U697" s="686"/>
      <c r="V697" s="686"/>
      <c r="W697" s="686"/>
    </row>
    <row r="698" ht="13.8" customHeight="1">
      <c r="A698" s="686"/>
      <c r="B698" s="686"/>
      <c r="C698" s="823"/>
      <c r="D698" s="686"/>
      <c r="E698" s="686"/>
      <c r="F698" s="686"/>
      <c r="G698" s="687"/>
      <c r="H698" s="686"/>
      <c r="I698" s="687"/>
      <c r="J698" s="686"/>
      <c r="K698" s="686"/>
      <c r="L698" s="686"/>
      <c r="M698" s="686"/>
      <c r="N698" s="686"/>
      <c r="O698" s="687"/>
      <c r="P698" s="686"/>
      <c r="Q698" s="686"/>
      <c r="R698" s="687"/>
      <c r="S698" s="686"/>
      <c r="T698" s="686"/>
      <c r="U698" s="686"/>
      <c r="V698" s="686"/>
      <c r="W698" s="686"/>
    </row>
    <row r="699" ht="13.8" customHeight="1">
      <c r="A699" s="686"/>
      <c r="B699" s="686"/>
      <c r="C699" s="823"/>
      <c r="D699" s="686"/>
      <c r="E699" s="686"/>
      <c r="F699" s="686"/>
      <c r="G699" s="687"/>
      <c r="H699" s="686"/>
      <c r="I699" s="687"/>
      <c r="J699" s="686"/>
      <c r="K699" s="686"/>
      <c r="L699" s="686"/>
      <c r="M699" s="686"/>
      <c r="N699" s="686"/>
      <c r="O699" s="687"/>
      <c r="P699" s="686"/>
      <c r="Q699" s="686"/>
      <c r="R699" s="687"/>
      <c r="S699" s="686"/>
      <c r="T699" s="686"/>
      <c r="U699" s="686"/>
      <c r="V699" s="686"/>
      <c r="W699" s="686"/>
    </row>
    <row r="700" ht="13.8" customHeight="1">
      <c r="A700" s="686"/>
      <c r="B700" s="686"/>
      <c r="C700" s="823"/>
      <c r="D700" s="686"/>
      <c r="E700" s="686"/>
      <c r="F700" s="686"/>
      <c r="G700" s="687"/>
      <c r="H700" s="686"/>
      <c r="I700" s="687"/>
      <c r="J700" s="686"/>
      <c r="K700" s="686"/>
      <c r="L700" s="686"/>
      <c r="M700" s="686"/>
      <c r="N700" s="686"/>
      <c r="O700" s="687"/>
      <c r="P700" s="686"/>
      <c r="Q700" s="686"/>
      <c r="R700" s="687"/>
      <c r="S700" s="686"/>
      <c r="T700" s="686"/>
      <c r="U700" s="686"/>
      <c r="V700" s="686"/>
      <c r="W700" s="686"/>
    </row>
    <row r="701" ht="13.8" customHeight="1">
      <c r="A701" s="686"/>
      <c r="B701" s="686"/>
      <c r="C701" s="823"/>
      <c r="D701" s="686"/>
      <c r="E701" s="686"/>
      <c r="F701" s="686"/>
      <c r="G701" s="687"/>
      <c r="H701" s="686"/>
      <c r="I701" s="687"/>
      <c r="J701" s="686"/>
      <c r="K701" s="686"/>
      <c r="L701" s="686"/>
      <c r="M701" s="686"/>
      <c r="N701" s="686"/>
      <c r="O701" s="687"/>
      <c r="P701" s="686"/>
      <c r="Q701" s="686"/>
      <c r="R701" s="687"/>
      <c r="S701" s="686"/>
      <c r="T701" s="686"/>
      <c r="U701" s="686"/>
      <c r="V701" s="686"/>
      <c r="W701" s="686"/>
    </row>
    <row r="702" ht="13.8" customHeight="1">
      <c r="A702" s="686"/>
      <c r="B702" s="686"/>
      <c r="C702" s="823"/>
      <c r="D702" s="686"/>
      <c r="E702" s="686"/>
      <c r="F702" s="686"/>
      <c r="G702" s="687"/>
      <c r="H702" s="686"/>
      <c r="I702" s="687"/>
      <c r="J702" s="686"/>
      <c r="K702" s="686"/>
      <c r="L702" s="686"/>
      <c r="M702" s="686"/>
      <c r="N702" s="686"/>
      <c r="O702" s="687"/>
      <c r="P702" s="686"/>
      <c r="Q702" s="686"/>
      <c r="R702" s="687"/>
      <c r="S702" s="686"/>
      <c r="T702" s="686"/>
      <c r="U702" s="686"/>
      <c r="V702" s="686"/>
      <c r="W702" s="686"/>
    </row>
    <row r="703" ht="13.8" customHeight="1">
      <c r="A703" s="686"/>
      <c r="B703" s="686"/>
      <c r="C703" s="823"/>
      <c r="D703" s="686"/>
      <c r="E703" s="686"/>
      <c r="F703" s="686"/>
      <c r="G703" s="687"/>
      <c r="H703" s="686"/>
      <c r="I703" s="687"/>
      <c r="J703" s="686"/>
      <c r="K703" s="686"/>
      <c r="L703" s="686"/>
      <c r="M703" s="686"/>
      <c r="N703" s="686"/>
      <c r="O703" s="687"/>
      <c r="P703" s="686"/>
      <c r="Q703" s="686"/>
      <c r="R703" s="687"/>
      <c r="S703" s="686"/>
      <c r="T703" s="686"/>
      <c r="U703" s="686"/>
      <c r="V703" s="686"/>
      <c r="W703" s="686"/>
    </row>
    <row r="704" ht="13.8" customHeight="1">
      <c r="A704" s="686"/>
      <c r="B704" s="686"/>
      <c r="C704" s="823"/>
      <c r="D704" s="686"/>
      <c r="E704" s="686"/>
      <c r="F704" s="686"/>
      <c r="G704" s="687"/>
      <c r="H704" s="686"/>
      <c r="I704" s="687"/>
      <c r="J704" s="686"/>
      <c r="K704" s="686"/>
      <c r="L704" s="686"/>
      <c r="M704" s="686"/>
      <c r="N704" s="686"/>
      <c r="O704" s="687"/>
      <c r="P704" s="686"/>
      <c r="Q704" s="686"/>
      <c r="R704" s="687"/>
      <c r="S704" s="686"/>
      <c r="T704" s="686"/>
      <c r="U704" s="686"/>
      <c r="V704" s="686"/>
      <c r="W704" s="686"/>
    </row>
    <row r="705" ht="13.8" customHeight="1">
      <c r="A705" s="686"/>
      <c r="B705" s="686"/>
      <c r="C705" s="823"/>
      <c r="D705" s="686"/>
      <c r="E705" s="686"/>
      <c r="F705" s="686"/>
      <c r="G705" s="687"/>
      <c r="H705" s="686"/>
      <c r="I705" s="687"/>
      <c r="J705" s="686"/>
      <c r="K705" s="686"/>
      <c r="L705" s="686"/>
      <c r="M705" s="686"/>
      <c r="N705" s="686"/>
      <c r="O705" s="687"/>
      <c r="P705" s="686"/>
      <c r="Q705" s="686"/>
      <c r="R705" s="687"/>
      <c r="S705" s="686"/>
      <c r="T705" s="686"/>
      <c r="U705" s="686"/>
      <c r="V705" s="686"/>
      <c r="W705" s="686"/>
    </row>
    <row r="706" ht="13.8" customHeight="1">
      <c r="A706" s="686"/>
      <c r="B706" s="686"/>
      <c r="C706" s="823"/>
      <c r="D706" s="686"/>
      <c r="E706" s="686"/>
      <c r="F706" s="686"/>
      <c r="G706" s="687"/>
      <c r="H706" s="686"/>
      <c r="I706" s="687"/>
      <c r="J706" s="686"/>
      <c r="K706" s="686"/>
      <c r="L706" s="686"/>
      <c r="M706" s="686"/>
      <c r="N706" s="686"/>
      <c r="O706" s="687"/>
      <c r="P706" s="686"/>
      <c r="Q706" s="686"/>
      <c r="R706" s="687"/>
      <c r="S706" s="686"/>
      <c r="T706" s="686"/>
      <c r="U706" s="686"/>
      <c r="V706" s="686"/>
      <c r="W706" s="686"/>
    </row>
    <row r="707" ht="13.8" customHeight="1">
      <c r="A707" s="686"/>
      <c r="B707" s="686"/>
      <c r="C707" s="823"/>
      <c r="D707" s="686"/>
      <c r="E707" s="686"/>
      <c r="F707" s="686"/>
      <c r="G707" s="687"/>
      <c r="H707" s="686"/>
      <c r="I707" s="687"/>
      <c r="J707" s="686"/>
      <c r="K707" s="686"/>
      <c r="L707" s="686"/>
      <c r="M707" s="686"/>
      <c r="N707" s="686"/>
      <c r="O707" s="687"/>
      <c r="P707" s="686"/>
      <c r="Q707" s="686"/>
      <c r="R707" s="687"/>
      <c r="S707" s="686"/>
      <c r="T707" s="686"/>
      <c r="U707" s="686"/>
      <c r="V707" s="686"/>
      <c r="W707" s="686"/>
    </row>
    <row r="708" ht="13.8" customHeight="1">
      <c r="A708" s="686"/>
      <c r="B708" s="686"/>
      <c r="C708" s="823"/>
      <c r="D708" s="686"/>
      <c r="E708" s="686"/>
      <c r="F708" s="686"/>
      <c r="G708" s="687"/>
      <c r="H708" s="686"/>
      <c r="I708" s="687"/>
      <c r="J708" s="686"/>
      <c r="K708" s="686"/>
      <c r="L708" s="686"/>
      <c r="M708" s="686"/>
      <c r="N708" s="686"/>
      <c r="O708" s="687"/>
      <c r="P708" s="686"/>
      <c r="Q708" s="686"/>
      <c r="R708" s="687"/>
      <c r="S708" s="686"/>
      <c r="T708" s="686"/>
      <c r="U708" s="686"/>
      <c r="V708" s="686"/>
      <c r="W708" s="686"/>
    </row>
    <row r="709" ht="13.8" customHeight="1">
      <c r="A709" s="686"/>
      <c r="B709" s="686"/>
      <c r="C709" s="823"/>
      <c r="D709" s="686"/>
      <c r="E709" s="686"/>
      <c r="F709" s="686"/>
      <c r="G709" s="687"/>
      <c r="H709" s="686"/>
      <c r="I709" s="687"/>
      <c r="J709" s="686"/>
      <c r="K709" s="686"/>
      <c r="L709" s="686"/>
      <c r="M709" s="686"/>
      <c r="N709" s="686"/>
      <c r="O709" s="687"/>
      <c r="P709" s="686"/>
      <c r="Q709" s="686"/>
      <c r="R709" s="687"/>
      <c r="S709" s="686"/>
      <c r="T709" s="686"/>
      <c r="U709" s="686"/>
      <c r="V709" s="686"/>
      <c r="W709" s="686"/>
    </row>
    <row r="710" ht="13.8" customHeight="1">
      <c r="A710" s="686"/>
      <c r="B710" s="686"/>
      <c r="C710" s="823"/>
      <c r="D710" s="686"/>
      <c r="E710" s="686"/>
      <c r="F710" s="686"/>
      <c r="G710" s="687"/>
      <c r="H710" s="686"/>
      <c r="I710" s="687"/>
      <c r="J710" s="686"/>
      <c r="K710" s="686"/>
      <c r="L710" s="686"/>
      <c r="M710" s="686"/>
      <c r="N710" s="686"/>
      <c r="O710" s="687"/>
      <c r="P710" s="686"/>
      <c r="Q710" s="686"/>
      <c r="R710" s="687"/>
      <c r="S710" s="686"/>
      <c r="T710" s="686"/>
      <c r="U710" s="686"/>
      <c r="V710" s="686"/>
      <c r="W710" s="686"/>
    </row>
    <row r="711" ht="13.8" customHeight="1">
      <c r="A711" s="686"/>
      <c r="B711" s="686"/>
      <c r="C711" s="823"/>
      <c r="D711" s="686"/>
      <c r="E711" s="686"/>
      <c r="F711" s="686"/>
      <c r="G711" s="687"/>
      <c r="H711" s="686"/>
      <c r="I711" s="687"/>
      <c r="J711" s="686"/>
      <c r="K711" s="686"/>
      <c r="L711" s="686"/>
      <c r="M711" s="686"/>
      <c r="N711" s="686"/>
      <c r="O711" s="687"/>
      <c r="P711" s="686"/>
      <c r="Q711" s="686"/>
      <c r="R711" s="687"/>
      <c r="S711" s="686"/>
      <c r="T711" s="686"/>
      <c r="U711" s="686"/>
      <c r="V711" s="686"/>
      <c r="W711" s="686"/>
    </row>
    <row r="712" ht="13.8" customHeight="1">
      <c r="A712" s="686"/>
      <c r="B712" s="686"/>
      <c r="C712" s="823"/>
      <c r="D712" s="686"/>
      <c r="E712" s="686"/>
      <c r="F712" s="686"/>
      <c r="G712" s="687"/>
      <c r="H712" s="686"/>
      <c r="I712" s="687"/>
      <c r="J712" s="686"/>
      <c r="K712" s="686"/>
      <c r="L712" s="686"/>
      <c r="M712" s="686"/>
      <c r="N712" s="686"/>
      <c r="O712" s="687"/>
      <c r="P712" s="686"/>
      <c r="Q712" s="686"/>
      <c r="R712" s="687"/>
      <c r="S712" s="686"/>
      <c r="T712" s="686"/>
      <c r="U712" s="686"/>
      <c r="V712" s="686"/>
      <c r="W712" s="686"/>
    </row>
    <row r="713" ht="13.8" customHeight="1">
      <c r="A713" s="686"/>
      <c r="B713" s="686"/>
      <c r="C713" s="823"/>
      <c r="D713" s="686"/>
      <c r="E713" s="686"/>
      <c r="F713" s="686"/>
      <c r="G713" s="687"/>
      <c r="H713" s="686"/>
      <c r="I713" s="687"/>
      <c r="J713" s="686"/>
      <c r="K713" s="686"/>
      <c r="L713" s="686"/>
      <c r="M713" s="686"/>
      <c r="N713" s="686"/>
      <c r="O713" s="687"/>
      <c r="P713" s="686"/>
      <c r="Q713" s="686"/>
      <c r="R713" s="687"/>
      <c r="S713" s="686"/>
      <c r="T713" s="686"/>
      <c r="U713" s="686"/>
      <c r="V713" s="686"/>
      <c r="W713" s="686"/>
    </row>
    <row r="714" ht="13.8" customHeight="1">
      <c r="A714" s="686"/>
      <c r="B714" s="686"/>
      <c r="C714" s="823"/>
      <c r="D714" s="686"/>
      <c r="E714" s="686"/>
      <c r="F714" s="686"/>
      <c r="G714" s="687"/>
      <c r="H714" s="686"/>
      <c r="I714" s="687"/>
      <c r="J714" s="686"/>
      <c r="K714" s="686"/>
      <c r="L714" s="686"/>
      <c r="M714" s="686"/>
      <c r="N714" s="686"/>
      <c r="O714" s="687"/>
      <c r="P714" s="686"/>
      <c r="Q714" s="686"/>
      <c r="R714" s="687"/>
      <c r="S714" s="686"/>
      <c r="T714" s="686"/>
      <c r="U714" s="686"/>
      <c r="V714" s="686"/>
      <c r="W714" s="686"/>
    </row>
    <row r="715" ht="13.8" customHeight="1">
      <c r="A715" s="686"/>
      <c r="B715" s="686"/>
      <c r="C715" s="823"/>
      <c r="D715" s="686"/>
      <c r="E715" s="686"/>
      <c r="F715" s="686"/>
      <c r="G715" s="687"/>
      <c r="H715" s="686"/>
      <c r="I715" s="687"/>
      <c r="J715" s="686"/>
      <c r="K715" s="686"/>
      <c r="L715" s="686"/>
      <c r="M715" s="686"/>
      <c r="N715" s="686"/>
      <c r="O715" s="687"/>
      <c r="P715" s="686"/>
      <c r="Q715" s="686"/>
      <c r="R715" s="687"/>
      <c r="S715" s="686"/>
      <c r="T715" s="686"/>
      <c r="U715" s="686"/>
      <c r="V715" s="686"/>
      <c r="W715" s="686"/>
    </row>
    <row r="716" ht="13.8" customHeight="1">
      <c r="A716" s="686"/>
      <c r="B716" s="686"/>
      <c r="C716" s="823"/>
      <c r="D716" s="686"/>
      <c r="E716" s="686"/>
      <c r="F716" s="686"/>
      <c r="G716" s="687"/>
      <c r="H716" s="686"/>
      <c r="I716" s="687"/>
      <c r="J716" s="686"/>
      <c r="K716" s="686"/>
      <c r="L716" s="686"/>
      <c r="M716" s="686"/>
      <c r="N716" s="686"/>
      <c r="O716" s="687"/>
      <c r="P716" s="686"/>
      <c r="Q716" s="686"/>
      <c r="R716" s="687"/>
      <c r="S716" s="686"/>
      <c r="T716" s="686"/>
      <c r="U716" s="686"/>
      <c r="V716" s="686"/>
      <c r="W716" s="686"/>
    </row>
    <row r="717" ht="13.8" customHeight="1">
      <c r="A717" s="686"/>
      <c r="B717" s="686"/>
      <c r="C717" s="823"/>
      <c r="D717" s="686"/>
      <c r="E717" s="686"/>
      <c r="F717" s="686"/>
      <c r="G717" s="687"/>
      <c r="H717" s="686"/>
      <c r="I717" s="687"/>
      <c r="J717" s="686"/>
      <c r="K717" s="686"/>
      <c r="L717" s="686"/>
      <c r="M717" s="686"/>
      <c r="N717" s="686"/>
      <c r="O717" s="687"/>
      <c r="P717" s="686"/>
      <c r="Q717" s="686"/>
      <c r="R717" s="687"/>
      <c r="S717" s="686"/>
      <c r="T717" s="686"/>
      <c r="U717" s="686"/>
      <c r="V717" s="686"/>
      <c r="W717" s="686"/>
    </row>
    <row r="718" ht="13.8" customHeight="1">
      <c r="A718" s="686"/>
      <c r="B718" s="686"/>
      <c r="C718" s="823"/>
      <c r="D718" s="686"/>
      <c r="E718" s="686"/>
      <c r="F718" s="686"/>
      <c r="G718" s="687"/>
      <c r="H718" s="686"/>
      <c r="I718" s="687"/>
      <c r="J718" s="686"/>
      <c r="K718" s="686"/>
      <c r="L718" s="686"/>
      <c r="M718" s="686"/>
      <c r="N718" s="686"/>
      <c r="O718" s="687"/>
      <c r="P718" s="686"/>
      <c r="Q718" s="686"/>
      <c r="R718" s="687"/>
      <c r="S718" s="686"/>
      <c r="T718" s="686"/>
      <c r="U718" s="686"/>
      <c r="V718" s="686"/>
      <c r="W718" s="686"/>
    </row>
    <row r="719" ht="13.8" customHeight="1">
      <c r="A719" s="686"/>
      <c r="B719" s="686"/>
      <c r="C719" s="823"/>
      <c r="D719" s="686"/>
      <c r="E719" s="686"/>
      <c r="F719" s="686"/>
      <c r="G719" s="687"/>
      <c r="H719" s="686"/>
      <c r="I719" s="687"/>
      <c r="J719" s="686"/>
      <c r="K719" s="686"/>
      <c r="L719" s="686"/>
      <c r="M719" s="686"/>
      <c r="N719" s="686"/>
      <c r="O719" s="687"/>
      <c r="P719" s="686"/>
      <c r="Q719" s="686"/>
      <c r="R719" s="687"/>
      <c r="S719" s="686"/>
      <c r="T719" s="686"/>
      <c r="U719" s="686"/>
      <c r="V719" s="686"/>
      <c r="W719" s="686"/>
    </row>
    <row r="720" ht="13.8" customHeight="1">
      <c r="A720" s="686"/>
      <c r="B720" s="686"/>
      <c r="C720" s="823"/>
      <c r="D720" s="686"/>
      <c r="E720" s="686"/>
      <c r="F720" s="686"/>
      <c r="G720" s="687"/>
      <c r="H720" s="686"/>
      <c r="I720" s="687"/>
      <c r="J720" s="686"/>
      <c r="K720" s="686"/>
      <c r="L720" s="686"/>
      <c r="M720" s="686"/>
      <c r="N720" s="686"/>
      <c r="O720" s="687"/>
      <c r="P720" s="686"/>
      <c r="Q720" s="686"/>
      <c r="R720" s="687"/>
      <c r="S720" s="686"/>
      <c r="T720" s="686"/>
      <c r="U720" s="686"/>
      <c r="V720" s="686"/>
      <c r="W720" s="686"/>
    </row>
    <row r="721" ht="13.8" customHeight="1">
      <c r="A721" s="686"/>
      <c r="B721" s="686"/>
      <c r="C721" s="823"/>
      <c r="D721" s="686"/>
      <c r="E721" s="686"/>
      <c r="F721" s="686"/>
      <c r="G721" s="687"/>
      <c r="H721" s="686"/>
      <c r="I721" s="687"/>
      <c r="J721" s="686"/>
      <c r="K721" s="686"/>
      <c r="L721" s="686"/>
      <c r="M721" s="686"/>
      <c r="N721" s="686"/>
      <c r="O721" s="687"/>
      <c r="P721" s="686"/>
      <c r="Q721" s="686"/>
      <c r="R721" s="687"/>
      <c r="S721" s="686"/>
      <c r="T721" s="686"/>
      <c r="U721" s="686"/>
      <c r="V721" s="686"/>
      <c r="W721" s="686"/>
    </row>
    <row r="722" ht="13.8" customHeight="1">
      <c r="A722" s="686"/>
      <c r="B722" s="686"/>
      <c r="C722" s="823"/>
      <c r="D722" s="686"/>
      <c r="E722" s="686"/>
      <c r="F722" s="686"/>
      <c r="G722" s="687"/>
      <c r="H722" s="686"/>
      <c r="I722" s="687"/>
      <c r="J722" s="686"/>
      <c r="K722" s="686"/>
      <c r="L722" s="686"/>
      <c r="M722" s="686"/>
      <c r="N722" s="686"/>
      <c r="O722" s="687"/>
      <c r="P722" s="686"/>
      <c r="Q722" s="686"/>
      <c r="R722" s="687"/>
      <c r="S722" s="686"/>
      <c r="T722" s="686"/>
      <c r="U722" s="686"/>
      <c r="V722" s="686"/>
      <c r="W722" s="686"/>
    </row>
    <row r="723" ht="13.8" customHeight="1">
      <c r="A723" s="686"/>
      <c r="B723" s="686"/>
      <c r="C723" s="823"/>
      <c r="D723" s="686"/>
      <c r="E723" s="686"/>
      <c r="F723" s="686"/>
      <c r="G723" s="687"/>
      <c r="H723" s="686"/>
      <c r="I723" s="687"/>
      <c r="J723" s="686"/>
      <c r="K723" s="686"/>
      <c r="L723" s="686"/>
      <c r="M723" s="686"/>
      <c r="N723" s="686"/>
      <c r="O723" s="687"/>
      <c r="P723" s="686"/>
      <c r="Q723" s="686"/>
      <c r="R723" s="687"/>
      <c r="S723" s="686"/>
      <c r="T723" s="686"/>
      <c r="U723" s="686"/>
      <c r="V723" s="686"/>
      <c r="W723" s="686"/>
    </row>
    <row r="724" ht="13.8" customHeight="1">
      <c r="A724" s="686"/>
      <c r="B724" s="686"/>
      <c r="C724" s="823"/>
      <c r="D724" s="686"/>
      <c r="E724" s="686"/>
      <c r="F724" s="686"/>
      <c r="G724" s="687"/>
      <c r="H724" s="686"/>
      <c r="I724" s="687"/>
      <c r="J724" s="686"/>
      <c r="K724" s="686"/>
      <c r="L724" s="686"/>
      <c r="M724" s="686"/>
      <c r="N724" s="686"/>
      <c r="O724" s="687"/>
      <c r="P724" s="686"/>
      <c r="Q724" s="686"/>
      <c r="R724" s="687"/>
      <c r="S724" s="686"/>
      <c r="T724" s="686"/>
      <c r="U724" s="686"/>
      <c r="V724" s="686"/>
      <c r="W724" s="686"/>
    </row>
    <row r="725" ht="13.8" customHeight="1">
      <c r="A725" s="686"/>
      <c r="B725" s="686"/>
      <c r="C725" s="823"/>
      <c r="D725" s="686"/>
      <c r="E725" s="686"/>
      <c r="F725" s="686"/>
      <c r="G725" s="687"/>
      <c r="H725" s="686"/>
      <c r="I725" s="687"/>
      <c r="J725" s="686"/>
      <c r="K725" s="686"/>
      <c r="L725" s="686"/>
      <c r="M725" s="686"/>
      <c r="N725" s="686"/>
      <c r="O725" s="687"/>
      <c r="P725" s="686"/>
      <c r="Q725" s="686"/>
      <c r="R725" s="687"/>
      <c r="S725" s="686"/>
      <c r="T725" s="686"/>
      <c r="U725" s="686"/>
      <c r="V725" s="686"/>
      <c r="W725" s="686"/>
    </row>
    <row r="726" ht="13.8" customHeight="1">
      <c r="A726" s="686"/>
      <c r="B726" s="686"/>
      <c r="C726" s="823"/>
      <c r="D726" s="686"/>
      <c r="E726" s="686"/>
      <c r="F726" s="686"/>
      <c r="G726" s="687"/>
      <c r="H726" s="686"/>
      <c r="I726" s="687"/>
      <c r="J726" s="686"/>
      <c r="K726" s="686"/>
      <c r="L726" s="686"/>
      <c r="M726" s="686"/>
      <c r="N726" s="686"/>
      <c r="O726" s="687"/>
      <c r="P726" s="686"/>
      <c r="Q726" s="686"/>
      <c r="R726" s="687"/>
      <c r="S726" s="686"/>
      <c r="T726" s="686"/>
      <c r="U726" s="686"/>
      <c r="V726" s="686"/>
      <c r="W726" s="686"/>
    </row>
    <row r="727" ht="13.8" customHeight="1">
      <c r="A727" s="686"/>
      <c r="B727" s="686"/>
      <c r="C727" s="823"/>
      <c r="D727" s="686"/>
      <c r="E727" s="686"/>
      <c r="F727" s="686"/>
      <c r="G727" s="687"/>
      <c r="H727" s="686"/>
      <c r="I727" s="687"/>
      <c r="J727" s="686"/>
      <c r="K727" s="686"/>
      <c r="L727" s="686"/>
      <c r="M727" s="686"/>
      <c r="N727" s="686"/>
      <c r="O727" s="687"/>
      <c r="P727" s="686"/>
      <c r="Q727" s="686"/>
      <c r="R727" s="687"/>
      <c r="S727" s="686"/>
      <c r="T727" s="686"/>
      <c r="U727" s="686"/>
      <c r="V727" s="686"/>
      <c r="W727" s="686"/>
    </row>
    <row r="728" ht="13.8" customHeight="1">
      <c r="A728" s="686"/>
      <c r="B728" s="686"/>
      <c r="C728" s="823"/>
      <c r="D728" s="686"/>
      <c r="E728" s="686"/>
      <c r="F728" s="686"/>
      <c r="G728" s="687"/>
      <c r="H728" s="686"/>
      <c r="I728" s="687"/>
      <c r="J728" s="686"/>
      <c r="K728" s="686"/>
      <c r="L728" s="686"/>
      <c r="M728" s="686"/>
      <c r="N728" s="686"/>
      <c r="O728" s="687"/>
      <c r="P728" s="686"/>
      <c r="Q728" s="686"/>
      <c r="R728" s="687"/>
      <c r="S728" s="686"/>
      <c r="T728" s="686"/>
      <c r="U728" s="686"/>
      <c r="V728" s="686"/>
      <c r="W728" s="686"/>
    </row>
    <row r="729" ht="13.8" customHeight="1">
      <c r="A729" s="686"/>
      <c r="B729" s="686"/>
      <c r="C729" s="823"/>
      <c r="D729" s="686"/>
      <c r="E729" s="686"/>
      <c r="F729" s="686"/>
      <c r="G729" s="687"/>
      <c r="H729" s="686"/>
      <c r="I729" s="687"/>
      <c r="J729" s="686"/>
      <c r="K729" s="686"/>
      <c r="L729" s="686"/>
      <c r="M729" s="686"/>
      <c r="N729" s="686"/>
      <c r="O729" s="687"/>
      <c r="P729" s="686"/>
      <c r="Q729" s="686"/>
      <c r="R729" s="687"/>
      <c r="S729" s="686"/>
      <c r="T729" s="686"/>
      <c r="U729" s="686"/>
      <c r="V729" s="686"/>
      <c r="W729" s="686"/>
    </row>
    <row r="730" ht="13.8" customHeight="1">
      <c r="A730" s="686"/>
      <c r="B730" s="686"/>
      <c r="C730" s="823"/>
      <c r="D730" s="686"/>
      <c r="E730" s="686"/>
      <c r="F730" s="686"/>
      <c r="G730" s="687"/>
      <c r="H730" s="686"/>
      <c r="I730" s="687"/>
      <c r="J730" s="686"/>
      <c r="K730" s="686"/>
      <c r="L730" s="686"/>
      <c r="M730" s="686"/>
      <c r="N730" s="686"/>
      <c r="O730" s="687"/>
      <c r="P730" s="686"/>
      <c r="Q730" s="686"/>
      <c r="R730" s="687"/>
      <c r="S730" s="686"/>
      <c r="T730" s="686"/>
      <c r="U730" s="686"/>
      <c r="V730" s="686"/>
      <c r="W730" s="686"/>
    </row>
    <row r="731" ht="13.8" customHeight="1">
      <c r="A731" s="686"/>
      <c r="B731" s="686"/>
      <c r="C731" s="823"/>
      <c r="D731" s="686"/>
      <c r="E731" s="686"/>
      <c r="F731" s="686"/>
      <c r="G731" s="687"/>
      <c r="H731" s="686"/>
      <c r="I731" s="687"/>
      <c r="J731" s="686"/>
      <c r="K731" s="686"/>
      <c r="L731" s="686"/>
      <c r="M731" s="686"/>
      <c r="N731" s="686"/>
      <c r="O731" s="687"/>
      <c r="P731" s="686"/>
      <c r="Q731" s="686"/>
      <c r="R731" s="687"/>
      <c r="S731" s="686"/>
      <c r="T731" s="686"/>
      <c r="U731" s="686"/>
      <c r="V731" s="686"/>
      <c r="W731" s="686"/>
    </row>
    <row r="732" ht="13.8" customHeight="1">
      <c r="A732" s="686"/>
      <c r="B732" s="686"/>
      <c r="C732" s="823"/>
      <c r="D732" s="686"/>
      <c r="E732" s="686"/>
      <c r="F732" s="686"/>
      <c r="G732" s="687"/>
      <c r="H732" s="686"/>
      <c r="I732" s="687"/>
      <c r="J732" s="686"/>
      <c r="K732" s="686"/>
      <c r="L732" s="686"/>
      <c r="M732" s="686"/>
      <c r="N732" s="686"/>
      <c r="O732" s="687"/>
      <c r="P732" s="686"/>
      <c r="Q732" s="686"/>
      <c r="R732" s="687"/>
      <c r="S732" s="686"/>
      <c r="T732" s="686"/>
      <c r="U732" s="686"/>
      <c r="V732" s="686"/>
      <c r="W732" s="686"/>
    </row>
    <row r="733" ht="13.8" customHeight="1">
      <c r="A733" s="686"/>
      <c r="B733" s="686"/>
      <c r="C733" s="823"/>
      <c r="D733" s="686"/>
      <c r="E733" s="686"/>
      <c r="F733" s="686"/>
      <c r="G733" s="687"/>
      <c r="H733" s="686"/>
      <c r="I733" s="687"/>
      <c r="J733" s="686"/>
      <c r="K733" s="686"/>
      <c r="L733" s="686"/>
      <c r="M733" s="686"/>
      <c r="N733" s="686"/>
      <c r="O733" s="687"/>
      <c r="P733" s="686"/>
      <c r="Q733" s="686"/>
      <c r="R733" s="687"/>
      <c r="S733" s="686"/>
      <c r="T733" s="686"/>
      <c r="U733" s="686"/>
      <c r="V733" s="686"/>
      <c r="W733" s="686"/>
    </row>
    <row r="734" ht="13.8" customHeight="1">
      <c r="A734" s="686"/>
      <c r="B734" s="686"/>
      <c r="C734" s="823"/>
      <c r="D734" s="686"/>
      <c r="E734" s="686"/>
      <c r="F734" s="686"/>
      <c r="G734" s="687"/>
      <c r="H734" s="686"/>
      <c r="I734" s="687"/>
      <c r="J734" s="686"/>
      <c r="K734" s="686"/>
      <c r="L734" s="686"/>
      <c r="M734" s="686"/>
      <c r="N734" s="686"/>
      <c r="O734" s="687"/>
      <c r="P734" s="686"/>
      <c r="Q734" s="686"/>
      <c r="R734" s="687"/>
      <c r="S734" s="686"/>
      <c r="T734" s="686"/>
      <c r="U734" s="686"/>
      <c r="V734" s="686"/>
      <c r="W734" s="686"/>
    </row>
    <row r="735" ht="13.8" customHeight="1">
      <c r="A735" s="686"/>
      <c r="B735" s="686"/>
      <c r="C735" s="823"/>
      <c r="D735" s="686"/>
      <c r="E735" s="686"/>
      <c r="F735" s="686"/>
      <c r="G735" s="687"/>
      <c r="H735" s="686"/>
      <c r="I735" s="687"/>
      <c r="J735" s="686"/>
      <c r="K735" s="686"/>
      <c r="L735" s="686"/>
      <c r="M735" s="686"/>
      <c r="N735" s="686"/>
      <c r="O735" s="687"/>
      <c r="P735" s="686"/>
      <c r="Q735" s="686"/>
      <c r="R735" s="687"/>
      <c r="S735" s="686"/>
      <c r="T735" s="686"/>
      <c r="U735" s="686"/>
      <c r="V735" s="686"/>
      <c r="W735" s="686"/>
    </row>
    <row r="736" ht="13.8" customHeight="1">
      <c r="A736" s="686"/>
      <c r="B736" s="686"/>
      <c r="C736" s="823"/>
      <c r="D736" s="686"/>
      <c r="E736" s="686"/>
      <c r="F736" s="686"/>
      <c r="G736" s="687"/>
      <c r="H736" s="686"/>
      <c r="I736" s="687"/>
      <c r="J736" s="686"/>
      <c r="K736" s="686"/>
      <c r="L736" s="686"/>
      <c r="M736" s="686"/>
      <c r="N736" s="686"/>
      <c r="O736" s="687"/>
      <c r="P736" s="686"/>
      <c r="Q736" s="686"/>
      <c r="R736" s="687"/>
      <c r="S736" s="686"/>
      <c r="T736" s="686"/>
      <c r="U736" s="686"/>
      <c r="V736" s="686"/>
      <c r="W736" s="686"/>
    </row>
    <row r="737" ht="13.8" customHeight="1">
      <c r="A737" s="686"/>
      <c r="B737" s="686"/>
      <c r="C737" s="823"/>
      <c r="D737" s="686"/>
      <c r="E737" s="686"/>
      <c r="F737" s="686"/>
      <c r="G737" s="687"/>
      <c r="H737" s="686"/>
      <c r="I737" s="687"/>
      <c r="J737" s="686"/>
      <c r="K737" s="686"/>
      <c r="L737" s="686"/>
      <c r="M737" s="686"/>
      <c r="N737" s="686"/>
      <c r="O737" s="687"/>
      <c r="P737" s="686"/>
      <c r="Q737" s="686"/>
      <c r="R737" s="687"/>
      <c r="S737" s="686"/>
      <c r="T737" s="686"/>
      <c r="U737" s="686"/>
      <c r="V737" s="686"/>
      <c r="W737" s="686"/>
    </row>
    <row r="738" ht="13.8" customHeight="1">
      <c r="A738" s="686"/>
      <c r="B738" s="686"/>
      <c r="C738" s="823"/>
      <c r="D738" s="686"/>
      <c r="E738" s="686"/>
      <c r="F738" s="686"/>
      <c r="G738" s="687"/>
      <c r="H738" s="686"/>
      <c r="I738" s="687"/>
      <c r="J738" s="686"/>
      <c r="K738" s="686"/>
      <c r="L738" s="686"/>
      <c r="M738" s="686"/>
      <c r="N738" s="686"/>
      <c r="O738" s="687"/>
      <c r="P738" s="686"/>
      <c r="Q738" s="686"/>
      <c r="R738" s="687"/>
      <c r="S738" s="686"/>
      <c r="T738" s="686"/>
      <c r="U738" s="686"/>
      <c r="V738" s="686"/>
      <c r="W738" s="686"/>
    </row>
    <row r="739" ht="13.8" customHeight="1">
      <c r="A739" s="686"/>
      <c r="B739" s="686"/>
      <c r="C739" s="823"/>
      <c r="D739" s="686"/>
      <c r="E739" s="686"/>
      <c r="F739" s="686"/>
      <c r="G739" s="687"/>
      <c r="H739" s="686"/>
      <c r="I739" s="687"/>
      <c r="J739" s="686"/>
      <c r="K739" s="686"/>
      <c r="L739" s="686"/>
      <c r="M739" s="686"/>
      <c r="N739" s="686"/>
      <c r="O739" s="687"/>
      <c r="P739" s="686"/>
      <c r="Q739" s="686"/>
      <c r="R739" s="687"/>
      <c r="S739" s="686"/>
      <c r="T739" s="686"/>
      <c r="U739" s="686"/>
      <c r="V739" s="686"/>
      <c r="W739" s="686"/>
    </row>
    <row r="740" ht="13.8" customHeight="1">
      <c r="A740" s="686"/>
      <c r="B740" s="686"/>
      <c r="C740" s="823"/>
      <c r="D740" s="686"/>
      <c r="E740" s="686"/>
      <c r="F740" s="686"/>
      <c r="G740" s="687"/>
      <c r="H740" s="686"/>
      <c r="I740" s="687"/>
      <c r="J740" s="686"/>
      <c r="K740" s="686"/>
      <c r="L740" s="686"/>
      <c r="M740" s="686"/>
      <c r="N740" s="686"/>
      <c r="O740" s="687"/>
      <c r="P740" s="686"/>
      <c r="Q740" s="686"/>
      <c r="R740" s="687"/>
      <c r="S740" s="686"/>
      <c r="T740" s="686"/>
      <c r="U740" s="686"/>
      <c r="V740" s="686"/>
      <c r="W740" s="686"/>
    </row>
    <row r="741" ht="13.8" customHeight="1">
      <c r="A741" s="686"/>
      <c r="B741" s="686"/>
      <c r="C741" s="823"/>
      <c r="D741" s="686"/>
      <c r="E741" s="686"/>
      <c r="F741" s="686"/>
      <c r="G741" s="687"/>
      <c r="H741" s="686"/>
      <c r="I741" s="687"/>
      <c r="J741" s="686"/>
      <c r="K741" s="686"/>
      <c r="L741" s="686"/>
      <c r="M741" s="686"/>
      <c r="N741" s="686"/>
      <c r="O741" s="687"/>
      <c r="P741" s="686"/>
      <c r="Q741" s="686"/>
      <c r="R741" s="687"/>
      <c r="S741" s="686"/>
      <c r="T741" s="686"/>
      <c r="U741" s="686"/>
      <c r="V741" s="686"/>
      <c r="W741" s="686"/>
    </row>
    <row r="742" ht="13.8" customHeight="1">
      <c r="A742" s="686"/>
      <c r="B742" s="686"/>
      <c r="C742" s="823"/>
      <c r="D742" s="686"/>
      <c r="E742" s="686"/>
      <c r="F742" s="686"/>
      <c r="G742" s="687"/>
      <c r="H742" s="686"/>
      <c r="I742" s="687"/>
      <c r="J742" s="686"/>
      <c r="K742" s="686"/>
      <c r="L742" s="686"/>
      <c r="M742" s="686"/>
      <c r="N742" s="686"/>
      <c r="O742" s="687"/>
      <c r="P742" s="686"/>
      <c r="Q742" s="686"/>
      <c r="R742" s="687"/>
      <c r="S742" s="686"/>
      <c r="T742" s="686"/>
      <c r="U742" s="686"/>
      <c r="V742" s="686"/>
      <c r="W742" s="686"/>
    </row>
    <row r="743" ht="13.8" customHeight="1">
      <c r="A743" s="686"/>
      <c r="B743" s="686"/>
      <c r="C743" s="823"/>
      <c r="D743" s="686"/>
      <c r="E743" s="686"/>
      <c r="F743" s="686"/>
      <c r="G743" s="687"/>
      <c r="H743" s="686"/>
      <c r="I743" s="687"/>
      <c r="J743" s="686"/>
      <c r="K743" s="686"/>
      <c r="L743" s="686"/>
      <c r="M743" s="686"/>
      <c r="N743" s="686"/>
      <c r="O743" s="687"/>
      <c r="P743" s="686"/>
      <c r="Q743" s="686"/>
      <c r="R743" s="687"/>
      <c r="S743" s="686"/>
      <c r="T743" s="686"/>
      <c r="U743" s="686"/>
      <c r="V743" s="686"/>
      <c r="W743" s="686"/>
    </row>
    <row r="744" ht="13.8" customHeight="1">
      <c r="A744" s="686"/>
      <c r="B744" s="686"/>
      <c r="C744" s="823"/>
      <c r="D744" s="686"/>
      <c r="E744" s="686"/>
      <c r="F744" s="686"/>
      <c r="G744" s="687"/>
      <c r="H744" s="686"/>
      <c r="I744" s="687"/>
      <c r="J744" s="686"/>
      <c r="K744" s="686"/>
      <c r="L744" s="686"/>
      <c r="M744" s="686"/>
      <c r="N744" s="686"/>
      <c r="O744" s="687"/>
      <c r="P744" s="686"/>
      <c r="Q744" s="686"/>
      <c r="R744" s="687"/>
      <c r="S744" s="686"/>
      <c r="T744" s="686"/>
      <c r="U744" s="686"/>
      <c r="V744" s="686"/>
      <c r="W744" s="686"/>
    </row>
    <row r="745" ht="13.8" customHeight="1">
      <c r="A745" s="686"/>
      <c r="B745" s="686"/>
      <c r="C745" s="823"/>
      <c r="D745" s="686"/>
      <c r="E745" s="686"/>
      <c r="F745" s="686"/>
      <c r="G745" s="687"/>
      <c r="H745" s="686"/>
      <c r="I745" s="687"/>
      <c r="J745" s="686"/>
      <c r="K745" s="686"/>
      <c r="L745" s="686"/>
      <c r="M745" s="686"/>
      <c r="N745" s="686"/>
      <c r="O745" s="687"/>
      <c r="P745" s="686"/>
      <c r="Q745" s="686"/>
      <c r="R745" s="687"/>
      <c r="S745" s="686"/>
      <c r="T745" s="686"/>
      <c r="U745" s="686"/>
      <c r="V745" s="686"/>
      <c r="W745" s="686"/>
    </row>
    <row r="746" ht="13.8" customHeight="1">
      <c r="A746" s="686"/>
      <c r="B746" s="686"/>
      <c r="C746" s="823"/>
      <c r="D746" s="686"/>
      <c r="E746" s="686"/>
      <c r="F746" s="686"/>
      <c r="G746" s="687"/>
      <c r="H746" s="686"/>
      <c r="I746" s="687"/>
      <c r="J746" s="686"/>
      <c r="K746" s="686"/>
      <c r="L746" s="686"/>
      <c r="M746" s="686"/>
      <c r="N746" s="686"/>
      <c r="O746" s="687"/>
      <c r="P746" s="686"/>
      <c r="Q746" s="686"/>
      <c r="R746" s="687"/>
      <c r="S746" s="686"/>
      <c r="T746" s="686"/>
      <c r="U746" s="686"/>
      <c r="V746" s="686"/>
      <c r="W746" s="686"/>
    </row>
    <row r="747" ht="13.8" customHeight="1">
      <c r="A747" s="686"/>
      <c r="B747" s="686"/>
      <c r="C747" s="823"/>
      <c r="D747" s="686"/>
      <c r="E747" s="686"/>
      <c r="F747" s="686"/>
      <c r="G747" s="687"/>
      <c r="H747" s="686"/>
      <c r="I747" s="687"/>
      <c r="J747" s="686"/>
      <c r="K747" s="686"/>
      <c r="L747" s="686"/>
      <c r="M747" s="686"/>
      <c r="N747" s="686"/>
      <c r="O747" s="687"/>
      <c r="P747" s="686"/>
      <c r="Q747" s="686"/>
      <c r="R747" s="687"/>
      <c r="S747" s="686"/>
      <c r="T747" s="686"/>
      <c r="U747" s="686"/>
      <c r="V747" s="686"/>
      <c r="W747" s="686"/>
    </row>
    <row r="748" ht="13.8" customHeight="1">
      <c r="A748" s="686"/>
      <c r="B748" s="686"/>
      <c r="C748" s="823"/>
      <c r="D748" s="686"/>
      <c r="E748" s="686"/>
      <c r="F748" s="686"/>
      <c r="G748" s="687"/>
      <c r="H748" s="686"/>
      <c r="I748" s="687"/>
      <c r="J748" s="686"/>
      <c r="K748" s="686"/>
      <c r="L748" s="686"/>
      <c r="M748" s="686"/>
      <c r="N748" s="686"/>
      <c r="O748" s="687"/>
      <c r="P748" s="686"/>
      <c r="Q748" s="686"/>
      <c r="R748" s="687"/>
      <c r="S748" s="686"/>
      <c r="T748" s="686"/>
      <c r="U748" s="686"/>
      <c r="V748" s="686"/>
      <c r="W748" s="686"/>
    </row>
    <row r="749" ht="13.8" customHeight="1">
      <c r="A749" s="686"/>
      <c r="B749" s="686"/>
      <c r="C749" s="823"/>
      <c r="D749" s="686"/>
      <c r="E749" s="686"/>
      <c r="F749" s="686"/>
      <c r="G749" s="687"/>
      <c r="H749" s="686"/>
      <c r="I749" s="687"/>
      <c r="J749" s="686"/>
      <c r="K749" s="686"/>
      <c r="L749" s="686"/>
      <c r="M749" s="686"/>
      <c r="N749" s="686"/>
      <c r="O749" s="687"/>
      <c r="P749" s="686"/>
      <c r="Q749" s="686"/>
      <c r="R749" s="687"/>
      <c r="S749" s="686"/>
      <c r="T749" s="686"/>
      <c r="U749" s="686"/>
      <c r="V749" s="686"/>
      <c r="W749" s="686"/>
    </row>
    <row r="750" ht="13.8" customHeight="1">
      <c r="A750" s="686"/>
      <c r="B750" s="686"/>
      <c r="C750" s="823"/>
      <c r="D750" s="686"/>
      <c r="E750" s="686"/>
      <c r="F750" s="686"/>
      <c r="G750" s="687"/>
      <c r="H750" s="686"/>
      <c r="I750" s="687"/>
      <c r="J750" s="686"/>
      <c r="K750" s="686"/>
      <c r="L750" s="686"/>
      <c r="M750" s="686"/>
      <c r="N750" s="686"/>
      <c r="O750" s="687"/>
      <c r="P750" s="686"/>
      <c r="Q750" s="686"/>
      <c r="R750" s="687"/>
      <c r="S750" s="686"/>
      <c r="T750" s="686"/>
      <c r="U750" s="686"/>
      <c r="V750" s="686"/>
      <c r="W750" s="686"/>
    </row>
    <row r="751" ht="13.8" customHeight="1">
      <c r="A751" s="686"/>
      <c r="B751" s="686"/>
      <c r="C751" s="823"/>
      <c r="D751" s="686"/>
      <c r="E751" s="686"/>
      <c r="F751" s="686"/>
      <c r="G751" s="687"/>
      <c r="H751" s="686"/>
      <c r="I751" s="687"/>
      <c r="J751" s="686"/>
      <c r="K751" s="686"/>
      <c r="L751" s="686"/>
      <c r="M751" s="686"/>
      <c r="N751" s="686"/>
      <c r="O751" s="687"/>
      <c r="P751" s="686"/>
      <c r="Q751" s="686"/>
      <c r="R751" s="687"/>
      <c r="S751" s="686"/>
      <c r="T751" s="686"/>
      <c r="U751" s="686"/>
      <c r="V751" s="686"/>
      <c r="W751" s="686"/>
    </row>
    <row r="752" ht="13.8" customHeight="1">
      <c r="A752" s="686"/>
      <c r="B752" s="686"/>
      <c r="C752" s="823"/>
      <c r="D752" s="686"/>
      <c r="E752" s="686"/>
      <c r="F752" s="686"/>
      <c r="G752" s="687"/>
      <c r="H752" s="686"/>
      <c r="I752" s="687"/>
      <c r="J752" s="686"/>
      <c r="K752" s="686"/>
      <c r="L752" s="686"/>
      <c r="M752" s="686"/>
      <c r="N752" s="686"/>
      <c r="O752" s="687"/>
      <c r="P752" s="686"/>
      <c r="Q752" s="686"/>
      <c r="R752" s="687"/>
      <c r="S752" s="686"/>
      <c r="T752" s="686"/>
      <c r="U752" s="686"/>
      <c r="V752" s="686"/>
      <c r="W752" s="686"/>
    </row>
    <row r="753" ht="13.8" customHeight="1">
      <c r="A753" s="686"/>
      <c r="B753" s="686"/>
      <c r="C753" s="823"/>
      <c r="D753" s="686"/>
      <c r="E753" s="686"/>
      <c r="F753" s="686"/>
      <c r="G753" s="687"/>
      <c r="H753" s="686"/>
      <c r="I753" s="687"/>
      <c r="J753" s="686"/>
      <c r="K753" s="686"/>
      <c r="L753" s="686"/>
      <c r="M753" s="686"/>
      <c r="N753" s="686"/>
      <c r="O753" s="687"/>
      <c r="P753" s="686"/>
      <c r="Q753" s="686"/>
      <c r="R753" s="687"/>
      <c r="S753" s="686"/>
      <c r="T753" s="686"/>
      <c r="U753" s="686"/>
      <c r="V753" s="686"/>
      <c r="W753" s="686"/>
    </row>
    <row r="754" ht="13.8" customHeight="1">
      <c r="A754" s="686"/>
      <c r="B754" s="686"/>
      <c r="C754" s="823"/>
      <c r="D754" s="686"/>
      <c r="E754" s="686"/>
      <c r="F754" s="686"/>
      <c r="G754" s="687"/>
      <c r="H754" s="686"/>
      <c r="I754" s="687"/>
      <c r="J754" s="686"/>
      <c r="K754" s="686"/>
      <c r="L754" s="686"/>
      <c r="M754" s="686"/>
      <c r="N754" s="686"/>
      <c r="O754" s="687"/>
      <c r="P754" s="686"/>
      <c r="Q754" s="686"/>
      <c r="R754" s="687"/>
      <c r="S754" s="686"/>
      <c r="T754" s="686"/>
      <c r="U754" s="686"/>
      <c r="V754" s="686"/>
      <c r="W754" s="686"/>
    </row>
    <row r="755" ht="13.8" customHeight="1">
      <c r="A755" s="686"/>
      <c r="B755" s="686"/>
      <c r="C755" s="823"/>
      <c r="D755" s="686"/>
      <c r="E755" s="686"/>
      <c r="F755" s="686"/>
      <c r="G755" s="687"/>
      <c r="H755" s="686"/>
      <c r="I755" s="687"/>
      <c r="J755" s="686"/>
      <c r="K755" s="686"/>
      <c r="L755" s="686"/>
      <c r="M755" s="686"/>
      <c r="N755" s="686"/>
      <c r="O755" s="687"/>
      <c r="P755" s="686"/>
      <c r="Q755" s="686"/>
      <c r="R755" s="687"/>
      <c r="S755" s="686"/>
      <c r="T755" s="686"/>
      <c r="U755" s="686"/>
      <c r="V755" s="686"/>
      <c r="W755" s="686"/>
    </row>
    <row r="756" ht="13.8" customHeight="1">
      <c r="A756" s="686"/>
      <c r="B756" s="686"/>
      <c r="C756" s="823"/>
      <c r="D756" s="686"/>
      <c r="E756" s="686"/>
      <c r="F756" s="686"/>
      <c r="G756" s="687"/>
      <c r="H756" s="686"/>
      <c r="I756" s="687"/>
      <c r="J756" s="686"/>
      <c r="K756" s="686"/>
      <c r="L756" s="686"/>
      <c r="M756" s="686"/>
      <c r="N756" s="686"/>
      <c r="O756" s="687"/>
      <c r="P756" s="686"/>
      <c r="Q756" s="686"/>
      <c r="R756" s="687"/>
      <c r="S756" s="686"/>
      <c r="T756" s="686"/>
      <c r="U756" s="686"/>
      <c r="V756" s="686"/>
      <c r="W756" s="686"/>
    </row>
    <row r="757" ht="13.8" customHeight="1">
      <c r="A757" s="686"/>
      <c r="B757" s="686"/>
      <c r="C757" s="823"/>
      <c r="D757" s="686"/>
      <c r="E757" s="686"/>
      <c r="F757" s="686"/>
      <c r="G757" s="687"/>
      <c r="H757" s="686"/>
      <c r="I757" s="687"/>
      <c r="J757" s="686"/>
      <c r="K757" s="686"/>
      <c r="L757" s="686"/>
      <c r="M757" s="686"/>
      <c r="N757" s="686"/>
      <c r="O757" s="687"/>
      <c r="P757" s="686"/>
      <c r="Q757" s="686"/>
      <c r="R757" s="687"/>
      <c r="S757" s="686"/>
      <c r="T757" s="686"/>
      <c r="U757" s="686"/>
      <c r="V757" s="686"/>
      <c r="W757" s="686"/>
    </row>
    <row r="758" ht="13.8" customHeight="1">
      <c r="A758" s="686"/>
      <c r="B758" s="686"/>
      <c r="C758" s="823"/>
      <c r="D758" s="686"/>
      <c r="E758" s="686"/>
      <c r="F758" s="686"/>
      <c r="G758" s="687"/>
      <c r="H758" s="686"/>
      <c r="I758" s="687"/>
      <c r="J758" s="686"/>
      <c r="K758" s="686"/>
      <c r="L758" s="686"/>
      <c r="M758" s="686"/>
      <c r="N758" s="686"/>
      <c r="O758" s="687"/>
      <c r="P758" s="686"/>
      <c r="Q758" s="686"/>
      <c r="R758" s="687"/>
      <c r="S758" s="686"/>
      <c r="T758" s="686"/>
      <c r="U758" s="686"/>
      <c r="V758" s="686"/>
      <c r="W758" s="686"/>
    </row>
    <row r="759" ht="13.8" customHeight="1">
      <c r="A759" s="686"/>
      <c r="B759" s="686"/>
      <c r="C759" s="823"/>
      <c r="D759" s="686"/>
      <c r="E759" s="686"/>
      <c r="F759" s="686"/>
      <c r="G759" s="687"/>
      <c r="H759" s="686"/>
      <c r="I759" s="687"/>
      <c r="J759" s="686"/>
      <c r="K759" s="686"/>
      <c r="L759" s="686"/>
      <c r="M759" s="686"/>
      <c r="N759" s="686"/>
      <c r="O759" s="687"/>
      <c r="P759" s="686"/>
      <c r="Q759" s="686"/>
      <c r="R759" s="687"/>
      <c r="S759" s="686"/>
      <c r="T759" s="686"/>
      <c r="U759" s="686"/>
      <c r="V759" s="686"/>
      <c r="W759" s="686"/>
    </row>
    <row r="760" ht="13.8" customHeight="1">
      <c r="A760" s="686"/>
      <c r="B760" s="686"/>
      <c r="C760" s="823"/>
      <c r="D760" s="686"/>
      <c r="E760" s="686"/>
      <c r="F760" s="686"/>
      <c r="G760" s="687"/>
      <c r="H760" s="686"/>
      <c r="I760" s="687"/>
      <c r="J760" s="686"/>
      <c r="K760" s="686"/>
      <c r="L760" s="686"/>
      <c r="M760" s="686"/>
      <c r="N760" s="686"/>
      <c r="O760" s="687"/>
      <c r="P760" s="686"/>
      <c r="Q760" s="686"/>
      <c r="R760" s="687"/>
      <c r="S760" s="686"/>
      <c r="T760" s="686"/>
      <c r="U760" s="686"/>
      <c r="V760" s="686"/>
      <c r="W760" s="686"/>
    </row>
    <row r="761" ht="13.8" customHeight="1">
      <c r="A761" s="686"/>
      <c r="B761" s="686"/>
      <c r="C761" s="823"/>
      <c r="D761" s="686"/>
      <c r="E761" s="686"/>
      <c r="F761" s="686"/>
      <c r="G761" s="687"/>
      <c r="H761" s="686"/>
      <c r="I761" s="687"/>
      <c r="J761" s="686"/>
      <c r="K761" s="686"/>
      <c r="L761" s="686"/>
      <c r="M761" s="686"/>
      <c r="N761" s="686"/>
      <c r="O761" s="687"/>
      <c r="P761" s="686"/>
      <c r="Q761" s="686"/>
      <c r="R761" s="687"/>
      <c r="S761" s="686"/>
      <c r="T761" s="686"/>
      <c r="U761" s="686"/>
      <c r="V761" s="686"/>
      <c r="W761" s="686"/>
    </row>
    <row r="762" ht="13.8" customHeight="1">
      <c r="A762" s="686"/>
      <c r="B762" s="686"/>
      <c r="C762" s="823"/>
      <c r="D762" s="686"/>
      <c r="E762" s="686"/>
      <c r="F762" s="686"/>
      <c r="G762" s="687"/>
      <c r="H762" s="686"/>
      <c r="I762" s="687"/>
      <c r="J762" s="686"/>
      <c r="K762" s="686"/>
      <c r="L762" s="686"/>
      <c r="M762" s="686"/>
      <c r="N762" s="686"/>
      <c r="O762" s="687"/>
      <c r="P762" s="686"/>
      <c r="Q762" s="686"/>
      <c r="R762" s="687"/>
      <c r="S762" s="686"/>
      <c r="T762" s="686"/>
      <c r="U762" s="686"/>
      <c r="V762" s="686"/>
      <c r="W762" s="686"/>
    </row>
    <row r="763" ht="13.8" customHeight="1">
      <c r="A763" s="686"/>
      <c r="B763" s="686"/>
      <c r="C763" s="823"/>
      <c r="D763" s="686"/>
      <c r="E763" s="686"/>
      <c r="F763" s="686"/>
      <c r="G763" s="687"/>
      <c r="H763" s="686"/>
      <c r="I763" s="687"/>
      <c r="J763" s="686"/>
      <c r="K763" s="686"/>
      <c r="L763" s="686"/>
      <c r="M763" s="686"/>
      <c r="N763" s="686"/>
      <c r="O763" s="687"/>
      <c r="P763" s="686"/>
      <c r="Q763" s="686"/>
      <c r="R763" s="687"/>
      <c r="S763" s="686"/>
      <c r="T763" s="686"/>
      <c r="U763" s="686"/>
      <c r="V763" s="686"/>
      <c r="W763" s="686"/>
    </row>
    <row r="764" ht="13.8" customHeight="1">
      <c r="A764" s="686"/>
      <c r="B764" s="686"/>
      <c r="C764" s="823"/>
      <c r="D764" s="686"/>
      <c r="E764" s="686"/>
      <c r="F764" s="686"/>
      <c r="G764" s="687"/>
      <c r="H764" s="686"/>
      <c r="I764" s="687"/>
      <c r="J764" s="686"/>
      <c r="K764" s="686"/>
      <c r="L764" s="686"/>
      <c r="M764" s="686"/>
      <c r="N764" s="686"/>
      <c r="O764" s="687"/>
      <c r="P764" s="686"/>
      <c r="Q764" s="686"/>
      <c r="R764" s="687"/>
      <c r="S764" s="686"/>
      <c r="T764" s="686"/>
      <c r="U764" s="686"/>
      <c r="V764" s="686"/>
      <c r="W764" s="686"/>
    </row>
    <row r="765" ht="13.8" customHeight="1">
      <c r="A765" s="686"/>
      <c r="B765" s="686"/>
      <c r="C765" s="823"/>
      <c r="D765" s="686"/>
      <c r="E765" s="686"/>
      <c r="F765" s="686"/>
      <c r="G765" s="687"/>
      <c r="H765" s="686"/>
      <c r="I765" s="687"/>
      <c r="J765" s="686"/>
      <c r="K765" s="686"/>
      <c r="L765" s="686"/>
      <c r="M765" s="686"/>
      <c r="N765" s="686"/>
      <c r="O765" s="687"/>
      <c r="P765" s="686"/>
      <c r="Q765" s="686"/>
      <c r="R765" s="687"/>
      <c r="S765" s="686"/>
      <c r="T765" s="686"/>
      <c r="U765" s="686"/>
      <c r="V765" s="686"/>
      <c r="W765" s="686"/>
    </row>
    <row r="766" ht="13.8" customHeight="1">
      <c r="A766" s="686"/>
      <c r="B766" s="686"/>
      <c r="C766" s="823"/>
      <c r="D766" s="686"/>
      <c r="E766" s="686"/>
      <c r="F766" s="686"/>
      <c r="G766" s="687"/>
      <c r="H766" s="686"/>
      <c r="I766" s="687"/>
      <c r="J766" s="686"/>
      <c r="K766" s="686"/>
      <c r="L766" s="686"/>
      <c r="M766" s="686"/>
      <c r="N766" s="686"/>
      <c r="O766" s="687"/>
      <c r="P766" s="686"/>
      <c r="Q766" s="686"/>
      <c r="R766" s="687"/>
      <c r="S766" s="686"/>
      <c r="T766" s="686"/>
      <c r="U766" s="686"/>
      <c r="V766" s="686"/>
      <c r="W766" s="686"/>
    </row>
    <row r="767" ht="13.8" customHeight="1">
      <c r="A767" s="686"/>
      <c r="B767" s="686"/>
      <c r="C767" s="823"/>
      <c r="D767" s="686"/>
      <c r="E767" s="686"/>
      <c r="F767" s="686"/>
      <c r="G767" s="687"/>
      <c r="H767" s="686"/>
      <c r="I767" s="687"/>
      <c r="J767" s="686"/>
      <c r="K767" s="686"/>
      <c r="L767" s="686"/>
      <c r="M767" s="686"/>
      <c r="N767" s="686"/>
      <c r="O767" s="687"/>
      <c r="P767" s="686"/>
      <c r="Q767" s="686"/>
      <c r="R767" s="687"/>
      <c r="S767" s="686"/>
      <c r="T767" s="686"/>
      <c r="U767" s="686"/>
      <c r="V767" s="686"/>
      <c r="W767" s="686"/>
    </row>
    <row r="768" ht="13.8" customHeight="1">
      <c r="A768" s="686"/>
      <c r="B768" s="686"/>
      <c r="C768" s="823"/>
      <c r="D768" s="686"/>
      <c r="E768" s="686"/>
      <c r="F768" s="686"/>
      <c r="G768" s="687"/>
      <c r="H768" s="686"/>
      <c r="I768" s="687"/>
      <c r="J768" s="686"/>
      <c r="K768" s="686"/>
      <c r="L768" s="686"/>
      <c r="M768" s="686"/>
      <c r="N768" s="686"/>
      <c r="O768" s="687"/>
      <c r="P768" s="686"/>
      <c r="Q768" s="686"/>
      <c r="R768" s="687"/>
      <c r="S768" s="686"/>
      <c r="T768" s="686"/>
      <c r="U768" s="686"/>
      <c r="V768" s="686"/>
      <c r="W768" s="686"/>
    </row>
    <row r="769" ht="13.8" customHeight="1">
      <c r="A769" s="686"/>
      <c r="B769" s="686"/>
      <c r="C769" s="823"/>
      <c r="D769" s="686"/>
      <c r="E769" s="686"/>
      <c r="F769" s="686"/>
      <c r="G769" s="687"/>
      <c r="H769" s="686"/>
      <c r="I769" s="687"/>
      <c r="J769" s="686"/>
      <c r="K769" s="686"/>
      <c r="L769" s="686"/>
      <c r="M769" s="686"/>
      <c r="N769" s="686"/>
      <c r="O769" s="687"/>
      <c r="P769" s="686"/>
      <c r="Q769" s="686"/>
      <c r="R769" s="687"/>
      <c r="S769" s="686"/>
      <c r="T769" s="686"/>
      <c r="U769" s="686"/>
      <c r="V769" s="686"/>
      <c r="W769" s="686"/>
    </row>
    <row r="770" ht="13.8" customHeight="1">
      <c r="A770" s="686"/>
      <c r="B770" s="686"/>
      <c r="C770" s="823"/>
      <c r="D770" s="686"/>
      <c r="E770" s="686"/>
      <c r="F770" s="686"/>
      <c r="G770" s="687"/>
      <c r="H770" s="686"/>
      <c r="I770" s="687"/>
      <c r="J770" s="686"/>
      <c r="K770" s="686"/>
      <c r="L770" s="686"/>
      <c r="M770" s="686"/>
      <c r="N770" s="686"/>
      <c r="O770" s="687"/>
      <c r="P770" s="686"/>
      <c r="Q770" s="686"/>
      <c r="R770" s="687"/>
      <c r="S770" s="686"/>
      <c r="T770" s="686"/>
      <c r="U770" s="686"/>
      <c r="V770" s="686"/>
      <c r="W770" s="686"/>
    </row>
    <row r="771" ht="13.8" customHeight="1">
      <c r="A771" s="686"/>
      <c r="B771" s="686"/>
      <c r="C771" s="823"/>
      <c r="D771" s="686"/>
      <c r="E771" s="686"/>
      <c r="F771" s="686"/>
      <c r="G771" s="687"/>
      <c r="H771" s="686"/>
      <c r="I771" s="687"/>
      <c r="J771" s="686"/>
      <c r="K771" s="686"/>
      <c r="L771" s="686"/>
      <c r="M771" s="686"/>
      <c r="N771" s="686"/>
      <c r="O771" s="687"/>
      <c r="P771" s="686"/>
      <c r="Q771" s="686"/>
      <c r="R771" s="687"/>
      <c r="S771" s="686"/>
      <c r="T771" s="686"/>
      <c r="U771" s="686"/>
      <c r="V771" s="686"/>
      <c r="W771" s="686"/>
    </row>
    <row r="772" ht="13.8" customHeight="1">
      <c r="A772" s="686"/>
      <c r="B772" s="686"/>
      <c r="C772" s="823"/>
      <c r="D772" s="686"/>
      <c r="E772" s="686"/>
      <c r="F772" s="686"/>
      <c r="G772" s="687"/>
      <c r="H772" s="686"/>
      <c r="I772" s="687"/>
      <c r="J772" s="686"/>
      <c r="K772" s="686"/>
      <c r="L772" s="686"/>
      <c r="M772" s="686"/>
      <c r="N772" s="686"/>
      <c r="O772" s="687"/>
      <c r="P772" s="686"/>
      <c r="Q772" s="686"/>
      <c r="R772" s="687"/>
      <c r="S772" s="686"/>
      <c r="T772" s="686"/>
      <c r="U772" s="686"/>
      <c r="V772" s="686"/>
      <c r="W772" s="686"/>
    </row>
    <row r="773" ht="13.8" customHeight="1">
      <c r="A773" s="686"/>
      <c r="B773" s="686"/>
      <c r="C773" s="823"/>
      <c r="D773" s="686"/>
      <c r="E773" s="686"/>
      <c r="F773" s="686"/>
      <c r="G773" s="687"/>
      <c r="H773" s="686"/>
      <c r="I773" s="687"/>
      <c r="J773" s="686"/>
      <c r="K773" s="686"/>
      <c r="L773" s="686"/>
      <c r="M773" s="686"/>
      <c r="N773" s="686"/>
      <c r="O773" s="687"/>
      <c r="P773" s="686"/>
      <c r="Q773" s="686"/>
      <c r="R773" s="687"/>
      <c r="S773" s="686"/>
      <c r="T773" s="686"/>
      <c r="U773" s="686"/>
      <c r="V773" s="686"/>
      <c r="W773" s="686"/>
    </row>
    <row r="774" ht="13.8" customHeight="1">
      <c r="A774" s="686"/>
      <c r="B774" s="686"/>
      <c r="C774" s="823"/>
      <c r="D774" s="686"/>
      <c r="E774" s="686"/>
      <c r="F774" s="686"/>
      <c r="G774" s="687"/>
      <c r="H774" s="686"/>
      <c r="I774" s="687"/>
      <c r="J774" s="686"/>
      <c r="K774" s="686"/>
      <c r="L774" s="686"/>
      <c r="M774" s="686"/>
      <c r="N774" s="686"/>
      <c r="O774" s="687"/>
      <c r="P774" s="686"/>
      <c r="Q774" s="686"/>
      <c r="R774" s="687"/>
      <c r="S774" s="686"/>
      <c r="T774" s="686"/>
      <c r="U774" s="686"/>
      <c r="V774" s="686"/>
      <c r="W774" s="686"/>
    </row>
    <row r="775" ht="13.8" customHeight="1">
      <c r="A775" s="686"/>
      <c r="B775" s="686"/>
      <c r="C775" s="823"/>
      <c r="D775" s="686"/>
      <c r="E775" s="686"/>
      <c r="F775" s="686"/>
      <c r="G775" s="687"/>
      <c r="H775" s="686"/>
      <c r="I775" s="687"/>
      <c r="J775" s="686"/>
      <c r="K775" s="686"/>
      <c r="L775" s="686"/>
      <c r="M775" s="686"/>
      <c r="N775" s="686"/>
      <c r="O775" s="687"/>
      <c r="P775" s="686"/>
      <c r="Q775" s="686"/>
      <c r="R775" s="687"/>
      <c r="S775" s="686"/>
      <c r="T775" s="686"/>
      <c r="U775" s="686"/>
      <c r="V775" s="686"/>
      <c r="W775" s="686"/>
    </row>
    <row r="776" ht="13.8" customHeight="1">
      <c r="A776" s="686"/>
      <c r="B776" s="686"/>
      <c r="C776" s="823"/>
      <c r="D776" s="686"/>
      <c r="E776" s="686"/>
      <c r="F776" s="686"/>
      <c r="G776" s="687"/>
      <c r="H776" s="686"/>
      <c r="I776" s="687"/>
      <c r="J776" s="686"/>
      <c r="K776" s="686"/>
      <c r="L776" s="686"/>
      <c r="M776" s="686"/>
      <c r="N776" s="686"/>
      <c r="O776" s="687"/>
      <c r="P776" s="686"/>
      <c r="Q776" s="686"/>
      <c r="R776" s="687"/>
      <c r="S776" s="686"/>
      <c r="T776" s="686"/>
      <c r="U776" s="686"/>
      <c r="V776" s="686"/>
      <c r="W776" s="686"/>
    </row>
    <row r="777" ht="13.8" customHeight="1">
      <c r="A777" s="686"/>
      <c r="B777" s="686"/>
      <c r="C777" s="823"/>
      <c r="D777" s="686"/>
      <c r="E777" s="686"/>
      <c r="F777" s="686"/>
      <c r="G777" s="687"/>
      <c r="H777" s="686"/>
      <c r="I777" s="687"/>
      <c r="J777" s="686"/>
      <c r="K777" s="686"/>
      <c r="L777" s="686"/>
      <c r="M777" s="686"/>
      <c r="N777" s="686"/>
      <c r="O777" s="687"/>
      <c r="P777" s="686"/>
      <c r="Q777" s="686"/>
      <c r="R777" s="687"/>
      <c r="S777" s="686"/>
      <c r="T777" s="686"/>
      <c r="U777" s="686"/>
      <c r="V777" s="686"/>
      <c r="W777" s="686"/>
    </row>
    <row r="778" ht="13.8" customHeight="1">
      <c r="A778" s="686"/>
      <c r="B778" s="686"/>
      <c r="C778" s="823"/>
      <c r="D778" s="686"/>
      <c r="E778" s="686"/>
      <c r="F778" s="686"/>
      <c r="G778" s="687"/>
      <c r="H778" s="686"/>
      <c r="I778" s="687"/>
      <c r="J778" s="686"/>
      <c r="K778" s="686"/>
      <c r="L778" s="686"/>
      <c r="M778" s="686"/>
      <c r="N778" s="686"/>
      <c r="O778" s="687"/>
      <c r="P778" s="686"/>
      <c r="Q778" s="686"/>
      <c r="R778" s="687"/>
      <c r="S778" s="686"/>
      <c r="T778" s="686"/>
      <c r="U778" s="686"/>
      <c r="V778" s="686"/>
      <c r="W778" s="686"/>
    </row>
    <row r="779" ht="13.8" customHeight="1">
      <c r="A779" s="686"/>
      <c r="B779" s="686"/>
      <c r="C779" s="823"/>
      <c r="D779" s="686"/>
      <c r="E779" s="686"/>
      <c r="F779" s="686"/>
      <c r="G779" s="687"/>
      <c r="H779" s="686"/>
      <c r="I779" s="687"/>
      <c r="J779" s="686"/>
      <c r="K779" s="686"/>
      <c r="L779" s="686"/>
      <c r="M779" s="686"/>
      <c r="N779" s="686"/>
      <c r="O779" s="687"/>
      <c r="P779" s="686"/>
      <c r="Q779" s="686"/>
      <c r="R779" s="687"/>
      <c r="S779" s="686"/>
      <c r="T779" s="686"/>
      <c r="U779" s="686"/>
      <c r="V779" s="686"/>
      <c r="W779" s="686"/>
    </row>
    <row r="780" ht="13.8" customHeight="1">
      <c r="A780" s="686"/>
      <c r="B780" s="686"/>
      <c r="C780" s="823"/>
      <c r="D780" s="686"/>
      <c r="E780" s="686"/>
      <c r="F780" s="686"/>
      <c r="G780" s="687"/>
      <c r="H780" s="686"/>
      <c r="I780" s="687"/>
      <c r="J780" s="686"/>
      <c r="K780" s="686"/>
      <c r="L780" s="686"/>
      <c r="M780" s="686"/>
      <c r="N780" s="686"/>
      <c r="O780" s="687"/>
      <c r="P780" s="686"/>
      <c r="Q780" s="686"/>
      <c r="R780" s="687"/>
      <c r="S780" s="686"/>
      <c r="T780" s="686"/>
      <c r="U780" s="686"/>
      <c r="V780" s="686"/>
      <c r="W780" s="686"/>
    </row>
    <row r="781" ht="13.8" customHeight="1">
      <c r="A781" s="686"/>
      <c r="B781" s="686"/>
      <c r="C781" s="823"/>
      <c r="D781" s="686"/>
      <c r="E781" s="686"/>
      <c r="F781" s="686"/>
      <c r="G781" s="687"/>
      <c r="H781" s="686"/>
      <c r="I781" s="687"/>
      <c r="J781" s="686"/>
      <c r="K781" s="686"/>
      <c r="L781" s="686"/>
      <c r="M781" s="686"/>
      <c r="N781" s="686"/>
      <c r="O781" s="687"/>
      <c r="P781" s="686"/>
      <c r="Q781" s="686"/>
      <c r="R781" s="687"/>
      <c r="S781" s="686"/>
      <c r="T781" s="686"/>
      <c r="U781" s="686"/>
      <c r="V781" s="686"/>
      <c r="W781" s="686"/>
    </row>
    <row r="782" ht="13.8" customHeight="1">
      <c r="A782" s="686"/>
      <c r="B782" s="686"/>
      <c r="C782" s="823"/>
      <c r="D782" s="686"/>
      <c r="E782" s="686"/>
      <c r="F782" s="686"/>
      <c r="G782" s="687"/>
      <c r="H782" s="686"/>
      <c r="I782" s="687"/>
      <c r="J782" s="686"/>
      <c r="K782" s="686"/>
      <c r="L782" s="686"/>
      <c r="M782" s="686"/>
      <c r="N782" s="686"/>
      <c r="O782" s="687"/>
      <c r="P782" s="686"/>
      <c r="Q782" s="686"/>
      <c r="R782" s="687"/>
      <c r="S782" s="686"/>
      <c r="T782" s="686"/>
      <c r="U782" s="686"/>
      <c r="V782" s="686"/>
      <c r="W782" s="686"/>
    </row>
    <row r="783" ht="13.8" customHeight="1">
      <c r="A783" s="686"/>
      <c r="B783" s="686"/>
      <c r="C783" s="823"/>
      <c r="D783" s="686"/>
      <c r="E783" s="686"/>
      <c r="F783" s="686"/>
      <c r="G783" s="687"/>
      <c r="H783" s="686"/>
      <c r="I783" s="687"/>
      <c r="J783" s="686"/>
      <c r="K783" s="686"/>
      <c r="L783" s="686"/>
      <c r="M783" s="686"/>
      <c r="N783" s="686"/>
      <c r="O783" s="687"/>
      <c r="P783" s="686"/>
      <c r="Q783" s="686"/>
      <c r="R783" s="687"/>
      <c r="S783" s="686"/>
      <c r="T783" s="686"/>
      <c r="U783" s="686"/>
      <c r="V783" s="686"/>
      <c r="W783" s="686"/>
    </row>
    <row r="784" ht="13.8" customHeight="1">
      <c r="A784" s="686"/>
      <c r="B784" s="686"/>
      <c r="C784" s="823"/>
      <c r="D784" s="686"/>
      <c r="E784" s="686"/>
      <c r="F784" s="686"/>
      <c r="G784" s="687"/>
      <c r="H784" s="686"/>
      <c r="I784" s="687"/>
      <c r="J784" s="686"/>
      <c r="K784" s="686"/>
      <c r="L784" s="686"/>
      <c r="M784" s="686"/>
      <c r="N784" s="686"/>
      <c r="O784" s="687"/>
      <c r="P784" s="686"/>
      <c r="Q784" s="686"/>
      <c r="R784" s="687"/>
      <c r="S784" s="686"/>
      <c r="T784" s="686"/>
      <c r="U784" s="686"/>
      <c r="V784" s="686"/>
      <c r="W784" s="686"/>
    </row>
    <row r="785" ht="13.8" customHeight="1">
      <c r="A785" s="686"/>
      <c r="B785" s="686"/>
      <c r="C785" s="823"/>
      <c r="D785" s="686"/>
      <c r="E785" s="686"/>
      <c r="F785" s="686"/>
      <c r="G785" s="687"/>
      <c r="H785" s="686"/>
      <c r="I785" s="687"/>
      <c r="J785" s="686"/>
      <c r="K785" s="686"/>
      <c r="L785" s="686"/>
      <c r="M785" s="686"/>
      <c r="N785" s="686"/>
      <c r="O785" s="687"/>
      <c r="P785" s="686"/>
      <c r="Q785" s="686"/>
      <c r="R785" s="687"/>
      <c r="S785" s="686"/>
      <c r="T785" s="686"/>
      <c r="U785" s="686"/>
      <c r="V785" s="686"/>
      <c r="W785" s="686"/>
    </row>
    <row r="786" ht="13.8" customHeight="1">
      <c r="A786" s="686"/>
      <c r="B786" s="686"/>
      <c r="C786" s="823"/>
      <c r="D786" s="686"/>
      <c r="E786" s="686"/>
      <c r="F786" s="686"/>
      <c r="G786" s="687"/>
      <c r="H786" s="686"/>
      <c r="I786" s="687"/>
      <c r="J786" s="686"/>
      <c r="K786" s="686"/>
      <c r="L786" s="686"/>
      <c r="M786" s="686"/>
      <c r="N786" s="686"/>
      <c r="O786" s="687"/>
      <c r="P786" s="686"/>
      <c r="Q786" s="686"/>
      <c r="R786" s="687"/>
      <c r="S786" s="686"/>
      <c r="T786" s="686"/>
      <c r="U786" s="686"/>
      <c r="V786" s="686"/>
      <c r="W786" s="686"/>
    </row>
    <row r="787" ht="13.8" customHeight="1">
      <c r="A787" s="686"/>
      <c r="B787" s="686"/>
      <c r="C787" s="823"/>
      <c r="D787" s="686"/>
      <c r="E787" s="686"/>
      <c r="F787" s="686"/>
      <c r="G787" s="687"/>
      <c r="H787" s="686"/>
      <c r="I787" s="687"/>
      <c r="J787" s="686"/>
      <c r="K787" s="686"/>
      <c r="L787" s="686"/>
      <c r="M787" s="686"/>
      <c r="N787" s="686"/>
      <c r="O787" s="687"/>
      <c r="P787" s="686"/>
      <c r="Q787" s="686"/>
      <c r="R787" s="687"/>
      <c r="S787" s="686"/>
      <c r="T787" s="686"/>
      <c r="U787" s="686"/>
      <c r="V787" s="686"/>
      <c r="W787" s="686"/>
    </row>
    <row r="788" ht="13.8" customHeight="1">
      <c r="A788" s="686"/>
      <c r="B788" s="686"/>
      <c r="C788" s="823"/>
      <c r="D788" s="686"/>
      <c r="E788" s="686"/>
      <c r="F788" s="686"/>
      <c r="G788" s="687"/>
      <c r="H788" s="686"/>
      <c r="I788" s="687"/>
      <c r="J788" s="686"/>
      <c r="K788" s="686"/>
      <c r="L788" s="686"/>
      <c r="M788" s="686"/>
      <c r="N788" s="686"/>
      <c r="O788" s="687"/>
      <c r="P788" s="686"/>
      <c r="Q788" s="686"/>
      <c r="R788" s="687"/>
      <c r="S788" s="686"/>
      <c r="T788" s="686"/>
      <c r="U788" s="686"/>
      <c r="V788" s="686"/>
      <c r="W788" s="686"/>
    </row>
    <row r="789" ht="13.8" customHeight="1">
      <c r="A789" s="686"/>
      <c r="B789" s="686"/>
      <c r="C789" s="823"/>
      <c r="D789" s="686"/>
      <c r="E789" s="686"/>
      <c r="F789" s="686"/>
      <c r="G789" s="687"/>
      <c r="H789" s="686"/>
      <c r="I789" s="687"/>
      <c r="J789" s="686"/>
      <c r="K789" s="686"/>
      <c r="L789" s="686"/>
      <c r="M789" s="686"/>
      <c r="N789" s="686"/>
      <c r="O789" s="687"/>
      <c r="P789" s="686"/>
      <c r="Q789" s="686"/>
      <c r="R789" s="687"/>
      <c r="S789" s="686"/>
      <c r="T789" s="686"/>
      <c r="U789" s="686"/>
      <c r="V789" s="686"/>
      <c r="W789" s="686"/>
    </row>
    <row r="790" ht="13.8" customHeight="1">
      <c r="A790" s="686"/>
      <c r="B790" s="686"/>
      <c r="C790" s="823"/>
      <c r="D790" s="686"/>
      <c r="E790" s="686"/>
      <c r="F790" s="686"/>
      <c r="G790" s="687"/>
      <c r="H790" s="686"/>
      <c r="I790" s="687"/>
      <c r="J790" s="686"/>
      <c r="K790" s="686"/>
      <c r="L790" s="686"/>
      <c r="M790" s="686"/>
      <c r="N790" s="686"/>
      <c r="O790" s="687"/>
      <c r="P790" s="686"/>
      <c r="Q790" s="686"/>
      <c r="R790" s="687"/>
      <c r="S790" s="686"/>
      <c r="T790" s="686"/>
      <c r="U790" s="686"/>
      <c r="V790" s="686"/>
      <c r="W790" s="686"/>
    </row>
    <row r="791" ht="13.8" customHeight="1">
      <c r="A791" s="686"/>
      <c r="B791" s="686"/>
      <c r="C791" s="823"/>
      <c r="D791" s="686"/>
      <c r="E791" s="686"/>
      <c r="F791" s="686"/>
      <c r="G791" s="687"/>
      <c r="H791" s="686"/>
      <c r="I791" s="687"/>
      <c r="J791" s="686"/>
      <c r="K791" s="686"/>
      <c r="L791" s="686"/>
      <c r="M791" s="686"/>
      <c r="N791" s="686"/>
      <c r="O791" s="687"/>
      <c r="P791" s="686"/>
      <c r="Q791" s="686"/>
      <c r="R791" s="687"/>
      <c r="S791" s="686"/>
      <c r="T791" s="686"/>
      <c r="U791" s="686"/>
      <c r="V791" s="686"/>
      <c r="W791" s="686"/>
    </row>
    <row r="792" ht="13.8" customHeight="1">
      <c r="A792" s="686"/>
      <c r="B792" s="686"/>
      <c r="C792" s="823"/>
      <c r="D792" s="686"/>
      <c r="E792" s="686"/>
      <c r="F792" s="686"/>
      <c r="G792" s="687"/>
      <c r="H792" s="686"/>
      <c r="I792" s="687"/>
      <c r="J792" s="686"/>
      <c r="K792" s="686"/>
      <c r="L792" s="686"/>
      <c r="M792" s="686"/>
      <c r="N792" s="686"/>
      <c r="O792" s="687"/>
      <c r="P792" s="686"/>
      <c r="Q792" s="686"/>
      <c r="R792" s="687"/>
      <c r="S792" s="686"/>
      <c r="T792" s="686"/>
      <c r="U792" s="686"/>
      <c r="V792" s="686"/>
      <c r="W792" s="686"/>
    </row>
    <row r="793" ht="13.8" customHeight="1">
      <c r="A793" s="686"/>
      <c r="B793" s="686"/>
      <c r="C793" s="823"/>
      <c r="D793" s="686"/>
      <c r="E793" s="686"/>
      <c r="F793" s="686"/>
      <c r="G793" s="687"/>
      <c r="H793" s="686"/>
      <c r="I793" s="687"/>
      <c r="J793" s="686"/>
      <c r="K793" s="686"/>
      <c r="L793" s="686"/>
      <c r="M793" s="686"/>
      <c r="N793" s="686"/>
      <c r="O793" s="687"/>
      <c r="P793" s="686"/>
      <c r="Q793" s="686"/>
      <c r="R793" s="687"/>
      <c r="S793" s="686"/>
      <c r="T793" s="686"/>
      <c r="U793" s="686"/>
      <c r="V793" s="686"/>
      <c r="W793" s="686"/>
    </row>
    <row r="794" ht="13.8" customHeight="1">
      <c r="A794" s="686"/>
      <c r="B794" s="686"/>
      <c r="C794" s="823"/>
      <c r="D794" s="686"/>
      <c r="E794" s="686"/>
      <c r="F794" s="686"/>
      <c r="G794" s="687"/>
      <c r="H794" s="686"/>
      <c r="I794" s="687"/>
      <c r="J794" s="686"/>
      <c r="K794" s="686"/>
      <c r="L794" s="686"/>
      <c r="M794" s="686"/>
      <c r="N794" s="686"/>
      <c r="O794" s="687"/>
      <c r="P794" s="686"/>
      <c r="Q794" s="686"/>
      <c r="R794" s="687"/>
      <c r="S794" s="686"/>
      <c r="T794" s="686"/>
      <c r="U794" s="686"/>
      <c r="V794" s="686"/>
      <c r="W794" s="686"/>
    </row>
    <row r="795" ht="13.8" customHeight="1">
      <c r="A795" s="686"/>
      <c r="B795" s="686"/>
      <c r="C795" s="823"/>
      <c r="D795" s="686"/>
      <c r="E795" s="686"/>
      <c r="F795" s="686"/>
      <c r="G795" s="687"/>
      <c r="H795" s="686"/>
      <c r="I795" s="687"/>
      <c r="J795" s="686"/>
      <c r="K795" s="686"/>
      <c r="L795" s="686"/>
      <c r="M795" s="686"/>
      <c r="N795" s="686"/>
      <c r="O795" s="687"/>
      <c r="P795" s="686"/>
      <c r="Q795" s="686"/>
      <c r="R795" s="687"/>
      <c r="S795" s="686"/>
      <c r="T795" s="686"/>
      <c r="U795" s="686"/>
      <c r="V795" s="686"/>
      <c r="W795" s="686"/>
    </row>
    <row r="796" ht="13.8" customHeight="1">
      <c r="A796" s="686"/>
      <c r="B796" s="686"/>
      <c r="C796" s="823"/>
      <c r="D796" s="686"/>
      <c r="E796" s="686"/>
      <c r="F796" s="686"/>
      <c r="G796" s="687"/>
      <c r="H796" s="686"/>
      <c r="I796" s="687"/>
      <c r="J796" s="686"/>
      <c r="K796" s="686"/>
      <c r="L796" s="686"/>
      <c r="M796" s="686"/>
      <c r="N796" s="686"/>
      <c r="O796" s="687"/>
      <c r="P796" s="686"/>
      <c r="Q796" s="686"/>
      <c r="R796" s="687"/>
      <c r="S796" s="686"/>
      <c r="T796" s="686"/>
      <c r="U796" s="686"/>
      <c r="V796" s="686"/>
      <c r="W796" s="686"/>
    </row>
    <row r="797" ht="13.8" customHeight="1">
      <c r="A797" s="686"/>
      <c r="B797" s="686"/>
      <c r="C797" s="823"/>
      <c r="D797" s="686"/>
      <c r="E797" s="686"/>
      <c r="F797" s="686"/>
      <c r="G797" s="687"/>
      <c r="H797" s="686"/>
      <c r="I797" s="687"/>
      <c r="J797" s="686"/>
      <c r="K797" s="686"/>
      <c r="L797" s="686"/>
      <c r="M797" s="686"/>
      <c r="N797" s="686"/>
      <c r="O797" s="687"/>
      <c r="P797" s="686"/>
      <c r="Q797" s="686"/>
      <c r="R797" s="687"/>
      <c r="S797" s="686"/>
      <c r="T797" s="686"/>
      <c r="U797" s="686"/>
      <c r="V797" s="686"/>
      <c r="W797" s="686"/>
    </row>
    <row r="798" ht="13.8" customHeight="1">
      <c r="A798" s="686"/>
      <c r="B798" s="686"/>
      <c r="C798" s="823"/>
      <c r="D798" s="686"/>
      <c r="E798" s="686"/>
      <c r="F798" s="686"/>
      <c r="G798" s="687"/>
      <c r="H798" s="686"/>
      <c r="I798" s="687"/>
      <c r="J798" s="686"/>
      <c r="K798" s="686"/>
      <c r="L798" s="686"/>
      <c r="M798" s="686"/>
      <c r="N798" s="686"/>
      <c r="O798" s="687"/>
      <c r="P798" s="686"/>
      <c r="Q798" s="686"/>
      <c r="R798" s="687"/>
      <c r="S798" s="686"/>
      <c r="T798" s="686"/>
      <c r="U798" s="686"/>
      <c r="V798" s="686"/>
      <c r="W798" s="686"/>
    </row>
    <row r="799" ht="13.8" customHeight="1">
      <c r="A799" s="686"/>
      <c r="B799" s="686"/>
      <c r="C799" s="823"/>
      <c r="D799" s="686"/>
      <c r="E799" s="686"/>
      <c r="F799" s="686"/>
      <c r="G799" s="687"/>
      <c r="H799" s="686"/>
      <c r="I799" s="687"/>
      <c r="J799" s="686"/>
      <c r="K799" s="686"/>
      <c r="L799" s="686"/>
      <c r="M799" s="686"/>
      <c r="N799" s="686"/>
      <c r="O799" s="687"/>
      <c r="P799" s="686"/>
      <c r="Q799" s="686"/>
      <c r="R799" s="687"/>
      <c r="S799" s="686"/>
      <c r="T799" s="686"/>
      <c r="U799" s="686"/>
      <c r="V799" s="686"/>
      <c r="W799" s="686"/>
    </row>
    <row r="800" ht="13.8" customHeight="1">
      <c r="A800" s="686"/>
      <c r="B800" s="686"/>
      <c r="C800" s="823"/>
      <c r="D800" s="686"/>
      <c r="E800" s="686"/>
      <c r="F800" s="686"/>
      <c r="G800" s="687"/>
      <c r="H800" s="686"/>
      <c r="I800" s="687"/>
      <c r="J800" s="686"/>
      <c r="K800" s="686"/>
      <c r="L800" s="686"/>
      <c r="M800" s="686"/>
      <c r="N800" s="686"/>
      <c r="O800" s="687"/>
      <c r="P800" s="686"/>
      <c r="Q800" s="686"/>
      <c r="R800" s="687"/>
      <c r="S800" s="686"/>
      <c r="T800" s="686"/>
      <c r="U800" s="686"/>
      <c r="V800" s="686"/>
      <c r="W800" s="686"/>
    </row>
    <row r="801" ht="13.8" customHeight="1">
      <c r="A801" s="686"/>
      <c r="B801" s="686"/>
      <c r="C801" s="823"/>
      <c r="D801" s="686"/>
      <c r="E801" s="686"/>
      <c r="F801" s="686"/>
      <c r="G801" s="687"/>
      <c r="H801" s="686"/>
      <c r="I801" s="687"/>
      <c r="J801" s="686"/>
      <c r="K801" s="686"/>
      <c r="L801" s="686"/>
      <c r="M801" s="686"/>
      <c r="N801" s="686"/>
      <c r="O801" s="687"/>
      <c r="P801" s="686"/>
      <c r="Q801" s="686"/>
      <c r="R801" s="687"/>
      <c r="S801" s="686"/>
      <c r="T801" s="686"/>
      <c r="U801" s="686"/>
      <c r="V801" s="686"/>
      <c r="W801" s="686"/>
    </row>
    <row r="802" ht="13.8" customHeight="1">
      <c r="A802" s="686"/>
      <c r="B802" s="686"/>
      <c r="C802" s="823"/>
      <c r="D802" s="686"/>
      <c r="E802" s="686"/>
      <c r="F802" s="686"/>
      <c r="G802" s="687"/>
      <c r="H802" s="686"/>
      <c r="I802" s="687"/>
      <c r="J802" s="686"/>
      <c r="K802" s="686"/>
      <c r="L802" s="686"/>
      <c r="M802" s="686"/>
      <c r="N802" s="686"/>
      <c r="O802" s="687"/>
      <c r="P802" s="686"/>
      <c r="Q802" s="686"/>
      <c r="R802" s="687"/>
      <c r="S802" s="686"/>
      <c r="T802" s="686"/>
      <c r="U802" s="686"/>
      <c r="V802" s="686"/>
      <c r="W802" s="686"/>
    </row>
    <row r="803" ht="13.8" customHeight="1">
      <c r="A803" s="686"/>
      <c r="B803" s="686"/>
      <c r="C803" s="823"/>
      <c r="D803" s="686"/>
      <c r="E803" s="686"/>
      <c r="F803" s="686"/>
      <c r="G803" s="687"/>
      <c r="H803" s="686"/>
      <c r="I803" s="687"/>
      <c r="J803" s="686"/>
      <c r="K803" s="686"/>
      <c r="L803" s="686"/>
      <c r="M803" s="686"/>
      <c r="N803" s="686"/>
      <c r="O803" s="687"/>
      <c r="P803" s="686"/>
      <c r="Q803" s="686"/>
      <c r="R803" s="687"/>
      <c r="S803" s="686"/>
      <c r="T803" s="686"/>
      <c r="U803" s="686"/>
      <c r="V803" s="686"/>
      <c r="W803" s="686"/>
    </row>
    <row r="804" ht="13.8" customHeight="1">
      <c r="A804" s="686"/>
      <c r="B804" s="686"/>
      <c r="C804" s="823"/>
      <c r="D804" s="686"/>
      <c r="E804" s="686"/>
      <c r="F804" s="686"/>
      <c r="G804" s="687"/>
      <c r="H804" s="686"/>
      <c r="I804" s="687"/>
      <c r="J804" s="686"/>
      <c r="K804" s="686"/>
      <c r="L804" s="686"/>
      <c r="M804" s="686"/>
      <c r="N804" s="686"/>
      <c r="O804" s="687"/>
      <c r="P804" s="686"/>
      <c r="Q804" s="686"/>
      <c r="R804" s="687"/>
      <c r="S804" s="686"/>
      <c r="T804" s="686"/>
      <c r="U804" s="686"/>
      <c r="V804" s="686"/>
      <c r="W804" s="686"/>
    </row>
    <row r="805" ht="13.8" customHeight="1">
      <c r="A805" s="686"/>
      <c r="B805" s="686"/>
      <c r="C805" s="823"/>
      <c r="D805" s="686"/>
      <c r="E805" s="686"/>
      <c r="F805" s="686"/>
      <c r="G805" s="687"/>
      <c r="H805" s="686"/>
      <c r="I805" s="687"/>
      <c r="J805" s="686"/>
      <c r="K805" s="686"/>
      <c r="L805" s="686"/>
      <c r="M805" s="686"/>
      <c r="N805" s="686"/>
      <c r="O805" s="687"/>
      <c r="P805" s="686"/>
      <c r="Q805" s="686"/>
      <c r="R805" s="687"/>
      <c r="S805" s="686"/>
      <c r="T805" s="686"/>
      <c r="U805" s="686"/>
      <c r="V805" s="686"/>
      <c r="W805" s="686"/>
    </row>
    <row r="806" ht="13.8" customHeight="1">
      <c r="A806" s="686"/>
      <c r="B806" s="686"/>
      <c r="C806" s="823"/>
      <c r="D806" s="686"/>
      <c r="E806" s="686"/>
      <c r="F806" s="686"/>
      <c r="G806" s="687"/>
      <c r="H806" s="686"/>
      <c r="I806" s="687"/>
      <c r="J806" s="686"/>
      <c r="K806" s="686"/>
      <c r="L806" s="686"/>
      <c r="M806" s="686"/>
      <c r="N806" s="686"/>
      <c r="O806" s="687"/>
      <c r="P806" s="686"/>
      <c r="Q806" s="686"/>
      <c r="R806" s="687"/>
      <c r="S806" s="686"/>
      <c r="T806" s="686"/>
      <c r="U806" s="686"/>
      <c r="V806" s="686"/>
      <c r="W806" s="686"/>
    </row>
    <row r="807" ht="13.8" customHeight="1">
      <c r="A807" s="686"/>
      <c r="B807" s="686"/>
      <c r="C807" s="823"/>
      <c r="D807" s="686"/>
      <c r="E807" s="686"/>
      <c r="F807" s="686"/>
      <c r="G807" s="687"/>
      <c r="H807" s="686"/>
      <c r="I807" s="687"/>
      <c r="J807" s="686"/>
      <c r="K807" s="686"/>
      <c r="L807" s="686"/>
      <c r="M807" s="686"/>
      <c r="N807" s="686"/>
      <c r="O807" s="687"/>
      <c r="P807" s="686"/>
      <c r="Q807" s="686"/>
      <c r="R807" s="687"/>
      <c r="S807" s="686"/>
      <c r="T807" s="686"/>
      <c r="U807" s="686"/>
      <c r="V807" s="686"/>
      <c r="W807" s="686"/>
    </row>
    <row r="808" ht="13.8" customHeight="1">
      <c r="A808" s="686"/>
      <c r="B808" s="686"/>
      <c r="C808" s="823"/>
      <c r="D808" s="686"/>
      <c r="E808" s="686"/>
      <c r="F808" s="686"/>
      <c r="G808" s="687"/>
      <c r="H808" s="686"/>
      <c r="I808" s="687"/>
      <c r="J808" s="686"/>
      <c r="K808" s="686"/>
      <c r="L808" s="686"/>
      <c r="M808" s="686"/>
      <c r="N808" s="686"/>
      <c r="O808" s="687"/>
      <c r="P808" s="686"/>
      <c r="Q808" s="686"/>
      <c r="R808" s="687"/>
      <c r="S808" s="686"/>
      <c r="T808" s="686"/>
      <c r="U808" s="686"/>
      <c r="V808" s="686"/>
      <c r="W808" s="686"/>
    </row>
    <row r="809" ht="13.8" customHeight="1">
      <c r="A809" s="686"/>
      <c r="B809" s="686"/>
      <c r="C809" s="823"/>
      <c r="D809" s="686"/>
      <c r="E809" s="686"/>
      <c r="F809" s="686"/>
      <c r="G809" s="687"/>
      <c r="H809" s="686"/>
      <c r="I809" s="687"/>
      <c r="J809" s="686"/>
      <c r="K809" s="686"/>
      <c r="L809" s="686"/>
      <c r="M809" s="686"/>
      <c r="N809" s="686"/>
      <c r="O809" s="687"/>
      <c r="P809" s="686"/>
      <c r="Q809" s="686"/>
      <c r="R809" s="687"/>
      <c r="S809" s="686"/>
      <c r="T809" s="686"/>
      <c r="U809" s="686"/>
      <c r="V809" s="686"/>
      <c r="W809" s="686"/>
    </row>
    <row r="810" ht="13.8" customHeight="1">
      <c r="A810" s="686"/>
      <c r="B810" s="686"/>
      <c r="C810" s="823"/>
      <c r="D810" s="686"/>
      <c r="E810" s="686"/>
      <c r="F810" s="686"/>
      <c r="G810" s="687"/>
      <c r="H810" s="686"/>
      <c r="I810" s="687"/>
      <c r="J810" s="686"/>
      <c r="K810" s="686"/>
      <c r="L810" s="686"/>
      <c r="M810" s="686"/>
      <c r="N810" s="686"/>
      <c r="O810" s="687"/>
      <c r="P810" s="686"/>
      <c r="Q810" s="686"/>
      <c r="R810" s="687"/>
      <c r="S810" s="686"/>
      <c r="T810" s="686"/>
      <c r="U810" s="686"/>
      <c r="V810" s="686"/>
      <c r="W810" s="686"/>
    </row>
    <row r="811" ht="13.8" customHeight="1">
      <c r="A811" s="686"/>
      <c r="B811" s="686"/>
      <c r="C811" s="823"/>
      <c r="D811" s="686"/>
      <c r="E811" s="686"/>
      <c r="F811" s="686"/>
      <c r="G811" s="687"/>
      <c r="H811" s="686"/>
      <c r="I811" s="687"/>
      <c r="J811" s="686"/>
      <c r="K811" s="686"/>
      <c r="L811" s="686"/>
      <c r="M811" s="686"/>
      <c r="N811" s="686"/>
      <c r="O811" s="687"/>
      <c r="P811" s="686"/>
      <c r="Q811" s="686"/>
      <c r="R811" s="687"/>
      <c r="S811" s="686"/>
      <c r="T811" s="686"/>
      <c r="U811" s="686"/>
      <c r="V811" s="686"/>
      <c r="W811" s="686"/>
    </row>
    <row r="812" ht="13.8" customHeight="1">
      <c r="A812" s="686"/>
      <c r="B812" s="686"/>
      <c r="C812" s="823"/>
      <c r="D812" s="686"/>
      <c r="E812" s="686"/>
      <c r="F812" s="686"/>
      <c r="G812" s="687"/>
      <c r="H812" s="686"/>
      <c r="I812" s="687"/>
      <c r="J812" s="686"/>
      <c r="K812" s="686"/>
      <c r="L812" s="686"/>
      <c r="M812" s="686"/>
      <c r="N812" s="686"/>
      <c r="O812" s="687"/>
      <c r="P812" s="686"/>
      <c r="Q812" s="686"/>
      <c r="R812" s="687"/>
      <c r="S812" s="686"/>
      <c r="T812" s="686"/>
      <c r="U812" s="686"/>
      <c r="V812" s="686"/>
      <c r="W812" s="686"/>
    </row>
    <row r="813" ht="13.8" customHeight="1">
      <c r="A813" s="686"/>
      <c r="B813" s="686"/>
      <c r="C813" s="823"/>
      <c r="D813" s="686"/>
      <c r="E813" s="686"/>
      <c r="F813" s="686"/>
      <c r="G813" s="687"/>
      <c r="H813" s="686"/>
      <c r="I813" s="687"/>
      <c r="J813" s="686"/>
      <c r="K813" s="686"/>
      <c r="L813" s="686"/>
      <c r="M813" s="686"/>
      <c r="N813" s="686"/>
      <c r="O813" s="687"/>
      <c r="P813" s="686"/>
      <c r="Q813" s="686"/>
      <c r="R813" s="687"/>
      <c r="S813" s="686"/>
      <c r="T813" s="686"/>
      <c r="U813" s="686"/>
      <c r="V813" s="686"/>
      <c r="W813" s="686"/>
    </row>
    <row r="814" ht="13.8" customHeight="1">
      <c r="A814" s="686"/>
      <c r="B814" s="686"/>
      <c r="C814" s="823"/>
      <c r="D814" s="686"/>
      <c r="E814" s="686"/>
      <c r="F814" s="686"/>
      <c r="G814" s="687"/>
      <c r="H814" s="686"/>
      <c r="I814" s="687"/>
      <c r="J814" s="686"/>
      <c r="K814" s="686"/>
      <c r="L814" s="686"/>
      <c r="M814" s="686"/>
      <c r="N814" s="686"/>
      <c r="O814" s="687"/>
      <c r="P814" s="686"/>
      <c r="Q814" s="686"/>
      <c r="R814" s="687"/>
      <c r="S814" s="686"/>
      <c r="T814" s="686"/>
      <c r="U814" s="686"/>
      <c r="V814" s="686"/>
      <c r="W814" s="686"/>
    </row>
    <row r="815" ht="13.8" customHeight="1">
      <c r="A815" s="686"/>
      <c r="B815" s="686"/>
      <c r="C815" s="823"/>
      <c r="D815" s="686"/>
      <c r="E815" s="686"/>
      <c r="F815" s="686"/>
      <c r="G815" s="687"/>
      <c r="H815" s="686"/>
      <c r="I815" s="687"/>
      <c r="J815" s="686"/>
      <c r="K815" s="686"/>
      <c r="L815" s="686"/>
      <c r="M815" s="686"/>
      <c r="N815" s="686"/>
      <c r="O815" s="687"/>
      <c r="P815" s="686"/>
      <c r="Q815" s="686"/>
      <c r="R815" s="687"/>
      <c r="S815" s="686"/>
      <c r="T815" s="686"/>
      <c r="U815" s="686"/>
      <c r="V815" s="686"/>
      <c r="W815" s="686"/>
    </row>
    <row r="816" ht="13.8" customHeight="1">
      <c r="A816" s="686"/>
      <c r="B816" s="686"/>
      <c r="C816" s="823"/>
      <c r="D816" s="686"/>
      <c r="E816" s="686"/>
      <c r="F816" s="686"/>
      <c r="G816" s="687"/>
      <c r="H816" s="686"/>
      <c r="I816" s="687"/>
      <c r="J816" s="686"/>
      <c r="K816" s="686"/>
      <c r="L816" s="686"/>
      <c r="M816" s="686"/>
      <c r="N816" s="686"/>
      <c r="O816" s="687"/>
      <c r="P816" s="686"/>
      <c r="Q816" s="686"/>
      <c r="R816" s="687"/>
      <c r="S816" s="686"/>
      <c r="T816" s="686"/>
      <c r="U816" s="686"/>
      <c r="V816" s="686"/>
      <c r="W816" s="686"/>
    </row>
    <row r="817" ht="13.8" customHeight="1">
      <c r="A817" s="686"/>
      <c r="B817" s="686"/>
      <c r="C817" s="823"/>
      <c r="D817" s="686"/>
      <c r="E817" s="686"/>
      <c r="F817" s="686"/>
      <c r="G817" s="687"/>
      <c r="H817" s="686"/>
      <c r="I817" s="687"/>
      <c r="J817" s="686"/>
      <c r="K817" s="686"/>
      <c r="L817" s="686"/>
      <c r="M817" s="686"/>
      <c r="N817" s="686"/>
      <c r="O817" s="687"/>
      <c r="P817" s="686"/>
      <c r="Q817" s="686"/>
      <c r="R817" s="687"/>
      <c r="S817" s="686"/>
      <c r="T817" s="686"/>
      <c r="U817" s="686"/>
      <c r="V817" s="686"/>
      <c r="W817" s="686"/>
    </row>
    <row r="818" ht="13.8" customHeight="1">
      <c r="A818" s="686"/>
      <c r="B818" s="686"/>
      <c r="C818" s="823"/>
      <c r="D818" s="686"/>
      <c r="E818" s="686"/>
      <c r="F818" s="686"/>
      <c r="G818" s="687"/>
      <c r="H818" s="686"/>
      <c r="I818" s="687"/>
      <c r="J818" s="686"/>
      <c r="K818" s="686"/>
      <c r="L818" s="686"/>
      <c r="M818" s="686"/>
      <c r="N818" s="686"/>
      <c r="O818" s="687"/>
      <c r="P818" s="686"/>
      <c r="Q818" s="686"/>
      <c r="R818" s="687"/>
      <c r="S818" s="686"/>
      <c r="T818" s="686"/>
      <c r="U818" s="686"/>
      <c r="V818" s="686"/>
      <c r="W818" s="686"/>
    </row>
    <row r="819" ht="13.8" customHeight="1">
      <c r="A819" s="686"/>
      <c r="B819" s="686"/>
      <c r="C819" s="823"/>
      <c r="D819" s="686"/>
      <c r="E819" s="686"/>
      <c r="F819" s="686"/>
      <c r="G819" s="687"/>
      <c r="H819" s="686"/>
      <c r="I819" s="687"/>
      <c r="J819" s="686"/>
      <c r="K819" s="686"/>
      <c r="L819" s="686"/>
      <c r="M819" s="686"/>
      <c r="N819" s="686"/>
      <c r="O819" s="687"/>
      <c r="P819" s="686"/>
      <c r="Q819" s="686"/>
      <c r="R819" s="687"/>
      <c r="S819" s="686"/>
      <c r="T819" s="686"/>
      <c r="U819" s="686"/>
      <c r="V819" s="686"/>
      <c r="W819" s="686"/>
    </row>
    <row r="820" ht="13.8" customHeight="1">
      <c r="A820" s="686"/>
      <c r="B820" s="686"/>
      <c r="C820" s="823"/>
      <c r="D820" s="686"/>
      <c r="E820" s="686"/>
      <c r="F820" s="686"/>
      <c r="G820" s="687"/>
      <c r="H820" s="686"/>
      <c r="I820" s="687"/>
      <c r="J820" s="686"/>
      <c r="K820" s="686"/>
      <c r="L820" s="686"/>
      <c r="M820" s="686"/>
      <c r="N820" s="686"/>
      <c r="O820" s="687"/>
      <c r="P820" s="686"/>
      <c r="Q820" s="686"/>
      <c r="R820" s="687"/>
      <c r="S820" s="686"/>
      <c r="T820" s="686"/>
      <c r="U820" s="686"/>
      <c r="V820" s="686"/>
      <c r="W820" s="686"/>
    </row>
    <row r="821" ht="13.8" customHeight="1">
      <c r="A821" s="686"/>
      <c r="B821" s="686"/>
      <c r="C821" s="823"/>
      <c r="D821" s="686"/>
      <c r="E821" s="686"/>
      <c r="F821" s="686"/>
      <c r="G821" s="687"/>
      <c r="H821" s="686"/>
      <c r="I821" s="687"/>
      <c r="J821" s="686"/>
      <c r="K821" s="686"/>
      <c r="L821" s="686"/>
      <c r="M821" s="686"/>
      <c r="N821" s="686"/>
      <c r="O821" s="687"/>
      <c r="P821" s="686"/>
      <c r="Q821" s="686"/>
      <c r="R821" s="687"/>
      <c r="S821" s="686"/>
      <c r="T821" s="686"/>
      <c r="U821" s="686"/>
      <c r="V821" s="686"/>
      <c r="W821" s="686"/>
    </row>
    <row r="822" ht="13.8" customHeight="1">
      <c r="A822" s="686"/>
      <c r="B822" s="686"/>
      <c r="C822" s="823"/>
      <c r="D822" s="686"/>
      <c r="E822" s="686"/>
      <c r="F822" s="686"/>
      <c r="G822" s="687"/>
      <c r="H822" s="686"/>
      <c r="I822" s="687"/>
      <c r="J822" s="686"/>
      <c r="K822" s="686"/>
      <c r="L822" s="686"/>
      <c r="M822" s="686"/>
      <c r="N822" s="686"/>
      <c r="O822" s="687"/>
      <c r="P822" s="686"/>
      <c r="Q822" s="686"/>
      <c r="R822" s="687"/>
      <c r="S822" s="686"/>
      <c r="T822" s="686"/>
      <c r="U822" s="686"/>
      <c r="V822" s="686"/>
      <c r="W822" s="686"/>
    </row>
    <row r="823" ht="13.8" customHeight="1">
      <c r="A823" s="686"/>
      <c r="B823" s="686"/>
      <c r="C823" s="823"/>
      <c r="D823" s="686"/>
      <c r="E823" s="686"/>
      <c r="F823" s="686"/>
      <c r="G823" s="687"/>
      <c r="H823" s="686"/>
      <c r="I823" s="687"/>
      <c r="J823" s="686"/>
      <c r="K823" s="686"/>
      <c r="L823" s="686"/>
      <c r="M823" s="686"/>
      <c r="N823" s="686"/>
      <c r="O823" s="687"/>
      <c r="P823" s="686"/>
      <c r="Q823" s="686"/>
      <c r="R823" s="687"/>
      <c r="S823" s="686"/>
      <c r="T823" s="686"/>
      <c r="U823" s="686"/>
      <c r="V823" s="686"/>
      <c r="W823" s="686"/>
    </row>
    <row r="824" ht="13.8" customHeight="1">
      <c r="A824" s="686"/>
      <c r="B824" s="686"/>
      <c r="C824" s="823"/>
      <c r="D824" s="686"/>
      <c r="E824" s="686"/>
      <c r="F824" s="686"/>
      <c r="G824" s="687"/>
      <c r="H824" s="686"/>
      <c r="I824" s="687"/>
      <c r="J824" s="686"/>
      <c r="K824" s="686"/>
      <c r="L824" s="686"/>
      <c r="M824" s="686"/>
      <c r="N824" s="686"/>
      <c r="O824" s="687"/>
      <c r="P824" s="686"/>
      <c r="Q824" s="686"/>
      <c r="R824" s="687"/>
      <c r="S824" s="686"/>
      <c r="T824" s="686"/>
      <c r="U824" s="686"/>
      <c r="V824" s="686"/>
      <c r="W824" s="686"/>
    </row>
    <row r="825" ht="13.8" customHeight="1">
      <c r="A825" s="686"/>
      <c r="B825" s="686"/>
      <c r="C825" s="823"/>
      <c r="D825" s="686"/>
      <c r="E825" s="686"/>
      <c r="F825" s="686"/>
      <c r="G825" s="687"/>
      <c r="H825" s="686"/>
      <c r="I825" s="687"/>
      <c r="J825" s="686"/>
      <c r="K825" s="686"/>
      <c r="L825" s="686"/>
      <c r="M825" s="686"/>
      <c r="N825" s="686"/>
      <c r="O825" s="687"/>
      <c r="P825" s="686"/>
      <c r="Q825" s="686"/>
      <c r="R825" s="687"/>
      <c r="S825" s="686"/>
      <c r="T825" s="686"/>
      <c r="U825" s="686"/>
      <c r="V825" s="686"/>
      <c r="W825" s="686"/>
    </row>
    <row r="826" ht="13.8" customHeight="1">
      <c r="A826" s="686"/>
      <c r="B826" s="686"/>
      <c r="C826" s="823"/>
      <c r="D826" s="686"/>
      <c r="E826" s="686"/>
      <c r="F826" s="686"/>
      <c r="G826" s="687"/>
      <c r="H826" s="686"/>
      <c r="I826" s="687"/>
      <c r="J826" s="686"/>
      <c r="K826" s="686"/>
      <c r="L826" s="686"/>
      <c r="M826" s="686"/>
      <c r="N826" s="686"/>
      <c r="O826" s="687"/>
      <c r="P826" s="686"/>
      <c r="Q826" s="686"/>
      <c r="R826" s="687"/>
      <c r="S826" s="686"/>
      <c r="T826" s="686"/>
      <c r="U826" s="686"/>
      <c r="V826" s="686"/>
      <c r="W826" s="686"/>
    </row>
    <row r="827" ht="13.8" customHeight="1">
      <c r="A827" s="686"/>
      <c r="B827" s="686"/>
      <c r="C827" s="823"/>
      <c r="D827" s="686"/>
      <c r="E827" s="686"/>
      <c r="F827" s="686"/>
      <c r="G827" s="687"/>
      <c r="H827" s="686"/>
      <c r="I827" s="687"/>
      <c r="J827" s="686"/>
      <c r="K827" s="686"/>
      <c r="L827" s="686"/>
      <c r="M827" s="686"/>
      <c r="N827" s="686"/>
      <c r="O827" s="687"/>
      <c r="P827" s="686"/>
      <c r="Q827" s="686"/>
      <c r="R827" s="687"/>
      <c r="S827" s="686"/>
      <c r="T827" s="686"/>
      <c r="U827" s="686"/>
      <c r="V827" s="686"/>
      <c r="W827" s="686"/>
    </row>
    <row r="828" ht="13.8" customHeight="1">
      <c r="A828" s="686"/>
      <c r="B828" s="686"/>
      <c r="C828" s="823"/>
      <c r="D828" s="686"/>
      <c r="E828" s="686"/>
      <c r="F828" s="686"/>
      <c r="G828" s="687"/>
      <c r="H828" s="686"/>
      <c r="I828" s="687"/>
      <c r="J828" s="686"/>
      <c r="K828" s="686"/>
      <c r="L828" s="686"/>
      <c r="M828" s="686"/>
      <c r="N828" s="686"/>
      <c r="O828" s="687"/>
      <c r="P828" s="686"/>
      <c r="Q828" s="686"/>
      <c r="R828" s="687"/>
      <c r="S828" s="686"/>
      <c r="T828" s="686"/>
      <c r="U828" s="686"/>
      <c r="V828" s="686"/>
      <c r="W828" s="686"/>
    </row>
    <row r="829" ht="13.8" customHeight="1">
      <c r="A829" s="686"/>
      <c r="B829" s="686"/>
      <c r="C829" s="823"/>
      <c r="D829" s="686"/>
      <c r="E829" s="686"/>
      <c r="F829" s="686"/>
      <c r="G829" s="687"/>
      <c r="H829" s="686"/>
      <c r="I829" s="687"/>
      <c r="J829" s="686"/>
      <c r="K829" s="686"/>
      <c r="L829" s="686"/>
      <c r="M829" s="686"/>
      <c r="N829" s="686"/>
      <c r="O829" s="687"/>
      <c r="P829" s="686"/>
      <c r="Q829" s="686"/>
      <c r="R829" s="687"/>
      <c r="S829" s="686"/>
      <c r="T829" s="686"/>
      <c r="U829" s="686"/>
      <c r="V829" s="686"/>
      <c r="W829" s="686"/>
    </row>
    <row r="830" ht="13.8" customHeight="1">
      <c r="A830" s="686"/>
      <c r="B830" s="686"/>
      <c r="C830" s="823"/>
      <c r="D830" s="686"/>
      <c r="E830" s="686"/>
      <c r="F830" s="686"/>
      <c r="G830" s="687"/>
      <c r="H830" s="686"/>
      <c r="I830" s="687"/>
      <c r="J830" s="686"/>
      <c r="K830" s="686"/>
      <c r="L830" s="686"/>
      <c r="M830" s="686"/>
      <c r="N830" s="686"/>
      <c r="O830" s="687"/>
      <c r="P830" s="686"/>
      <c r="Q830" s="686"/>
      <c r="R830" s="687"/>
      <c r="S830" s="686"/>
      <c r="T830" s="686"/>
      <c r="U830" s="686"/>
      <c r="V830" s="686"/>
      <c r="W830" s="686"/>
    </row>
    <row r="831" ht="13.8" customHeight="1">
      <c r="A831" s="686"/>
      <c r="B831" s="686"/>
      <c r="C831" s="823"/>
      <c r="D831" s="686"/>
      <c r="E831" s="686"/>
      <c r="F831" s="686"/>
      <c r="G831" s="687"/>
      <c r="H831" s="686"/>
      <c r="I831" s="687"/>
      <c r="J831" s="686"/>
      <c r="K831" s="686"/>
      <c r="L831" s="686"/>
      <c r="M831" s="686"/>
      <c r="N831" s="686"/>
      <c r="O831" s="687"/>
      <c r="P831" s="686"/>
      <c r="Q831" s="686"/>
      <c r="R831" s="687"/>
      <c r="S831" s="686"/>
      <c r="T831" s="686"/>
      <c r="U831" s="686"/>
      <c r="V831" s="686"/>
      <c r="W831" s="686"/>
    </row>
    <row r="832" ht="13.8" customHeight="1">
      <c r="A832" s="686"/>
      <c r="B832" s="686"/>
      <c r="C832" s="823"/>
      <c r="D832" s="686"/>
      <c r="E832" s="686"/>
      <c r="F832" s="686"/>
      <c r="G832" s="687"/>
      <c r="H832" s="686"/>
      <c r="I832" s="687"/>
      <c r="J832" s="686"/>
      <c r="K832" s="686"/>
      <c r="L832" s="686"/>
      <c r="M832" s="686"/>
      <c r="N832" s="686"/>
      <c r="O832" s="687"/>
      <c r="P832" s="686"/>
      <c r="Q832" s="686"/>
      <c r="R832" s="687"/>
      <c r="S832" s="686"/>
      <c r="T832" s="686"/>
      <c r="U832" s="686"/>
      <c r="V832" s="686"/>
      <c r="W832" s="686"/>
    </row>
    <row r="833" ht="13.8" customHeight="1">
      <c r="A833" s="686"/>
      <c r="B833" s="686"/>
      <c r="C833" s="823"/>
      <c r="D833" s="686"/>
      <c r="E833" s="686"/>
      <c r="F833" s="686"/>
      <c r="G833" s="687"/>
      <c r="H833" s="686"/>
      <c r="I833" s="687"/>
      <c r="J833" s="686"/>
      <c r="K833" s="686"/>
      <c r="L833" s="686"/>
      <c r="M833" s="686"/>
      <c r="N833" s="686"/>
      <c r="O833" s="687"/>
      <c r="P833" s="686"/>
      <c r="Q833" s="686"/>
      <c r="R833" s="687"/>
      <c r="S833" s="686"/>
      <c r="T833" s="686"/>
      <c r="U833" s="686"/>
      <c r="V833" s="686"/>
      <c r="W833" s="686"/>
    </row>
    <row r="834" ht="13.8" customHeight="1">
      <c r="A834" s="686"/>
      <c r="B834" s="686"/>
      <c r="C834" s="823"/>
      <c r="D834" s="686"/>
      <c r="E834" s="686"/>
      <c r="F834" s="686"/>
      <c r="G834" s="687"/>
      <c r="H834" s="686"/>
      <c r="I834" s="687"/>
      <c r="J834" s="686"/>
      <c r="K834" s="686"/>
      <c r="L834" s="686"/>
      <c r="M834" s="686"/>
      <c r="N834" s="686"/>
      <c r="O834" s="687"/>
      <c r="P834" s="686"/>
      <c r="Q834" s="686"/>
      <c r="R834" s="687"/>
      <c r="S834" s="686"/>
      <c r="T834" s="686"/>
      <c r="U834" s="686"/>
      <c r="V834" s="686"/>
      <c r="W834" s="686"/>
    </row>
    <row r="835" ht="13.8" customHeight="1">
      <c r="A835" s="686"/>
      <c r="B835" s="686"/>
      <c r="C835" s="823"/>
      <c r="D835" s="686"/>
      <c r="E835" s="686"/>
      <c r="F835" s="686"/>
      <c r="G835" s="687"/>
      <c r="H835" s="686"/>
      <c r="I835" s="687"/>
      <c r="J835" s="686"/>
      <c r="K835" s="686"/>
      <c r="L835" s="686"/>
      <c r="M835" s="686"/>
      <c r="N835" s="686"/>
      <c r="O835" s="687"/>
      <c r="P835" s="686"/>
      <c r="Q835" s="686"/>
      <c r="R835" s="687"/>
      <c r="S835" s="686"/>
      <c r="T835" s="686"/>
      <c r="U835" s="686"/>
      <c r="V835" s="686"/>
      <c r="W835" s="686"/>
    </row>
    <row r="836" ht="13.8" customHeight="1">
      <c r="A836" s="686"/>
      <c r="B836" s="686"/>
      <c r="C836" s="823"/>
      <c r="D836" s="686"/>
      <c r="E836" s="686"/>
      <c r="F836" s="686"/>
      <c r="G836" s="687"/>
      <c r="H836" s="686"/>
      <c r="I836" s="687"/>
      <c r="J836" s="686"/>
      <c r="K836" s="686"/>
      <c r="L836" s="686"/>
      <c r="M836" s="686"/>
      <c r="N836" s="686"/>
      <c r="O836" s="687"/>
      <c r="P836" s="686"/>
      <c r="Q836" s="686"/>
      <c r="R836" s="687"/>
      <c r="S836" s="686"/>
      <c r="T836" s="686"/>
      <c r="U836" s="686"/>
      <c r="V836" s="686"/>
      <c r="W836" s="686"/>
    </row>
    <row r="837" ht="13.8" customHeight="1">
      <c r="A837" s="686"/>
      <c r="B837" s="686"/>
      <c r="C837" s="823"/>
      <c r="D837" s="686"/>
      <c r="E837" s="686"/>
      <c r="F837" s="686"/>
      <c r="G837" s="687"/>
      <c r="H837" s="686"/>
      <c r="I837" s="687"/>
      <c r="J837" s="686"/>
      <c r="K837" s="686"/>
      <c r="L837" s="686"/>
      <c r="M837" s="686"/>
      <c r="N837" s="686"/>
      <c r="O837" s="687"/>
      <c r="P837" s="686"/>
      <c r="Q837" s="686"/>
      <c r="R837" s="687"/>
      <c r="S837" s="686"/>
      <c r="T837" s="686"/>
      <c r="U837" s="686"/>
      <c r="V837" s="686"/>
      <c r="W837" s="686"/>
    </row>
    <row r="838" ht="13.8" customHeight="1">
      <c r="A838" s="686"/>
      <c r="B838" s="686"/>
      <c r="C838" s="823"/>
      <c r="D838" s="686"/>
      <c r="E838" s="686"/>
      <c r="F838" s="686"/>
      <c r="G838" s="687"/>
      <c r="H838" s="686"/>
      <c r="I838" s="687"/>
      <c r="J838" s="686"/>
      <c r="K838" s="686"/>
      <c r="L838" s="686"/>
      <c r="M838" s="686"/>
      <c r="N838" s="686"/>
      <c r="O838" s="687"/>
      <c r="P838" s="686"/>
      <c r="Q838" s="686"/>
      <c r="R838" s="687"/>
      <c r="S838" s="686"/>
      <c r="T838" s="686"/>
      <c r="U838" s="686"/>
      <c r="V838" s="686"/>
      <c r="W838" s="686"/>
    </row>
    <row r="839" ht="13.8" customHeight="1">
      <c r="A839" s="686"/>
      <c r="B839" s="686"/>
      <c r="C839" s="823"/>
      <c r="D839" s="686"/>
      <c r="E839" s="686"/>
      <c r="F839" s="686"/>
      <c r="G839" s="687"/>
      <c r="H839" s="686"/>
      <c r="I839" s="687"/>
      <c r="J839" s="686"/>
      <c r="K839" s="686"/>
      <c r="L839" s="686"/>
      <c r="M839" s="686"/>
      <c r="N839" s="686"/>
      <c r="O839" s="687"/>
      <c r="P839" s="686"/>
      <c r="Q839" s="686"/>
      <c r="R839" s="687"/>
      <c r="S839" s="686"/>
      <c r="T839" s="686"/>
      <c r="U839" s="686"/>
      <c r="V839" s="686"/>
      <c r="W839" s="686"/>
    </row>
    <row r="840" ht="13.8" customHeight="1">
      <c r="A840" s="686"/>
      <c r="B840" s="686"/>
      <c r="C840" s="823"/>
      <c r="D840" s="686"/>
      <c r="E840" s="686"/>
      <c r="F840" s="686"/>
      <c r="G840" s="687"/>
      <c r="H840" s="686"/>
      <c r="I840" s="687"/>
      <c r="J840" s="686"/>
      <c r="K840" s="686"/>
      <c r="L840" s="686"/>
      <c r="M840" s="686"/>
      <c r="N840" s="686"/>
      <c r="O840" s="687"/>
      <c r="P840" s="686"/>
      <c r="Q840" s="686"/>
      <c r="R840" s="687"/>
      <c r="S840" s="686"/>
      <c r="T840" s="686"/>
      <c r="U840" s="686"/>
      <c r="V840" s="686"/>
      <c r="W840" s="686"/>
    </row>
    <row r="841" ht="13.8" customHeight="1">
      <c r="A841" s="686"/>
      <c r="B841" s="686"/>
      <c r="C841" s="823"/>
      <c r="D841" s="686"/>
      <c r="E841" s="686"/>
      <c r="F841" s="686"/>
      <c r="G841" s="687"/>
      <c r="H841" s="686"/>
      <c r="I841" s="687"/>
      <c r="J841" s="686"/>
      <c r="K841" s="686"/>
      <c r="L841" s="686"/>
      <c r="M841" s="686"/>
      <c r="N841" s="686"/>
      <c r="O841" s="687"/>
      <c r="P841" s="686"/>
      <c r="Q841" s="686"/>
      <c r="R841" s="687"/>
      <c r="S841" s="686"/>
      <c r="T841" s="686"/>
      <c r="U841" s="686"/>
      <c r="V841" s="686"/>
      <c r="W841" s="686"/>
    </row>
    <row r="842" ht="13.8" customHeight="1">
      <c r="A842" s="686"/>
      <c r="B842" s="686"/>
      <c r="C842" s="823"/>
      <c r="D842" s="686"/>
      <c r="E842" s="686"/>
      <c r="F842" s="686"/>
      <c r="G842" s="687"/>
      <c r="H842" s="686"/>
      <c r="I842" s="687"/>
      <c r="J842" s="686"/>
      <c r="K842" s="686"/>
      <c r="L842" s="686"/>
      <c r="M842" s="686"/>
      <c r="N842" s="686"/>
      <c r="O842" s="687"/>
      <c r="P842" s="686"/>
      <c r="Q842" s="686"/>
      <c r="R842" s="687"/>
      <c r="S842" s="686"/>
      <c r="T842" s="686"/>
      <c r="U842" s="686"/>
      <c r="V842" s="686"/>
      <c r="W842" s="686"/>
    </row>
    <row r="843" ht="13.8" customHeight="1">
      <c r="A843" s="686"/>
      <c r="B843" s="686"/>
      <c r="C843" s="823"/>
      <c r="D843" s="686"/>
      <c r="E843" s="686"/>
      <c r="F843" s="686"/>
      <c r="G843" s="687"/>
      <c r="H843" s="686"/>
      <c r="I843" s="687"/>
      <c r="J843" s="686"/>
      <c r="K843" s="686"/>
      <c r="L843" s="686"/>
      <c r="M843" s="686"/>
      <c r="N843" s="686"/>
      <c r="O843" s="687"/>
      <c r="P843" s="686"/>
      <c r="Q843" s="686"/>
      <c r="R843" s="687"/>
      <c r="S843" s="686"/>
      <c r="T843" s="686"/>
      <c r="U843" s="686"/>
      <c r="V843" s="686"/>
      <c r="W843" s="686"/>
    </row>
    <row r="844" ht="13.8" customHeight="1">
      <c r="A844" s="686"/>
      <c r="B844" s="686"/>
      <c r="C844" s="823"/>
      <c r="D844" s="686"/>
      <c r="E844" s="686"/>
      <c r="F844" s="686"/>
      <c r="G844" s="687"/>
      <c r="H844" s="686"/>
      <c r="I844" s="687"/>
      <c r="J844" s="686"/>
      <c r="K844" s="686"/>
      <c r="L844" s="686"/>
      <c r="M844" s="686"/>
      <c r="N844" s="686"/>
      <c r="O844" s="687"/>
      <c r="P844" s="686"/>
      <c r="Q844" s="686"/>
      <c r="R844" s="687"/>
      <c r="S844" s="686"/>
      <c r="T844" s="686"/>
      <c r="U844" s="686"/>
      <c r="V844" s="686"/>
      <c r="W844" s="686"/>
    </row>
    <row r="845" ht="13.8" customHeight="1">
      <c r="A845" s="686"/>
      <c r="B845" s="686"/>
      <c r="C845" s="823"/>
      <c r="D845" s="686"/>
      <c r="E845" s="686"/>
      <c r="F845" s="686"/>
      <c r="G845" s="687"/>
      <c r="H845" s="686"/>
      <c r="I845" s="687"/>
      <c r="J845" s="686"/>
      <c r="K845" s="686"/>
      <c r="L845" s="686"/>
      <c r="M845" s="686"/>
      <c r="N845" s="686"/>
      <c r="O845" s="687"/>
      <c r="P845" s="686"/>
      <c r="Q845" s="686"/>
      <c r="R845" s="687"/>
      <c r="S845" s="686"/>
      <c r="T845" s="686"/>
      <c r="U845" s="686"/>
      <c r="V845" s="686"/>
      <c r="W845" s="686"/>
    </row>
    <row r="846" ht="13.8" customHeight="1">
      <c r="A846" s="686"/>
      <c r="B846" s="686"/>
      <c r="C846" s="823"/>
      <c r="D846" s="686"/>
      <c r="E846" s="686"/>
      <c r="F846" s="686"/>
      <c r="G846" s="687"/>
      <c r="H846" s="686"/>
      <c r="I846" s="687"/>
      <c r="J846" s="686"/>
      <c r="K846" s="686"/>
      <c r="L846" s="686"/>
      <c r="M846" s="686"/>
      <c r="N846" s="686"/>
      <c r="O846" s="687"/>
      <c r="P846" s="686"/>
      <c r="Q846" s="686"/>
      <c r="R846" s="687"/>
      <c r="S846" s="686"/>
      <c r="T846" s="686"/>
      <c r="U846" s="686"/>
      <c r="V846" s="686"/>
      <c r="W846" s="686"/>
    </row>
    <row r="847" ht="13.8" customHeight="1">
      <c r="A847" s="686"/>
      <c r="B847" s="686"/>
      <c r="C847" s="823"/>
      <c r="D847" s="686"/>
      <c r="E847" s="686"/>
      <c r="F847" s="686"/>
      <c r="G847" s="687"/>
      <c r="H847" s="686"/>
      <c r="I847" s="687"/>
      <c r="J847" s="686"/>
      <c r="K847" s="686"/>
      <c r="L847" s="686"/>
      <c r="M847" s="686"/>
      <c r="N847" s="686"/>
      <c r="O847" s="687"/>
      <c r="P847" s="686"/>
      <c r="Q847" s="686"/>
      <c r="R847" s="687"/>
      <c r="S847" s="686"/>
      <c r="T847" s="686"/>
      <c r="U847" s="686"/>
      <c r="V847" s="686"/>
      <c r="W847" s="686"/>
    </row>
    <row r="848" ht="13.8" customHeight="1">
      <c r="A848" s="686"/>
      <c r="B848" s="686"/>
      <c r="C848" s="823"/>
      <c r="D848" s="686"/>
      <c r="E848" s="686"/>
      <c r="F848" s="686"/>
      <c r="G848" s="687"/>
      <c r="H848" s="686"/>
      <c r="I848" s="687"/>
      <c r="J848" s="686"/>
      <c r="K848" s="686"/>
      <c r="L848" s="686"/>
      <c r="M848" s="686"/>
      <c r="N848" s="686"/>
      <c r="O848" s="687"/>
      <c r="P848" s="686"/>
      <c r="Q848" s="686"/>
      <c r="R848" s="687"/>
      <c r="S848" s="686"/>
      <c r="T848" s="686"/>
      <c r="U848" s="686"/>
      <c r="V848" s="686"/>
      <c r="W848" s="686"/>
    </row>
    <row r="849" ht="13.8" customHeight="1">
      <c r="A849" s="686"/>
      <c r="B849" s="686"/>
      <c r="C849" s="823"/>
      <c r="D849" s="686"/>
      <c r="E849" s="686"/>
      <c r="F849" s="686"/>
      <c r="G849" s="687"/>
      <c r="H849" s="686"/>
      <c r="I849" s="687"/>
      <c r="J849" s="686"/>
      <c r="K849" s="686"/>
      <c r="L849" s="686"/>
      <c r="M849" s="686"/>
      <c r="N849" s="686"/>
      <c r="O849" s="687"/>
      <c r="P849" s="686"/>
      <c r="Q849" s="686"/>
      <c r="R849" s="687"/>
      <c r="S849" s="686"/>
      <c r="T849" s="686"/>
      <c r="U849" s="686"/>
      <c r="V849" s="686"/>
      <c r="W849" s="686"/>
    </row>
    <row r="850" ht="13.8" customHeight="1">
      <c r="A850" s="686"/>
      <c r="B850" s="686"/>
      <c r="C850" s="823"/>
      <c r="D850" s="686"/>
      <c r="E850" s="686"/>
      <c r="F850" s="686"/>
      <c r="G850" s="687"/>
      <c r="H850" s="686"/>
      <c r="I850" s="687"/>
      <c r="J850" s="686"/>
      <c r="K850" s="686"/>
      <c r="L850" s="686"/>
      <c r="M850" s="686"/>
      <c r="N850" s="686"/>
      <c r="O850" s="687"/>
      <c r="P850" s="686"/>
      <c r="Q850" s="686"/>
      <c r="R850" s="687"/>
      <c r="S850" s="686"/>
      <c r="T850" s="686"/>
      <c r="U850" s="686"/>
      <c r="V850" s="686"/>
      <c r="W850" s="686"/>
    </row>
    <row r="851" ht="13.8" customHeight="1">
      <c r="A851" s="686"/>
      <c r="B851" s="686"/>
      <c r="C851" s="823"/>
      <c r="D851" s="686"/>
      <c r="E851" s="686"/>
      <c r="F851" s="686"/>
      <c r="G851" s="687"/>
      <c r="H851" s="686"/>
      <c r="I851" s="687"/>
      <c r="J851" s="686"/>
      <c r="K851" s="686"/>
      <c r="L851" s="686"/>
      <c r="M851" s="686"/>
      <c r="N851" s="686"/>
      <c r="O851" s="687"/>
      <c r="P851" s="686"/>
      <c r="Q851" s="686"/>
      <c r="R851" s="687"/>
      <c r="S851" s="686"/>
      <c r="T851" s="686"/>
      <c r="U851" s="686"/>
      <c r="V851" s="686"/>
      <c r="W851" s="686"/>
    </row>
    <row r="852" ht="13.8" customHeight="1">
      <c r="A852" s="686"/>
      <c r="B852" s="686"/>
      <c r="C852" s="823"/>
      <c r="D852" s="686"/>
      <c r="E852" s="686"/>
      <c r="F852" s="686"/>
      <c r="G852" s="687"/>
      <c r="H852" s="686"/>
      <c r="I852" s="687"/>
      <c r="J852" s="686"/>
      <c r="K852" s="686"/>
      <c r="L852" s="686"/>
      <c r="M852" s="686"/>
      <c r="N852" s="686"/>
      <c r="O852" s="687"/>
      <c r="P852" s="686"/>
      <c r="Q852" s="686"/>
      <c r="R852" s="687"/>
      <c r="S852" s="686"/>
      <c r="T852" s="686"/>
      <c r="U852" s="686"/>
      <c r="V852" s="686"/>
      <c r="W852" s="686"/>
    </row>
    <row r="853" ht="13.8" customHeight="1">
      <c r="A853" s="686"/>
      <c r="B853" s="686"/>
      <c r="C853" s="823"/>
      <c r="D853" s="686"/>
      <c r="E853" s="686"/>
      <c r="F853" s="686"/>
      <c r="G853" s="687"/>
      <c r="H853" s="686"/>
      <c r="I853" s="687"/>
      <c r="J853" s="686"/>
      <c r="K853" s="686"/>
      <c r="L853" s="686"/>
      <c r="M853" s="686"/>
      <c r="N853" s="686"/>
      <c r="O853" s="687"/>
      <c r="P853" s="686"/>
      <c r="Q853" s="686"/>
      <c r="R853" s="687"/>
      <c r="S853" s="686"/>
      <c r="T853" s="686"/>
      <c r="U853" s="686"/>
      <c r="V853" s="686"/>
      <c r="W853" s="686"/>
    </row>
    <row r="854" ht="13.8" customHeight="1">
      <c r="A854" s="686"/>
      <c r="B854" s="686"/>
      <c r="C854" s="823"/>
      <c r="D854" s="686"/>
      <c r="E854" s="686"/>
      <c r="F854" s="686"/>
      <c r="G854" s="687"/>
      <c r="H854" s="686"/>
      <c r="I854" s="687"/>
      <c r="J854" s="686"/>
      <c r="K854" s="686"/>
      <c r="L854" s="686"/>
      <c r="M854" s="686"/>
      <c r="N854" s="686"/>
      <c r="O854" s="687"/>
      <c r="P854" s="686"/>
      <c r="Q854" s="686"/>
      <c r="R854" s="687"/>
      <c r="S854" s="686"/>
      <c r="T854" s="686"/>
      <c r="U854" s="686"/>
      <c r="V854" s="686"/>
      <c r="W854" s="686"/>
    </row>
    <row r="855" ht="13.8" customHeight="1">
      <c r="A855" s="686"/>
      <c r="B855" s="686"/>
      <c r="C855" s="823"/>
      <c r="D855" s="686"/>
      <c r="E855" s="686"/>
      <c r="F855" s="686"/>
      <c r="G855" s="687"/>
      <c r="H855" s="686"/>
      <c r="I855" s="687"/>
      <c r="J855" s="686"/>
      <c r="K855" s="686"/>
      <c r="L855" s="686"/>
      <c r="M855" s="686"/>
      <c r="N855" s="686"/>
      <c r="O855" s="687"/>
      <c r="P855" s="686"/>
      <c r="Q855" s="686"/>
      <c r="R855" s="687"/>
      <c r="S855" s="686"/>
      <c r="T855" s="686"/>
      <c r="U855" s="686"/>
      <c r="V855" s="686"/>
      <c r="W855" s="686"/>
    </row>
    <row r="856" ht="13.8" customHeight="1">
      <c r="A856" s="686"/>
      <c r="B856" s="686"/>
      <c r="C856" s="823"/>
      <c r="D856" s="686"/>
      <c r="E856" s="686"/>
      <c r="F856" s="686"/>
      <c r="G856" s="687"/>
      <c r="H856" s="686"/>
      <c r="I856" s="687"/>
      <c r="J856" s="686"/>
      <c r="K856" s="686"/>
      <c r="L856" s="686"/>
      <c r="M856" s="686"/>
      <c r="N856" s="686"/>
      <c r="O856" s="687"/>
      <c r="P856" s="686"/>
      <c r="Q856" s="686"/>
      <c r="R856" s="687"/>
      <c r="S856" s="686"/>
      <c r="T856" s="686"/>
      <c r="U856" s="686"/>
      <c r="V856" s="686"/>
      <c r="W856" s="686"/>
    </row>
    <row r="857" ht="13.8" customHeight="1">
      <c r="A857" s="686"/>
      <c r="B857" s="686"/>
      <c r="C857" s="823"/>
      <c r="D857" s="686"/>
      <c r="E857" s="686"/>
      <c r="F857" s="686"/>
      <c r="G857" s="687"/>
      <c r="H857" s="686"/>
      <c r="I857" s="687"/>
      <c r="J857" s="686"/>
      <c r="K857" s="686"/>
      <c r="L857" s="686"/>
      <c r="M857" s="686"/>
      <c r="N857" s="686"/>
      <c r="O857" s="687"/>
      <c r="P857" s="686"/>
      <c r="Q857" s="686"/>
      <c r="R857" s="687"/>
      <c r="S857" s="686"/>
      <c r="T857" s="686"/>
      <c r="U857" s="686"/>
      <c r="V857" s="686"/>
      <c r="W857" s="686"/>
    </row>
    <row r="858" ht="13.8" customHeight="1">
      <c r="A858" s="686"/>
      <c r="B858" s="686"/>
      <c r="C858" s="823"/>
      <c r="D858" s="686"/>
      <c r="E858" s="686"/>
      <c r="F858" s="686"/>
      <c r="G858" s="687"/>
      <c r="H858" s="686"/>
      <c r="I858" s="687"/>
      <c r="J858" s="686"/>
      <c r="K858" s="686"/>
      <c r="L858" s="686"/>
      <c r="M858" s="686"/>
      <c r="N858" s="686"/>
      <c r="O858" s="687"/>
      <c r="P858" s="686"/>
      <c r="Q858" s="686"/>
      <c r="R858" s="687"/>
      <c r="S858" s="686"/>
      <c r="T858" s="686"/>
      <c r="U858" s="686"/>
      <c r="V858" s="686"/>
      <c r="W858" s="686"/>
    </row>
    <row r="859" ht="13.8" customHeight="1">
      <c r="A859" s="686"/>
      <c r="B859" s="686"/>
      <c r="C859" s="823"/>
      <c r="D859" s="686"/>
      <c r="E859" s="686"/>
      <c r="F859" s="686"/>
      <c r="G859" s="687"/>
      <c r="H859" s="686"/>
      <c r="I859" s="687"/>
      <c r="J859" s="686"/>
      <c r="K859" s="686"/>
      <c r="L859" s="686"/>
      <c r="M859" s="686"/>
      <c r="N859" s="686"/>
      <c r="O859" s="687"/>
      <c r="P859" s="686"/>
      <c r="Q859" s="686"/>
      <c r="R859" s="687"/>
      <c r="S859" s="686"/>
      <c r="T859" s="686"/>
      <c r="U859" s="686"/>
      <c r="V859" s="686"/>
      <c r="W859" s="686"/>
    </row>
    <row r="860" ht="13.8" customHeight="1">
      <c r="A860" s="686"/>
      <c r="B860" s="686"/>
      <c r="C860" s="823"/>
      <c r="D860" s="686"/>
      <c r="E860" s="686"/>
      <c r="F860" s="686"/>
      <c r="G860" s="687"/>
      <c r="H860" s="686"/>
      <c r="I860" s="687"/>
      <c r="J860" s="686"/>
      <c r="K860" s="686"/>
      <c r="L860" s="686"/>
      <c r="M860" s="686"/>
      <c r="N860" s="686"/>
      <c r="O860" s="687"/>
      <c r="P860" s="686"/>
      <c r="Q860" s="686"/>
      <c r="R860" s="687"/>
      <c r="S860" s="686"/>
      <c r="T860" s="686"/>
      <c r="U860" s="686"/>
      <c r="V860" s="686"/>
      <c r="W860" s="686"/>
    </row>
    <row r="861" ht="13.8" customHeight="1">
      <c r="A861" s="686"/>
      <c r="B861" s="686"/>
      <c r="C861" s="823"/>
      <c r="D861" s="686"/>
      <c r="E861" s="686"/>
      <c r="F861" s="686"/>
      <c r="G861" s="687"/>
      <c r="H861" s="686"/>
      <c r="I861" s="687"/>
      <c r="J861" s="686"/>
      <c r="K861" s="686"/>
      <c r="L861" s="686"/>
      <c r="M861" s="686"/>
      <c r="N861" s="686"/>
      <c r="O861" s="687"/>
      <c r="P861" s="686"/>
      <c r="Q861" s="686"/>
      <c r="R861" s="687"/>
      <c r="S861" s="686"/>
      <c r="T861" s="686"/>
      <c r="U861" s="686"/>
      <c r="V861" s="686"/>
      <c r="W861" s="686"/>
    </row>
    <row r="862" ht="13.8" customHeight="1">
      <c r="A862" s="686"/>
      <c r="B862" s="686"/>
      <c r="C862" s="823"/>
      <c r="D862" s="686"/>
      <c r="E862" s="686"/>
      <c r="F862" s="686"/>
      <c r="G862" s="687"/>
      <c r="H862" s="686"/>
      <c r="I862" s="687"/>
      <c r="J862" s="686"/>
      <c r="K862" s="686"/>
      <c r="L862" s="686"/>
      <c r="M862" s="686"/>
      <c r="N862" s="686"/>
      <c r="O862" s="687"/>
      <c r="P862" s="686"/>
      <c r="Q862" s="686"/>
      <c r="R862" s="687"/>
      <c r="S862" s="686"/>
      <c r="T862" s="686"/>
      <c r="U862" s="686"/>
      <c r="V862" s="686"/>
      <c r="W862" s="686"/>
    </row>
    <row r="863" ht="13.8" customHeight="1">
      <c r="A863" s="686"/>
      <c r="B863" s="686"/>
      <c r="C863" s="823"/>
      <c r="D863" s="686"/>
      <c r="E863" s="686"/>
      <c r="F863" s="686"/>
      <c r="G863" s="687"/>
      <c r="H863" s="686"/>
      <c r="I863" s="687"/>
      <c r="J863" s="686"/>
      <c r="K863" s="686"/>
      <c r="L863" s="686"/>
      <c r="M863" s="686"/>
      <c r="N863" s="686"/>
      <c r="O863" s="687"/>
      <c r="P863" s="686"/>
      <c r="Q863" s="686"/>
      <c r="R863" s="687"/>
      <c r="S863" s="686"/>
      <c r="T863" s="686"/>
      <c r="U863" s="686"/>
      <c r="V863" s="686"/>
      <c r="W863" s="686"/>
    </row>
    <row r="864" ht="13.8" customHeight="1">
      <c r="A864" s="686"/>
      <c r="B864" s="686"/>
      <c r="C864" s="823"/>
      <c r="D864" s="686"/>
      <c r="E864" s="686"/>
      <c r="F864" s="686"/>
      <c r="G864" s="687"/>
      <c r="H864" s="686"/>
      <c r="I864" s="687"/>
      <c r="J864" s="686"/>
      <c r="K864" s="686"/>
      <c r="L864" s="686"/>
      <c r="M864" s="686"/>
      <c r="N864" s="686"/>
      <c r="O864" s="687"/>
      <c r="P864" s="686"/>
      <c r="Q864" s="686"/>
      <c r="R864" s="687"/>
      <c r="S864" s="686"/>
      <c r="T864" s="686"/>
      <c r="U864" s="686"/>
      <c r="V864" s="686"/>
      <c r="W864" s="686"/>
    </row>
    <row r="865" ht="13.8" customHeight="1">
      <c r="A865" s="686"/>
      <c r="B865" s="686"/>
      <c r="C865" s="823"/>
      <c r="D865" s="686"/>
      <c r="E865" s="686"/>
      <c r="F865" s="686"/>
      <c r="G865" s="687"/>
      <c r="H865" s="686"/>
      <c r="I865" s="687"/>
      <c r="J865" s="686"/>
      <c r="K865" s="686"/>
      <c r="L865" s="686"/>
      <c r="M865" s="686"/>
      <c r="N865" s="686"/>
      <c r="O865" s="687"/>
      <c r="P865" s="686"/>
      <c r="Q865" s="686"/>
      <c r="R865" s="687"/>
      <c r="S865" s="686"/>
      <c r="T865" s="686"/>
      <c r="U865" s="686"/>
      <c r="V865" s="686"/>
      <c r="W865" s="686"/>
    </row>
    <row r="866" ht="13.8" customHeight="1">
      <c r="A866" s="686"/>
      <c r="B866" s="686"/>
      <c r="C866" s="823"/>
      <c r="D866" s="686"/>
      <c r="E866" s="686"/>
      <c r="F866" s="686"/>
      <c r="G866" s="687"/>
      <c r="H866" s="686"/>
      <c r="I866" s="687"/>
      <c r="J866" s="686"/>
      <c r="K866" s="686"/>
      <c r="L866" s="686"/>
      <c r="M866" s="686"/>
      <c r="N866" s="686"/>
      <c r="O866" s="687"/>
      <c r="P866" s="686"/>
      <c r="Q866" s="686"/>
      <c r="R866" s="687"/>
      <c r="S866" s="686"/>
      <c r="T866" s="686"/>
      <c r="U866" s="686"/>
      <c r="V866" s="686"/>
      <c r="W866" s="686"/>
    </row>
    <row r="867" ht="13.8" customHeight="1">
      <c r="A867" s="686"/>
      <c r="B867" s="686"/>
      <c r="C867" s="823"/>
      <c r="D867" s="686"/>
      <c r="E867" s="686"/>
      <c r="F867" s="686"/>
      <c r="G867" s="687"/>
      <c r="H867" s="686"/>
      <c r="I867" s="687"/>
      <c r="J867" s="686"/>
      <c r="K867" s="686"/>
      <c r="L867" s="686"/>
      <c r="M867" s="686"/>
      <c r="N867" s="686"/>
      <c r="O867" s="687"/>
      <c r="P867" s="686"/>
      <c r="Q867" s="686"/>
      <c r="R867" s="687"/>
      <c r="S867" s="686"/>
      <c r="T867" s="686"/>
      <c r="U867" s="686"/>
      <c r="V867" s="686"/>
      <c r="W867" s="686"/>
    </row>
    <row r="868" ht="13.8" customHeight="1">
      <c r="A868" s="686"/>
      <c r="B868" s="686"/>
      <c r="C868" s="823"/>
      <c r="D868" s="686"/>
      <c r="E868" s="686"/>
      <c r="F868" s="686"/>
      <c r="G868" s="687"/>
      <c r="H868" s="686"/>
      <c r="I868" s="687"/>
      <c r="J868" s="686"/>
      <c r="K868" s="686"/>
      <c r="L868" s="686"/>
      <c r="M868" s="686"/>
      <c r="N868" s="686"/>
      <c r="O868" s="687"/>
      <c r="P868" s="686"/>
      <c r="Q868" s="686"/>
      <c r="R868" s="687"/>
      <c r="S868" s="686"/>
      <c r="T868" s="686"/>
      <c r="U868" s="686"/>
      <c r="V868" s="686"/>
      <c r="W868" s="686"/>
    </row>
    <row r="869" ht="13.8" customHeight="1">
      <c r="A869" s="686"/>
      <c r="B869" s="686"/>
      <c r="C869" s="823"/>
      <c r="D869" s="686"/>
      <c r="E869" s="686"/>
      <c r="F869" s="686"/>
      <c r="G869" s="687"/>
      <c r="H869" s="686"/>
      <c r="I869" s="687"/>
      <c r="J869" s="686"/>
      <c r="K869" s="686"/>
      <c r="L869" s="686"/>
      <c r="M869" s="686"/>
      <c r="N869" s="686"/>
      <c r="O869" s="687"/>
      <c r="P869" s="686"/>
      <c r="Q869" s="686"/>
      <c r="R869" s="687"/>
      <c r="S869" s="686"/>
      <c r="T869" s="686"/>
      <c r="U869" s="686"/>
      <c r="V869" s="686"/>
      <c r="W869" s="686"/>
    </row>
    <row r="870" ht="13.8" customHeight="1">
      <c r="A870" s="686"/>
      <c r="B870" s="686"/>
      <c r="C870" s="823"/>
      <c r="D870" s="686"/>
      <c r="E870" s="686"/>
      <c r="F870" s="686"/>
      <c r="G870" s="687"/>
      <c r="H870" s="686"/>
      <c r="I870" s="687"/>
      <c r="J870" s="686"/>
      <c r="K870" s="686"/>
      <c r="L870" s="686"/>
      <c r="M870" s="686"/>
      <c r="N870" s="686"/>
      <c r="O870" s="687"/>
      <c r="P870" s="686"/>
      <c r="Q870" s="686"/>
      <c r="R870" s="687"/>
      <c r="S870" s="686"/>
      <c r="T870" s="686"/>
      <c r="U870" s="686"/>
      <c r="V870" s="686"/>
      <c r="W870" s="686"/>
    </row>
    <row r="871" ht="13.8" customHeight="1">
      <c r="A871" s="686"/>
      <c r="B871" s="686"/>
      <c r="C871" s="823"/>
      <c r="D871" s="686"/>
      <c r="E871" s="686"/>
      <c r="F871" s="686"/>
      <c r="G871" s="687"/>
      <c r="H871" s="686"/>
      <c r="I871" s="687"/>
      <c r="J871" s="686"/>
      <c r="K871" s="686"/>
      <c r="L871" s="686"/>
      <c r="M871" s="686"/>
      <c r="N871" s="686"/>
      <c r="O871" s="687"/>
      <c r="P871" s="686"/>
      <c r="Q871" s="686"/>
      <c r="R871" s="687"/>
      <c r="S871" s="686"/>
      <c r="T871" s="686"/>
      <c r="U871" s="686"/>
      <c r="V871" s="686"/>
      <c r="W871" s="686"/>
    </row>
    <row r="872" ht="13.8" customHeight="1">
      <c r="A872" s="686"/>
      <c r="B872" s="686"/>
      <c r="C872" s="823"/>
      <c r="D872" s="686"/>
      <c r="E872" s="686"/>
      <c r="F872" s="686"/>
      <c r="G872" s="687"/>
      <c r="H872" s="686"/>
      <c r="I872" s="687"/>
      <c r="J872" s="686"/>
      <c r="K872" s="686"/>
      <c r="L872" s="686"/>
      <c r="M872" s="686"/>
      <c r="N872" s="686"/>
      <c r="O872" s="687"/>
      <c r="P872" s="686"/>
      <c r="Q872" s="686"/>
      <c r="R872" s="687"/>
      <c r="S872" s="686"/>
      <c r="T872" s="686"/>
      <c r="U872" s="686"/>
      <c r="V872" s="686"/>
      <c r="W872" s="686"/>
    </row>
    <row r="873" ht="13.8" customHeight="1">
      <c r="A873" s="686"/>
      <c r="B873" s="686"/>
      <c r="C873" s="823"/>
      <c r="D873" s="686"/>
      <c r="E873" s="686"/>
      <c r="F873" s="686"/>
      <c r="G873" s="687"/>
      <c r="H873" s="686"/>
      <c r="I873" s="687"/>
      <c r="J873" s="686"/>
      <c r="K873" s="686"/>
      <c r="L873" s="686"/>
      <c r="M873" s="686"/>
      <c r="N873" s="686"/>
      <c r="O873" s="687"/>
      <c r="P873" s="686"/>
      <c r="Q873" s="686"/>
      <c r="R873" s="687"/>
      <c r="S873" s="686"/>
      <c r="T873" s="686"/>
      <c r="U873" s="686"/>
      <c r="V873" s="686"/>
      <c r="W873" s="686"/>
    </row>
    <row r="874" ht="13.8" customHeight="1">
      <c r="A874" s="686"/>
      <c r="B874" s="686"/>
      <c r="C874" s="823"/>
      <c r="D874" s="686"/>
      <c r="E874" s="686"/>
      <c r="F874" s="686"/>
      <c r="G874" s="687"/>
      <c r="H874" s="686"/>
      <c r="I874" s="687"/>
      <c r="J874" s="686"/>
      <c r="K874" s="686"/>
      <c r="L874" s="686"/>
      <c r="M874" s="686"/>
      <c r="N874" s="686"/>
      <c r="O874" s="687"/>
      <c r="P874" s="686"/>
      <c r="Q874" s="686"/>
      <c r="R874" s="687"/>
      <c r="S874" s="686"/>
      <c r="T874" s="686"/>
      <c r="U874" s="686"/>
      <c r="V874" s="686"/>
      <c r="W874" s="686"/>
    </row>
    <row r="875" ht="13.8" customHeight="1">
      <c r="A875" s="686"/>
      <c r="B875" s="686"/>
      <c r="C875" s="823"/>
      <c r="D875" s="686"/>
      <c r="E875" s="686"/>
      <c r="F875" s="686"/>
      <c r="G875" s="687"/>
      <c r="H875" s="686"/>
      <c r="I875" s="687"/>
      <c r="J875" s="686"/>
      <c r="K875" s="686"/>
      <c r="L875" s="686"/>
      <c r="M875" s="686"/>
      <c r="N875" s="686"/>
      <c r="O875" s="687"/>
      <c r="P875" s="686"/>
      <c r="Q875" s="686"/>
      <c r="R875" s="687"/>
      <c r="S875" s="686"/>
      <c r="T875" s="686"/>
      <c r="U875" s="686"/>
      <c r="V875" s="686"/>
      <c r="W875" s="686"/>
    </row>
    <row r="876" ht="13.8" customHeight="1">
      <c r="A876" s="686"/>
      <c r="B876" s="686"/>
      <c r="C876" s="823"/>
      <c r="D876" s="686"/>
      <c r="E876" s="686"/>
      <c r="F876" s="686"/>
      <c r="G876" s="687"/>
      <c r="H876" s="686"/>
      <c r="I876" s="687"/>
      <c r="J876" s="686"/>
      <c r="K876" s="686"/>
      <c r="L876" s="686"/>
      <c r="M876" s="686"/>
      <c r="N876" s="686"/>
      <c r="O876" s="687"/>
      <c r="P876" s="686"/>
      <c r="Q876" s="686"/>
      <c r="R876" s="687"/>
      <c r="S876" s="686"/>
      <c r="T876" s="686"/>
      <c r="U876" s="686"/>
      <c r="V876" s="686"/>
      <c r="W876" s="686"/>
    </row>
    <row r="877" ht="13.8" customHeight="1">
      <c r="A877" s="686"/>
      <c r="B877" s="686"/>
      <c r="C877" s="823"/>
      <c r="D877" s="686"/>
      <c r="E877" s="686"/>
      <c r="F877" s="686"/>
      <c r="G877" s="687"/>
      <c r="H877" s="686"/>
      <c r="I877" s="687"/>
      <c r="J877" s="686"/>
      <c r="K877" s="686"/>
      <c r="L877" s="686"/>
      <c r="M877" s="686"/>
      <c r="N877" s="686"/>
      <c r="O877" s="687"/>
      <c r="P877" s="686"/>
      <c r="Q877" s="686"/>
      <c r="R877" s="687"/>
      <c r="S877" s="686"/>
      <c r="T877" s="686"/>
      <c r="U877" s="686"/>
      <c r="V877" s="686"/>
      <c r="W877" s="686"/>
    </row>
    <row r="878" ht="13.8" customHeight="1">
      <c r="A878" s="686"/>
      <c r="B878" s="686"/>
      <c r="C878" s="823"/>
      <c r="D878" s="686"/>
      <c r="E878" s="686"/>
      <c r="F878" s="686"/>
      <c r="G878" s="687"/>
      <c r="H878" s="686"/>
      <c r="I878" s="687"/>
      <c r="J878" s="686"/>
      <c r="K878" s="686"/>
      <c r="L878" s="686"/>
      <c r="M878" s="686"/>
      <c r="N878" s="686"/>
      <c r="O878" s="687"/>
      <c r="P878" s="686"/>
      <c r="Q878" s="686"/>
      <c r="R878" s="687"/>
      <c r="S878" s="686"/>
      <c r="T878" s="686"/>
      <c r="U878" s="686"/>
      <c r="V878" s="686"/>
      <c r="W878" s="686"/>
    </row>
    <row r="879" ht="13.8" customHeight="1">
      <c r="A879" s="686"/>
      <c r="B879" s="686"/>
      <c r="C879" s="823"/>
      <c r="D879" s="686"/>
      <c r="E879" s="686"/>
      <c r="F879" s="686"/>
      <c r="G879" s="687"/>
      <c r="H879" s="686"/>
      <c r="I879" s="687"/>
      <c r="J879" s="686"/>
      <c r="K879" s="686"/>
      <c r="L879" s="686"/>
      <c r="M879" s="686"/>
      <c r="N879" s="686"/>
      <c r="O879" s="687"/>
      <c r="P879" s="686"/>
      <c r="Q879" s="686"/>
      <c r="R879" s="687"/>
      <c r="S879" s="686"/>
      <c r="T879" s="686"/>
      <c r="U879" s="686"/>
      <c r="V879" s="686"/>
      <c r="W879" s="686"/>
    </row>
    <row r="880" ht="13.8" customHeight="1">
      <c r="A880" s="686"/>
      <c r="B880" s="686"/>
      <c r="C880" s="823"/>
      <c r="D880" s="686"/>
      <c r="E880" s="686"/>
      <c r="F880" s="686"/>
      <c r="G880" s="687"/>
      <c r="H880" s="686"/>
      <c r="I880" s="687"/>
      <c r="J880" s="686"/>
      <c r="K880" s="686"/>
      <c r="L880" s="686"/>
      <c r="M880" s="686"/>
      <c r="N880" s="686"/>
      <c r="O880" s="687"/>
      <c r="P880" s="686"/>
      <c r="Q880" s="686"/>
      <c r="R880" s="687"/>
      <c r="S880" s="686"/>
      <c r="T880" s="686"/>
      <c r="U880" s="686"/>
      <c r="V880" s="686"/>
      <c r="W880" s="686"/>
    </row>
    <row r="881" ht="13.8" customHeight="1">
      <c r="A881" s="686"/>
      <c r="B881" s="686"/>
      <c r="C881" s="823"/>
      <c r="D881" s="686"/>
      <c r="E881" s="686"/>
      <c r="F881" s="686"/>
      <c r="G881" s="687"/>
      <c r="H881" s="686"/>
      <c r="I881" s="687"/>
      <c r="J881" s="686"/>
      <c r="K881" s="686"/>
      <c r="L881" s="686"/>
      <c r="M881" s="686"/>
      <c r="N881" s="686"/>
      <c r="O881" s="687"/>
      <c r="P881" s="686"/>
      <c r="Q881" s="686"/>
      <c r="R881" s="687"/>
      <c r="S881" s="686"/>
      <c r="T881" s="686"/>
      <c r="U881" s="686"/>
      <c r="V881" s="686"/>
      <c r="W881" s="686"/>
    </row>
    <row r="882" ht="13.8" customHeight="1">
      <c r="A882" s="686"/>
      <c r="B882" s="686"/>
      <c r="C882" s="823"/>
      <c r="D882" s="686"/>
      <c r="E882" s="686"/>
      <c r="F882" s="686"/>
      <c r="G882" s="687"/>
      <c r="H882" s="686"/>
      <c r="I882" s="687"/>
      <c r="J882" s="686"/>
      <c r="K882" s="686"/>
      <c r="L882" s="686"/>
      <c r="M882" s="686"/>
      <c r="N882" s="686"/>
      <c r="O882" s="687"/>
      <c r="P882" s="686"/>
      <c r="Q882" s="686"/>
      <c r="R882" s="687"/>
      <c r="S882" s="686"/>
      <c r="T882" s="686"/>
      <c r="U882" s="686"/>
      <c r="V882" s="686"/>
      <c r="W882" s="686"/>
    </row>
    <row r="883" ht="13.8" customHeight="1">
      <c r="A883" s="686"/>
      <c r="B883" s="686"/>
      <c r="C883" s="823"/>
      <c r="D883" s="686"/>
      <c r="E883" s="686"/>
      <c r="F883" s="686"/>
      <c r="G883" s="687"/>
      <c r="H883" s="686"/>
      <c r="I883" s="687"/>
      <c r="J883" s="686"/>
      <c r="K883" s="686"/>
      <c r="L883" s="686"/>
      <c r="M883" s="686"/>
      <c r="N883" s="686"/>
      <c r="O883" s="687"/>
      <c r="P883" s="686"/>
      <c r="Q883" s="686"/>
      <c r="R883" s="687"/>
      <c r="S883" s="686"/>
      <c r="T883" s="686"/>
      <c r="U883" s="686"/>
      <c r="V883" s="686"/>
      <c r="W883" s="686"/>
    </row>
    <row r="884" ht="13.8" customHeight="1">
      <c r="A884" s="686"/>
      <c r="B884" s="686"/>
      <c r="C884" s="823"/>
      <c r="D884" s="686"/>
      <c r="E884" s="686"/>
      <c r="F884" s="686"/>
      <c r="G884" s="687"/>
      <c r="H884" s="686"/>
      <c r="I884" s="687"/>
      <c r="J884" s="686"/>
      <c r="K884" s="686"/>
      <c r="L884" s="686"/>
      <c r="M884" s="686"/>
      <c r="N884" s="686"/>
      <c r="O884" s="687"/>
      <c r="P884" s="686"/>
      <c r="Q884" s="686"/>
      <c r="R884" s="687"/>
      <c r="S884" s="686"/>
      <c r="T884" s="686"/>
      <c r="U884" s="686"/>
      <c r="V884" s="686"/>
      <c r="W884" s="686"/>
    </row>
    <row r="885" ht="13.8" customHeight="1">
      <c r="A885" s="686"/>
      <c r="B885" s="686"/>
      <c r="C885" s="823"/>
      <c r="D885" s="686"/>
      <c r="E885" s="686"/>
      <c r="F885" s="686"/>
      <c r="G885" s="687"/>
      <c r="H885" s="686"/>
      <c r="I885" s="687"/>
      <c r="J885" s="686"/>
      <c r="K885" s="686"/>
      <c r="L885" s="686"/>
      <c r="M885" s="686"/>
      <c r="N885" s="686"/>
      <c r="O885" s="687"/>
      <c r="P885" s="686"/>
      <c r="Q885" s="686"/>
      <c r="R885" s="687"/>
      <c r="S885" s="686"/>
      <c r="T885" s="686"/>
      <c r="U885" s="686"/>
      <c r="V885" s="686"/>
      <c r="W885" s="686"/>
    </row>
    <row r="886" ht="13.8" customHeight="1">
      <c r="A886" s="686"/>
      <c r="B886" s="686"/>
      <c r="C886" s="823"/>
      <c r="D886" s="686"/>
      <c r="E886" s="686"/>
      <c r="F886" s="686"/>
      <c r="G886" s="687"/>
      <c r="H886" s="686"/>
      <c r="I886" s="687"/>
      <c r="J886" s="686"/>
      <c r="K886" s="686"/>
      <c r="L886" s="686"/>
      <c r="M886" s="686"/>
      <c r="N886" s="686"/>
      <c r="O886" s="687"/>
      <c r="P886" s="686"/>
      <c r="Q886" s="686"/>
      <c r="R886" s="687"/>
      <c r="S886" s="686"/>
      <c r="T886" s="686"/>
      <c r="U886" s="686"/>
      <c r="V886" s="686"/>
      <c r="W886" s="686"/>
    </row>
    <row r="887" ht="13.8" customHeight="1">
      <c r="A887" s="686"/>
      <c r="B887" s="686"/>
      <c r="C887" s="823"/>
      <c r="D887" s="686"/>
      <c r="E887" s="686"/>
      <c r="F887" s="686"/>
      <c r="G887" s="687"/>
      <c r="H887" s="686"/>
      <c r="I887" s="687"/>
      <c r="J887" s="686"/>
      <c r="K887" s="686"/>
      <c r="L887" s="686"/>
      <c r="M887" s="686"/>
      <c r="N887" s="686"/>
      <c r="O887" s="687"/>
      <c r="P887" s="686"/>
      <c r="Q887" s="686"/>
      <c r="R887" s="687"/>
      <c r="S887" s="686"/>
      <c r="T887" s="686"/>
      <c r="U887" s="686"/>
      <c r="V887" s="686"/>
      <c r="W887" s="686"/>
    </row>
    <row r="888" ht="13.8" customHeight="1">
      <c r="A888" s="686"/>
      <c r="B888" s="686"/>
      <c r="C888" s="823"/>
      <c r="D888" s="686"/>
      <c r="E888" s="686"/>
      <c r="F888" s="686"/>
      <c r="G888" s="687"/>
      <c r="H888" s="686"/>
      <c r="I888" s="687"/>
      <c r="J888" s="686"/>
      <c r="K888" s="686"/>
      <c r="L888" s="686"/>
      <c r="M888" s="686"/>
      <c r="N888" s="686"/>
      <c r="O888" s="687"/>
      <c r="P888" s="686"/>
      <c r="Q888" s="686"/>
      <c r="R888" s="687"/>
      <c r="S888" s="686"/>
      <c r="T888" s="686"/>
      <c r="U888" s="686"/>
      <c r="V888" s="686"/>
      <c r="W888" s="686"/>
    </row>
    <row r="889" ht="13.8" customHeight="1">
      <c r="A889" s="686"/>
      <c r="B889" s="686"/>
      <c r="C889" s="823"/>
      <c r="D889" s="686"/>
      <c r="E889" s="686"/>
      <c r="F889" s="686"/>
      <c r="G889" s="687"/>
      <c r="H889" s="686"/>
      <c r="I889" s="687"/>
      <c r="J889" s="686"/>
      <c r="K889" s="686"/>
      <c r="L889" s="686"/>
      <c r="M889" s="686"/>
      <c r="N889" s="686"/>
      <c r="O889" s="687"/>
      <c r="P889" s="686"/>
      <c r="Q889" s="686"/>
      <c r="R889" s="687"/>
      <c r="S889" s="686"/>
      <c r="T889" s="686"/>
      <c r="U889" s="686"/>
      <c r="V889" s="686"/>
      <c r="W889" s="686"/>
    </row>
    <row r="890" ht="13.8" customHeight="1">
      <c r="A890" s="686"/>
      <c r="B890" s="686"/>
      <c r="C890" s="823"/>
      <c r="D890" s="686"/>
      <c r="E890" s="686"/>
      <c r="F890" s="686"/>
      <c r="G890" s="687"/>
      <c r="H890" s="686"/>
      <c r="I890" s="687"/>
      <c r="J890" s="686"/>
      <c r="K890" s="686"/>
      <c r="L890" s="686"/>
      <c r="M890" s="686"/>
      <c r="N890" s="686"/>
      <c r="O890" s="687"/>
      <c r="P890" s="686"/>
      <c r="Q890" s="686"/>
      <c r="R890" s="687"/>
      <c r="S890" s="686"/>
      <c r="T890" s="686"/>
      <c r="U890" s="686"/>
      <c r="V890" s="686"/>
      <c r="W890" s="686"/>
    </row>
    <row r="891" ht="13.8" customHeight="1">
      <c r="A891" s="686"/>
      <c r="B891" s="686"/>
      <c r="C891" s="823"/>
      <c r="D891" s="686"/>
      <c r="E891" s="686"/>
      <c r="F891" s="686"/>
      <c r="G891" s="687"/>
      <c r="H891" s="686"/>
      <c r="I891" s="687"/>
      <c r="J891" s="686"/>
      <c r="K891" s="686"/>
      <c r="L891" s="686"/>
      <c r="M891" s="686"/>
      <c r="N891" s="686"/>
      <c r="O891" s="687"/>
      <c r="P891" s="686"/>
      <c r="Q891" s="686"/>
      <c r="R891" s="687"/>
      <c r="S891" s="686"/>
      <c r="T891" s="686"/>
      <c r="U891" s="686"/>
      <c r="V891" s="686"/>
      <c r="W891" s="686"/>
    </row>
    <row r="892" ht="13.8" customHeight="1">
      <c r="A892" s="686"/>
      <c r="B892" s="686"/>
      <c r="C892" s="823"/>
      <c r="D892" s="686"/>
      <c r="E892" s="686"/>
      <c r="F892" s="686"/>
      <c r="G892" s="687"/>
      <c r="H892" s="686"/>
      <c r="I892" s="687"/>
      <c r="J892" s="686"/>
      <c r="K892" s="686"/>
      <c r="L892" s="686"/>
      <c r="M892" s="686"/>
      <c r="N892" s="686"/>
      <c r="O892" s="687"/>
      <c r="P892" s="686"/>
      <c r="Q892" s="686"/>
      <c r="R892" s="687"/>
      <c r="S892" s="686"/>
      <c r="T892" s="686"/>
      <c r="U892" s="686"/>
      <c r="V892" s="686"/>
      <c r="W892" s="686"/>
    </row>
    <row r="893" ht="13.8" customHeight="1">
      <c r="A893" s="686"/>
      <c r="B893" s="686"/>
      <c r="C893" s="823"/>
      <c r="D893" s="686"/>
      <c r="E893" s="686"/>
      <c r="F893" s="686"/>
      <c r="G893" s="687"/>
      <c r="H893" s="686"/>
      <c r="I893" s="687"/>
      <c r="J893" s="686"/>
      <c r="K893" s="686"/>
      <c r="L893" s="686"/>
      <c r="M893" s="686"/>
      <c r="N893" s="686"/>
      <c r="O893" s="687"/>
      <c r="P893" s="686"/>
      <c r="Q893" s="686"/>
      <c r="R893" s="687"/>
      <c r="S893" s="686"/>
      <c r="T893" s="686"/>
      <c r="U893" s="686"/>
      <c r="V893" s="686"/>
      <c r="W893" s="686"/>
    </row>
    <row r="894" ht="13.8" customHeight="1">
      <c r="A894" s="686"/>
      <c r="B894" s="686"/>
      <c r="C894" s="823"/>
      <c r="D894" s="686"/>
      <c r="E894" s="686"/>
      <c r="F894" s="686"/>
      <c r="G894" s="687"/>
      <c r="H894" s="686"/>
      <c r="I894" s="687"/>
      <c r="J894" s="686"/>
      <c r="K894" s="686"/>
      <c r="L894" s="686"/>
      <c r="M894" s="686"/>
      <c r="N894" s="686"/>
      <c r="O894" s="687"/>
      <c r="P894" s="686"/>
      <c r="Q894" s="686"/>
      <c r="R894" s="687"/>
      <c r="S894" s="686"/>
      <c r="T894" s="686"/>
      <c r="U894" s="686"/>
      <c r="V894" s="686"/>
      <c r="W894" s="686"/>
    </row>
    <row r="895" ht="13.8" customHeight="1">
      <c r="A895" s="686"/>
      <c r="B895" s="686"/>
      <c r="C895" s="823"/>
      <c r="D895" s="686"/>
      <c r="E895" s="686"/>
      <c r="F895" s="686"/>
      <c r="G895" s="687"/>
      <c r="H895" s="686"/>
      <c r="I895" s="687"/>
      <c r="J895" s="686"/>
      <c r="K895" s="686"/>
      <c r="L895" s="686"/>
      <c r="M895" s="686"/>
      <c r="N895" s="686"/>
      <c r="O895" s="687"/>
      <c r="P895" s="686"/>
      <c r="Q895" s="686"/>
      <c r="R895" s="687"/>
      <c r="S895" s="686"/>
      <c r="T895" s="686"/>
      <c r="U895" s="686"/>
      <c r="V895" s="686"/>
      <c r="W895" s="686"/>
    </row>
    <row r="896" ht="13.8" customHeight="1">
      <c r="A896" s="686"/>
      <c r="B896" s="686"/>
      <c r="C896" s="823"/>
      <c r="D896" s="686"/>
      <c r="E896" s="686"/>
      <c r="F896" s="686"/>
      <c r="G896" s="687"/>
      <c r="H896" s="686"/>
      <c r="I896" s="687"/>
      <c r="J896" s="686"/>
      <c r="K896" s="686"/>
      <c r="L896" s="686"/>
      <c r="M896" s="686"/>
      <c r="N896" s="686"/>
      <c r="O896" s="687"/>
      <c r="P896" s="686"/>
      <c r="Q896" s="686"/>
      <c r="R896" s="687"/>
      <c r="S896" s="686"/>
      <c r="T896" s="686"/>
      <c r="U896" s="686"/>
      <c r="V896" s="686"/>
      <c r="W896" s="686"/>
    </row>
    <row r="897" ht="13.8" customHeight="1">
      <c r="A897" s="686"/>
      <c r="B897" s="686"/>
      <c r="C897" s="823"/>
      <c r="D897" s="686"/>
      <c r="E897" s="686"/>
      <c r="F897" s="686"/>
      <c r="G897" s="687"/>
      <c r="H897" s="686"/>
      <c r="I897" s="687"/>
      <c r="J897" s="686"/>
      <c r="K897" s="686"/>
      <c r="L897" s="686"/>
      <c r="M897" s="686"/>
      <c r="N897" s="686"/>
      <c r="O897" s="687"/>
      <c r="P897" s="686"/>
      <c r="Q897" s="686"/>
      <c r="R897" s="687"/>
      <c r="S897" s="686"/>
      <c r="T897" s="686"/>
      <c r="U897" s="686"/>
      <c r="V897" s="686"/>
      <c r="W897" s="686"/>
    </row>
    <row r="898" ht="13.8" customHeight="1">
      <c r="A898" s="686"/>
      <c r="B898" s="686"/>
      <c r="C898" s="823"/>
      <c r="D898" s="686"/>
      <c r="E898" s="686"/>
      <c r="F898" s="686"/>
      <c r="G898" s="687"/>
      <c r="H898" s="686"/>
      <c r="I898" s="687"/>
      <c r="J898" s="686"/>
      <c r="K898" s="686"/>
      <c r="L898" s="686"/>
      <c r="M898" s="686"/>
      <c r="N898" s="686"/>
      <c r="O898" s="687"/>
      <c r="P898" s="686"/>
      <c r="Q898" s="686"/>
      <c r="R898" s="687"/>
      <c r="S898" s="686"/>
      <c r="T898" s="686"/>
      <c r="U898" s="686"/>
      <c r="V898" s="686"/>
      <c r="W898" s="686"/>
    </row>
    <row r="899" ht="13.8" customHeight="1">
      <c r="A899" s="686"/>
      <c r="B899" s="686"/>
      <c r="C899" s="823"/>
      <c r="D899" s="686"/>
      <c r="E899" s="686"/>
      <c r="F899" s="686"/>
      <c r="G899" s="687"/>
      <c r="H899" s="686"/>
      <c r="I899" s="687"/>
      <c r="J899" s="686"/>
      <c r="K899" s="686"/>
      <c r="L899" s="686"/>
      <c r="M899" s="686"/>
      <c r="N899" s="686"/>
      <c r="O899" s="687"/>
      <c r="P899" s="686"/>
      <c r="Q899" s="686"/>
      <c r="R899" s="687"/>
      <c r="S899" s="686"/>
      <c r="T899" s="686"/>
      <c r="U899" s="686"/>
      <c r="V899" s="686"/>
      <c r="W899" s="686"/>
    </row>
    <row r="900" ht="13.8" customHeight="1">
      <c r="A900" s="686"/>
      <c r="B900" s="686"/>
      <c r="C900" s="823"/>
      <c r="D900" s="686"/>
      <c r="E900" s="686"/>
      <c r="F900" s="686"/>
      <c r="G900" s="687"/>
      <c r="H900" s="686"/>
      <c r="I900" s="687"/>
      <c r="J900" s="686"/>
      <c r="K900" s="686"/>
      <c r="L900" s="686"/>
      <c r="M900" s="686"/>
      <c r="N900" s="686"/>
      <c r="O900" s="687"/>
      <c r="P900" s="686"/>
      <c r="Q900" s="686"/>
      <c r="R900" s="687"/>
      <c r="S900" s="686"/>
      <c r="T900" s="686"/>
      <c r="U900" s="686"/>
      <c r="V900" s="686"/>
      <c r="W900" s="686"/>
    </row>
    <row r="901" ht="13.8" customHeight="1">
      <c r="A901" s="686"/>
      <c r="B901" s="686"/>
      <c r="C901" s="823"/>
      <c r="D901" s="686"/>
      <c r="E901" s="686"/>
      <c r="F901" s="686"/>
      <c r="G901" s="687"/>
      <c r="H901" s="686"/>
      <c r="I901" s="687"/>
      <c r="J901" s="686"/>
      <c r="K901" s="686"/>
      <c r="L901" s="686"/>
      <c r="M901" s="686"/>
      <c r="N901" s="686"/>
      <c r="O901" s="687"/>
      <c r="P901" s="686"/>
      <c r="Q901" s="686"/>
      <c r="R901" s="687"/>
      <c r="S901" s="686"/>
      <c r="T901" s="686"/>
      <c r="U901" s="686"/>
      <c r="V901" s="686"/>
      <c r="W901" s="686"/>
    </row>
    <row r="902" ht="13.8" customHeight="1">
      <c r="A902" s="686"/>
      <c r="B902" s="686"/>
      <c r="C902" s="823"/>
      <c r="D902" s="686"/>
      <c r="E902" s="686"/>
      <c r="F902" s="686"/>
      <c r="G902" s="687"/>
      <c r="H902" s="686"/>
      <c r="I902" s="687"/>
      <c r="J902" s="686"/>
      <c r="K902" s="686"/>
      <c r="L902" s="686"/>
      <c r="M902" s="686"/>
      <c r="N902" s="686"/>
      <c r="O902" s="687"/>
      <c r="P902" s="686"/>
      <c r="Q902" s="686"/>
      <c r="R902" s="687"/>
      <c r="S902" s="686"/>
      <c r="T902" s="686"/>
      <c r="U902" s="686"/>
      <c r="V902" s="686"/>
      <c r="W902" s="686"/>
    </row>
    <row r="903" ht="13.8" customHeight="1">
      <c r="A903" s="686"/>
      <c r="B903" s="686"/>
      <c r="C903" s="823"/>
      <c r="D903" s="686"/>
      <c r="E903" s="686"/>
      <c r="F903" s="686"/>
      <c r="G903" s="687"/>
      <c r="H903" s="686"/>
      <c r="I903" s="687"/>
      <c r="J903" s="686"/>
      <c r="K903" s="686"/>
      <c r="L903" s="686"/>
      <c r="M903" s="686"/>
      <c r="N903" s="686"/>
      <c r="O903" s="687"/>
      <c r="P903" s="686"/>
      <c r="Q903" s="686"/>
      <c r="R903" s="687"/>
      <c r="S903" s="686"/>
      <c r="T903" s="686"/>
      <c r="U903" s="686"/>
      <c r="V903" s="686"/>
      <c r="W903" s="686"/>
    </row>
    <row r="904" ht="13.8" customHeight="1">
      <c r="A904" s="686"/>
      <c r="B904" s="686"/>
      <c r="C904" s="823"/>
      <c r="D904" s="686"/>
      <c r="E904" s="686"/>
      <c r="F904" s="686"/>
      <c r="G904" s="687"/>
      <c r="H904" s="686"/>
      <c r="I904" s="687"/>
      <c r="J904" s="686"/>
      <c r="K904" s="686"/>
      <c r="L904" s="686"/>
      <c r="M904" s="686"/>
      <c r="N904" s="686"/>
      <c r="O904" s="687"/>
      <c r="P904" s="686"/>
      <c r="Q904" s="686"/>
      <c r="R904" s="687"/>
      <c r="S904" s="686"/>
      <c r="T904" s="686"/>
      <c r="U904" s="686"/>
      <c r="V904" s="686"/>
      <c r="W904" s="686"/>
    </row>
    <row r="905" ht="13.8" customHeight="1">
      <c r="A905" s="686"/>
      <c r="B905" s="686"/>
      <c r="C905" s="823"/>
      <c r="D905" s="686"/>
      <c r="E905" s="686"/>
      <c r="F905" s="686"/>
      <c r="G905" s="687"/>
      <c r="H905" s="686"/>
      <c r="I905" s="687"/>
      <c r="J905" s="686"/>
      <c r="K905" s="686"/>
      <c r="L905" s="686"/>
      <c r="M905" s="686"/>
      <c r="N905" s="686"/>
      <c r="O905" s="687"/>
      <c r="P905" s="686"/>
      <c r="Q905" s="686"/>
      <c r="R905" s="687"/>
      <c r="S905" s="686"/>
      <c r="T905" s="686"/>
      <c r="U905" s="686"/>
      <c r="V905" s="686"/>
      <c r="W905" s="686"/>
    </row>
    <row r="906" ht="13.8" customHeight="1">
      <c r="A906" s="686"/>
      <c r="B906" s="686"/>
      <c r="C906" s="823"/>
      <c r="D906" s="686"/>
      <c r="E906" s="686"/>
      <c r="F906" s="686"/>
      <c r="G906" s="687"/>
      <c r="H906" s="686"/>
      <c r="I906" s="687"/>
      <c r="J906" s="686"/>
      <c r="K906" s="686"/>
      <c r="L906" s="686"/>
      <c r="M906" s="686"/>
      <c r="N906" s="686"/>
      <c r="O906" s="687"/>
      <c r="P906" s="686"/>
      <c r="Q906" s="686"/>
      <c r="R906" s="687"/>
      <c r="S906" s="686"/>
      <c r="T906" s="686"/>
      <c r="U906" s="686"/>
      <c r="V906" s="686"/>
      <c r="W906" s="686"/>
    </row>
    <row r="907" ht="13.8" customHeight="1">
      <c r="A907" s="686"/>
      <c r="B907" s="686"/>
      <c r="C907" s="823"/>
      <c r="D907" s="686"/>
      <c r="E907" s="686"/>
      <c r="F907" s="686"/>
      <c r="G907" s="687"/>
      <c r="H907" s="686"/>
      <c r="I907" s="687"/>
      <c r="J907" s="686"/>
      <c r="K907" s="686"/>
      <c r="L907" s="686"/>
      <c r="M907" s="686"/>
      <c r="N907" s="686"/>
      <c r="O907" s="687"/>
      <c r="P907" s="686"/>
      <c r="Q907" s="686"/>
      <c r="R907" s="687"/>
      <c r="S907" s="686"/>
      <c r="T907" s="686"/>
      <c r="U907" s="686"/>
      <c r="V907" s="686"/>
      <c r="W907" s="686"/>
    </row>
    <row r="908" ht="13.8" customHeight="1">
      <c r="A908" s="686"/>
      <c r="B908" s="686"/>
      <c r="C908" s="823"/>
      <c r="D908" s="686"/>
      <c r="E908" s="686"/>
      <c r="F908" s="686"/>
      <c r="G908" s="687"/>
      <c r="H908" s="686"/>
      <c r="I908" s="687"/>
      <c r="J908" s="686"/>
      <c r="K908" s="686"/>
      <c r="L908" s="686"/>
      <c r="M908" s="686"/>
      <c r="N908" s="686"/>
      <c r="O908" s="687"/>
      <c r="P908" s="686"/>
      <c r="Q908" s="686"/>
      <c r="R908" s="687"/>
      <c r="S908" s="686"/>
      <c r="T908" s="686"/>
      <c r="U908" s="686"/>
      <c r="V908" s="686"/>
      <c r="W908" s="686"/>
    </row>
    <row r="909" ht="13.8" customHeight="1">
      <c r="A909" s="686"/>
      <c r="B909" s="686"/>
      <c r="C909" s="823"/>
      <c r="D909" s="686"/>
      <c r="E909" s="686"/>
      <c r="F909" s="686"/>
      <c r="G909" s="687"/>
      <c r="H909" s="686"/>
      <c r="I909" s="687"/>
      <c r="J909" s="686"/>
      <c r="K909" s="686"/>
      <c r="L909" s="686"/>
      <c r="M909" s="686"/>
      <c r="N909" s="686"/>
      <c r="O909" s="687"/>
      <c r="P909" s="686"/>
      <c r="Q909" s="686"/>
      <c r="R909" s="687"/>
      <c r="S909" s="686"/>
      <c r="T909" s="686"/>
      <c r="U909" s="686"/>
      <c r="V909" s="686"/>
      <c r="W909" s="686"/>
    </row>
    <row r="910" ht="13.8" customHeight="1">
      <c r="A910" s="686"/>
      <c r="B910" s="686"/>
      <c r="C910" s="823"/>
      <c r="D910" s="686"/>
      <c r="E910" s="686"/>
      <c r="F910" s="686"/>
      <c r="G910" s="687"/>
      <c r="H910" s="686"/>
      <c r="I910" s="687"/>
      <c r="J910" s="686"/>
      <c r="K910" s="686"/>
      <c r="L910" s="686"/>
      <c r="M910" s="686"/>
      <c r="N910" s="686"/>
      <c r="O910" s="687"/>
      <c r="P910" s="686"/>
      <c r="Q910" s="686"/>
      <c r="R910" s="687"/>
      <c r="S910" s="686"/>
      <c r="T910" s="686"/>
      <c r="U910" s="686"/>
      <c r="V910" s="686"/>
      <c r="W910" s="686"/>
    </row>
    <row r="911" ht="13.8" customHeight="1">
      <c r="A911" s="686"/>
      <c r="B911" s="686"/>
      <c r="C911" s="823"/>
      <c r="D911" s="686"/>
      <c r="E911" s="686"/>
      <c r="F911" s="686"/>
      <c r="G911" s="687"/>
      <c r="H911" s="686"/>
      <c r="I911" s="687"/>
      <c r="J911" s="686"/>
      <c r="K911" s="686"/>
      <c r="L911" s="686"/>
      <c r="M911" s="686"/>
      <c r="N911" s="686"/>
      <c r="O911" s="687"/>
      <c r="P911" s="686"/>
      <c r="Q911" s="686"/>
      <c r="R911" s="687"/>
      <c r="S911" s="686"/>
      <c r="T911" s="686"/>
      <c r="U911" s="686"/>
      <c r="V911" s="686"/>
      <c r="W911" s="686"/>
    </row>
    <row r="912" ht="13.8" customHeight="1">
      <c r="A912" s="686"/>
      <c r="B912" s="686"/>
      <c r="C912" s="823"/>
      <c r="D912" s="686"/>
      <c r="E912" s="686"/>
      <c r="F912" s="686"/>
      <c r="G912" s="687"/>
      <c r="H912" s="686"/>
      <c r="I912" s="687"/>
      <c r="J912" s="686"/>
      <c r="K912" s="686"/>
      <c r="L912" s="686"/>
      <c r="M912" s="686"/>
      <c r="N912" s="686"/>
      <c r="O912" s="687"/>
      <c r="P912" s="686"/>
      <c r="Q912" s="686"/>
      <c r="R912" s="687"/>
      <c r="S912" s="686"/>
      <c r="T912" s="686"/>
      <c r="U912" s="686"/>
      <c r="V912" s="686"/>
      <c r="W912" s="686"/>
    </row>
    <row r="913" ht="13.8" customHeight="1">
      <c r="A913" s="686"/>
      <c r="B913" s="686"/>
      <c r="C913" s="823"/>
      <c r="D913" s="686"/>
      <c r="E913" s="686"/>
      <c r="F913" s="686"/>
      <c r="G913" s="687"/>
      <c r="H913" s="686"/>
      <c r="I913" s="687"/>
      <c r="J913" s="686"/>
      <c r="K913" s="686"/>
      <c r="L913" s="686"/>
      <c r="M913" s="686"/>
      <c r="N913" s="686"/>
      <c r="O913" s="687"/>
      <c r="P913" s="686"/>
      <c r="Q913" s="686"/>
      <c r="R913" s="687"/>
      <c r="S913" s="686"/>
      <c r="T913" s="686"/>
      <c r="U913" s="686"/>
      <c r="V913" s="686"/>
      <c r="W913" s="686"/>
    </row>
    <row r="914" ht="13.8" customHeight="1">
      <c r="A914" s="686"/>
      <c r="B914" s="686"/>
      <c r="C914" s="823"/>
      <c r="D914" s="686"/>
      <c r="E914" s="686"/>
      <c r="F914" s="686"/>
      <c r="G914" s="687"/>
      <c r="H914" s="686"/>
      <c r="I914" s="687"/>
      <c r="J914" s="686"/>
      <c r="K914" s="686"/>
      <c r="L914" s="686"/>
      <c r="M914" s="686"/>
      <c r="N914" s="686"/>
      <c r="O914" s="687"/>
      <c r="P914" s="686"/>
      <c r="Q914" s="686"/>
      <c r="R914" s="687"/>
      <c r="S914" s="686"/>
      <c r="T914" s="686"/>
      <c r="U914" s="686"/>
      <c r="V914" s="686"/>
      <c r="W914" s="686"/>
    </row>
    <row r="915" ht="13.8" customHeight="1">
      <c r="A915" s="686"/>
      <c r="B915" s="686"/>
      <c r="C915" s="823"/>
      <c r="D915" s="686"/>
      <c r="E915" s="686"/>
      <c r="F915" s="686"/>
      <c r="G915" s="687"/>
      <c r="H915" s="686"/>
      <c r="I915" s="687"/>
      <c r="J915" s="686"/>
      <c r="K915" s="686"/>
      <c r="L915" s="686"/>
      <c r="M915" s="686"/>
      <c r="N915" s="686"/>
      <c r="O915" s="687"/>
      <c r="P915" s="686"/>
      <c r="Q915" s="686"/>
      <c r="R915" s="687"/>
      <c r="S915" s="686"/>
      <c r="T915" s="686"/>
      <c r="U915" s="686"/>
      <c r="V915" s="686"/>
      <c r="W915" s="686"/>
    </row>
    <row r="916" ht="13.8" customHeight="1">
      <c r="A916" s="686"/>
      <c r="B916" s="686"/>
      <c r="C916" s="823"/>
      <c r="D916" s="686"/>
      <c r="E916" s="686"/>
      <c r="F916" s="686"/>
      <c r="G916" s="687"/>
      <c r="H916" s="686"/>
      <c r="I916" s="687"/>
      <c r="J916" s="686"/>
      <c r="K916" s="686"/>
      <c r="L916" s="686"/>
      <c r="M916" s="686"/>
      <c r="N916" s="686"/>
      <c r="O916" s="687"/>
      <c r="P916" s="686"/>
      <c r="Q916" s="686"/>
      <c r="R916" s="687"/>
      <c r="S916" s="686"/>
      <c r="T916" s="686"/>
      <c r="U916" s="686"/>
      <c r="V916" s="686"/>
      <c r="W916" s="686"/>
    </row>
    <row r="917" ht="13.8" customHeight="1">
      <c r="A917" s="686"/>
      <c r="B917" s="686"/>
      <c r="C917" s="823"/>
      <c r="D917" s="686"/>
      <c r="E917" s="686"/>
      <c r="F917" s="686"/>
      <c r="G917" s="687"/>
      <c r="H917" s="686"/>
      <c r="I917" s="687"/>
      <c r="J917" s="686"/>
      <c r="K917" s="686"/>
      <c r="L917" s="686"/>
      <c r="M917" s="686"/>
      <c r="N917" s="686"/>
      <c r="O917" s="687"/>
      <c r="P917" s="686"/>
      <c r="Q917" s="686"/>
      <c r="R917" s="687"/>
      <c r="S917" s="686"/>
      <c r="T917" s="686"/>
      <c r="U917" s="686"/>
      <c r="V917" s="686"/>
      <c r="W917" s="686"/>
    </row>
    <row r="918" ht="13.8" customHeight="1">
      <c r="A918" s="686"/>
      <c r="B918" s="686"/>
      <c r="C918" s="823"/>
      <c r="D918" s="686"/>
      <c r="E918" s="686"/>
      <c r="F918" s="686"/>
      <c r="G918" s="687"/>
      <c r="H918" s="686"/>
      <c r="I918" s="687"/>
      <c r="J918" s="686"/>
      <c r="K918" s="686"/>
      <c r="L918" s="686"/>
      <c r="M918" s="686"/>
      <c r="N918" s="686"/>
      <c r="O918" s="687"/>
      <c r="P918" s="686"/>
      <c r="Q918" s="686"/>
      <c r="R918" s="687"/>
      <c r="S918" s="686"/>
      <c r="T918" s="686"/>
      <c r="U918" s="686"/>
      <c r="V918" s="686"/>
      <c r="W918" s="686"/>
    </row>
    <row r="919" ht="13.8" customHeight="1">
      <c r="A919" s="686"/>
      <c r="B919" s="686"/>
      <c r="C919" s="823"/>
      <c r="D919" s="686"/>
      <c r="E919" s="686"/>
      <c r="F919" s="686"/>
      <c r="G919" s="687"/>
      <c r="H919" s="686"/>
      <c r="I919" s="687"/>
      <c r="J919" s="686"/>
      <c r="K919" s="686"/>
      <c r="L919" s="686"/>
      <c r="M919" s="686"/>
      <c r="N919" s="686"/>
      <c r="O919" s="687"/>
      <c r="P919" s="686"/>
      <c r="Q919" s="686"/>
      <c r="R919" s="687"/>
      <c r="S919" s="686"/>
      <c r="T919" s="686"/>
      <c r="U919" s="686"/>
      <c r="V919" s="686"/>
      <c r="W919" s="686"/>
    </row>
    <row r="920" ht="13.8" customHeight="1">
      <c r="A920" s="686"/>
      <c r="B920" s="686"/>
      <c r="C920" s="823"/>
      <c r="D920" s="686"/>
      <c r="E920" s="686"/>
      <c r="F920" s="686"/>
      <c r="G920" s="687"/>
      <c r="H920" s="686"/>
      <c r="I920" s="687"/>
      <c r="J920" s="686"/>
      <c r="K920" s="686"/>
      <c r="L920" s="686"/>
      <c r="M920" s="686"/>
      <c r="N920" s="686"/>
      <c r="O920" s="687"/>
      <c r="P920" s="686"/>
      <c r="Q920" s="686"/>
      <c r="R920" s="687"/>
      <c r="S920" s="686"/>
      <c r="T920" s="686"/>
      <c r="U920" s="686"/>
      <c r="V920" s="686"/>
      <c r="W920" s="686"/>
    </row>
    <row r="921" ht="13.8" customHeight="1">
      <c r="A921" s="686"/>
      <c r="B921" s="686"/>
      <c r="C921" s="823"/>
      <c r="D921" s="686"/>
      <c r="E921" s="686"/>
      <c r="F921" s="686"/>
      <c r="G921" s="687"/>
      <c r="H921" s="686"/>
      <c r="I921" s="687"/>
      <c r="J921" s="686"/>
      <c r="K921" s="686"/>
      <c r="L921" s="686"/>
      <c r="M921" s="686"/>
      <c r="N921" s="686"/>
      <c r="O921" s="687"/>
      <c r="P921" s="686"/>
      <c r="Q921" s="686"/>
      <c r="R921" s="687"/>
      <c r="S921" s="686"/>
      <c r="T921" s="686"/>
      <c r="U921" s="686"/>
      <c r="V921" s="686"/>
      <c r="W921" s="686"/>
    </row>
    <row r="922" ht="13.8" customHeight="1">
      <c r="A922" s="686"/>
      <c r="B922" s="686"/>
      <c r="C922" s="823"/>
      <c r="D922" s="686"/>
      <c r="E922" s="686"/>
      <c r="F922" s="686"/>
      <c r="G922" s="687"/>
      <c r="H922" s="686"/>
      <c r="I922" s="687"/>
      <c r="J922" s="686"/>
      <c r="K922" s="686"/>
      <c r="L922" s="686"/>
      <c r="M922" s="686"/>
      <c r="N922" s="686"/>
      <c r="O922" s="687"/>
      <c r="P922" s="686"/>
      <c r="Q922" s="686"/>
      <c r="R922" s="687"/>
      <c r="S922" s="686"/>
      <c r="T922" s="686"/>
      <c r="U922" s="686"/>
      <c r="V922" s="686"/>
      <c r="W922" s="686"/>
    </row>
    <row r="923" ht="13.8" customHeight="1">
      <c r="A923" s="686"/>
      <c r="B923" s="686"/>
      <c r="C923" s="823"/>
      <c r="D923" s="686"/>
      <c r="E923" s="686"/>
      <c r="F923" s="686"/>
      <c r="G923" s="687"/>
      <c r="H923" s="686"/>
      <c r="I923" s="687"/>
      <c r="J923" s="686"/>
      <c r="K923" s="686"/>
      <c r="L923" s="686"/>
      <c r="M923" s="686"/>
      <c r="N923" s="686"/>
      <c r="O923" s="687"/>
      <c r="P923" s="686"/>
      <c r="Q923" s="686"/>
      <c r="R923" s="687"/>
      <c r="S923" s="686"/>
      <c r="T923" s="686"/>
      <c r="U923" s="686"/>
      <c r="V923" s="686"/>
      <c r="W923" s="686"/>
    </row>
    <row r="924" ht="13.8" customHeight="1">
      <c r="A924" s="686"/>
      <c r="B924" s="686"/>
      <c r="C924" s="823"/>
      <c r="D924" s="686"/>
      <c r="E924" s="686"/>
      <c r="F924" s="686"/>
      <c r="G924" s="687"/>
      <c r="H924" s="686"/>
      <c r="I924" s="687"/>
      <c r="J924" s="686"/>
      <c r="K924" s="686"/>
      <c r="L924" s="686"/>
      <c r="M924" s="686"/>
      <c r="N924" s="686"/>
      <c r="O924" s="687"/>
      <c r="P924" s="686"/>
      <c r="Q924" s="686"/>
      <c r="R924" s="687"/>
      <c r="S924" s="686"/>
      <c r="T924" s="686"/>
      <c r="U924" s="686"/>
      <c r="V924" s="686"/>
      <c r="W924" s="686"/>
    </row>
    <row r="925" ht="13.8" customHeight="1">
      <c r="A925" s="686"/>
      <c r="B925" s="686"/>
      <c r="C925" s="823"/>
      <c r="D925" s="686"/>
      <c r="E925" s="686"/>
      <c r="F925" s="686"/>
      <c r="G925" s="687"/>
      <c r="H925" s="686"/>
      <c r="I925" s="687"/>
      <c r="J925" s="686"/>
      <c r="K925" s="686"/>
      <c r="L925" s="686"/>
      <c r="M925" s="686"/>
      <c r="N925" s="686"/>
      <c r="O925" s="687"/>
      <c r="P925" s="686"/>
      <c r="Q925" s="686"/>
      <c r="R925" s="687"/>
      <c r="S925" s="686"/>
      <c r="T925" s="686"/>
      <c r="U925" s="686"/>
      <c r="V925" s="686"/>
      <c r="W925" s="686"/>
    </row>
    <row r="926" ht="13.8" customHeight="1">
      <c r="A926" s="686"/>
      <c r="B926" s="686"/>
      <c r="C926" s="823"/>
      <c r="D926" s="686"/>
      <c r="E926" s="686"/>
      <c r="F926" s="686"/>
      <c r="G926" s="687"/>
      <c r="H926" s="686"/>
      <c r="I926" s="687"/>
      <c r="J926" s="686"/>
      <c r="K926" s="686"/>
      <c r="L926" s="686"/>
      <c r="M926" s="686"/>
      <c r="N926" s="686"/>
      <c r="O926" s="687"/>
      <c r="P926" s="686"/>
      <c r="Q926" s="686"/>
      <c r="R926" s="687"/>
      <c r="S926" s="686"/>
      <c r="T926" s="686"/>
      <c r="U926" s="686"/>
      <c r="V926" s="686"/>
      <c r="W926" s="686"/>
    </row>
    <row r="927" ht="13.8" customHeight="1">
      <c r="A927" s="686"/>
      <c r="B927" s="686"/>
      <c r="C927" s="823"/>
      <c r="D927" s="686"/>
      <c r="E927" s="686"/>
      <c r="F927" s="686"/>
      <c r="G927" s="687"/>
      <c r="H927" s="686"/>
      <c r="I927" s="687"/>
      <c r="J927" s="686"/>
      <c r="K927" s="686"/>
      <c r="L927" s="686"/>
      <c r="M927" s="686"/>
      <c r="N927" s="686"/>
      <c r="O927" s="687"/>
      <c r="P927" s="686"/>
      <c r="Q927" s="686"/>
      <c r="R927" s="687"/>
      <c r="S927" s="686"/>
      <c r="T927" s="686"/>
      <c r="U927" s="686"/>
      <c r="V927" s="686"/>
      <c r="W927" s="686"/>
    </row>
    <row r="928" ht="13.8" customHeight="1">
      <c r="A928" s="686"/>
      <c r="B928" s="686"/>
      <c r="C928" s="823"/>
      <c r="D928" s="686"/>
      <c r="E928" s="686"/>
      <c r="F928" s="686"/>
      <c r="G928" s="687"/>
      <c r="H928" s="686"/>
      <c r="I928" s="687"/>
      <c r="J928" s="686"/>
      <c r="K928" s="686"/>
      <c r="L928" s="686"/>
      <c r="M928" s="686"/>
      <c r="N928" s="686"/>
      <c r="O928" s="687"/>
      <c r="P928" s="686"/>
      <c r="Q928" s="686"/>
      <c r="R928" s="687"/>
      <c r="S928" s="686"/>
      <c r="T928" s="686"/>
      <c r="U928" s="686"/>
      <c r="V928" s="686"/>
      <c r="W928" s="686"/>
    </row>
    <row r="929" ht="13.8" customHeight="1">
      <c r="A929" s="686"/>
      <c r="B929" s="686"/>
      <c r="C929" s="823"/>
      <c r="D929" s="686"/>
      <c r="E929" s="686"/>
      <c r="F929" s="686"/>
      <c r="G929" s="687"/>
      <c r="H929" s="686"/>
      <c r="I929" s="687"/>
      <c r="J929" s="686"/>
      <c r="K929" s="686"/>
      <c r="L929" s="686"/>
      <c r="M929" s="686"/>
      <c r="N929" s="686"/>
      <c r="O929" s="687"/>
      <c r="P929" s="686"/>
      <c r="Q929" s="686"/>
      <c r="R929" s="687"/>
      <c r="S929" s="686"/>
      <c r="T929" s="686"/>
      <c r="U929" s="686"/>
      <c r="V929" s="686"/>
      <c r="W929" s="686"/>
    </row>
    <row r="930" ht="13.8" customHeight="1">
      <c r="A930" s="686"/>
      <c r="B930" s="686"/>
      <c r="C930" s="823"/>
      <c r="D930" s="686"/>
      <c r="E930" s="686"/>
      <c r="F930" s="686"/>
      <c r="G930" s="687"/>
      <c r="H930" s="686"/>
      <c r="I930" s="687"/>
      <c r="J930" s="686"/>
      <c r="K930" s="686"/>
      <c r="L930" s="686"/>
      <c r="M930" s="686"/>
      <c r="N930" s="686"/>
      <c r="O930" s="687"/>
      <c r="P930" s="686"/>
      <c r="Q930" s="686"/>
      <c r="R930" s="687"/>
      <c r="S930" s="686"/>
      <c r="T930" s="686"/>
      <c r="U930" s="686"/>
      <c r="V930" s="686"/>
      <c r="W930" s="686"/>
    </row>
    <row r="931" ht="13.8" customHeight="1">
      <c r="A931" s="686"/>
      <c r="B931" s="686"/>
      <c r="C931" s="823"/>
      <c r="D931" s="686"/>
      <c r="E931" s="686"/>
      <c r="F931" s="686"/>
      <c r="G931" s="687"/>
      <c r="H931" s="686"/>
      <c r="I931" s="687"/>
      <c r="J931" s="686"/>
      <c r="K931" s="686"/>
      <c r="L931" s="686"/>
      <c r="M931" s="686"/>
      <c r="N931" s="686"/>
      <c r="O931" s="687"/>
      <c r="P931" s="686"/>
      <c r="Q931" s="686"/>
      <c r="R931" s="687"/>
      <c r="S931" s="686"/>
      <c r="T931" s="686"/>
      <c r="U931" s="686"/>
      <c r="V931" s="686"/>
      <c r="W931" s="686"/>
    </row>
    <row r="932" ht="13.8" customHeight="1">
      <c r="A932" s="686"/>
      <c r="B932" s="686"/>
      <c r="C932" s="823"/>
      <c r="D932" s="686"/>
      <c r="E932" s="686"/>
      <c r="F932" s="686"/>
      <c r="G932" s="687"/>
      <c r="H932" s="686"/>
      <c r="I932" s="687"/>
      <c r="J932" s="686"/>
      <c r="K932" s="686"/>
      <c r="L932" s="686"/>
      <c r="M932" s="686"/>
      <c r="N932" s="686"/>
      <c r="O932" s="687"/>
      <c r="P932" s="686"/>
      <c r="Q932" s="686"/>
      <c r="R932" s="687"/>
      <c r="S932" s="686"/>
      <c r="T932" s="686"/>
      <c r="U932" s="686"/>
      <c r="V932" s="686"/>
      <c r="W932" s="686"/>
    </row>
    <row r="933" ht="13.8" customHeight="1">
      <c r="A933" s="686"/>
      <c r="B933" s="686"/>
      <c r="C933" s="823"/>
      <c r="D933" s="686"/>
      <c r="E933" s="686"/>
      <c r="F933" s="686"/>
      <c r="G933" s="687"/>
      <c r="H933" s="686"/>
      <c r="I933" s="687"/>
      <c r="J933" s="686"/>
      <c r="K933" s="686"/>
      <c r="L933" s="686"/>
      <c r="M933" s="686"/>
      <c r="N933" s="686"/>
      <c r="O933" s="687"/>
      <c r="P933" s="686"/>
      <c r="Q933" s="686"/>
      <c r="R933" s="687"/>
      <c r="S933" s="686"/>
      <c r="T933" s="686"/>
      <c r="U933" s="686"/>
      <c r="V933" s="686"/>
      <c r="W933" s="686"/>
    </row>
    <row r="934" ht="13.8" customHeight="1">
      <c r="A934" s="686"/>
      <c r="B934" s="686"/>
      <c r="C934" s="823"/>
      <c r="D934" s="686"/>
      <c r="E934" s="686"/>
      <c r="F934" s="686"/>
      <c r="G934" s="687"/>
      <c r="H934" s="686"/>
      <c r="I934" s="687"/>
      <c r="J934" s="686"/>
      <c r="K934" s="686"/>
      <c r="L934" s="686"/>
      <c r="M934" s="686"/>
      <c r="N934" s="686"/>
      <c r="O934" s="687"/>
      <c r="P934" s="686"/>
      <c r="Q934" s="686"/>
      <c r="R934" s="687"/>
      <c r="S934" s="686"/>
      <c r="T934" s="686"/>
      <c r="U934" s="686"/>
      <c r="V934" s="686"/>
      <c r="W934" s="686"/>
    </row>
    <row r="935" ht="13.8" customHeight="1">
      <c r="A935" s="686"/>
      <c r="B935" s="686"/>
      <c r="C935" s="823"/>
      <c r="D935" s="686"/>
      <c r="E935" s="686"/>
      <c r="F935" s="686"/>
      <c r="G935" s="687"/>
      <c r="H935" s="686"/>
      <c r="I935" s="687"/>
      <c r="J935" s="686"/>
      <c r="K935" s="686"/>
      <c r="L935" s="686"/>
      <c r="M935" s="686"/>
      <c r="N935" s="686"/>
      <c r="O935" s="687"/>
      <c r="P935" s="686"/>
      <c r="Q935" s="686"/>
      <c r="R935" s="687"/>
      <c r="S935" s="686"/>
      <c r="T935" s="686"/>
      <c r="U935" s="686"/>
      <c r="V935" s="686"/>
      <c r="W935" s="686"/>
    </row>
    <row r="936" ht="13.8" customHeight="1">
      <c r="A936" s="686"/>
      <c r="B936" s="686"/>
      <c r="C936" s="823"/>
      <c r="D936" s="686"/>
      <c r="E936" s="686"/>
      <c r="F936" s="686"/>
      <c r="G936" s="687"/>
      <c r="H936" s="686"/>
      <c r="I936" s="687"/>
      <c r="J936" s="686"/>
      <c r="K936" s="686"/>
      <c r="L936" s="686"/>
      <c r="M936" s="686"/>
      <c r="N936" s="686"/>
      <c r="O936" s="687"/>
      <c r="P936" s="686"/>
      <c r="Q936" s="686"/>
      <c r="R936" s="687"/>
      <c r="S936" s="686"/>
      <c r="T936" s="686"/>
      <c r="U936" s="686"/>
      <c r="V936" s="686"/>
      <c r="W936" s="686"/>
    </row>
    <row r="937" ht="13.8" customHeight="1">
      <c r="A937" s="686"/>
      <c r="B937" s="686"/>
      <c r="C937" s="823"/>
      <c r="D937" s="686"/>
      <c r="E937" s="686"/>
      <c r="F937" s="686"/>
      <c r="G937" s="687"/>
      <c r="H937" s="686"/>
      <c r="I937" s="687"/>
      <c r="J937" s="686"/>
      <c r="K937" s="686"/>
      <c r="L937" s="686"/>
      <c r="M937" s="686"/>
      <c r="N937" s="686"/>
      <c r="O937" s="687"/>
      <c r="P937" s="686"/>
      <c r="Q937" s="686"/>
      <c r="R937" s="687"/>
      <c r="S937" s="686"/>
      <c r="T937" s="686"/>
      <c r="U937" s="686"/>
      <c r="V937" s="686"/>
      <c r="W937" s="686"/>
    </row>
    <row r="938" ht="13.8" customHeight="1">
      <c r="A938" s="686"/>
      <c r="B938" s="686"/>
      <c r="C938" s="823"/>
      <c r="D938" s="686"/>
      <c r="E938" s="686"/>
      <c r="F938" s="686"/>
      <c r="G938" s="687"/>
      <c r="H938" s="686"/>
      <c r="I938" s="687"/>
      <c r="J938" s="686"/>
      <c r="K938" s="686"/>
      <c r="L938" s="686"/>
      <c r="M938" s="686"/>
      <c r="N938" s="686"/>
      <c r="O938" s="687"/>
      <c r="P938" s="686"/>
      <c r="Q938" s="686"/>
      <c r="R938" s="687"/>
      <c r="S938" s="686"/>
      <c r="T938" s="686"/>
      <c r="U938" s="686"/>
      <c r="V938" s="686"/>
      <c r="W938" s="686"/>
    </row>
    <row r="939" ht="13.8" customHeight="1">
      <c r="A939" s="686"/>
      <c r="B939" s="686"/>
      <c r="C939" s="823"/>
      <c r="D939" s="686"/>
      <c r="E939" s="686"/>
      <c r="F939" s="686"/>
      <c r="G939" s="687"/>
      <c r="H939" s="686"/>
      <c r="I939" s="687"/>
      <c r="J939" s="686"/>
      <c r="K939" s="686"/>
      <c r="L939" s="686"/>
      <c r="M939" s="686"/>
      <c r="N939" s="686"/>
      <c r="O939" s="687"/>
      <c r="P939" s="686"/>
      <c r="Q939" s="686"/>
      <c r="R939" s="687"/>
      <c r="S939" s="686"/>
      <c r="T939" s="686"/>
      <c r="U939" s="686"/>
      <c r="V939" s="686"/>
      <c r="W939" s="686"/>
    </row>
    <row r="940" ht="13.8" customHeight="1">
      <c r="A940" s="686"/>
      <c r="B940" s="686"/>
      <c r="C940" s="823"/>
      <c r="D940" s="686"/>
      <c r="E940" s="686"/>
      <c r="F940" s="686"/>
      <c r="G940" s="687"/>
      <c r="H940" s="686"/>
      <c r="I940" s="687"/>
      <c r="J940" s="686"/>
      <c r="K940" s="686"/>
      <c r="L940" s="686"/>
      <c r="M940" s="686"/>
      <c r="N940" s="686"/>
      <c r="O940" s="687"/>
      <c r="P940" s="686"/>
      <c r="Q940" s="686"/>
      <c r="R940" s="687"/>
      <c r="S940" s="686"/>
      <c r="T940" s="686"/>
      <c r="U940" s="686"/>
      <c r="V940" s="686"/>
      <c r="W940" s="686"/>
    </row>
    <row r="941" ht="13.8" customHeight="1">
      <c r="A941" s="686"/>
      <c r="B941" s="686"/>
      <c r="C941" s="823"/>
      <c r="D941" s="686"/>
      <c r="E941" s="686"/>
      <c r="F941" s="686"/>
      <c r="G941" s="687"/>
      <c r="H941" s="686"/>
      <c r="I941" s="687"/>
      <c r="J941" s="686"/>
      <c r="K941" s="686"/>
      <c r="L941" s="686"/>
      <c r="M941" s="686"/>
      <c r="N941" s="686"/>
      <c r="O941" s="687"/>
      <c r="P941" s="686"/>
      <c r="Q941" s="686"/>
      <c r="R941" s="687"/>
      <c r="S941" s="686"/>
      <c r="T941" s="686"/>
      <c r="U941" s="686"/>
      <c r="V941" s="686"/>
      <c r="W941" s="686"/>
    </row>
    <row r="942" ht="13.8" customHeight="1">
      <c r="A942" s="686"/>
      <c r="B942" s="686"/>
      <c r="C942" s="823"/>
      <c r="D942" s="686"/>
      <c r="E942" s="686"/>
      <c r="F942" s="686"/>
      <c r="G942" s="687"/>
      <c r="H942" s="686"/>
      <c r="I942" s="687"/>
      <c r="J942" s="686"/>
      <c r="K942" s="686"/>
      <c r="L942" s="686"/>
      <c r="M942" s="686"/>
      <c r="N942" s="686"/>
      <c r="O942" s="687"/>
      <c r="P942" s="686"/>
      <c r="Q942" s="686"/>
      <c r="R942" s="687"/>
      <c r="S942" s="686"/>
      <c r="T942" s="686"/>
      <c r="U942" s="686"/>
      <c r="V942" s="686"/>
      <c r="W942" s="686"/>
    </row>
    <row r="943" ht="13.8" customHeight="1">
      <c r="A943" s="686"/>
      <c r="B943" s="686"/>
      <c r="C943" s="823"/>
      <c r="D943" s="686"/>
      <c r="E943" s="686"/>
      <c r="F943" s="686"/>
      <c r="G943" s="687"/>
      <c r="H943" s="686"/>
      <c r="I943" s="687"/>
      <c r="J943" s="686"/>
      <c r="K943" s="686"/>
      <c r="L943" s="686"/>
      <c r="M943" s="686"/>
      <c r="N943" s="686"/>
      <c r="O943" s="687"/>
      <c r="P943" s="686"/>
      <c r="Q943" s="686"/>
      <c r="R943" s="687"/>
      <c r="S943" s="686"/>
      <c r="T943" s="686"/>
      <c r="U943" s="686"/>
      <c r="V943" s="686"/>
      <c r="W943" s="686"/>
    </row>
    <row r="944" ht="13.8" customHeight="1">
      <c r="A944" s="686"/>
      <c r="B944" s="686"/>
      <c r="C944" s="823"/>
      <c r="D944" s="686"/>
      <c r="E944" s="686"/>
      <c r="F944" s="686"/>
      <c r="G944" s="687"/>
      <c r="H944" s="686"/>
      <c r="I944" s="687"/>
      <c r="J944" s="686"/>
      <c r="K944" s="686"/>
      <c r="L944" s="686"/>
      <c r="M944" s="686"/>
      <c r="N944" s="686"/>
      <c r="O944" s="687"/>
      <c r="P944" s="686"/>
      <c r="Q944" s="686"/>
      <c r="R944" s="687"/>
      <c r="S944" s="686"/>
      <c r="T944" s="686"/>
      <c r="U944" s="686"/>
      <c r="V944" s="686"/>
      <c r="W944" s="686"/>
    </row>
    <row r="945" ht="13.8" customHeight="1">
      <c r="A945" s="686"/>
      <c r="B945" s="686"/>
      <c r="C945" s="823"/>
      <c r="D945" s="686"/>
      <c r="E945" s="686"/>
      <c r="F945" s="686"/>
      <c r="G945" s="687"/>
      <c r="H945" s="686"/>
      <c r="I945" s="687"/>
      <c r="J945" s="686"/>
      <c r="K945" s="686"/>
      <c r="L945" s="686"/>
      <c r="M945" s="686"/>
      <c r="N945" s="686"/>
      <c r="O945" s="687"/>
      <c r="P945" s="686"/>
      <c r="Q945" s="686"/>
      <c r="R945" s="687"/>
      <c r="S945" s="686"/>
      <c r="T945" s="686"/>
      <c r="U945" s="686"/>
      <c r="V945" s="686"/>
      <c r="W945" s="686"/>
    </row>
    <row r="946" ht="13.8" customHeight="1">
      <c r="A946" s="686"/>
      <c r="B946" s="686"/>
      <c r="C946" s="823"/>
      <c r="D946" s="686"/>
      <c r="E946" s="686"/>
      <c r="F946" s="686"/>
      <c r="G946" s="687"/>
      <c r="H946" s="686"/>
      <c r="I946" s="687"/>
      <c r="J946" s="686"/>
      <c r="K946" s="686"/>
      <c r="L946" s="686"/>
      <c r="M946" s="686"/>
      <c r="N946" s="686"/>
      <c r="O946" s="687"/>
      <c r="P946" s="686"/>
      <c r="Q946" s="686"/>
      <c r="R946" s="687"/>
      <c r="S946" s="686"/>
      <c r="T946" s="686"/>
      <c r="U946" s="686"/>
      <c r="V946" s="686"/>
      <c r="W946" s="686"/>
    </row>
    <row r="947" ht="13.8" customHeight="1">
      <c r="A947" s="686"/>
      <c r="B947" s="686"/>
      <c r="C947" s="823"/>
      <c r="D947" s="686"/>
      <c r="E947" s="686"/>
      <c r="F947" s="686"/>
      <c r="G947" s="687"/>
      <c r="H947" s="686"/>
      <c r="I947" s="687"/>
      <c r="J947" s="686"/>
      <c r="K947" s="686"/>
      <c r="L947" s="686"/>
      <c r="M947" s="686"/>
      <c r="N947" s="686"/>
      <c r="O947" s="687"/>
      <c r="P947" s="686"/>
      <c r="Q947" s="686"/>
      <c r="R947" s="687"/>
      <c r="S947" s="686"/>
      <c r="T947" s="686"/>
      <c r="U947" s="686"/>
      <c r="V947" s="686"/>
      <c r="W947" s="686"/>
    </row>
    <row r="948" ht="13.8" customHeight="1">
      <c r="A948" s="686"/>
      <c r="B948" s="686"/>
      <c r="C948" s="823"/>
      <c r="D948" s="686"/>
      <c r="E948" s="686"/>
      <c r="F948" s="686"/>
      <c r="G948" s="687"/>
      <c r="H948" s="686"/>
      <c r="I948" s="687"/>
      <c r="J948" s="686"/>
      <c r="K948" s="686"/>
      <c r="L948" s="686"/>
      <c r="M948" s="686"/>
      <c r="N948" s="686"/>
      <c r="O948" s="687"/>
      <c r="P948" s="686"/>
      <c r="Q948" s="686"/>
      <c r="R948" s="687"/>
      <c r="S948" s="686"/>
      <c r="T948" s="686"/>
      <c r="U948" s="686"/>
      <c r="V948" s="686"/>
      <c r="W948" s="686"/>
    </row>
    <row r="949" ht="13.8" customHeight="1">
      <c r="A949" s="686"/>
      <c r="B949" s="686"/>
      <c r="C949" s="823"/>
      <c r="D949" s="686"/>
      <c r="E949" s="686"/>
      <c r="F949" s="686"/>
      <c r="G949" s="687"/>
      <c r="H949" s="686"/>
      <c r="I949" s="687"/>
      <c r="J949" s="686"/>
      <c r="K949" s="686"/>
      <c r="L949" s="686"/>
      <c r="M949" s="686"/>
      <c r="N949" s="686"/>
      <c r="O949" s="687"/>
      <c r="P949" s="686"/>
      <c r="Q949" s="686"/>
      <c r="R949" s="687"/>
      <c r="S949" s="686"/>
      <c r="T949" s="686"/>
      <c r="U949" s="686"/>
      <c r="V949" s="686"/>
      <c r="W949" s="686"/>
    </row>
    <row r="950" ht="13.8" customHeight="1">
      <c r="A950" s="686"/>
      <c r="B950" s="686"/>
      <c r="C950" s="823"/>
      <c r="D950" s="686"/>
      <c r="E950" s="686"/>
      <c r="F950" s="686"/>
      <c r="G950" s="687"/>
      <c r="H950" s="686"/>
      <c r="I950" s="687"/>
      <c r="J950" s="686"/>
      <c r="K950" s="686"/>
      <c r="L950" s="686"/>
      <c r="M950" s="686"/>
      <c r="N950" s="686"/>
      <c r="O950" s="687"/>
      <c r="P950" s="686"/>
      <c r="Q950" s="686"/>
      <c r="R950" s="687"/>
      <c r="S950" s="686"/>
      <c r="T950" s="686"/>
      <c r="U950" s="686"/>
      <c r="V950" s="686"/>
      <c r="W950" s="686"/>
    </row>
    <row r="951" ht="13.8" customHeight="1">
      <c r="A951" s="686"/>
      <c r="B951" s="686"/>
      <c r="C951" s="823"/>
      <c r="D951" s="686"/>
      <c r="E951" s="686"/>
      <c r="F951" s="686"/>
      <c r="G951" s="687"/>
      <c r="H951" s="686"/>
      <c r="I951" s="687"/>
      <c r="J951" s="686"/>
      <c r="K951" s="686"/>
      <c r="L951" s="686"/>
      <c r="M951" s="686"/>
      <c r="N951" s="686"/>
      <c r="O951" s="687"/>
      <c r="P951" s="686"/>
      <c r="Q951" s="686"/>
      <c r="R951" s="687"/>
      <c r="S951" s="686"/>
      <c r="T951" s="686"/>
      <c r="U951" s="686"/>
      <c r="V951" s="686"/>
      <c r="W951" s="686"/>
    </row>
    <row r="952" ht="13.8" customHeight="1">
      <c r="A952" s="686"/>
      <c r="B952" s="686"/>
      <c r="C952" s="823"/>
      <c r="D952" s="686"/>
      <c r="E952" s="686"/>
      <c r="F952" s="686"/>
      <c r="G952" s="687"/>
      <c r="H952" s="686"/>
      <c r="I952" s="687"/>
      <c r="J952" s="686"/>
      <c r="K952" s="686"/>
      <c r="L952" s="686"/>
      <c r="M952" s="686"/>
      <c r="N952" s="686"/>
      <c r="O952" s="687"/>
      <c r="P952" s="686"/>
      <c r="Q952" s="686"/>
      <c r="R952" s="687"/>
      <c r="S952" s="686"/>
      <c r="T952" s="686"/>
      <c r="U952" s="686"/>
      <c r="V952" s="686"/>
      <c r="W952" s="686"/>
    </row>
    <row r="953" ht="13.8" customHeight="1">
      <c r="A953" s="686"/>
      <c r="B953" s="686"/>
      <c r="C953" s="823"/>
      <c r="D953" s="686"/>
      <c r="E953" s="686"/>
      <c r="F953" s="686"/>
      <c r="G953" s="687"/>
      <c r="H953" s="686"/>
      <c r="I953" s="687"/>
      <c r="J953" s="686"/>
      <c r="K953" s="686"/>
      <c r="L953" s="686"/>
      <c r="M953" s="686"/>
      <c r="N953" s="686"/>
      <c r="O953" s="687"/>
      <c r="P953" s="686"/>
      <c r="Q953" s="686"/>
      <c r="R953" s="687"/>
      <c r="S953" s="686"/>
      <c r="T953" s="686"/>
      <c r="U953" s="686"/>
      <c r="V953" s="686"/>
      <c r="W953" s="686"/>
    </row>
    <row r="954" ht="13.8" customHeight="1">
      <c r="A954" s="686"/>
      <c r="B954" s="686"/>
      <c r="C954" s="823"/>
      <c r="D954" s="686"/>
      <c r="E954" s="686"/>
      <c r="F954" s="686"/>
      <c r="G954" s="687"/>
      <c r="H954" s="686"/>
      <c r="I954" s="687"/>
      <c r="J954" s="686"/>
      <c r="K954" s="686"/>
      <c r="L954" s="686"/>
      <c r="M954" s="686"/>
      <c r="N954" s="686"/>
      <c r="O954" s="687"/>
      <c r="P954" s="686"/>
      <c r="Q954" s="686"/>
      <c r="R954" s="687"/>
      <c r="S954" s="686"/>
      <c r="T954" s="686"/>
      <c r="U954" s="686"/>
      <c r="V954" s="686"/>
      <c r="W954" s="686"/>
    </row>
    <row r="955" ht="13.8" customHeight="1">
      <c r="A955" s="686"/>
      <c r="B955" s="686"/>
      <c r="C955" s="823"/>
      <c r="D955" s="686"/>
      <c r="E955" s="686"/>
      <c r="F955" s="686"/>
      <c r="G955" s="687"/>
      <c r="H955" s="686"/>
      <c r="I955" s="687"/>
      <c r="J955" s="686"/>
      <c r="K955" s="686"/>
      <c r="L955" s="686"/>
      <c r="M955" s="686"/>
      <c r="N955" s="686"/>
      <c r="O955" s="687"/>
      <c r="P955" s="686"/>
      <c r="Q955" s="686"/>
      <c r="R955" s="687"/>
      <c r="S955" s="686"/>
      <c r="T955" s="686"/>
      <c r="U955" s="686"/>
      <c r="V955" s="686"/>
      <c r="W955" s="686"/>
    </row>
    <row r="956" ht="13.8" customHeight="1">
      <c r="A956" s="686"/>
      <c r="B956" s="686"/>
      <c r="C956" s="823"/>
      <c r="D956" s="686"/>
      <c r="E956" s="686"/>
      <c r="F956" s="686"/>
      <c r="G956" s="687"/>
      <c r="H956" s="686"/>
      <c r="I956" s="687"/>
      <c r="J956" s="686"/>
      <c r="K956" s="686"/>
      <c r="L956" s="686"/>
      <c r="M956" s="686"/>
      <c r="N956" s="686"/>
      <c r="O956" s="687"/>
      <c r="P956" s="686"/>
      <c r="Q956" s="686"/>
      <c r="R956" s="687"/>
      <c r="S956" s="686"/>
      <c r="T956" s="686"/>
      <c r="U956" s="686"/>
      <c r="V956" s="686"/>
      <c r="W956" s="686"/>
    </row>
    <row r="957" ht="13.8" customHeight="1">
      <c r="A957" s="686"/>
      <c r="B957" s="686"/>
      <c r="C957" s="823"/>
      <c r="D957" s="686"/>
      <c r="E957" s="686"/>
      <c r="F957" s="686"/>
      <c r="G957" s="687"/>
      <c r="H957" s="686"/>
      <c r="I957" s="687"/>
      <c r="J957" s="686"/>
      <c r="K957" s="686"/>
      <c r="L957" s="686"/>
      <c r="M957" s="686"/>
      <c r="N957" s="686"/>
      <c r="O957" s="687"/>
      <c r="P957" s="686"/>
      <c r="Q957" s="686"/>
      <c r="R957" s="687"/>
      <c r="S957" s="686"/>
      <c r="T957" s="686"/>
      <c r="U957" s="686"/>
      <c r="V957" s="686"/>
      <c r="W957" s="686"/>
    </row>
    <row r="958" ht="13.8" customHeight="1">
      <c r="A958" s="686"/>
      <c r="B958" s="686"/>
      <c r="C958" s="823"/>
      <c r="D958" s="686"/>
      <c r="E958" s="686"/>
      <c r="F958" s="686"/>
      <c r="G958" s="687"/>
      <c r="H958" s="686"/>
      <c r="I958" s="687"/>
      <c r="J958" s="686"/>
      <c r="K958" s="686"/>
      <c r="L958" s="686"/>
      <c r="M958" s="686"/>
      <c r="N958" s="686"/>
      <c r="O958" s="687"/>
      <c r="P958" s="686"/>
      <c r="Q958" s="686"/>
      <c r="R958" s="687"/>
      <c r="S958" s="686"/>
      <c r="T958" s="686"/>
      <c r="U958" s="686"/>
      <c r="V958" s="686"/>
      <c r="W958" s="686"/>
    </row>
    <row r="959" ht="13.8" customHeight="1">
      <c r="A959" s="686"/>
      <c r="B959" s="686"/>
      <c r="C959" s="823"/>
      <c r="D959" s="686"/>
      <c r="E959" s="686"/>
      <c r="F959" s="686"/>
      <c r="G959" s="687"/>
      <c r="H959" s="686"/>
      <c r="I959" s="687"/>
      <c r="J959" s="686"/>
      <c r="K959" s="686"/>
      <c r="L959" s="686"/>
      <c r="M959" s="686"/>
      <c r="N959" s="686"/>
      <c r="O959" s="687"/>
      <c r="P959" s="686"/>
      <c r="Q959" s="686"/>
      <c r="R959" s="687"/>
      <c r="S959" s="686"/>
      <c r="T959" s="686"/>
      <c r="U959" s="686"/>
      <c r="V959" s="686"/>
      <c r="W959" s="686"/>
    </row>
    <row r="960" ht="13.8" customHeight="1">
      <c r="A960" s="686"/>
      <c r="B960" s="686"/>
      <c r="C960" s="823"/>
      <c r="D960" s="686"/>
      <c r="E960" s="686"/>
      <c r="F960" s="686"/>
      <c r="G960" s="687"/>
      <c r="H960" s="686"/>
      <c r="I960" s="687"/>
      <c r="J960" s="686"/>
      <c r="K960" s="686"/>
      <c r="L960" s="686"/>
      <c r="M960" s="686"/>
      <c r="N960" s="686"/>
      <c r="O960" s="687"/>
      <c r="P960" s="686"/>
      <c r="Q960" s="686"/>
      <c r="R960" s="687"/>
      <c r="S960" s="686"/>
      <c r="T960" s="686"/>
      <c r="U960" s="686"/>
      <c r="V960" s="686"/>
      <c r="W960" s="686"/>
    </row>
    <row r="961" ht="13.8" customHeight="1">
      <c r="A961" s="686"/>
      <c r="B961" s="686"/>
      <c r="C961" s="823"/>
      <c r="D961" s="686"/>
      <c r="E961" s="686"/>
      <c r="F961" s="686"/>
      <c r="G961" s="687"/>
      <c r="H961" s="686"/>
      <c r="I961" s="687"/>
      <c r="J961" s="686"/>
      <c r="K961" s="686"/>
      <c r="L961" s="686"/>
      <c r="M961" s="686"/>
      <c r="N961" s="686"/>
      <c r="O961" s="687"/>
      <c r="P961" s="686"/>
      <c r="Q961" s="686"/>
      <c r="R961" s="687"/>
      <c r="S961" s="686"/>
      <c r="T961" s="686"/>
      <c r="U961" s="686"/>
      <c r="V961" s="686"/>
      <c r="W961" s="686"/>
    </row>
    <row r="962" ht="13.8" customHeight="1">
      <c r="A962" s="686"/>
      <c r="B962" s="686"/>
      <c r="C962" s="823"/>
      <c r="D962" s="686"/>
      <c r="E962" s="686"/>
      <c r="F962" s="686"/>
      <c r="G962" s="687"/>
      <c r="H962" s="686"/>
      <c r="I962" s="687"/>
      <c r="J962" s="686"/>
      <c r="K962" s="686"/>
      <c r="L962" s="686"/>
      <c r="M962" s="686"/>
      <c r="N962" s="686"/>
      <c r="O962" s="687"/>
      <c r="P962" s="686"/>
      <c r="Q962" s="686"/>
      <c r="R962" s="687"/>
      <c r="S962" s="686"/>
      <c r="T962" s="686"/>
      <c r="U962" s="686"/>
      <c r="V962" s="686"/>
      <c r="W962" s="686"/>
    </row>
    <row r="963" ht="13.8" customHeight="1">
      <c r="A963" s="686"/>
      <c r="B963" s="686"/>
      <c r="C963" s="823"/>
      <c r="D963" s="686"/>
      <c r="E963" s="686"/>
      <c r="F963" s="686"/>
      <c r="G963" s="687"/>
      <c r="H963" s="686"/>
      <c r="I963" s="687"/>
      <c r="J963" s="686"/>
      <c r="K963" s="686"/>
      <c r="L963" s="686"/>
      <c r="M963" s="686"/>
      <c r="N963" s="686"/>
      <c r="O963" s="687"/>
      <c r="P963" s="686"/>
      <c r="Q963" s="686"/>
      <c r="R963" s="687"/>
      <c r="S963" s="686"/>
      <c r="T963" s="686"/>
      <c r="U963" s="686"/>
      <c r="V963" s="686"/>
      <c r="W963" s="686"/>
    </row>
    <row r="964" ht="13.8" customHeight="1">
      <c r="A964" s="686"/>
      <c r="B964" s="686"/>
      <c r="C964" s="823"/>
      <c r="D964" s="686"/>
      <c r="E964" s="686"/>
      <c r="F964" s="686"/>
      <c r="G964" s="687"/>
      <c r="H964" s="686"/>
      <c r="I964" s="687"/>
      <c r="J964" s="686"/>
      <c r="K964" s="686"/>
      <c r="L964" s="686"/>
      <c r="M964" s="686"/>
      <c r="N964" s="686"/>
      <c r="O964" s="687"/>
      <c r="P964" s="686"/>
      <c r="Q964" s="686"/>
      <c r="R964" s="687"/>
      <c r="S964" s="686"/>
      <c r="T964" s="686"/>
      <c r="U964" s="686"/>
      <c r="V964" s="686"/>
      <c r="W964" s="686"/>
    </row>
    <row r="965" ht="13.8" customHeight="1">
      <c r="A965" s="686"/>
      <c r="B965" s="686"/>
      <c r="C965" s="823"/>
      <c r="D965" s="686"/>
      <c r="E965" s="686"/>
      <c r="F965" s="686"/>
      <c r="G965" s="687"/>
      <c r="H965" s="686"/>
      <c r="I965" s="687"/>
      <c r="J965" s="686"/>
      <c r="K965" s="686"/>
      <c r="L965" s="686"/>
      <c r="M965" s="686"/>
      <c r="N965" s="686"/>
      <c r="O965" s="687"/>
      <c r="P965" s="686"/>
      <c r="Q965" s="686"/>
      <c r="R965" s="687"/>
      <c r="S965" s="686"/>
      <c r="T965" s="686"/>
      <c r="U965" s="686"/>
      <c r="V965" s="686"/>
      <c r="W965" s="686"/>
    </row>
    <row r="966" ht="13.8" customHeight="1">
      <c r="A966" s="686"/>
      <c r="B966" s="686"/>
      <c r="C966" s="823"/>
      <c r="D966" s="686"/>
      <c r="E966" s="686"/>
      <c r="F966" s="686"/>
      <c r="G966" s="687"/>
      <c r="H966" s="686"/>
      <c r="I966" s="687"/>
      <c r="J966" s="686"/>
      <c r="K966" s="686"/>
      <c r="L966" s="686"/>
      <c r="M966" s="686"/>
      <c r="N966" s="686"/>
      <c r="O966" s="687"/>
      <c r="P966" s="686"/>
      <c r="Q966" s="686"/>
      <c r="R966" s="687"/>
      <c r="S966" s="686"/>
      <c r="T966" s="686"/>
      <c r="U966" s="686"/>
      <c r="V966" s="686"/>
      <c r="W966" s="686"/>
    </row>
    <row r="967" ht="13.8" customHeight="1">
      <c r="A967" s="686"/>
      <c r="B967" s="686"/>
      <c r="C967" s="823"/>
      <c r="D967" s="686"/>
      <c r="E967" s="686"/>
      <c r="F967" s="686"/>
      <c r="G967" s="687"/>
      <c r="H967" s="686"/>
      <c r="I967" s="687"/>
      <c r="J967" s="686"/>
      <c r="K967" s="686"/>
      <c r="L967" s="686"/>
      <c r="M967" s="686"/>
      <c r="N967" s="686"/>
      <c r="O967" s="687"/>
      <c r="P967" s="686"/>
      <c r="Q967" s="686"/>
      <c r="R967" s="687"/>
      <c r="S967" s="686"/>
      <c r="T967" s="686"/>
      <c r="U967" s="686"/>
      <c r="V967" s="686"/>
      <c r="W967" s="686"/>
    </row>
    <row r="968" ht="13.8" customHeight="1">
      <c r="A968" s="686"/>
      <c r="B968" s="686"/>
      <c r="C968" s="823"/>
      <c r="D968" s="686"/>
      <c r="E968" s="686"/>
      <c r="F968" s="686"/>
      <c r="G968" s="687"/>
      <c r="H968" s="686"/>
      <c r="I968" s="687"/>
      <c r="J968" s="686"/>
      <c r="K968" s="686"/>
      <c r="L968" s="686"/>
      <c r="M968" s="686"/>
      <c r="N968" s="686"/>
      <c r="O968" s="687"/>
      <c r="P968" s="686"/>
      <c r="Q968" s="686"/>
      <c r="R968" s="687"/>
      <c r="S968" s="686"/>
      <c r="T968" s="686"/>
      <c r="U968" s="686"/>
      <c r="V968" s="686"/>
      <c r="W968" s="686"/>
    </row>
    <row r="969" ht="13.8" customHeight="1">
      <c r="A969" s="686"/>
      <c r="B969" s="686"/>
      <c r="C969" s="823"/>
      <c r="D969" s="686"/>
      <c r="E969" s="686"/>
      <c r="F969" s="686"/>
      <c r="G969" s="687"/>
      <c r="H969" s="686"/>
      <c r="I969" s="687"/>
      <c r="J969" s="686"/>
      <c r="K969" s="686"/>
      <c r="L969" s="686"/>
      <c r="M969" s="686"/>
      <c r="N969" s="686"/>
      <c r="O969" s="687"/>
      <c r="P969" s="686"/>
      <c r="Q969" s="686"/>
      <c r="R969" s="687"/>
      <c r="S969" s="686"/>
      <c r="T969" s="686"/>
      <c r="U969" s="686"/>
      <c r="V969" s="686"/>
      <c r="W969" s="686"/>
    </row>
    <row r="970" ht="13.8" customHeight="1">
      <c r="A970" s="686"/>
      <c r="B970" s="686"/>
      <c r="C970" s="823"/>
      <c r="D970" s="686"/>
      <c r="E970" s="686"/>
      <c r="F970" s="686"/>
      <c r="G970" s="687"/>
      <c r="H970" s="686"/>
      <c r="I970" s="687"/>
      <c r="J970" s="686"/>
      <c r="K970" s="686"/>
      <c r="L970" s="686"/>
      <c r="M970" s="686"/>
      <c r="N970" s="686"/>
      <c r="O970" s="687"/>
      <c r="P970" s="686"/>
      <c r="Q970" s="686"/>
      <c r="R970" s="687"/>
      <c r="S970" s="686"/>
      <c r="T970" s="686"/>
      <c r="U970" s="686"/>
      <c r="V970" s="686"/>
      <c r="W970" s="686"/>
    </row>
    <row r="971" ht="13.8" customHeight="1">
      <c r="A971" s="686"/>
      <c r="B971" s="686"/>
      <c r="C971" s="823"/>
      <c r="D971" s="686"/>
      <c r="E971" s="686"/>
      <c r="F971" s="686"/>
      <c r="G971" s="687"/>
      <c r="H971" s="686"/>
      <c r="I971" s="687"/>
      <c r="J971" s="686"/>
      <c r="K971" s="686"/>
      <c r="L971" s="686"/>
      <c r="M971" s="686"/>
      <c r="N971" s="686"/>
      <c r="O971" s="687"/>
      <c r="P971" s="686"/>
      <c r="Q971" s="686"/>
      <c r="R971" s="687"/>
      <c r="S971" s="686"/>
      <c r="T971" s="686"/>
      <c r="U971" s="686"/>
      <c r="V971" s="686"/>
      <c r="W971" s="686"/>
    </row>
    <row r="972" ht="13.8" customHeight="1">
      <c r="A972" s="686"/>
      <c r="B972" s="686"/>
      <c r="C972" s="823"/>
      <c r="D972" s="686"/>
      <c r="E972" s="686"/>
      <c r="F972" s="686"/>
      <c r="G972" s="687"/>
      <c r="H972" s="686"/>
      <c r="I972" s="687"/>
      <c r="J972" s="686"/>
      <c r="K972" s="686"/>
      <c r="L972" s="686"/>
      <c r="M972" s="686"/>
      <c r="N972" s="686"/>
      <c r="O972" s="687"/>
      <c r="P972" s="686"/>
      <c r="Q972" s="686"/>
      <c r="R972" s="687"/>
      <c r="S972" s="686"/>
      <c r="T972" s="686"/>
      <c r="U972" s="686"/>
      <c r="V972" s="686"/>
      <c r="W972" s="686"/>
    </row>
    <row r="973" ht="13.8" customHeight="1">
      <c r="A973" s="686"/>
      <c r="B973" s="686"/>
      <c r="C973" s="823"/>
      <c r="D973" s="686"/>
      <c r="E973" s="686"/>
      <c r="F973" s="686"/>
      <c r="G973" s="687"/>
      <c r="H973" s="686"/>
      <c r="I973" s="687"/>
      <c r="J973" s="686"/>
      <c r="K973" s="686"/>
      <c r="L973" s="686"/>
      <c r="M973" s="686"/>
      <c r="N973" s="686"/>
      <c r="O973" s="687"/>
      <c r="P973" s="686"/>
      <c r="Q973" s="686"/>
      <c r="R973" s="687"/>
      <c r="S973" s="686"/>
      <c r="T973" s="686"/>
      <c r="U973" s="686"/>
      <c r="V973" s="686"/>
      <c r="W973" s="686"/>
    </row>
    <row r="974" ht="13.8" customHeight="1">
      <c r="A974" s="686"/>
      <c r="B974" s="686"/>
      <c r="C974" s="823"/>
      <c r="D974" s="686"/>
      <c r="E974" s="686"/>
      <c r="F974" s="686"/>
      <c r="G974" s="687"/>
      <c r="H974" s="686"/>
      <c r="I974" s="687"/>
      <c r="J974" s="686"/>
      <c r="K974" s="686"/>
      <c r="L974" s="686"/>
      <c r="M974" s="686"/>
      <c r="N974" s="686"/>
      <c r="O974" s="687"/>
      <c r="P974" s="686"/>
      <c r="Q974" s="686"/>
      <c r="R974" s="687"/>
      <c r="S974" s="686"/>
      <c r="T974" s="686"/>
      <c r="U974" s="686"/>
      <c r="V974" s="686"/>
      <c r="W974" s="686"/>
    </row>
    <row r="975" ht="13.8" customHeight="1">
      <c r="A975" s="686"/>
      <c r="B975" s="686"/>
      <c r="C975" s="823"/>
      <c r="D975" s="686"/>
      <c r="E975" s="686"/>
      <c r="F975" s="686"/>
      <c r="G975" s="687"/>
      <c r="H975" s="686"/>
      <c r="I975" s="687"/>
      <c r="J975" s="686"/>
      <c r="K975" s="686"/>
      <c r="L975" s="686"/>
      <c r="M975" s="686"/>
      <c r="N975" s="686"/>
      <c r="O975" s="687"/>
      <c r="P975" s="686"/>
      <c r="Q975" s="686"/>
      <c r="R975" s="687"/>
      <c r="S975" s="686"/>
      <c r="T975" s="686"/>
      <c r="U975" s="686"/>
      <c r="V975" s="686"/>
      <c r="W975" s="686"/>
    </row>
    <row r="976" ht="13.8" customHeight="1">
      <c r="A976" s="686"/>
      <c r="B976" s="686"/>
      <c r="C976" s="823"/>
      <c r="D976" s="686"/>
      <c r="E976" s="686"/>
      <c r="F976" s="686"/>
      <c r="G976" s="687"/>
      <c r="H976" s="686"/>
      <c r="I976" s="687"/>
      <c r="J976" s="686"/>
      <c r="K976" s="686"/>
      <c r="L976" s="686"/>
      <c r="M976" s="686"/>
      <c r="N976" s="686"/>
      <c r="O976" s="687"/>
      <c r="P976" s="686"/>
      <c r="Q976" s="686"/>
      <c r="R976" s="687"/>
      <c r="S976" s="686"/>
      <c r="T976" s="686"/>
      <c r="U976" s="686"/>
      <c r="V976" s="686"/>
      <c r="W976" s="686"/>
    </row>
    <row r="977" ht="13.8" customHeight="1">
      <c r="A977" s="686"/>
      <c r="B977" s="686"/>
      <c r="C977" s="823"/>
      <c r="D977" s="686"/>
      <c r="E977" s="686"/>
      <c r="F977" s="686"/>
      <c r="G977" s="687"/>
      <c r="H977" s="686"/>
      <c r="I977" s="687"/>
      <c r="J977" s="686"/>
      <c r="K977" s="686"/>
      <c r="L977" s="686"/>
      <c r="M977" s="686"/>
      <c r="N977" s="686"/>
      <c r="O977" s="687"/>
      <c r="P977" s="686"/>
      <c r="Q977" s="686"/>
      <c r="R977" s="687"/>
      <c r="S977" s="686"/>
      <c r="T977" s="686"/>
      <c r="U977" s="686"/>
      <c r="V977" s="686"/>
      <c r="W977" s="686"/>
    </row>
    <row r="978" ht="13.8" customHeight="1">
      <c r="A978" s="686"/>
      <c r="B978" s="686"/>
      <c r="C978" s="823"/>
      <c r="D978" s="686"/>
      <c r="E978" s="686"/>
      <c r="F978" s="686"/>
      <c r="G978" s="687"/>
      <c r="H978" s="686"/>
      <c r="I978" s="687"/>
      <c r="J978" s="686"/>
      <c r="K978" s="686"/>
      <c r="L978" s="686"/>
      <c r="M978" s="686"/>
      <c r="N978" s="686"/>
      <c r="O978" s="687"/>
      <c r="P978" s="686"/>
      <c r="Q978" s="686"/>
      <c r="R978" s="687"/>
      <c r="S978" s="686"/>
      <c r="T978" s="686"/>
      <c r="U978" s="686"/>
      <c r="V978" s="686"/>
      <c r="W978" s="686"/>
    </row>
    <row r="979" ht="13.8" customHeight="1">
      <c r="A979" s="686"/>
      <c r="B979" s="686"/>
      <c r="C979" s="823"/>
      <c r="D979" s="686"/>
      <c r="E979" s="686"/>
      <c r="F979" s="686"/>
      <c r="G979" s="687"/>
      <c r="H979" s="686"/>
      <c r="I979" s="687"/>
      <c r="J979" s="686"/>
      <c r="K979" s="686"/>
      <c r="L979" s="686"/>
      <c r="M979" s="686"/>
      <c r="N979" s="686"/>
      <c r="O979" s="687"/>
      <c r="P979" s="686"/>
      <c r="Q979" s="686"/>
      <c r="R979" s="687"/>
      <c r="S979" s="686"/>
      <c r="T979" s="686"/>
      <c r="U979" s="686"/>
      <c r="V979" s="686"/>
      <c r="W979" s="686"/>
    </row>
    <row r="980" ht="13.8" customHeight="1">
      <c r="A980" s="686"/>
      <c r="B980" s="686"/>
      <c r="C980" s="823"/>
      <c r="D980" s="686"/>
      <c r="E980" s="686"/>
      <c r="F980" s="686"/>
      <c r="G980" s="687"/>
      <c r="H980" s="686"/>
      <c r="I980" s="687"/>
      <c r="J980" s="686"/>
      <c r="K980" s="686"/>
      <c r="L980" s="686"/>
      <c r="M980" s="686"/>
      <c r="N980" s="686"/>
      <c r="O980" s="687"/>
      <c r="P980" s="686"/>
      <c r="Q980" s="686"/>
      <c r="R980" s="687"/>
      <c r="S980" s="686"/>
      <c r="T980" s="686"/>
      <c r="U980" s="686"/>
      <c r="V980" s="686"/>
      <c r="W980" s="686"/>
    </row>
    <row r="981" ht="13.8" customHeight="1">
      <c r="A981" s="686"/>
      <c r="B981" s="686"/>
      <c r="C981" s="823"/>
      <c r="D981" s="686"/>
      <c r="E981" s="686"/>
      <c r="F981" s="686"/>
      <c r="G981" s="687"/>
      <c r="H981" s="686"/>
      <c r="I981" s="687"/>
      <c r="J981" s="686"/>
      <c r="K981" s="686"/>
      <c r="L981" s="686"/>
      <c r="M981" s="686"/>
      <c r="N981" s="686"/>
      <c r="O981" s="687"/>
      <c r="P981" s="686"/>
      <c r="Q981" s="686"/>
      <c r="R981" s="687"/>
      <c r="S981" s="686"/>
      <c r="T981" s="686"/>
      <c r="U981" s="686"/>
      <c r="V981" s="686"/>
      <c r="W981" s="686"/>
    </row>
    <row r="982" ht="13.8" customHeight="1">
      <c r="A982" s="686"/>
      <c r="B982" s="686"/>
      <c r="C982" s="823"/>
      <c r="D982" s="686"/>
      <c r="E982" s="686"/>
      <c r="F982" s="686"/>
      <c r="G982" s="687"/>
      <c r="H982" s="686"/>
      <c r="I982" s="687"/>
      <c r="J982" s="686"/>
      <c r="K982" s="686"/>
      <c r="L982" s="686"/>
      <c r="M982" s="686"/>
      <c r="N982" s="686"/>
      <c r="O982" s="687"/>
      <c r="P982" s="686"/>
      <c r="Q982" s="686"/>
      <c r="R982" s="687"/>
      <c r="S982" s="686"/>
      <c r="T982" s="686"/>
      <c r="U982" s="686"/>
      <c r="V982" s="686"/>
      <c r="W982" s="686"/>
    </row>
    <row r="983" ht="13.8" customHeight="1">
      <c r="A983" s="686"/>
      <c r="B983" s="686"/>
      <c r="C983" s="823"/>
      <c r="D983" s="686"/>
      <c r="E983" s="686"/>
      <c r="F983" s="686"/>
      <c r="G983" s="687"/>
      <c r="H983" s="686"/>
      <c r="I983" s="687"/>
      <c r="J983" s="686"/>
      <c r="K983" s="686"/>
      <c r="L983" s="686"/>
      <c r="M983" s="686"/>
      <c r="N983" s="686"/>
      <c r="O983" s="687"/>
      <c r="P983" s="686"/>
      <c r="Q983" s="686"/>
      <c r="R983" s="687"/>
      <c r="S983" s="686"/>
      <c r="T983" s="686"/>
      <c r="U983" s="686"/>
      <c r="V983" s="686"/>
      <c r="W983" s="686"/>
    </row>
    <row r="984" ht="13.8" customHeight="1">
      <c r="A984" s="686"/>
      <c r="B984" s="686"/>
      <c r="C984" s="823"/>
      <c r="D984" s="686"/>
      <c r="E984" s="686"/>
      <c r="F984" s="686"/>
      <c r="G984" s="687"/>
      <c r="H984" s="686"/>
      <c r="I984" s="687"/>
      <c r="J984" s="686"/>
      <c r="K984" s="686"/>
      <c r="L984" s="686"/>
      <c r="M984" s="686"/>
      <c r="N984" s="686"/>
      <c r="O984" s="687"/>
      <c r="P984" s="686"/>
      <c r="Q984" s="686"/>
      <c r="R984" s="687"/>
      <c r="S984" s="686"/>
      <c r="T984" s="686"/>
      <c r="U984" s="686"/>
      <c r="V984" s="686"/>
      <c r="W984" s="686"/>
    </row>
    <row r="985" ht="13.8" customHeight="1">
      <c r="A985" s="686"/>
      <c r="B985" s="686"/>
      <c r="C985" s="823"/>
      <c r="D985" s="686"/>
      <c r="E985" s="686"/>
      <c r="F985" s="686"/>
      <c r="G985" s="687"/>
      <c r="H985" s="686"/>
      <c r="I985" s="687"/>
      <c r="J985" s="686"/>
      <c r="K985" s="686"/>
      <c r="L985" s="686"/>
      <c r="M985" s="686"/>
      <c r="N985" s="686"/>
      <c r="O985" s="687"/>
      <c r="P985" s="686"/>
      <c r="Q985" s="686"/>
      <c r="R985" s="687"/>
      <c r="S985" s="686"/>
      <c r="T985" s="686"/>
      <c r="U985" s="686"/>
      <c r="V985" s="686"/>
      <c r="W985" s="686"/>
    </row>
    <row r="986" ht="13.8" customHeight="1">
      <c r="A986" s="686"/>
      <c r="B986" s="686"/>
      <c r="C986" s="823"/>
      <c r="D986" s="686"/>
      <c r="E986" s="686"/>
      <c r="F986" s="686"/>
      <c r="G986" s="687"/>
      <c r="H986" s="686"/>
      <c r="I986" s="687"/>
      <c r="J986" s="686"/>
      <c r="K986" s="686"/>
      <c r="L986" s="686"/>
      <c r="M986" s="686"/>
      <c r="N986" s="686"/>
      <c r="O986" s="687"/>
      <c r="P986" s="686"/>
      <c r="Q986" s="686"/>
      <c r="R986" s="687"/>
      <c r="S986" s="686"/>
      <c r="T986" s="686"/>
      <c r="U986" s="686"/>
      <c r="V986" s="686"/>
      <c r="W986" s="686"/>
    </row>
    <row r="987" ht="13.8" customHeight="1">
      <c r="A987" s="686"/>
      <c r="B987" s="686"/>
      <c r="C987" s="823"/>
      <c r="D987" s="686"/>
      <c r="E987" s="686"/>
      <c r="F987" s="686"/>
      <c r="G987" s="687"/>
      <c r="H987" s="686"/>
      <c r="I987" s="687"/>
      <c r="J987" s="686"/>
      <c r="K987" s="686"/>
      <c r="L987" s="686"/>
      <c r="M987" s="686"/>
      <c r="N987" s="686"/>
      <c r="O987" s="687"/>
      <c r="P987" s="686"/>
      <c r="Q987" s="686"/>
      <c r="R987" s="687"/>
      <c r="S987" s="686"/>
      <c r="T987" s="686"/>
      <c r="U987" s="686"/>
      <c r="V987" s="686"/>
      <c r="W987" s="686"/>
    </row>
    <row r="988" ht="13.8" customHeight="1">
      <c r="A988" s="686"/>
      <c r="B988" s="686"/>
      <c r="C988" s="823"/>
      <c r="D988" s="686"/>
      <c r="E988" s="686"/>
      <c r="F988" s="686"/>
      <c r="G988" s="687"/>
      <c r="H988" s="686"/>
      <c r="I988" s="687"/>
      <c r="J988" s="686"/>
      <c r="K988" s="686"/>
      <c r="L988" s="686"/>
      <c r="M988" s="686"/>
      <c r="N988" s="686"/>
      <c r="O988" s="687"/>
      <c r="P988" s="686"/>
      <c r="Q988" s="686"/>
      <c r="R988" s="687"/>
      <c r="S988" s="686"/>
      <c r="T988" s="686"/>
      <c r="U988" s="686"/>
      <c r="V988" s="686"/>
      <c r="W988" s="686"/>
    </row>
    <row r="989" ht="15" customHeight="1">
      <c r="A989" s="686"/>
      <c r="B989" s="686"/>
      <c r="C989" s="823"/>
      <c r="D989" s="686"/>
      <c r="E989" s="686"/>
      <c r="F989" s="686"/>
      <c r="G989" s="687"/>
      <c r="H989" s="686"/>
      <c r="I989" s="687"/>
      <c r="J989" s="686"/>
      <c r="K989" s="686"/>
      <c r="L989" s="686"/>
      <c r="M989" s="686"/>
      <c r="N989" s="686"/>
      <c r="O989" s="687"/>
      <c r="P989" s="686"/>
      <c r="Q989" s="686"/>
      <c r="R989" s="687"/>
      <c r="S989" s="686"/>
      <c r="T989" s="27"/>
      <c r="U989" s="27"/>
      <c r="V989" s="27"/>
      <c r="W989" s="27"/>
    </row>
    <row r="990" ht="15" customHeight="1">
      <c r="A990" s="686"/>
      <c r="B990" s="686"/>
      <c r="C990" s="823"/>
      <c r="D990" s="686"/>
      <c r="E990" s="686"/>
      <c r="F990" s="27"/>
      <c r="G990" s="687"/>
      <c r="H990" s="686"/>
      <c r="I990" s="687"/>
      <c r="J990" s="686"/>
      <c r="K990" s="686"/>
      <c r="L990" s="686"/>
      <c r="M990" s="686"/>
      <c r="N990" s="686"/>
      <c r="O990" s="687"/>
      <c r="P990" s="686"/>
      <c r="Q990" s="686"/>
      <c r="R990" s="687"/>
      <c r="S990" s="27"/>
      <c r="T990" s="27"/>
      <c r="U990" s="27"/>
      <c r="V990" s="27"/>
      <c r="W990" s="27"/>
    </row>
    <row r="991" ht="15" customHeight="1">
      <c r="A991" s="686"/>
      <c r="B991" s="686"/>
      <c r="C991" s="823"/>
      <c r="D991" s="686"/>
      <c r="E991" s="686"/>
      <c r="F991" s="27"/>
      <c r="G991" s="687"/>
      <c r="H991" s="686"/>
      <c r="I991" s="687"/>
      <c r="J991" s="686"/>
      <c r="K991" s="686"/>
      <c r="L991" s="686"/>
      <c r="M991" s="686"/>
      <c r="N991" s="686"/>
      <c r="O991" s="687"/>
      <c r="P991" s="686"/>
      <c r="Q991" s="686"/>
      <c r="R991" s="687"/>
      <c r="S991" s="27"/>
      <c r="T991" s="27"/>
      <c r="U991" s="27"/>
      <c r="V991" s="27"/>
      <c r="W991" s="27"/>
    </row>
    <row r="992" ht="15" customHeight="1">
      <c r="A992" s="686"/>
      <c r="B992" s="686"/>
      <c r="C992" s="823"/>
      <c r="D992" s="686"/>
      <c r="E992" s="686"/>
      <c r="F992" s="27"/>
      <c r="G992" s="687"/>
      <c r="H992" s="686"/>
      <c r="I992" s="687"/>
      <c r="J992" s="686"/>
      <c r="K992" s="686"/>
      <c r="L992" s="686"/>
      <c r="M992" s="686"/>
      <c r="N992" s="686"/>
      <c r="O992" s="687"/>
      <c r="P992" s="27"/>
      <c r="Q992" s="27"/>
      <c r="R992" s="687"/>
      <c r="S992" s="27"/>
      <c r="T992" s="27"/>
      <c r="U992" s="27"/>
      <c r="V992" s="27"/>
      <c r="W992" s="27"/>
    </row>
    <row r="993" ht="15" customHeight="1">
      <c r="A993" s="686"/>
      <c r="B993" s="686"/>
      <c r="C993" s="823"/>
      <c r="D993" s="686"/>
      <c r="E993" s="686"/>
      <c r="F993" s="27"/>
      <c r="G993" s="687"/>
      <c r="H993" s="686"/>
      <c r="I993" s="687"/>
      <c r="J993" s="686"/>
      <c r="K993" s="686"/>
      <c r="L993" s="686"/>
      <c r="M993" s="27"/>
      <c r="N993" s="27"/>
      <c r="O993" s="687"/>
      <c r="P993" s="27"/>
      <c r="Q993" s="27"/>
      <c r="R993" s="570"/>
      <c r="S993" s="27"/>
      <c r="T993" s="27"/>
      <c r="U993" s="27"/>
      <c r="V993" s="27"/>
      <c r="W993" s="27"/>
    </row>
    <row r="994" ht="15" customHeight="1">
      <c r="A994" s="686"/>
      <c r="B994" s="686"/>
      <c r="C994" s="823"/>
      <c r="D994" s="686"/>
      <c r="E994" s="686"/>
      <c r="F994" s="27"/>
      <c r="G994" s="687"/>
      <c r="H994" s="686"/>
      <c r="I994" s="687"/>
      <c r="J994" s="686"/>
      <c r="K994" s="686"/>
      <c r="L994" s="686"/>
      <c r="M994" s="27"/>
      <c r="N994" s="27"/>
      <c r="O994" s="687"/>
      <c r="P994" s="27"/>
      <c r="Q994" s="27"/>
      <c r="R994" s="570"/>
      <c r="S994" s="27"/>
      <c r="T994" s="27"/>
      <c r="U994" s="27"/>
      <c r="V994" s="27"/>
      <c r="W994" s="27"/>
    </row>
    <row r="995" ht="15" customHeight="1">
      <c r="A995" s="686"/>
      <c r="B995" s="686"/>
      <c r="C995" s="823"/>
      <c r="D995" s="686"/>
      <c r="E995" s="686"/>
      <c r="F995" s="27"/>
      <c r="G995" s="687"/>
      <c r="H995" s="686"/>
      <c r="I995" s="687"/>
      <c r="J995" s="686"/>
      <c r="K995" s="686"/>
      <c r="L995" s="686"/>
      <c r="M995" s="27"/>
      <c r="N995" s="27"/>
      <c r="O995" s="687"/>
      <c r="P995" s="27"/>
      <c r="Q995" s="27"/>
      <c r="R995" s="570"/>
      <c r="S995" s="27"/>
      <c r="T995" s="27"/>
      <c r="U995" s="27"/>
      <c r="V995" s="27"/>
      <c r="W995" s="27"/>
    </row>
    <row r="996" ht="15" customHeight="1">
      <c r="A996" s="686"/>
      <c r="B996" s="686"/>
      <c r="C996" s="823"/>
      <c r="D996" s="686"/>
      <c r="E996" s="686"/>
      <c r="F996" s="27"/>
      <c r="G996" s="687"/>
      <c r="H996" s="27"/>
      <c r="I996" s="570"/>
      <c r="J996" s="27"/>
      <c r="K996" s="27"/>
      <c r="L996" s="27"/>
      <c r="M996" s="27"/>
      <c r="N996" s="27"/>
      <c r="O996" s="570"/>
      <c r="P996" s="27"/>
      <c r="Q996" s="27"/>
      <c r="R996" s="570"/>
      <c r="S996" s="27"/>
      <c r="T996" s="27"/>
      <c r="U996" s="27"/>
      <c r="V996" s="27"/>
      <c r="W996" s="27"/>
    </row>
    <row r="997" ht="15" customHeight="1">
      <c r="A997" s="686"/>
      <c r="B997" s="686"/>
      <c r="C997" s="823"/>
      <c r="D997" s="686"/>
      <c r="E997" s="686"/>
      <c r="F997" s="27"/>
      <c r="G997" s="687"/>
      <c r="H997" s="27"/>
      <c r="I997" s="570"/>
      <c r="J997" s="27"/>
      <c r="K997" s="27"/>
      <c r="L997" s="27"/>
      <c r="M997" s="27"/>
      <c r="N997" s="27"/>
      <c r="O997" s="570"/>
      <c r="P997" s="27"/>
      <c r="Q997" s="27"/>
      <c r="R997" s="570"/>
      <c r="S997" s="27"/>
      <c r="T997" s="27"/>
      <c r="U997" s="27"/>
      <c r="V997" s="27"/>
      <c r="W997" s="27"/>
    </row>
    <row r="998" ht="15" customHeight="1">
      <c r="A998" s="686"/>
      <c r="B998" s="686"/>
      <c r="C998" s="823"/>
      <c r="D998" s="686"/>
      <c r="E998" s="686"/>
      <c r="F998" s="27"/>
      <c r="G998" s="687"/>
      <c r="H998" s="27"/>
      <c r="I998" s="570"/>
      <c r="J998" s="27"/>
      <c r="K998" s="27"/>
      <c r="L998" s="27"/>
      <c r="M998" s="27"/>
      <c r="N998" s="27"/>
      <c r="O998" s="570"/>
      <c r="P998" s="27"/>
      <c r="Q998" s="27"/>
      <c r="R998" s="570"/>
      <c r="S998" s="27"/>
      <c r="T998" s="27"/>
      <c r="U998" s="27"/>
      <c r="V998" s="27"/>
      <c r="W998" s="27"/>
    </row>
    <row r="999" ht="15" customHeight="1">
      <c r="A999" s="27"/>
      <c r="B999" s="27"/>
      <c r="C999" s="570"/>
      <c r="D999" s="27"/>
      <c r="E999" s="27"/>
      <c r="F999" s="27"/>
      <c r="G999" s="687"/>
      <c r="H999" s="27"/>
      <c r="I999" s="570"/>
      <c r="J999" s="27"/>
      <c r="K999" s="27"/>
      <c r="L999" s="27"/>
      <c r="M999" s="27"/>
      <c r="N999" s="27"/>
      <c r="O999" s="570"/>
      <c r="P999" s="27"/>
      <c r="Q999" s="27"/>
      <c r="R999" s="570"/>
      <c r="S999" s="27"/>
      <c r="T999" s="27"/>
      <c r="U999" s="27"/>
      <c r="V999" s="27"/>
      <c r="W999" s="27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6.xml><?xml version="1.0" encoding="utf-8"?>
<worksheet xmlns:r="http://schemas.openxmlformats.org/officeDocument/2006/relationships" xmlns="http://schemas.openxmlformats.org/spreadsheetml/2006/main">
  <dimension ref="A1:K8450"/>
  <sheetViews>
    <sheetView workbookViewId="0" showGridLines="0" defaultGridColor="1"/>
  </sheetViews>
  <sheetFormatPr defaultColWidth="12.6" defaultRowHeight="13.8" customHeight="1" outlineLevelRow="0" outlineLevelCol="0"/>
  <cols>
    <col min="1" max="1" width="12.6016" style="824" customWidth="1"/>
    <col min="2" max="2" width="22.2109" style="824" customWidth="1"/>
    <col min="3" max="3" width="18.4219" style="824" customWidth="1"/>
    <col min="4" max="4" width="21.2109" style="824" customWidth="1"/>
    <col min="5" max="5" width="20.8125" style="824" customWidth="1"/>
    <col min="6" max="6" width="21.2109" style="824" customWidth="1"/>
    <col min="7" max="7" width="20.2109" style="824" customWidth="1"/>
    <col min="8" max="8" width="17.8125" style="824" customWidth="1"/>
    <col min="9" max="9" width="16.4219" style="824" customWidth="1"/>
    <col min="10" max="10" width="16.8125" style="824" customWidth="1"/>
    <col min="11" max="11" width="12.6016" style="824" customWidth="1"/>
    <col min="12" max="16384" width="12.6016" style="824" customWidth="1"/>
  </cols>
  <sheetData>
    <row r="1" ht="23.25" customHeight="1">
      <c r="A1" t="s" s="825">
        <v>466</v>
      </c>
      <c r="B1" s="581"/>
      <c r="C1" s="581"/>
      <c r="D1" s="581"/>
      <c r="E1" s="581"/>
      <c r="F1" s="581"/>
      <c r="G1" s="581"/>
      <c r="H1" s="581"/>
      <c r="I1" s="581"/>
      <c r="J1" s="581"/>
      <c r="K1" s="570"/>
    </row>
    <row r="2" ht="12.75" customHeight="1">
      <c r="A2" t="s" s="826">
        <v>467</v>
      </c>
      <c r="B2" t="s" s="826">
        <v>468</v>
      </c>
      <c r="C2" t="s" s="826">
        <v>469</v>
      </c>
      <c r="D2" t="s" s="826">
        <v>470</v>
      </c>
      <c r="E2" t="s" s="827">
        <v>471</v>
      </c>
      <c r="F2" t="s" s="826">
        <v>472</v>
      </c>
      <c r="G2" t="s" s="827">
        <v>473</v>
      </c>
      <c r="H2" t="s" s="827">
        <v>474</v>
      </c>
      <c r="I2" t="s" s="827">
        <v>475</v>
      </c>
      <c r="J2" t="s" s="826">
        <v>474</v>
      </c>
      <c r="K2" s="828"/>
    </row>
    <row r="3" ht="17.25" customHeight="1">
      <c r="A3" s="829">
        <v>6</v>
      </c>
      <c r="B3" t="s" s="830">
        <v>476</v>
      </c>
      <c r="C3" t="s" s="830">
        <v>477</v>
      </c>
      <c r="D3" s="831">
        <v>46023</v>
      </c>
      <c r="E3" t="s" s="830">
        <v>478</v>
      </c>
      <c r="F3" t="s" s="830">
        <v>478</v>
      </c>
      <c r="G3" s="832"/>
      <c r="H3" s="832"/>
      <c r="I3" s="832"/>
      <c r="J3" s="832"/>
      <c r="K3" s="570"/>
    </row>
    <row r="4" ht="12.75" customHeight="1">
      <c r="A4" s="833">
        <v>6</v>
      </c>
      <c r="B4" t="s" s="834">
        <v>476</v>
      </c>
      <c r="C4" t="s" s="834">
        <v>477</v>
      </c>
      <c r="D4" s="835">
        <v>46024</v>
      </c>
      <c r="E4" t="s" s="834">
        <v>478</v>
      </c>
      <c r="F4" t="s" s="834">
        <v>478</v>
      </c>
      <c r="G4" s="570"/>
      <c r="H4" s="570"/>
      <c r="I4" s="570"/>
      <c r="J4" s="570"/>
      <c r="K4" s="570"/>
    </row>
    <row r="5" ht="12.75" customHeight="1">
      <c r="A5" s="833">
        <v>6</v>
      </c>
      <c r="B5" t="s" s="834">
        <v>476</v>
      </c>
      <c r="C5" t="s" s="834">
        <v>477</v>
      </c>
      <c r="D5" s="835">
        <v>46025</v>
      </c>
      <c r="E5" t="s" s="834">
        <v>478</v>
      </c>
      <c r="F5" t="s" s="834">
        <v>478</v>
      </c>
      <c r="G5" s="570"/>
      <c r="H5" s="570"/>
      <c r="I5" s="570"/>
      <c r="J5" s="570"/>
      <c r="K5" s="570"/>
    </row>
    <row r="6" ht="12.75" customHeight="1">
      <c r="A6" s="833">
        <v>6</v>
      </c>
      <c r="B6" t="s" s="834">
        <v>476</v>
      </c>
      <c r="C6" t="s" s="834">
        <v>477</v>
      </c>
      <c r="D6" s="835">
        <v>46026</v>
      </c>
      <c r="E6" t="s" s="834">
        <v>478</v>
      </c>
      <c r="F6" t="s" s="834">
        <v>478</v>
      </c>
      <c r="G6" s="570"/>
      <c r="H6" s="570"/>
      <c r="I6" s="570"/>
      <c r="J6" s="570"/>
      <c r="K6" s="570"/>
    </row>
    <row r="7" ht="12.75" customHeight="1">
      <c r="A7" s="833">
        <v>6</v>
      </c>
      <c r="B7" t="s" s="834">
        <v>476</v>
      </c>
      <c r="C7" t="s" s="834">
        <v>477</v>
      </c>
      <c r="D7" s="835">
        <v>46027</v>
      </c>
      <c r="E7" t="s" s="834">
        <v>478</v>
      </c>
      <c r="F7" t="s" s="834">
        <v>478</v>
      </c>
      <c r="G7" s="570"/>
      <c r="H7" s="570"/>
      <c r="I7" s="570"/>
      <c r="J7" s="570"/>
      <c r="K7" s="570"/>
    </row>
    <row r="8" ht="12.75" customHeight="1">
      <c r="A8" s="833">
        <v>6</v>
      </c>
      <c r="B8" t="s" s="834">
        <v>476</v>
      </c>
      <c r="C8" t="s" s="834">
        <v>477</v>
      </c>
      <c r="D8" s="835">
        <v>46028</v>
      </c>
      <c r="E8" t="s" s="834">
        <v>478</v>
      </c>
      <c r="F8" t="s" s="834">
        <v>478</v>
      </c>
      <c r="G8" s="570"/>
      <c r="H8" s="570"/>
      <c r="I8" s="570"/>
      <c r="J8" s="570"/>
      <c r="K8" s="570"/>
    </row>
    <row r="9" ht="12.75" customHeight="1">
      <c r="A9" s="833">
        <v>6</v>
      </c>
      <c r="B9" t="s" s="834">
        <v>476</v>
      </c>
      <c r="C9" t="s" s="834">
        <v>477</v>
      </c>
      <c r="D9" s="835">
        <v>46029</v>
      </c>
      <c r="E9" t="s" s="834">
        <v>478</v>
      </c>
      <c r="F9" t="s" s="834">
        <v>478</v>
      </c>
      <c r="G9" s="570"/>
      <c r="H9" s="570"/>
      <c r="I9" s="570"/>
      <c r="J9" s="570"/>
      <c r="K9" s="570"/>
    </row>
    <row r="10" ht="12.75" customHeight="1">
      <c r="A10" s="833">
        <v>6</v>
      </c>
      <c r="B10" t="s" s="834">
        <v>476</v>
      </c>
      <c r="C10" t="s" s="834">
        <v>477</v>
      </c>
      <c r="D10" s="835">
        <v>46030</v>
      </c>
      <c r="E10" t="s" s="834">
        <v>478</v>
      </c>
      <c r="F10" t="s" s="834">
        <v>478</v>
      </c>
      <c r="G10" s="570"/>
      <c r="H10" s="570"/>
      <c r="I10" s="570"/>
      <c r="J10" s="570"/>
      <c r="K10" s="570"/>
    </row>
    <row r="11" ht="12.75" customHeight="1">
      <c r="A11" s="833">
        <v>6</v>
      </c>
      <c r="B11" t="s" s="834">
        <v>476</v>
      </c>
      <c r="C11" t="s" s="834">
        <v>477</v>
      </c>
      <c r="D11" s="835">
        <v>46031</v>
      </c>
      <c r="E11" t="s" s="834">
        <v>478</v>
      </c>
      <c r="F11" t="s" s="834">
        <v>478</v>
      </c>
      <c r="G11" s="570"/>
      <c r="H11" s="570"/>
      <c r="I11" s="570"/>
      <c r="J11" s="570"/>
      <c r="K11" s="570"/>
    </row>
    <row r="12" ht="12.75" customHeight="1">
      <c r="A12" s="833">
        <v>6</v>
      </c>
      <c r="B12" t="s" s="834">
        <v>476</v>
      </c>
      <c r="C12" t="s" s="834">
        <v>477</v>
      </c>
      <c r="D12" s="835">
        <v>46032</v>
      </c>
      <c r="E12" t="s" s="834">
        <v>478</v>
      </c>
      <c r="F12" t="s" s="834">
        <v>478</v>
      </c>
      <c r="G12" s="570"/>
      <c r="H12" s="570"/>
      <c r="I12" s="570"/>
      <c r="J12" s="570"/>
      <c r="K12" s="570"/>
    </row>
    <row r="13" ht="12.75" customHeight="1">
      <c r="A13" s="833">
        <v>6</v>
      </c>
      <c r="B13" t="s" s="834">
        <v>476</v>
      </c>
      <c r="C13" t="s" s="834">
        <v>477</v>
      </c>
      <c r="D13" s="835">
        <v>46033</v>
      </c>
      <c r="E13" t="s" s="834">
        <v>478</v>
      </c>
      <c r="F13" t="s" s="834">
        <v>478</v>
      </c>
      <c r="G13" s="570"/>
      <c r="H13" s="570"/>
      <c r="I13" s="570"/>
      <c r="J13" s="570"/>
      <c r="K13" s="570"/>
    </row>
    <row r="14" ht="12.75" customHeight="1">
      <c r="A14" s="833">
        <v>6</v>
      </c>
      <c r="B14" t="s" s="834">
        <v>476</v>
      </c>
      <c r="C14" t="s" s="834">
        <v>477</v>
      </c>
      <c r="D14" s="835">
        <v>46034</v>
      </c>
      <c r="E14" t="s" s="834">
        <v>478</v>
      </c>
      <c r="F14" t="s" s="834">
        <v>478</v>
      </c>
      <c r="G14" s="570"/>
      <c r="H14" s="570"/>
      <c r="I14" s="570"/>
      <c r="J14" s="570"/>
      <c r="K14" s="570"/>
    </row>
    <row r="15" ht="12.75" customHeight="1">
      <c r="A15" s="833">
        <v>6</v>
      </c>
      <c r="B15" t="s" s="834">
        <v>476</v>
      </c>
      <c r="C15" t="s" s="834">
        <v>477</v>
      </c>
      <c r="D15" s="835">
        <v>46035</v>
      </c>
      <c r="E15" t="s" s="834">
        <v>478</v>
      </c>
      <c r="F15" t="s" s="834">
        <v>478</v>
      </c>
      <c r="G15" s="570"/>
      <c r="H15" s="570"/>
      <c r="I15" s="570"/>
      <c r="J15" s="570"/>
      <c r="K15" s="570"/>
    </row>
    <row r="16" ht="12.75" customHeight="1">
      <c r="A16" s="833">
        <v>6</v>
      </c>
      <c r="B16" t="s" s="834">
        <v>476</v>
      </c>
      <c r="C16" t="s" s="834">
        <v>477</v>
      </c>
      <c r="D16" s="835">
        <v>46036</v>
      </c>
      <c r="E16" t="s" s="834">
        <v>478</v>
      </c>
      <c r="F16" t="s" s="834">
        <v>478</v>
      </c>
      <c r="G16" s="570"/>
      <c r="H16" s="570"/>
      <c r="I16" s="570"/>
      <c r="J16" s="570"/>
      <c r="K16" s="570"/>
    </row>
    <row r="17" ht="12.75" customHeight="1">
      <c r="A17" s="833">
        <v>6</v>
      </c>
      <c r="B17" t="s" s="834">
        <v>476</v>
      </c>
      <c r="C17" t="s" s="834">
        <v>477</v>
      </c>
      <c r="D17" s="835">
        <v>46037</v>
      </c>
      <c r="E17" t="s" s="834">
        <v>478</v>
      </c>
      <c r="F17" t="s" s="834">
        <v>478</v>
      </c>
      <c r="G17" s="570"/>
      <c r="H17" s="570"/>
      <c r="I17" s="570"/>
      <c r="J17" s="570"/>
      <c r="K17" s="570"/>
    </row>
    <row r="18" ht="12.75" customHeight="1">
      <c r="A18" s="833">
        <v>6</v>
      </c>
      <c r="B18" t="s" s="834">
        <v>476</v>
      </c>
      <c r="C18" t="s" s="834">
        <v>477</v>
      </c>
      <c r="D18" s="835">
        <v>46038</v>
      </c>
      <c r="E18" t="s" s="834">
        <v>478</v>
      </c>
      <c r="F18" t="s" s="834">
        <v>478</v>
      </c>
      <c r="G18" s="570"/>
      <c r="H18" s="570"/>
      <c r="I18" s="570"/>
      <c r="J18" s="570"/>
      <c r="K18" s="570"/>
    </row>
    <row r="19" ht="12.75" customHeight="1">
      <c r="A19" s="833">
        <v>6</v>
      </c>
      <c r="B19" t="s" s="834">
        <v>476</v>
      </c>
      <c r="C19" t="s" s="834">
        <v>477</v>
      </c>
      <c r="D19" s="835">
        <v>46039</v>
      </c>
      <c r="E19" t="s" s="834">
        <v>478</v>
      </c>
      <c r="F19" t="s" s="834">
        <v>478</v>
      </c>
      <c r="G19" s="570"/>
      <c r="H19" s="570"/>
      <c r="I19" s="570"/>
      <c r="J19" s="570"/>
      <c r="K19" s="570"/>
    </row>
    <row r="20" ht="12.75" customHeight="1">
      <c r="A20" s="833">
        <v>6</v>
      </c>
      <c r="B20" t="s" s="834">
        <v>476</v>
      </c>
      <c r="C20" t="s" s="834">
        <v>477</v>
      </c>
      <c r="D20" s="835">
        <v>46040</v>
      </c>
      <c r="E20" t="s" s="834">
        <v>478</v>
      </c>
      <c r="F20" t="s" s="834">
        <v>478</v>
      </c>
      <c r="G20" s="570"/>
      <c r="H20" s="570"/>
      <c r="I20" s="570"/>
      <c r="J20" s="570"/>
      <c r="K20" s="570"/>
    </row>
    <row r="21" ht="12.75" customHeight="1">
      <c r="A21" s="833">
        <v>6</v>
      </c>
      <c r="B21" t="s" s="834">
        <v>476</v>
      </c>
      <c r="C21" t="s" s="834">
        <v>477</v>
      </c>
      <c r="D21" s="835">
        <v>46041</v>
      </c>
      <c r="E21" t="s" s="834">
        <v>478</v>
      </c>
      <c r="F21" t="s" s="834">
        <v>478</v>
      </c>
      <c r="G21" s="570"/>
      <c r="H21" s="570"/>
      <c r="I21" s="570"/>
      <c r="J21" s="570"/>
      <c r="K21" s="570"/>
    </row>
    <row r="22" ht="12.75" customHeight="1">
      <c r="A22" s="833">
        <v>6</v>
      </c>
      <c r="B22" t="s" s="834">
        <v>476</v>
      </c>
      <c r="C22" t="s" s="834">
        <v>477</v>
      </c>
      <c r="D22" s="835">
        <v>46042</v>
      </c>
      <c r="E22" t="s" s="834">
        <v>478</v>
      </c>
      <c r="F22" t="s" s="834">
        <v>478</v>
      </c>
      <c r="G22" s="570"/>
      <c r="H22" s="570"/>
      <c r="I22" s="570"/>
      <c r="J22" s="570"/>
      <c r="K22" s="570"/>
    </row>
    <row r="23" ht="12.75" customHeight="1">
      <c r="A23" s="833">
        <v>6</v>
      </c>
      <c r="B23" t="s" s="834">
        <v>476</v>
      </c>
      <c r="C23" t="s" s="834">
        <v>477</v>
      </c>
      <c r="D23" s="835">
        <v>46043</v>
      </c>
      <c r="E23" t="s" s="834">
        <v>478</v>
      </c>
      <c r="F23" t="s" s="834">
        <v>478</v>
      </c>
      <c r="G23" s="570"/>
      <c r="H23" s="570"/>
      <c r="I23" s="570"/>
      <c r="J23" s="570"/>
      <c r="K23" s="570"/>
    </row>
    <row r="24" ht="12.75" customHeight="1">
      <c r="A24" s="833">
        <v>6</v>
      </c>
      <c r="B24" t="s" s="834">
        <v>476</v>
      </c>
      <c r="C24" t="s" s="834">
        <v>477</v>
      </c>
      <c r="D24" s="835">
        <v>46044</v>
      </c>
      <c r="E24" t="s" s="834">
        <v>478</v>
      </c>
      <c r="F24" t="s" s="834">
        <v>478</v>
      </c>
      <c r="G24" s="570"/>
      <c r="H24" s="570"/>
      <c r="I24" s="570"/>
      <c r="J24" s="570"/>
      <c r="K24" s="570"/>
    </row>
    <row r="25" ht="12.75" customHeight="1">
      <c r="A25" s="833">
        <v>6</v>
      </c>
      <c r="B25" t="s" s="834">
        <v>476</v>
      </c>
      <c r="C25" t="s" s="834">
        <v>477</v>
      </c>
      <c r="D25" s="835">
        <v>46045</v>
      </c>
      <c r="E25" t="s" s="834">
        <v>478</v>
      </c>
      <c r="F25" t="s" s="834">
        <v>478</v>
      </c>
      <c r="G25" s="570"/>
      <c r="H25" s="570"/>
      <c r="I25" s="570"/>
      <c r="J25" s="570"/>
      <c r="K25" s="570"/>
    </row>
    <row r="26" ht="12.75" customHeight="1">
      <c r="A26" s="833">
        <v>6</v>
      </c>
      <c r="B26" t="s" s="834">
        <v>476</v>
      </c>
      <c r="C26" t="s" s="834">
        <v>477</v>
      </c>
      <c r="D26" s="835">
        <v>46046</v>
      </c>
      <c r="E26" t="s" s="834">
        <v>478</v>
      </c>
      <c r="F26" t="s" s="834">
        <v>478</v>
      </c>
      <c r="G26" s="570"/>
      <c r="H26" s="570"/>
      <c r="I26" s="570"/>
      <c r="J26" s="570"/>
      <c r="K26" s="570"/>
    </row>
    <row r="27" ht="12.75" customHeight="1">
      <c r="A27" s="833">
        <v>6</v>
      </c>
      <c r="B27" t="s" s="834">
        <v>476</v>
      </c>
      <c r="C27" t="s" s="834">
        <v>477</v>
      </c>
      <c r="D27" s="835">
        <v>46047</v>
      </c>
      <c r="E27" t="s" s="834">
        <v>478</v>
      </c>
      <c r="F27" t="s" s="834">
        <v>478</v>
      </c>
      <c r="G27" s="570"/>
      <c r="H27" s="570"/>
      <c r="I27" s="570"/>
      <c r="J27" s="570"/>
      <c r="K27" s="570"/>
    </row>
    <row r="28" ht="12.75" customHeight="1">
      <c r="A28" s="833">
        <v>6</v>
      </c>
      <c r="B28" t="s" s="834">
        <v>476</v>
      </c>
      <c r="C28" t="s" s="834">
        <v>477</v>
      </c>
      <c r="D28" s="835">
        <v>46048</v>
      </c>
      <c r="E28" t="s" s="834">
        <v>478</v>
      </c>
      <c r="F28" t="s" s="834">
        <v>478</v>
      </c>
      <c r="G28" s="570"/>
      <c r="H28" s="570"/>
      <c r="I28" s="570"/>
      <c r="J28" s="570"/>
      <c r="K28" s="570"/>
    </row>
    <row r="29" ht="12.75" customHeight="1">
      <c r="A29" s="833">
        <v>6</v>
      </c>
      <c r="B29" t="s" s="834">
        <v>476</v>
      </c>
      <c r="C29" t="s" s="834">
        <v>477</v>
      </c>
      <c r="D29" s="835">
        <v>46049</v>
      </c>
      <c r="E29" t="s" s="834">
        <v>478</v>
      </c>
      <c r="F29" t="s" s="834">
        <v>478</v>
      </c>
      <c r="G29" s="570"/>
      <c r="H29" s="570"/>
      <c r="I29" s="570"/>
      <c r="J29" s="570"/>
      <c r="K29" s="570"/>
    </row>
    <row r="30" ht="12.75" customHeight="1">
      <c r="A30" s="833">
        <v>6</v>
      </c>
      <c r="B30" t="s" s="834">
        <v>476</v>
      </c>
      <c r="C30" t="s" s="834">
        <v>477</v>
      </c>
      <c r="D30" s="835">
        <v>46050</v>
      </c>
      <c r="E30" t="s" s="834">
        <v>478</v>
      </c>
      <c r="F30" t="s" s="834">
        <v>478</v>
      </c>
      <c r="G30" s="570"/>
      <c r="H30" s="570"/>
      <c r="I30" s="570"/>
      <c r="J30" s="570"/>
      <c r="K30" s="570"/>
    </row>
    <row r="31" ht="12.75" customHeight="1">
      <c r="A31" s="833">
        <v>6</v>
      </c>
      <c r="B31" t="s" s="834">
        <v>476</v>
      </c>
      <c r="C31" t="s" s="834">
        <v>477</v>
      </c>
      <c r="D31" s="835">
        <v>46051</v>
      </c>
      <c r="E31" t="s" s="834">
        <v>478</v>
      </c>
      <c r="F31" t="s" s="834">
        <v>478</v>
      </c>
      <c r="G31" s="570"/>
      <c r="H31" s="570"/>
      <c r="I31" s="570"/>
      <c r="J31" s="570"/>
      <c r="K31" s="570"/>
    </row>
    <row r="32" ht="12.75" customHeight="1">
      <c r="A32" s="833">
        <v>6</v>
      </c>
      <c r="B32" t="s" s="834">
        <v>476</v>
      </c>
      <c r="C32" t="s" s="834">
        <v>477</v>
      </c>
      <c r="D32" s="835">
        <v>46052</v>
      </c>
      <c r="E32" t="s" s="834">
        <v>478</v>
      </c>
      <c r="F32" t="s" s="834">
        <v>478</v>
      </c>
      <c r="G32" s="570"/>
      <c r="H32" s="570"/>
      <c r="I32" s="570"/>
      <c r="J32" s="570"/>
      <c r="K32" s="570"/>
    </row>
    <row r="33" ht="12.75" customHeight="1">
      <c r="A33" s="833">
        <v>6</v>
      </c>
      <c r="B33" t="s" s="834">
        <v>476</v>
      </c>
      <c r="C33" t="s" s="834">
        <v>477</v>
      </c>
      <c r="D33" s="835">
        <v>46053</v>
      </c>
      <c r="E33" t="s" s="834">
        <v>478</v>
      </c>
      <c r="F33" t="s" s="834">
        <v>478</v>
      </c>
      <c r="G33" s="570"/>
      <c r="H33" s="570"/>
      <c r="I33" s="570"/>
      <c r="J33" s="570"/>
      <c r="K33" s="570"/>
    </row>
    <row r="34" ht="12.75" customHeight="1">
      <c r="A34" s="833">
        <v>6</v>
      </c>
      <c r="B34" t="s" s="834">
        <v>476</v>
      </c>
      <c r="C34" t="s" s="834">
        <v>477</v>
      </c>
      <c r="D34" s="835">
        <v>46054</v>
      </c>
      <c r="E34" t="s" s="834">
        <v>478</v>
      </c>
      <c r="F34" t="s" s="834">
        <v>478</v>
      </c>
      <c r="G34" s="570"/>
      <c r="H34" s="570"/>
      <c r="I34" s="570"/>
      <c r="J34" s="570"/>
      <c r="K34" s="570"/>
    </row>
    <row r="35" ht="12.75" customHeight="1">
      <c r="A35" s="833">
        <v>9</v>
      </c>
      <c r="B35" t="s" s="834">
        <v>479</v>
      </c>
      <c r="C35" t="s" s="834">
        <v>477</v>
      </c>
      <c r="D35" s="835">
        <v>46023</v>
      </c>
      <c r="E35" t="s" s="834">
        <v>478</v>
      </c>
      <c r="F35" t="s" s="834">
        <v>478</v>
      </c>
      <c r="G35" s="570"/>
      <c r="H35" s="570"/>
      <c r="I35" s="570"/>
      <c r="J35" s="570"/>
      <c r="K35" s="570"/>
    </row>
    <row r="36" ht="12.75" customHeight="1">
      <c r="A36" s="833">
        <v>9</v>
      </c>
      <c r="B36" t="s" s="834">
        <v>479</v>
      </c>
      <c r="C36" t="s" s="834">
        <v>477</v>
      </c>
      <c r="D36" s="835">
        <v>46024</v>
      </c>
      <c r="E36" t="s" s="834">
        <v>478</v>
      </c>
      <c r="F36" t="s" s="834">
        <v>478</v>
      </c>
      <c r="G36" s="570"/>
      <c r="H36" s="570"/>
      <c r="I36" s="570"/>
      <c r="J36" s="570"/>
      <c r="K36" s="570"/>
    </row>
    <row r="37" ht="12.75" customHeight="1">
      <c r="A37" s="833">
        <v>9</v>
      </c>
      <c r="B37" t="s" s="834">
        <v>479</v>
      </c>
      <c r="C37" t="s" s="834">
        <v>477</v>
      </c>
      <c r="D37" s="835">
        <v>46025</v>
      </c>
      <c r="E37" t="s" s="834">
        <v>478</v>
      </c>
      <c r="F37" t="s" s="834">
        <v>478</v>
      </c>
      <c r="G37" s="570"/>
      <c r="H37" s="570"/>
      <c r="I37" s="570"/>
      <c r="J37" s="570"/>
      <c r="K37" s="570"/>
    </row>
    <row r="38" ht="12.75" customHeight="1">
      <c r="A38" s="833">
        <v>9</v>
      </c>
      <c r="B38" t="s" s="834">
        <v>479</v>
      </c>
      <c r="C38" t="s" s="834">
        <v>477</v>
      </c>
      <c r="D38" s="835">
        <v>46026</v>
      </c>
      <c r="E38" t="s" s="834">
        <v>478</v>
      </c>
      <c r="F38" t="s" s="834">
        <v>478</v>
      </c>
      <c r="G38" s="570"/>
      <c r="H38" s="570"/>
      <c r="I38" s="570"/>
      <c r="J38" s="570"/>
      <c r="K38" s="570"/>
    </row>
    <row r="39" ht="12.75" customHeight="1">
      <c r="A39" s="833">
        <v>9</v>
      </c>
      <c r="B39" t="s" s="834">
        <v>479</v>
      </c>
      <c r="C39" t="s" s="834">
        <v>477</v>
      </c>
      <c r="D39" s="835">
        <v>46027</v>
      </c>
      <c r="E39" t="s" s="834">
        <v>478</v>
      </c>
      <c r="F39" t="s" s="834">
        <v>478</v>
      </c>
      <c r="G39" s="570"/>
      <c r="H39" s="570"/>
      <c r="I39" s="570"/>
      <c r="J39" s="570"/>
      <c r="K39" s="570"/>
    </row>
    <row r="40" ht="12.75" customHeight="1">
      <c r="A40" s="833">
        <v>9</v>
      </c>
      <c r="B40" t="s" s="834">
        <v>479</v>
      </c>
      <c r="C40" t="s" s="834">
        <v>477</v>
      </c>
      <c r="D40" s="835">
        <v>46028</v>
      </c>
      <c r="E40" t="s" s="834">
        <v>478</v>
      </c>
      <c r="F40" t="s" s="834">
        <v>478</v>
      </c>
      <c r="G40" s="570"/>
      <c r="H40" s="570"/>
      <c r="I40" s="570"/>
      <c r="J40" s="570"/>
      <c r="K40" s="570"/>
    </row>
    <row r="41" ht="12.75" customHeight="1">
      <c r="A41" s="833">
        <v>9</v>
      </c>
      <c r="B41" t="s" s="834">
        <v>479</v>
      </c>
      <c r="C41" t="s" s="834">
        <v>477</v>
      </c>
      <c r="D41" s="835">
        <v>46029</v>
      </c>
      <c r="E41" t="s" s="834">
        <v>478</v>
      </c>
      <c r="F41" t="s" s="834">
        <v>478</v>
      </c>
      <c r="G41" s="570"/>
      <c r="H41" s="570"/>
      <c r="I41" s="570"/>
      <c r="J41" s="570"/>
      <c r="K41" s="570"/>
    </row>
    <row r="42" ht="12.75" customHeight="1">
      <c r="A42" s="833">
        <v>9</v>
      </c>
      <c r="B42" t="s" s="834">
        <v>479</v>
      </c>
      <c r="C42" t="s" s="834">
        <v>477</v>
      </c>
      <c r="D42" s="835">
        <v>46030</v>
      </c>
      <c r="E42" t="s" s="834">
        <v>478</v>
      </c>
      <c r="F42" t="s" s="834">
        <v>478</v>
      </c>
      <c r="G42" s="570"/>
      <c r="H42" s="570"/>
      <c r="I42" s="570"/>
      <c r="J42" s="570"/>
      <c r="K42" s="570"/>
    </row>
    <row r="43" ht="12.75" customHeight="1">
      <c r="A43" s="833">
        <v>9</v>
      </c>
      <c r="B43" t="s" s="834">
        <v>479</v>
      </c>
      <c r="C43" t="s" s="834">
        <v>477</v>
      </c>
      <c r="D43" s="835">
        <v>46031</v>
      </c>
      <c r="E43" t="s" s="834">
        <v>478</v>
      </c>
      <c r="F43" t="s" s="834">
        <v>478</v>
      </c>
      <c r="G43" s="570"/>
      <c r="H43" s="570"/>
      <c r="I43" s="570"/>
      <c r="J43" s="570"/>
      <c r="K43" s="570"/>
    </row>
    <row r="44" ht="12.75" customHeight="1">
      <c r="A44" s="833">
        <v>9</v>
      </c>
      <c r="B44" t="s" s="834">
        <v>479</v>
      </c>
      <c r="C44" t="s" s="834">
        <v>477</v>
      </c>
      <c r="D44" s="835">
        <v>46032</v>
      </c>
      <c r="E44" t="s" s="834">
        <v>478</v>
      </c>
      <c r="F44" t="s" s="834">
        <v>478</v>
      </c>
      <c r="G44" s="570"/>
      <c r="H44" s="570"/>
      <c r="I44" s="570"/>
      <c r="J44" s="570"/>
      <c r="K44" s="570"/>
    </row>
    <row r="45" ht="12.75" customHeight="1">
      <c r="A45" s="833">
        <v>9</v>
      </c>
      <c r="B45" t="s" s="834">
        <v>479</v>
      </c>
      <c r="C45" t="s" s="834">
        <v>477</v>
      </c>
      <c r="D45" s="835">
        <v>46033</v>
      </c>
      <c r="E45" t="s" s="834">
        <v>478</v>
      </c>
      <c r="F45" t="s" s="834">
        <v>478</v>
      </c>
      <c r="G45" s="570"/>
      <c r="H45" s="570"/>
      <c r="I45" s="570"/>
      <c r="J45" s="570"/>
      <c r="K45" s="570"/>
    </row>
    <row r="46" ht="12.75" customHeight="1">
      <c r="A46" s="833">
        <v>9</v>
      </c>
      <c r="B46" t="s" s="834">
        <v>479</v>
      </c>
      <c r="C46" t="s" s="834">
        <v>477</v>
      </c>
      <c r="D46" s="835">
        <v>46034</v>
      </c>
      <c r="E46" t="s" s="834">
        <v>478</v>
      </c>
      <c r="F46" t="s" s="834">
        <v>478</v>
      </c>
      <c r="G46" s="570"/>
      <c r="H46" s="570"/>
      <c r="I46" s="570"/>
      <c r="J46" s="570"/>
      <c r="K46" s="570"/>
    </row>
    <row r="47" ht="12.75" customHeight="1">
      <c r="A47" s="833">
        <v>9</v>
      </c>
      <c r="B47" t="s" s="834">
        <v>479</v>
      </c>
      <c r="C47" t="s" s="834">
        <v>477</v>
      </c>
      <c r="D47" s="835">
        <v>46035</v>
      </c>
      <c r="E47" t="s" s="834">
        <v>478</v>
      </c>
      <c r="F47" t="s" s="834">
        <v>478</v>
      </c>
      <c r="G47" s="570"/>
      <c r="H47" s="570"/>
      <c r="I47" s="570"/>
      <c r="J47" s="570"/>
      <c r="K47" s="570"/>
    </row>
    <row r="48" ht="12.75" customHeight="1">
      <c r="A48" s="833">
        <v>9</v>
      </c>
      <c r="B48" t="s" s="834">
        <v>479</v>
      </c>
      <c r="C48" t="s" s="834">
        <v>477</v>
      </c>
      <c r="D48" s="835">
        <v>46036</v>
      </c>
      <c r="E48" t="s" s="834">
        <v>478</v>
      </c>
      <c r="F48" t="s" s="834">
        <v>478</v>
      </c>
      <c r="G48" s="570"/>
      <c r="H48" s="570"/>
      <c r="I48" s="570"/>
      <c r="J48" s="570"/>
      <c r="K48" s="570"/>
    </row>
    <row r="49" ht="12.75" customHeight="1">
      <c r="A49" s="833">
        <v>9</v>
      </c>
      <c r="B49" t="s" s="834">
        <v>479</v>
      </c>
      <c r="C49" t="s" s="834">
        <v>477</v>
      </c>
      <c r="D49" s="835">
        <v>46037</v>
      </c>
      <c r="E49" t="s" s="834">
        <v>478</v>
      </c>
      <c r="F49" t="s" s="834">
        <v>478</v>
      </c>
      <c r="G49" s="570"/>
      <c r="H49" s="570"/>
      <c r="I49" s="570"/>
      <c r="J49" s="570"/>
      <c r="K49" s="570"/>
    </row>
    <row r="50" ht="12.75" customHeight="1">
      <c r="A50" s="833">
        <v>9</v>
      </c>
      <c r="B50" t="s" s="834">
        <v>479</v>
      </c>
      <c r="C50" t="s" s="834">
        <v>477</v>
      </c>
      <c r="D50" s="835">
        <v>46038</v>
      </c>
      <c r="E50" t="s" s="834">
        <v>478</v>
      </c>
      <c r="F50" t="s" s="834">
        <v>478</v>
      </c>
      <c r="G50" s="570"/>
      <c r="H50" s="570"/>
      <c r="I50" s="570"/>
      <c r="J50" s="570"/>
      <c r="K50" s="570"/>
    </row>
    <row r="51" ht="12.75" customHeight="1">
      <c r="A51" s="833">
        <v>9</v>
      </c>
      <c r="B51" t="s" s="834">
        <v>479</v>
      </c>
      <c r="C51" t="s" s="834">
        <v>477</v>
      </c>
      <c r="D51" s="835">
        <v>46039</v>
      </c>
      <c r="E51" t="s" s="834">
        <v>478</v>
      </c>
      <c r="F51" t="s" s="834">
        <v>478</v>
      </c>
      <c r="G51" s="570"/>
      <c r="H51" s="570"/>
      <c r="I51" s="570"/>
      <c r="J51" s="570"/>
      <c r="K51" s="570"/>
    </row>
    <row r="52" ht="12.75" customHeight="1">
      <c r="A52" s="833">
        <v>9</v>
      </c>
      <c r="B52" t="s" s="834">
        <v>479</v>
      </c>
      <c r="C52" t="s" s="834">
        <v>477</v>
      </c>
      <c r="D52" s="835">
        <v>46040</v>
      </c>
      <c r="E52" t="s" s="834">
        <v>478</v>
      </c>
      <c r="F52" t="s" s="834">
        <v>478</v>
      </c>
      <c r="G52" s="570"/>
      <c r="H52" s="570"/>
      <c r="I52" s="570"/>
      <c r="J52" s="570"/>
      <c r="K52" s="570"/>
    </row>
    <row r="53" ht="12.75" customHeight="1">
      <c r="A53" s="833">
        <v>9</v>
      </c>
      <c r="B53" t="s" s="834">
        <v>479</v>
      </c>
      <c r="C53" t="s" s="834">
        <v>477</v>
      </c>
      <c r="D53" s="835">
        <v>46041</v>
      </c>
      <c r="E53" t="s" s="834">
        <v>478</v>
      </c>
      <c r="F53" t="s" s="834">
        <v>478</v>
      </c>
      <c r="G53" s="570"/>
      <c r="H53" s="570"/>
      <c r="I53" s="570"/>
      <c r="J53" s="570"/>
      <c r="K53" s="570"/>
    </row>
    <row r="54" ht="12.75" customHeight="1">
      <c r="A54" s="833">
        <v>9</v>
      </c>
      <c r="B54" t="s" s="834">
        <v>479</v>
      </c>
      <c r="C54" t="s" s="834">
        <v>477</v>
      </c>
      <c r="D54" s="835">
        <v>46042</v>
      </c>
      <c r="E54" t="s" s="834">
        <v>478</v>
      </c>
      <c r="F54" t="s" s="834">
        <v>478</v>
      </c>
      <c r="G54" s="570"/>
      <c r="H54" s="570"/>
      <c r="I54" s="570"/>
      <c r="J54" s="570"/>
      <c r="K54" s="570"/>
    </row>
    <row r="55" ht="12.75" customHeight="1">
      <c r="A55" s="833">
        <v>9</v>
      </c>
      <c r="B55" t="s" s="834">
        <v>479</v>
      </c>
      <c r="C55" t="s" s="834">
        <v>477</v>
      </c>
      <c r="D55" s="835">
        <v>46043</v>
      </c>
      <c r="E55" t="s" s="834">
        <v>478</v>
      </c>
      <c r="F55" t="s" s="834">
        <v>478</v>
      </c>
      <c r="G55" s="570"/>
      <c r="H55" s="570"/>
      <c r="I55" s="570"/>
      <c r="J55" s="570"/>
      <c r="K55" s="570"/>
    </row>
    <row r="56" ht="12.75" customHeight="1">
      <c r="A56" s="833">
        <v>9</v>
      </c>
      <c r="B56" t="s" s="834">
        <v>479</v>
      </c>
      <c r="C56" t="s" s="834">
        <v>477</v>
      </c>
      <c r="D56" s="835">
        <v>46044</v>
      </c>
      <c r="E56" t="s" s="834">
        <v>478</v>
      </c>
      <c r="F56" t="s" s="834">
        <v>478</v>
      </c>
      <c r="G56" s="570"/>
      <c r="H56" s="570"/>
      <c r="I56" s="570"/>
      <c r="J56" s="570"/>
      <c r="K56" s="570"/>
    </row>
    <row r="57" ht="12.75" customHeight="1">
      <c r="A57" s="833">
        <v>9</v>
      </c>
      <c r="B57" t="s" s="834">
        <v>479</v>
      </c>
      <c r="C57" t="s" s="834">
        <v>477</v>
      </c>
      <c r="D57" s="835">
        <v>46045</v>
      </c>
      <c r="E57" t="s" s="834">
        <v>478</v>
      </c>
      <c r="F57" t="s" s="834">
        <v>478</v>
      </c>
      <c r="G57" s="570"/>
      <c r="H57" s="570"/>
      <c r="I57" s="570"/>
      <c r="J57" s="570"/>
      <c r="K57" s="570"/>
    </row>
    <row r="58" ht="12.75" customHeight="1">
      <c r="A58" s="833">
        <v>9</v>
      </c>
      <c r="B58" t="s" s="834">
        <v>479</v>
      </c>
      <c r="C58" t="s" s="834">
        <v>477</v>
      </c>
      <c r="D58" s="835">
        <v>46046</v>
      </c>
      <c r="E58" t="s" s="834">
        <v>478</v>
      </c>
      <c r="F58" t="s" s="834">
        <v>478</v>
      </c>
      <c r="G58" s="570"/>
      <c r="H58" s="570"/>
      <c r="I58" s="570"/>
      <c r="J58" s="570"/>
      <c r="K58" s="570"/>
    </row>
    <row r="59" ht="12.75" customHeight="1">
      <c r="A59" s="833">
        <v>9</v>
      </c>
      <c r="B59" t="s" s="834">
        <v>479</v>
      </c>
      <c r="C59" t="s" s="834">
        <v>477</v>
      </c>
      <c r="D59" s="835">
        <v>46047</v>
      </c>
      <c r="E59" t="s" s="834">
        <v>478</v>
      </c>
      <c r="F59" t="s" s="834">
        <v>478</v>
      </c>
      <c r="G59" s="570"/>
      <c r="H59" s="570"/>
      <c r="I59" s="570"/>
      <c r="J59" s="570"/>
      <c r="K59" s="570"/>
    </row>
    <row r="60" ht="12.75" customHeight="1">
      <c r="A60" s="833">
        <v>9</v>
      </c>
      <c r="B60" t="s" s="834">
        <v>479</v>
      </c>
      <c r="C60" t="s" s="834">
        <v>477</v>
      </c>
      <c r="D60" s="835">
        <v>46048</v>
      </c>
      <c r="E60" t="s" s="834">
        <v>478</v>
      </c>
      <c r="F60" t="s" s="834">
        <v>478</v>
      </c>
      <c r="G60" s="570"/>
      <c r="H60" s="570"/>
      <c r="I60" s="570"/>
      <c r="J60" s="570"/>
      <c r="K60" s="570"/>
    </row>
    <row r="61" ht="12.75" customHeight="1">
      <c r="A61" s="833">
        <v>9</v>
      </c>
      <c r="B61" t="s" s="834">
        <v>479</v>
      </c>
      <c r="C61" t="s" s="834">
        <v>477</v>
      </c>
      <c r="D61" s="835">
        <v>46049</v>
      </c>
      <c r="E61" t="s" s="834">
        <v>478</v>
      </c>
      <c r="F61" t="s" s="834">
        <v>478</v>
      </c>
      <c r="G61" s="570"/>
      <c r="H61" s="570"/>
      <c r="I61" s="570"/>
      <c r="J61" s="570"/>
      <c r="K61" s="570"/>
    </row>
    <row r="62" ht="12.75" customHeight="1">
      <c r="A62" s="833">
        <v>9</v>
      </c>
      <c r="B62" t="s" s="834">
        <v>479</v>
      </c>
      <c r="C62" t="s" s="834">
        <v>477</v>
      </c>
      <c r="D62" s="835">
        <v>46050</v>
      </c>
      <c r="E62" t="s" s="834">
        <v>478</v>
      </c>
      <c r="F62" t="s" s="834">
        <v>478</v>
      </c>
      <c r="G62" s="570"/>
      <c r="H62" s="570"/>
      <c r="I62" s="570"/>
      <c r="J62" s="570"/>
      <c r="K62" s="570"/>
    </row>
    <row r="63" ht="12.75" customHeight="1">
      <c r="A63" s="833">
        <v>9</v>
      </c>
      <c r="B63" t="s" s="834">
        <v>479</v>
      </c>
      <c r="C63" t="s" s="834">
        <v>477</v>
      </c>
      <c r="D63" s="835">
        <v>46051</v>
      </c>
      <c r="E63" t="s" s="834">
        <v>478</v>
      </c>
      <c r="F63" t="s" s="834">
        <v>478</v>
      </c>
      <c r="G63" s="570"/>
      <c r="H63" s="570"/>
      <c r="I63" s="570"/>
      <c r="J63" s="570"/>
      <c r="K63" s="570"/>
    </row>
    <row r="64" ht="12.75" customHeight="1">
      <c r="A64" s="833">
        <v>9</v>
      </c>
      <c r="B64" t="s" s="834">
        <v>479</v>
      </c>
      <c r="C64" t="s" s="834">
        <v>477</v>
      </c>
      <c r="D64" s="835">
        <v>46052</v>
      </c>
      <c r="E64" t="s" s="834">
        <v>478</v>
      </c>
      <c r="F64" t="s" s="834">
        <v>478</v>
      </c>
      <c r="G64" s="570"/>
      <c r="H64" s="570"/>
      <c r="I64" s="570"/>
      <c r="J64" s="570"/>
      <c r="K64" s="570"/>
    </row>
    <row r="65" ht="12.75" customHeight="1">
      <c r="A65" s="833">
        <v>9</v>
      </c>
      <c r="B65" t="s" s="834">
        <v>479</v>
      </c>
      <c r="C65" t="s" s="834">
        <v>477</v>
      </c>
      <c r="D65" s="835">
        <v>46053</v>
      </c>
      <c r="E65" t="s" s="834">
        <v>478</v>
      </c>
      <c r="F65" t="s" s="834">
        <v>478</v>
      </c>
      <c r="G65" s="570"/>
      <c r="H65" s="570"/>
      <c r="I65" s="570"/>
      <c r="J65" s="570"/>
      <c r="K65" s="570"/>
    </row>
    <row r="66" ht="12.75" customHeight="1">
      <c r="A66" s="833">
        <v>9</v>
      </c>
      <c r="B66" t="s" s="834">
        <v>479</v>
      </c>
      <c r="C66" t="s" s="834">
        <v>477</v>
      </c>
      <c r="D66" s="835">
        <v>46054</v>
      </c>
      <c r="E66" t="s" s="834">
        <v>478</v>
      </c>
      <c r="F66" t="s" s="834">
        <v>478</v>
      </c>
      <c r="G66" s="570"/>
      <c r="H66" s="570"/>
      <c r="I66" s="570"/>
      <c r="J66" s="570"/>
      <c r="K66" s="570"/>
    </row>
    <row r="67" ht="12.75" customHeight="1">
      <c r="A67" s="833">
        <v>12</v>
      </c>
      <c r="B67" t="s" s="834">
        <v>436</v>
      </c>
      <c r="C67" t="s" s="834">
        <v>480</v>
      </c>
      <c r="D67" s="835">
        <v>46023</v>
      </c>
      <c r="E67" t="s" s="834">
        <v>478</v>
      </c>
      <c r="F67" t="s" s="834">
        <v>478</v>
      </c>
      <c r="G67" s="570"/>
      <c r="H67" s="570"/>
      <c r="I67" s="570"/>
      <c r="J67" s="570"/>
      <c r="K67" s="570"/>
    </row>
    <row r="68" ht="12.75" customHeight="1">
      <c r="A68" s="833">
        <v>12</v>
      </c>
      <c r="B68" t="s" s="834">
        <v>436</v>
      </c>
      <c r="C68" t="s" s="834">
        <v>480</v>
      </c>
      <c r="D68" s="835">
        <v>46024</v>
      </c>
      <c r="E68" t="s" s="834">
        <v>478</v>
      </c>
      <c r="F68" t="s" s="834">
        <v>478</v>
      </c>
      <c r="G68" s="570"/>
      <c r="H68" s="570"/>
      <c r="I68" s="570"/>
      <c r="J68" s="570"/>
      <c r="K68" s="570"/>
    </row>
    <row r="69" ht="12.75" customHeight="1">
      <c r="A69" s="833">
        <v>12</v>
      </c>
      <c r="B69" t="s" s="834">
        <v>436</v>
      </c>
      <c r="C69" t="s" s="834">
        <v>480</v>
      </c>
      <c r="D69" s="835">
        <v>46025</v>
      </c>
      <c r="E69" t="s" s="834">
        <v>478</v>
      </c>
      <c r="F69" t="s" s="834">
        <v>478</v>
      </c>
      <c r="G69" s="570"/>
      <c r="H69" s="570"/>
      <c r="I69" s="570"/>
      <c r="J69" s="570"/>
      <c r="K69" s="570"/>
    </row>
    <row r="70" ht="12.75" customHeight="1">
      <c r="A70" s="833">
        <v>12</v>
      </c>
      <c r="B70" t="s" s="834">
        <v>436</v>
      </c>
      <c r="C70" t="s" s="834">
        <v>480</v>
      </c>
      <c r="D70" s="835">
        <v>46026</v>
      </c>
      <c r="E70" t="s" s="834">
        <v>478</v>
      </c>
      <c r="F70" t="s" s="834">
        <v>478</v>
      </c>
      <c r="G70" s="570"/>
      <c r="H70" s="570"/>
      <c r="I70" s="570"/>
      <c r="J70" s="570"/>
      <c r="K70" s="570"/>
    </row>
    <row r="71" ht="12.75" customHeight="1">
      <c r="A71" s="833">
        <v>12</v>
      </c>
      <c r="B71" t="s" s="834">
        <v>436</v>
      </c>
      <c r="C71" t="s" s="834">
        <v>480</v>
      </c>
      <c r="D71" s="835">
        <v>46027</v>
      </c>
      <c r="E71" s="836">
        <v>1.354398148148148</v>
      </c>
      <c r="F71" s="836">
        <v>1.803020833333333</v>
      </c>
      <c r="G71" s="570"/>
      <c r="H71" s="570"/>
      <c r="I71" s="570"/>
      <c r="J71" s="570"/>
      <c r="K71" s="570"/>
    </row>
    <row r="72" ht="12.75" customHeight="1">
      <c r="A72" t="s" s="834">
        <v>481</v>
      </c>
      <c r="B72" t="s" s="834">
        <v>482</v>
      </c>
      <c r="C72" t="s" s="834">
        <v>483</v>
      </c>
      <c r="D72" s="570"/>
      <c r="E72" s="570"/>
      <c r="F72" s="570"/>
      <c r="G72" s="570"/>
      <c r="H72" s="570"/>
      <c r="I72" s="570"/>
      <c r="J72" s="570"/>
      <c r="K72" s="570"/>
    </row>
    <row r="73" ht="12.75" customHeight="1">
      <c r="A73" s="833">
        <v>12</v>
      </c>
      <c r="B73" t="s" s="834">
        <v>436</v>
      </c>
      <c r="C73" t="s" s="834">
        <v>480</v>
      </c>
      <c r="D73" s="835">
        <v>46028</v>
      </c>
      <c r="E73" s="836">
        <v>1.358356481481481</v>
      </c>
      <c r="F73" t="s" s="834">
        <v>478</v>
      </c>
      <c r="G73" s="570"/>
      <c r="H73" s="570"/>
      <c r="I73" s="570"/>
      <c r="J73" s="570"/>
      <c r="K73" s="570"/>
    </row>
    <row r="74" ht="12.75" customHeight="1">
      <c r="A74" t="s" s="834">
        <v>484</v>
      </c>
      <c r="B74" t="s" s="834">
        <v>485</v>
      </c>
      <c r="C74" t="s" s="834">
        <v>486</v>
      </c>
      <c r="D74" s="570"/>
      <c r="E74" s="570"/>
      <c r="F74" s="570"/>
      <c r="G74" s="570"/>
      <c r="H74" s="570"/>
      <c r="I74" s="570"/>
      <c r="J74" s="570"/>
      <c r="K74" s="570"/>
    </row>
    <row r="75" ht="12.75" customHeight="1">
      <c r="A75" s="833">
        <v>12</v>
      </c>
      <c r="B75" t="s" s="834">
        <v>436</v>
      </c>
      <c r="C75" t="s" s="834">
        <v>480</v>
      </c>
      <c r="D75" s="835">
        <v>46029</v>
      </c>
      <c r="E75" s="836">
        <v>1.355196759259259</v>
      </c>
      <c r="F75" t="s" s="834">
        <v>478</v>
      </c>
      <c r="G75" s="570"/>
      <c r="H75" s="570"/>
      <c r="I75" s="570"/>
      <c r="J75" s="570"/>
      <c r="K75" s="570"/>
    </row>
    <row r="76" ht="12.75" customHeight="1">
      <c r="A76" t="s" s="834">
        <v>487</v>
      </c>
      <c r="B76" t="s" s="834">
        <v>485</v>
      </c>
      <c r="C76" t="s" s="834">
        <v>486</v>
      </c>
      <c r="D76" s="570"/>
      <c r="E76" s="570"/>
      <c r="F76" s="570"/>
      <c r="G76" s="570"/>
      <c r="H76" s="570"/>
      <c r="I76" s="570"/>
      <c r="J76" s="570"/>
      <c r="K76" s="570"/>
    </row>
    <row r="77" ht="12.75" customHeight="1">
      <c r="A77" s="833">
        <v>12</v>
      </c>
      <c r="B77" t="s" s="834">
        <v>436</v>
      </c>
      <c r="C77" t="s" s="834">
        <v>480</v>
      </c>
      <c r="D77" s="835">
        <v>46030</v>
      </c>
      <c r="E77" s="836">
        <v>1.361990740740741</v>
      </c>
      <c r="F77" s="836">
        <v>1.885613425925926</v>
      </c>
      <c r="G77" s="570"/>
      <c r="H77" s="570"/>
      <c r="I77" s="570"/>
      <c r="J77" s="570"/>
      <c r="K77" s="570"/>
    </row>
    <row r="78" ht="12.75" customHeight="1">
      <c r="A78" t="s" s="834">
        <v>488</v>
      </c>
      <c r="B78" t="s" s="834">
        <v>489</v>
      </c>
      <c r="C78" t="s" s="834">
        <v>490</v>
      </c>
      <c r="D78" s="570"/>
      <c r="E78" s="570"/>
      <c r="F78" s="570"/>
      <c r="G78" s="570"/>
      <c r="H78" s="570"/>
      <c r="I78" s="570"/>
      <c r="J78" s="570"/>
      <c r="K78" s="570"/>
    </row>
    <row r="79" ht="12.75" customHeight="1">
      <c r="A79" s="833">
        <v>12</v>
      </c>
      <c r="B79" t="s" s="834">
        <v>436</v>
      </c>
      <c r="C79" t="s" s="834">
        <v>480</v>
      </c>
      <c r="D79" s="835">
        <v>46031</v>
      </c>
      <c r="E79" s="836">
        <v>1.365474537037037</v>
      </c>
      <c r="F79" s="836">
        <v>1.76931712962963</v>
      </c>
      <c r="G79" s="570"/>
      <c r="H79" s="570"/>
      <c r="I79" s="570"/>
      <c r="J79" s="570"/>
      <c r="K79" s="570"/>
    </row>
    <row r="80" ht="12.75" customHeight="1">
      <c r="A80" t="s" s="834">
        <v>491</v>
      </c>
      <c r="B80" t="s" s="834">
        <v>492</v>
      </c>
      <c r="C80" t="s" s="834">
        <v>493</v>
      </c>
      <c r="D80" s="570"/>
      <c r="E80" s="570"/>
      <c r="F80" s="570"/>
      <c r="G80" s="570"/>
      <c r="H80" s="570"/>
      <c r="I80" s="570"/>
      <c r="J80" s="570"/>
      <c r="K80" s="570"/>
    </row>
    <row r="81" ht="12.75" customHeight="1">
      <c r="A81" s="833">
        <v>12</v>
      </c>
      <c r="B81" t="s" s="834">
        <v>436</v>
      </c>
      <c r="C81" t="s" s="834">
        <v>480</v>
      </c>
      <c r="D81" s="835">
        <v>46032</v>
      </c>
      <c r="E81" t="s" s="834">
        <v>478</v>
      </c>
      <c r="F81" t="s" s="834">
        <v>478</v>
      </c>
      <c r="G81" s="570"/>
      <c r="H81" s="570"/>
      <c r="I81" s="570"/>
      <c r="J81" s="570"/>
      <c r="K81" s="570"/>
    </row>
    <row r="82" ht="12.75" customHeight="1">
      <c r="A82" s="833">
        <v>12</v>
      </c>
      <c r="B82" t="s" s="834">
        <v>436</v>
      </c>
      <c r="C82" t="s" s="834">
        <v>480</v>
      </c>
      <c r="D82" s="835">
        <v>46033</v>
      </c>
      <c r="E82" t="s" s="834">
        <v>478</v>
      </c>
      <c r="F82" t="s" s="834">
        <v>478</v>
      </c>
      <c r="G82" s="570"/>
      <c r="H82" s="570"/>
      <c r="I82" s="570"/>
      <c r="J82" s="570"/>
      <c r="K82" s="570"/>
    </row>
    <row r="83" ht="12.75" customHeight="1">
      <c r="A83" s="833">
        <v>12</v>
      </c>
      <c r="B83" t="s" s="834">
        <v>436</v>
      </c>
      <c r="C83" t="s" s="834">
        <v>480</v>
      </c>
      <c r="D83" s="835">
        <v>46034</v>
      </c>
      <c r="E83" s="836">
        <v>1.359375</v>
      </c>
      <c r="F83" t="s" s="834">
        <v>478</v>
      </c>
      <c r="G83" s="570"/>
      <c r="H83" s="570"/>
      <c r="I83" s="570"/>
      <c r="J83" s="570"/>
      <c r="K83" s="570"/>
    </row>
    <row r="84" ht="12.75" customHeight="1">
      <c r="A84" t="s" s="834">
        <v>494</v>
      </c>
      <c r="B84" t="s" s="834">
        <v>485</v>
      </c>
      <c r="C84" t="s" s="834">
        <v>486</v>
      </c>
      <c r="D84" s="570"/>
      <c r="E84" s="570"/>
      <c r="F84" s="570"/>
      <c r="G84" s="570"/>
      <c r="H84" s="570"/>
      <c r="I84" s="570"/>
      <c r="J84" s="570"/>
      <c r="K84" s="570"/>
    </row>
    <row r="85" ht="12.75" customHeight="1">
      <c r="A85" s="833">
        <v>12</v>
      </c>
      <c r="B85" t="s" s="834">
        <v>436</v>
      </c>
      <c r="C85" t="s" s="834">
        <v>480</v>
      </c>
      <c r="D85" s="835">
        <v>46035</v>
      </c>
      <c r="E85" s="836">
        <v>1.3546875</v>
      </c>
      <c r="F85" s="836">
        <v>1.798738425925926</v>
      </c>
      <c r="G85" s="570"/>
      <c r="H85" s="570"/>
      <c r="I85" s="570"/>
      <c r="J85" s="570"/>
      <c r="K85" s="570"/>
    </row>
    <row r="86" ht="12.75" customHeight="1">
      <c r="A86" t="s" s="834">
        <v>495</v>
      </c>
      <c r="B86" t="s" s="834">
        <v>496</v>
      </c>
      <c r="C86" t="s" s="834">
        <v>497</v>
      </c>
      <c r="D86" s="570"/>
      <c r="E86" s="570"/>
      <c r="F86" s="570"/>
      <c r="G86" s="570"/>
      <c r="H86" s="570"/>
      <c r="I86" s="570"/>
      <c r="J86" s="570"/>
      <c r="K86" s="570"/>
    </row>
    <row r="87" ht="12.75" customHeight="1">
      <c r="A87" s="833">
        <v>12</v>
      </c>
      <c r="B87" t="s" s="834">
        <v>436</v>
      </c>
      <c r="C87" t="s" s="834">
        <v>480</v>
      </c>
      <c r="D87" s="835">
        <v>46036</v>
      </c>
      <c r="E87" s="836">
        <v>1.364780092592593</v>
      </c>
      <c r="F87" s="836">
        <v>1.801678240740741</v>
      </c>
      <c r="G87" s="570"/>
      <c r="H87" s="570"/>
      <c r="I87" s="570"/>
      <c r="J87" s="570"/>
      <c r="K87" s="570"/>
    </row>
    <row r="88" ht="12.75" customHeight="1">
      <c r="A88" t="s" s="834">
        <v>498</v>
      </c>
      <c r="B88" t="s" s="834">
        <v>499</v>
      </c>
      <c r="C88" t="s" s="834">
        <v>500</v>
      </c>
      <c r="D88" s="570"/>
      <c r="E88" s="570"/>
      <c r="F88" s="570"/>
      <c r="G88" s="570"/>
      <c r="H88" s="570"/>
      <c r="I88" s="570"/>
      <c r="J88" s="570"/>
      <c r="K88" s="570"/>
    </row>
    <row r="89" ht="12.75" customHeight="1">
      <c r="A89" s="833">
        <v>12</v>
      </c>
      <c r="B89" t="s" s="834">
        <v>436</v>
      </c>
      <c r="C89" t="s" s="834">
        <v>480</v>
      </c>
      <c r="D89" s="835">
        <v>46037</v>
      </c>
      <c r="E89" s="836">
        <v>1.363900462962963</v>
      </c>
      <c r="F89" s="836">
        <v>1.920925925925926</v>
      </c>
      <c r="G89" s="570"/>
      <c r="H89" s="570"/>
      <c r="I89" s="570"/>
      <c r="J89" s="570"/>
      <c r="K89" s="570"/>
    </row>
    <row r="90" ht="12.75" customHeight="1">
      <c r="A90" t="s" s="834">
        <v>501</v>
      </c>
      <c r="B90" t="s" s="834">
        <v>502</v>
      </c>
      <c r="C90" t="s" s="834">
        <v>503</v>
      </c>
      <c r="D90" s="570"/>
      <c r="E90" s="570"/>
      <c r="F90" s="570"/>
      <c r="G90" s="570"/>
      <c r="H90" s="570"/>
      <c r="I90" s="570"/>
      <c r="J90" s="570"/>
      <c r="K90" s="570"/>
    </row>
    <row r="91" ht="12.75" customHeight="1">
      <c r="A91" s="833">
        <v>12</v>
      </c>
      <c r="B91" t="s" s="834">
        <v>436</v>
      </c>
      <c r="C91" t="s" s="834">
        <v>480</v>
      </c>
      <c r="D91" s="835">
        <v>46038</v>
      </c>
      <c r="E91" s="836">
        <v>1.362037037037037</v>
      </c>
      <c r="F91" s="836">
        <v>1.815497685185185</v>
      </c>
      <c r="G91" s="570"/>
      <c r="H91" s="570"/>
      <c r="I91" s="570"/>
      <c r="J91" s="570"/>
      <c r="K91" s="570"/>
    </row>
    <row r="92" ht="12.75" customHeight="1">
      <c r="A92" t="s" s="834">
        <v>504</v>
      </c>
      <c r="B92" t="s" s="834">
        <v>505</v>
      </c>
      <c r="C92" t="s" s="834">
        <v>506</v>
      </c>
      <c r="D92" s="570"/>
      <c r="E92" s="570"/>
      <c r="F92" s="570"/>
      <c r="G92" s="570"/>
      <c r="H92" s="570"/>
      <c r="I92" s="570"/>
      <c r="J92" s="570"/>
      <c r="K92" s="570"/>
    </row>
    <row r="93" ht="12.75" customHeight="1">
      <c r="A93" s="833">
        <v>12</v>
      </c>
      <c r="B93" t="s" s="834">
        <v>436</v>
      </c>
      <c r="C93" t="s" s="834">
        <v>480</v>
      </c>
      <c r="D93" s="835">
        <v>46039</v>
      </c>
      <c r="E93" t="s" s="834">
        <v>478</v>
      </c>
      <c r="F93" t="s" s="834">
        <v>478</v>
      </c>
      <c r="G93" s="570"/>
      <c r="H93" s="570"/>
      <c r="I93" s="570"/>
      <c r="J93" s="570"/>
      <c r="K93" s="570"/>
    </row>
    <row r="94" ht="12.75" customHeight="1">
      <c r="A94" s="833">
        <v>12</v>
      </c>
      <c r="B94" t="s" s="834">
        <v>436</v>
      </c>
      <c r="C94" t="s" s="834">
        <v>480</v>
      </c>
      <c r="D94" s="835">
        <v>46040</v>
      </c>
      <c r="E94" t="s" s="834">
        <v>478</v>
      </c>
      <c r="F94" t="s" s="834">
        <v>478</v>
      </c>
      <c r="G94" s="570"/>
      <c r="H94" s="570"/>
      <c r="I94" s="570"/>
      <c r="J94" s="570"/>
      <c r="K94" s="570"/>
    </row>
    <row r="95" ht="12.75" customHeight="1">
      <c r="A95" s="833">
        <v>12</v>
      </c>
      <c r="B95" t="s" s="834">
        <v>436</v>
      </c>
      <c r="C95" t="s" s="834">
        <v>480</v>
      </c>
      <c r="D95" s="835">
        <v>46041</v>
      </c>
      <c r="E95" s="836">
        <v>1.364583333333333</v>
      </c>
      <c r="F95" s="836">
        <v>1.794189814814815</v>
      </c>
      <c r="G95" s="570"/>
      <c r="H95" s="570"/>
      <c r="I95" s="570"/>
      <c r="J95" s="570"/>
      <c r="K95" s="570"/>
    </row>
    <row r="96" ht="12.75" customHeight="1">
      <c r="A96" t="s" s="834">
        <v>507</v>
      </c>
      <c r="B96" t="s" s="834">
        <v>508</v>
      </c>
      <c r="C96" t="s" s="834">
        <v>509</v>
      </c>
      <c r="D96" s="570"/>
      <c r="E96" s="570"/>
      <c r="F96" s="570"/>
      <c r="G96" s="570"/>
      <c r="H96" s="570"/>
      <c r="I96" s="570"/>
      <c r="J96" s="570"/>
      <c r="K96" s="570"/>
    </row>
    <row r="97" ht="12.75" customHeight="1">
      <c r="A97" s="833">
        <v>12</v>
      </c>
      <c r="B97" t="s" s="834">
        <v>436</v>
      </c>
      <c r="C97" t="s" s="834">
        <v>480</v>
      </c>
      <c r="D97" s="835">
        <v>46042</v>
      </c>
      <c r="E97" s="836">
        <v>1.363506944444445</v>
      </c>
      <c r="F97" s="836">
        <v>1.758159722222222</v>
      </c>
      <c r="G97" s="570"/>
      <c r="H97" s="570"/>
      <c r="I97" s="570"/>
      <c r="J97" s="570"/>
      <c r="K97" s="570"/>
    </row>
    <row r="98" ht="12.75" customHeight="1">
      <c r="A98" t="s" s="834">
        <v>510</v>
      </c>
      <c r="B98" t="s" s="834">
        <v>511</v>
      </c>
      <c r="C98" t="s" s="834">
        <v>512</v>
      </c>
      <c r="D98" s="570"/>
      <c r="E98" s="570"/>
      <c r="F98" s="570"/>
      <c r="G98" s="570"/>
      <c r="H98" s="570"/>
      <c r="I98" s="570"/>
      <c r="J98" s="570"/>
      <c r="K98" s="570"/>
    </row>
    <row r="99" ht="12.75" customHeight="1">
      <c r="A99" s="833">
        <v>12</v>
      </c>
      <c r="B99" t="s" s="834">
        <v>436</v>
      </c>
      <c r="C99" t="s" s="834">
        <v>480</v>
      </c>
      <c r="D99" s="835">
        <v>46043</v>
      </c>
      <c r="E99" t="s" s="834">
        <v>478</v>
      </c>
      <c r="F99" t="s" s="834">
        <v>478</v>
      </c>
      <c r="G99" s="570"/>
      <c r="H99" s="570"/>
      <c r="I99" s="570"/>
      <c r="J99" s="570"/>
      <c r="K99" s="570"/>
    </row>
    <row r="100" ht="12.75" customHeight="1">
      <c r="A100" s="833">
        <v>12</v>
      </c>
      <c r="B100" t="s" s="834">
        <v>436</v>
      </c>
      <c r="C100" t="s" s="834">
        <v>480</v>
      </c>
      <c r="D100" s="835">
        <v>46044</v>
      </c>
      <c r="E100" s="836">
        <v>1.365532407407407</v>
      </c>
      <c r="F100" s="836">
        <v>1.764537037037037</v>
      </c>
      <c r="G100" s="570"/>
      <c r="H100" s="570"/>
      <c r="I100" s="570"/>
      <c r="J100" s="570"/>
      <c r="K100" s="570"/>
    </row>
    <row r="101" ht="12.75" customHeight="1">
      <c r="A101" t="s" s="834">
        <v>513</v>
      </c>
      <c r="B101" t="s" s="834">
        <v>514</v>
      </c>
      <c r="C101" t="s" s="834">
        <v>515</v>
      </c>
      <c r="D101" s="570"/>
      <c r="E101" s="570"/>
      <c r="F101" s="570"/>
      <c r="G101" s="570"/>
      <c r="H101" s="570"/>
      <c r="I101" s="570"/>
      <c r="J101" s="570"/>
      <c r="K101" s="570"/>
    </row>
    <row r="102" ht="12.75" customHeight="1">
      <c r="A102" s="833">
        <v>12</v>
      </c>
      <c r="B102" t="s" s="834">
        <v>436</v>
      </c>
      <c r="C102" t="s" s="834">
        <v>480</v>
      </c>
      <c r="D102" s="835">
        <v>46045</v>
      </c>
      <c r="E102" s="836">
        <v>1.367233796296296</v>
      </c>
      <c r="F102" s="836">
        <v>1.761215277777778</v>
      </c>
      <c r="G102" s="570"/>
      <c r="H102" s="570"/>
      <c r="I102" s="570"/>
      <c r="J102" s="570"/>
      <c r="K102" s="570"/>
    </row>
    <row r="103" ht="12.75" customHeight="1">
      <c r="A103" t="s" s="834">
        <v>516</v>
      </c>
      <c r="B103" t="s" s="834">
        <v>517</v>
      </c>
      <c r="C103" t="s" s="834">
        <v>518</v>
      </c>
      <c r="D103" s="570"/>
      <c r="E103" s="570"/>
      <c r="F103" s="570"/>
      <c r="G103" s="570"/>
      <c r="H103" s="570"/>
      <c r="I103" s="570"/>
      <c r="J103" s="570"/>
      <c r="K103" s="570"/>
    </row>
    <row r="104" ht="12.75" customHeight="1">
      <c r="A104" s="833">
        <v>12</v>
      </c>
      <c r="B104" t="s" s="834">
        <v>436</v>
      </c>
      <c r="C104" t="s" s="834">
        <v>480</v>
      </c>
      <c r="D104" s="835">
        <v>46046</v>
      </c>
      <c r="E104" t="s" s="834">
        <v>478</v>
      </c>
      <c r="F104" t="s" s="834">
        <v>478</v>
      </c>
      <c r="G104" s="570"/>
      <c r="H104" s="570"/>
      <c r="I104" s="570"/>
      <c r="J104" s="570"/>
      <c r="K104" s="570"/>
    </row>
    <row r="105" ht="12.75" customHeight="1">
      <c r="A105" s="833">
        <v>12</v>
      </c>
      <c r="B105" t="s" s="834">
        <v>436</v>
      </c>
      <c r="C105" t="s" s="834">
        <v>480</v>
      </c>
      <c r="D105" s="835">
        <v>46047</v>
      </c>
      <c r="E105" t="s" s="834">
        <v>478</v>
      </c>
      <c r="F105" t="s" s="834">
        <v>478</v>
      </c>
      <c r="G105" s="570"/>
      <c r="H105" s="570"/>
      <c r="I105" s="570"/>
      <c r="J105" s="570"/>
      <c r="K105" s="570"/>
    </row>
    <row r="106" ht="12.75" customHeight="1">
      <c r="A106" s="833">
        <v>12</v>
      </c>
      <c r="B106" t="s" s="834">
        <v>436</v>
      </c>
      <c r="C106" t="s" s="834">
        <v>480</v>
      </c>
      <c r="D106" s="835">
        <v>46048</v>
      </c>
      <c r="E106" s="836">
        <v>1.367939814814815</v>
      </c>
      <c r="F106" s="836">
        <v>1.863657407407407</v>
      </c>
      <c r="G106" s="570"/>
      <c r="H106" s="570"/>
      <c r="I106" s="570"/>
      <c r="J106" s="570"/>
      <c r="K106" s="570"/>
    </row>
    <row r="107" ht="12.75" customHeight="1">
      <c r="A107" t="s" s="834">
        <v>519</v>
      </c>
      <c r="B107" t="s" s="834">
        <v>520</v>
      </c>
      <c r="C107" t="s" s="834">
        <v>521</v>
      </c>
      <c r="D107" s="570"/>
      <c r="E107" s="570"/>
      <c r="F107" s="570"/>
      <c r="G107" s="570"/>
      <c r="H107" s="570"/>
      <c r="I107" s="570"/>
      <c r="J107" s="570"/>
      <c r="K107" s="570"/>
    </row>
    <row r="108" ht="12.75" customHeight="1">
      <c r="A108" s="833">
        <v>12</v>
      </c>
      <c r="B108" t="s" s="834">
        <v>436</v>
      </c>
      <c r="C108" t="s" s="834">
        <v>480</v>
      </c>
      <c r="D108" s="835">
        <v>46049</v>
      </c>
      <c r="E108" s="836">
        <v>1.3675</v>
      </c>
      <c r="F108" s="836">
        <v>1.836400462962963</v>
      </c>
      <c r="G108" s="570"/>
      <c r="H108" s="570"/>
      <c r="I108" s="570"/>
      <c r="J108" s="570"/>
      <c r="K108" s="570"/>
    </row>
    <row r="109" ht="12.75" customHeight="1">
      <c r="A109" t="s" s="834">
        <v>522</v>
      </c>
      <c r="B109" t="s" s="834">
        <v>523</v>
      </c>
      <c r="C109" t="s" s="834">
        <v>524</v>
      </c>
      <c r="D109" s="570"/>
      <c r="E109" s="570"/>
      <c r="F109" s="570"/>
      <c r="G109" s="570"/>
      <c r="H109" s="570"/>
      <c r="I109" s="570"/>
      <c r="J109" s="570"/>
      <c r="K109" s="570"/>
    </row>
    <row r="110" ht="12.75" customHeight="1">
      <c r="A110" s="833">
        <v>12</v>
      </c>
      <c r="B110" t="s" s="834">
        <v>436</v>
      </c>
      <c r="C110" t="s" s="834">
        <v>480</v>
      </c>
      <c r="D110" s="835">
        <v>46050</v>
      </c>
      <c r="E110" s="836">
        <v>1.36787037037037</v>
      </c>
      <c r="F110" s="836">
        <v>1.814398148148148</v>
      </c>
      <c r="G110" s="570"/>
      <c r="H110" s="570"/>
      <c r="I110" s="570"/>
      <c r="J110" s="570"/>
      <c r="K110" s="570"/>
    </row>
    <row r="111" ht="12.75" customHeight="1">
      <c r="A111" t="s" s="834">
        <v>525</v>
      </c>
      <c r="B111" t="s" s="834">
        <v>526</v>
      </c>
      <c r="C111" t="s" s="834">
        <v>527</v>
      </c>
      <c r="D111" s="570"/>
      <c r="E111" s="570"/>
      <c r="F111" s="570"/>
      <c r="G111" s="570"/>
      <c r="H111" s="570"/>
      <c r="I111" s="570"/>
      <c r="J111" s="570"/>
      <c r="K111" s="570"/>
    </row>
    <row r="112" ht="12.75" customHeight="1">
      <c r="A112" s="833">
        <v>12</v>
      </c>
      <c r="B112" t="s" s="834">
        <v>436</v>
      </c>
      <c r="C112" t="s" s="834">
        <v>480</v>
      </c>
      <c r="D112" s="835">
        <v>46051</v>
      </c>
      <c r="E112" t="s" s="834">
        <v>478</v>
      </c>
      <c r="F112" t="s" s="834">
        <v>478</v>
      </c>
      <c r="G112" s="570"/>
      <c r="H112" s="570"/>
      <c r="I112" s="570"/>
      <c r="J112" s="570"/>
      <c r="K112" s="570"/>
    </row>
    <row r="113" ht="12.75" customHeight="1">
      <c r="A113" s="833">
        <v>12</v>
      </c>
      <c r="B113" t="s" s="834">
        <v>436</v>
      </c>
      <c r="C113" t="s" s="834">
        <v>480</v>
      </c>
      <c r="D113" s="835">
        <v>46052</v>
      </c>
      <c r="E113" s="836">
        <v>1.351990740740741</v>
      </c>
      <c r="F113" s="836">
        <v>1.768587962962963</v>
      </c>
      <c r="G113" s="570"/>
      <c r="H113" s="570"/>
      <c r="I113" s="570"/>
      <c r="J113" s="570"/>
      <c r="K113" s="570"/>
    </row>
    <row r="114" ht="12.75" customHeight="1">
      <c r="A114" t="s" s="834">
        <v>528</v>
      </c>
      <c r="B114" t="s" s="834">
        <v>529</v>
      </c>
      <c r="C114" t="s" s="834">
        <v>530</v>
      </c>
      <c r="D114" s="570"/>
      <c r="E114" s="570"/>
      <c r="F114" s="570"/>
      <c r="G114" s="570"/>
      <c r="H114" s="570"/>
      <c r="I114" s="570"/>
      <c r="J114" s="570"/>
      <c r="K114" s="570"/>
    </row>
    <row r="115" ht="12.75" customHeight="1">
      <c r="A115" s="833">
        <v>12</v>
      </c>
      <c r="B115" t="s" s="834">
        <v>436</v>
      </c>
      <c r="C115" t="s" s="834">
        <v>480</v>
      </c>
      <c r="D115" s="835">
        <v>46053</v>
      </c>
      <c r="E115" t="s" s="834">
        <v>478</v>
      </c>
      <c r="F115" t="s" s="834">
        <v>478</v>
      </c>
      <c r="G115" s="570"/>
      <c r="H115" s="570"/>
      <c r="I115" s="570"/>
      <c r="J115" s="570"/>
      <c r="K115" s="570"/>
    </row>
    <row r="116" ht="12.75" customHeight="1">
      <c r="A116" s="833">
        <v>12</v>
      </c>
      <c r="B116" t="s" s="834">
        <v>436</v>
      </c>
      <c r="C116" t="s" s="834">
        <v>480</v>
      </c>
      <c r="D116" s="835">
        <v>46054</v>
      </c>
      <c r="E116" t="s" s="834">
        <v>478</v>
      </c>
      <c r="F116" t="s" s="834">
        <v>478</v>
      </c>
      <c r="G116" s="570"/>
      <c r="H116" s="570"/>
      <c r="I116" s="570"/>
      <c r="J116" s="570"/>
      <c r="K116" s="570"/>
    </row>
    <row r="117" ht="12.75" customHeight="1">
      <c r="A117" s="833">
        <v>16</v>
      </c>
      <c r="B117" t="s" s="834">
        <v>531</v>
      </c>
      <c r="C117" t="s" s="834">
        <v>477</v>
      </c>
      <c r="D117" s="835">
        <v>46023</v>
      </c>
      <c r="E117" t="s" s="834">
        <v>478</v>
      </c>
      <c r="F117" t="s" s="834">
        <v>478</v>
      </c>
      <c r="G117" s="570"/>
      <c r="H117" s="570"/>
      <c r="I117" s="570"/>
      <c r="J117" s="570"/>
      <c r="K117" s="570"/>
    </row>
    <row r="118" ht="12.75" customHeight="1">
      <c r="A118" s="833">
        <v>16</v>
      </c>
      <c r="B118" t="s" s="834">
        <v>531</v>
      </c>
      <c r="C118" t="s" s="834">
        <v>477</v>
      </c>
      <c r="D118" s="835">
        <v>46024</v>
      </c>
      <c r="E118" t="s" s="834">
        <v>478</v>
      </c>
      <c r="F118" t="s" s="834">
        <v>478</v>
      </c>
      <c r="G118" s="570"/>
      <c r="H118" s="570"/>
      <c r="I118" s="570"/>
      <c r="J118" s="570"/>
      <c r="K118" s="570"/>
    </row>
    <row r="119" ht="12.75" customHeight="1">
      <c r="A119" s="833">
        <v>16</v>
      </c>
      <c r="B119" t="s" s="834">
        <v>531</v>
      </c>
      <c r="C119" t="s" s="834">
        <v>477</v>
      </c>
      <c r="D119" s="835">
        <v>46025</v>
      </c>
      <c r="E119" t="s" s="834">
        <v>478</v>
      </c>
      <c r="F119" t="s" s="834">
        <v>478</v>
      </c>
      <c r="G119" s="570"/>
      <c r="H119" s="570"/>
      <c r="I119" s="570"/>
      <c r="J119" s="570"/>
      <c r="K119" s="570"/>
    </row>
    <row r="120" ht="12.75" customHeight="1">
      <c r="A120" s="833">
        <v>16</v>
      </c>
      <c r="B120" t="s" s="834">
        <v>531</v>
      </c>
      <c r="C120" t="s" s="834">
        <v>477</v>
      </c>
      <c r="D120" s="835">
        <v>46026</v>
      </c>
      <c r="E120" t="s" s="834">
        <v>478</v>
      </c>
      <c r="F120" t="s" s="834">
        <v>478</v>
      </c>
      <c r="G120" s="570"/>
      <c r="H120" s="570"/>
      <c r="I120" s="570"/>
      <c r="J120" s="570"/>
      <c r="K120" s="570"/>
    </row>
    <row r="121" ht="12.75" customHeight="1">
      <c r="A121" s="833">
        <v>16</v>
      </c>
      <c r="B121" t="s" s="834">
        <v>531</v>
      </c>
      <c r="C121" t="s" s="834">
        <v>477</v>
      </c>
      <c r="D121" s="835">
        <v>46027</v>
      </c>
      <c r="E121" t="s" s="834">
        <v>478</v>
      </c>
      <c r="F121" t="s" s="834">
        <v>478</v>
      </c>
      <c r="G121" s="570"/>
      <c r="H121" s="570"/>
      <c r="I121" s="570"/>
      <c r="J121" s="570"/>
      <c r="K121" s="570"/>
    </row>
    <row r="122" ht="12.75" customHeight="1">
      <c r="A122" s="833">
        <v>16</v>
      </c>
      <c r="B122" t="s" s="834">
        <v>531</v>
      </c>
      <c r="C122" t="s" s="834">
        <v>477</v>
      </c>
      <c r="D122" s="835">
        <v>46028</v>
      </c>
      <c r="E122" t="s" s="834">
        <v>478</v>
      </c>
      <c r="F122" t="s" s="834">
        <v>478</v>
      </c>
      <c r="G122" s="570"/>
      <c r="H122" s="570"/>
      <c r="I122" s="570"/>
      <c r="J122" s="570"/>
      <c r="K122" s="570"/>
    </row>
    <row r="123" ht="12.75" customHeight="1">
      <c r="A123" s="833">
        <v>16</v>
      </c>
      <c r="B123" t="s" s="834">
        <v>531</v>
      </c>
      <c r="C123" t="s" s="834">
        <v>477</v>
      </c>
      <c r="D123" s="835">
        <v>46029</v>
      </c>
      <c r="E123" t="s" s="834">
        <v>478</v>
      </c>
      <c r="F123" t="s" s="834">
        <v>478</v>
      </c>
      <c r="G123" s="570"/>
      <c r="H123" s="570"/>
      <c r="I123" s="570"/>
      <c r="J123" s="570"/>
      <c r="K123" s="570"/>
    </row>
    <row r="124" ht="12.75" customHeight="1">
      <c r="A124" s="833">
        <v>16</v>
      </c>
      <c r="B124" t="s" s="834">
        <v>531</v>
      </c>
      <c r="C124" t="s" s="834">
        <v>477</v>
      </c>
      <c r="D124" s="835">
        <v>46030</v>
      </c>
      <c r="E124" t="s" s="834">
        <v>478</v>
      </c>
      <c r="F124" t="s" s="834">
        <v>478</v>
      </c>
      <c r="G124" s="570"/>
      <c r="H124" s="570"/>
      <c r="I124" s="570"/>
      <c r="J124" s="570"/>
      <c r="K124" s="570"/>
    </row>
    <row r="125" ht="12.75" customHeight="1">
      <c r="A125" s="833">
        <v>16</v>
      </c>
      <c r="B125" t="s" s="834">
        <v>531</v>
      </c>
      <c r="C125" t="s" s="834">
        <v>477</v>
      </c>
      <c r="D125" s="835">
        <v>46031</v>
      </c>
      <c r="E125" t="s" s="834">
        <v>478</v>
      </c>
      <c r="F125" t="s" s="834">
        <v>478</v>
      </c>
      <c r="G125" s="570"/>
      <c r="H125" s="570"/>
      <c r="I125" s="570"/>
      <c r="J125" s="570"/>
      <c r="K125" s="570"/>
    </row>
    <row r="126" ht="12.75" customHeight="1">
      <c r="A126" s="833">
        <v>16</v>
      </c>
      <c r="B126" t="s" s="834">
        <v>531</v>
      </c>
      <c r="C126" t="s" s="834">
        <v>477</v>
      </c>
      <c r="D126" s="835">
        <v>46032</v>
      </c>
      <c r="E126" t="s" s="834">
        <v>478</v>
      </c>
      <c r="F126" t="s" s="834">
        <v>478</v>
      </c>
      <c r="G126" s="570"/>
      <c r="H126" s="570"/>
      <c r="I126" s="570"/>
      <c r="J126" s="570"/>
      <c r="K126" s="570"/>
    </row>
    <row r="127" ht="12.75" customHeight="1">
      <c r="A127" s="833">
        <v>16</v>
      </c>
      <c r="B127" t="s" s="834">
        <v>531</v>
      </c>
      <c r="C127" t="s" s="834">
        <v>477</v>
      </c>
      <c r="D127" s="835">
        <v>46033</v>
      </c>
      <c r="E127" t="s" s="834">
        <v>478</v>
      </c>
      <c r="F127" t="s" s="834">
        <v>478</v>
      </c>
      <c r="G127" s="570"/>
      <c r="H127" s="570"/>
      <c r="I127" s="570"/>
      <c r="J127" s="570"/>
      <c r="K127" s="570"/>
    </row>
    <row r="128" ht="12.75" customHeight="1">
      <c r="A128" s="833">
        <v>16</v>
      </c>
      <c r="B128" t="s" s="834">
        <v>531</v>
      </c>
      <c r="C128" t="s" s="834">
        <v>477</v>
      </c>
      <c r="D128" s="835">
        <v>46034</v>
      </c>
      <c r="E128" t="s" s="834">
        <v>478</v>
      </c>
      <c r="F128" t="s" s="834">
        <v>478</v>
      </c>
      <c r="G128" s="570"/>
      <c r="H128" s="570"/>
      <c r="I128" s="570"/>
      <c r="J128" s="570"/>
      <c r="K128" s="570"/>
    </row>
    <row r="129" ht="12.75" customHeight="1">
      <c r="A129" s="833">
        <v>16</v>
      </c>
      <c r="B129" t="s" s="834">
        <v>531</v>
      </c>
      <c r="C129" t="s" s="834">
        <v>477</v>
      </c>
      <c r="D129" s="835">
        <v>46035</v>
      </c>
      <c r="E129" t="s" s="834">
        <v>478</v>
      </c>
      <c r="F129" t="s" s="834">
        <v>478</v>
      </c>
      <c r="G129" s="570"/>
      <c r="H129" s="570"/>
      <c r="I129" s="570"/>
      <c r="J129" s="570"/>
      <c r="K129" s="570"/>
    </row>
    <row r="130" ht="12.75" customHeight="1">
      <c r="A130" s="833">
        <v>16</v>
      </c>
      <c r="B130" t="s" s="834">
        <v>531</v>
      </c>
      <c r="C130" t="s" s="834">
        <v>477</v>
      </c>
      <c r="D130" s="835">
        <v>46036</v>
      </c>
      <c r="E130" t="s" s="834">
        <v>478</v>
      </c>
      <c r="F130" t="s" s="834">
        <v>478</v>
      </c>
      <c r="G130" s="570"/>
      <c r="H130" s="570"/>
      <c r="I130" s="570"/>
      <c r="J130" s="570"/>
      <c r="K130" s="570"/>
    </row>
    <row r="131" ht="12.75" customHeight="1">
      <c r="A131" s="833">
        <v>16</v>
      </c>
      <c r="B131" t="s" s="834">
        <v>531</v>
      </c>
      <c r="C131" t="s" s="834">
        <v>477</v>
      </c>
      <c r="D131" s="835">
        <v>46037</v>
      </c>
      <c r="E131" t="s" s="834">
        <v>478</v>
      </c>
      <c r="F131" t="s" s="834">
        <v>478</v>
      </c>
      <c r="G131" s="570"/>
      <c r="H131" s="570"/>
      <c r="I131" s="570"/>
      <c r="J131" s="570"/>
      <c r="K131" s="570"/>
    </row>
    <row r="132" ht="12.75" customHeight="1">
      <c r="A132" s="833">
        <v>16</v>
      </c>
      <c r="B132" t="s" s="834">
        <v>531</v>
      </c>
      <c r="C132" t="s" s="834">
        <v>477</v>
      </c>
      <c r="D132" s="835">
        <v>46038</v>
      </c>
      <c r="E132" t="s" s="834">
        <v>478</v>
      </c>
      <c r="F132" t="s" s="834">
        <v>478</v>
      </c>
      <c r="G132" s="570"/>
      <c r="H132" s="570"/>
      <c r="I132" s="570"/>
      <c r="J132" s="570"/>
      <c r="K132" s="570"/>
    </row>
    <row r="133" ht="12.75" customHeight="1">
      <c r="A133" s="833">
        <v>16</v>
      </c>
      <c r="B133" t="s" s="834">
        <v>531</v>
      </c>
      <c r="C133" t="s" s="834">
        <v>477</v>
      </c>
      <c r="D133" s="835">
        <v>46039</v>
      </c>
      <c r="E133" t="s" s="834">
        <v>478</v>
      </c>
      <c r="F133" t="s" s="834">
        <v>478</v>
      </c>
      <c r="G133" s="570"/>
      <c r="H133" s="570"/>
      <c r="I133" s="570"/>
      <c r="J133" s="570"/>
      <c r="K133" s="570"/>
    </row>
    <row r="134" ht="12.75" customHeight="1">
      <c r="A134" s="833">
        <v>16</v>
      </c>
      <c r="B134" t="s" s="834">
        <v>531</v>
      </c>
      <c r="C134" t="s" s="834">
        <v>477</v>
      </c>
      <c r="D134" s="835">
        <v>46040</v>
      </c>
      <c r="E134" t="s" s="834">
        <v>478</v>
      </c>
      <c r="F134" t="s" s="834">
        <v>478</v>
      </c>
      <c r="G134" s="570"/>
      <c r="H134" s="570"/>
      <c r="I134" s="570"/>
      <c r="J134" s="570"/>
      <c r="K134" s="570"/>
    </row>
    <row r="135" ht="12.75" customHeight="1">
      <c r="A135" s="833">
        <v>16</v>
      </c>
      <c r="B135" t="s" s="834">
        <v>531</v>
      </c>
      <c r="C135" t="s" s="834">
        <v>477</v>
      </c>
      <c r="D135" s="835">
        <v>46041</v>
      </c>
      <c r="E135" t="s" s="834">
        <v>478</v>
      </c>
      <c r="F135" t="s" s="834">
        <v>478</v>
      </c>
      <c r="G135" s="570"/>
      <c r="H135" s="570"/>
      <c r="I135" s="570"/>
      <c r="J135" s="570"/>
      <c r="K135" s="570"/>
    </row>
    <row r="136" ht="12.75" customHeight="1">
      <c r="A136" s="833">
        <v>16</v>
      </c>
      <c r="B136" t="s" s="834">
        <v>531</v>
      </c>
      <c r="C136" t="s" s="834">
        <v>477</v>
      </c>
      <c r="D136" s="835">
        <v>46042</v>
      </c>
      <c r="E136" t="s" s="834">
        <v>478</v>
      </c>
      <c r="F136" t="s" s="834">
        <v>478</v>
      </c>
      <c r="G136" s="570"/>
      <c r="H136" s="570"/>
      <c r="I136" s="570"/>
      <c r="J136" s="570"/>
      <c r="K136" s="570"/>
    </row>
    <row r="137" ht="12.75" customHeight="1">
      <c r="A137" s="833">
        <v>16</v>
      </c>
      <c r="B137" t="s" s="834">
        <v>531</v>
      </c>
      <c r="C137" t="s" s="834">
        <v>477</v>
      </c>
      <c r="D137" s="835">
        <v>46043</v>
      </c>
      <c r="E137" t="s" s="834">
        <v>478</v>
      </c>
      <c r="F137" t="s" s="834">
        <v>478</v>
      </c>
      <c r="G137" s="570"/>
      <c r="H137" s="570"/>
      <c r="I137" s="570"/>
      <c r="J137" s="570"/>
      <c r="K137" s="570"/>
    </row>
    <row r="138" ht="12.75" customHeight="1">
      <c r="A138" s="833">
        <v>16</v>
      </c>
      <c r="B138" t="s" s="834">
        <v>531</v>
      </c>
      <c r="C138" t="s" s="834">
        <v>477</v>
      </c>
      <c r="D138" s="835">
        <v>46044</v>
      </c>
      <c r="E138" t="s" s="834">
        <v>478</v>
      </c>
      <c r="F138" t="s" s="834">
        <v>478</v>
      </c>
      <c r="G138" s="570"/>
      <c r="H138" s="570"/>
      <c r="I138" s="570"/>
      <c r="J138" s="570"/>
      <c r="K138" s="570"/>
    </row>
    <row r="139" ht="12.75" customHeight="1">
      <c r="A139" s="833">
        <v>16</v>
      </c>
      <c r="B139" t="s" s="834">
        <v>531</v>
      </c>
      <c r="C139" t="s" s="834">
        <v>477</v>
      </c>
      <c r="D139" s="835">
        <v>46045</v>
      </c>
      <c r="E139" t="s" s="834">
        <v>478</v>
      </c>
      <c r="F139" t="s" s="834">
        <v>478</v>
      </c>
      <c r="G139" s="570"/>
      <c r="H139" s="570"/>
      <c r="I139" s="570"/>
      <c r="J139" s="570"/>
      <c r="K139" s="570"/>
    </row>
    <row r="140" ht="12.75" customHeight="1">
      <c r="A140" s="833">
        <v>16</v>
      </c>
      <c r="B140" t="s" s="834">
        <v>531</v>
      </c>
      <c r="C140" t="s" s="834">
        <v>477</v>
      </c>
      <c r="D140" s="835">
        <v>46046</v>
      </c>
      <c r="E140" t="s" s="834">
        <v>478</v>
      </c>
      <c r="F140" t="s" s="834">
        <v>478</v>
      </c>
      <c r="G140" s="570"/>
      <c r="H140" s="570"/>
      <c r="I140" s="570"/>
      <c r="J140" s="570"/>
      <c r="K140" s="570"/>
    </row>
    <row r="141" ht="12.75" customHeight="1">
      <c r="A141" s="833">
        <v>16</v>
      </c>
      <c r="B141" t="s" s="834">
        <v>531</v>
      </c>
      <c r="C141" t="s" s="834">
        <v>477</v>
      </c>
      <c r="D141" s="835">
        <v>46047</v>
      </c>
      <c r="E141" t="s" s="834">
        <v>478</v>
      </c>
      <c r="F141" t="s" s="834">
        <v>478</v>
      </c>
      <c r="G141" s="570"/>
      <c r="H141" s="570"/>
      <c r="I141" s="570"/>
      <c r="J141" s="570"/>
      <c r="K141" s="570"/>
    </row>
    <row r="142" ht="12.75" customHeight="1">
      <c r="A142" s="833">
        <v>16</v>
      </c>
      <c r="B142" t="s" s="834">
        <v>531</v>
      </c>
      <c r="C142" t="s" s="834">
        <v>477</v>
      </c>
      <c r="D142" s="835">
        <v>46048</v>
      </c>
      <c r="E142" t="s" s="834">
        <v>478</v>
      </c>
      <c r="F142" t="s" s="834">
        <v>478</v>
      </c>
      <c r="G142" s="570"/>
      <c r="H142" s="570"/>
      <c r="I142" s="570"/>
      <c r="J142" s="570"/>
      <c r="K142" s="570"/>
    </row>
    <row r="143" ht="12.75" customHeight="1">
      <c r="A143" s="833">
        <v>16</v>
      </c>
      <c r="B143" t="s" s="834">
        <v>531</v>
      </c>
      <c r="C143" t="s" s="834">
        <v>477</v>
      </c>
      <c r="D143" s="835">
        <v>46049</v>
      </c>
      <c r="E143" t="s" s="834">
        <v>478</v>
      </c>
      <c r="F143" t="s" s="834">
        <v>478</v>
      </c>
      <c r="G143" s="570"/>
      <c r="H143" s="570"/>
      <c r="I143" s="570"/>
      <c r="J143" s="570"/>
      <c r="K143" s="570"/>
    </row>
    <row r="144" ht="12.75" customHeight="1">
      <c r="A144" s="833">
        <v>16</v>
      </c>
      <c r="B144" t="s" s="834">
        <v>531</v>
      </c>
      <c r="C144" t="s" s="834">
        <v>477</v>
      </c>
      <c r="D144" s="835">
        <v>46050</v>
      </c>
      <c r="E144" t="s" s="834">
        <v>478</v>
      </c>
      <c r="F144" t="s" s="834">
        <v>478</v>
      </c>
      <c r="G144" s="570"/>
      <c r="H144" s="570"/>
      <c r="I144" s="570"/>
      <c r="J144" s="570"/>
      <c r="K144" s="570"/>
    </row>
    <row r="145" ht="12.75" customHeight="1">
      <c r="A145" s="833">
        <v>16</v>
      </c>
      <c r="B145" t="s" s="834">
        <v>531</v>
      </c>
      <c r="C145" t="s" s="834">
        <v>477</v>
      </c>
      <c r="D145" s="835">
        <v>46051</v>
      </c>
      <c r="E145" t="s" s="834">
        <v>478</v>
      </c>
      <c r="F145" t="s" s="834">
        <v>478</v>
      </c>
      <c r="G145" s="570"/>
      <c r="H145" s="570"/>
      <c r="I145" s="570"/>
      <c r="J145" s="570"/>
      <c r="K145" s="570"/>
    </row>
    <row r="146" ht="12.75" customHeight="1">
      <c r="A146" s="833">
        <v>16</v>
      </c>
      <c r="B146" t="s" s="834">
        <v>531</v>
      </c>
      <c r="C146" t="s" s="834">
        <v>477</v>
      </c>
      <c r="D146" s="835">
        <v>46052</v>
      </c>
      <c r="E146" t="s" s="834">
        <v>478</v>
      </c>
      <c r="F146" t="s" s="834">
        <v>478</v>
      </c>
      <c r="G146" s="570"/>
      <c r="H146" s="570"/>
      <c r="I146" s="570"/>
      <c r="J146" s="570"/>
      <c r="K146" s="570"/>
    </row>
    <row r="147" ht="12.75" customHeight="1">
      <c r="A147" s="833">
        <v>16</v>
      </c>
      <c r="B147" t="s" s="834">
        <v>531</v>
      </c>
      <c r="C147" t="s" s="834">
        <v>477</v>
      </c>
      <c r="D147" s="835">
        <v>46053</v>
      </c>
      <c r="E147" t="s" s="834">
        <v>478</v>
      </c>
      <c r="F147" t="s" s="834">
        <v>478</v>
      </c>
      <c r="G147" s="570"/>
      <c r="H147" s="570"/>
      <c r="I147" s="570"/>
      <c r="J147" s="570"/>
      <c r="K147" s="570"/>
    </row>
    <row r="148" ht="12.75" customHeight="1">
      <c r="A148" s="833">
        <v>16</v>
      </c>
      <c r="B148" t="s" s="834">
        <v>531</v>
      </c>
      <c r="C148" t="s" s="834">
        <v>477</v>
      </c>
      <c r="D148" s="835">
        <v>46054</v>
      </c>
      <c r="E148" t="s" s="834">
        <v>478</v>
      </c>
      <c r="F148" t="s" s="834">
        <v>478</v>
      </c>
      <c r="G148" s="570"/>
      <c r="H148" s="570"/>
      <c r="I148" s="570"/>
      <c r="J148" s="570"/>
      <c r="K148" s="570"/>
    </row>
    <row r="149" ht="12.75" customHeight="1">
      <c r="A149" s="833">
        <v>17</v>
      </c>
      <c r="B149" t="s" s="834">
        <v>437</v>
      </c>
      <c r="C149" t="s" s="834">
        <v>480</v>
      </c>
      <c r="D149" s="835">
        <v>46023</v>
      </c>
      <c r="E149" t="s" s="834">
        <v>478</v>
      </c>
      <c r="F149" t="s" s="834">
        <v>478</v>
      </c>
      <c r="G149" s="570"/>
      <c r="H149" s="570"/>
      <c r="I149" s="570"/>
      <c r="J149" s="570"/>
      <c r="K149" s="570"/>
    </row>
    <row r="150" ht="12.75" customHeight="1">
      <c r="A150" s="833">
        <v>17</v>
      </c>
      <c r="B150" t="s" s="834">
        <v>437</v>
      </c>
      <c r="C150" t="s" s="834">
        <v>480</v>
      </c>
      <c r="D150" s="835">
        <v>46024</v>
      </c>
      <c r="E150" t="s" s="834">
        <v>478</v>
      </c>
      <c r="F150" t="s" s="834">
        <v>478</v>
      </c>
      <c r="G150" s="570"/>
      <c r="H150" s="570"/>
      <c r="I150" s="570"/>
      <c r="J150" s="570"/>
      <c r="K150" s="570"/>
    </row>
    <row r="151" ht="12.75" customHeight="1">
      <c r="A151" s="833">
        <v>17</v>
      </c>
      <c r="B151" t="s" s="834">
        <v>437</v>
      </c>
      <c r="C151" t="s" s="834">
        <v>480</v>
      </c>
      <c r="D151" s="835">
        <v>46025</v>
      </c>
      <c r="E151" t="s" s="834">
        <v>478</v>
      </c>
      <c r="F151" t="s" s="834">
        <v>478</v>
      </c>
      <c r="G151" s="570"/>
      <c r="H151" s="570"/>
      <c r="I151" s="570"/>
      <c r="J151" s="570"/>
      <c r="K151" s="570"/>
    </row>
    <row r="152" ht="12.75" customHeight="1">
      <c r="A152" s="833">
        <v>17</v>
      </c>
      <c r="B152" t="s" s="834">
        <v>437</v>
      </c>
      <c r="C152" t="s" s="834">
        <v>480</v>
      </c>
      <c r="D152" s="835">
        <v>46026</v>
      </c>
      <c r="E152" t="s" s="834">
        <v>478</v>
      </c>
      <c r="F152" t="s" s="834">
        <v>478</v>
      </c>
      <c r="G152" s="570"/>
      <c r="H152" s="570"/>
      <c r="I152" s="570"/>
      <c r="J152" s="570"/>
      <c r="K152" s="570"/>
    </row>
    <row r="153" ht="12.75" customHeight="1">
      <c r="A153" s="833">
        <v>17</v>
      </c>
      <c r="B153" t="s" s="834">
        <v>437</v>
      </c>
      <c r="C153" t="s" s="834">
        <v>480</v>
      </c>
      <c r="D153" s="835">
        <v>46027</v>
      </c>
      <c r="E153" t="s" s="834">
        <v>478</v>
      </c>
      <c r="F153" t="s" s="834">
        <v>478</v>
      </c>
      <c r="G153" s="570"/>
      <c r="H153" s="570"/>
      <c r="I153" s="570"/>
      <c r="J153" s="570"/>
      <c r="K153" s="570"/>
    </row>
    <row r="154" ht="12.75" customHeight="1">
      <c r="A154" s="833">
        <v>17</v>
      </c>
      <c r="B154" t="s" s="834">
        <v>437</v>
      </c>
      <c r="C154" t="s" s="834">
        <v>480</v>
      </c>
      <c r="D154" s="835">
        <v>46028</v>
      </c>
      <c r="E154" t="s" s="834">
        <v>478</v>
      </c>
      <c r="F154" t="s" s="834">
        <v>478</v>
      </c>
      <c r="G154" s="570"/>
      <c r="H154" s="570"/>
      <c r="I154" s="570"/>
      <c r="J154" s="570"/>
      <c r="K154" s="570"/>
    </row>
    <row r="155" ht="12.75" customHeight="1">
      <c r="A155" s="833">
        <v>17</v>
      </c>
      <c r="B155" t="s" s="834">
        <v>437</v>
      </c>
      <c r="C155" t="s" s="834">
        <v>480</v>
      </c>
      <c r="D155" s="835">
        <v>46029</v>
      </c>
      <c r="E155" t="s" s="834">
        <v>478</v>
      </c>
      <c r="F155" t="s" s="834">
        <v>478</v>
      </c>
      <c r="G155" s="570"/>
      <c r="H155" s="570"/>
      <c r="I155" s="570"/>
      <c r="J155" s="570"/>
      <c r="K155" s="570"/>
    </row>
    <row r="156" ht="12.75" customHeight="1">
      <c r="A156" s="833">
        <v>17</v>
      </c>
      <c r="B156" t="s" s="834">
        <v>437</v>
      </c>
      <c r="C156" t="s" s="834">
        <v>480</v>
      </c>
      <c r="D156" s="835">
        <v>46030</v>
      </c>
      <c r="E156" t="s" s="834">
        <v>478</v>
      </c>
      <c r="F156" t="s" s="834">
        <v>478</v>
      </c>
      <c r="G156" s="570"/>
      <c r="H156" s="570"/>
      <c r="I156" s="570"/>
      <c r="J156" s="570"/>
      <c r="K156" s="570"/>
    </row>
    <row r="157" ht="12.75" customHeight="1">
      <c r="A157" s="833">
        <v>17</v>
      </c>
      <c r="B157" t="s" s="834">
        <v>437</v>
      </c>
      <c r="C157" t="s" s="834">
        <v>480</v>
      </c>
      <c r="D157" s="835">
        <v>46031</v>
      </c>
      <c r="E157" t="s" s="834">
        <v>478</v>
      </c>
      <c r="F157" t="s" s="834">
        <v>478</v>
      </c>
      <c r="G157" s="570"/>
      <c r="H157" s="570"/>
      <c r="I157" s="570"/>
      <c r="J157" s="570"/>
      <c r="K157" s="570"/>
    </row>
    <row r="158" ht="12.75" customHeight="1">
      <c r="A158" s="833">
        <v>17</v>
      </c>
      <c r="B158" t="s" s="834">
        <v>437</v>
      </c>
      <c r="C158" t="s" s="834">
        <v>480</v>
      </c>
      <c r="D158" s="835">
        <v>46032</v>
      </c>
      <c r="E158" t="s" s="834">
        <v>478</v>
      </c>
      <c r="F158" t="s" s="834">
        <v>478</v>
      </c>
      <c r="G158" s="570"/>
      <c r="H158" s="570"/>
      <c r="I158" s="570"/>
      <c r="J158" s="570"/>
      <c r="K158" s="570"/>
    </row>
    <row r="159" ht="12.75" customHeight="1">
      <c r="A159" s="833">
        <v>17</v>
      </c>
      <c r="B159" t="s" s="834">
        <v>437</v>
      </c>
      <c r="C159" t="s" s="834">
        <v>480</v>
      </c>
      <c r="D159" s="835">
        <v>46033</v>
      </c>
      <c r="E159" t="s" s="834">
        <v>478</v>
      </c>
      <c r="F159" t="s" s="834">
        <v>478</v>
      </c>
      <c r="G159" s="570"/>
      <c r="H159" s="570"/>
      <c r="I159" s="570"/>
      <c r="J159" s="570"/>
      <c r="K159" s="570"/>
    </row>
    <row r="160" ht="12.75" customHeight="1">
      <c r="A160" s="833">
        <v>17</v>
      </c>
      <c r="B160" t="s" s="834">
        <v>437</v>
      </c>
      <c r="C160" t="s" s="834">
        <v>480</v>
      </c>
      <c r="D160" s="835">
        <v>46034</v>
      </c>
      <c r="E160" t="s" s="834">
        <v>478</v>
      </c>
      <c r="F160" t="s" s="834">
        <v>478</v>
      </c>
      <c r="G160" s="570"/>
      <c r="H160" s="570"/>
      <c r="I160" s="570"/>
      <c r="J160" s="570"/>
      <c r="K160" s="570"/>
    </row>
    <row r="161" ht="12.75" customHeight="1">
      <c r="A161" s="833">
        <v>17</v>
      </c>
      <c r="B161" t="s" s="834">
        <v>437</v>
      </c>
      <c r="C161" t="s" s="834">
        <v>480</v>
      </c>
      <c r="D161" s="835">
        <v>46035</v>
      </c>
      <c r="E161" s="836">
        <v>1.353703703703704</v>
      </c>
      <c r="F161" s="836">
        <v>1.72994212962963</v>
      </c>
      <c r="G161" s="570"/>
      <c r="H161" s="570"/>
      <c r="I161" s="570"/>
      <c r="J161" s="570"/>
      <c r="K161" s="570"/>
    </row>
    <row r="162" ht="12.75" customHeight="1">
      <c r="A162" t="s" s="834">
        <v>532</v>
      </c>
      <c r="B162" t="s" s="834">
        <v>533</v>
      </c>
      <c r="C162" t="s" s="834">
        <v>534</v>
      </c>
      <c r="D162" s="570"/>
      <c r="E162" s="570"/>
      <c r="F162" s="570"/>
      <c r="G162" s="570"/>
      <c r="H162" s="570"/>
      <c r="I162" s="570"/>
      <c r="J162" s="570"/>
      <c r="K162" s="570"/>
    </row>
    <row r="163" ht="12.75" customHeight="1">
      <c r="A163" s="833">
        <v>17</v>
      </c>
      <c r="B163" t="s" s="834">
        <v>437</v>
      </c>
      <c r="C163" t="s" s="834">
        <v>480</v>
      </c>
      <c r="D163" s="835">
        <v>46036</v>
      </c>
      <c r="E163" t="s" s="834">
        <v>478</v>
      </c>
      <c r="F163" t="s" s="834">
        <v>478</v>
      </c>
      <c r="G163" s="570"/>
      <c r="H163" s="570"/>
      <c r="I163" s="570"/>
      <c r="J163" s="570"/>
      <c r="K163" s="570"/>
    </row>
    <row r="164" ht="12.75" customHeight="1">
      <c r="A164" s="833">
        <v>17</v>
      </c>
      <c r="B164" t="s" s="834">
        <v>437</v>
      </c>
      <c r="C164" t="s" s="834">
        <v>480</v>
      </c>
      <c r="D164" s="835">
        <v>46037</v>
      </c>
      <c r="E164" s="836">
        <v>1.349803240740741</v>
      </c>
      <c r="F164" s="836">
        <v>1.730034722222222</v>
      </c>
      <c r="G164" s="570"/>
      <c r="H164" s="570"/>
      <c r="I164" s="570"/>
      <c r="J164" s="570"/>
      <c r="K164" s="570"/>
    </row>
    <row r="165" ht="12.75" customHeight="1">
      <c r="A165" t="s" s="834">
        <v>535</v>
      </c>
      <c r="B165" t="s" s="834">
        <v>536</v>
      </c>
      <c r="C165" t="s" s="834">
        <v>537</v>
      </c>
      <c r="D165" s="570"/>
      <c r="E165" s="570"/>
      <c r="F165" s="570"/>
      <c r="G165" s="570"/>
      <c r="H165" s="570"/>
      <c r="I165" s="570"/>
      <c r="J165" s="570"/>
      <c r="K165" s="570"/>
    </row>
    <row r="166" ht="12.75" customHeight="1">
      <c r="A166" s="833">
        <v>17</v>
      </c>
      <c r="B166" t="s" s="834">
        <v>437</v>
      </c>
      <c r="C166" t="s" s="834">
        <v>480</v>
      </c>
      <c r="D166" s="835">
        <v>46038</v>
      </c>
      <c r="E166" s="836">
        <v>1.349398148148148</v>
      </c>
      <c r="F166" s="836">
        <v>1.732175925925926</v>
      </c>
      <c r="G166" s="570"/>
      <c r="H166" s="570"/>
      <c r="I166" s="570"/>
      <c r="J166" s="570"/>
      <c r="K166" s="570"/>
    </row>
    <row r="167" ht="12.75" customHeight="1">
      <c r="A167" t="s" s="834">
        <v>538</v>
      </c>
      <c r="B167" t="s" s="834">
        <v>539</v>
      </c>
      <c r="C167" t="s" s="834">
        <v>540</v>
      </c>
      <c r="D167" s="570"/>
      <c r="E167" s="570"/>
      <c r="F167" s="570"/>
      <c r="G167" s="570"/>
      <c r="H167" s="570"/>
      <c r="I167" s="570"/>
      <c r="J167" s="570"/>
      <c r="K167" s="570"/>
    </row>
    <row r="168" ht="12.75" customHeight="1">
      <c r="A168" s="833">
        <v>17</v>
      </c>
      <c r="B168" t="s" s="834">
        <v>437</v>
      </c>
      <c r="C168" t="s" s="834">
        <v>480</v>
      </c>
      <c r="D168" s="835">
        <v>46039</v>
      </c>
      <c r="E168" t="s" s="834">
        <v>478</v>
      </c>
      <c r="F168" t="s" s="834">
        <v>478</v>
      </c>
      <c r="G168" s="570"/>
      <c r="H168" s="570"/>
      <c r="I168" s="570"/>
      <c r="J168" s="570"/>
      <c r="K168" s="570"/>
    </row>
    <row r="169" ht="12.75" customHeight="1">
      <c r="A169" s="833">
        <v>17</v>
      </c>
      <c r="B169" t="s" s="834">
        <v>437</v>
      </c>
      <c r="C169" t="s" s="834">
        <v>480</v>
      </c>
      <c r="D169" s="835">
        <v>46040</v>
      </c>
      <c r="E169" t="s" s="834">
        <v>478</v>
      </c>
      <c r="F169" t="s" s="834">
        <v>478</v>
      </c>
      <c r="G169" s="570"/>
      <c r="H169" s="570"/>
      <c r="I169" s="570"/>
      <c r="J169" s="570"/>
      <c r="K169" s="570"/>
    </row>
    <row r="170" ht="12.75" customHeight="1">
      <c r="A170" s="833">
        <v>17</v>
      </c>
      <c r="B170" t="s" s="834">
        <v>437</v>
      </c>
      <c r="C170" t="s" s="834">
        <v>480</v>
      </c>
      <c r="D170" s="835">
        <v>46041</v>
      </c>
      <c r="E170" s="836">
        <v>1.354039351851852</v>
      </c>
      <c r="F170" s="836">
        <v>1.731608796296296</v>
      </c>
      <c r="G170" s="570"/>
      <c r="H170" s="570"/>
      <c r="I170" s="570"/>
      <c r="J170" s="570"/>
      <c r="K170" s="570"/>
    </row>
    <row r="171" ht="12.75" customHeight="1">
      <c r="A171" t="s" s="834">
        <v>541</v>
      </c>
      <c r="B171" t="s" s="834">
        <v>542</v>
      </c>
      <c r="C171" t="s" s="834">
        <v>543</v>
      </c>
      <c r="D171" s="570"/>
      <c r="E171" s="570"/>
      <c r="F171" s="570"/>
      <c r="G171" s="570"/>
      <c r="H171" s="570"/>
      <c r="I171" s="570"/>
      <c r="J171" s="570"/>
      <c r="K171" s="570"/>
    </row>
    <row r="172" ht="12.75" customHeight="1">
      <c r="A172" s="833">
        <v>17</v>
      </c>
      <c r="B172" t="s" s="834">
        <v>437</v>
      </c>
      <c r="C172" t="s" s="834">
        <v>480</v>
      </c>
      <c r="D172" s="835">
        <v>46042</v>
      </c>
      <c r="E172" s="836">
        <v>1.360694444444444</v>
      </c>
      <c r="F172" s="836">
        <v>1.501712962962963</v>
      </c>
      <c r="G172" s="570"/>
      <c r="H172" s="570"/>
      <c r="I172" s="570"/>
      <c r="J172" s="570"/>
      <c r="K172" s="570"/>
    </row>
    <row r="173" ht="12.75" customHeight="1">
      <c r="A173" t="s" s="834">
        <v>544</v>
      </c>
      <c r="B173" t="s" s="834">
        <v>545</v>
      </c>
      <c r="C173" t="s" s="834">
        <v>546</v>
      </c>
      <c r="D173" s="570"/>
      <c r="E173" s="570"/>
      <c r="F173" s="570"/>
      <c r="G173" s="570"/>
      <c r="H173" s="570"/>
      <c r="I173" s="570"/>
      <c r="J173" s="570"/>
      <c r="K173" s="570"/>
    </row>
    <row r="174" ht="12.75" customHeight="1">
      <c r="A174" s="833">
        <v>17</v>
      </c>
      <c r="B174" t="s" s="834">
        <v>437</v>
      </c>
      <c r="C174" t="s" s="834">
        <v>480</v>
      </c>
      <c r="D174" s="835">
        <v>46043</v>
      </c>
      <c r="E174" s="836">
        <v>1.351018518518519</v>
      </c>
      <c r="F174" s="836">
        <v>1.730081018518518</v>
      </c>
      <c r="G174" s="570"/>
      <c r="H174" s="570"/>
      <c r="I174" s="570"/>
      <c r="J174" s="570"/>
      <c r="K174" s="570"/>
    </row>
    <row r="175" ht="12.75" customHeight="1">
      <c r="A175" t="s" s="834">
        <v>547</v>
      </c>
      <c r="B175" t="s" s="834">
        <v>548</v>
      </c>
      <c r="C175" t="s" s="834">
        <v>549</v>
      </c>
      <c r="D175" s="570"/>
      <c r="E175" s="570"/>
      <c r="F175" s="570"/>
      <c r="G175" s="570"/>
      <c r="H175" s="570"/>
      <c r="I175" s="570"/>
      <c r="J175" s="570"/>
      <c r="K175" s="570"/>
    </row>
    <row r="176" ht="12.75" customHeight="1">
      <c r="A176" s="833">
        <v>17</v>
      </c>
      <c r="B176" t="s" s="834">
        <v>437</v>
      </c>
      <c r="C176" t="s" s="834">
        <v>480</v>
      </c>
      <c r="D176" s="835">
        <v>46044</v>
      </c>
      <c r="E176" s="836">
        <v>1.35837962962963</v>
      </c>
      <c r="F176" s="836">
        <v>1.7321875</v>
      </c>
      <c r="G176" s="570"/>
      <c r="H176" s="570"/>
      <c r="I176" s="570"/>
      <c r="J176" s="570"/>
      <c r="K176" s="570"/>
    </row>
    <row r="177" ht="12.75" customHeight="1">
      <c r="A177" t="s" s="834">
        <v>550</v>
      </c>
      <c r="B177" t="s" s="834">
        <v>551</v>
      </c>
      <c r="C177" t="s" s="834">
        <v>552</v>
      </c>
      <c r="D177" s="570"/>
      <c r="E177" s="570"/>
      <c r="F177" s="570"/>
      <c r="G177" s="570"/>
      <c r="H177" s="570"/>
      <c r="I177" s="570"/>
      <c r="J177" s="570"/>
      <c r="K177" s="570"/>
    </row>
    <row r="178" ht="12.75" customHeight="1">
      <c r="A178" s="833">
        <v>17</v>
      </c>
      <c r="B178" t="s" s="834">
        <v>437</v>
      </c>
      <c r="C178" t="s" s="834">
        <v>480</v>
      </c>
      <c r="D178" s="835">
        <v>46045</v>
      </c>
      <c r="E178" t="s" s="834">
        <v>478</v>
      </c>
      <c r="F178" t="s" s="834">
        <v>478</v>
      </c>
      <c r="G178" s="570"/>
      <c r="H178" s="570"/>
      <c r="I178" s="570"/>
      <c r="J178" s="570"/>
      <c r="K178" s="570"/>
    </row>
    <row r="179" ht="12.75" customHeight="1">
      <c r="A179" s="833">
        <v>17</v>
      </c>
      <c r="B179" t="s" s="834">
        <v>437</v>
      </c>
      <c r="C179" t="s" s="834">
        <v>480</v>
      </c>
      <c r="D179" s="835">
        <v>46046</v>
      </c>
      <c r="E179" t="s" s="834">
        <v>478</v>
      </c>
      <c r="F179" t="s" s="834">
        <v>478</v>
      </c>
      <c r="G179" s="570"/>
      <c r="H179" s="570"/>
      <c r="I179" s="570"/>
      <c r="J179" s="570"/>
      <c r="K179" s="570"/>
    </row>
    <row r="180" ht="12.75" customHeight="1">
      <c r="A180" s="833">
        <v>17</v>
      </c>
      <c r="B180" t="s" s="834">
        <v>437</v>
      </c>
      <c r="C180" t="s" s="834">
        <v>480</v>
      </c>
      <c r="D180" s="835">
        <v>46047</v>
      </c>
      <c r="E180" t="s" s="834">
        <v>478</v>
      </c>
      <c r="F180" t="s" s="834">
        <v>478</v>
      </c>
      <c r="G180" s="570"/>
      <c r="H180" s="570"/>
      <c r="I180" s="570"/>
      <c r="J180" s="570"/>
      <c r="K180" s="570"/>
    </row>
    <row r="181" ht="12.75" customHeight="1">
      <c r="A181" s="833">
        <v>17</v>
      </c>
      <c r="B181" t="s" s="834">
        <v>437</v>
      </c>
      <c r="C181" t="s" s="834">
        <v>480</v>
      </c>
      <c r="D181" s="835">
        <v>46048</v>
      </c>
      <c r="E181" s="836">
        <v>1.355405092592593</v>
      </c>
      <c r="F181" t="s" s="834">
        <v>478</v>
      </c>
      <c r="G181" s="570"/>
      <c r="H181" s="570"/>
      <c r="I181" s="570"/>
      <c r="J181" s="570"/>
      <c r="K181" s="570"/>
    </row>
    <row r="182" ht="12.75" customHeight="1">
      <c r="A182" t="s" s="834">
        <v>553</v>
      </c>
      <c r="B182" t="s" s="834">
        <v>485</v>
      </c>
      <c r="C182" t="s" s="834">
        <v>486</v>
      </c>
      <c r="D182" s="570"/>
      <c r="E182" s="570"/>
      <c r="F182" s="570"/>
      <c r="G182" s="570"/>
      <c r="H182" s="570"/>
      <c r="I182" s="570"/>
      <c r="J182" s="570"/>
      <c r="K182" s="570"/>
    </row>
    <row r="183" ht="12.75" customHeight="1">
      <c r="A183" s="833">
        <v>17</v>
      </c>
      <c r="B183" t="s" s="834">
        <v>437</v>
      </c>
      <c r="C183" t="s" s="834">
        <v>480</v>
      </c>
      <c r="D183" s="835">
        <v>46049</v>
      </c>
      <c r="E183" s="836">
        <v>1.35505787037037</v>
      </c>
      <c r="F183" s="836">
        <v>1.730462962962963</v>
      </c>
      <c r="G183" s="570"/>
      <c r="H183" s="570"/>
      <c r="I183" s="570"/>
      <c r="J183" s="570"/>
      <c r="K183" s="570"/>
    </row>
    <row r="184" ht="12.75" customHeight="1">
      <c r="A184" t="s" s="834">
        <v>554</v>
      </c>
      <c r="B184" t="s" s="834">
        <v>555</v>
      </c>
      <c r="C184" t="s" s="834">
        <v>556</v>
      </c>
      <c r="D184" s="570"/>
      <c r="E184" s="570"/>
      <c r="F184" s="570"/>
      <c r="G184" s="570"/>
      <c r="H184" s="570"/>
      <c r="I184" s="570"/>
      <c r="J184" s="570"/>
      <c r="K184" s="570"/>
    </row>
    <row r="185" ht="12.75" customHeight="1">
      <c r="A185" s="833">
        <v>17</v>
      </c>
      <c r="B185" t="s" s="834">
        <v>437</v>
      </c>
      <c r="C185" t="s" s="834">
        <v>480</v>
      </c>
      <c r="D185" s="835">
        <v>46050</v>
      </c>
      <c r="E185" s="836">
        <v>1.355856481481482</v>
      </c>
      <c r="F185" s="836">
        <v>1.730300925925926</v>
      </c>
      <c r="G185" s="570"/>
      <c r="H185" s="570"/>
      <c r="I185" s="570"/>
      <c r="J185" s="570"/>
      <c r="K185" s="570"/>
    </row>
    <row r="186" ht="12.75" customHeight="1">
      <c r="A186" t="s" s="834">
        <v>557</v>
      </c>
      <c r="B186" t="s" s="834">
        <v>558</v>
      </c>
      <c r="C186" t="s" s="834">
        <v>559</v>
      </c>
      <c r="D186" s="570"/>
      <c r="E186" s="570"/>
      <c r="F186" s="570"/>
      <c r="G186" s="570"/>
      <c r="H186" s="570"/>
      <c r="I186" s="570"/>
      <c r="J186" s="570"/>
      <c r="K186" s="570"/>
    </row>
    <row r="187" ht="12.75" customHeight="1">
      <c r="A187" s="833">
        <v>17</v>
      </c>
      <c r="B187" t="s" s="834">
        <v>437</v>
      </c>
      <c r="C187" t="s" s="834">
        <v>480</v>
      </c>
      <c r="D187" s="835">
        <v>46051</v>
      </c>
      <c r="E187" s="836">
        <v>1.353738425925926</v>
      </c>
      <c r="F187" s="836">
        <v>1.732303240740741</v>
      </c>
      <c r="G187" s="570"/>
      <c r="H187" s="570"/>
      <c r="I187" s="570"/>
      <c r="J187" s="570"/>
      <c r="K187" s="570"/>
    </row>
    <row r="188" ht="12.75" customHeight="1">
      <c r="A188" t="s" s="834">
        <v>560</v>
      </c>
      <c r="B188" t="s" s="834">
        <v>561</v>
      </c>
      <c r="C188" t="s" s="834">
        <v>562</v>
      </c>
      <c r="D188" s="570"/>
      <c r="E188" s="570"/>
      <c r="F188" s="570"/>
      <c r="G188" s="570"/>
      <c r="H188" s="570"/>
      <c r="I188" s="570"/>
      <c r="J188" s="570"/>
      <c r="K188" s="570"/>
    </row>
    <row r="189" ht="12.75" customHeight="1">
      <c r="A189" s="833">
        <v>17</v>
      </c>
      <c r="B189" t="s" s="834">
        <v>437</v>
      </c>
      <c r="C189" t="s" s="834">
        <v>480</v>
      </c>
      <c r="D189" s="835">
        <v>46052</v>
      </c>
      <c r="E189" t="s" s="834">
        <v>478</v>
      </c>
      <c r="F189" t="s" s="834">
        <v>478</v>
      </c>
      <c r="G189" s="570"/>
      <c r="H189" s="570"/>
      <c r="I189" s="570"/>
      <c r="J189" s="570"/>
      <c r="K189" s="570"/>
    </row>
    <row r="190" ht="12.75" customHeight="1">
      <c r="A190" s="833">
        <v>17</v>
      </c>
      <c r="B190" t="s" s="834">
        <v>437</v>
      </c>
      <c r="C190" t="s" s="834">
        <v>480</v>
      </c>
      <c r="D190" s="835">
        <v>46053</v>
      </c>
      <c r="E190" t="s" s="834">
        <v>478</v>
      </c>
      <c r="F190" t="s" s="834">
        <v>478</v>
      </c>
      <c r="G190" s="570"/>
      <c r="H190" s="570"/>
      <c r="I190" s="570"/>
      <c r="J190" s="570"/>
      <c r="K190" s="570"/>
    </row>
    <row r="191" ht="12.75" customHeight="1">
      <c r="A191" s="833">
        <v>17</v>
      </c>
      <c r="B191" t="s" s="834">
        <v>437</v>
      </c>
      <c r="C191" t="s" s="834">
        <v>480</v>
      </c>
      <c r="D191" s="835">
        <v>46054</v>
      </c>
      <c r="E191" t="s" s="834">
        <v>478</v>
      </c>
      <c r="F191" t="s" s="834">
        <v>478</v>
      </c>
      <c r="G191" s="570"/>
      <c r="H191" s="570"/>
      <c r="I191" s="570"/>
      <c r="J191" s="570"/>
      <c r="K191" s="570"/>
    </row>
    <row r="192" ht="12.75" customHeight="1">
      <c r="A192" s="833">
        <v>18</v>
      </c>
      <c r="B192" t="s" s="834">
        <v>313</v>
      </c>
      <c r="C192" t="s" s="834">
        <v>480</v>
      </c>
      <c r="D192" s="835">
        <v>46023</v>
      </c>
      <c r="E192" t="s" s="834">
        <v>478</v>
      </c>
      <c r="F192" t="s" s="834">
        <v>478</v>
      </c>
      <c r="G192" s="570"/>
      <c r="H192" s="570"/>
      <c r="I192" s="570"/>
      <c r="J192" s="570"/>
      <c r="K192" s="570"/>
    </row>
    <row r="193" ht="12.75" customHeight="1">
      <c r="A193" s="833">
        <v>18</v>
      </c>
      <c r="B193" t="s" s="834">
        <v>313</v>
      </c>
      <c r="C193" t="s" s="834">
        <v>480</v>
      </c>
      <c r="D193" s="835">
        <v>46024</v>
      </c>
      <c r="E193" t="s" s="834">
        <v>478</v>
      </c>
      <c r="F193" t="s" s="834">
        <v>478</v>
      </c>
      <c r="G193" s="570"/>
      <c r="H193" s="570"/>
      <c r="I193" s="570"/>
      <c r="J193" s="570"/>
      <c r="K193" s="570"/>
    </row>
    <row r="194" ht="12.75" customHeight="1">
      <c r="A194" s="833">
        <v>18</v>
      </c>
      <c r="B194" t="s" s="834">
        <v>313</v>
      </c>
      <c r="C194" t="s" s="834">
        <v>480</v>
      </c>
      <c r="D194" s="835">
        <v>46025</v>
      </c>
      <c r="E194" t="s" s="834">
        <v>478</v>
      </c>
      <c r="F194" t="s" s="834">
        <v>478</v>
      </c>
      <c r="G194" s="570"/>
      <c r="H194" s="570"/>
      <c r="I194" s="570"/>
      <c r="J194" s="570"/>
      <c r="K194" s="570"/>
    </row>
    <row r="195" ht="12.75" customHeight="1">
      <c r="A195" s="833">
        <v>18</v>
      </c>
      <c r="B195" t="s" s="834">
        <v>313</v>
      </c>
      <c r="C195" t="s" s="834">
        <v>480</v>
      </c>
      <c r="D195" s="835">
        <v>46026</v>
      </c>
      <c r="E195" t="s" s="834">
        <v>478</v>
      </c>
      <c r="F195" t="s" s="834">
        <v>478</v>
      </c>
      <c r="G195" s="570"/>
      <c r="H195" s="570"/>
      <c r="I195" s="570"/>
      <c r="J195" s="570"/>
      <c r="K195" s="570"/>
    </row>
    <row r="196" ht="12.75" customHeight="1">
      <c r="A196" s="833">
        <v>18</v>
      </c>
      <c r="B196" t="s" s="834">
        <v>313</v>
      </c>
      <c r="C196" t="s" s="834">
        <v>480</v>
      </c>
      <c r="D196" s="835">
        <v>46027</v>
      </c>
      <c r="E196" t="s" s="834">
        <v>478</v>
      </c>
      <c r="F196" t="s" s="834">
        <v>478</v>
      </c>
      <c r="G196" s="570"/>
      <c r="H196" s="570"/>
      <c r="I196" s="570"/>
      <c r="J196" s="570"/>
      <c r="K196" s="570"/>
    </row>
    <row r="197" ht="12.75" customHeight="1">
      <c r="A197" s="833">
        <v>18</v>
      </c>
      <c r="B197" t="s" s="834">
        <v>313</v>
      </c>
      <c r="C197" t="s" s="834">
        <v>480</v>
      </c>
      <c r="D197" s="835">
        <v>46028</v>
      </c>
      <c r="E197" t="s" s="834">
        <v>478</v>
      </c>
      <c r="F197" t="s" s="834">
        <v>478</v>
      </c>
      <c r="G197" s="570"/>
      <c r="H197" s="570"/>
      <c r="I197" s="570"/>
      <c r="J197" s="570"/>
      <c r="K197" s="570"/>
    </row>
    <row r="198" ht="12.75" customHeight="1">
      <c r="A198" s="833">
        <v>18</v>
      </c>
      <c r="B198" t="s" s="834">
        <v>313</v>
      </c>
      <c r="C198" t="s" s="834">
        <v>480</v>
      </c>
      <c r="D198" s="835">
        <v>46029</v>
      </c>
      <c r="E198" t="s" s="834">
        <v>478</v>
      </c>
      <c r="F198" t="s" s="834">
        <v>478</v>
      </c>
      <c r="G198" s="570"/>
      <c r="H198" s="570"/>
      <c r="I198" s="570"/>
      <c r="J198" s="570"/>
      <c r="K198" s="570"/>
    </row>
    <row r="199" ht="12.75" customHeight="1">
      <c r="A199" s="833">
        <v>18</v>
      </c>
      <c r="B199" t="s" s="834">
        <v>313</v>
      </c>
      <c r="C199" t="s" s="834">
        <v>480</v>
      </c>
      <c r="D199" s="835">
        <v>46030</v>
      </c>
      <c r="E199" t="s" s="834">
        <v>478</v>
      </c>
      <c r="F199" t="s" s="834">
        <v>478</v>
      </c>
      <c r="G199" s="570"/>
      <c r="H199" s="570"/>
      <c r="I199" s="570"/>
      <c r="J199" s="570"/>
      <c r="K199" s="570"/>
    </row>
    <row r="200" ht="12.75" customHeight="1">
      <c r="A200" s="833">
        <v>18</v>
      </c>
      <c r="B200" t="s" s="834">
        <v>313</v>
      </c>
      <c r="C200" t="s" s="834">
        <v>480</v>
      </c>
      <c r="D200" s="835">
        <v>46031</v>
      </c>
      <c r="E200" t="s" s="834">
        <v>478</v>
      </c>
      <c r="F200" t="s" s="834">
        <v>478</v>
      </c>
      <c r="G200" s="570"/>
      <c r="H200" s="570"/>
      <c r="I200" s="570"/>
      <c r="J200" s="570"/>
      <c r="K200" s="570"/>
    </row>
    <row r="201" ht="12.75" customHeight="1">
      <c r="A201" s="833">
        <v>18</v>
      </c>
      <c r="B201" t="s" s="834">
        <v>313</v>
      </c>
      <c r="C201" t="s" s="834">
        <v>480</v>
      </c>
      <c r="D201" s="835">
        <v>46032</v>
      </c>
      <c r="E201" t="s" s="834">
        <v>478</v>
      </c>
      <c r="F201" t="s" s="834">
        <v>478</v>
      </c>
      <c r="G201" s="570"/>
      <c r="H201" s="570"/>
      <c r="I201" s="570"/>
      <c r="J201" s="570"/>
      <c r="K201" s="570"/>
    </row>
    <row r="202" ht="12.75" customHeight="1">
      <c r="A202" s="833">
        <v>18</v>
      </c>
      <c r="B202" t="s" s="834">
        <v>313</v>
      </c>
      <c r="C202" t="s" s="834">
        <v>480</v>
      </c>
      <c r="D202" s="835">
        <v>46033</v>
      </c>
      <c r="E202" t="s" s="834">
        <v>478</v>
      </c>
      <c r="F202" t="s" s="834">
        <v>478</v>
      </c>
      <c r="G202" s="570"/>
      <c r="H202" s="570"/>
      <c r="I202" s="570"/>
      <c r="J202" s="570"/>
      <c r="K202" s="570"/>
    </row>
    <row r="203" ht="12.75" customHeight="1">
      <c r="A203" s="833">
        <v>18</v>
      </c>
      <c r="B203" t="s" s="834">
        <v>313</v>
      </c>
      <c r="C203" t="s" s="834">
        <v>480</v>
      </c>
      <c r="D203" s="835">
        <v>46034</v>
      </c>
      <c r="E203" t="s" s="834">
        <v>478</v>
      </c>
      <c r="F203" t="s" s="834">
        <v>478</v>
      </c>
      <c r="G203" s="570"/>
      <c r="H203" s="570"/>
      <c r="I203" s="570"/>
      <c r="J203" s="570"/>
      <c r="K203" s="570"/>
    </row>
    <row r="204" ht="12.75" customHeight="1">
      <c r="A204" s="833">
        <v>18</v>
      </c>
      <c r="B204" t="s" s="834">
        <v>313</v>
      </c>
      <c r="C204" t="s" s="834">
        <v>480</v>
      </c>
      <c r="D204" s="835">
        <v>46035</v>
      </c>
      <c r="E204" t="s" s="834">
        <v>478</v>
      </c>
      <c r="F204" t="s" s="834">
        <v>478</v>
      </c>
      <c r="G204" s="570"/>
      <c r="H204" s="570"/>
      <c r="I204" s="570"/>
      <c r="J204" s="570"/>
      <c r="K204" s="570"/>
    </row>
    <row r="205" ht="12.75" customHeight="1">
      <c r="A205" s="833">
        <v>18</v>
      </c>
      <c r="B205" t="s" s="834">
        <v>313</v>
      </c>
      <c r="C205" t="s" s="834">
        <v>480</v>
      </c>
      <c r="D205" s="835">
        <v>46036</v>
      </c>
      <c r="E205" t="s" s="834">
        <v>478</v>
      </c>
      <c r="F205" t="s" s="834">
        <v>478</v>
      </c>
      <c r="G205" s="570"/>
      <c r="H205" s="570"/>
      <c r="I205" s="570"/>
      <c r="J205" s="570"/>
      <c r="K205" s="570"/>
    </row>
    <row r="206" ht="12.75" customHeight="1">
      <c r="A206" s="833">
        <v>18</v>
      </c>
      <c r="B206" t="s" s="834">
        <v>313</v>
      </c>
      <c r="C206" t="s" s="834">
        <v>480</v>
      </c>
      <c r="D206" s="835">
        <v>46037</v>
      </c>
      <c r="E206" t="s" s="834">
        <v>478</v>
      </c>
      <c r="F206" t="s" s="834">
        <v>478</v>
      </c>
      <c r="G206" s="570"/>
      <c r="H206" s="570"/>
      <c r="I206" s="570"/>
      <c r="J206" s="570"/>
      <c r="K206" s="570"/>
    </row>
    <row r="207" ht="12.75" customHeight="1">
      <c r="A207" s="833">
        <v>18</v>
      </c>
      <c r="B207" t="s" s="834">
        <v>313</v>
      </c>
      <c r="C207" t="s" s="834">
        <v>480</v>
      </c>
      <c r="D207" s="835">
        <v>46038</v>
      </c>
      <c r="E207" t="s" s="834">
        <v>478</v>
      </c>
      <c r="F207" t="s" s="834">
        <v>478</v>
      </c>
      <c r="G207" s="570"/>
      <c r="H207" s="570"/>
      <c r="I207" s="570"/>
      <c r="J207" s="570"/>
      <c r="K207" s="570"/>
    </row>
    <row r="208" ht="12.75" customHeight="1">
      <c r="A208" s="833">
        <v>18</v>
      </c>
      <c r="B208" t="s" s="834">
        <v>313</v>
      </c>
      <c r="C208" t="s" s="834">
        <v>480</v>
      </c>
      <c r="D208" s="835">
        <v>46039</v>
      </c>
      <c r="E208" t="s" s="834">
        <v>478</v>
      </c>
      <c r="F208" t="s" s="834">
        <v>478</v>
      </c>
      <c r="G208" s="570"/>
      <c r="H208" s="570"/>
      <c r="I208" s="570"/>
      <c r="J208" s="570"/>
      <c r="K208" s="570"/>
    </row>
    <row r="209" ht="12.75" customHeight="1">
      <c r="A209" s="833">
        <v>18</v>
      </c>
      <c r="B209" t="s" s="834">
        <v>313</v>
      </c>
      <c r="C209" t="s" s="834">
        <v>480</v>
      </c>
      <c r="D209" s="835">
        <v>46040</v>
      </c>
      <c r="E209" t="s" s="834">
        <v>478</v>
      </c>
      <c r="F209" t="s" s="834">
        <v>478</v>
      </c>
      <c r="G209" s="570"/>
      <c r="H209" s="570"/>
      <c r="I209" s="570"/>
      <c r="J209" s="570"/>
      <c r="K209" s="570"/>
    </row>
    <row r="210" ht="12.75" customHeight="1">
      <c r="A210" s="833">
        <v>18</v>
      </c>
      <c r="B210" t="s" s="834">
        <v>313</v>
      </c>
      <c r="C210" t="s" s="834">
        <v>480</v>
      </c>
      <c r="D210" s="835">
        <v>46041</v>
      </c>
      <c r="E210" t="s" s="834">
        <v>478</v>
      </c>
      <c r="F210" t="s" s="834">
        <v>478</v>
      </c>
      <c r="G210" s="570"/>
      <c r="H210" s="570"/>
      <c r="I210" s="570"/>
      <c r="J210" s="570"/>
      <c r="K210" s="570"/>
    </row>
    <row r="211" ht="12.75" customHeight="1">
      <c r="A211" s="833">
        <v>18</v>
      </c>
      <c r="B211" t="s" s="834">
        <v>313</v>
      </c>
      <c r="C211" t="s" s="834">
        <v>480</v>
      </c>
      <c r="D211" s="835">
        <v>46042</v>
      </c>
      <c r="E211" s="836">
        <v>1.360752314814815</v>
      </c>
      <c r="F211" t="s" s="834">
        <v>478</v>
      </c>
      <c r="G211" s="570"/>
      <c r="H211" s="570"/>
      <c r="I211" s="570"/>
      <c r="J211" s="570"/>
      <c r="K211" s="570"/>
    </row>
    <row r="212" ht="12.75" customHeight="1">
      <c r="A212" t="s" s="834">
        <v>563</v>
      </c>
      <c r="B212" t="s" s="834">
        <v>485</v>
      </c>
      <c r="C212" t="s" s="834">
        <v>486</v>
      </c>
      <c r="D212" s="570"/>
      <c r="E212" s="570"/>
      <c r="F212" s="570"/>
      <c r="G212" s="570"/>
      <c r="H212" s="570"/>
      <c r="I212" s="570"/>
      <c r="J212" s="570"/>
      <c r="K212" s="570"/>
    </row>
    <row r="213" ht="12.75" customHeight="1">
      <c r="A213" s="833">
        <v>18</v>
      </c>
      <c r="B213" t="s" s="834">
        <v>313</v>
      </c>
      <c r="C213" t="s" s="834">
        <v>480</v>
      </c>
      <c r="D213" s="835">
        <v>46043</v>
      </c>
      <c r="E213" s="836">
        <v>1.360590277777778</v>
      </c>
      <c r="F213" t="s" s="834">
        <v>478</v>
      </c>
      <c r="G213" s="570"/>
      <c r="H213" s="570"/>
      <c r="I213" s="570"/>
      <c r="J213" s="570"/>
      <c r="K213" s="570"/>
    </row>
    <row r="214" ht="12.75" customHeight="1">
      <c r="A214" t="s" s="834">
        <v>564</v>
      </c>
      <c r="B214" t="s" s="834">
        <v>485</v>
      </c>
      <c r="C214" t="s" s="834">
        <v>486</v>
      </c>
      <c r="D214" s="570"/>
      <c r="E214" s="570"/>
      <c r="F214" s="570"/>
      <c r="G214" s="570"/>
      <c r="H214" s="570"/>
      <c r="I214" s="570"/>
      <c r="J214" s="570"/>
      <c r="K214" s="570"/>
    </row>
    <row r="215" ht="12.75" customHeight="1">
      <c r="A215" s="833">
        <v>18</v>
      </c>
      <c r="B215" t="s" s="834">
        <v>313</v>
      </c>
      <c r="C215" t="s" s="834">
        <v>480</v>
      </c>
      <c r="D215" s="835">
        <v>46044</v>
      </c>
      <c r="E215" s="836">
        <v>1.358888888888889</v>
      </c>
      <c r="F215" t="s" s="834">
        <v>478</v>
      </c>
      <c r="G215" s="570"/>
      <c r="H215" s="570"/>
      <c r="I215" s="570"/>
      <c r="J215" s="570"/>
      <c r="K215" s="570"/>
    </row>
    <row r="216" ht="12.75" customHeight="1">
      <c r="A216" t="s" s="834">
        <v>565</v>
      </c>
      <c r="B216" t="s" s="834">
        <v>485</v>
      </c>
      <c r="C216" t="s" s="834">
        <v>486</v>
      </c>
      <c r="D216" s="570"/>
      <c r="E216" s="570"/>
      <c r="F216" s="570"/>
      <c r="G216" s="570"/>
      <c r="H216" s="570"/>
      <c r="I216" s="570"/>
      <c r="J216" s="570"/>
      <c r="K216" s="570"/>
    </row>
    <row r="217" ht="12.75" customHeight="1">
      <c r="A217" s="833">
        <v>18</v>
      </c>
      <c r="B217" t="s" s="834">
        <v>313</v>
      </c>
      <c r="C217" t="s" s="834">
        <v>480</v>
      </c>
      <c r="D217" s="835">
        <v>46045</v>
      </c>
      <c r="E217" t="s" s="834">
        <v>478</v>
      </c>
      <c r="F217" t="s" s="834">
        <v>478</v>
      </c>
      <c r="G217" s="570"/>
      <c r="H217" s="570"/>
      <c r="I217" s="570"/>
      <c r="J217" s="570"/>
      <c r="K217" s="570"/>
    </row>
    <row r="218" ht="12.75" customHeight="1">
      <c r="A218" s="833">
        <v>18</v>
      </c>
      <c r="B218" t="s" s="834">
        <v>313</v>
      </c>
      <c r="C218" t="s" s="834">
        <v>480</v>
      </c>
      <c r="D218" s="835">
        <v>46046</v>
      </c>
      <c r="E218" t="s" s="834">
        <v>478</v>
      </c>
      <c r="F218" t="s" s="834">
        <v>478</v>
      </c>
      <c r="G218" s="570"/>
      <c r="H218" s="570"/>
      <c r="I218" s="570"/>
      <c r="J218" s="570"/>
      <c r="K218" s="570"/>
    </row>
    <row r="219" ht="12.75" customHeight="1">
      <c r="A219" s="833">
        <v>18</v>
      </c>
      <c r="B219" t="s" s="834">
        <v>313</v>
      </c>
      <c r="C219" t="s" s="834">
        <v>480</v>
      </c>
      <c r="D219" s="835">
        <v>46047</v>
      </c>
      <c r="E219" t="s" s="834">
        <v>478</v>
      </c>
      <c r="F219" t="s" s="834">
        <v>478</v>
      </c>
      <c r="G219" s="570"/>
      <c r="H219" s="570"/>
      <c r="I219" s="570"/>
      <c r="J219" s="570"/>
      <c r="K219" s="570"/>
    </row>
    <row r="220" ht="12.75" customHeight="1">
      <c r="A220" s="833">
        <v>18</v>
      </c>
      <c r="B220" t="s" s="834">
        <v>313</v>
      </c>
      <c r="C220" t="s" s="834">
        <v>480</v>
      </c>
      <c r="D220" s="835">
        <v>46048</v>
      </c>
      <c r="E220" t="s" s="834">
        <v>478</v>
      </c>
      <c r="F220" t="s" s="834">
        <v>478</v>
      </c>
      <c r="G220" s="570"/>
      <c r="H220" s="570"/>
      <c r="I220" s="570"/>
      <c r="J220" s="570"/>
      <c r="K220" s="570"/>
    </row>
    <row r="221" ht="12.75" customHeight="1">
      <c r="A221" s="833">
        <v>18</v>
      </c>
      <c r="B221" t="s" s="834">
        <v>313</v>
      </c>
      <c r="C221" t="s" s="834">
        <v>480</v>
      </c>
      <c r="D221" s="835">
        <v>46049</v>
      </c>
      <c r="E221" t="s" s="834">
        <v>478</v>
      </c>
      <c r="F221" t="s" s="834">
        <v>478</v>
      </c>
      <c r="G221" s="570"/>
      <c r="H221" s="570"/>
      <c r="I221" s="570"/>
      <c r="J221" s="570"/>
      <c r="K221" s="570"/>
    </row>
    <row r="222" ht="12.75" customHeight="1">
      <c r="A222" s="833">
        <v>18</v>
      </c>
      <c r="B222" t="s" s="834">
        <v>313</v>
      </c>
      <c r="C222" t="s" s="834">
        <v>480</v>
      </c>
      <c r="D222" s="835">
        <v>46050</v>
      </c>
      <c r="E222" t="s" s="834">
        <v>478</v>
      </c>
      <c r="F222" t="s" s="834">
        <v>478</v>
      </c>
      <c r="G222" s="570"/>
      <c r="H222" s="570"/>
      <c r="I222" s="570"/>
      <c r="J222" s="570"/>
      <c r="K222" s="570"/>
    </row>
    <row r="223" ht="12.75" customHeight="1">
      <c r="A223" s="833">
        <v>18</v>
      </c>
      <c r="B223" t="s" s="834">
        <v>313</v>
      </c>
      <c r="C223" t="s" s="834">
        <v>480</v>
      </c>
      <c r="D223" s="835">
        <v>46051</v>
      </c>
      <c r="E223" t="s" s="834">
        <v>478</v>
      </c>
      <c r="F223" t="s" s="834">
        <v>478</v>
      </c>
      <c r="G223" s="570"/>
      <c r="H223" s="570"/>
      <c r="I223" s="570"/>
      <c r="J223" s="570"/>
      <c r="K223" s="570"/>
    </row>
    <row r="224" ht="12.75" customHeight="1">
      <c r="A224" s="833">
        <v>18</v>
      </c>
      <c r="B224" t="s" s="834">
        <v>313</v>
      </c>
      <c r="C224" t="s" s="834">
        <v>480</v>
      </c>
      <c r="D224" s="835">
        <v>46052</v>
      </c>
      <c r="E224" t="s" s="834">
        <v>478</v>
      </c>
      <c r="F224" t="s" s="834">
        <v>478</v>
      </c>
      <c r="G224" s="570"/>
      <c r="H224" s="570"/>
      <c r="I224" s="570"/>
      <c r="J224" s="570"/>
      <c r="K224" s="570"/>
    </row>
    <row r="225" ht="12.75" customHeight="1">
      <c r="A225" s="833">
        <v>18</v>
      </c>
      <c r="B225" t="s" s="834">
        <v>313</v>
      </c>
      <c r="C225" t="s" s="834">
        <v>480</v>
      </c>
      <c r="D225" s="835">
        <v>46053</v>
      </c>
      <c r="E225" t="s" s="834">
        <v>478</v>
      </c>
      <c r="F225" t="s" s="834">
        <v>478</v>
      </c>
      <c r="G225" s="570"/>
      <c r="H225" s="570"/>
      <c r="I225" s="570"/>
      <c r="J225" s="570"/>
      <c r="K225" s="570"/>
    </row>
    <row r="226" ht="12.75" customHeight="1">
      <c r="A226" s="833">
        <v>18</v>
      </c>
      <c r="B226" t="s" s="834">
        <v>313</v>
      </c>
      <c r="C226" t="s" s="834">
        <v>480</v>
      </c>
      <c r="D226" s="835">
        <v>46054</v>
      </c>
      <c r="E226" t="s" s="834">
        <v>478</v>
      </c>
      <c r="F226" t="s" s="834">
        <v>478</v>
      </c>
      <c r="G226" s="570"/>
      <c r="H226" s="570"/>
      <c r="I226" s="570"/>
      <c r="J226" s="570"/>
      <c r="K226" s="570"/>
    </row>
    <row r="227" ht="12.75" customHeight="1">
      <c r="A227" s="833">
        <v>19</v>
      </c>
      <c r="B227" t="s" s="834">
        <v>566</v>
      </c>
      <c r="C227" t="s" s="834">
        <v>477</v>
      </c>
      <c r="D227" s="835">
        <v>46023</v>
      </c>
      <c r="E227" t="s" s="834">
        <v>478</v>
      </c>
      <c r="F227" t="s" s="834">
        <v>478</v>
      </c>
      <c r="G227" s="570"/>
      <c r="H227" s="570"/>
      <c r="I227" s="570"/>
      <c r="J227" s="570"/>
      <c r="K227" s="570"/>
    </row>
    <row r="228" ht="12.75" customHeight="1">
      <c r="A228" s="833">
        <v>19</v>
      </c>
      <c r="B228" t="s" s="834">
        <v>566</v>
      </c>
      <c r="C228" t="s" s="834">
        <v>477</v>
      </c>
      <c r="D228" s="835">
        <v>46024</v>
      </c>
      <c r="E228" t="s" s="834">
        <v>478</v>
      </c>
      <c r="F228" t="s" s="834">
        <v>478</v>
      </c>
      <c r="G228" s="570"/>
      <c r="H228" s="570"/>
      <c r="I228" s="570"/>
      <c r="J228" s="570"/>
      <c r="K228" s="570"/>
    </row>
    <row r="229" ht="12.75" customHeight="1">
      <c r="A229" s="833">
        <v>19</v>
      </c>
      <c r="B229" t="s" s="834">
        <v>566</v>
      </c>
      <c r="C229" t="s" s="834">
        <v>477</v>
      </c>
      <c r="D229" s="835">
        <v>46025</v>
      </c>
      <c r="E229" t="s" s="834">
        <v>478</v>
      </c>
      <c r="F229" t="s" s="834">
        <v>478</v>
      </c>
      <c r="G229" s="570"/>
      <c r="H229" s="570"/>
      <c r="I229" s="570"/>
      <c r="J229" s="570"/>
      <c r="K229" s="570"/>
    </row>
    <row r="230" ht="12.75" customHeight="1">
      <c r="A230" s="833">
        <v>19</v>
      </c>
      <c r="B230" t="s" s="834">
        <v>566</v>
      </c>
      <c r="C230" t="s" s="834">
        <v>477</v>
      </c>
      <c r="D230" s="835">
        <v>46026</v>
      </c>
      <c r="E230" t="s" s="834">
        <v>478</v>
      </c>
      <c r="F230" t="s" s="834">
        <v>478</v>
      </c>
      <c r="G230" s="570"/>
      <c r="H230" s="570"/>
      <c r="I230" s="570"/>
      <c r="J230" s="570"/>
      <c r="K230" s="570"/>
    </row>
    <row r="231" ht="12.75" customHeight="1">
      <c r="A231" s="833">
        <v>19</v>
      </c>
      <c r="B231" t="s" s="834">
        <v>566</v>
      </c>
      <c r="C231" t="s" s="834">
        <v>477</v>
      </c>
      <c r="D231" s="835">
        <v>46027</v>
      </c>
      <c r="E231" t="s" s="834">
        <v>478</v>
      </c>
      <c r="F231" t="s" s="834">
        <v>478</v>
      </c>
      <c r="G231" s="570"/>
      <c r="H231" s="570"/>
      <c r="I231" s="570"/>
      <c r="J231" s="570"/>
      <c r="K231" s="570"/>
    </row>
    <row r="232" ht="12.75" customHeight="1">
      <c r="A232" s="833">
        <v>19</v>
      </c>
      <c r="B232" t="s" s="834">
        <v>566</v>
      </c>
      <c r="C232" t="s" s="834">
        <v>477</v>
      </c>
      <c r="D232" s="835">
        <v>46028</v>
      </c>
      <c r="E232" t="s" s="834">
        <v>478</v>
      </c>
      <c r="F232" t="s" s="834">
        <v>478</v>
      </c>
      <c r="G232" s="570"/>
      <c r="H232" s="570"/>
      <c r="I232" s="570"/>
      <c r="J232" s="570"/>
      <c r="K232" s="570"/>
    </row>
    <row r="233" ht="12.75" customHeight="1">
      <c r="A233" s="833">
        <v>19</v>
      </c>
      <c r="B233" t="s" s="834">
        <v>566</v>
      </c>
      <c r="C233" t="s" s="834">
        <v>477</v>
      </c>
      <c r="D233" s="835">
        <v>46029</v>
      </c>
      <c r="E233" t="s" s="834">
        <v>478</v>
      </c>
      <c r="F233" t="s" s="834">
        <v>478</v>
      </c>
      <c r="G233" s="570"/>
      <c r="H233" s="570"/>
      <c r="I233" s="570"/>
      <c r="J233" s="570"/>
      <c r="K233" s="570"/>
    </row>
    <row r="234" ht="12.75" customHeight="1">
      <c r="A234" s="833">
        <v>19</v>
      </c>
      <c r="B234" t="s" s="834">
        <v>566</v>
      </c>
      <c r="C234" t="s" s="834">
        <v>477</v>
      </c>
      <c r="D234" s="835">
        <v>46030</v>
      </c>
      <c r="E234" t="s" s="834">
        <v>478</v>
      </c>
      <c r="F234" t="s" s="834">
        <v>478</v>
      </c>
      <c r="G234" s="570"/>
      <c r="H234" s="570"/>
      <c r="I234" s="570"/>
      <c r="J234" s="570"/>
      <c r="K234" s="570"/>
    </row>
    <row r="235" ht="12.75" customHeight="1">
      <c r="A235" s="833">
        <v>19</v>
      </c>
      <c r="B235" t="s" s="834">
        <v>566</v>
      </c>
      <c r="C235" t="s" s="834">
        <v>477</v>
      </c>
      <c r="D235" s="835">
        <v>46031</v>
      </c>
      <c r="E235" t="s" s="834">
        <v>478</v>
      </c>
      <c r="F235" t="s" s="834">
        <v>478</v>
      </c>
      <c r="G235" s="570"/>
      <c r="H235" s="570"/>
      <c r="I235" s="570"/>
      <c r="J235" s="570"/>
      <c r="K235" s="570"/>
    </row>
    <row r="236" ht="12.75" customHeight="1">
      <c r="A236" s="833">
        <v>19</v>
      </c>
      <c r="B236" t="s" s="834">
        <v>566</v>
      </c>
      <c r="C236" t="s" s="834">
        <v>477</v>
      </c>
      <c r="D236" s="835">
        <v>46032</v>
      </c>
      <c r="E236" t="s" s="834">
        <v>478</v>
      </c>
      <c r="F236" t="s" s="834">
        <v>478</v>
      </c>
      <c r="G236" s="570"/>
      <c r="H236" s="570"/>
      <c r="I236" s="570"/>
      <c r="J236" s="570"/>
      <c r="K236" s="570"/>
    </row>
    <row r="237" ht="12.75" customHeight="1">
      <c r="A237" s="833">
        <v>19</v>
      </c>
      <c r="B237" t="s" s="834">
        <v>566</v>
      </c>
      <c r="C237" t="s" s="834">
        <v>477</v>
      </c>
      <c r="D237" s="835">
        <v>46033</v>
      </c>
      <c r="E237" t="s" s="834">
        <v>478</v>
      </c>
      <c r="F237" t="s" s="834">
        <v>478</v>
      </c>
      <c r="G237" s="570"/>
      <c r="H237" s="570"/>
      <c r="I237" s="570"/>
      <c r="J237" s="570"/>
      <c r="K237" s="570"/>
    </row>
    <row r="238" ht="12.75" customHeight="1">
      <c r="A238" s="833">
        <v>19</v>
      </c>
      <c r="B238" t="s" s="834">
        <v>566</v>
      </c>
      <c r="C238" t="s" s="834">
        <v>477</v>
      </c>
      <c r="D238" s="835">
        <v>46034</v>
      </c>
      <c r="E238" t="s" s="834">
        <v>478</v>
      </c>
      <c r="F238" t="s" s="834">
        <v>478</v>
      </c>
      <c r="G238" s="570"/>
      <c r="H238" s="570"/>
      <c r="I238" s="570"/>
      <c r="J238" s="570"/>
      <c r="K238" s="570"/>
    </row>
    <row r="239" ht="12.75" customHeight="1">
      <c r="A239" s="833">
        <v>19</v>
      </c>
      <c r="B239" t="s" s="834">
        <v>566</v>
      </c>
      <c r="C239" t="s" s="834">
        <v>477</v>
      </c>
      <c r="D239" s="835">
        <v>46035</v>
      </c>
      <c r="E239" t="s" s="834">
        <v>478</v>
      </c>
      <c r="F239" t="s" s="834">
        <v>478</v>
      </c>
      <c r="G239" s="570"/>
      <c r="H239" s="570"/>
      <c r="I239" s="570"/>
      <c r="J239" s="570"/>
      <c r="K239" s="570"/>
    </row>
    <row r="240" ht="12.75" customHeight="1">
      <c r="A240" s="833">
        <v>19</v>
      </c>
      <c r="B240" t="s" s="834">
        <v>566</v>
      </c>
      <c r="C240" t="s" s="834">
        <v>477</v>
      </c>
      <c r="D240" s="835">
        <v>46036</v>
      </c>
      <c r="E240" t="s" s="834">
        <v>478</v>
      </c>
      <c r="F240" t="s" s="834">
        <v>478</v>
      </c>
      <c r="G240" s="570"/>
      <c r="H240" s="570"/>
      <c r="I240" s="570"/>
      <c r="J240" s="570"/>
      <c r="K240" s="570"/>
    </row>
    <row r="241" ht="12.75" customHeight="1">
      <c r="A241" s="833">
        <v>19</v>
      </c>
      <c r="B241" t="s" s="834">
        <v>566</v>
      </c>
      <c r="C241" t="s" s="834">
        <v>477</v>
      </c>
      <c r="D241" s="835">
        <v>46037</v>
      </c>
      <c r="E241" t="s" s="834">
        <v>478</v>
      </c>
      <c r="F241" t="s" s="834">
        <v>478</v>
      </c>
      <c r="G241" s="570"/>
      <c r="H241" s="570"/>
      <c r="I241" s="570"/>
      <c r="J241" s="570"/>
      <c r="K241" s="570"/>
    </row>
    <row r="242" ht="12.75" customHeight="1">
      <c r="A242" s="833">
        <v>19</v>
      </c>
      <c r="B242" t="s" s="834">
        <v>566</v>
      </c>
      <c r="C242" t="s" s="834">
        <v>477</v>
      </c>
      <c r="D242" s="835">
        <v>46038</v>
      </c>
      <c r="E242" t="s" s="834">
        <v>478</v>
      </c>
      <c r="F242" t="s" s="834">
        <v>478</v>
      </c>
      <c r="G242" s="570"/>
      <c r="H242" s="570"/>
      <c r="I242" s="570"/>
      <c r="J242" s="570"/>
      <c r="K242" s="570"/>
    </row>
    <row r="243" ht="12.75" customHeight="1">
      <c r="A243" s="833">
        <v>19</v>
      </c>
      <c r="B243" t="s" s="834">
        <v>566</v>
      </c>
      <c r="C243" t="s" s="834">
        <v>477</v>
      </c>
      <c r="D243" s="835">
        <v>46039</v>
      </c>
      <c r="E243" t="s" s="834">
        <v>478</v>
      </c>
      <c r="F243" t="s" s="834">
        <v>478</v>
      </c>
      <c r="G243" s="570"/>
      <c r="H243" s="570"/>
      <c r="I243" s="570"/>
      <c r="J243" s="570"/>
      <c r="K243" s="570"/>
    </row>
    <row r="244" ht="12.75" customHeight="1">
      <c r="A244" s="833">
        <v>19</v>
      </c>
      <c r="B244" t="s" s="834">
        <v>566</v>
      </c>
      <c r="C244" t="s" s="834">
        <v>477</v>
      </c>
      <c r="D244" s="835">
        <v>46040</v>
      </c>
      <c r="E244" t="s" s="834">
        <v>478</v>
      </c>
      <c r="F244" t="s" s="834">
        <v>478</v>
      </c>
      <c r="G244" s="570"/>
      <c r="H244" s="570"/>
      <c r="I244" s="570"/>
      <c r="J244" s="570"/>
      <c r="K244" s="570"/>
    </row>
    <row r="245" ht="12.75" customHeight="1">
      <c r="A245" s="833">
        <v>19</v>
      </c>
      <c r="B245" t="s" s="834">
        <v>566</v>
      </c>
      <c r="C245" t="s" s="834">
        <v>477</v>
      </c>
      <c r="D245" s="835">
        <v>46041</v>
      </c>
      <c r="E245" t="s" s="834">
        <v>478</v>
      </c>
      <c r="F245" t="s" s="834">
        <v>478</v>
      </c>
      <c r="G245" s="570"/>
      <c r="H245" s="570"/>
      <c r="I245" s="570"/>
      <c r="J245" s="570"/>
      <c r="K245" s="570"/>
    </row>
    <row r="246" ht="12.75" customHeight="1">
      <c r="A246" s="833">
        <v>19</v>
      </c>
      <c r="B246" t="s" s="834">
        <v>566</v>
      </c>
      <c r="C246" t="s" s="834">
        <v>477</v>
      </c>
      <c r="D246" s="835">
        <v>46042</v>
      </c>
      <c r="E246" t="s" s="834">
        <v>478</v>
      </c>
      <c r="F246" t="s" s="834">
        <v>478</v>
      </c>
      <c r="G246" s="570"/>
      <c r="H246" s="570"/>
      <c r="I246" s="570"/>
      <c r="J246" s="570"/>
      <c r="K246" s="570"/>
    </row>
    <row r="247" ht="12.75" customHeight="1">
      <c r="A247" s="833">
        <v>19</v>
      </c>
      <c r="B247" t="s" s="834">
        <v>566</v>
      </c>
      <c r="C247" t="s" s="834">
        <v>477</v>
      </c>
      <c r="D247" s="835">
        <v>46043</v>
      </c>
      <c r="E247" t="s" s="834">
        <v>478</v>
      </c>
      <c r="F247" t="s" s="834">
        <v>478</v>
      </c>
      <c r="G247" s="570"/>
      <c r="H247" s="570"/>
      <c r="I247" s="570"/>
      <c r="J247" s="570"/>
      <c r="K247" s="570"/>
    </row>
    <row r="248" ht="12.75" customHeight="1">
      <c r="A248" s="833">
        <v>19</v>
      </c>
      <c r="B248" t="s" s="834">
        <v>566</v>
      </c>
      <c r="C248" t="s" s="834">
        <v>477</v>
      </c>
      <c r="D248" s="835">
        <v>46044</v>
      </c>
      <c r="E248" t="s" s="834">
        <v>478</v>
      </c>
      <c r="F248" t="s" s="834">
        <v>478</v>
      </c>
      <c r="G248" s="570"/>
      <c r="H248" s="570"/>
      <c r="I248" s="570"/>
      <c r="J248" s="570"/>
      <c r="K248" s="570"/>
    </row>
    <row r="249" ht="12.75" customHeight="1">
      <c r="A249" s="833">
        <v>19</v>
      </c>
      <c r="B249" t="s" s="834">
        <v>566</v>
      </c>
      <c r="C249" t="s" s="834">
        <v>477</v>
      </c>
      <c r="D249" s="835">
        <v>46045</v>
      </c>
      <c r="E249" t="s" s="834">
        <v>478</v>
      </c>
      <c r="F249" t="s" s="834">
        <v>478</v>
      </c>
      <c r="G249" s="570"/>
      <c r="H249" s="570"/>
      <c r="I249" s="570"/>
      <c r="J249" s="570"/>
      <c r="K249" s="570"/>
    </row>
    <row r="250" ht="12.75" customHeight="1">
      <c r="A250" s="833">
        <v>19</v>
      </c>
      <c r="B250" t="s" s="834">
        <v>566</v>
      </c>
      <c r="C250" t="s" s="834">
        <v>477</v>
      </c>
      <c r="D250" s="835">
        <v>46046</v>
      </c>
      <c r="E250" t="s" s="834">
        <v>478</v>
      </c>
      <c r="F250" t="s" s="834">
        <v>478</v>
      </c>
      <c r="G250" s="570"/>
      <c r="H250" s="570"/>
      <c r="I250" s="570"/>
      <c r="J250" s="570"/>
      <c r="K250" s="570"/>
    </row>
    <row r="251" ht="12.75" customHeight="1">
      <c r="A251" s="833">
        <v>19</v>
      </c>
      <c r="B251" t="s" s="834">
        <v>566</v>
      </c>
      <c r="C251" t="s" s="834">
        <v>477</v>
      </c>
      <c r="D251" s="835">
        <v>46047</v>
      </c>
      <c r="E251" t="s" s="834">
        <v>478</v>
      </c>
      <c r="F251" t="s" s="834">
        <v>478</v>
      </c>
      <c r="G251" s="570"/>
      <c r="H251" s="570"/>
      <c r="I251" s="570"/>
      <c r="J251" s="570"/>
      <c r="K251" s="570"/>
    </row>
    <row r="252" ht="12.75" customHeight="1">
      <c r="A252" s="833">
        <v>19</v>
      </c>
      <c r="B252" t="s" s="834">
        <v>566</v>
      </c>
      <c r="C252" t="s" s="834">
        <v>477</v>
      </c>
      <c r="D252" s="835">
        <v>46048</v>
      </c>
      <c r="E252" t="s" s="834">
        <v>478</v>
      </c>
      <c r="F252" t="s" s="834">
        <v>478</v>
      </c>
      <c r="G252" s="570"/>
      <c r="H252" s="570"/>
      <c r="I252" s="570"/>
      <c r="J252" s="570"/>
      <c r="K252" s="570"/>
    </row>
    <row r="253" ht="12.75" customHeight="1">
      <c r="A253" s="833">
        <v>19</v>
      </c>
      <c r="B253" t="s" s="834">
        <v>566</v>
      </c>
      <c r="C253" t="s" s="834">
        <v>477</v>
      </c>
      <c r="D253" s="835">
        <v>46049</v>
      </c>
      <c r="E253" t="s" s="834">
        <v>478</v>
      </c>
      <c r="F253" t="s" s="834">
        <v>478</v>
      </c>
      <c r="G253" s="570"/>
      <c r="H253" s="570"/>
      <c r="I253" s="570"/>
      <c r="J253" s="570"/>
      <c r="K253" s="570"/>
    </row>
    <row r="254" ht="12.75" customHeight="1">
      <c r="A254" s="833">
        <v>19</v>
      </c>
      <c r="B254" t="s" s="834">
        <v>566</v>
      </c>
      <c r="C254" t="s" s="834">
        <v>477</v>
      </c>
      <c r="D254" s="835">
        <v>46050</v>
      </c>
      <c r="E254" t="s" s="834">
        <v>478</v>
      </c>
      <c r="F254" t="s" s="834">
        <v>478</v>
      </c>
      <c r="G254" s="570"/>
      <c r="H254" s="570"/>
      <c r="I254" s="570"/>
      <c r="J254" s="570"/>
      <c r="K254" s="570"/>
    </row>
    <row r="255" ht="12.75" customHeight="1">
      <c r="A255" s="833">
        <v>19</v>
      </c>
      <c r="B255" t="s" s="834">
        <v>566</v>
      </c>
      <c r="C255" t="s" s="834">
        <v>477</v>
      </c>
      <c r="D255" s="835">
        <v>46051</v>
      </c>
      <c r="E255" t="s" s="834">
        <v>478</v>
      </c>
      <c r="F255" t="s" s="834">
        <v>478</v>
      </c>
      <c r="G255" s="570"/>
      <c r="H255" s="570"/>
      <c r="I255" s="570"/>
      <c r="J255" s="570"/>
      <c r="K255" s="570"/>
    </row>
    <row r="256" ht="12.75" customHeight="1">
      <c r="A256" s="833">
        <v>19</v>
      </c>
      <c r="B256" t="s" s="834">
        <v>566</v>
      </c>
      <c r="C256" t="s" s="834">
        <v>477</v>
      </c>
      <c r="D256" s="835">
        <v>46052</v>
      </c>
      <c r="E256" t="s" s="834">
        <v>478</v>
      </c>
      <c r="F256" t="s" s="834">
        <v>478</v>
      </c>
      <c r="G256" s="570"/>
      <c r="H256" s="570"/>
      <c r="I256" s="570"/>
      <c r="J256" s="570"/>
      <c r="K256" s="570"/>
    </row>
    <row r="257" ht="12.75" customHeight="1">
      <c r="A257" s="833">
        <v>19</v>
      </c>
      <c r="B257" t="s" s="834">
        <v>566</v>
      </c>
      <c r="C257" t="s" s="834">
        <v>477</v>
      </c>
      <c r="D257" s="835">
        <v>46053</v>
      </c>
      <c r="E257" t="s" s="834">
        <v>478</v>
      </c>
      <c r="F257" t="s" s="834">
        <v>478</v>
      </c>
      <c r="G257" s="570"/>
      <c r="H257" s="570"/>
      <c r="I257" s="570"/>
      <c r="J257" s="570"/>
      <c r="K257" s="570"/>
    </row>
    <row r="258" ht="12.75" customHeight="1">
      <c r="A258" s="833">
        <v>19</v>
      </c>
      <c r="B258" t="s" s="834">
        <v>566</v>
      </c>
      <c r="C258" t="s" s="834">
        <v>477</v>
      </c>
      <c r="D258" s="835">
        <v>46054</v>
      </c>
      <c r="E258" t="s" s="834">
        <v>478</v>
      </c>
      <c r="F258" t="s" s="834">
        <v>478</v>
      </c>
      <c r="G258" s="570"/>
      <c r="H258" s="570"/>
      <c r="I258" s="570"/>
      <c r="J258" s="570"/>
      <c r="K258" s="570"/>
    </row>
    <row r="259" ht="12.75" customHeight="1">
      <c r="A259" s="833">
        <v>20</v>
      </c>
      <c r="B259" t="s" s="834">
        <v>440</v>
      </c>
      <c r="C259" t="s" s="834">
        <v>480</v>
      </c>
      <c r="D259" s="835">
        <v>46023</v>
      </c>
      <c r="E259" t="s" s="834">
        <v>478</v>
      </c>
      <c r="F259" t="s" s="834">
        <v>478</v>
      </c>
      <c r="G259" t="s" s="837">
        <v>567</v>
      </c>
      <c r="H259" t="s" s="837">
        <v>568</v>
      </c>
      <c r="I259" t="s" s="837">
        <v>567</v>
      </c>
      <c r="J259" t="s" s="837">
        <v>568</v>
      </c>
      <c r="K259" s="570"/>
    </row>
    <row r="260" ht="12.75" customHeight="1">
      <c r="A260" s="833">
        <v>20</v>
      </c>
      <c r="B260" t="s" s="834">
        <v>440</v>
      </c>
      <c r="C260" t="s" s="834">
        <v>480</v>
      </c>
      <c r="D260" s="835">
        <v>46024</v>
      </c>
      <c r="E260" t="s" s="834">
        <v>478</v>
      </c>
      <c r="F260" t="s" s="834">
        <v>478</v>
      </c>
      <c r="G260" t="s" s="837">
        <v>567</v>
      </c>
      <c r="H260" t="s" s="837">
        <v>569</v>
      </c>
      <c r="I260" t="s" s="837">
        <v>567</v>
      </c>
      <c r="J260" t="s" s="837">
        <v>569</v>
      </c>
      <c r="K260" s="570"/>
    </row>
    <row r="261" ht="12.75" customHeight="1">
      <c r="A261" s="833">
        <v>20</v>
      </c>
      <c r="B261" t="s" s="834">
        <v>440</v>
      </c>
      <c r="C261" t="s" s="834">
        <v>480</v>
      </c>
      <c r="D261" s="835">
        <v>46025</v>
      </c>
      <c r="E261" t="s" s="834">
        <v>478</v>
      </c>
      <c r="F261" t="s" s="834">
        <v>478</v>
      </c>
      <c r="G261" t="s" s="837">
        <v>567</v>
      </c>
      <c r="H261" t="s" s="837">
        <v>570</v>
      </c>
      <c r="I261" t="s" s="837">
        <v>567</v>
      </c>
      <c r="J261" t="s" s="837">
        <v>570</v>
      </c>
      <c r="K261" s="570"/>
    </row>
    <row r="262" ht="12.75" customHeight="1">
      <c r="A262" s="833">
        <v>20</v>
      </c>
      <c r="B262" t="s" s="834">
        <v>440</v>
      </c>
      <c r="C262" t="s" s="834">
        <v>480</v>
      </c>
      <c r="D262" s="835">
        <v>46026</v>
      </c>
      <c r="E262" t="s" s="834">
        <v>478</v>
      </c>
      <c r="F262" t="s" s="834">
        <v>478</v>
      </c>
      <c r="G262" t="s" s="837">
        <v>567</v>
      </c>
      <c r="H262" t="s" s="837">
        <v>570</v>
      </c>
      <c r="I262" t="s" s="837">
        <v>567</v>
      </c>
      <c r="J262" t="s" s="837">
        <v>570</v>
      </c>
      <c r="K262" s="570"/>
    </row>
    <row r="263" ht="12.75" customHeight="1">
      <c r="A263" s="833">
        <v>20</v>
      </c>
      <c r="B263" t="s" s="834">
        <v>440</v>
      </c>
      <c r="C263" t="s" s="834">
        <v>480</v>
      </c>
      <c r="D263" s="835">
        <v>46027</v>
      </c>
      <c r="E263" t="s" s="834">
        <v>478</v>
      </c>
      <c r="F263" t="s" s="834">
        <v>478</v>
      </c>
      <c r="G263" s="570"/>
      <c r="H263" s="570"/>
      <c r="I263" s="570"/>
      <c r="J263" s="570"/>
      <c r="K263" s="570"/>
    </row>
    <row r="264" ht="12.75" customHeight="1">
      <c r="A264" s="833">
        <v>20</v>
      </c>
      <c r="B264" t="s" s="834">
        <v>440</v>
      </c>
      <c r="C264" t="s" s="834">
        <v>480</v>
      </c>
      <c r="D264" s="835">
        <v>46028</v>
      </c>
      <c r="E264" t="s" s="834">
        <v>478</v>
      </c>
      <c r="F264" t="s" s="834">
        <v>478</v>
      </c>
      <c r="G264" t="s" s="837">
        <v>567</v>
      </c>
      <c r="H264" t="s" s="837">
        <v>571</v>
      </c>
      <c r="I264" s="570"/>
      <c r="J264" s="570"/>
      <c r="K264" s="570"/>
    </row>
    <row r="265" ht="12.75" customHeight="1">
      <c r="A265" s="833">
        <v>20</v>
      </c>
      <c r="B265" t="s" s="834">
        <v>440</v>
      </c>
      <c r="C265" t="s" s="834">
        <v>480</v>
      </c>
      <c r="D265" s="835">
        <v>46029</v>
      </c>
      <c r="E265" t="s" s="834">
        <v>478</v>
      </c>
      <c r="F265" t="s" s="834">
        <v>478</v>
      </c>
      <c r="G265" t="s" s="837">
        <v>567</v>
      </c>
      <c r="H265" t="s" s="837">
        <v>571</v>
      </c>
      <c r="I265" t="s" s="837">
        <v>567</v>
      </c>
      <c r="J265" t="s" s="837">
        <v>571</v>
      </c>
      <c r="K265" s="570"/>
    </row>
    <row r="266" ht="12.75" customHeight="1">
      <c r="A266" s="833">
        <v>20</v>
      </c>
      <c r="B266" t="s" s="834">
        <v>440</v>
      </c>
      <c r="C266" t="s" s="834">
        <v>480</v>
      </c>
      <c r="D266" s="835">
        <v>46030</v>
      </c>
      <c r="E266" t="s" s="834">
        <v>478</v>
      </c>
      <c r="F266" t="s" s="834">
        <v>478</v>
      </c>
      <c r="G266" t="s" s="837">
        <v>567</v>
      </c>
      <c r="H266" t="s" s="837">
        <v>571</v>
      </c>
      <c r="I266" t="s" s="837">
        <v>567</v>
      </c>
      <c r="J266" t="s" s="837">
        <v>571</v>
      </c>
      <c r="K266" s="570"/>
    </row>
    <row r="267" ht="12.75" customHeight="1">
      <c r="A267" s="833">
        <v>20</v>
      </c>
      <c r="B267" t="s" s="834">
        <v>440</v>
      </c>
      <c r="C267" t="s" s="834">
        <v>480</v>
      </c>
      <c r="D267" s="835">
        <v>46031</v>
      </c>
      <c r="E267" t="s" s="834">
        <v>478</v>
      </c>
      <c r="F267" t="s" s="834">
        <v>478</v>
      </c>
      <c r="G267" t="s" s="837">
        <v>567</v>
      </c>
      <c r="H267" t="s" s="837">
        <v>571</v>
      </c>
      <c r="I267" t="s" s="837">
        <v>567</v>
      </c>
      <c r="J267" t="s" s="837">
        <v>571</v>
      </c>
      <c r="K267" s="570"/>
    </row>
    <row r="268" ht="12.75" customHeight="1">
      <c r="A268" s="833">
        <v>20</v>
      </c>
      <c r="B268" t="s" s="834">
        <v>440</v>
      </c>
      <c r="C268" t="s" s="834">
        <v>480</v>
      </c>
      <c r="D268" s="835">
        <v>46032</v>
      </c>
      <c r="E268" t="s" s="834">
        <v>478</v>
      </c>
      <c r="F268" t="s" s="834">
        <v>478</v>
      </c>
      <c r="G268" t="s" s="837">
        <v>567</v>
      </c>
      <c r="H268" t="s" s="837">
        <v>570</v>
      </c>
      <c r="I268" t="s" s="837">
        <v>567</v>
      </c>
      <c r="J268" t="s" s="837">
        <v>570</v>
      </c>
      <c r="K268" s="570"/>
    </row>
    <row r="269" ht="12.75" customHeight="1">
      <c r="A269" s="833">
        <v>20</v>
      </c>
      <c r="B269" t="s" s="834">
        <v>440</v>
      </c>
      <c r="C269" t="s" s="834">
        <v>480</v>
      </c>
      <c r="D269" s="835">
        <v>46033</v>
      </c>
      <c r="E269" t="s" s="834">
        <v>478</v>
      </c>
      <c r="F269" t="s" s="834">
        <v>478</v>
      </c>
      <c r="G269" t="s" s="837">
        <v>567</v>
      </c>
      <c r="H269" t="s" s="837">
        <v>570</v>
      </c>
      <c r="I269" t="s" s="837">
        <v>567</v>
      </c>
      <c r="J269" t="s" s="837">
        <v>570</v>
      </c>
      <c r="K269" s="570"/>
    </row>
    <row r="270" ht="12.75" customHeight="1">
      <c r="A270" s="833">
        <v>20</v>
      </c>
      <c r="B270" t="s" s="834">
        <v>440</v>
      </c>
      <c r="C270" t="s" s="834">
        <v>480</v>
      </c>
      <c r="D270" s="835">
        <v>46034</v>
      </c>
      <c r="E270" s="836">
        <v>1.739872685185185</v>
      </c>
      <c r="F270" s="836">
        <v>1.760011574074074</v>
      </c>
      <c r="G270" t="s" s="837">
        <v>567</v>
      </c>
      <c r="H270" t="s" s="837">
        <v>572</v>
      </c>
      <c r="I270" s="570"/>
      <c r="J270" s="570"/>
      <c r="K270" s="570"/>
    </row>
    <row r="271" ht="12.75" customHeight="1">
      <c r="A271" t="s" s="834">
        <v>573</v>
      </c>
      <c r="B271" t="s" s="834">
        <v>574</v>
      </c>
      <c r="C271" t="s" s="834">
        <v>575</v>
      </c>
      <c r="D271" s="570"/>
      <c r="E271" s="570"/>
      <c r="F271" s="570"/>
      <c r="G271" s="570"/>
      <c r="H271" s="570"/>
      <c r="I271" s="570"/>
      <c r="J271" s="570"/>
      <c r="K271" s="570"/>
    </row>
    <row r="272" ht="12.75" customHeight="1">
      <c r="A272" s="833">
        <v>20</v>
      </c>
      <c r="B272" t="s" s="834">
        <v>440</v>
      </c>
      <c r="C272" t="s" s="834">
        <v>480</v>
      </c>
      <c r="D272" s="835">
        <v>46035</v>
      </c>
      <c r="E272" s="836">
        <v>1.34755787037037</v>
      </c>
      <c r="F272" s="836">
        <v>1.68818287037037</v>
      </c>
      <c r="G272" s="570"/>
      <c r="H272" s="570"/>
      <c r="I272" t="s" s="837">
        <v>567</v>
      </c>
      <c r="J272" s="570"/>
      <c r="K272" s="570"/>
    </row>
    <row r="273" ht="12.75" customHeight="1">
      <c r="A273" t="s" s="834">
        <v>576</v>
      </c>
      <c r="B273" t="s" s="834">
        <v>577</v>
      </c>
      <c r="C273" t="s" s="834">
        <v>578</v>
      </c>
      <c r="D273" s="570"/>
      <c r="E273" s="570"/>
      <c r="F273" s="570"/>
      <c r="G273" s="570"/>
      <c r="H273" s="570"/>
      <c r="I273" s="570"/>
      <c r="J273" s="570"/>
      <c r="K273" s="570"/>
    </row>
    <row r="274" ht="12.75" customHeight="1">
      <c r="A274" s="833">
        <v>20</v>
      </c>
      <c r="B274" t="s" s="834">
        <v>440</v>
      </c>
      <c r="C274" t="s" s="834">
        <v>480</v>
      </c>
      <c r="D274" s="835">
        <v>46036</v>
      </c>
      <c r="E274" s="836">
        <v>1.355868055555556</v>
      </c>
      <c r="F274" s="836">
        <v>1.760520833333333</v>
      </c>
      <c r="G274" t="s" s="837">
        <v>567</v>
      </c>
      <c r="H274" t="s" s="837">
        <v>579</v>
      </c>
      <c r="I274" s="570"/>
      <c r="J274" s="570"/>
      <c r="K274" s="570"/>
    </row>
    <row r="275" ht="12.75" customHeight="1">
      <c r="A275" t="s" s="834">
        <v>580</v>
      </c>
      <c r="B275" t="s" s="834">
        <v>581</v>
      </c>
      <c r="C275" t="s" s="834">
        <v>582</v>
      </c>
      <c r="D275" s="570"/>
      <c r="E275" s="570"/>
      <c r="F275" s="570"/>
      <c r="G275" s="570"/>
      <c r="H275" s="570"/>
      <c r="I275" s="570"/>
      <c r="J275" s="570"/>
      <c r="K275" s="570"/>
    </row>
    <row r="276" ht="12.75" customHeight="1">
      <c r="A276" s="833">
        <v>20</v>
      </c>
      <c r="B276" t="s" s="834">
        <v>440</v>
      </c>
      <c r="C276" t="s" s="834">
        <v>480</v>
      </c>
      <c r="D276" s="835">
        <v>46037</v>
      </c>
      <c r="E276" t="s" s="834">
        <v>478</v>
      </c>
      <c r="F276" t="s" s="834">
        <v>478</v>
      </c>
      <c r="G276" t="s" s="837">
        <v>567</v>
      </c>
      <c r="H276" t="s" s="837">
        <v>583</v>
      </c>
      <c r="I276" t="s" s="837">
        <v>567</v>
      </c>
      <c r="J276" t="s" s="837">
        <v>583</v>
      </c>
      <c r="K276" s="570"/>
    </row>
    <row r="277" ht="12.75" customHeight="1">
      <c r="A277" s="833">
        <v>20</v>
      </c>
      <c r="B277" t="s" s="834">
        <v>440</v>
      </c>
      <c r="C277" t="s" s="834">
        <v>480</v>
      </c>
      <c r="D277" s="835">
        <v>46038</v>
      </c>
      <c r="E277" s="836">
        <v>1.353125</v>
      </c>
      <c r="F277" s="836">
        <v>1.766655092592593</v>
      </c>
      <c r="G277" s="570"/>
      <c r="H277" s="570"/>
      <c r="I277" s="570"/>
      <c r="J277" s="570"/>
      <c r="K277" s="570"/>
    </row>
    <row r="278" ht="12.75" customHeight="1">
      <c r="A278" t="s" s="834">
        <v>584</v>
      </c>
      <c r="B278" t="s" s="834">
        <v>585</v>
      </c>
      <c r="C278" t="s" s="834">
        <v>586</v>
      </c>
      <c r="D278" s="570"/>
      <c r="E278" s="570"/>
      <c r="F278" s="570"/>
      <c r="G278" s="570"/>
      <c r="H278" s="570"/>
      <c r="I278" s="570"/>
      <c r="J278" s="570"/>
      <c r="K278" s="570"/>
    </row>
    <row r="279" ht="12.75" customHeight="1">
      <c r="A279" s="833">
        <v>20</v>
      </c>
      <c r="B279" t="s" s="834">
        <v>440</v>
      </c>
      <c r="C279" t="s" s="834">
        <v>480</v>
      </c>
      <c r="D279" s="835">
        <v>46039</v>
      </c>
      <c r="E279" t="s" s="834">
        <v>478</v>
      </c>
      <c r="F279" t="s" s="834">
        <v>478</v>
      </c>
      <c r="G279" t="s" s="837">
        <v>567</v>
      </c>
      <c r="H279" t="s" s="837">
        <v>570</v>
      </c>
      <c r="I279" t="s" s="837">
        <v>567</v>
      </c>
      <c r="J279" t="s" s="837">
        <v>570</v>
      </c>
      <c r="K279" s="570"/>
    </row>
    <row r="280" ht="12.75" customHeight="1">
      <c r="A280" s="833">
        <v>20</v>
      </c>
      <c r="B280" t="s" s="834">
        <v>440</v>
      </c>
      <c r="C280" t="s" s="834">
        <v>480</v>
      </c>
      <c r="D280" s="835">
        <v>46040</v>
      </c>
      <c r="E280" t="s" s="834">
        <v>478</v>
      </c>
      <c r="F280" t="s" s="834">
        <v>478</v>
      </c>
      <c r="G280" t="s" s="837">
        <v>567</v>
      </c>
      <c r="H280" t="s" s="837">
        <v>570</v>
      </c>
      <c r="I280" t="s" s="837">
        <v>567</v>
      </c>
      <c r="J280" t="s" s="837">
        <v>570</v>
      </c>
      <c r="K280" s="570"/>
    </row>
    <row r="281" ht="12.75" customHeight="1">
      <c r="A281" s="833">
        <v>20</v>
      </c>
      <c r="B281" t="s" s="834">
        <v>440</v>
      </c>
      <c r="C281" t="s" s="834">
        <v>480</v>
      </c>
      <c r="D281" s="835">
        <v>46041</v>
      </c>
      <c r="E281" s="836">
        <v>1.363773148148148</v>
      </c>
      <c r="F281" s="836">
        <v>1.767013888888889</v>
      </c>
      <c r="G281" t="s" s="837">
        <v>567</v>
      </c>
      <c r="H281" t="s" s="837">
        <v>587</v>
      </c>
      <c r="I281" s="570"/>
      <c r="J281" s="570"/>
      <c r="K281" s="570"/>
    </row>
    <row r="282" ht="12.75" customHeight="1">
      <c r="A282" t="s" s="834">
        <v>588</v>
      </c>
      <c r="B282" t="s" s="834">
        <v>589</v>
      </c>
      <c r="C282" t="s" s="834">
        <v>590</v>
      </c>
      <c r="D282" s="570"/>
      <c r="E282" s="570"/>
      <c r="F282" s="570"/>
      <c r="G282" s="570"/>
      <c r="H282" s="570"/>
      <c r="I282" s="570"/>
      <c r="J282" s="570"/>
      <c r="K282" s="570"/>
    </row>
    <row r="283" ht="12.75" customHeight="1">
      <c r="A283" s="833">
        <v>20</v>
      </c>
      <c r="B283" t="s" s="834">
        <v>440</v>
      </c>
      <c r="C283" t="s" s="834">
        <v>480</v>
      </c>
      <c r="D283" s="835">
        <v>46042</v>
      </c>
      <c r="E283" s="836">
        <v>1.363773148148148</v>
      </c>
      <c r="F283" s="836">
        <v>1.506631944444444</v>
      </c>
      <c r="G283" t="s" s="837">
        <v>567</v>
      </c>
      <c r="H283" t="s" s="837">
        <v>587</v>
      </c>
      <c r="I283" t="s" s="837">
        <v>567</v>
      </c>
      <c r="J283" t="s" s="837">
        <v>591</v>
      </c>
      <c r="K283" s="570"/>
    </row>
    <row r="284" ht="12.75" customHeight="1">
      <c r="A284" t="s" s="834">
        <v>592</v>
      </c>
      <c r="B284" t="s" s="834">
        <v>593</v>
      </c>
      <c r="C284" t="s" s="834">
        <v>594</v>
      </c>
      <c r="D284" s="570"/>
      <c r="E284" s="570"/>
      <c r="F284" s="570"/>
      <c r="G284" s="570"/>
      <c r="H284" s="570"/>
      <c r="I284" s="570"/>
      <c r="J284" s="570"/>
      <c r="K284" s="570"/>
    </row>
    <row r="285" ht="12.75" customHeight="1">
      <c r="A285" s="833">
        <v>20</v>
      </c>
      <c r="B285" t="s" s="834">
        <v>440</v>
      </c>
      <c r="C285" t="s" s="834">
        <v>480</v>
      </c>
      <c r="D285" s="835">
        <v>46043</v>
      </c>
      <c r="E285" t="s" s="834">
        <v>478</v>
      </c>
      <c r="F285" t="s" s="834">
        <v>478</v>
      </c>
      <c r="G285" t="s" s="837">
        <v>567</v>
      </c>
      <c r="H285" t="s" s="837">
        <v>591</v>
      </c>
      <c r="I285" t="s" s="837">
        <v>567</v>
      </c>
      <c r="J285" t="s" s="837">
        <v>591</v>
      </c>
      <c r="K285" s="570"/>
    </row>
    <row r="286" ht="12.75" customHeight="1">
      <c r="A286" s="833">
        <v>20</v>
      </c>
      <c r="B286" t="s" s="834">
        <v>440</v>
      </c>
      <c r="C286" t="s" s="834">
        <v>480</v>
      </c>
      <c r="D286" s="835">
        <v>46044</v>
      </c>
      <c r="E286" s="836">
        <v>1.349710648148148</v>
      </c>
      <c r="F286" s="836">
        <v>1.761365740740741</v>
      </c>
      <c r="G286" s="570"/>
      <c r="H286" s="570"/>
      <c r="I286" s="570"/>
      <c r="J286" s="570"/>
      <c r="K286" s="570"/>
    </row>
    <row r="287" ht="12.75" customHeight="1">
      <c r="A287" t="s" s="834">
        <v>595</v>
      </c>
      <c r="B287" t="s" s="834">
        <v>596</v>
      </c>
      <c r="C287" t="s" s="834">
        <v>597</v>
      </c>
      <c r="D287" s="570"/>
      <c r="E287" s="570"/>
      <c r="F287" s="570"/>
      <c r="G287" s="570"/>
      <c r="H287" s="570"/>
      <c r="I287" s="570"/>
      <c r="J287" s="570"/>
      <c r="K287" s="570"/>
    </row>
    <row r="288" ht="12.75" customHeight="1">
      <c r="A288" s="833">
        <v>20</v>
      </c>
      <c r="B288" t="s" s="834">
        <v>440</v>
      </c>
      <c r="C288" t="s" s="834">
        <v>480</v>
      </c>
      <c r="D288" s="835">
        <v>46045</v>
      </c>
      <c r="E288" s="836">
        <v>1.351701388888889</v>
      </c>
      <c r="F288" s="836">
        <v>1.760613425925926</v>
      </c>
      <c r="G288" s="570"/>
      <c r="H288" s="570"/>
      <c r="I288" s="570"/>
      <c r="J288" s="570"/>
      <c r="K288" s="570"/>
    </row>
    <row r="289" ht="12.75" customHeight="1">
      <c r="A289" t="s" s="834">
        <v>598</v>
      </c>
      <c r="B289" t="s" s="834">
        <v>599</v>
      </c>
      <c r="C289" t="s" s="834">
        <v>600</v>
      </c>
      <c r="D289" s="570"/>
      <c r="E289" s="570"/>
      <c r="F289" s="570"/>
      <c r="G289" s="570"/>
      <c r="H289" s="570"/>
      <c r="I289" s="570"/>
      <c r="J289" s="570"/>
      <c r="K289" s="570"/>
    </row>
    <row r="290" ht="12.75" customHeight="1">
      <c r="A290" s="833">
        <v>20</v>
      </c>
      <c r="B290" t="s" s="834">
        <v>440</v>
      </c>
      <c r="C290" t="s" s="834">
        <v>480</v>
      </c>
      <c r="D290" s="835">
        <v>46046</v>
      </c>
      <c r="E290" t="s" s="834">
        <v>478</v>
      </c>
      <c r="F290" t="s" s="834">
        <v>478</v>
      </c>
      <c r="G290" t="s" s="837">
        <v>567</v>
      </c>
      <c r="H290" t="s" s="837">
        <v>570</v>
      </c>
      <c r="I290" t="s" s="837">
        <v>567</v>
      </c>
      <c r="J290" t="s" s="837">
        <v>570</v>
      </c>
      <c r="K290" s="570"/>
    </row>
    <row r="291" ht="12.75" customHeight="1">
      <c r="A291" s="833">
        <v>20</v>
      </c>
      <c r="B291" t="s" s="834">
        <v>440</v>
      </c>
      <c r="C291" t="s" s="834">
        <v>480</v>
      </c>
      <c r="D291" s="835">
        <v>46047</v>
      </c>
      <c r="E291" t="s" s="834">
        <v>478</v>
      </c>
      <c r="F291" t="s" s="834">
        <v>478</v>
      </c>
      <c r="G291" t="s" s="837">
        <v>567</v>
      </c>
      <c r="H291" t="s" s="837">
        <v>570</v>
      </c>
      <c r="I291" t="s" s="837">
        <v>567</v>
      </c>
      <c r="J291" t="s" s="837">
        <v>570</v>
      </c>
      <c r="K291" s="570"/>
    </row>
    <row r="292" ht="12.75" customHeight="1">
      <c r="A292" s="833">
        <v>20</v>
      </c>
      <c r="B292" t="s" s="834">
        <v>440</v>
      </c>
      <c r="C292" t="s" s="834">
        <v>480</v>
      </c>
      <c r="D292" s="835">
        <v>46048</v>
      </c>
      <c r="E292" s="836">
        <v>1.352094907407407</v>
      </c>
      <c r="F292" s="836">
        <v>1.758078703703704</v>
      </c>
      <c r="G292" s="570"/>
      <c r="H292" s="570"/>
      <c r="I292" s="570"/>
      <c r="J292" s="570"/>
      <c r="K292" s="570"/>
    </row>
    <row r="293" ht="12.75" customHeight="1">
      <c r="A293" t="s" s="838">
        <v>601</v>
      </c>
      <c r="B293" t="s" s="838">
        <v>602</v>
      </c>
      <c r="C293" t="s" s="838">
        <v>603</v>
      </c>
      <c r="D293" s="839"/>
      <c r="E293" s="839"/>
      <c r="F293" s="839"/>
      <c r="G293" s="839"/>
      <c r="H293" s="839"/>
      <c r="I293" s="839"/>
      <c r="J293" s="839"/>
      <c r="K293" s="839"/>
    </row>
    <row r="294" ht="12.75" customHeight="1">
      <c r="A294" s="840">
        <v>20</v>
      </c>
      <c r="B294" t="s" s="841">
        <v>440</v>
      </c>
      <c r="C294" t="s" s="841">
        <v>480</v>
      </c>
      <c r="D294" s="842">
        <v>46049</v>
      </c>
      <c r="E294" s="843">
        <v>1.359340277777778</v>
      </c>
      <c r="F294" s="843">
        <v>1.760208333333333</v>
      </c>
      <c r="G294" t="s" s="844">
        <v>567</v>
      </c>
      <c r="H294" t="s" s="844">
        <v>587</v>
      </c>
      <c r="I294" s="845"/>
      <c r="J294" s="845"/>
      <c r="K294" s="846"/>
    </row>
    <row r="295" ht="12.75" customHeight="1">
      <c r="A295" t="s" s="847">
        <v>604</v>
      </c>
      <c r="B295" t="s" s="847">
        <v>605</v>
      </c>
      <c r="C295" t="s" s="847">
        <v>606</v>
      </c>
      <c r="D295" s="848"/>
      <c r="E295" s="848"/>
      <c r="F295" s="848"/>
      <c r="G295" s="848"/>
      <c r="H295" s="848"/>
      <c r="I295" s="848"/>
      <c r="J295" s="848"/>
      <c r="K295" s="848"/>
    </row>
    <row r="296" ht="12.75" customHeight="1">
      <c r="A296" s="840">
        <v>20</v>
      </c>
      <c r="B296" t="s" s="841">
        <v>440</v>
      </c>
      <c r="C296" t="s" s="841">
        <v>480</v>
      </c>
      <c r="D296" s="842">
        <v>46050</v>
      </c>
      <c r="E296" s="843">
        <v>1.360208333333333</v>
      </c>
      <c r="F296" t="s" s="841">
        <v>478</v>
      </c>
      <c r="G296" t="s" s="844">
        <v>567</v>
      </c>
      <c r="H296" t="s" s="844">
        <v>587</v>
      </c>
      <c r="I296" s="845"/>
      <c r="J296" s="845"/>
      <c r="K296" s="846"/>
    </row>
    <row r="297" ht="12.75" customHeight="1">
      <c r="A297" t="s" s="849">
        <v>607</v>
      </c>
      <c r="B297" t="s" s="849">
        <v>485</v>
      </c>
      <c r="C297" t="s" s="849">
        <v>486</v>
      </c>
      <c r="D297" s="633"/>
      <c r="E297" s="633"/>
      <c r="F297" s="633"/>
      <c r="G297" s="633"/>
      <c r="H297" s="633"/>
      <c r="I297" s="633"/>
      <c r="J297" s="633"/>
      <c r="K297" s="633"/>
    </row>
    <row r="298" ht="12.75" customHeight="1">
      <c r="A298" s="833">
        <v>20</v>
      </c>
      <c r="B298" t="s" s="834">
        <v>440</v>
      </c>
      <c r="C298" t="s" s="834">
        <v>480</v>
      </c>
      <c r="D298" s="835">
        <v>46051</v>
      </c>
      <c r="E298" s="836">
        <v>1.357719907407407</v>
      </c>
      <c r="F298" s="836">
        <v>1.755983796296296</v>
      </c>
      <c r="G298" t="s" s="837">
        <v>567</v>
      </c>
      <c r="H298" t="s" s="837">
        <v>608</v>
      </c>
      <c r="I298" s="570"/>
      <c r="J298" s="570"/>
      <c r="K298" s="570"/>
    </row>
    <row r="299" ht="12.75" customHeight="1">
      <c r="A299" t="s" s="834">
        <v>609</v>
      </c>
      <c r="B299" t="s" s="834">
        <v>610</v>
      </c>
      <c r="C299" t="s" s="834">
        <v>611</v>
      </c>
      <c r="D299" s="570"/>
      <c r="E299" s="570"/>
      <c r="F299" s="570"/>
      <c r="G299" s="570"/>
      <c r="H299" s="570"/>
      <c r="I299" s="570"/>
      <c r="J299" s="570"/>
      <c r="K299" s="570"/>
    </row>
    <row r="300" ht="12.75" customHeight="1">
      <c r="A300" s="833">
        <v>20</v>
      </c>
      <c r="B300" t="s" s="834">
        <v>440</v>
      </c>
      <c r="C300" t="s" s="834">
        <v>480</v>
      </c>
      <c r="D300" s="835">
        <v>46052</v>
      </c>
      <c r="E300" s="836">
        <v>1.366134259259259</v>
      </c>
      <c r="F300" s="836">
        <v>1.709641203703704</v>
      </c>
      <c r="G300" t="s" s="837">
        <v>567</v>
      </c>
      <c r="H300" t="s" s="837">
        <v>587</v>
      </c>
      <c r="I300" t="s" s="837">
        <v>567</v>
      </c>
      <c r="J300" t="s" s="837">
        <v>612</v>
      </c>
      <c r="K300" s="570"/>
    </row>
    <row r="301" ht="12.75" customHeight="1">
      <c r="A301" t="s" s="834">
        <v>613</v>
      </c>
      <c r="B301" t="s" s="834">
        <v>614</v>
      </c>
      <c r="C301" t="s" s="834">
        <v>615</v>
      </c>
      <c r="D301" s="570"/>
      <c r="E301" s="570"/>
      <c r="F301" s="570"/>
      <c r="G301" s="570"/>
      <c r="H301" s="570"/>
      <c r="I301" s="570"/>
      <c r="J301" s="570"/>
      <c r="K301" s="570"/>
    </row>
    <row r="302" ht="12.75" customHeight="1">
      <c r="A302" s="833">
        <v>20</v>
      </c>
      <c r="B302" t="s" s="834">
        <v>440</v>
      </c>
      <c r="C302" t="s" s="834">
        <v>480</v>
      </c>
      <c r="D302" s="835">
        <v>46053</v>
      </c>
      <c r="E302" t="s" s="834">
        <v>478</v>
      </c>
      <c r="F302" t="s" s="834">
        <v>478</v>
      </c>
      <c r="G302" t="s" s="837">
        <v>567</v>
      </c>
      <c r="H302" t="s" s="837">
        <v>570</v>
      </c>
      <c r="I302" t="s" s="837">
        <v>567</v>
      </c>
      <c r="J302" t="s" s="837">
        <v>570</v>
      </c>
      <c r="K302" s="570"/>
    </row>
    <row r="303" ht="12.75" customHeight="1">
      <c r="A303" s="833">
        <v>27</v>
      </c>
      <c r="B303" t="s" s="834">
        <v>616</v>
      </c>
      <c r="C303" t="s" s="834">
        <v>617</v>
      </c>
      <c r="D303" s="835">
        <v>46023</v>
      </c>
      <c r="E303" t="s" s="834">
        <v>478</v>
      </c>
      <c r="F303" t="s" s="834">
        <v>478</v>
      </c>
      <c r="G303" s="570"/>
      <c r="H303" s="570"/>
      <c r="I303" s="570"/>
      <c r="J303" s="570"/>
      <c r="K303" s="570"/>
    </row>
    <row r="304" ht="12.75" customHeight="1">
      <c r="A304" s="833">
        <v>27</v>
      </c>
      <c r="B304" t="s" s="834">
        <v>616</v>
      </c>
      <c r="C304" t="s" s="834">
        <v>617</v>
      </c>
      <c r="D304" s="835">
        <v>46024</v>
      </c>
      <c r="E304" t="s" s="834">
        <v>478</v>
      </c>
      <c r="F304" t="s" s="834">
        <v>478</v>
      </c>
      <c r="G304" s="570"/>
      <c r="H304" s="570"/>
      <c r="I304" s="570"/>
      <c r="J304" s="570"/>
      <c r="K304" s="570"/>
    </row>
    <row r="305" ht="12.75" customHeight="1">
      <c r="A305" s="833">
        <v>27</v>
      </c>
      <c r="B305" t="s" s="834">
        <v>616</v>
      </c>
      <c r="C305" t="s" s="834">
        <v>617</v>
      </c>
      <c r="D305" s="835">
        <v>46025</v>
      </c>
      <c r="E305" t="s" s="834">
        <v>478</v>
      </c>
      <c r="F305" t="s" s="834">
        <v>478</v>
      </c>
      <c r="G305" s="570"/>
      <c r="H305" s="570"/>
      <c r="I305" s="570"/>
      <c r="J305" s="570"/>
      <c r="K305" s="570"/>
    </row>
    <row r="306" ht="12.75" customHeight="1">
      <c r="A306" s="833">
        <v>27</v>
      </c>
      <c r="B306" t="s" s="834">
        <v>616</v>
      </c>
      <c r="C306" t="s" s="834">
        <v>617</v>
      </c>
      <c r="D306" s="835">
        <v>46026</v>
      </c>
      <c r="E306" t="s" s="834">
        <v>478</v>
      </c>
      <c r="F306" t="s" s="834">
        <v>478</v>
      </c>
      <c r="G306" s="570"/>
      <c r="H306" s="570"/>
      <c r="I306" s="570"/>
      <c r="J306" s="570"/>
      <c r="K306" s="570"/>
    </row>
    <row r="307" ht="12.75" customHeight="1">
      <c r="A307" s="833">
        <v>27</v>
      </c>
      <c r="B307" t="s" s="834">
        <v>616</v>
      </c>
      <c r="C307" t="s" s="834">
        <v>617</v>
      </c>
      <c r="D307" s="835">
        <v>46027</v>
      </c>
      <c r="E307" t="s" s="834">
        <v>478</v>
      </c>
      <c r="F307" t="s" s="834">
        <v>478</v>
      </c>
      <c r="G307" s="570"/>
      <c r="H307" s="570"/>
      <c r="I307" s="570"/>
      <c r="J307" s="570"/>
      <c r="K307" s="570"/>
    </row>
    <row r="308" ht="12.75" customHeight="1">
      <c r="A308" s="833">
        <v>27</v>
      </c>
      <c r="B308" t="s" s="834">
        <v>616</v>
      </c>
      <c r="C308" t="s" s="834">
        <v>617</v>
      </c>
      <c r="D308" s="835">
        <v>46028</v>
      </c>
      <c r="E308" s="836">
        <v>1.358414351851852</v>
      </c>
      <c r="F308" s="836">
        <v>1.779965277777778</v>
      </c>
      <c r="G308" s="570"/>
      <c r="H308" s="570"/>
      <c r="I308" s="570"/>
      <c r="J308" s="570"/>
      <c r="K308" s="570"/>
    </row>
    <row r="309" ht="12.75" customHeight="1">
      <c r="A309" t="s" s="834">
        <v>618</v>
      </c>
      <c r="B309" t="s" s="834">
        <v>619</v>
      </c>
      <c r="C309" t="s" s="834">
        <v>620</v>
      </c>
      <c r="D309" s="570"/>
      <c r="E309" s="570"/>
      <c r="F309" s="570"/>
      <c r="G309" s="570"/>
      <c r="H309" s="570"/>
      <c r="I309" s="570"/>
      <c r="J309" s="570"/>
      <c r="K309" s="570"/>
    </row>
    <row r="310" ht="12.75" customHeight="1">
      <c r="A310" s="833">
        <v>27</v>
      </c>
      <c r="B310" t="s" s="834">
        <v>616</v>
      </c>
      <c r="C310" t="s" s="834">
        <v>617</v>
      </c>
      <c r="D310" s="835">
        <v>46029</v>
      </c>
      <c r="E310" s="836">
        <v>1.3584375</v>
      </c>
      <c r="F310" s="836">
        <v>1.782893518518518</v>
      </c>
      <c r="G310" s="570"/>
      <c r="H310" s="570"/>
      <c r="I310" s="570"/>
      <c r="J310" s="570"/>
      <c r="K310" s="570"/>
    </row>
    <row r="311" ht="12.75" customHeight="1">
      <c r="A311" t="s" s="834">
        <v>621</v>
      </c>
      <c r="B311" t="s" s="834">
        <v>622</v>
      </c>
      <c r="C311" t="s" s="834">
        <v>623</v>
      </c>
      <c r="D311" s="570"/>
      <c r="E311" s="570"/>
      <c r="F311" s="570"/>
      <c r="G311" s="570"/>
      <c r="H311" s="570"/>
      <c r="I311" s="570"/>
      <c r="J311" s="570"/>
      <c r="K311" s="570"/>
    </row>
    <row r="312" ht="12.75" customHeight="1">
      <c r="A312" s="833">
        <v>27</v>
      </c>
      <c r="B312" t="s" s="834">
        <v>616</v>
      </c>
      <c r="C312" t="s" s="834">
        <v>617</v>
      </c>
      <c r="D312" s="835">
        <v>46030</v>
      </c>
      <c r="E312" s="836">
        <v>1.358576388888889</v>
      </c>
      <c r="F312" s="836">
        <v>1.787569444444444</v>
      </c>
      <c r="G312" s="570"/>
      <c r="H312" s="570"/>
      <c r="I312" s="570"/>
      <c r="J312" s="570"/>
      <c r="K312" s="570"/>
    </row>
    <row r="313" ht="12.75" customHeight="1">
      <c r="A313" t="s" s="834">
        <v>624</v>
      </c>
      <c r="B313" t="s" s="834">
        <v>625</v>
      </c>
      <c r="C313" t="s" s="834">
        <v>626</v>
      </c>
      <c r="D313" s="570"/>
      <c r="E313" s="570"/>
      <c r="F313" s="570"/>
      <c r="G313" s="570"/>
      <c r="H313" s="570"/>
      <c r="I313" s="570"/>
      <c r="J313" s="570"/>
      <c r="K313" s="570"/>
    </row>
    <row r="314" ht="12.75" customHeight="1">
      <c r="A314" s="833">
        <v>27</v>
      </c>
      <c r="B314" t="s" s="834">
        <v>616</v>
      </c>
      <c r="C314" t="s" s="834">
        <v>617</v>
      </c>
      <c r="D314" s="835">
        <v>46031</v>
      </c>
      <c r="E314" t="s" s="834">
        <v>478</v>
      </c>
      <c r="F314" t="s" s="834">
        <v>478</v>
      </c>
      <c r="G314" s="570"/>
      <c r="H314" s="570"/>
      <c r="I314" s="570"/>
      <c r="J314" s="570"/>
      <c r="K314" s="570"/>
    </row>
    <row r="315" ht="12.75" customHeight="1">
      <c r="A315" s="833">
        <v>27</v>
      </c>
      <c r="B315" t="s" s="834">
        <v>616</v>
      </c>
      <c r="C315" t="s" s="834">
        <v>617</v>
      </c>
      <c r="D315" s="835">
        <v>46032</v>
      </c>
      <c r="E315" t="s" s="834">
        <v>478</v>
      </c>
      <c r="F315" t="s" s="834">
        <v>478</v>
      </c>
      <c r="G315" s="570"/>
      <c r="H315" s="570"/>
      <c r="I315" s="570"/>
      <c r="J315" s="570"/>
      <c r="K315" s="570"/>
    </row>
    <row r="316" ht="12.75" customHeight="1">
      <c r="A316" s="833">
        <v>27</v>
      </c>
      <c r="B316" t="s" s="834">
        <v>616</v>
      </c>
      <c r="C316" t="s" s="834">
        <v>617</v>
      </c>
      <c r="D316" s="835">
        <v>46033</v>
      </c>
      <c r="E316" t="s" s="834">
        <v>478</v>
      </c>
      <c r="F316" t="s" s="834">
        <v>478</v>
      </c>
      <c r="G316" s="570"/>
      <c r="H316" s="570"/>
      <c r="I316" s="570"/>
      <c r="J316" s="570"/>
      <c r="K316" s="570"/>
    </row>
    <row r="317" ht="12.75" customHeight="1">
      <c r="A317" s="833">
        <v>27</v>
      </c>
      <c r="B317" t="s" s="834">
        <v>616</v>
      </c>
      <c r="C317" t="s" s="834">
        <v>617</v>
      </c>
      <c r="D317" s="835">
        <v>46034</v>
      </c>
      <c r="E317" s="836">
        <v>1.357210648148148</v>
      </c>
      <c r="F317" s="836">
        <v>1.782118055555556</v>
      </c>
      <c r="G317" s="570"/>
      <c r="H317" s="570"/>
      <c r="I317" s="570"/>
      <c r="J317" s="570"/>
      <c r="K317" s="570"/>
    </row>
    <row r="318" ht="12.75" customHeight="1">
      <c r="A318" t="s" s="834">
        <v>627</v>
      </c>
      <c r="B318" t="s" s="834">
        <v>628</v>
      </c>
      <c r="C318" t="s" s="834">
        <v>629</v>
      </c>
      <c r="D318" s="570"/>
      <c r="E318" s="570"/>
      <c r="F318" s="570"/>
      <c r="G318" s="570"/>
      <c r="H318" s="570"/>
      <c r="I318" s="570"/>
      <c r="J318" s="570"/>
      <c r="K318" s="570"/>
    </row>
    <row r="319" ht="12.75" customHeight="1">
      <c r="A319" s="833">
        <v>27</v>
      </c>
      <c r="B319" t="s" s="834">
        <v>616</v>
      </c>
      <c r="C319" t="s" s="834">
        <v>617</v>
      </c>
      <c r="D319" s="835">
        <v>46035</v>
      </c>
      <c r="E319" s="836">
        <v>1.35837962962963</v>
      </c>
      <c r="F319" s="836">
        <v>1.782858796296296</v>
      </c>
      <c r="G319" s="570"/>
      <c r="H319" s="570"/>
      <c r="I319" s="570"/>
      <c r="J319" s="570"/>
      <c r="K319" s="570"/>
    </row>
    <row r="320" ht="12.75" customHeight="1">
      <c r="A320" t="s" s="834">
        <v>630</v>
      </c>
      <c r="B320" t="s" s="834">
        <v>631</v>
      </c>
      <c r="C320" t="s" s="834">
        <v>623</v>
      </c>
      <c r="D320" s="570"/>
      <c r="E320" s="570"/>
      <c r="F320" s="570"/>
      <c r="G320" s="570"/>
      <c r="H320" s="570"/>
      <c r="I320" s="570"/>
      <c r="J320" s="570"/>
      <c r="K320" s="570"/>
    </row>
    <row r="321" ht="12.75" customHeight="1">
      <c r="A321" s="833">
        <v>27</v>
      </c>
      <c r="B321" t="s" s="834">
        <v>616</v>
      </c>
      <c r="C321" t="s" s="834">
        <v>617</v>
      </c>
      <c r="D321" s="835">
        <v>46036</v>
      </c>
      <c r="E321" s="836">
        <v>1.359884259259259</v>
      </c>
      <c r="F321" s="836">
        <v>1.755451388888889</v>
      </c>
      <c r="G321" s="570"/>
      <c r="H321" s="570"/>
      <c r="I321" s="570"/>
      <c r="J321" s="570"/>
      <c r="K321" s="570"/>
    </row>
    <row r="322" ht="12.75" customHeight="1">
      <c r="A322" t="s" s="834">
        <v>632</v>
      </c>
      <c r="B322" t="s" s="834">
        <v>633</v>
      </c>
      <c r="C322" t="s" s="834">
        <v>634</v>
      </c>
      <c r="D322" s="570"/>
      <c r="E322" s="570"/>
      <c r="F322" s="570"/>
      <c r="G322" s="570"/>
      <c r="H322" s="570"/>
      <c r="I322" s="570"/>
      <c r="J322" s="570"/>
      <c r="K322" s="570"/>
    </row>
    <row r="323" ht="12.75" customHeight="1">
      <c r="A323" s="833">
        <v>27</v>
      </c>
      <c r="B323" t="s" s="834">
        <v>616</v>
      </c>
      <c r="C323" t="s" s="834">
        <v>617</v>
      </c>
      <c r="D323" s="835">
        <v>46037</v>
      </c>
      <c r="E323" s="836">
        <v>1.352222222222222</v>
      </c>
      <c r="F323" s="836">
        <v>1.765925925925926</v>
      </c>
      <c r="G323" s="570"/>
      <c r="H323" s="570"/>
      <c r="I323" s="570"/>
      <c r="J323" s="570"/>
      <c r="K323" s="570"/>
    </row>
    <row r="324" ht="12.75" customHeight="1">
      <c r="A324" t="s" s="834">
        <v>635</v>
      </c>
      <c r="B324" t="s" s="834">
        <v>636</v>
      </c>
      <c r="C324" t="s" s="834">
        <v>637</v>
      </c>
      <c r="D324" s="570"/>
      <c r="E324" s="570"/>
      <c r="F324" s="570"/>
      <c r="G324" s="570"/>
      <c r="H324" s="570"/>
      <c r="I324" s="570"/>
      <c r="J324" s="570"/>
      <c r="K324" s="570"/>
    </row>
    <row r="325" ht="12.75" customHeight="1">
      <c r="A325" s="833">
        <v>27</v>
      </c>
      <c r="B325" t="s" s="834">
        <v>616</v>
      </c>
      <c r="C325" t="s" s="834">
        <v>617</v>
      </c>
      <c r="D325" s="835">
        <v>46038</v>
      </c>
      <c r="E325" t="s" s="834">
        <v>478</v>
      </c>
      <c r="F325" t="s" s="834">
        <v>478</v>
      </c>
      <c r="G325" s="570"/>
      <c r="H325" s="570"/>
      <c r="I325" s="570"/>
      <c r="J325" s="570"/>
      <c r="K325" s="570"/>
    </row>
    <row r="326" ht="12.75" customHeight="1">
      <c r="A326" s="833">
        <v>27</v>
      </c>
      <c r="B326" t="s" s="834">
        <v>616</v>
      </c>
      <c r="C326" t="s" s="834">
        <v>617</v>
      </c>
      <c r="D326" s="835">
        <v>46039</v>
      </c>
      <c r="E326" t="s" s="834">
        <v>478</v>
      </c>
      <c r="F326" t="s" s="834">
        <v>478</v>
      </c>
      <c r="G326" s="570"/>
      <c r="H326" s="570"/>
      <c r="I326" s="570"/>
      <c r="J326" s="570"/>
      <c r="K326" s="570"/>
    </row>
    <row r="327" ht="12.75" customHeight="1">
      <c r="A327" s="833">
        <v>27</v>
      </c>
      <c r="B327" t="s" s="834">
        <v>616</v>
      </c>
      <c r="C327" t="s" s="834">
        <v>617</v>
      </c>
      <c r="D327" s="835">
        <v>46040</v>
      </c>
      <c r="E327" t="s" s="834">
        <v>478</v>
      </c>
      <c r="F327" t="s" s="834">
        <v>478</v>
      </c>
      <c r="G327" s="570"/>
      <c r="H327" s="570"/>
      <c r="I327" s="570"/>
      <c r="J327" s="570"/>
      <c r="K327" s="570"/>
    </row>
    <row r="328" ht="12.75" customHeight="1">
      <c r="A328" s="833">
        <v>27</v>
      </c>
      <c r="B328" t="s" s="834">
        <v>616</v>
      </c>
      <c r="C328" t="s" s="834">
        <v>617</v>
      </c>
      <c r="D328" s="835">
        <v>46041</v>
      </c>
      <c r="E328" s="836">
        <v>1.380219907407407</v>
      </c>
      <c r="F328" s="836">
        <v>1.767962962962963</v>
      </c>
      <c r="G328" s="570"/>
      <c r="H328" s="570"/>
      <c r="I328" s="570"/>
      <c r="J328" s="570"/>
      <c r="K328" s="570"/>
    </row>
    <row r="329" ht="12.75" customHeight="1">
      <c r="A329" t="s" s="834">
        <v>638</v>
      </c>
      <c r="B329" t="s" s="834">
        <v>639</v>
      </c>
      <c r="C329" t="s" s="834">
        <v>640</v>
      </c>
      <c r="D329" s="570"/>
      <c r="E329" s="570"/>
      <c r="F329" s="570"/>
      <c r="G329" s="570"/>
      <c r="H329" s="570"/>
      <c r="I329" s="570"/>
      <c r="J329" s="570"/>
      <c r="K329" s="570"/>
    </row>
    <row r="330" ht="12.75" customHeight="1">
      <c r="A330" s="833">
        <v>27</v>
      </c>
      <c r="B330" t="s" s="834">
        <v>616</v>
      </c>
      <c r="C330" t="s" s="834">
        <v>617</v>
      </c>
      <c r="D330" s="835">
        <v>46042</v>
      </c>
      <c r="E330" s="836">
        <v>1.359259259259259</v>
      </c>
      <c r="F330" s="836">
        <v>1.754710648148148</v>
      </c>
      <c r="G330" s="570"/>
      <c r="H330" s="570"/>
      <c r="I330" s="570"/>
      <c r="J330" s="570"/>
      <c r="K330" s="570"/>
    </row>
    <row r="331" ht="12.75" customHeight="1">
      <c r="A331" t="s" s="834">
        <v>641</v>
      </c>
      <c r="B331" t="s" s="834">
        <v>642</v>
      </c>
      <c r="C331" t="s" s="834">
        <v>643</v>
      </c>
      <c r="D331" s="570"/>
      <c r="E331" s="570"/>
      <c r="F331" s="570"/>
      <c r="G331" s="570"/>
      <c r="H331" s="570"/>
      <c r="I331" s="570"/>
      <c r="J331" s="570"/>
      <c r="K331" s="570"/>
    </row>
    <row r="332" ht="12.75" customHeight="1">
      <c r="A332" s="833">
        <v>27</v>
      </c>
      <c r="B332" t="s" s="834">
        <v>616</v>
      </c>
      <c r="C332" t="s" s="834">
        <v>617</v>
      </c>
      <c r="D332" s="835">
        <v>46043</v>
      </c>
      <c r="E332" s="836">
        <v>1.338773148148148</v>
      </c>
      <c r="F332" s="836">
        <v>1.788171296296296</v>
      </c>
      <c r="G332" s="570"/>
      <c r="H332" s="570"/>
      <c r="I332" s="570"/>
      <c r="J332" s="570"/>
      <c r="K332" s="570"/>
    </row>
    <row r="333" ht="12.75" customHeight="1">
      <c r="A333" t="s" s="834">
        <v>644</v>
      </c>
      <c r="B333" t="s" s="834">
        <v>645</v>
      </c>
      <c r="C333" t="s" s="834">
        <v>646</v>
      </c>
      <c r="D333" s="570"/>
      <c r="E333" s="570"/>
      <c r="F333" s="570"/>
      <c r="G333" s="570"/>
      <c r="H333" s="570"/>
      <c r="I333" s="570"/>
      <c r="J333" s="570"/>
      <c r="K333" s="570"/>
    </row>
    <row r="334" ht="12.75" customHeight="1">
      <c r="A334" s="833">
        <v>27</v>
      </c>
      <c r="B334" t="s" s="834">
        <v>616</v>
      </c>
      <c r="C334" t="s" s="834">
        <v>617</v>
      </c>
      <c r="D334" s="835">
        <v>46044</v>
      </c>
      <c r="E334" s="836">
        <v>1.36443287037037</v>
      </c>
      <c r="F334" s="836">
        <v>1.78787037037037</v>
      </c>
      <c r="G334" s="570"/>
      <c r="H334" s="570"/>
      <c r="I334" s="570"/>
      <c r="J334" s="570"/>
      <c r="K334" s="570"/>
    </row>
    <row r="335" ht="12.75" customHeight="1">
      <c r="A335" t="s" s="834">
        <v>647</v>
      </c>
      <c r="B335" t="s" s="834">
        <v>648</v>
      </c>
      <c r="C335" t="s" s="834">
        <v>649</v>
      </c>
      <c r="D335" s="570"/>
      <c r="E335" s="570"/>
      <c r="F335" s="570"/>
      <c r="G335" s="570"/>
      <c r="H335" s="570"/>
      <c r="I335" s="570"/>
      <c r="J335" s="570"/>
      <c r="K335" s="570"/>
    </row>
    <row r="336" ht="12.75" customHeight="1">
      <c r="A336" s="833">
        <v>27</v>
      </c>
      <c r="B336" t="s" s="834">
        <v>616</v>
      </c>
      <c r="C336" t="s" s="834">
        <v>617</v>
      </c>
      <c r="D336" s="835">
        <v>46045</v>
      </c>
      <c r="E336" t="s" s="834">
        <v>478</v>
      </c>
      <c r="F336" t="s" s="834">
        <v>478</v>
      </c>
      <c r="G336" s="570"/>
      <c r="H336" s="570"/>
      <c r="I336" s="570"/>
      <c r="J336" s="570"/>
      <c r="K336" s="570"/>
    </row>
    <row r="337" ht="12.75" customHeight="1">
      <c r="A337" s="833">
        <v>27</v>
      </c>
      <c r="B337" t="s" s="834">
        <v>616</v>
      </c>
      <c r="C337" t="s" s="834">
        <v>617</v>
      </c>
      <c r="D337" s="835">
        <v>46046</v>
      </c>
      <c r="E337" t="s" s="834">
        <v>478</v>
      </c>
      <c r="F337" t="s" s="834">
        <v>478</v>
      </c>
      <c r="G337" s="570"/>
      <c r="H337" s="570"/>
      <c r="I337" s="570"/>
      <c r="J337" s="570"/>
      <c r="K337" s="570"/>
    </row>
    <row r="338" ht="12.75" customHeight="1">
      <c r="A338" s="833">
        <v>27</v>
      </c>
      <c r="B338" t="s" s="834">
        <v>616</v>
      </c>
      <c r="C338" t="s" s="834">
        <v>617</v>
      </c>
      <c r="D338" s="835">
        <v>46047</v>
      </c>
      <c r="E338" t="s" s="834">
        <v>478</v>
      </c>
      <c r="F338" t="s" s="834">
        <v>478</v>
      </c>
      <c r="G338" s="570"/>
      <c r="H338" s="570"/>
      <c r="I338" s="570"/>
      <c r="J338" s="570"/>
      <c r="K338" s="570"/>
    </row>
    <row r="339" ht="12.75" customHeight="1">
      <c r="A339" s="833">
        <v>27</v>
      </c>
      <c r="B339" t="s" s="834">
        <v>616</v>
      </c>
      <c r="C339" t="s" s="834">
        <v>617</v>
      </c>
      <c r="D339" s="835">
        <v>46048</v>
      </c>
      <c r="E339" s="836">
        <v>1.35681712962963</v>
      </c>
      <c r="F339" s="836">
        <v>1.772615740740741</v>
      </c>
      <c r="G339" s="570"/>
      <c r="H339" s="570"/>
      <c r="I339" s="570"/>
      <c r="J339" s="570"/>
      <c r="K339" s="570"/>
    </row>
    <row r="340" ht="12.75" customHeight="1">
      <c r="A340" t="s" s="834">
        <v>650</v>
      </c>
      <c r="B340" t="s" s="834">
        <v>651</v>
      </c>
      <c r="C340" t="s" s="834">
        <v>652</v>
      </c>
      <c r="D340" s="570"/>
      <c r="E340" s="570"/>
      <c r="F340" s="570"/>
      <c r="G340" s="570"/>
      <c r="H340" s="570"/>
      <c r="I340" s="570"/>
      <c r="J340" s="570"/>
      <c r="K340" s="570"/>
    </row>
    <row r="341" ht="12.75" customHeight="1">
      <c r="A341" s="833">
        <v>27</v>
      </c>
      <c r="B341" t="s" s="834">
        <v>616</v>
      </c>
      <c r="C341" t="s" s="834">
        <v>617</v>
      </c>
      <c r="D341" s="835">
        <v>46049</v>
      </c>
      <c r="E341" s="836">
        <v>1.361215277777778</v>
      </c>
      <c r="F341" s="836">
        <v>1.788472222222222</v>
      </c>
      <c r="G341" s="570"/>
      <c r="H341" s="570"/>
      <c r="I341" s="570"/>
      <c r="J341" s="570"/>
      <c r="K341" s="570"/>
    </row>
    <row r="342" ht="12.75" customHeight="1">
      <c r="A342" t="s" s="834">
        <v>653</v>
      </c>
      <c r="B342" t="s" s="834">
        <v>654</v>
      </c>
      <c r="C342" t="s" s="834">
        <v>655</v>
      </c>
      <c r="D342" s="570"/>
      <c r="E342" s="570"/>
      <c r="F342" s="570"/>
      <c r="G342" s="570"/>
      <c r="H342" s="570"/>
      <c r="I342" s="570"/>
      <c r="J342" s="570"/>
      <c r="K342" s="570"/>
    </row>
    <row r="343" ht="12.75" customHeight="1">
      <c r="A343" s="833">
        <v>27</v>
      </c>
      <c r="B343" t="s" s="834">
        <v>616</v>
      </c>
      <c r="C343" t="s" s="834">
        <v>617</v>
      </c>
      <c r="D343" s="835">
        <v>46050</v>
      </c>
      <c r="E343" s="836">
        <v>1.362800925925926</v>
      </c>
      <c r="F343" s="836">
        <v>1.767719907407407</v>
      </c>
      <c r="G343" s="570"/>
      <c r="H343" s="570"/>
      <c r="I343" s="570"/>
      <c r="J343" s="570"/>
      <c r="K343" s="570"/>
    </row>
    <row r="344" ht="12.75" customHeight="1">
      <c r="A344" t="s" s="834">
        <v>656</v>
      </c>
      <c r="B344" t="s" s="834">
        <v>657</v>
      </c>
      <c r="C344" t="s" s="834">
        <v>582</v>
      </c>
      <c r="D344" s="570"/>
      <c r="E344" s="570"/>
      <c r="F344" s="570"/>
      <c r="G344" s="570"/>
      <c r="H344" s="570"/>
      <c r="I344" s="570"/>
      <c r="J344" s="570"/>
      <c r="K344" s="570"/>
    </row>
    <row r="345" ht="12.75" customHeight="1">
      <c r="A345" s="833">
        <v>27</v>
      </c>
      <c r="B345" t="s" s="834">
        <v>616</v>
      </c>
      <c r="C345" t="s" s="834">
        <v>617</v>
      </c>
      <c r="D345" s="835">
        <v>46051</v>
      </c>
      <c r="E345" s="836">
        <v>1.358969907407408</v>
      </c>
      <c r="F345" s="836">
        <v>1.786944444444444</v>
      </c>
      <c r="G345" s="570"/>
      <c r="H345" s="570"/>
      <c r="I345" s="570"/>
      <c r="J345" s="570"/>
      <c r="K345" s="570"/>
    </row>
    <row r="346" ht="12.75" customHeight="1">
      <c r="A346" t="s" s="834">
        <v>658</v>
      </c>
      <c r="B346" t="s" s="834">
        <v>659</v>
      </c>
      <c r="C346" t="s" s="834">
        <v>660</v>
      </c>
      <c r="D346" s="570"/>
      <c r="E346" s="570"/>
      <c r="F346" s="570"/>
      <c r="G346" s="570"/>
      <c r="H346" s="570"/>
      <c r="I346" s="570"/>
      <c r="J346" s="570"/>
      <c r="K346" s="570"/>
    </row>
    <row r="347" ht="12.75" customHeight="1">
      <c r="A347" s="833">
        <v>27</v>
      </c>
      <c r="B347" t="s" s="834">
        <v>616</v>
      </c>
      <c r="C347" t="s" s="834">
        <v>617</v>
      </c>
      <c r="D347" s="835">
        <v>46052</v>
      </c>
      <c r="E347" t="s" s="834">
        <v>478</v>
      </c>
      <c r="F347" t="s" s="834">
        <v>478</v>
      </c>
      <c r="G347" s="570"/>
      <c r="H347" s="570"/>
      <c r="I347" s="570"/>
      <c r="J347" s="570"/>
      <c r="K347" s="570"/>
    </row>
    <row r="348" ht="12.75" customHeight="1">
      <c r="A348" s="833">
        <v>27</v>
      </c>
      <c r="B348" t="s" s="834">
        <v>616</v>
      </c>
      <c r="C348" t="s" s="834">
        <v>617</v>
      </c>
      <c r="D348" s="835">
        <v>46053</v>
      </c>
      <c r="E348" t="s" s="834">
        <v>478</v>
      </c>
      <c r="F348" t="s" s="834">
        <v>478</v>
      </c>
      <c r="G348" s="570"/>
      <c r="H348" s="570"/>
      <c r="I348" s="570"/>
      <c r="J348" s="570"/>
      <c r="K348" s="570"/>
    </row>
    <row r="349" ht="12.75" customHeight="1">
      <c r="A349" s="833">
        <v>27</v>
      </c>
      <c r="B349" t="s" s="834">
        <v>616</v>
      </c>
      <c r="C349" t="s" s="834">
        <v>617</v>
      </c>
      <c r="D349" s="835">
        <v>46054</v>
      </c>
      <c r="E349" t="s" s="834">
        <v>478</v>
      </c>
      <c r="F349" t="s" s="834">
        <v>478</v>
      </c>
      <c r="G349" s="570"/>
      <c r="H349" s="570"/>
      <c r="I349" s="570"/>
      <c r="J349" s="570"/>
      <c r="K349" s="570"/>
    </row>
    <row r="350" ht="12.75" customHeight="1">
      <c r="A350" s="833">
        <v>29</v>
      </c>
      <c r="B350" t="s" s="834">
        <v>661</v>
      </c>
      <c r="C350" t="s" s="834">
        <v>617</v>
      </c>
      <c r="D350" s="835">
        <v>46023</v>
      </c>
      <c r="E350" t="s" s="834">
        <v>478</v>
      </c>
      <c r="F350" t="s" s="834">
        <v>478</v>
      </c>
      <c r="G350" s="570"/>
      <c r="H350" s="570"/>
      <c r="I350" s="570"/>
      <c r="J350" s="570"/>
      <c r="K350" s="570"/>
    </row>
    <row r="351" ht="12.75" customHeight="1">
      <c r="A351" s="833">
        <v>29</v>
      </c>
      <c r="B351" t="s" s="834">
        <v>661</v>
      </c>
      <c r="C351" t="s" s="834">
        <v>617</v>
      </c>
      <c r="D351" s="835">
        <v>46024</v>
      </c>
      <c r="E351" t="s" s="834">
        <v>478</v>
      </c>
      <c r="F351" t="s" s="834">
        <v>478</v>
      </c>
      <c r="G351" s="570"/>
      <c r="H351" s="570"/>
      <c r="I351" s="570"/>
      <c r="J351" s="570"/>
      <c r="K351" s="570"/>
    </row>
    <row r="352" ht="12.75" customHeight="1">
      <c r="A352" s="833">
        <v>29</v>
      </c>
      <c r="B352" t="s" s="834">
        <v>661</v>
      </c>
      <c r="C352" t="s" s="834">
        <v>617</v>
      </c>
      <c r="D352" s="835">
        <v>46025</v>
      </c>
      <c r="E352" t="s" s="834">
        <v>478</v>
      </c>
      <c r="F352" t="s" s="834">
        <v>478</v>
      </c>
      <c r="G352" s="570"/>
      <c r="H352" s="570"/>
      <c r="I352" s="570"/>
      <c r="J352" s="570"/>
      <c r="K352" s="570"/>
    </row>
    <row r="353" ht="12.75" customHeight="1">
      <c r="A353" s="833">
        <v>29</v>
      </c>
      <c r="B353" t="s" s="834">
        <v>661</v>
      </c>
      <c r="C353" t="s" s="834">
        <v>617</v>
      </c>
      <c r="D353" s="835">
        <v>46026</v>
      </c>
      <c r="E353" t="s" s="834">
        <v>478</v>
      </c>
      <c r="F353" t="s" s="834">
        <v>478</v>
      </c>
      <c r="G353" s="570"/>
      <c r="H353" s="570"/>
      <c r="I353" s="570"/>
      <c r="J353" s="570"/>
      <c r="K353" s="570"/>
    </row>
    <row r="354" ht="12.75" customHeight="1">
      <c r="A354" s="833">
        <v>29</v>
      </c>
      <c r="B354" t="s" s="834">
        <v>661</v>
      </c>
      <c r="C354" t="s" s="834">
        <v>617</v>
      </c>
      <c r="D354" s="835">
        <v>46027</v>
      </c>
      <c r="E354" s="836">
        <v>1.356261574074074</v>
      </c>
      <c r="F354" s="836">
        <v>1.751655092592593</v>
      </c>
      <c r="G354" s="570"/>
      <c r="H354" s="570"/>
      <c r="I354" s="570"/>
      <c r="J354" s="570"/>
      <c r="K354" s="570"/>
    </row>
    <row r="355" ht="12.75" customHeight="1">
      <c r="A355" t="s" s="834">
        <v>662</v>
      </c>
      <c r="B355" t="s" s="834">
        <v>663</v>
      </c>
      <c r="C355" t="s" s="834">
        <v>643</v>
      </c>
      <c r="D355" s="570"/>
      <c r="E355" s="570"/>
      <c r="F355" s="570"/>
      <c r="G355" s="570"/>
      <c r="H355" s="570"/>
      <c r="I355" s="570"/>
      <c r="J355" s="570"/>
      <c r="K355" s="570"/>
    </row>
    <row r="356" ht="12.75" customHeight="1">
      <c r="A356" s="833">
        <v>29</v>
      </c>
      <c r="B356" t="s" s="834">
        <v>661</v>
      </c>
      <c r="C356" t="s" s="834">
        <v>617</v>
      </c>
      <c r="D356" s="835">
        <v>46028</v>
      </c>
      <c r="E356" t="s" s="834">
        <v>478</v>
      </c>
      <c r="F356" t="s" s="834">
        <v>478</v>
      </c>
      <c r="G356" s="570"/>
      <c r="H356" s="570"/>
      <c r="I356" s="570"/>
      <c r="J356" s="570"/>
      <c r="K356" s="570"/>
    </row>
    <row r="357" ht="12.75" customHeight="1">
      <c r="A357" s="833">
        <v>29</v>
      </c>
      <c r="B357" t="s" s="834">
        <v>661</v>
      </c>
      <c r="C357" t="s" s="834">
        <v>617</v>
      </c>
      <c r="D357" s="835">
        <v>46029</v>
      </c>
      <c r="E357" s="836">
        <v>1.358460648148148</v>
      </c>
      <c r="F357" s="836">
        <v>1.752847222222222</v>
      </c>
      <c r="G357" s="570"/>
      <c r="H357" s="570"/>
      <c r="I357" s="570"/>
      <c r="J357" s="570"/>
      <c r="K357" s="570"/>
    </row>
    <row r="358" ht="12.75" customHeight="1">
      <c r="A358" t="s" s="834">
        <v>664</v>
      </c>
      <c r="B358" t="s" s="834">
        <v>665</v>
      </c>
      <c r="C358" t="s" s="834">
        <v>512</v>
      </c>
      <c r="D358" s="570"/>
      <c r="E358" s="570"/>
      <c r="F358" s="570"/>
      <c r="G358" s="570"/>
      <c r="H358" s="570"/>
      <c r="I358" s="570"/>
      <c r="J358" s="570"/>
      <c r="K358" s="570"/>
    </row>
    <row r="359" ht="12.75" customHeight="1">
      <c r="A359" s="833">
        <v>29</v>
      </c>
      <c r="B359" t="s" s="834">
        <v>661</v>
      </c>
      <c r="C359" t="s" s="834">
        <v>617</v>
      </c>
      <c r="D359" s="835">
        <v>46030</v>
      </c>
      <c r="E359" s="836">
        <v>1.362175925925926</v>
      </c>
      <c r="F359" s="836">
        <v>1.752951388888889</v>
      </c>
      <c r="G359" s="570"/>
      <c r="H359" s="570"/>
      <c r="I359" s="570"/>
      <c r="J359" s="570"/>
      <c r="K359" s="570"/>
    </row>
    <row r="360" ht="12.75" customHeight="1">
      <c r="A360" t="s" s="834">
        <v>666</v>
      </c>
      <c r="B360" t="s" s="834">
        <v>667</v>
      </c>
      <c r="C360" t="s" s="834">
        <v>668</v>
      </c>
      <c r="D360" s="570"/>
      <c r="E360" s="570"/>
      <c r="F360" s="570"/>
      <c r="G360" s="570"/>
      <c r="H360" s="570"/>
      <c r="I360" s="570"/>
      <c r="J360" s="570"/>
      <c r="K360" s="570"/>
    </row>
    <row r="361" ht="12.75" customHeight="1">
      <c r="A361" s="833">
        <v>29</v>
      </c>
      <c r="B361" t="s" s="834">
        <v>661</v>
      </c>
      <c r="C361" t="s" s="834">
        <v>617</v>
      </c>
      <c r="D361" s="835">
        <v>46031</v>
      </c>
      <c r="E361" t="s" s="834">
        <v>478</v>
      </c>
      <c r="F361" t="s" s="834">
        <v>478</v>
      </c>
      <c r="G361" s="570"/>
      <c r="H361" s="570"/>
      <c r="I361" s="570"/>
      <c r="J361" s="570"/>
      <c r="K361" s="570"/>
    </row>
    <row r="362" ht="12.75" customHeight="1">
      <c r="A362" s="833">
        <v>29</v>
      </c>
      <c r="B362" t="s" s="834">
        <v>661</v>
      </c>
      <c r="C362" t="s" s="834">
        <v>617</v>
      </c>
      <c r="D362" s="835">
        <v>46032</v>
      </c>
      <c r="E362" t="s" s="834">
        <v>478</v>
      </c>
      <c r="F362" t="s" s="834">
        <v>478</v>
      </c>
      <c r="G362" s="570"/>
      <c r="H362" s="570"/>
      <c r="I362" s="570"/>
      <c r="J362" s="570"/>
      <c r="K362" s="570"/>
    </row>
    <row r="363" ht="12.75" customHeight="1">
      <c r="A363" s="833">
        <v>29</v>
      </c>
      <c r="B363" t="s" s="834">
        <v>661</v>
      </c>
      <c r="C363" t="s" s="834">
        <v>617</v>
      </c>
      <c r="D363" s="835">
        <v>46033</v>
      </c>
      <c r="E363" t="s" s="834">
        <v>478</v>
      </c>
      <c r="F363" t="s" s="834">
        <v>478</v>
      </c>
      <c r="G363" s="570"/>
      <c r="H363" s="570"/>
      <c r="I363" s="570"/>
      <c r="J363" s="570"/>
      <c r="K363" s="570"/>
    </row>
    <row r="364" ht="12.75" customHeight="1">
      <c r="A364" s="833">
        <v>29</v>
      </c>
      <c r="B364" t="s" s="834">
        <v>661</v>
      </c>
      <c r="C364" t="s" s="834">
        <v>617</v>
      </c>
      <c r="D364" s="835">
        <v>46034</v>
      </c>
      <c r="E364" s="836">
        <v>1.3571875</v>
      </c>
      <c r="F364" s="836">
        <v>1.753159722222222</v>
      </c>
      <c r="G364" s="570"/>
      <c r="H364" s="570"/>
      <c r="I364" s="570"/>
      <c r="J364" s="570"/>
      <c r="K364" s="570"/>
    </row>
    <row r="365" ht="12.75" customHeight="1">
      <c r="A365" t="s" s="834">
        <v>669</v>
      </c>
      <c r="B365" t="s" s="834">
        <v>670</v>
      </c>
      <c r="C365" t="s" s="834">
        <v>634</v>
      </c>
      <c r="D365" s="570"/>
      <c r="E365" s="570"/>
      <c r="F365" s="570"/>
      <c r="G365" s="570"/>
      <c r="H365" s="570"/>
      <c r="I365" s="570"/>
      <c r="J365" s="570"/>
      <c r="K365" s="570"/>
    </row>
    <row r="366" ht="12.75" customHeight="1">
      <c r="A366" s="833">
        <v>29</v>
      </c>
      <c r="B366" t="s" s="834">
        <v>661</v>
      </c>
      <c r="C366" t="s" s="834">
        <v>617</v>
      </c>
      <c r="D366" s="835">
        <v>46035</v>
      </c>
      <c r="E366" s="836">
        <v>1.3565625</v>
      </c>
      <c r="F366" s="836">
        <v>1.731296296296296</v>
      </c>
      <c r="G366" s="570"/>
      <c r="H366" s="570"/>
      <c r="I366" s="570"/>
      <c r="J366" s="570"/>
      <c r="K366" s="570"/>
    </row>
    <row r="367" ht="12.75" customHeight="1">
      <c r="A367" t="s" s="834">
        <v>671</v>
      </c>
      <c r="B367" t="s" s="834">
        <v>672</v>
      </c>
      <c r="C367" t="s" s="834">
        <v>673</v>
      </c>
      <c r="D367" s="570"/>
      <c r="E367" s="570"/>
      <c r="F367" s="570"/>
      <c r="G367" s="570"/>
      <c r="H367" s="570"/>
      <c r="I367" s="570"/>
      <c r="J367" s="570"/>
      <c r="K367" s="570"/>
    </row>
    <row r="368" ht="12.75" customHeight="1">
      <c r="A368" s="833">
        <v>29</v>
      </c>
      <c r="B368" t="s" s="834">
        <v>661</v>
      </c>
      <c r="C368" t="s" s="834">
        <v>617</v>
      </c>
      <c r="D368" s="835">
        <v>46036</v>
      </c>
      <c r="E368" s="836">
        <v>1.358530092592593</v>
      </c>
      <c r="F368" s="836">
        <v>1.58875</v>
      </c>
      <c r="G368" s="570"/>
      <c r="H368" s="570"/>
      <c r="I368" s="570"/>
      <c r="J368" s="570"/>
      <c r="K368" s="570"/>
    </row>
    <row r="369" ht="12.75" customHeight="1">
      <c r="A369" t="s" s="834">
        <v>674</v>
      </c>
      <c r="B369" t="s" s="834">
        <v>675</v>
      </c>
      <c r="C369" t="s" s="834">
        <v>676</v>
      </c>
      <c r="D369" s="570"/>
      <c r="E369" s="570"/>
      <c r="F369" s="570"/>
      <c r="G369" s="570"/>
      <c r="H369" s="570"/>
      <c r="I369" s="570"/>
      <c r="J369" s="570"/>
      <c r="K369" s="570"/>
    </row>
    <row r="370" ht="12.75" customHeight="1">
      <c r="A370" s="833">
        <v>29</v>
      </c>
      <c r="B370" t="s" s="834">
        <v>661</v>
      </c>
      <c r="C370" t="s" s="834">
        <v>617</v>
      </c>
      <c r="D370" s="835">
        <v>46037</v>
      </c>
      <c r="E370" s="836">
        <v>1.359201388888889</v>
      </c>
      <c r="F370" s="836">
        <v>1.759965277777778</v>
      </c>
      <c r="G370" s="570"/>
      <c r="H370" s="570"/>
      <c r="I370" s="570"/>
      <c r="J370" s="570"/>
      <c r="K370" s="570"/>
    </row>
    <row r="371" ht="12.75" customHeight="1">
      <c r="A371" t="s" s="834">
        <v>677</v>
      </c>
      <c r="B371" t="s" s="834">
        <v>678</v>
      </c>
      <c r="C371" t="s" s="834">
        <v>606</v>
      </c>
      <c r="D371" s="570"/>
      <c r="E371" s="570"/>
      <c r="F371" s="570"/>
      <c r="G371" s="570"/>
      <c r="H371" s="570"/>
      <c r="I371" s="570"/>
      <c r="J371" s="570"/>
      <c r="K371" s="570"/>
    </row>
    <row r="372" ht="12.75" customHeight="1">
      <c r="A372" s="833">
        <v>29</v>
      </c>
      <c r="B372" t="s" s="834">
        <v>661</v>
      </c>
      <c r="C372" t="s" s="834">
        <v>617</v>
      </c>
      <c r="D372" s="835">
        <v>46038</v>
      </c>
      <c r="E372" t="s" s="834">
        <v>478</v>
      </c>
      <c r="F372" t="s" s="834">
        <v>478</v>
      </c>
      <c r="G372" s="570"/>
      <c r="H372" s="570"/>
      <c r="I372" s="570"/>
      <c r="J372" s="570"/>
      <c r="K372" s="570"/>
    </row>
    <row r="373" ht="12.75" customHeight="1">
      <c r="A373" s="833">
        <v>29</v>
      </c>
      <c r="B373" t="s" s="834">
        <v>661</v>
      </c>
      <c r="C373" t="s" s="834">
        <v>617</v>
      </c>
      <c r="D373" s="835">
        <v>46039</v>
      </c>
      <c r="E373" t="s" s="834">
        <v>478</v>
      </c>
      <c r="F373" t="s" s="834">
        <v>478</v>
      </c>
      <c r="G373" s="570"/>
      <c r="H373" s="570"/>
      <c r="I373" s="570"/>
      <c r="J373" s="570"/>
      <c r="K373" s="570"/>
    </row>
    <row r="374" ht="12.75" customHeight="1">
      <c r="A374" s="833">
        <v>29</v>
      </c>
      <c r="B374" t="s" s="834">
        <v>661</v>
      </c>
      <c r="C374" t="s" s="834">
        <v>617</v>
      </c>
      <c r="D374" s="835">
        <v>46040</v>
      </c>
      <c r="E374" t="s" s="834">
        <v>478</v>
      </c>
      <c r="F374" t="s" s="834">
        <v>478</v>
      </c>
      <c r="G374" s="570"/>
      <c r="H374" s="570"/>
      <c r="I374" s="570"/>
      <c r="J374" s="570"/>
      <c r="K374" s="570"/>
    </row>
    <row r="375" ht="12.75" customHeight="1">
      <c r="A375" s="833">
        <v>29</v>
      </c>
      <c r="B375" t="s" s="834">
        <v>661</v>
      </c>
      <c r="C375" t="s" s="834">
        <v>617</v>
      </c>
      <c r="D375" s="835">
        <v>46041</v>
      </c>
      <c r="E375" s="836">
        <v>1.354375</v>
      </c>
      <c r="F375" s="836">
        <v>1.752650462962963</v>
      </c>
      <c r="G375" s="570"/>
      <c r="H375" s="570"/>
      <c r="I375" s="570"/>
      <c r="J375" s="570"/>
      <c r="K375" s="570"/>
    </row>
    <row r="376" ht="12.75" customHeight="1">
      <c r="A376" t="s" s="834">
        <v>679</v>
      </c>
      <c r="B376" t="s" s="834">
        <v>680</v>
      </c>
      <c r="C376" t="s" s="834">
        <v>611</v>
      </c>
      <c r="D376" s="570"/>
      <c r="E376" s="570"/>
      <c r="F376" s="570"/>
      <c r="G376" s="570"/>
      <c r="H376" s="570"/>
      <c r="I376" s="570"/>
      <c r="J376" s="570"/>
      <c r="K376" s="570"/>
    </row>
    <row r="377" ht="12.75" customHeight="1">
      <c r="A377" s="833">
        <v>29</v>
      </c>
      <c r="B377" t="s" s="834">
        <v>661</v>
      </c>
      <c r="C377" t="s" s="834">
        <v>617</v>
      </c>
      <c r="D377" s="835">
        <v>46042</v>
      </c>
      <c r="E377" s="836">
        <v>1.355590277777778</v>
      </c>
      <c r="F377" s="836">
        <v>1.751805555555555</v>
      </c>
      <c r="G377" s="570"/>
      <c r="H377" s="570"/>
      <c r="I377" s="570"/>
      <c r="J377" s="570"/>
      <c r="K377" s="570"/>
    </row>
    <row r="378" ht="12.75" customHeight="1">
      <c r="A378" t="s" s="834">
        <v>681</v>
      </c>
      <c r="B378" t="s" s="834">
        <v>682</v>
      </c>
      <c r="C378" t="s" s="834">
        <v>683</v>
      </c>
      <c r="D378" s="570"/>
      <c r="E378" s="570"/>
      <c r="F378" s="570"/>
      <c r="G378" s="570"/>
      <c r="H378" s="570"/>
      <c r="I378" s="570"/>
      <c r="J378" s="570"/>
      <c r="K378" s="570"/>
    </row>
    <row r="379" ht="12.75" customHeight="1">
      <c r="A379" s="833">
        <v>29</v>
      </c>
      <c r="B379" t="s" s="834">
        <v>661</v>
      </c>
      <c r="C379" t="s" s="834">
        <v>617</v>
      </c>
      <c r="D379" s="835">
        <v>46043</v>
      </c>
      <c r="E379" s="836">
        <v>1.358055555555556</v>
      </c>
      <c r="F379" s="836">
        <v>1.752048611111111</v>
      </c>
      <c r="G379" s="570"/>
      <c r="H379" s="570"/>
      <c r="I379" s="570"/>
      <c r="J379" s="570"/>
      <c r="K379" s="570"/>
    </row>
    <row r="380" ht="12.75" customHeight="1">
      <c r="A380" t="s" s="834">
        <v>684</v>
      </c>
      <c r="B380" t="s" s="834">
        <v>685</v>
      </c>
      <c r="C380" t="s" s="834">
        <v>518</v>
      </c>
      <c r="D380" s="570"/>
      <c r="E380" s="570"/>
      <c r="F380" s="570"/>
      <c r="G380" s="570"/>
      <c r="H380" s="570"/>
      <c r="I380" s="570"/>
      <c r="J380" s="570"/>
      <c r="K380" s="570"/>
    </row>
    <row r="381" ht="12.75" customHeight="1">
      <c r="A381" s="833">
        <v>29</v>
      </c>
      <c r="B381" t="s" s="834">
        <v>661</v>
      </c>
      <c r="C381" t="s" s="834">
        <v>617</v>
      </c>
      <c r="D381" s="835">
        <v>46044</v>
      </c>
      <c r="E381" s="836">
        <v>1.354386574074074</v>
      </c>
      <c r="F381" s="836">
        <v>1.7525</v>
      </c>
      <c r="G381" s="570"/>
      <c r="H381" s="570"/>
      <c r="I381" s="570"/>
      <c r="J381" s="570"/>
      <c r="K381" s="570"/>
    </row>
    <row r="382" ht="12.75" customHeight="1">
      <c r="A382" t="s" s="834">
        <v>686</v>
      </c>
      <c r="B382" t="s" s="834">
        <v>687</v>
      </c>
      <c r="C382" t="s" s="834">
        <v>688</v>
      </c>
      <c r="D382" s="570"/>
      <c r="E382" s="570"/>
      <c r="F382" s="570"/>
      <c r="G382" s="570"/>
      <c r="H382" s="570"/>
      <c r="I382" s="570"/>
      <c r="J382" s="570"/>
      <c r="K382" s="570"/>
    </row>
    <row r="383" ht="12.75" customHeight="1">
      <c r="A383" s="833">
        <v>29</v>
      </c>
      <c r="B383" t="s" s="834">
        <v>661</v>
      </c>
      <c r="C383" t="s" s="834">
        <v>617</v>
      </c>
      <c r="D383" s="835">
        <v>46045</v>
      </c>
      <c r="E383" t="s" s="834">
        <v>478</v>
      </c>
      <c r="F383" t="s" s="834">
        <v>478</v>
      </c>
      <c r="G383" s="570"/>
      <c r="H383" s="570"/>
      <c r="I383" s="570"/>
      <c r="J383" s="570"/>
      <c r="K383" s="570"/>
    </row>
    <row r="384" ht="12.75" customHeight="1">
      <c r="A384" s="833">
        <v>29</v>
      </c>
      <c r="B384" t="s" s="834">
        <v>661</v>
      </c>
      <c r="C384" t="s" s="834">
        <v>617</v>
      </c>
      <c r="D384" s="835">
        <v>46046</v>
      </c>
      <c r="E384" t="s" s="834">
        <v>478</v>
      </c>
      <c r="F384" t="s" s="834">
        <v>478</v>
      </c>
      <c r="G384" s="570"/>
      <c r="H384" s="570"/>
      <c r="I384" s="570"/>
      <c r="J384" s="570"/>
      <c r="K384" s="570"/>
    </row>
    <row r="385" ht="12.75" customHeight="1">
      <c r="A385" s="833">
        <v>29</v>
      </c>
      <c r="B385" t="s" s="834">
        <v>661</v>
      </c>
      <c r="C385" t="s" s="834">
        <v>617</v>
      </c>
      <c r="D385" s="835">
        <v>46047</v>
      </c>
      <c r="E385" t="s" s="834">
        <v>478</v>
      </c>
      <c r="F385" t="s" s="834">
        <v>478</v>
      </c>
      <c r="G385" s="570"/>
      <c r="H385" s="570"/>
      <c r="I385" s="570"/>
      <c r="J385" s="570"/>
      <c r="K385" s="570"/>
    </row>
    <row r="386" ht="12.75" customHeight="1">
      <c r="A386" s="833">
        <v>29</v>
      </c>
      <c r="B386" t="s" s="834">
        <v>661</v>
      </c>
      <c r="C386" t="s" s="834">
        <v>617</v>
      </c>
      <c r="D386" s="835">
        <v>46048</v>
      </c>
      <c r="E386" s="836">
        <v>1.360486111111111</v>
      </c>
      <c r="F386" s="836">
        <v>1.756701388888889</v>
      </c>
      <c r="G386" s="570"/>
      <c r="H386" s="570"/>
      <c r="I386" s="570"/>
      <c r="J386" s="570"/>
      <c r="K386" s="570"/>
    </row>
    <row r="387" ht="12.75" customHeight="1">
      <c r="A387" t="s" s="834">
        <v>689</v>
      </c>
      <c r="B387" t="s" s="834">
        <v>690</v>
      </c>
      <c r="C387" t="s" s="834">
        <v>683</v>
      </c>
      <c r="D387" s="570"/>
      <c r="E387" s="570"/>
      <c r="F387" s="570"/>
      <c r="G387" s="570"/>
      <c r="H387" s="570"/>
      <c r="I387" s="570"/>
      <c r="J387" s="570"/>
      <c r="K387" s="570"/>
    </row>
    <row r="388" ht="12.75" customHeight="1">
      <c r="A388" s="833">
        <v>29</v>
      </c>
      <c r="B388" t="s" s="834">
        <v>661</v>
      </c>
      <c r="C388" t="s" s="834">
        <v>617</v>
      </c>
      <c r="D388" s="835">
        <v>46049</v>
      </c>
      <c r="E388" s="836">
        <v>1.357662037037037</v>
      </c>
      <c r="F388" s="836">
        <v>1.754039351851852</v>
      </c>
      <c r="G388" s="570"/>
      <c r="H388" s="570"/>
      <c r="I388" s="570"/>
      <c r="J388" s="570"/>
      <c r="K388" s="570"/>
    </row>
    <row r="389" ht="12.75" customHeight="1">
      <c r="A389" t="s" s="834">
        <v>691</v>
      </c>
      <c r="B389" t="s" s="834">
        <v>692</v>
      </c>
      <c r="C389" t="s" s="834">
        <v>683</v>
      </c>
      <c r="D389" s="570"/>
      <c r="E389" s="570"/>
      <c r="F389" s="570"/>
      <c r="G389" s="570"/>
      <c r="H389" s="570"/>
      <c r="I389" s="570"/>
      <c r="J389" s="570"/>
      <c r="K389" s="570"/>
    </row>
    <row r="390" ht="12.75" customHeight="1">
      <c r="A390" s="833">
        <v>29</v>
      </c>
      <c r="B390" t="s" s="834">
        <v>661</v>
      </c>
      <c r="C390" t="s" s="834">
        <v>617</v>
      </c>
      <c r="D390" s="835">
        <v>46050</v>
      </c>
      <c r="E390" s="836">
        <v>1.358055555555556</v>
      </c>
      <c r="F390" s="836">
        <v>1.753564814814815</v>
      </c>
      <c r="G390" s="570"/>
      <c r="H390" s="570"/>
      <c r="I390" s="570"/>
      <c r="J390" s="570"/>
      <c r="K390" s="570"/>
    </row>
    <row r="391" ht="12.75" customHeight="1">
      <c r="A391" t="s" s="834">
        <v>693</v>
      </c>
      <c r="B391" t="s" s="834">
        <v>694</v>
      </c>
      <c r="C391" t="s" s="834">
        <v>634</v>
      </c>
      <c r="D391" s="570"/>
      <c r="E391" s="570"/>
      <c r="F391" s="570"/>
      <c r="G391" s="570"/>
      <c r="H391" s="570"/>
      <c r="I391" s="570"/>
      <c r="J391" s="570"/>
      <c r="K391" s="570"/>
    </row>
    <row r="392" ht="12.75" customHeight="1">
      <c r="A392" s="833">
        <v>29</v>
      </c>
      <c r="B392" t="s" s="834">
        <v>661</v>
      </c>
      <c r="C392" t="s" s="834">
        <v>617</v>
      </c>
      <c r="D392" s="835">
        <v>46051</v>
      </c>
      <c r="E392" s="836">
        <v>1.35568287037037</v>
      </c>
      <c r="F392" s="836">
        <v>1.756759259259259</v>
      </c>
      <c r="G392" s="570"/>
      <c r="H392" s="570"/>
      <c r="I392" s="570"/>
      <c r="J392" s="570"/>
      <c r="K392" s="570"/>
    </row>
    <row r="393" ht="12.75" customHeight="1">
      <c r="A393" t="s" s="834">
        <v>695</v>
      </c>
      <c r="B393" t="s" s="834">
        <v>696</v>
      </c>
      <c r="C393" t="s" s="834">
        <v>697</v>
      </c>
      <c r="D393" s="570"/>
      <c r="E393" s="570"/>
      <c r="F393" s="570"/>
      <c r="G393" s="570"/>
      <c r="H393" s="570"/>
      <c r="I393" s="570"/>
      <c r="J393" s="570"/>
      <c r="K393" s="570"/>
    </row>
    <row r="394" ht="12.75" customHeight="1">
      <c r="A394" s="833">
        <v>29</v>
      </c>
      <c r="B394" t="s" s="834">
        <v>661</v>
      </c>
      <c r="C394" t="s" s="834">
        <v>617</v>
      </c>
      <c r="D394" s="835">
        <v>46052</v>
      </c>
      <c r="E394" t="s" s="834">
        <v>478</v>
      </c>
      <c r="F394" t="s" s="834">
        <v>478</v>
      </c>
      <c r="G394" s="570"/>
      <c r="H394" s="570"/>
      <c r="I394" s="570"/>
      <c r="J394" s="570"/>
      <c r="K394" s="570"/>
    </row>
    <row r="395" ht="12.75" customHeight="1">
      <c r="A395" s="833">
        <v>29</v>
      </c>
      <c r="B395" t="s" s="834">
        <v>661</v>
      </c>
      <c r="C395" t="s" s="834">
        <v>617</v>
      </c>
      <c r="D395" s="835">
        <v>46053</v>
      </c>
      <c r="E395" t="s" s="834">
        <v>478</v>
      </c>
      <c r="F395" t="s" s="834">
        <v>478</v>
      </c>
      <c r="G395" s="570"/>
      <c r="H395" s="570"/>
      <c r="I395" s="570"/>
      <c r="J395" s="570"/>
      <c r="K395" s="570"/>
    </row>
    <row r="396" ht="12.75" customHeight="1">
      <c r="A396" s="833">
        <v>29</v>
      </c>
      <c r="B396" t="s" s="834">
        <v>661</v>
      </c>
      <c r="C396" t="s" s="834">
        <v>617</v>
      </c>
      <c r="D396" s="835">
        <v>46054</v>
      </c>
      <c r="E396" t="s" s="834">
        <v>478</v>
      </c>
      <c r="F396" t="s" s="834">
        <v>478</v>
      </c>
      <c r="G396" s="570"/>
      <c r="H396" s="570"/>
      <c r="I396" s="570"/>
      <c r="J396" s="570"/>
      <c r="K396" s="570"/>
    </row>
    <row r="397" ht="12.75" customHeight="1">
      <c r="A397" s="833">
        <v>31</v>
      </c>
      <c r="B397" t="s" s="834">
        <v>698</v>
      </c>
      <c r="C397" t="s" s="834">
        <v>477</v>
      </c>
      <c r="D397" s="835">
        <v>46023</v>
      </c>
      <c r="E397" t="s" s="834">
        <v>478</v>
      </c>
      <c r="F397" t="s" s="834">
        <v>478</v>
      </c>
      <c r="G397" s="570"/>
      <c r="H397" s="570"/>
      <c r="I397" s="570"/>
      <c r="J397" s="570"/>
      <c r="K397" s="570"/>
    </row>
    <row r="398" ht="12.75" customHeight="1">
      <c r="A398" s="833">
        <v>31</v>
      </c>
      <c r="B398" t="s" s="834">
        <v>698</v>
      </c>
      <c r="C398" t="s" s="834">
        <v>477</v>
      </c>
      <c r="D398" s="835">
        <v>46024</v>
      </c>
      <c r="E398" t="s" s="834">
        <v>478</v>
      </c>
      <c r="F398" t="s" s="834">
        <v>478</v>
      </c>
      <c r="G398" s="570"/>
      <c r="H398" s="570"/>
      <c r="I398" s="570"/>
      <c r="J398" s="570"/>
      <c r="K398" s="570"/>
    </row>
    <row r="399" ht="12.75" customHeight="1">
      <c r="A399" s="833">
        <v>31</v>
      </c>
      <c r="B399" t="s" s="834">
        <v>698</v>
      </c>
      <c r="C399" t="s" s="834">
        <v>477</v>
      </c>
      <c r="D399" s="835">
        <v>46025</v>
      </c>
      <c r="E399" t="s" s="834">
        <v>478</v>
      </c>
      <c r="F399" t="s" s="834">
        <v>478</v>
      </c>
      <c r="G399" s="570"/>
      <c r="H399" s="570"/>
      <c r="I399" s="570"/>
      <c r="J399" s="570"/>
      <c r="K399" s="570"/>
    </row>
    <row r="400" ht="12.75" customHeight="1">
      <c r="A400" s="833">
        <v>31</v>
      </c>
      <c r="B400" t="s" s="834">
        <v>698</v>
      </c>
      <c r="C400" t="s" s="834">
        <v>477</v>
      </c>
      <c r="D400" s="835">
        <v>46026</v>
      </c>
      <c r="E400" t="s" s="834">
        <v>478</v>
      </c>
      <c r="F400" t="s" s="834">
        <v>478</v>
      </c>
      <c r="G400" s="570"/>
      <c r="H400" s="570"/>
      <c r="I400" s="570"/>
      <c r="J400" s="570"/>
      <c r="K400" s="570"/>
    </row>
    <row r="401" ht="12.75" customHeight="1">
      <c r="A401" s="833">
        <v>31</v>
      </c>
      <c r="B401" t="s" s="834">
        <v>698</v>
      </c>
      <c r="C401" t="s" s="834">
        <v>477</v>
      </c>
      <c r="D401" s="835">
        <v>46027</v>
      </c>
      <c r="E401" t="s" s="834">
        <v>478</v>
      </c>
      <c r="F401" t="s" s="834">
        <v>478</v>
      </c>
      <c r="G401" s="570"/>
      <c r="H401" s="570"/>
      <c r="I401" s="570"/>
      <c r="J401" s="570"/>
      <c r="K401" s="570"/>
    </row>
    <row r="402" ht="12.75" customHeight="1">
      <c r="A402" s="833">
        <v>31</v>
      </c>
      <c r="B402" t="s" s="834">
        <v>698</v>
      </c>
      <c r="C402" t="s" s="834">
        <v>477</v>
      </c>
      <c r="D402" s="835">
        <v>46028</v>
      </c>
      <c r="E402" t="s" s="834">
        <v>478</v>
      </c>
      <c r="F402" t="s" s="834">
        <v>478</v>
      </c>
      <c r="G402" s="570"/>
      <c r="H402" s="570"/>
      <c r="I402" s="570"/>
      <c r="J402" s="570"/>
      <c r="K402" s="570"/>
    </row>
    <row r="403" ht="12.75" customHeight="1">
      <c r="A403" s="833">
        <v>31</v>
      </c>
      <c r="B403" t="s" s="834">
        <v>698</v>
      </c>
      <c r="C403" t="s" s="834">
        <v>477</v>
      </c>
      <c r="D403" s="835">
        <v>46029</v>
      </c>
      <c r="E403" t="s" s="834">
        <v>478</v>
      </c>
      <c r="F403" t="s" s="834">
        <v>478</v>
      </c>
      <c r="G403" s="570"/>
      <c r="H403" s="570"/>
      <c r="I403" s="570"/>
      <c r="J403" s="570"/>
      <c r="K403" s="570"/>
    </row>
    <row r="404" ht="12.75" customHeight="1">
      <c r="A404" s="833">
        <v>31</v>
      </c>
      <c r="B404" t="s" s="834">
        <v>698</v>
      </c>
      <c r="C404" t="s" s="834">
        <v>477</v>
      </c>
      <c r="D404" s="835">
        <v>46030</v>
      </c>
      <c r="E404" t="s" s="834">
        <v>478</v>
      </c>
      <c r="F404" t="s" s="834">
        <v>478</v>
      </c>
      <c r="G404" s="570"/>
      <c r="H404" s="570"/>
      <c r="I404" s="570"/>
      <c r="J404" s="570"/>
      <c r="K404" s="570"/>
    </row>
    <row r="405" ht="12.75" customHeight="1">
      <c r="A405" s="833">
        <v>31</v>
      </c>
      <c r="B405" t="s" s="834">
        <v>698</v>
      </c>
      <c r="C405" t="s" s="834">
        <v>477</v>
      </c>
      <c r="D405" s="835">
        <v>46031</v>
      </c>
      <c r="E405" t="s" s="834">
        <v>478</v>
      </c>
      <c r="F405" t="s" s="834">
        <v>478</v>
      </c>
      <c r="G405" s="570"/>
      <c r="H405" s="570"/>
      <c r="I405" s="570"/>
      <c r="J405" s="570"/>
      <c r="K405" s="570"/>
    </row>
    <row r="406" ht="12.75" customHeight="1">
      <c r="A406" s="833">
        <v>31</v>
      </c>
      <c r="B406" t="s" s="834">
        <v>698</v>
      </c>
      <c r="C406" t="s" s="834">
        <v>477</v>
      </c>
      <c r="D406" s="835">
        <v>46032</v>
      </c>
      <c r="E406" t="s" s="834">
        <v>478</v>
      </c>
      <c r="F406" t="s" s="834">
        <v>478</v>
      </c>
      <c r="G406" s="570"/>
      <c r="H406" s="570"/>
      <c r="I406" s="570"/>
      <c r="J406" s="570"/>
      <c r="K406" s="570"/>
    </row>
    <row r="407" ht="12.75" customHeight="1">
      <c r="A407" s="833">
        <v>31</v>
      </c>
      <c r="B407" t="s" s="834">
        <v>698</v>
      </c>
      <c r="C407" t="s" s="834">
        <v>477</v>
      </c>
      <c r="D407" s="835">
        <v>46033</v>
      </c>
      <c r="E407" t="s" s="834">
        <v>478</v>
      </c>
      <c r="F407" t="s" s="834">
        <v>478</v>
      </c>
      <c r="G407" s="570"/>
      <c r="H407" s="570"/>
      <c r="I407" s="570"/>
      <c r="J407" s="570"/>
      <c r="K407" s="570"/>
    </row>
    <row r="408" ht="12.75" customHeight="1">
      <c r="A408" s="833">
        <v>31</v>
      </c>
      <c r="B408" t="s" s="834">
        <v>698</v>
      </c>
      <c r="C408" t="s" s="834">
        <v>477</v>
      </c>
      <c r="D408" s="835">
        <v>46034</v>
      </c>
      <c r="E408" t="s" s="834">
        <v>478</v>
      </c>
      <c r="F408" t="s" s="834">
        <v>478</v>
      </c>
      <c r="G408" s="570"/>
      <c r="H408" s="570"/>
      <c r="I408" s="570"/>
      <c r="J408" s="570"/>
      <c r="K408" s="570"/>
    </row>
    <row r="409" ht="12.75" customHeight="1">
      <c r="A409" s="833">
        <v>31</v>
      </c>
      <c r="B409" t="s" s="834">
        <v>698</v>
      </c>
      <c r="C409" t="s" s="834">
        <v>477</v>
      </c>
      <c r="D409" s="835">
        <v>46035</v>
      </c>
      <c r="E409" t="s" s="834">
        <v>478</v>
      </c>
      <c r="F409" t="s" s="834">
        <v>478</v>
      </c>
      <c r="G409" s="570"/>
      <c r="H409" s="570"/>
      <c r="I409" s="570"/>
      <c r="J409" s="570"/>
      <c r="K409" s="570"/>
    </row>
    <row r="410" ht="12.75" customHeight="1">
      <c r="A410" s="833">
        <v>31</v>
      </c>
      <c r="B410" t="s" s="834">
        <v>698</v>
      </c>
      <c r="C410" t="s" s="834">
        <v>477</v>
      </c>
      <c r="D410" s="835">
        <v>46036</v>
      </c>
      <c r="E410" t="s" s="834">
        <v>478</v>
      </c>
      <c r="F410" t="s" s="834">
        <v>478</v>
      </c>
      <c r="G410" s="570"/>
      <c r="H410" s="570"/>
      <c r="I410" s="570"/>
      <c r="J410" s="570"/>
      <c r="K410" s="570"/>
    </row>
    <row r="411" ht="12.75" customHeight="1">
      <c r="A411" s="833">
        <v>31</v>
      </c>
      <c r="B411" t="s" s="834">
        <v>698</v>
      </c>
      <c r="C411" t="s" s="834">
        <v>477</v>
      </c>
      <c r="D411" s="835">
        <v>46037</v>
      </c>
      <c r="E411" t="s" s="834">
        <v>478</v>
      </c>
      <c r="F411" t="s" s="834">
        <v>478</v>
      </c>
      <c r="G411" s="570"/>
      <c r="H411" s="570"/>
      <c r="I411" s="570"/>
      <c r="J411" s="570"/>
      <c r="K411" s="570"/>
    </row>
    <row r="412" ht="12.75" customHeight="1">
      <c r="A412" s="833">
        <v>31</v>
      </c>
      <c r="B412" t="s" s="834">
        <v>698</v>
      </c>
      <c r="C412" t="s" s="834">
        <v>477</v>
      </c>
      <c r="D412" s="835">
        <v>46038</v>
      </c>
      <c r="E412" t="s" s="834">
        <v>478</v>
      </c>
      <c r="F412" t="s" s="834">
        <v>478</v>
      </c>
      <c r="G412" s="570"/>
      <c r="H412" s="570"/>
      <c r="I412" s="570"/>
      <c r="J412" s="570"/>
      <c r="K412" s="570"/>
    </row>
    <row r="413" ht="12.75" customHeight="1">
      <c r="A413" s="833">
        <v>31</v>
      </c>
      <c r="B413" t="s" s="834">
        <v>698</v>
      </c>
      <c r="C413" t="s" s="834">
        <v>477</v>
      </c>
      <c r="D413" s="835">
        <v>46039</v>
      </c>
      <c r="E413" t="s" s="834">
        <v>478</v>
      </c>
      <c r="F413" t="s" s="834">
        <v>478</v>
      </c>
      <c r="G413" s="570"/>
      <c r="H413" s="570"/>
      <c r="I413" s="570"/>
      <c r="J413" s="570"/>
      <c r="K413" s="570"/>
    </row>
    <row r="414" ht="12.75" customHeight="1">
      <c r="A414" s="833">
        <v>31</v>
      </c>
      <c r="B414" t="s" s="834">
        <v>698</v>
      </c>
      <c r="C414" t="s" s="834">
        <v>477</v>
      </c>
      <c r="D414" s="835">
        <v>46040</v>
      </c>
      <c r="E414" t="s" s="834">
        <v>478</v>
      </c>
      <c r="F414" t="s" s="834">
        <v>478</v>
      </c>
      <c r="G414" s="570"/>
      <c r="H414" s="570"/>
      <c r="I414" s="570"/>
      <c r="J414" s="570"/>
      <c r="K414" s="570"/>
    </row>
    <row r="415" ht="12.75" customHeight="1">
      <c r="A415" s="833">
        <v>31</v>
      </c>
      <c r="B415" t="s" s="834">
        <v>698</v>
      </c>
      <c r="C415" t="s" s="834">
        <v>477</v>
      </c>
      <c r="D415" s="835">
        <v>46041</v>
      </c>
      <c r="E415" t="s" s="834">
        <v>478</v>
      </c>
      <c r="F415" t="s" s="834">
        <v>478</v>
      </c>
      <c r="G415" s="570"/>
      <c r="H415" s="570"/>
      <c r="I415" s="570"/>
      <c r="J415" s="570"/>
      <c r="K415" s="570"/>
    </row>
    <row r="416" ht="12.75" customHeight="1">
      <c r="A416" s="833">
        <v>31</v>
      </c>
      <c r="B416" t="s" s="834">
        <v>698</v>
      </c>
      <c r="C416" t="s" s="834">
        <v>477</v>
      </c>
      <c r="D416" s="835">
        <v>46042</v>
      </c>
      <c r="E416" t="s" s="834">
        <v>478</v>
      </c>
      <c r="F416" t="s" s="834">
        <v>478</v>
      </c>
      <c r="G416" s="570"/>
      <c r="H416" s="570"/>
      <c r="I416" s="570"/>
      <c r="J416" s="570"/>
      <c r="K416" s="570"/>
    </row>
    <row r="417" ht="12.75" customHeight="1">
      <c r="A417" s="833">
        <v>31</v>
      </c>
      <c r="B417" t="s" s="834">
        <v>698</v>
      </c>
      <c r="C417" t="s" s="834">
        <v>477</v>
      </c>
      <c r="D417" s="835">
        <v>46043</v>
      </c>
      <c r="E417" t="s" s="834">
        <v>478</v>
      </c>
      <c r="F417" t="s" s="834">
        <v>478</v>
      </c>
      <c r="G417" s="570"/>
      <c r="H417" s="570"/>
      <c r="I417" s="570"/>
      <c r="J417" s="570"/>
      <c r="K417" s="570"/>
    </row>
    <row r="418" ht="12.75" customHeight="1">
      <c r="A418" s="833">
        <v>31</v>
      </c>
      <c r="B418" t="s" s="834">
        <v>698</v>
      </c>
      <c r="C418" t="s" s="834">
        <v>477</v>
      </c>
      <c r="D418" s="835">
        <v>46044</v>
      </c>
      <c r="E418" t="s" s="834">
        <v>478</v>
      </c>
      <c r="F418" t="s" s="834">
        <v>478</v>
      </c>
      <c r="G418" s="570"/>
      <c r="H418" s="570"/>
      <c r="I418" s="570"/>
      <c r="J418" s="570"/>
      <c r="K418" s="570"/>
    </row>
    <row r="419" ht="12.75" customHeight="1">
      <c r="A419" s="833">
        <v>31</v>
      </c>
      <c r="B419" t="s" s="834">
        <v>698</v>
      </c>
      <c r="C419" t="s" s="834">
        <v>477</v>
      </c>
      <c r="D419" s="835">
        <v>46045</v>
      </c>
      <c r="E419" t="s" s="834">
        <v>478</v>
      </c>
      <c r="F419" t="s" s="834">
        <v>478</v>
      </c>
      <c r="G419" s="570"/>
      <c r="H419" s="570"/>
      <c r="I419" s="570"/>
      <c r="J419" s="570"/>
      <c r="K419" s="570"/>
    </row>
    <row r="420" ht="12.75" customHeight="1">
      <c r="A420" s="833">
        <v>31</v>
      </c>
      <c r="B420" t="s" s="834">
        <v>698</v>
      </c>
      <c r="C420" t="s" s="834">
        <v>477</v>
      </c>
      <c r="D420" s="835">
        <v>46046</v>
      </c>
      <c r="E420" t="s" s="834">
        <v>478</v>
      </c>
      <c r="F420" t="s" s="834">
        <v>478</v>
      </c>
      <c r="G420" s="570"/>
      <c r="H420" s="570"/>
      <c r="I420" s="570"/>
      <c r="J420" s="570"/>
      <c r="K420" s="570"/>
    </row>
    <row r="421" ht="12.75" customHeight="1">
      <c r="A421" s="833">
        <v>31</v>
      </c>
      <c r="B421" t="s" s="834">
        <v>698</v>
      </c>
      <c r="C421" t="s" s="834">
        <v>477</v>
      </c>
      <c r="D421" s="835">
        <v>46047</v>
      </c>
      <c r="E421" t="s" s="834">
        <v>478</v>
      </c>
      <c r="F421" t="s" s="834">
        <v>478</v>
      </c>
      <c r="G421" s="570"/>
      <c r="H421" s="570"/>
      <c r="I421" s="570"/>
      <c r="J421" s="570"/>
      <c r="K421" s="570"/>
    </row>
    <row r="422" ht="12.75" customHeight="1">
      <c r="A422" s="833">
        <v>31</v>
      </c>
      <c r="B422" t="s" s="834">
        <v>698</v>
      </c>
      <c r="C422" t="s" s="834">
        <v>477</v>
      </c>
      <c r="D422" s="835">
        <v>46048</v>
      </c>
      <c r="E422" t="s" s="834">
        <v>478</v>
      </c>
      <c r="F422" t="s" s="834">
        <v>478</v>
      </c>
      <c r="G422" s="570"/>
      <c r="H422" s="570"/>
      <c r="I422" s="570"/>
      <c r="J422" s="570"/>
      <c r="K422" s="570"/>
    </row>
    <row r="423" ht="12.75" customHeight="1">
      <c r="A423" s="833">
        <v>31</v>
      </c>
      <c r="B423" t="s" s="834">
        <v>698</v>
      </c>
      <c r="C423" t="s" s="834">
        <v>477</v>
      </c>
      <c r="D423" s="835">
        <v>46049</v>
      </c>
      <c r="E423" t="s" s="834">
        <v>478</v>
      </c>
      <c r="F423" t="s" s="834">
        <v>478</v>
      </c>
      <c r="G423" s="570"/>
      <c r="H423" s="570"/>
      <c r="I423" s="570"/>
      <c r="J423" s="570"/>
      <c r="K423" s="570"/>
    </row>
    <row r="424" ht="12.75" customHeight="1">
      <c r="A424" s="833">
        <v>31</v>
      </c>
      <c r="B424" t="s" s="834">
        <v>698</v>
      </c>
      <c r="C424" t="s" s="834">
        <v>477</v>
      </c>
      <c r="D424" s="835">
        <v>46050</v>
      </c>
      <c r="E424" t="s" s="834">
        <v>478</v>
      </c>
      <c r="F424" t="s" s="834">
        <v>478</v>
      </c>
      <c r="G424" s="570"/>
      <c r="H424" s="570"/>
      <c r="I424" s="570"/>
      <c r="J424" s="570"/>
      <c r="K424" s="570"/>
    </row>
    <row r="425" ht="12.75" customHeight="1">
      <c r="A425" s="833">
        <v>31</v>
      </c>
      <c r="B425" t="s" s="834">
        <v>698</v>
      </c>
      <c r="C425" t="s" s="834">
        <v>477</v>
      </c>
      <c r="D425" s="835">
        <v>46051</v>
      </c>
      <c r="E425" t="s" s="834">
        <v>478</v>
      </c>
      <c r="F425" t="s" s="834">
        <v>478</v>
      </c>
      <c r="G425" s="570"/>
      <c r="H425" s="570"/>
      <c r="I425" s="570"/>
      <c r="J425" s="570"/>
      <c r="K425" s="570"/>
    </row>
    <row r="426" ht="12.75" customHeight="1">
      <c r="A426" s="833">
        <v>31</v>
      </c>
      <c r="B426" t="s" s="834">
        <v>698</v>
      </c>
      <c r="C426" t="s" s="834">
        <v>477</v>
      </c>
      <c r="D426" s="835">
        <v>46052</v>
      </c>
      <c r="E426" t="s" s="834">
        <v>478</v>
      </c>
      <c r="F426" t="s" s="834">
        <v>478</v>
      </c>
      <c r="G426" s="570"/>
      <c r="H426" s="570"/>
      <c r="I426" s="570"/>
      <c r="J426" s="570"/>
      <c r="K426" s="570"/>
    </row>
    <row r="427" ht="12.75" customHeight="1">
      <c r="A427" s="833">
        <v>31</v>
      </c>
      <c r="B427" t="s" s="834">
        <v>698</v>
      </c>
      <c r="C427" t="s" s="834">
        <v>477</v>
      </c>
      <c r="D427" s="835">
        <v>46053</v>
      </c>
      <c r="E427" t="s" s="834">
        <v>478</v>
      </c>
      <c r="F427" t="s" s="834">
        <v>478</v>
      </c>
      <c r="G427" s="570"/>
      <c r="H427" s="570"/>
      <c r="I427" s="570"/>
      <c r="J427" s="570"/>
      <c r="K427" s="570"/>
    </row>
    <row r="428" ht="12.75" customHeight="1">
      <c r="A428" s="833">
        <v>31</v>
      </c>
      <c r="B428" t="s" s="834">
        <v>698</v>
      </c>
      <c r="C428" t="s" s="834">
        <v>477</v>
      </c>
      <c r="D428" s="835">
        <v>46054</v>
      </c>
      <c r="E428" t="s" s="834">
        <v>478</v>
      </c>
      <c r="F428" t="s" s="834">
        <v>478</v>
      </c>
      <c r="G428" s="570"/>
      <c r="H428" s="570"/>
      <c r="I428" s="570"/>
      <c r="J428" s="570"/>
      <c r="K428" s="570"/>
    </row>
    <row r="429" ht="12.75" customHeight="1">
      <c r="A429" s="833">
        <v>41</v>
      </c>
      <c r="B429" t="s" s="834">
        <v>699</v>
      </c>
      <c r="C429" t="s" s="834">
        <v>700</v>
      </c>
      <c r="D429" s="835">
        <v>46023</v>
      </c>
      <c r="E429" t="s" s="834">
        <v>478</v>
      </c>
      <c r="F429" t="s" s="834">
        <v>478</v>
      </c>
      <c r="G429" s="570"/>
      <c r="H429" s="570"/>
      <c r="I429" s="570"/>
      <c r="J429" s="570"/>
      <c r="K429" s="570"/>
    </row>
    <row r="430" ht="12.75" customHeight="1">
      <c r="A430" s="833">
        <v>41</v>
      </c>
      <c r="B430" t="s" s="834">
        <v>699</v>
      </c>
      <c r="C430" t="s" s="834">
        <v>700</v>
      </c>
      <c r="D430" s="835">
        <v>46024</v>
      </c>
      <c r="E430" t="s" s="834">
        <v>478</v>
      </c>
      <c r="F430" t="s" s="834">
        <v>478</v>
      </c>
      <c r="G430" s="570"/>
      <c r="H430" s="570"/>
      <c r="I430" s="570"/>
      <c r="J430" s="570"/>
      <c r="K430" s="570"/>
    </row>
    <row r="431" ht="12.75" customHeight="1">
      <c r="A431" s="833">
        <v>41</v>
      </c>
      <c r="B431" t="s" s="834">
        <v>699</v>
      </c>
      <c r="C431" t="s" s="834">
        <v>700</v>
      </c>
      <c r="D431" s="835">
        <v>46025</v>
      </c>
      <c r="E431" t="s" s="834">
        <v>478</v>
      </c>
      <c r="F431" t="s" s="834">
        <v>478</v>
      </c>
      <c r="G431" s="570"/>
      <c r="H431" s="570"/>
      <c r="I431" s="570"/>
      <c r="J431" s="570"/>
      <c r="K431" s="570"/>
    </row>
    <row r="432" ht="12.75" customHeight="1">
      <c r="A432" s="833">
        <v>41</v>
      </c>
      <c r="B432" t="s" s="834">
        <v>699</v>
      </c>
      <c r="C432" t="s" s="834">
        <v>700</v>
      </c>
      <c r="D432" s="835">
        <v>46026</v>
      </c>
      <c r="E432" t="s" s="834">
        <v>478</v>
      </c>
      <c r="F432" t="s" s="834">
        <v>478</v>
      </c>
      <c r="G432" s="570"/>
      <c r="H432" s="570"/>
      <c r="I432" s="570"/>
      <c r="J432" s="570"/>
      <c r="K432" s="570"/>
    </row>
    <row r="433" ht="12.75" customHeight="1">
      <c r="A433" s="833">
        <v>41</v>
      </c>
      <c r="B433" t="s" s="834">
        <v>699</v>
      </c>
      <c r="C433" t="s" s="834">
        <v>700</v>
      </c>
      <c r="D433" s="835">
        <v>46027</v>
      </c>
      <c r="E433" s="836">
        <v>1.592916666666667</v>
      </c>
      <c r="F433" s="836">
        <v>1.920405092592593</v>
      </c>
      <c r="G433" s="570"/>
      <c r="H433" s="570"/>
      <c r="I433" s="570"/>
      <c r="J433" s="570"/>
      <c r="K433" s="570"/>
    </row>
    <row r="434" ht="12.75" customHeight="1">
      <c r="A434" t="s" s="834">
        <v>701</v>
      </c>
      <c r="B434" t="s" s="834">
        <v>702</v>
      </c>
      <c r="C434" t="s" s="834">
        <v>703</v>
      </c>
      <c r="D434" s="570"/>
      <c r="E434" s="570"/>
      <c r="F434" s="570"/>
      <c r="G434" s="570"/>
      <c r="H434" s="570"/>
      <c r="I434" s="570"/>
      <c r="J434" s="570"/>
      <c r="K434" s="570"/>
    </row>
    <row r="435" ht="12.75" customHeight="1">
      <c r="A435" s="833">
        <v>41</v>
      </c>
      <c r="B435" t="s" s="834">
        <v>699</v>
      </c>
      <c r="C435" t="s" s="834">
        <v>700</v>
      </c>
      <c r="D435" s="835">
        <v>46028</v>
      </c>
      <c r="E435" s="836">
        <v>1.597835648148148</v>
      </c>
      <c r="F435" s="836">
        <v>1.932118055555556</v>
      </c>
      <c r="G435" s="570"/>
      <c r="H435" s="570"/>
      <c r="I435" s="570"/>
      <c r="J435" s="570"/>
      <c r="K435" s="570"/>
    </row>
    <row r="436" ht="12.75" customHeight="1">
      <c r="A436" t="s" s="834">
        <v>704</v>
      </c>
      <c r="B436" t="s" s="834">
        <v>705</v>
      </c>
      <c r="C436" t="s" s="834">
        <v>706</v>
      </c>
      <c r="D436" s="570"/>
      <c r="E436" s="570"/>
      <c r="F436" s="570"/>
      <c r="G436" s="570"/>
      <c r="H436" s="570"/>
      <c r="I436" s="570"/>
      <c r="J436" s="570"/>
      <c r="K436" s="570"/>
    </row>
    <row r="437" ht="12.75" customHeight="1">
      <c r="A437" s="833">
        <v>41</v>
      </c>
      <c r="B437" t="s" s="834">
        <v>699</v>
      </c>
      <c r="C437" t="s" s="834">
        <v>700</v>
      </c>
      <c r="D437" s="835">
        <v>46029</v>
      </c>
      <c r="E437" t="s" s="834">
        <v>478</v>
      </c>
      <c r="F437" t="s" s="834">
        <v>478</v>
      </c>
      <c r="G437" s="570"/>
      <c r="H437" s="570"/>
      <c r="I437" s="570"/>
      <c r="J437" s="570"/>
      <c r="K437" s="570"/>
    </row>
    <row r="438" ht="12.75" customHeight="1">
      <c r="A438" s="833">
        <v>41</v>
      </c>
      <c r="B438" t="s" s="834">
        <v>699</v>
      </c>
      <c r="C438" t="s" s="834">
        <v>700</v>
      </c>
      <c r="D438" s="835">
        <v>46030</v>
      </c>
      <c r="E438" s="836">
        <v>1.593715277777778</v>
      </c>
      <c r="F438" s="836">
        <v>1.922777777777778</v>
      </c>
      <c r="G438" s="570"/>
      <c r="H438" s="570"/>
      <c r="I438" s="570"/>
      <c r="J438" s="570"/>
      <c r="K438" s="570"/>
    </row>
    <row r="439" ht="12.75" customHeight="1">
      <c r="A439" t="s" s="834">
        <v>707</v>
      </c>
      <c r="B439" t="s" s="834">
        <v>708</v>
      </c>
      <c r="C439" t="s" s="834">
        <v>709</v>
      </c>
      <c r="D439" s="570"/>
      <c r="E439" s="570"/>
      <c r="F439" s="570"/>
      <c r="G439" s="570"/>
      <c r="H439" s="570"/>
      <c r="I439" s="570"/>
      <c r="J439" s="570"/>
      <c r="K439" s="570"/>
    </row>
    <row r="440" ht="12.75" customHeight="1">
      <c r="A440" s="833">
        <v>41</v>
      </c>
      <c r="B440" t="s" s="834">
        <v>699</v>
      </c>
      <c r="C440" t="s" s="834">
        <v>700</v>
      </c>
      <c r="D440" s="835">
        <v>46031</v>
      </c>
      <c r="E440" t="s" s="834">
        <v>478</v>
      </c>
      <c r="F440" t="s" s="834">
        <v>478</v>
      </c>
      <c r="G440" s="570"/>
      <c r="H440" s="570"/>
      <c r="I440" s="570"/>
      <c r="J440" s="570"/>
      <c r="K440" s="570"/>
    </row>
    <row r="441" ht="12.75" customHeight="1">
      <c r="A441" s="833">
        <v>41</v>
      </c>
      <c r="B441" t="s" s="834">
        <v>699</v>
      </c>
      <c r="C441" t="s" s="834">
        <v>700</v>
      </c>
      <c r="D441" s="835">
        <v>46032</v>
      </c>
      <c r="E441" s="836">
        <v>1.648090277777778</v>
      </c>
      <c r="F441" t="s" s="834">
        <v>478</v>
      </c>
      <c r="G441" s="570"/>
      <c r="H441" s="570"/>
      <c r="I441" s="570"/>
      <c r="J441" s="570"/>
      <c r="K441" s="570"/>
    </row>
    <row r="442" ht="12.75" customHeight="1">
      <c r="A442" t="s" s="834">
        <v>710</v>
      </c>
      <c r="B442" t="s" s="834">
        <v>485</v>
      </c>
      <c r="C442" t="s" s="834">
        <v>486</v>
      </c>
      <c r="D442" s="570"/>
      <c r="E442" s="570"/>
      <c r="F442" s="570"/>
      <c r="G442" s="570"/>
      <c r="H442" s="570"/>
      <c r="I442" s="570"/>
      <c r="J442" s="570"/>
      <c r="K442" s="570"/>
    </row>
    <row r="443" ht="12.75" customHeight="1">
      <c r="A443" s="833">
        <v>41</v>
      </c>
      <c r="B443" t="s" s="834">
        <v>699</v>
      </c>
      <c r="C443" t="s" s="834">
        <v>700</v>
      </c>
      <c r="D443" s="835">
        <v>46033</v>
      </c>
      <c r="E443" t="s" s="834">
        <v>478</v>
      </c>
      <c r="F443" t="s" s="834">
        <v>478</v>
      </c>
      <c r="G443" s="570"/>
      <c r="H443" s="570"/>
      <c r="I443" s="570"/>
      <c r="J443" s="570"/>
      <c r="K443" s="570"/>
    </row>
    <row r="444" ht="12.75" customHeight="1">
      <c r="A444" s="833">
        <v>41</v>
      </c>
      <c r="B444" t="s" s="834">
        <v>699</v>
      </c>
      <c r="C444" t="s" s="834">
        <v>700</v>
      </c>
      <c r="D444" s="835">
        <v>46034</v>
      </c>
      <c r="E444" s="836">
        <v>1.605208333333333</v>
      </c>
      <c r="F444" s="836">
        <v>1.946678240740741</v>
      </c>
      <c r="G444" s="570"/>
      <c r="H444" s="570"/>
      <c r="I444" s="570"/>
      <c r="J444" s="570"/>
      <c r="K444" s="570"/>
    </row>
    <row r="445" ht="12.75" customHeight="1">
      <c r="A445" t="s" s="834">
        <v>711</v>
      </c>
      <c r="B445" t="s" s="834">
        <v>712</v>
      </c>
      <c r="C445" t="s" s="834">
        <v>713</v>
      </c>
      <c r="D445" s="570"/>
      <c r="E445" s="570"/>
      <c r="F445" s="570"/>
      <c r="G445" s="570"/>
      <c r="H445" s="570"/>
      <c r="I445" s="570"/>
      <c r="J445" s="570"/>
      <c r="K445" s="570"/>
    </row>
    <row r="446" ht="12.75" customHeight="1">
      <c r="A446" s="833">
        <v>41</v>
      </c>
      <c r="B446" t="s" s="834">
        <v>699</v>
      </c>
      <c r="C446" t="s" s="834">
        <v>700</v>
      </c>
      <c r="D446" s="835">
        <v>46035</v>
      </c>
      <c r="E446" s="836">
        <v>1.555497685185185</v>
      </c>
      <c r="F446" s="836">
        <v>1.943923611111111</v>
      </c>
      <c r="G446" s="570"/>
      <c r="H446" s="570"/>
      <c r="I446" s="570"/>
      <c r="J446" s="570"/>
      <c r="K446" s="570"/>
    </row>
    <row r="447" ht="12.75" customHeight="1">
      <c r="A447" t="s" s="834">
        <v>714</v>
      </c>
      <c r="B447" t="s" s="834">
        <v>715</v>
      </c>
      <c r="C447" t="s" s="834">
        <v>716</v>
      </c>
      <c r="D447" s="570"/>
      <c r="E447" s="570"/>
      <c r="F447" s="570"/>
      <c r="G447" s="570"/>
      <c r="H447" s="570"/>
      <c r="I447" s="570"/>
      <c r="J447" s="570"/>
      <c r="K447" s="570"/>
    </row>
    <row r="448" ht="12.75" customHeight="1">
      <c r="A448" s="833">
        <v>41</v>
      </c>
      <c r="B448" t="s" s="834">
        <v>699</v>
      </c>
      <c r="C448" t="s" s="834">
        <v>700</v>
      </c>
      <c r="D448" s="835">
        <v>46036</v>
      </c>
      <c r="E448" s="836">
        <v>1.558865740740741</v>
      </c>
      <c r="F448" s="836">
        <v>1.828981481481482</v>
      </c>
      <c r="G448" s="570"/>
      <c r="H448" s="570"/>
      <c r="I448" s="570"/>
      <c r="J448" s="570"/>
      <c r="K448" s="570"/>
    </row>
    <row r="449" ht="12.75" customHeight="1">
      <c r="A449" t="s" s="834">
        <v>717</v>
      </c>
      <c r="B449" t="s" s="834">
        <v>718</v>
      </c>
      <c r="C449" t="s" s="834">
        <v>719</v>
      </c>
      <c r="D449" s="570"/>
      <c r="E449" s="570"/>
      <c r="F449" s="570"/>
      <c r="G449" s="570"/>
      <c r="H449" s="570"/>
      <c r="I449" s="570"/>
      <c r="J449" s="570"/>
      <c r="K449" s="570"/>
    </row>
    <row r="450" ht="12.75" customHeight="1">
      <c r="A450" s="833">
        <v>41</v>
      </c>
      <c r="B450" t="s" s="834">
        <v>699</v>
      </c>
      <c r="C450" t="s" s="834">
        <v>700</v>
      </c>
      <c r="D450" s="835">
        <v>46037</v>
      </c>
      <c r="E450" s="836">
        <v>1.350532407407407</v>
      </c>
      <c r="F450" s="836">
        <v>1.795474537037037</v>
      </c>
      <c r="G450" s="570"/>
      <c r="H450" s="570"/>
      <c r="I450" s="570"/>
      <c r="J450" s="570"/>
      <c r="K450" s="570"/>
    </row>
    <row r="451" ht="12.75" customHeight="1">
      <c r="A451" t="s" s="834">
        <v>720</v>
      </c>
      <c r="B451" t="s" s="834">
        <v>721</v>
      </c>
      <c r="C451" t="s" s="834">
        <v>722</v>
      </c>
      <c r="D451" s="570"/>
      <c r="E451" s="570"/>
      <c r="F451" s="570"/>
      <c r="G451" s="570"/>
      <c r="H451" s="570"/>
      <c r="I451" s="570"/>
      <c r="J451" s="570"/>
      <c r="K451" s="570"/>
    </row>
    <row r="452" ht="12.75" customHeight="1">
      <c r="A452" s="833">
        <v>41</v>
      </c>
      <c r="B452" t="s" s="834">
        <v>699</v>
      </c>
      <c r="C452" t="s" s="834">
        <v>700</v>
      </c>
      <c r="D452" s="835">
        <v>46038</v>
      </c>
      <c r="E452" s="836">
        <v>1.355648148148148</v>
      </c>
      <c r="F452" s="836">
        <v>1.5190625</v>
      </c>
      <c r="G452" s="570"/>
      <c r="H452" s="570"/>
      <c r="I452" s="570"/>
      <c r="J452" s="570"/>
      <c r="K452" s="570"/>
    </row>
    <row r="453" ht="12.75" customHeight="1">
      <c r="A453" t="s" s="834">
        <v>723</v>
      </c>
      <c r="B453" t="s" s="834">
        <v>724</v>
      </c>
      <c r="C453" t="s" s="834">
        <v>725</v>
      </c>
      <c r="D453" s="570"/>
      <c r="E453" s="570"/>
      <c r="F453" s="570"/>
      <c r="G453" s="570"/>
      <c r="H453" s="570"/>
      <c r="I453" s="570"/>
      <c r="J453" s="570"/>
      <c r="K453" s="570"/>
    </row>
    <row r="454" ht="12.75" customHeight="1">
      <c r="A454" s="833">
        <v>41</v>
      </c>
      <c r="B454" t="s" s="834">
        <v>699</v>
      </c>
      <c r="C454" t="s" s="834">
        <v>700</v>
      </c>
      <c r="D454" s="835">
        <v>46039</v>
      </c>
      <c r="E454" t="s" s="834">
        <v>478</v>
      </c>
      <c r="F454" t="s" s="834">
        <v>478</v>
      </c>
      <c r="G454" s="570"/>
      <c r="H454" s="570"/>
      <c r="I454" s="570"/>
      <c r="J454" s="570"/>
      <c r="K454" s="570"/>
    </row>
    <row r="455" ht="12.75" customHeight="1">
      <c r="A455" s="833">
        <v>41</v>
      </c>
      <c r="B455" t="s" s="834">
        <v>699</v>
      </c>
      <c r="C455" t="s" s="834">
        <v>700</v>
      </c>
      <c r="D455" s="835">
        <v>46040</v>
      </c>
      <c r="E455" t="s" s="834">
        <v>478</v>
      </c>
      <c r="F455" t="s" s="834">
        <v>478</v>
      </c>
      <c r="G455" s="570"/>
      <c r="H455" s="570"/>
      <c r="I455" s="570"/>
      <c r="J455" s="570"/>
      <c r="K455" s="570"/>
    </row>
    <row r="456" ht="12.75" customHeight="1">
      <c r="A456" s="833">
        <v>41</v>
      </c>
      <c r="B456" t="s" s="834">
        <v>699</v>
      </c>
      <c r="C456" t="s" s="834">
        <v>700</v>
      </c>
      <c r="D456" s="835">
        <v>46041</v>
      </c>
      <c r="E456" s="836">
        <v>1.609768518518519</v>
      </c>
      <c r="F456" s="836">
        <v>1.609780092592592</v>
      </c>
      <c r="G456" s="570"/>
      <c r="H456" s="570"/>
      <c r="I456" s="570"/>
      <c r="J456" s="570"/>
      <c r="K456" s="570"/>
    </row>
    <row r="457" ht="12.75" customHeight="1">
      <c r="A457" t="s" s="834">
        <v>726</v>
      </c>
      <c r="B457" t="s" s="834">
        <v>727</v>
      </c>
      <c r="C457" t="s" s="834">
        <v>486</v>
      </c>
      <c r="D457" s="570"/>
      <c r="E457" s="570"/>
      <c r="F457" s="570"/>
      <c r="G457" s="570"/>
      <c r="H457" s="570"/>
      <c r="I457" s="570"/>
      <c r="J457" s="570"/>
      <c r="K457" s="570"/>
    </row>
    <row r="458" ht="12.75" customHeight="1">
      <c r="A458" s="833">
        <v>41</v>
      </c>
      <c r="B458" t="s" s="834">
        <v>699</v>
      </c>
      <c r="C458" t="s" s="834">
        <v>700</v>
      </c>
      <c r="D458" s="835">
        <v>46042</v>
      </c>
      <c r="E458" s="836">
        <v>1.356458333333333</v>
      </c>
      <c r="F458" s="836">
        <v>1.865046296296296</v>
      </c>
      <c r="G458" s="570"/>
      <c r="H458" s="570"/>
      <c r="I458" s="570"/>
      <c r="J458" s="570"/>
      <c r="K458" s="570"/>
    </row>
    <row r="459" ht="12.75" customHeight="1">
      <c r="A459" t="s" s="834">
        <v>728</v>
      </c>
      <c r="B459" t="s" s="834">
        <v>729</v>
      </c>
      <c r="C459" t="s" s="834">
        <v>730</v>
      </c>
      <c r="D459" s="570"/>
      <c r="E459" s="570"/>
      <c r="F459" s="570"/>
      <c r="G459" s="570"/>
      <c r="H459" s="570"/>
      <c r="I459" s="570"/>
      <c r="J459" s="570"/>
      <c r="K459" s="570"/>
    </row>
    <row r="460" ht="12.75" customHeight="1">
      <c r="A460" s="833">
        <v>41</v>
      </c>
      <c r="B460" t="s" s="834">
        <v>699</v>
      </c>
      <c r="C460" t="s" s="834">
        <v>700</v>
      </c>
      <c r="D460" s="835">
        <v>46043</v>
      </c>
      <c r="E460" s="836">
        <v>1.597094907407407</v>
      </c>
      <c r="F460" s="836">
        <v>1.671875</v>
      </c>
      <c r="G460" s="570"/>
      <c r="H460" s="570"/>
      <c r="I460" s="570"/>
      <c r="J460" s="570"/>
      <c r="K460" s="570"/>
    </row>
    <row r="461" ht="12.75" customHeight="1">
      <c r="A461" t="s" s="834">
        <v>731</v>
      </c>
      <c r="B461" t="s" s="834">
        <v>732</v>
      </c>
      <c r="C461" t="s" s="834">
        <v>733</v>
      </c>
      <c r="D461" s="570"/>
      <c r="E461" s="570"/>
      <c r="F461" s="570"/>
      <c r="G461" s="570"/>
      <c r="H461" s="570"/>
      <c r="I461" s="570"/>
      <c r="J461" s="570"/>
      <c r="K461" s="570"/>
    </row>
    <row r="462" ht="12.75" customHeight="1">
      <c r="A462" s="833">
        <v>41</v>
      </c>
      <c r="B462" t="s" s="834">
        <v>699</v>
      </c>
      <c r="C462" t="s" s="834">
        <v>700</v>
      </c>
      <c r="D462" s="835">
        <v>46044</v>
      </c>
      <c r="E462" s="836">
        <v>1.592685185185185</v>
      </c>
      <c r="F462" s="836">
        <v>1.931875</v>
      </c>
      <c r="G462" s="570"/>
      <c r="H462" s="570"/>
      <c r="I462" s="570"/>
      <c r="J462" s="570"/>
      <c r="K462" s="570"/>
    </row>
    <row r="463" ht="12.75" customHeight="1">
      <c r="A463" t="s" s="834">
        <v>734</v>
      </c>
      <c r="B463" t="s" s="834">
        <v>735</v>
      </c>
      <c r="C463" t="s" s="834">
        <v>736</v>
      </c>
      <c r="D463" s="570"/>
      <c r="E463" s="570"/>
      <c r="F463" s="570"/>
      <c r="G463" s="570"/>
      <c r="H463" s="570"/>
      <c r="I463" s="570"/>
      <c r="J463" s="570"/>
      <c r="K463" s="570"/>
    </row>
    <row r="464" ht="12.75" customHeight="1">
      <c r="A464" s="833">
        <v>41</v>
      </c>
      <c r="B464" t="s" s="834">
        <v>699</v>
      </c>
      <c r="C464" t="s" s="834">
        <v>700</v>
      </c>
      <c r="D464" s="835">
        <v>46045</v>
      </c>
      <c r="E464" s="836">
        <v>1.593425925925926</v>
      </c>
      <c r="F464" t="s" s="834">
        <v>478</v>
      </c>
      <c r="G464" s="570"/>
      <c r="H464" s="570"/>
      <c r="I464" s="570"/>
      <c r="J464" s="570"/>
      <c r="K464" s="570"/>
    </row>
    <row r="465" ht="12.75" customHeight="1">
      <c r="A465" t="s" s="834">
        <v>737</v>
      </c>
      <c r="B465" t="s" s="834">
        <v>485</v>
      </c>
      <c r="C465" t="s" s="834">
        <v>486</v>
      </c>
      <c r="D465" s="570"/>
      <c r="E465" s="570"/>
      <c r="F465" s="570"/>
      <c r="G465" s="570"/>
      <c r="H465" s="570"/>
      <c r="I465" s="570"/>
      <c r="J465" s="570"/>
      <c r="K465" s="570"/>
    </row>
    <row r="466" ht="12.75" customHeight="1">
      <c r="A466" s="833">
        <v>41</v>
      </c>
      <c r="B466" t="s" s="834">
        <v>699</v>
      </c>
      <c r="C466" t="s" s="834">
        <v>700</v>
      </c>
      <c r="D466" s="835">
        <v>46046</v>
      </c>
      <c r="E466" t="s" s="834">
        <v>478</v>
      </c>
      <c r="F466" t="s" s="834">
        <v>478</v>
      </c>
      <c r="G466" s="570"/>
      <c r="H466" s="570"/>
      <c r="I466" s="570"/>
      <c r="J466" s="570"/>
      <c r="K466" s="570"/>
    </row>
    <row r="467" ht="12.75" customHeight="1">
      <c r="A467" s="833">
        <v>41</v>
      </c>
      <c r="B467" t="s" s="834">
        <v>699</v>
      </c>
      <c r="C467" t="s" s="834">
        <v>700</v>
      </c>
      <c r="D467" s="835">
        <v>46047</v>
      </c>
      <c r="E467" t="s" s="834">
        <v>478</v>
      </c>
      <c r="F467" t="s" s="834">
        <v>478</v>
      </c>
      <c r="G467" s="570"/>
      <c r="H467" s="570"/>
      <c r="I467" s="570"/>
      <c r="J467" s="570"/>
      <c r="K467" s="570"/>
    </row>
    <row r="468" ht="12.75" customHeight="1">
      <c r="A468" s="833">
        <v>41</v>
      </c>
      <c r="B468" t="s" s="834">
        <v>699</v>
      </c>
      <c r="C468" t="s" s="834">
        <v>700</v>
      </c>
      <c r="D468" s="835">
        <v>46048</v>
      </c>
      <c r="E468" s="836">
        <v>1.462800925925926</v>
      </c>
      <c r="F468" s="836">
        <v>1.623321759259259</v>
      </c>
      <c r="G468" s="570"/>
      <c r="H468" s="570"/>
      <c r="I468" s="570"/>
      <c r="J468" s="570"/>
      <c r="K468" s="570"/>
    </row>
    <row r="469" ht="12.75" customHeight="1">
      <c r="A469" t="s" s="834">
        <v>738</v>
      </c>
      <c r="B469" t="s" s="834">
        <v>739</v>
      </c>
      <c r="C469" t="s" s="834">
        <v>740</v>
      </c>
      <c r="D469" s="570"/>
      <c r="E469" s="570"/>
      <c r="F469" s="570"/>
      <c r="G469" s="570"/>
      <c r="H469" s="570"/>
      <c r="I469" s="570"/>
      <c r="J469" s="570"/>
      <c r="K469" s="570"/>
    </row>
    <row r="470" ht="12.75" customHeight="1">
      <c r="A470" s="833">
        <v>41</v>
      </c>
      <c r="B470" t="s" s="834">
        <v>699</v>
      </c>
      <c r="C470" t="s" s="834">
        <v>700</v>
      </c>
      <c r="D470" s="835">
        <v>46049</v>
      </c>
      <c r="E470" s="836">
        <v>1.604664351851852</v>
      </c>
      <c r="F470" t="s" s="834">
        <v>478</v>
      </c>
      <c r="G470" s="570"/>
      <c r="H470" s="570"/>
      <c r="I470" s="570"/>
      <c r="J470" s="570"/>
      <c r="K470" s="570"/>
    </row>
    <row r="471" ht="12.75" customHeight="1">
      <c r="A471" t="s" s="834">
        <v>741</v>
      </c>
      <c r="B471" t="s" s="834">
        <v>485</v>
      </c>
      <c r="C471" t="s" s="834">
        <v>486</v>
      </c>
      <c r="D471" s="570"/>
      <c r="E471" s="570"/>
      <c r="F471" s="570"/>
      <c r="G471" s="570"/>
      <c r="H471" s="570"/>
      <c r="I471" s="570"/>
      <c r="J471" s="570"/>
      <c r="K471" s="570"/>
    </row>
    <row r="472" ht="12.75" customHeight="1">
      <c r="A472" s="833">
        <v>41</v>
      </c>
      <c r="B472" t="s" s="834">
        <v>699</v>
      </c>
      <c r="C472" t="s" s="834">
        <v>700</v>
      </c>
      <c r="D472" s="835">
        <v>46050</v>
      </c>
      <c r="E472" t="s" s="834">
        <v>478</v>
      </c>
      <c r="F472" t="s" s="834">
        <v>478</v>
      </c>
      <c r="G472" s="570"/>
      <c r="H472" s="570"/>
      <c r="I472" s="570"/>
      <c r="J472" s="570"/>
      <c r="K472" s="570"/>
    </row>
    <row r="473" ht="12.75" customHeight="1">
      <c r="A473" s="833">
        <v>41</v>
      </c>
      <c r="B473" t="s" s="834">
        <v>699</v>
      </c>
      <c r="C473" t="s" s="834">
        <v>700</v>
      </c>
      <c r="D473" s="835">
        <v>46051</v>
      </c>
      <c r="E473" s="836">
        <v>1.601388888888889</v>
      </c>
      <c r="F473" s="836">
        <v>1.929467592592593</v>
      </c>
      <c r="G473" s="570"/>
      <c r="H473" s="570"/>
      <c r="I473" s="570"/>
      <c r="J473" s="570"/>
      <c r="K473" s="570"/>
    </row>
    <row r="474" ht="12.75" customHeight="1">
      <c r="A474" t="s" s="834">
        <v>742</v>
      </c>
      <c r="B474" t="s" s="834">
        <v>743</v>
      </c>
      <c r="C474" t="s" s="834">
        <v>703</v>
      </c>
      <c r="D474" s="570"/>
      <c r="E474" s="570"/>
      <c r="F474" s="570"/>
      <c r="G474" s="570"/>
      <c r="H474" s="570"/>
      <c r="I474" s="570"/>
      <c r="J474" s="570"/>
      <c r="K474" s="570"/>
    </row>
    <row r="475" ht="12.75" customHeight="1">
      <c r="A475" s="833">
        <v>41</v>
      </c>
      <c r="B475" t="s" s="834">
        <v>699</v>
      </c>
      <c r="C475" t="s" s="834">
        <v>700</v>
      </c>
      <c r="D475" s="835">
        <v>46052</v>
      </c>
      <c r="E475" t="s" s="834">
        <v>478</v>
      </c>
      <c r="F475" t="s" s="834">
        <v>478</v>
      </c>
      <c r="G475" s="570"/>
      <c r="H475" s="570"/>
      <c r="I475" s="570"/>
      <c r="J475" s="570"/>
      <c r="K475" s="570"/>
    </row>
    <row r="476" ht="12.75" customHeight="1">
      <c r="A476" s="833">
        <v>41</v>
      </c>
      <c r="B476" t="s" s="834">
        <v>699</v>
      </c>
      <c r="C476" t="s" s="834">
        <v>700</v>
      </c>
      <c r="D476" s="835">
        <v>46053</v>
      </c>
      <c r="E476" t="s" s="834">
        <v>478</v>
      </c>
      <c r="F476" t="s" s="834">
        <v>478</v>
      </c>
      <c r="G476" s="570"/>
      <c r="H476" s="570"/>
      <c r="I476" s="570"/>
      <c r="J476" s="570"/>
      <c r="K476" s="570"/>
    </row>
    <row r="477" ht="12.75" customHeight="1">
      <c r="A477" s="833">
        <v>41</v>
      </c>
      <c r="B477" t="s" s="834">
        <v>699</v>
      </c>
      <c r="C477" t="s" s="834">
        <v>700</v>
      </c>
      <c r="D477" s="835">
        <v>46054</v>
      </c>
      <c r="E477" t="s" s="834">
        <v>478</v>
      </c>
      <c r="F477" t="s" s="834">
        <v>478</v>
      </c>
      <c r="G477" s="570"/>
      <c r="H477" s="570"/>
      <c r="I477" s="570"/>
      <c r="J477" s="570"/>
      <c r="K477" s="570"/>
    </row>
    <row r="478" ht="12.75" customHeight="1">
      <c r="A478" s="833">
        <v>43</v>
      </c>
      <c r="B478" t="s" s="834">
        <v>744</v>
      </c>
      <c r="C478" t="s" s="834">
        <v>617</v>
      </c>
      <c r="D478" s="835">
        <v>46023</v>
      </c>
      <c r="E478" t="s" s="834">
        <v>478</v>
      </c>
      <c r="F478" t="s" s="834">
        <v>478</v>
      </c>
      <c r="G478" s="570"/>
      <c r="H478" s="570"/>
      <c r="I478" s="570"/>
      <c r="J478" s="570"/>
      <c r="K478" s="570"/>
    </row>
    <row r="479" ht="12.75" customHeight="1">
      <c r="A479" s="833">
        <v>43</v>
      </c>
      <c r="B479" t="s" s="834">
        <v>744</v>
      </c>
      <c r="C479" t="s" s="834">
        <v>617</v>
      </c>
      <c r="D479" s="835">
        <v>46024</v>
      </c>
      <c r="E479" t="s" s="834">
        <v>478</v>
      </c>
      <c r="F479" t="s" s="834">
        <v>478</v>
      </c>
      <c r="G479" s="570"/>
      <c r="H479" s="570"/>
      <c r="I479" s="570"/>
      <c r="J479" s="570"/>
      <c r="K479" s="570"/>
    </row>
    <row r="480" ht="12.75" customHeight="1">
      <c r="A480" s="833">
        <v>43</v>
      </c>
      <c r="B480" t="s" s="834">
        <v>744</v>
      </c>
      <c r="C480" t="s" s="834">
        <v>617</v>
      </c>
      <c r="D480" s="835">
        <v>46025</v>
      </c>
      <c r="E480" t="s" s="834">
        <v>478</v>
      </c>
      <c r="F480" t="s" s="834">
        <v>478</v>
      </c>
      <c r="G480" s="570"/>
      <c r="H480" s="570"/>
      <c r="I480" s="570"/>
      <c r="J480" s="570"/>
      <c r="K480" s="570"/>
    </row>
    <row r="481" ht="12.75" customHeight="1">
      <c r="A481" s="833">
        <v>43</v>
      </c>
      <c r="B481" t="s" s="834">
        <v>744</v>
      </c>
      <c r="C481" t="s" s="834">
        <v>617</v>
      </c>
      <c r="D481" s="835">
        <v>46026</v>
      </c>
      <c r="E481" t="s" s="834">
        <v>478</v>
      </c>
      <c r="F481" t="s" s="834">
        <v>478</v>
      </c>
      <c r="G481" s="570"/>
      <c r="H481" s="570"/>
      <c r="I481" s="570"/>
      <c r="J481" s="570"/>
      <c r="K481" s="570"/>
    </row>
    <row r="482" ht="12.75" customHeight="1">
      <c r="A482" s="833">
        <v>43</v>
      </c>
      <c r="B482" t="s" s="834">
        <v>744</v>
      </c>
      <c r="C482" t="s" s="834">
        <v>617</v>
      </c>
      <c r="D482" s="835">
        <v>46027</v>
      </c>
      <c r="E482" s="836">
        <v>1.353668981481482</v>
      </c>
      <c r="F482" s="836">
        <v>1.750740740740741</v>
      </c>
      <c r="G482" s="570"/>
      <c r="H482" s="570"/>
      <c r="I482" s="570"/>
      <c r="J482" s="570"/>
      <c r="K482" s="570"/>
    </row>
    <row r="483" ht="12.75" customHeight="1">
      <c r="A483" t="s" s="834">
        <v>745</v>
      </c>
      <c r="B483" t="s" s="834">
        <v>746</v>
      </c>
      <c r="C483" t="s" s="834">
        <v>747</v>
      </c>
      <c r="D483" s="570"/>
      <c r="E483" s="570"/>
      <c r="F483" s="570"/>
      <c r="G483" s="570"/>
      <c r="H483" s="570"/>
      <c r="I483" s="570"/>
      <c r="J483" s="570"/>
      <c r="K483" s="570"/>
    </row>
    <row r="484" ht="12.75" customHeight="1">
      <c r="A484" s="833">
        <v>43</v>
      </c>
      <c r="B484" t="s" s="834">
        <v>744</v>
      </c>
      <c r="C484" t="s" s="834">
        <v>617</v>
      </c>
      <c r="D484" s="835">
        <v>46028</v>
      </c>
      <c r="E484" s="836">
        <v>1.35712962962963</v>
      </c>
      <c r="F484" s="836">
        <v>1.515034722222222</v>
      </c>
      <c r="G484" s="570"/>
      <c r="H484" s="570"/>
      <c r="I484" s="570"/>
      <c r="J484" s="570"/>
      <c r="K484" s="570"/>
    </row>
    <row r="485" ht="12.75" customHeight="1">
      <c r="A485" t="s" s="834">
        <v>748</v>
      </c>
      <c r="B485" t="s" s="834">
        <v>749</v>
      </c>
      <c r="C485" t="s" s="834">
        <v>750</v>
      </c>
      <c r="D485" s="570"/>
      <c r="E485" s="570"/>
      <c r="F485" s="570"/>
      <c r="G485" s="570"/>
      <c r="H485" s="570"/>
      <c r="I485" s="570"/>
      <c r="J485" s="570"/>
      <c r="K485" s="570"/>
    </row>
    <row r="486" ht="12.75" customHeight="1">
      <c r="A486" s="833">
        <v>43</v>
      </c>
      <c r="B486" t="s" s="834">
        <v>744</v>
      </c>
      <c r="C486" t="s" s="834">
        <v>617</v>
      </c>
      <c r="D486" s="835">
        <v>46029</v>
      </c>
      <c r="E486" s="836">
        <v>1.353715277777778</v>
      </c>
      <c r="F486" s="836">
        <v>1.751481481481481</v>
      </c>
      <c r="G486" s="570"/>
      <c r="H486" s="570"/>
      <c r="I486" s="570"/>
      <c r="J486" s="570"/>
      <c r="K486" s="570"/>
    </row>
    <row r="487" ht="12.75" customHeight="1">
      <c r="A487" t="s" s="834">
        <v>751</v>
      </c>
      <c r="B487" t="s" s="834">
        <v>752</v>
      </c>
      <c r="C487" t="s" s="834">
        <v>688</v>
      </c>
      <c r="D487" s="570"/>
      <c r="E487" s="570"/>
      <c r="F487" s="570"/>
      <c r="G487" s="570"/>
      <c r="H487" s="570"/>
      <c r="I487" s="570"/>
      <c r="J487" s="570"/>
      <c r="K487" s="570"/>
    </row>
    <row r="488" ht="12.75" customHeight="1">
      <c r="A488" s="833">
        <v>43</v>
      </c>
      <c r="B488" t="s" s="834">
        <v>744</v>
      </c>
      <c r="C488" t="s" s="834">
        <v>617</v>
      </c>
      <c r="D488" s="835">
        <v>46030</v>
      </c>
      <c r="E488" s="836">
        <v>1.3534375</v>
      </c>
      <c r="F488" s="836">
        <v>1.751226851851852</v>
      </c>
      <c r="G488" s="570"/>
      <c r="H488" s="570"/>
      <c r="I488" s="570"/>
      <c r="J488" s="570"/>
      <c r="K488" s="570"/>
    </row>
    <row r="489" ht="12.75" customHeight="1">
      <c r="A489" t="s" s="834">
        <v>753</v>
      </c>
      <c r="B489" t="s" s="834">
        <v>754</v>
      </c>
      <c r="C489" t="s" s="834">
        <v>688</v>
      </c>
      <c r="D489" s="570"/>
      <c r="E489" s="570"/>
      <c r="F489" s="570"/>
      <c r="G489" s="570"/>
      <c r="H489" s="570"/>
      <c r="I489" s="570"/>
      <c r="J489" s="570"/>
      <c r="K489" s="570"/>
    </row>
    <row r="490" ht="12.75" customHeight="1">
      <c r="A490" s="833">
        <v>43</v>
      </c>
      <c r="B490" t="s" s="834">
        <v>744</v>
      </c>
      <c r="C490" t="s" s="834">
        <v>617</v>
      </c>
      <c r="D490" s="835">
        <v>46031</v>
      </c>
      <c r="E490" t="s" s="834">
        <v>478</v>
      </c>
      <c r="F490" t="s" s="834">
        <v>478</v>
      </c>
      <c r="G490" s="570"/>
      <c r="H490" s="570"/>
      <c r="I490" s="570"/>
      <c r="J490" s="570"/>
      <c r="K490" s="570"/>
    </row>
    <row r="491" ht="12.75" customHeight="1">
      <c r="A491" s="833">
        <v>43</v>
      </c>
      <c r="B491" t="s" s="834">
        <v>744</v>
      </c>
      <c r="C491" t="s" s="834">
        <v>617</v>
      </c>
      <c r="D491" s="835">
        <v>46032</v>
      </c>
      <c r="E491" t="s" s="834">
        <v>478</v>
      </c>
      <c r="F491" t="s" s="834">
        <v>478</v>
      </c>
      <c r="G491" s="570"/>
      <c r="H491" s="570"/>
      <c r="I491" s="570"/>
      <c r="J491" s="570"/>
      <c r="K491" s="570"/>
    </row>
    <row r="492" ht="12.75" customHeight="1">
      <c r="A492" s="833">
        <v>43</v>
      </c>
      <c r="B492" t="s" s="834">
        <v>744</v>
      </c>
      <c r="C492" t="s" s="834">
        <v>617</v>
      </c>
      <c r="D492" s="835">
        <v>46033</v>
      </c>
      <c r="E492" t="s" s="834">
        <v>478</v>
      </c>
      <c r="F492" t="s" s="834">
        <v>478</v>
      </c>
      <c r="G492" s="570"/>
      <c r="H492" s="570"/>
      <c r="I492" s="570"/>
      <c r="J492" s="570"/>
      <c r="K492" s="570"/>
    </row>
    <row r="493" ht="12.75" customHeight="1">
      <c r="A493" s="833">
        <v>43</v>
      </c>
      <c r="B493" t="s" s="834">
        <v>744</v>
      </c>
      <c r="C493" t="s" s="834">
        <v>617</v>
      </c>
      <c r="D493" s="835">
        <v>46034</v>
      </c>
      <c r="E493" t="s" s="834">
        <v>478</v>
      </c>
      <c r="F493" t="s" s="834">
        <v>478</v>
      </c>
      <c r="G493" s="570"/>
      <c r="H493" s="570"/>
      <c r="I493" s="570"/>
      <c r="J493" s="570"/>
      <c r="K493" s="570"/>
    </row>
    <row r="494" ht="12.75" customHeight="1">
      <c r="A494" s="833">
        <v>43</v>
      </c>
      <c r="B494" t="s" s="834">
        <v>744</v>
      </c>
      <c r="C494" t="s" s="834">
        <v>617</v>
      </c>
      <c r="D494" s="835">
        <v>46035</v>
      </c>
      <c r="E494" s="836">
        <v>1.354189814814815</v>
      </c>
      <c r="F494" s="836">
        <v>1.752534722222222</v>
      </c>
      <c r="G494" s="570"/>
      <c r="H494" s="570"/>
      <c r="I494" s="570"/>
      <c r="J494" s="570"/>
      <c r="K494" s="570"/>
    </row>
    <row r="495" ht="12.75" customHeight="1">
      <c r="A495" t="s" s="834">
        <v>755</v>
      </c>
      <c r="B495" t="s" s="834">
        <v>756</v>
      </c>
      <c r="C495" t="s" s="834">
        <v>611</v>
      </c>
      <c r="D495" s="570"/>
      <c r="E495" s="570"/>
      <c r="F495" s="570"/>
      <c r="G495" s="570"/>
      <c r="H495" s="570"/>
      <c r="I495" s="570"/>
      <c r="J495" s="570"/>
      <c r="K495" s="570"/>
    </row>
    <row r="496" ht="12.75" customHeight="1">
      <c r="A496" s="833">
        <v>43</v>
      </c>
      <c r="B496" t="s" s="834">
        <v>744</v>
      </c>
      <c r="C496" t="s" s="834">
        <v>617</v>
      </c>
      <c r="D496" s="835">
        <v>46036</v>
      </c>
      <c r="E496" s="836">
        <v>1.351539351851852</v>
      </c>
      <c r="F496" s="836">
        <v>1.751805555555555</v>
      </c>
      <c r="G496" s="570"/>
      <c r="H496" s="570"/>
      <c r="I496" s="570"/>
      <c r="J496" s="570"/>
      <c r="K496" s="570"/>
    </row>
    <row r="497" ht="12.75" customHeight="1">
      <c r="A497" t="s" s="834">
        <v>757</v>
      </c>
      <c r="B497" t="s" s="834">
        <v>758</v>
      </c>
      <c r="C497" t="s" s="834">
        <v>759</v>
      </c>
      <c r="D497" s="570"/>
      <c r="E497" s="570"/>
      <c r="F497" s="570"/>
      <c r="G497" s="570"/>
      <c r="H497" s="570"/>
      <c r="I497" s="570"/>
      <c r="J497" s="570"/>
      <c r="K497" s="570"/>
    </row>
    <row r="498" ht="12.75" customHeight="1">
      <c r="A498" s="833">
        <v>43</v>
      </c>
      <c r="B498" t="s" s="834">
        <v>744</v>
      </c>
      <c r="C498" t="s" s="834">
        <v>617</v>
      </c>
      <c r="D498" s="835">
        <v>46037</v>
      </c>
      <c r="E498" s="836">
        <v>1.353773148148148</v>
      </c>
      <c r="F498" s="836">
        <v>1.751574074074074</v>
      </c>
      <c r="G498" s="570"/>
      <c r="H498" s="570"/>
      <c r="I498" s="570"/>
      <c r="J498" s="570"/>
      <c r="K498" s="570"/>
    </row>
    <row r="499" ht="12.75" customHeight="1">
      <c r="A499" t="s" s="834">
        <v>760</v>
      </c>
      <c r="B499" t="s" s="834">
        <v>761</v>
      </c>
      <c r="C499" t="s" s="834">
        <v>688</v>
      </c>
      <c r="D499" s="570"/>
      <c r="E499" s="570"/>
      <c r="F499" s="570"/>
      <c r="G499" s="570"/>
      <c r="H499" s="570"/>
      <c r="I499" s="570"/>
      <c r="J499" s="570"/>
      <c r="K499" s="570"/>
    </row>
    <row r="500" ht="12.75" customHeight="1">
      <c r="A500" s="833">
        <v>43</v>
      </c>
      <c r="B500" t="s" s="834">
        <v>744</v>
      </c>
      <c r="C500" t="s" s="834">
        <v>617</v>
      </c>
      <c r="D500" s="835">
        <v>46038</v>
      </c>
      <c r="E500" t="s" s="834">
        <v>478</v>
      </c>
      <c r="F500" t="s" s="834">
        <v>478</v>
      </c>
      <c r="G500" s="570"/>
      <c r="H500" s="570"/>
      <c r="I500" s="570"/>
      <c r="J500" s="570"/>
      <c r="K500" s="570"/>
    </row>
    <row r="501" ht="12.75" customHeight="1">
      <c r="A501" s="833">
        <v>43</v>
      </c>
      <c r="B501" t="s" s="834">
        <v>744</v>
      </c>
      <c r="C501" t="s" s="834">
        <v>617</v>
      </c>
      <c r="D501" s="835">
        <v>46039</v>
      </c>
      <c r="E501" t="s" s="834">
        <v>478</v>
      </c>
      <c r="F501" t="s" s="834">
        <v>478</v>
      </c>
      <c r="G501" s="570"/>
      <c r="H501" s="570"/>
      <c r="I501" s="570"/>
      <c r="J501" s="570"/>
      <c r="K501" s="570"/>
    </row>
    <row r="502" ht="12.75" customHeight="1">
      <c r="A502" s="833">
        <v>43</v>
      </c>
      <c r="B502" t="s" s="834">
        <v>744</v>
      </c>
      <c r="C502" t="s" s="834">
        <v>617</v>
      </c>
      <c r="D502" s="835">
        <v>46040</v>
      </c>
      <c r="E502" t="s" s="834">
        <v>478</v>
      </c>
      <c r="F502" t="s" s="834">
        <v>478</v>
      </c>
      <c r="G502" s="570"/>
      <c r="H502" s="570"/>
      <c r="I502" s="570"/>
      <c r="J502" s="570"/>
      <c r="K502" s="570"/>
    </row>
    <row r="503" ht="12.75" customHeight="1">
      <c r="A503" s="833">
        <v>43</v>
      </c>
      <c r="B503" t="s" s="834">
        <v>744</v>
      </c>
      <c r="C503" t="s" s="834">
        <v>617</v>
      </c>
      <c r="D503" s="835">
        <v>46041</v>
      </c>
      <c r="E503" s="836">
        <v>1.357476851851852</v>
      </c>
      <c r="F503" s="836">
        <v>1.708541666666667</v>
      </c>
      <c r="G503" s="570"/>
      <c r="H503" s="570"/>
      <c r="I503" s="570"/>
      <c r="J503" s="570"/>
      <c r="K503" s="570"/>
    </row>
    <row r="504" ht="12.75" customHeight="1">
      <c r="A504" t="s" s="834">
        <v>762</v>
      </c>
      <c r="B504" t="s" s="834">
        <v>763</v>
      </c>
      <c r="C504" t="s" s="834">
        <v>764</v>
      </c>
      <c r="D504" s="570"/>
      <c r="E504" s="570"/>
      <c r="F504" s="570"/>
      <c r="G504" s="570"/>
      <c r="H504" s="570"/>
      <c r="I504" s="570"/>
      <c r="J504" s="570"/>
      <c r="K504" s="570"/>
    </row>
    <row r="505" ht="12.75" customHeight="1">
      <c r="A505" s="833">
        <v>43</v>
      </c>
      <c r="B505" t="s" s="834">
        <v>744</v>
      </c>
      <c r="C505" t="s" s="834">
        <v>617</v>
      </c>
      <c r="D505" s="835">
        <v>46042</v>
      </c>
      <c r="E505" s="836">
        <v>1.355474537037037</v>
      </c>
      <c r="F505" s="836">
        <v>1.751736111111111</v>
      </c>
      <c r="G505" s="570"/>
      <c r="H505" s="570"/>
      <c r="I505" s="570"/>
      <c r="J505" s="570"/>
      <c r="K505" s="570"/>
    </row>
    <row r="506" ht="12.75" customHeight="1">
      <c r="A506" t="s" s="834">
        <v>765</v>
      </c>
      <c r="B506" t="s" s="834">
        <v>766</v>
      </c>
      <c r="C506" t="s" s="834">
        <v>683</v>
      </c>
      <c r="D506" s="570"/>
      <c r="E506" s="570"/>
      <c r="F506" s="570"/>
      <c r="G506" s="570"/>
      <c r="H506" s="570"/>
      <c r="I506" s="570"/>
      <c r="J506" s="570"/>
      <c r="K506" s="570"/>
    </row>
    <row r="507" ht="12.75" customHeight="1">
      <c r="A507" s="833">
        <v>43</v>
      </c>
      <c r="B507" t="s" s="834">
        <v>744</v>
      </c>
      <c r="C507" t="s" s="834">
        <v>617</v>
      </c>
      <c r="D507" s="835">
        <v>46043</v>
      </c>
      <c r="E507" t="s" s="834">
        <v>478</v>
      </c>
      <c r="F507" t="s" s="834">
        <v>478</v>
      </c>
      <c r="G507" s="570"/>
      <c r="H507" s="570"/>
      <c r="I507" s="570"/>
      <c r="J507" s="570"/>
      <c r="K507" s="570"/>
    </row>
    <row r="508" ht="12.75" customHeight="1">
      <c r="A508" s="833">
        <v>43</v>
      </c>
      <c r="B508" t="s" s="834">
        <v>744</v>
      </c>
      <c r="C508" t="s" s="834">
        <v>617</v>
      </c>
      <c r="D508" s="835">
        <v>46044</v>
      </c>
      <c r="E508" t="s" s="834">
        <v>478</v>
      </c>
      <c r="F508" t="s" s="834">
        <v>478</v>
      </c>
      <c r="G508" s="570"/>
      <c r="H508" s="570"/>
      <c r="I508" s="570"/>
      <c r="J508" s="570"/>
      <c r="K508" s="570"/>
    </row>
    <row r="509" ht="12.75" customHeight="1">
      <c r="A509" s="833">
        <v>43</v>
      </c>
      <c r="B509" t="s" s="834">
        <v>744</v>
      </c>
      <c r="C509" t="s" s="834">
        <v>617</v>
      </c>
      <c r="D509" s="835">
        <v>46045</v>
      </c>
      <c r="E509" t="s" s="834">
        <v>478</v>
      </c>
      <c r="F509" t="s" s="834">
        <v>478</v>
      </c>
      <c r="G509" s="570"/>
      <c r="H509" s="570"/>
      <c r="I509" s="570"/>
      <c r="J509" s="570"/>
      <c r="K509" s="570"/>
    </row>
    <row r="510" ht="12.75" customHeight="1">
      <c r="A510" s="833">
        <v>43</v>
      </c>
      <c r="B510" t="s" s="834">
        <v>744</v>
      </c>
      <c r="C510" t="s" s="834">
        <v>617</v>
      </c>
      <c r="D510" s="835">
        <v>46046</v>
      </c>
      <c r="E510" t="s" s="834">
        <v>478</v>
      </c>
      <c r="F510" t="s" s="834">
        <v>478</v>
      </c>
      <c r="G510" s="570"/>
      <c r="H510" s="570"/>
      <c r="I510" s="570"/>
      <c r="J510" s="570"/>
      <c r="K510" s="570"/>
    </row>
    <row r="511" ht="12.75" customHeight="1">
      <c r="A511" s="833">
        <v>43</v>
      </c>
      <c r="B511" t="s" s="834">
        <v>744</v>
      </c>
      <c r="C511" t="s" s="834">
        <v>617</v>
      </c>
      <c r="D511" s="835">
        <v>46047</v>
      </c>
      <c r="E511" t="s" s="834">
        <v>478</v>
      </c>
      <c r="F511" t="s" s="834">
        <v>478</v>
      </c>
      <c r="G511" s="570"/>
      <c r="H511" s="570"/>
      <c r="I511" s="570"/>
      <c r="J511" s="570"/>
      <c r="K511" s="570"/>
    </row>
    <row r="512" ht="12.75" customHeight="1">
      <c r="A512" s="833">
        <v>43</v>
      </c>
      <c r="B512" t="s" s="834">
        <v>744</v>
      </c>
      <c r="C512" t="s" s="834">
        <v>617</v>
      </c>
      <c r="D512" s="835">
        <v>46048</v>
      </c>
      <c r="E512" t="s" s="834">
        <v>478</v>
      </c>
      <c r="F512" t="s" s="834">
        <v>478</v>
      </c>
      <c r="G512" s="570"/>
      <c r="H512" s="570"/>
      <c r="I512" s="570"/>
      <c r="J512" s="570"/>
      <c r="K512" s="570"/>
    </row>
    <row r="513" ht="12.75" customHeight="1">
      <c r="A513" s="833">
        <v>43</v>
      </c>
      <c r="B513" t="s" s="834">
        <v>744</v>
      </c>
      <c r="C513" t="s" s="834">
        <v>617</v>
      </c>
      <c r="D513" s="835">
        <v>46049</v>
      </c>
      <c r="E513" t="s" s="834">
        <v>478</v>
      </c>
      <c r="F513" t="s" s="834">
        <v>478</v>
      </c>
      <c r="G513" s="570"/>
      <c r="H513" s="570"/>
      <c r="I513" s="570"/>
      <c r="J513" s="570"/>
      <c r="K513" s="570"/>
    </row>
    <row r="514" ht="12.75" customHeight="1">
      <c r="A514" s="833">
        <v>43</v>
      </c>
      <c r="B514" t="s" s="834">
        <v>744</v>
      </c>
      <c r="C514" t="s" s="834">
        <v>617</v>
      </c>
      <c r="D514" s="835">
        <v>46050</v>
      </c>
      <c r="E514" t="s" s="834">
        <v>478</v>
      </c>
      <c r="F514" t="s" s="834">
        <v>478</v>
      </c>
      <c r="G514" s="570"/>
      <c r="H514" s="570"/>
      <c r="I514" s="570"/>
      <c r="J514" s="570"/>
      <c r="K514" s="570"/>
    </row>
    <row r="515" ht="12.75" customHeight="1">
      <c r="A515" s="833">
        <v>43</v>
      </c>
      <c r="B515" t="s" s="834">
        <v>744</v>
      </c>
      <c r="C515" t="s" s="834">
        <v>617</v>
      </c>
      <c r="D515" s="835">
        <v>46051</v>
      </c>
      <c r="E515" t="s" s="834">
        <v>478</v>
      </c>
      <c r="F515" t="s" s="834">
        <v>478</v>
      </c>
      <c r="G515" s="570"/>
      <c r="H515" s="570"/>
      <c r="I515" s="570"/>
      <c r="J515" s="570"/>
      <c r="K515" s="570"/>
    </row>
    <row r="516" ht="12.75" customHeight="1">
      <c r="A516" s="833">
        <v>43</v>
      </c>
      <c r="B516" t="s" s="834">
        <v>744</v>
      </c>
      <c r="C516" t="s" s="834">
        <v>617</v>
      </c>
      <c r="D516" s="835">
        <v>46052</v>
      </c>
      <c r="E516" t="s" s="834">
        <v>478</v>
      </c>
      <c r="F516" t="s" s="834">
        <v>478</v>
      </c>
      <c r="G516" s="570"/>
      <c r="H516" s="570"/>
      <c r="I516" s="570"/>
      <c r="J516" s="570"/>
      <c r="K516" s="570"/>
    </row>
    <row r="517" ht="12.75" customHeight="1">
      <c r="A517" s="833">
        <v>43</v>
      </c>
      <c r="B517" t="s" s="834">
        <v>744</v>
      </c>
      <c r="C517" t="s" s="834">
        <v>617</v>
      </c>
      <c r="D517" s="835">
        <v>46053</v>
      </c>
      <c r="E517" t="s" s="834">
        <v>478</v>
      </c>
      <c r="F517" t="s" s="834">
        <v>478</v>
      </c>
      <c r="G517" s="570"/>
      <c r="H517" s="570"/>
      <c r="I517" s="570"/>
      <c r="J517" s="570"/>
      <c r="K517" s="570"/>
    </row>
    <row r="518" ht="12.75" customHeight="1">
      <c r="A518" s="833">
        <v>43</v>
      </c>
      <c r="B518" t="s" s="834">
        <v>744</v>
      </c>
      <c r="C518" t="s" s="834">
        <v>617</v>
      </c>
      <c r="D518" s="835">
        <v>46054</v>
      </c>
      <c r="E518" t="s" s="834">
        <v>478</v>
      </c>
      <c r="F518" t="s" s="834">
        <v>478</v>
      </c>
      <c r="G518" s="570"/>
      <c r="H518" s="570"/>
      <c r="I518" s="570"/>
      <c r="J518" s="570"/>
      <c r="K518" s="570"/>
    </row>
    <row r="519" ht="12.75" customHeight="1">
      <c r="A519" s="833">
        <v>44</v>
      </c>
      <c r="B519" t="s" s="834">
        <v>767</v>
      </c>
      <c r="C519" t="s" s="834">
        <v>617</v>
      </c>
      <c r="D519" s="835">
        <v>46023</v>
      </c>
      <c r="E519" t="s" s="834">
        <v>478</v>
      </c>
      <c r="F519" t="s" s="834">
        <v>478</v>
      </c>
      <c r="G519" s="570"/>
      <c r="H519" s="570"/>
      <c r="I519" s="570"/>
      <c r="J519" s="570"/>
      <c r="K519" s="570"/>
    </row>
    <row r="520" ht="12.75" customHeight="1">
      <c r="A520" s="833">
        <v>44</v>
      </c>
      <c r="B520" t="s" s="834">
        <v>767</v>
      </c>
      <c r="C520" t="s" s="834">
        <v>617</v>
      </c>
      <c r="D520" s="835">
        <v>46024</v>
      </c>
      <c r="E520" t="s" s="834">
        <v>478</v>
      </c>
      <c r="F520" t="s" s="834">
        <v>478</v>
      </c>
      <c r="G520" s="570"/>
      <c r="H520" s="570"/>
      <c r="I520" s="570"/>
      <c r="J520" s="570"/>
      <c r="K520" s="570"/>
    </row>
    <row r="521" ht="12.75" customHeight="1">
      <c r="A521" s="833">
        <v>44</v>
      </c>
      <c r="B521" t="s" s="834">
        <v>767</v>
      </c>
      <c r="C521" t="s" s="834">
        <v>617</v>
      </c>
      <c r="D521" s="835">
        <v>46025</v>
      </c>
      <c r="E521" t="s" s="834">
        <v>478</v>
      </c>
      <c r="F521" t="s" s="834">
        <v>478</v>
      </c>
      <c r="G521" s="570"/>
      <c r="H521" s="570"/>
      <c r="I521" s="570"/>
      <c r="J521" s="570"/>
      <c r="K521" s="570"/>
    </row>
    <row r="522" ht="12.75" customHeight="1">
      <c r="A522" s="833">
        <v>44</v>
      </c>
      <c r="B522" t="s" s="834">
        <v>767</v>
      </c>
      <c r="C522" t="s" s="834">
        <v>617</v>
      </c>
      <c r="D522" s="835">
        <v>46026</v>
      </c>
      <c r="E522" t="s" s="834">
        <v>478</v>
      </c>
      <c r="F522" t="s" s="834">
        <v>478</v>
      </c>
      <c r="G522" s="570"/>
      <c r="H522" s="570"/>
      <c r="I522" s="570"/>
      <c r="J522" s="570"/>
      <c r="K522" s="570"/>
    </row>
    <row r="523" ht="12.75" customHeight="1">
      <c r="A523" s="833">
        <v>44</v>
      </c>
      <c r="B523" t="s" s="834">
        <v>767</v>
      </c>
      <c r="C523" t="s" s="834">
        <v>617</v>
      </c>
      <c r="D523" s="835">
        <v>46027</v>
      </c>
      <c r="E523" t="s" s="834">
        <v>478</v>
      </c>
      <c r="F523" t="s" s="834">
        <v>478</v>
      </c>
      <c r="G523" s="570"/>
      <c r="H523" s="570"/>
      <c r="I523" s="570"/>
      <c r="J523" s="570"/>
      <c r="K523" s="570"/>
    </row>
    <row r="524" ht="12.75" customHeight="1">
      <c r="A524" s="833">
        <v>44</v>
      </c>
      <c r="B524" t="s" s="834">
        <v>767</v>
      </c>
      <c r="C524" t="s" s="834">
        <v>617</v>
      </c>
      <c r="D524" s="835">
        <v>46028</v>
      </c>
      <c r="E524" s="836">
        <v>1.350474537037037</v>
      </c>
      <c r="F524" s="836">
        <v>1.750752314814815</v>
      </c>
      <c r="G524" s="570"/>
      <c r="H524" s="570"/>
      <c r="I524" s="570"/>
      <c r="J524" s="570"/>
      <c r="K524" s="570"/>
    </row>
    <row r="525" ht="12.75" customHeight="1">
      <c r="A525" t="s" s="834">
        <v>768</v>
      </c>
      <c r="B525" t="s" s="834">
        <v>769</v>
      </c>
      <c r="C525" t="s" s="834">
        <v>759</v>
      </c>
      <c r="D525" s="570"/>
      <c r="E525" s="570"/>
      <c r="F525" s="570"/>
      <c r="G525" s="570"/>
      <c r="H525" s="570"/>
      <c r="I525" s="570"/>
      <c r="J525" s="570"/>
      <c r="K525" s="570"/>
    </row>
    <row r="526" ht="12.75" customHeight="1">
      <c r="A526" s="833">
        <v>44</v>
      </c>
      <c r="B526" t="s" s="834">
        <v>767</v>
      </c>
      <c r="C526" t="s" s="834">
        <v>617</v>
      </c>
      <c r="D526" s="835">
        <v>46029</v>
      </c>
      <c r="E526" s="836">
        <v>1.348703703703704</v>
      </c>
      <c r="F526" s="836">
        <v>1.750439814814815</v>
      </c>
      <c r="G526" s="570"/>
      <c r="H526" s="570"/>
      <c r="I526" s="570"/>
      <c r="J526" s="570"/>
      <c r="K526" s="570"/>
    </row>
    <row r="527" ht="12.75" customHeight="1">
      <c r="A527" t="s" s="834">
        <v>770</v>
      </c>
      <c r="B527" t="s" s="834">
        <v>771</v>
      </c>
      <c r="C527" t="s" s="834">
        <v>772</v>
      </c>
      <c r="D527" s="570"/>
      <c r="E527" s="570"/>
      <c r="F527" s="570"/>
      <c r="G527" s="570"/>
      <c r="H527" s="570"/>
      <c r="I527" s="570"/>
      <c r="J527" s="570"/>
      <c r="K527" s="570"/>
    </row>
    <row r="528" ht="12.75" customHeight="1">
      <c r="A528" s="833">
        <v>44</v>
      </c>
      <c r="B528" t="s" s="834">
        <v>767</v>
      </c>
      <c r="C528" t="s" s="834">
        <v>617</v>
      </c>
      <c r="D528" s="835">
        <v>46030</v>
      </c>
      <c r="E528" s="836">
        <v>1.351354166666667</v>
      </c>
      <c r="F528" s="836">
        <v>1.750509259259259</v>
      </c>
      <c r="G528" s="570"/>
      <c r="H528" s="570"/>
      <c r="I528" s="570"/>
      <c r="J528" s="570"/>
      <c r="K528" s="570"/>
    </row>
    <row r="529" ht="12.75" customHeight="1">
      <c r="A529" t="s" s="834">
        <v>773</v>
      </c>
      <c r="B529" t="s" s="834">
        <v>774</v>
      </c>
      <c r="C529" t="s" s="834">
        <v>515</v>
      </c>
      <c r="D529" s="570"/>
      <c r="E529" s="570"/>
      <c r="F529" s="570"/>
      <c r="G529" s="570"/>
      <c r="H529" s="570"/>
      <c r="I529" s="570"/>
      <c r="J529" s="570"/>
      <c r="K529" s="570"/>
    </row>
    <row r="530" ht="12.75" customHeight="1">
      <c r="A530" s="833">
        <v>44</v>
      </c>
      <c r="B530" t="s" s="834">
        <v>767</v>
      </c>
      <c r="C530" t="s" s="834">
        <v>617</v>
      </c>
      <c r="D530" s="835">
        <v>46031</v>
      </c>
      <c r="E530" t="s" s="834">
        <v>478</v>
      </c>
      <c r="F530" t="s" s="834">
        <v>478</v>
      </c>
      <c r="G530" s="570"/>
      <c r="H530" s="570"/>
      <c r="I530" s="570"/>
      <c r="J530" s="570"/>
      <c r="K530" s="570"/>
    </row>
    <row r="531" ht="12.75" customHeight="1">
      <c r="A531" s="833">
        <v>44</v>
      </c>
      <c r="B531" t="s" s="834">
        <v>767</v>
      </c>
      <c r="C531" t="s" s="834">
        <v>617</v>
      </c>
      <c r="D531" s="835">
        <v>46032</v>
      </c>
      <c r="E531" t="s" s="834">
        <v>478</v>
      </c>
      <c r="F531" t="s" s="834">
        <v>478</v>
      </c>
      <c r="G531" s="570"/>
      <c r="H531" s="570"/>
      <c r="I531" s="570"/>
      <c r="J531" s="570"/>
      <c r="K531" s="570"/>
    </row>
    <row r="532" ht="12.75" customHeight="1">
      <c r="A532" s="833">
        <v>44</v>
      </c>
      <c r="B532" t="s" s="834">
        <v>767</v>
      </c>
      <c r="C532" t="s" s="834">
        <v>617</v>
      </c>
      <c r="D532" s="835">
        <v>46033</v>
      </c>
      <c r="E532" t="s" s="834">
        <v>478</v>
      </c>
      <c r="F532" t="s" s="834">
        <v>478</v>
      </c>
      <c r="G532" s="570"/>
      <c r="H532" s="570"/>
      <c r="I532" s="570"/>
      <c r="J532" s="570"/>
      <c r="K532" s="570"/>
    </row>
    <row r="533" ht="12.75" customHeight="1">
      <c r="A533" s="833">
        <v>44</v>
      </c>
      <c r="B533" t="s" s="834">
        <v>767</v>
      </c>
      <c r="C533" t="s" s="834">
        <v>617</v>
      </c>
      <c r="D533" s="835">
        <v>46034</v>
      </c>
      <c r="E533" s="836">
        <v>1.351516203703704</v>
      </c>
      <c r="F533" s="836">
        <v>1.750856481481482</v>
      </c>
      <c r="G533" s="570"/>
      <c r="H533" s="570"/>
      <c r="I533" s="570"/>
      <c r="J533" s="570"/>
      <c r="K533" s="570"/>
    </row>
    <row r="534" ht="12.75" customHeight="1">
      <c r="A534" t="s" s="834">
        <v>775</v>
      </c>
      <c r="B534" t="s" s="834">
        <v>776</v>
      </c>
      <c r="C534" t="s" s="834">
        <v>515</v>
      </c>
      <c r="D534" s="570"/>
      <c r="E534" s="570"/>
      <c r="F534" s="570"/>
      <c r="G534" s="570"/>
      <c r="H534" s="570"/>
      <c r="I534" s="570"/>
      <c r="J534" s="570"/>
      <c r="K534" s="570"/>
    </row>
    <row r="535" ht="12.75" customHeight="1">
      <c r="A535" s="833">
        <v>44</v>
      </c>
      <c r="B535" t="s" s="834">
        <v>767</v>
      </c>
      <c r="C535" t="s" s="834">
        <v>617</v>
      </c>
      <c r="D535" s="835">
        <v>46035</v>
      </c>
      <c r="E535" s="836">
        <v>1.35087962962963</v>
      </c>
      <c r="F535" s="836">
        <v>1.750416666666667</v>
      </c>
      <c r="G535" s="570"/>
      <c r="H535" s="570"/>
      <c r="I535" s="570"/>
      <c r="J535" s="570"/>
      <c r="K535" s="570"/>
    </row>
    <row r="536" ht="12.75" customHeight="1">
      <c r="A536" t="s" s="834">
        <v>777</v>
      </c>
      <c r="B536" t="s" s="834">
        <v>778</v>
      </c>
      <c r="C536" t="s" s="834">
        <v>515</v>
      </c>
      <c r="D536" s="570"/>
      <c r="E536" s="570"/>
      <c r="F536" s="570"/>
      <c r="G536" s="570"/>
      <c r="H536" s="570"/>
      <c r="I536" s="570"/>
      <c r="J536" s="570"/>
      <c r="K536" s="570"/>
    </row>
    <row r="537" ht="12.75" customHeight="1">
      <c r="A537" s="833">
        <v>44</v>
      </c>
      <c r="B537" t="s" s="834">
        <v>767</v>
      </c>
      <c r="C537" t="s" s="834">
        <v>617</v>
      </c>
      <c r="D537" s="835">
        <v>46036</v>
      </c>
      <c r="E537" s="836">
        <v>1.350509259259259</v>
      </c>
      <c r="F537" s="836">
        <v>1.750763888888889</v>
      </c>
      <c r="G537" s="570"/>
      <c r="H537" s="570"/>
      <c r="I537" s="570"/>
      <c r="J537" s="570"/>
      <c r="K537" s="570"/>
    </row>
    <row r="538" ht="12.75" customHeight="1">
      <c r="A538" t="s" s="834">
        <v>779</v>
      </c>
      <c r="B538" t="s" s="834">
        <v>780</v>
      </c>
      <c r="C538" t="s" s="834">
        <v>759</v>
      </c>
      <c r="D538" s="570"/>
      <c r="E538" s="570"/>
      <c r="F538" s="570"/>
      <c r="G538" s="570"/>
      <c r="H538" s="570"/>
      <c r="I538" s="570"/>
      <c r="J538" s="570"/>
      <c r="K538" s="570"/>
    </row>
    <row r="539" ht="12.75" customHeight="1">
      <c r="A539" s="833">
        <v>44</v>
      </c>
      <c r="B539" t="s" s="834">
        <v>767</v>
      </c>
      <c r="C539" t="s" s="834">
        <v>617</v>
      </c>
      <c r="D539" s="835">
        <v>46037</v>
      </c>
      <c r="E539" s="836">
        <v>1.351574074074074</v>
      </c>
      <c r="F539" s="836">
        <v>1.75087962962963</v>
      </c>
      <c r="G539" s="570"/>
      <c r="H539" s="570"/>
      <c r="I539" s="570"/>
      <c r="J539" s="570"/>
      <c r="K539" s="570"/>
    </row>
    <row r="540" ht="12.75" customHeight="1">
      <c r="A540" t="s" s="834">
        <v>781</v>
      </c>
      <c r="B540" t="s" s="834">
        <v>782</v>
      </c>
      <c r="C540" t="s" s="834">
        <v>515</v>
      </c>
      <c r="D540" s="570"/>
      <c r="E540" s="570"/>
      <c r="F540" s="570"/>
      <c r="G540" s="570"/>
      <c r="H540" s="570"/>
      <c r="I540" s="570"/>
      <c r="J540" s="570"/>
      <c r="K540" s="570"/>
    </row>
    <row r="541" ht="12.75" customHeight="1">
      <c r="A541" s="833">
        <v>44</v>
      </c>
      <c r="B541" t="s" s="834">
        <v>767</v>
      </c>
      <c r="C541" t="s" s="834">
        <v>617</v>
      </c>
      <c r="D541" s="835">
        <v>46038</v>
      </c>
      <c r="E541" t="s" s="834">
        <v>478</v>
      </c>
      <c r="F541" t="s" s="834">
        <v>478</v>
      </c>
      <c r="G541" s="570"/>
      <c r="H541" s="570"/>
      <c r="I541" s="570"/>
      <c r="J541" s="570"/>
      <c r="K541" s="570"/>
    </row>
    <row r="542" ht="12.75" customHeight="1">
      <c r="A542" s="833">
        <v>44</v>
      </c>
      <c r="B542" t="s" s="834">
        <v>767</v>
      </c>
      <c r="C542" t="s" s="834">
        <v>617</v>
      </c>
      <c r="D542" s="835">
        <v>46039</v>
      </c>
      <c r="E542" t="s" s="834">
        <v>478</v>
      </c>
      <c r="F542" t="s" s="834">
        <v>478</v>
      </c>
      <c r="G542" s="570"/>
      <c r="H542" s="570"/>
      <c r="I542" s="570"/>
      <c r="J542" s="570"/>
      <c r="K542" s="570"/>
    </row>
    <row r="543" ht="12.75" customHeight="1">
      <c r="A543" s="833">
        <v>44</v>
      </c>
      <c r="B543" t="s" s="834">
        <v>767</v>
      </c>
      <c r="C543" t="s" s="834">
        <v>617</v>
      </c>
      <c r="D543" s="835">
        <v>46040</v>
      </c>
      <c r="E543" t="s" s="834">
        <v>478</v>
      </c>
      <c r="F543" t="s" s="834">
        <v>478</v>
      </c>
      <c r="G543" s="570"/>
      <c r="H543" s="570"/>
      <c r="I543" s="570"/>
      <c r="J543" s="570"/>
      <c r="K543" s="570"/>
    </row>
    <row r="544" ht="12.75" customHeight="1">
      <c r="A544" s="833">
        <v>44</v>
      </c>
      <c r="B544" t="s" s="834">
        <v>767</v>
      </c>
      <c r="C544" t="s" s="834">
        <v>617</v>
      </c>
      <c r="D544" s="835">
        <v>46041</v>
      </c>
      <c r="E544" s="836">
        <v>1.351087962962963</v>
      </c>
      <c r="F544" s="836">
        <v>1.750659722222222</v>
      </c>
      <c r="G544" s="570"/>
      <c r="H544" s="570"/>
      <c r="I544" s="570"/>
      <c r="J544" s="570"/>
      <c r="K544" s="570"/>
    </row>
    <row r="545" ht="12.75" customHeight="1">
      <c r="A545" t="s" s="834">
        <v>783</v>
      </c>
      <c r="B545" t="s" s="834">
        <v>784</v>
      </c>
      <c r="C545" t="s" s="834">
        <v>515</v>
      </c>
      <c r="D545" s="570"/>
      <c r="E545" s="570"/>
      <c r="F545" s="570"/>
      <c r="G545" s="570"/>
      <c r="H545" s="570"/>
      <c r="I545" s="570"/>
      <c r="J545" s="570"/>
      <c r="K545" s="570"/>
    </row>
    <row r="546" ht="12.75" customHeight="1">
      <c r="A546" s="833">
        <v>44</v>
      </c>
      <c r="B546" t="s" s="834">
        <v>767</v>
      </c>
      <c r="C546" t="s" s="834">
        <v>617</v>
      </c>
      <c r="D546" s="835">
        <v>46042</v>
      </c>
      <c r="E546" s="836">
        <v>1.353229166666667</v>
      </c>
      <c r="F546" s="836">
        <v>1.751064814814815</v>
      </c>
      <c r="G546" s="570"/>
      <c r="H546" s="570"/>
      <c r="I546" s="570"/>
      <c r="J546" s="570"/>
      <c r="K546" s="570"/>
    </row>
    <row r="547" ht="12.75" customHeight="1">
      <c r="A547" t="s" s="834">
        <v>785</v>
      </c>
      <c r="B547" t="s" s="834">
        <v>786</v>
      </c>
      <c r="C547" t="s" s="834">
        <v>688</v>
      </c>
      <c r="D547" s="570"/>
      <c r="E547" s="570"/>
      <c r="F547" s="570"/>
      <c r="G547" s="570"/>
      <c r="H547" s="570"/>
      <c r="I547" s="570"/>
      <c r="J547" s="570"/>
      <c r="K547" s="570"/>
    </row>
    <row r="548" ht="12.75" customHeight="1">
      <c r="A548" s="833">
        <v>44</v>
      </c>
      <c r="B548" t="s" s="834">
        <v>767</v>
      </c>
      <c r="C548" t="s" s="834">
        <v>617</v>
      </c>
      <c r="D548" s="835">
        <v>46043</v>
      </c>
      <c r="E548" s="836">
        <v>1.350185185185185</v>
      </c>
      <c r="F548" s="836">
        <v>1.750729166666667</v>
      </c>
      <c r="G548" s="570"/>
      <c r="H548" s="570"/>
      <c r="I548" s="570"/>
      <c r="J548" s="570"/>
      <c r="K548" s="570"/>
    </row>
    <row r="549" ht="12.75" customHeight="1">
      <c r="A549" t="s" s="834">
        <v>787</v>
      </c>
      <c r="B549" t="s" s="834">
        <v>788</v>
      </c>
      <c r="C549" t="s" s="834">
        <v>606</v>
      </c>
      <c r="D549" s="570"/>
      <c r="E549" s="570"/>
      <c r="F549" s="570"/>
      <c r="G549" s="570"/>
      <c r="H549" s="570"/>
      <c r="I549" s="570"/>
      <c r="J549" s="570"/>
      <c r="K549" s="570"/>
    </row>
    <row r="550" ht="12.75" customHeight="1">
      <c r="A550" s="833">
        <v>44</v>
      </c>
      <c r="B550" t="s" s="834">
        <v>767</v>
      </c>
      <c r="C550" t="s" s="834">
        <v>617</v>
      </c>
      <c r="D550" s="835">
        <v>46044</v>
      </c>
      <c r="E550" s="836">
        <v>1.352395833333333</v>
      </c>
      <c r="F550" s="836">
        <v>1.750648148148148</v>
      </c>
      <c r="G550" s="570"/>
      <c r="H550" s="570"/>
      <c r="I550" s="570"/>
      <c r="J550" s="570"/>
      <c r="K550" s="570"/>
    </row>
    <row r="551" ht="12.75" customHeight="1">
      <c r="A551" t="s" s="834">
        <v>789</v>
      </c>
      <c r="B551" t="s" s="834">
        <v>790</v>
      </c>
      <c r="C551" t="s" s="834">
        <v>688</v>
      </c>
      <c r="D551" s="570"/>
      <c r="E551" s="570"/>
      <c r="F551" s="570"/>
      <c r="G551" s="570"/>
      <c r="H551" s="570"/>
      <c r="I551" s="570"/>
      <c r="J551" s="570"/>
      <c r="K551" s="570"/>
    </row>
    <row r="552" ht="12.75" customHeight="1">
      <c r="A552" s="833">
        <v>44</v>
      </c>
      <c r="B552" t="s" s="834">
        <v>767</v>
      </c>
      <c r="C552" t="s" s="834">
        <v>617</v>
      </c>
      <c r="D552" s="835">
        <v>46045</v>
      </c>
      <c r="E552" t="s" s="834">
        <v>478</v>
      </c>
      <c r="F552" t="s" s="834">
        <v>478</v>
      </c>
      <c r="G552" s="570"/>
      <c r="H552" s="570"/>
      <c r="I552" s="570"/>
      <c r="J552" s="570"/>
      <c r="K552" s="570"/>
    </row>
    <row r="553" ht="12.75" customHeight="1">
      <c r="A553" s="833">
        <v>44</v>
      </c>
      <c r="B553" t="s" s="834">
        <v>767</v>
      </c>
      <c r="C553" t="s" s="834">
        <v>617</v>
      </c>
      <c r="D553" s="835">
        <v>46046</v>
      </c>
      <c r="E553" t="s" s="834">
        <v>478</v>
      </c>
      <c r="F553" t="s" s="834">
        <v>478</v>
      </c>
      <c r="G553" s="570"/>
      <c r="H553" s="570"/>
      <c r="I553" s="570"/>
      <c r="J553" s="570"/>
      <c r="K553" s="570"/>
    </row>
    <row r="554" ht="12.75" customHeight="1">
      <c r="A554" s="833">
        <v>44</v>
      </c>
      <c r="B554" t="s" s="834">
        <v>767</v>
      </c>
      <c r="C554" t="s" s="834">
        <v>617</v>
      </c>
      <c r="D554" s="835">
        <v>46047</v>
      </c>
      <c r="E554" t="s" s="834">
        <v>478</v>
      </c>
      <c r="F554" t="s" s="834">
        <v>478</v>
      </c>
      <c r="G554" s="570"/>
      <c r="H554" s="570"/>
      <c r="I554" s="570"/>
      <c r="J554" s="570"/>
      <c r="K554" s="570"/>
    </row>
    <row r="555" ht="12.75" customHeight="1">
      <c r="A555" s="833">
        <v>44</v>
      </c>
      <c r="B555" t="s" s="834">
        <v>767</v>
      </c>
      <c r="C555" t="s" s="834">
        <v>617</v>
      </c>
      <c r="D555" s="835">
        <v>46048</v>
      </c>
      <c r="E555" s="836">
        <v>1.349884259259259</v>
      </c>
      <c r="F555" s="836">
        <v>1.750648148148148</v>
      </c>
      <c r="G555" s="570"/>
      <c r="H555" s="570"/>
      <c r="I555" s="570"/>
      <c r="J555" s="570"/>
      <c r="K555" s="570"/>
    </row>
    <row r="556" ht="12.75" customHeight="1">
      <c r="A556" t="s" s="834">
        <v>791</v>
      </c>
      <c r="B556" t="s" s="834">
        <v>792</v>
      </c>
      <c r="C556" t="s" s="834">
        <v>606</v>
      </c>
      <c r="D556" s="570"/>
      <c r="E556" s="570"/>
      <c r="F556" s="570"/>
      <c r="G556" s="570"/>
      <c r="H556" s="570"/>
      <c r="I556" s="570"/>
      <c r="J556" s="570"/>
      <c r="K556" s="570"/>
    </row>
    <row r="557" ht="12.75" customHeight="1">
      <c r="A557" s="833">
        <v>44</v>
      </c>
      <c r="B557" t="s" s="834">
        <v>767</v>
      </c>
      <c r="C557" t="s" s="834">
        <v>617</v>
      </c>
      <c r="D557" s="835">
        <v>46049</v>
      </c>
      <c r="E557" s="836">
        <v>1.34962962962963</v>
      </c>
      <c r="F557" s="836">
        <v>1.750775462962963</v>
      </c>
      <c r="G557" s="570"/>
      <c r="H557" s="570"/>
      <c r="I557" s="570"/>
      <c r="J557" s="570"/>
      <c r="K557" s="570"/>
    </row>
    <row r="558" ht="12.75" customHeight="1">
      <c r="A558" t="s" s="834">
        <v>793</v>
      </c>
      <c r="B558" t="s" s="834">
        <v>794</v>
      </c>
      <c r="C558" t="s" s="834">
        <v>697</v>
      </c>
      <c r="D558" s="570"/>
      <c r="E558" s="570"/>
      <c r="F558" s="570"/>
      <c r="G558" s="570"/>
      <c r="H558" s="570"/>
      <c r="I558" s="570"/>
      <c r="J558" s="570"/>
      <c r="K558" s="570"/>
    </row>
    <row r="559" ht="12.75" customHeight="1">
      <c r="A559" s="833">
        <v>44</v>
      </c>
      <c r="B559" t="s" s="834">
        <v>767</v>
      </c>
      <c r="C559" t="s" s="834">
        <v>617</v>
      </c>
      <c r="D559" s="835">
        <v>46050</v>
      </c>
      <c r="E559" s="836">
        <v>1.349849537037037</v>
      </c>
      <c r="F559" s="836">
        <v>1.750613425925926</v>
      </c>
      <c r="G559" s="570"/>
      <c r="H559" s="570"/>
      <c r="I559" s="570"/>
      <c r="J559" s="570"/>
      <c r="K559" s="570"/>
    </row>
    <row r="560" ht="12.75" customHeight="1">
      <c r="A560" t="s" s="834">
        <v>795</v>
      </c>
      <c r="B560" t="s" s="834">
        <v>796</v>
      </c>
      <c r="C560" t="s" s="834">
        <v>606</v>
      </c>
      <c r="D560" s="570"/>
      <c r="E560" s="570"/>
      <c r="F560" s="570"/>
      <c r="G560" s="570"/>
      <c r="H560" s="570"/>
      <c r="I560" s="570"/>
      <c r="J560" s="570"/>
      <c r="K560" s="570"/>
    </row>
    <row r="561" ht="12.75" customHeight="1">
      <c r="A561" s="833">
        <v>44</v>
      </c>
      <c r="B561" t="s" s="834">
        <v>767</v>
      </c>
      <c r="C561" t="s" s="834">
        <v>617</v>
      </c>
      <c r="D561" s="835">
        <v>46051</v>
      </c>
      <c r="E561" s="836">
        <v>1.351203703703704</v>
      </c>
      <c r="F561" s="836">
        <v>1.750648148148148</v>
      </c>
      <c r="G561" s="570"/>
      <c r="H561" s="570"/>
      <c r="I561" s="570"/>
      <c r="J561" s="570"/>
      <c r="K561" s="570"/>
    </row>
    <row r="562" ht="12.75" customHeight="1">
      <c r="A562" t="s" s="834">
        <v>797</v>
      </c>
      <c r="B562" t="s" s="834">
        <v>798</v>
      </c>
      <c r="C562" t="s" s="834">
        <v>515</v>
      </c>
      <c r="D562" s="570"/>
      <c r="E562" s="570"/>
      <c r="F562" s="570"/>
      <c r="G562" s="570"/>
      <c r="H562" s="570"/>
      <c r="I562" s="570"/>
      <c r="J562" s="570"/>
      <c r="K562" s="570"/>
    </row>
    <row r="563" ht="12.75" customHeight="1">
      <c r="A563" s="833">
        <v>44</v>
      </c>
      <c r="B563" t="s" s="834">
        <v>767</v>
      </c>
      <c r="C563" t="s" s="834">
        <v>617</v>
      </c>
      <c r="D563" s="835">
        <v>46052</v>
      </c>
      <c r="E563" t="s" s="834">
        <v>478</v>
      </c>
      <c r="F563" t="s" s="834">
        <v>478</v>
      </c>
      <c r="G563" s="570"/>
      <c r="H563" s="570"/>
      <c r="I563" s="570"/>
      <c r="J563" s="570"/>
      <c r="K563" s="570"/>
    </row>
    <row r="564" ht="12.75" customHeight="1">
      <c r="A564" s="833">
        <v>44</v>
      </c>
      <c r="B564" t="s" s="834">
        <v>767</v>
      </c>
      <c r="C564" t="s" s="834">
        <v>617</v>
      </c>
      <c r="D564" s="835">
        <v>46053</v>
      </c>
      <c r="E564" t="s" s="834">
        <v>478</v>
      </c>
      <c r="F564" t="s" s="834">
        <v>478</v>
      </c>
      <c r="G564" s="570"/>
      <c r="H564" s="570"/>
      <c r="I564" s="570"/>
      <c r="J564" s="570"/>
      <c r="K564" s="570"/>
    </row>
    <row r="565" ht="12.75" customHeight="1">
      <c r="A565" s="833">
        <v>44</v>
      </c>
      <c r="B565" t="s" s="834">
        <v>767</v>
      </c>
      <c r="C565" t="s" s="834">
        <v>617</v>
      </c>
      <c r="D565" s="835">
        <v>46054</v>
      </c>
      <c r="E565" t="s" s="834">
        <v>478</v>
      </c>
      <c r="F565" t="s" s="834">
        <v>478</v>
      </c>
      <c r="G565" s="570"/>
      <c r="H565" s="570"/>
      <c r="I565" s="570"/>
      <c r="J565" s="570"/>
      <c r="K565" s="570"/>
    </row>
    <row r="566" ht="12.75" customHeight="1">
      <c r="A566" s="833">
        <v>45</v>
      </c>
      <c r="B566" t="s" s="834">
        <v>799</v>
      </c>
      <c r="C566" t="s" s="834">
        <v>800</v>
      </c>
      <c r="D566" s="835">
        <v>46023</v>
      </c>
      <c r="E566" t="s" s="834">
        <v>478</v>
      </c>
      <c r="F566" t="s" s="834">
        <v>478</v>
      </c>
      <c r="G566" s="570"/>
      <c r="H566" s="570"/>
      <c r="I566" s="570"/>
      <c r="J566" s="570"/>
      <c r="K566" s="570"/>
    </row>
    <row r="567" ht="12.75" customHeight="1">
      <c r="A567" s="833">
        <v>45</v>
      </c>
      <c r="B567" t="s" s="834">
        <v>799</v>
      </c>
      <c r="C567" t="s" s="834">
        <v>800</v>
      </c>
      <c r="D567" s="835">
        <v>46024</v>
      </c>
      <c r="E567" t="s" s="834">
        <v>478</v>
      </c>
      <c r="F567" t="s" s="834">
        <v>478</v>
      </c>
      <c r="G567" s="570"/>
      <c r="H567" s="570"/>
      <c r="I567" s="570"/>
      <c r="J567" s="570"/>
      <c r="K567" s="570"/>
    </row>
    <row r="568" ht="12.75" customHeight="1">
      <c r="A568" s="833">
        <v>45</v>
      </c>
      <c r="B568" t="s" s="834">
        <v>799</v>
      </c>
      <c r="C568" t="s" s="834">
        <v>800</v>
      </c>
      <c r="D568" s="835">
        <v>46025</v>
      </c>
      <c r="E568" t="s" s="834">
        <v>478</v>
      </c>
      <c r="F568" t="s" s="834">
        <v>478</v>
      </c>
      <c r="G568" s="570"/>
      <c r="H568" s="570"/>
      <c r="I568" s="570"/>
      <c r="J568" s="570"/>
      <c r="K568" s="570"/>
    </row>
    <row r="569" ht="12.75" customHeight="1">
      <c r="A569" s="833">
        <v>45</v>
      </c>
      <c r="B569" t="s" s="834">
        <v>799</v>
      </c>
      <c r="C569" t="s" s="834">
        <v>800</v>
      </c>
      <c r="D569" s="835">
        <v>46026</v>
      </c>
      <c r="E569" t="s" s="834">
        <v>478</v>
      </c>
      <c r="F569" t="s" s="834">
        <v>478</v>
      </c>
      <c r="G569" s="570"/>
      <c r="H569" s="570"/>
      <c r="I569" s="570"/>
      <c r="J569" s="570"/>
      <c r="K569" s="570"/>
    </row>
    <row r="570" ht="12.75" customHeight="1">
      <c r="A570" s="833">
        <v>45</v>
      </c>
      <c r="B570" t="s" s="834">
        <v>799</v>
      </c>
      <c r="C570" t="s" s="834">
        <v>800</v>
      </c>
      <c r="D570" s="835">
        <v>46027</v>
      </c>
      <c r="E570" t="s" s="834">
        <v>478</v>
      </c>
      <c r="F570" t="s" s="834">
        <v>478</v>
      </c>
      <c r="G570" s="570"/>
      <c r="H570" s="570"/>
      <c r="I570" s="570"/>
      <c r="J570" s="570"/>
      <c r="K570" s="570"/>
    </row>
    <row r="571" ht="12.75" customHeight="1">
      <c r="A571" s="833">
        <v>45</v>
      </c>
      <c r="B571" t="s" s="834">
        <v>799</v>
      </c>
      <c r="C571" t="s" s="834">
        <v>800</v>
      </c>
      <c r="D571" s="835">
        <v>46028</v>
      </c>
      <c r="E571" t="s" s="834">
        <v>478</v>
      </c>
      <c r="F571" t="s" s="834">
        <v>478</v>
      </c>
      <c r="G571" s="570"/>
      <c r="H571" s="570"/>
      <c r="I571" s="570"/>
      <c r="J571" s="570"/>
      <c r="K571" s="570"/>
    </row>
    <row r="572" ht="12.75" customHeight="1">
      <c r="A572" s="833">
        <v>45</v>
      </c>
      <c r="B572" t="s" s="834">
        <v>799</v>
      </c>
      <c r="C572" t="s" s="834">
        <v>800</v>
      </c>
      <c r="D572" s="835">
        <v>46029</v>
      </c>
      <c r="E572" s="836">
        <v>1.361076388888889</v>
      </c>
      <c r="F572" s="836">
        <v>1.361203703703704</v>
      </c>
      <c r="G572" s="570"/>
      <c r="H572" s="570"/>
      <c r="I572" s="570"/>
      <c r="J572" s="570"/>
      <c r="K572" s="570"/>
    </row>
    <row r="573" ht="12.75" customHeight="1">
      <c r="A573" t="s" s="834">
        <v>801</v>
      </c>
      <c r="B573" t="s" s="834">
        <v>802</v>
      </c>
      <c r="C573" t="s" s="834">
        <v>486</v>
      </c>
      <c r="D573" s="570"/>
      <c r="E573" s="570"/>
      <c r="F573" s="570"/>
      <c r="G573" s="570"/>
      <c r="H573" s="570"/>
      <c r="I573" s="570"/>
      <c r="J573" s="570"/>
      <c r="K573" s="570"/>
    </row>
    <row r="574" ht="12.75" customHeight="1">
      <c r="A574" s="833">
        <v>45</v>
      </c>
      <c r="B574" t="s" s="834">
        <v>799</v>
      </c>
      <c r="C574" t="s" s="834">
        <v>800</v>
      </c>
      <c r="D574" s="835">
        <v>46030</v>
      </c>
      <c r="E574" t="s" s="834">
        <v>478</v>
      </c>
      <c r="F574" t="s" s="834">
        <v>478</v>
      </c>
      <c r="G574" s="570"/>
      <c r="H574" s="570"/>
      <c r="I574" s="570"/>
      <c r="J574" s="570"/>
      <c r="K574" s="570"/>
    </row>
    <row r="575" ht="12.75" customHeight="1">
      <c r="A575" s="833">
        <v>45</v>
      </c>
      <c r="B575" t="s" s="834">
        <v>799</v>
      </c>
      <c r="C575" t="s" s="834">
        <v>800</v>
      </c>
      <c r="D575" s="835">
        <v>46031</v>
      </c>
      <c r="E575" t="s" s="834">
        <v>478</v>
      </c>
      <c r="F575" t="s" s="834">
        <v>478</v>
      </c>
      <c r="G575" s="570"/>
      <c r="H575" s="570"/>
      <c r="I575" s="570"/>
      <c r="J575" s="570"/>
      <c r="K575" s="570"/>
    </row>
    <row r="576" ht="12.75" customHeight="1">
      <c r="A576" s="833">
        <v>45</v>
      </c>
      <c r="B576" t="s" s="834">
        <v>799</v>
      </c>
      <c r="C576" t="s" s="834">
        <v>800</v>
      </c>
      <c r="D576" s="835">
        <v>46032</v>
      </c>
      <c r="E576" t="s" s="834">
        <v>478</v>
      </c>
      <c r="F576" t="s" s="834">
        <v>478</v>
      </c>
      <c r="G576" s="570"/>
      <c r="H576" s="570"/>
      <c r="I576" s="570"/>
      <c r="J576" s="570"/>
      <c r="K576" s="570"/>
    </row>
    <row r="577" ht="12.75" customHeight="1">
      <c r="A577" s="833">
        <v>45</v>
      </c>
      <c r="B577" t="s" s="834">
        <v>799</v>
      </c>
      <c r="C577" t="s" s="834">
        <v>800</v>
      </c>
      <c r="D577" s="835">
        <v>46033</v>
      </c>
      <c r="E577" t="s" s="834">
        <v>478</v>
      </c>
      <c r="F577" t="s" s="834">
        <v>478</v>
      </c>
      <c r="G577" s="570"/>
      <c r="H577" s="570"/>
      <c r="I577" s="570"/>
      <c r="J577" s="570"/>
      <c r="K577" s="570"/>
    </row>
    <row r="578" ht="12.75" customHeight="1">
      <c r="A578" s="833">
        <v>45</v>
      </c>
      <c r="B578" t="s" s="834">
        <v>799</v>
      </c>
      <c r="C578" t="s" s="834">
        <v>800</v>
      </c>
      <c r="D578" s="835">
        <v>46034</v>
      </c>
      <c r="E578" t="s" s="834">
        <v>478</v>
      </c>
      <c r="F578" t="s" s="834">
        <v>478</v>
      </c>
      <c r="G578" s="570"/>
      <c r="H578" s="570"/>
      <c r="I578" s="570"/>
      <c r="J578" s="570"/>
      <c r="K578" s="570"/>
    </row>
    <row r="579" ht="12.75" customHeight="1">
      <c r="A579" s="833">
        <v>45</v>
      </c>
      <c r="B579" t="s" s="834">
        <v>799</v>
      </c>
      <c r="C579" t="s" s="834">
        <v>800</v>
      </c>
      <c r="D579" s="835">
        <v>46035</v>
      </c>
      <c r="E579" t="s" s="834">
        <v>478</v>
      </c>
      <c r="F579" t="s" s="834">
        <v>478</v>
      </c>
      <c r="G579" s="570"/>
      <c r="H579" s="570"/>
      <c r="I579" s="570"/>
      <c r="J579" s="570"/>
      <c r="K579" s="570"/>
    </row>
    <row r="580" ht="12.75" customHeight="1">
      <c r="A580" s="833">
        <v>45</v>
      </c>
      <c r="B580" t="s" s="834">
        <v>799</v>
      </c>
      <c r="C580" t="s" s="834">
        <v>800</v>
      </c>
      <c r="D580" s="835">
        <v>46036</v>
      </c>
      <c r="E580" s="836">
        <v>1.367013888888889</v>
      </c>
      <c r="F580" s="836">
        <v>1.367581018518519</v>
      </c>
      <c r="G580" s="570"/>
      <c r="H580" s="570"/>
      <c r="I580" s="570"/>
      <c r="J580" s="570"/>
      <c r="K580" s="570"/>
    </row>
    <row r="581" ht="12.75" customHeight="1">
      <c r="A581" t="s" s="834">
        <v>803</v>
      </c>
      <c r="B581" t="s" s="834">
        <v>804</v>
      </c>
      <c r="C581" t="s" s="834">
        <v>805</v>
      </c>
      <c r="D581" s="570"/>
      <c r="E581" s="570"/>
      <c r="F581" s="570"/>
      <c r="G581" s="570"/>
      <c r="H581" s="570"/>
      <c r="I581" s="570"/>
      <c r="J581" s="570"/>
      <c r="K581" s="570"/>
    </row>
    <row r="582" ht="12.75" customHeight="1">
      <c r="A582" s="833">
        <v>45</v>
      </c>
      <c r="B582" t="s" s="834">
        <v>799</v>
      </c>
      <c r="C582" t="s" s="834">
        <v>800</v>
      </c>
      <c r="D582" s="835">
        <v>46037</v>
      </c>
      <c r="E582" s="836">
        <v>1.362592592592593</v>
      </c>
      <c r="F582" s="836">
        <v>1.362638888888889</v>
      </c>
      <c r="G582" s="570"/>
      <c r="H582" s="570"/>
      <c r="I582" s="570"/>
      <c r="J582" s="570"/>
      <c r="K582" s="570"/>
    </row>
    <row r="583" ht="12.75" customHeight="1">
      <c r="A583" t="s" s="834">
        <v>806</v>
      </c>
      <c r="B583" t="s" s="834">
        <v>807</v>
      </c>
      <c r="C583" t="s" s="834">
        <v>486</v>
      </c>
      <c r="D583" s="570"/>
      <c r="E583" s="570"/>
      <c r="F583" s="570"/>
      <c r="G583" s="570"/>
      <c r="H583" s="570"/>
      <c r="I583" s="570"/>
      <c r="J583" s="570"/>
      <c r="K583" s="570"/>
    </row>
    <row r="584" ht="12.75" customHeight="1">
      <c r="A584" s="833">
        <v>45</v>
      </c>
      <c r="B584" t="s" s="834">
        <v>799</v>
      </c>
      <c r="C584" t="s" s="834">
        <v>800</v>
      </c>
      <c r="D584" s="835">
        <v>46038</v>
      </c>
      <c r="E584" t="s" s="834">
        <v>478</v>
      </c>
      <c r="F584" t="s" s="834">
        <v>478</v>
      </c>
      <c r="G584" s="570"/>
      <c r="H584" s="570"/>
      <c r="I584" s="570"/>
      <c r="J584" s="570"/>
      <c r="K584" s="570"/>
    </row>
    <row r="585" ht="12.75" customHeight="1">
      <c r="A585" s="833">
        <v>45</v>
      </c>
      <c r="B585" t="s" s="834">
        <v>799</v>
      </c>
      <c r="C585" t="s" s="834">
        <v>800</v>
      </c>
      <c r="D585" s="835">
        <v>46039</v>
      </c>
      <c r="E585" t="s" s="834">
        <v>478</v>
      </c>
      <c r="F585" t="s" s="834">
        <v>478</v>
      </c>
      <c r="G585" s="570"/>
      <c r="H585" s="570"/>
      <c r="I585" s="570"/>
      <c r="J585" s="570"/>
      <c r="K585" s="570"/>
    </row>
    <row r="586" ht="12.75" customHeight="1">
      <c r="A586" s="833">
        <v>45</v>
      </c>
      <c r="B586" t="s" s="834">
        <v>799</v>
      </c>
      <c r="C586" t="s" s="834">
        <v>800</v>
      </c>
      <c r="D586" s="835">
        <v>46040</v>
      </c>
      <c r="E586" t="s" s="834">
        <v>478</v>
      </c>
      <c r="F586" t="s" s="834">
        <v>478</v>
      </c>
      <c r="G586" s="570"/>
      <c r="H586" s="570"/>
      <c r="I586" s="570"/>
      <c r="J586" s="570"/>
      <c r="K586" s="570"/>
    </row>
    <row r="587" ht="12.75" customHeight="1">
      <c r="A587" s="833">
        <v>45</v>
      </c>
      <c r="B587" t="s" s="834">
        <v>799</v>
      </c>
      <c r="C587" t="s" s="834">
        <v>800</v>
      </c>
      <c r="D587" s="835">
        <v>46041</v>
      </c>
      <c r="E587" t="s" s="834">
        <v>478</v>
      </c>
      <c r="F587" t="s" s="834">
        <v>478</v>
      </c>
      <c r="G587" s="570"/>
      <c r="H587" s="570"/>
      <c r="I587" s="570"/>
      <c r="J587" s="570"/>
      <c r="K587" s="570"/>
    </row>
    <row r="588" ht="12.75" customHeight="1">
      <c r="A588" s="833">
        <v>45</v>
      </c>
      <c r="B588" t="s" s="834">
        <v>799</v>
      </c>
      <c r="C588" t="s" s="834">
        <v>800</v>
      </c>
      <c r="D588" s="835">
        <v>46042</v>
      </c>
      <c r="E588" s="836">
        <v>1.356481481481481</v>
      </c>
      <c r="F588" t="s" s="834">
        <v>478</v>
      </c>
      <c r="G588" s="570"/>
      <c r="H588" s="570"/>
      <c r="I588" s="570"/>
      <c r="J588" s="570"/>
      <c r="K588" s="570"/>
    </row>
    <row r="589" ht="12.75" customHeight="1">
      <c r="A589" t="s" s="834">
        <v>808</v>
      </c>
      <c r="B589" t="s" s="834">
        <v>485</v>
      </c>
      <c r="C589" t="s" s="834">
        <v>486</v>
      </c>
      <c r="D589" s="570"/>
      <c r="E589" s="570"/>
      <c r="F589" s="570"/>
      <c r="G589" s="570"/>
      <c r="H589" s="570"/>
      <c r="I589" s="570"/>
      <c r="J589" s="570"/>
      <c r="K589" s="570"/>
    </row>
    <row r="590" ht="12.75" customHeight="1">
      <c r="A590" s="833">
        <v>45</v>
      </c>
      <c r="B590" t="s" s="834">
        <v>799</v>
      </c>
      <c r="C590" t="s" s="834">
        <v>800</v>
      </c>
      <c r="D590" s="835">
        <v>46043</v>
      </c>
      <c r="E590" t="s" s="834">
        <v>478</v>
      </c>
      <c r="F590" t="s" s="834">
        <v>478</v>
      </c>
      <c r="G590" s="570"/>
      <c r="H590" s="570"/>
      <c r="I590" s="570"/>
      <c r="J590" s="570"/>
      <c r="K590" s="570"/>
    </row>
    <row r="591" ht="12.75" customHeight="1">
      <c r="A591" s="833">
        <v>45</v>
      </c>
      <c r="B591" t="s" s="834">
        <v>799</v>
      </c>
      <c r="C591" t="s" s="834">
        <v>800</v>
      </c>
      <c r="D591" s="835">
        <v>46044</v>
      </c>
      <c r="E591" t="s" s="834">
        <v>478</v>
      </c>
      <c r="F591" t="s" s="834">
        <v>478</v>
      </c>
      <c r="G591" s="570"/>
      <c r="H591" s="570"/>
      <c r="I591" s="570"/>
      <c r="J591" s="570"/>
      <c r="K591" s="570"/>
    </row>
    <row r="592" ht="12.75" customHeight="1">
      <c r="A592" s="833">
        <v>45</v>
      </c>
      <c r="B592" t="s" s="834">
        <v>799</v>
      </c>
      <c r="C592" t="s" s="834">
        <v>800</v>
      </c>
      <c r="D592" s="835">
        <v>46045</v>
      </c>
      <c r="E592" t="s" s="834">
        <v>478</v>
      </c>
      <c r="F592" t="s" s="834">
        <v>478</v>
      </c>
      <c r="G592" s="570"/>
      <c r="H592" s="570"/>
      <c r="I592" s="570"/>
      <c r="J592" s="570"/>
      <c r="K592" s="570"/>
    </row>
    <row r="593" ht="12.75" customHeight="1">
      <c r="A593" s="833">
        <v>45</v>
      </c>
      <c r="B593" t="s" s="834">
        <v>799</v>
      </c>
      <c r="C593" t="s" s="834">
        <v>800</v>
      </c>
      <c r="D593" s="835">
        <v>46046</v>
      </c>
      <c r="E593" t="s" s="834">
        <v>478</v>
      </c>
      <c r="F593" t="s" s="834">
        <v>478</v>
      </c>
      <c r="G593" s="570"/>
      <c r="H593" s="570"/>
      <c r="I593" s="570"/>
      <c r="J593" s="570"/>
      <c r="K593" s="570"/>
    </row>
    <row r="594" ht="12.75" customHeight="1">
      <c r="A594" s="833">
        <v>45</v>
      </c>
      <c r="B594" t="s" s="834">
        <v>799</v>
      </c>
      <c r="C594" t="s" s="834">
        <v>800</v>
      </c>
      <c r="D594" s="835">
        <v>46047</v>
      </c>
      <c r="E594" t="s" s="834">
        <v>478</v>
      </c>
      <c r="F594" t="s" s="834">
        <v>478</v>
      </c>
      <c r="G594" s="570"/>
      <c r="H594" s="570"/>
      <c r="I594" s="570"/>
      <c r="J594" s="570"/>
      <c r="K594" s="570"/>
    </row>
    <row r="595" ht="12.75" customHeight="1">
      <c r="A595" s="833">
        <v>45</v>
      </c>
      <c r="B595" t="s" s="834">
        <v>799</v>
      </c>
      <c r="C595" t="s" s="834">
        <v>800</v>
      </c>
      <c r="D595" s="835">
        <v>46048</v>
      </c>
      <c r="E595" t="s" s="834">
        <v>478</v>
      </c>
      <c r="F595" t="s" s="834">
        <v>478</v>
      </c>
      <c r="G595" s="570"/>
      <c r="H595" s="570"/>
      <c r="I595" s="570"/>
      <c r="J595" s="570"/>
      <c r="K595" s="570"/>
    </row>
    <row r="596" ht="12.75" customHeight="1">
      <c r="A596" s="833">
        <v>45</v>
      </c>
      <c r="B596" t="s" s="834">
        <v>799</v>
      </c>
      <c r="C596" t="s" s="834">
        <v>800</v>
      </c>
      <c r="D596" s="835">
        <v>46049</v>
      </c>
      <c r="E596" t="s" s="834">
        <v>478</v>
      </c>
      <c r="F596" t="s" s="834">
        <v>478</v>
      </c>
      <c r="G596" s="570"/>
      <c r="H596" s="570"/>
      <c r="I596" s="570"/>
      <c r="J596" s="570"/>
      <c r="K596" s="570"/>
    </row>
    <row r="597" ht="12.75" customHeight="1">
      <c r="A597" s="833">
        <v>45</v>
      </c>
      <c r="B597" t="s" s="834">
        <v>799</v>
      </c>
      <c r="C597" t="s" s="834">
        <v>800</v>
      </c>
      <c r="D597" s="835">
        <v>46050</v>
      </c>
      <c r="E597" t="s" s="834">
        <v>478</v>
      </c>
      <c r="F597" t="s" s="834">
        <v>478</v>
      </c>
      <c r="G597" s="570"/>
      <c r="H597" s="570"/>
      <c r="I597" s="570"/>
      <c r="J597" s="570"/>
      <c r="K597" s="570"/>
    </row>
    <row r="598" ht="12.75" customHeight="1">
      <c r="A598" s="833">
        <v>45</v>
      </c>
      <c r="B598" t="s" s="834">
        <v>799</v>
      </c>
      <c r="C598" t="s" s="834">
        <v>800</v>
      </c>
      <c r="D598" s="835">
        <v>46051</v>
      </c>
      <c r="E598" t="s" s="834">
        <v>478</v>
      </c>
      <c r="F598" t="s" s="834">
        <v>478</v>
      </c>
      <c r="G598" s="570"/>
      <c r="H598" s="570"/>
      <c r="I598" s="570"/>
      <c r="J598" s="570"/>
      <c r="K598" s="570"/>
    </row>
    <row r="599" ht="12.75" customHeight="1">
      <c r="A599" s="833">
        <v>45</v>
      </c>
      <c r="B599" t="s" s="834">
        <v>799</v>
      </c>
      <c r="C599" t="s" s="834">
        <v>800</v>
      </c>
      <c r="D599" s="835">
        <v>46052</v>
      </c>
      <c r="E599" t="s" s="834">
        <v>478</v>
      </c>
      <c r="F599" t="s" s="834">
        <v>478</v>
      </c>
      <c r="G599" s="570"/>
      <c r="H599" s="570"/>
      <c r="I599" s="570"/>
      <c r="J599" s="570"/>
      <c r="K599" s="570"/>
    </row>
    <row r="600" ht="12.75" customHeight="1">
      <c r="A600" s="833">
        <v>45</v>
      </c>
      <c r="B600" t="s" s="834">
        <v>799</v>
      </c>
      <c r="C600" t="s" s="834">
        <v>800</v>
      </c>
      <c r="D600" s="835">
        <v>46053</v>
      </c>
      <c r="E600" t="s" s="834">
        <v>478</v>
      </c>
      <c r="F600" t="s" s="834">
        <v>478</v>
      </c>
      <c r="G600" s="570"/>
      <c r="H600" s="570"/>
      <c r="I600" s="570"/>
      <c r="J600" s="570"/>
      <c r="K600" s="570"/>
    </row>
    <row r="601" ht="12.75" customHeight="1">
      <c r="A601" s="833">
        <v>45</v>
      </c>
      <c r="B601" t="s" s="834">
        <v>799</v>
      </c>
      <c r="C601" t="s" s="834">
        <v>800</v>
      </c>
      <c r="D601" s="835">
        <v>46054</v>
      </c>
      <c r="E601" t="s" s="834">
        <v>478</v>
      </c>
      <c r="F601" t="s" s="834">
        <v>478</v>
      </c>
      <c r="G601" s="570"/>
      <c r="H601" s="570"/>
      <c r="I601" s="570"/>
      <c r="J601" s="570"/>
      <c r="K601" s="570"/>
    </row>
    <row r="602" ht="12.75" customHeight="1">
      <c r="A602" s="833">
        <v>46</v>
      </c>
      <c r="B602" t="s" s="834">
        <v>809</v>
      </c>
      <c r="C602" t="s" s="834">
        <v>617</v>
      </c>
      <c r="D602" s="835">
        <v>46023</v>
      </c>
      <c r="E602" t="s" s="834">
        <v>478</v>
      </c>
      <c r="F602" t="s" s="834">
        <v>478</v>
      </c>
      <c r="G602" s="570"/>
      <c r="H602" s="570"/>
      <c r="I602" s="570"/>
      <c r="J602" s="570"/>
      <c r="K602" s="570"/>
    </row>
    <row r="603" ht="12.75" customHeight="1">
      <c r="A603" s="833">
        <v>46</v>
      </c>
      <c r="B603" t="s" s="834">
        <v>809</v>
      </c>
      <c r="C603" t="s" s="834">
        <v>617</v>
      </c>
      <c r="D603" s="835">
        <v>46024</v>
      </c>
      <c r="E603" t="s" s="834">
        <v>478</v>
      </c>
      <c r="F603" t="s" s="834">
        <v>478</v>
      </c>
      <c r="G603" s="570"/>
      <c r="H603" s="570"/>
      <c r="I603" s="570"/>
      <c r="J603" s="570"/>
      <c r="K603" s="570"/>
    </row>
    <row r="604" ht="12.75" customHeight="1">
      <c r="A604" s="833">
        <v>46</v>
      </c>
      <c r="B604" t="s" s="834">
        <v>809</v>
      </c>
      <c r="C604" t="s" s="834">
        <v>617</v>
      </c>
      <c r="D604" s="835">
        <v>46025</v>
      </c>
      <c r="E604" t="s" s="834">
        <v>478</v>
      </c>
      <c r="F604" t="s" s="834">
        <v>478</v>
      </c>
      <c r="G604" s="570"/>
      <c r="H604" s="570"/>
      <c r="I604" s="570"/>
      <c r="J604" s="570"/>
      <c r="K604" s="570"/>
    </row>
    <row r="605" ht="12.75" customHeight="1">
      <c r="A605" s="833">
        <v>46</v>
      </c>
      <c r="B605" t="s" s="834">
        <v>809</v>
      </c>
      <c r="C605" t="s" s="834">
        <v>617</v>
      </c>
      <c r="D605" s="835">
        <v>46026</v>
      </c>
      <c r="E605" t="s" s="834">
        <v>478</v>
      </c>
      <c r="F605" t="s" s="834">
        <v>478</v>
      </c>
      <c r="G605" s="570"/>
      <c r="H605" s="570"/>
      <c r="I605" s="570"/>
      <c r="J605" s="570"/>
      <c r="K605" s="570"/>
    </row>
    <row r="606" ht="12.75" customHeight="1">
      <c r="A606" s="833">
        <v>46</v>
      </c>
      <c r="B606" t="s" s="834">
        <v>809</v>
      </c>
      <c r="C606" t="s" s="834">
        <v>617</v>
      </c>
      <c r="D606" s="835">
        <v>46027</v>
      </c>
      <c r="E606" s="836">
        <v>1.372164351851852</v>
      </c>
      <c r="F606" s="836">
        <v>1.755324074074074</v>
      </c>
      <c r="G606" s="570"/>
      <c r="H606" s="570"/>
      <c r="I606" s="570"/>
      <c r="J606" s="570"/>
      <c r="K606" s="570"/>
    </row>
    <row r="607" ht="12.75" customHeight="1">
      <c r="A607" t="s" s="834">
        <v>810</v>
      </c>
      <c r="B607" t="s" s="834">
        <v>811</v>
      </c>
      <c r="C607" t="s" s="834">
        <v>812</v>
      </c>
      <c r="D607" s="570"/>
      <c r="E607" s="570"/>
      <c r="F607" s="570"/>
      <c r="G607" s="570"/>
      <c r="H607" s="570"/>
      <c r="I607" s="570"/>
      <c r="J607" s="570"/>
      <c r="K607" s="570"/>
    </row>
    <row r="608" ht="12.75" customHeight="1">
      <c r="A608" s="833">
        <v>46</v>
      </c>
      <c r="B608" t="s" s="834">
        <v>809</v>
      </c>
      <c r="C608" t="s" s="834">
        <v>617</v>
      </c>
      <c r="D608" s="835">
        <v>46028</v>
      </c>
      <c r="E608" s="836">
        <v>1.752986111111111</v>
      </c>
      <c r="F608" t="s" s="834">
        <v>478</v>
      </c>
      <c r="G608" s="570"/>
      <c r="H608" s="570"/>
      <c r="I608" s="570"/>
      <c r="J608" s="570"/>
      <c r="K608" s="570"/>
    </row>
    <row r="609" ht="12.75" customHeight="1">
      <c r="A609" t="s" s="834">
        <v>813</v>
      </c>
      <c r="B609" t="s" s="834">
        <v>485</v>
      </c>
      <c r="C609" t="s" s="834">
        <v>486</v>
      </c>
      <c r="D609" s="570"/>
      <c r="E609" s="570"/>
      <c r="F609" s="570"/>
      <c r="G609" s="570"/>
      <c r="H609" s="570"/>
      <c r="I609" s="570"/>
      <c r="J609" s="570"/>
      <c r="K609" s="570"/>
    </row>
    <row r="610" ht="12.75" customHeight="1">
      <c r="A610" s="833">
        <v>46</v>
      </c>
      <c r="B610" t="s" s="834">
        <v>809</v>
      </c>
      <c r="C610" t="s" s="834">
        <v>617</v>
      </c>
      <c r="D610" s="835">
        <v>46029</v>
      </c>
      <c r="E610" s="836">
        <v>1.373842592592593</v>
      </c>
      <c r="F610" s="836">
        <v>1.755763888888889</v>
      </c>
      <c r="G610" s="570"/>
      <c r="H610" s="570"/>
      <c r="I610" s="570"/>
      <c r="J610" s="570"/>
      <c r="K610" s="570"/>
    </row>
    <row r="611" ht="12.75" customHeight="1">
      <c r="A611" t="s" s="834">
        <v>814</v>
      </c>
      <c r="B611" t="s" s="834">
        <v>815</v>
      </c>
      <c r="C611" t="s" s="834">
        <v>816</v>
      </c>
      <c r="D611" s="570"/>
      <c r="E611" s="570"/>
      <c r="F611" s="570"/>
      <c r="G611" s="570"/>
      <c r="H611" s="570"/>
      <c r="I611" s="570"/>
      <c r="J611" s="570"/>
      <c r="K611" s="570"/>
    </row>
    <row r="612" ht="12.75" customHeight="1">
      <c r="A612" s="833">
        <v>46</v>
      </c>
      <c r="B612" t="s" s="834">
        <v>809</v>
      </c>
      <c r="C612" t="s" s="834">
        <v>617</v>
      </c>
      <c r="D612" s="835">
        <v>46030</v>
      </c>
      <c r="E612" t="s" s="834">
        <v>478</v>
      </c>
      <c r="F612" t="s" s="834">
        <v>478</v>
      </c>
      <c r="G612" s="570"/>
      <c r="H612" s="570"/>
      <c r="I612" s="570"/>
      <c r="J612" s="570"/>
      <c r="K612" s="570"/>
    </row>
    <row r="613" ht="12.75" customHeight="1">
      <c r="A613" s="833">
        <v>46</v>
      </c>
      <c r="B613" t="s" s="834">
        <v>809</v>
      </c>
      <c r="C613" t="s" s="834">
        <v>617</v>
      </c>
      <c r="D613" s="835">
        <v>46031</v>
      </c>
      <c r="E613" t="s" s="834">
        <v>478</v>
      </c>
      <c r="F613" t="s" s="834">
        <v>478</v>
      </c>
      <c r="G613" s="570"/>
      <c r="H613" s="570"/>
      <c r="I613" s="570"/>
      <c r="J613" s="570"/>
      <c r="K613" s="570"/>
    </row>
    <row r="614" ht="12.75" customHeight="1">
      <c r="A614" s="833">
        <v>46</v>
      </c>
      <c r="B614" t="s" s="834">
        <v>809</v>
      </c>
      <c r="C614" t="s" s="834">
        <v>617</v>
      </c>
      <c r="D614" s="835">
        <v>46032</v>
      </c>
      <c r="E614" t="s" s="834">
        <v>478</v>
      </c>
      <c r="F614" t="s" s="834">
        <v>478</v>
      </c>
      <c r="G614" s="570"/>
      <c r="H614" s="570"/>
      <c r="I614" s="570"/>
      <c r="J614" s="570"/>
      <c r="K614" s="570"/>
    </row>
    <row r="615" ht="12.75" customHeight="1">
      <c r="A615" s="833">
        <v>46</v>
      </c>
      <c r="B615" t="s" s="834">
        <v>809</v>
      </c>
      <c r="C615" t="s" s="834">
        <v>617</v>
      </c>
      <c r="D615" s="835">
        <v>46033</v>
      </c>
      <c r="E615" t="s" s="834">
        <v>478</v>
      </c>
      <c r="F615" t="s" s="834">
        <v>478</v>
      </c>
      <c r="G615" s="570"/>
      <c r="H615" s="570"/>
      <c r="I615" s="570"/>
      <c r="J615" s="570"/>
      <c r="K615" s="570"/>
    </row>
    <row r="616" ht="12.75" customHeight="1">
      <c r="A616" s="833">
        <v>46</v>
      </c>
      <c r="B616" t="s" s="834">
        <v>809</v>
      </c>
      <c r="C616" t="s" s="834">
        <v>617</v>
      </c>
      <c r="D616" s="835">
        <v>46034</v>
      </c>
      <c r="E616" s="836">
        <v>1.368252314814815</v>
      </c>
      <c r="F616" s="836">
        <v>1.756041666666667</v>
      </c>
      <c r="G616" s="570"/>
      <c r="H616" s="570"/>
      <c r="I616" s="570"/>
      <c r="J616" s="570"/>
      <c r="K616" s="570"/>
    </row>
    <row r="617" ht="12.75" customHeight="1">
      <c r="A617" t="s" s="834">
        <v>817</v>
      </c>
      <c r="B617" t="s" s="834">
        <v>818</v>
      </c>
      <c r="C617" t="s" s="834">
        <v>640</v>
      </c>
      <c r="D617" s="570"/>
      <c r="E617" s="570"/>
      <c r="F617" s="570"/>
      <c r="G617" s="570"/>
      <c r="H617" s="570"/>
      <c r="I617" s="570"/>
      <c r="J617" s="570"/>
      <c r="K617" s="570"/>
    </row>
    <row r="618" ht="12.75" customHeight="1">
      <c r="A618" s="833">
        <v>46</v>
      </c>
      <c r="B618" t="s" s="834">
        <v>809</v>
      </c>
      <c r="C618" t="s" s="834">
        <v>617</v>
      </c>
      <c r="D618" s="835">
        <v>46035</v>
      </c>
      <c r="E618" s="836">
        <v>1.376400462962963</v>
      </c>
      <c r="F618" s="836">
        <v>1.756527777777778</v>
      </c>
      <c r="G618" s="570"/>
      <c r="H618" s="570"/>
      <c r="I618" s="570"/>
      <c r="J618" s="570"/>
      <c r="K618" s="570"/>
    </row>
    <row r="619" ht="12.75" customHeight="1">
      <c r="A619" t="s" s="834">
        <v>819</v>
      </c>
      <c r="B619" t="s" s="834">
        <v>820</v>
      </c>
      <c r="C619" t="s" s="834">
        <v>821</v>
      </c>
      <c r="D619" s="570"/>
      <c r="E619" s="570"/>
      <c r="F619" s="570"/>
      <c r="G619" s="570"/>
      <c r="H619" s="570"/>
      <c r="I619" s="570"/>
      <c r="J619" s="570"/>
      <c r="K619" s="570"/>
    </row>
    <row r="620" ht="12.75" customHeight="1">
      <c r="A620" s="833">
        <v>46</v>
      </c>
      <c r="B620" t="s" s="834">
        <v>809</v>
      </c>
      <c r="C620" t="s" s="834">
        <v>617</v>
      </c>
      <c r="D620" s="835">
        <v>46036</v>
      </c>
      <c r="E620" s="836">
        <v>1.379363425925926</v>
      </c>
      <c r="F620" s="836">
        <v>1.755486111111111</v>
      </c>
      <c r="G620" s="570"/>
      <c r="H620" s="570"/>
      <c r="I620" s="570"/>
      <c r="J620" s="570"/>
      <c r="K620" s="570"/>
    </row>
    <row r="621" ht="12.75" customHeight="1">
      <c r="A621" t="s" s="834">
        <v>822</v>
      </c>
      <c r="B621" t="s" s="834">
        <v>823</v>
      </c>
      <c r="C621" t="s" s="834">
        <v>534</v>
      </c>
      <c r="D621" s="570"/>
      <c r="E621" s="570"/>
      <c r="F621" s="570"/>
      <c r="G621" s="570"/>
      <c r="H621" s="570"/>
      <c r="I621" s="570"/>
      <c r="J621" s="570"/>
      <c r="K621" s="570"/>
    </row>
    <row r="622" ht="12.75" customHeight="1">
      <c r="A622" s="833">
        <v>46</v>
      </c>
      <c r="B622" t="s" s="834">
        <v>809</v>
      </c>
      <c r="C622" t="s" s="834">
        <v>617</v>
      </c>
      <c r="D622" s="835">
        <v>46037</v>
      </c>
      <c r="E622" s="836">
        <v>1.386979166666667</v>
      </c>
      <c r="F622" s="836">
        <v>1.757835648148148</v>
      </c>
      <c r="G622" s="570"/>
      <c r="H622" s="570"/>
      <c r="I622" s="570"/>
      <c r="J622" s="570"/>
      <c r="K622" s="570"/>
    </row>
    <row r="623" ht="12.75" customHeight="1">
      <c r="A623" t="s" s="834">
        <v>824</v>
      </c>
      <c r="B623" t="s" s="834">
        <v>825</v>
      </c>
      <c r="C623" t="s" s="834">
        <v>826</v>
      </c>
      <c r="D623" s="570"/>
      <c r="E623" s="570"/>
      <c r="F623" s="570"/>
      <c r="G623" s="570"/>
      <c r="H623" s="570"/>
      <c r="I623" s="570"/>
      <c r="J623" s="570"/>
      <c r="K623" s="570"/>
    </row>
    <row r="624" ht="12.75" customHeight="1">
      <c r="A624" s="833">
        <v>46</v>
      </c>
      <c r="B624" t="s" s="834">
        <v>809</v>
      </c>
      <c r="C624" t="s" s="834">
        <v>617</v>
      </c>
      <c r="D624" s="835">
        <v>46038</v>
      </c>
      <c r="E624" t="s" s="834">
        <v>478</v>
      </c>
      <c r="F624" t="s" s="834">
        <v>478</v>
      </c>
      <c r="G624" s="570"/>
      <c r="H624" s="570"/>
      <c r="I624" s="570"/>
      <c r="J624" s="570"/>
      <c r="K624" s="570"/>
    </row>
    <row r="625" ht="12.75" customHeight="1">
      <c r="A625" s="833">
        <v>46</v>
      </c>
      <c r="B625" t="s" s="834">
        <v>809</v>
      </c>
      <c r="C625" t="s" s="834">
        <v>617</v>
      </c>
      <c r="D625" s="835">
        <v>46039</v>
      </c>
      <c r="E625" t="s" s="834">
        <v>478</v>
      </c>
      <c r="F625" t="s" s="834">
        <v>478</v>
      </c>
      <c r="G625" s="570"/>
      <c r="H625" s="570"/>
      <c r="I625" s="570"/>
      <c r="J625" s="570"/>
      <c r="K625" s="570"/>
    </row>
    <row r="626" ht="12.75" customHeight="1">
      <c r="A626" s="833">
        <v>46</v>
      </c>
      <c r="B626" t="s" s="834">
        <v>809</v>
      </c>
      <c r="C626" t="s" s="834">
        <v>617</v>
      </c>
      <c r="D626" s="835">
        <v>46040</v>
      </c>
      <c r="E626" t="s" s="834">
        <v>478</v>
      </c>
      <c r="F626" t="s" s="834">
        <v>478</v>
      </c>
      <c r="G626" s="570"/>
      <c r="H626" s="570"/>
      <c r="I626" s="570"/>
      <c r="J626" s="570"/>
      <c r="K626" s="570"/>
    </row>
    <row r="627" ht="12.75" customHeight="1">
      <c r="A627" s="833">
        <v>46</v>
      </c>
      <c r="B627" t="s" s="834">
        <v>809</v>
      </c>
      <c r="C627" t="s" s="834">
        <v>617</v>
      </c>
      <c r="D627" s="835">
        <v>46041</v>
      </c>
      <c r="E627" s="836">
        <v>1.374965277777778</v>
      </c>
      <c r="F627" s="836">
        <v>1.754675925925926</v>
      </c>
      <c r="G627" s="570"/>
      <c r="H627" s="570"/>
      <c r="I627" s="570"/>
      <c r="J627" s="570"/>
      <c r="K627" s="570"/>
    </row>
    <row r="628" ht="12.75" customHeight="1">
      <c r="A628" t="s" s="834">
        <v>827</v>
      </c>
      <c r="B628" t="s" s="834">
        <v>828</v>
      </c>
      <c r="C628" t="s" s="834">
        <v>821</v>
      </c>
      <c r="D628" s="570"/>
      <c r="E628" s="570"/>
      <c r="F628" s="570"/>
      <c r="G628" s="570"/>
      <c r="H628" s="570"/>
      <c r="I628" s="570"/>
      <c r="J628" s="570"/>
      <c r="K628" s="570"/>
    </row>
    <row r="629" ht="12.75" customHeight="1">
      <c r="A629" s="833">
        <v>46</v>
      </c>
      <c r="B629" t="s" s="834">
        <v>809</v>
      </c>
      <c r="C629" t="s" s="834">
        <v>617</v>
      </c>
      <c r="D629" s="835">
        <v>46042</v>
      </c>
      <c r="E629" s="836">
        <v>1.368159722222222</v>
      </c>
      <c r="F629" s="836">
        <v>1.753680555555555</v>
      </c>
      <c r="G629" s="570"/>
      <c r="H629" s="570"/>
      <c r="I629" s="570"/>
      <c r="J629" s="570"/>
      <c r="K629" s="570"/>
    </row>
    <row r="630" ht="12.75" customHeight="1">
      <c r="A630" t="s" s="834">
        <v>829</v>
      </c>
      <c r="B630" t="s" s="834">
        <v>830</v>
      </c>
      <c r="C630" t="s" s="834">
        <v>831</v>
      </c>
      <c r="D630" s="570"/>
      <c r="E630" s="570"/>
      <c r="F630" s="570"/>
      <c r="G630" s="570"/>
      <c r="H630" s="570"/>
      <c r="I630" s="570"/>
      <c r="J630" s="570"/>
      <c r="K630" s="570"/>
    </row>
    <row r="631" ht="12.75" customHeight="1">
      <c r="A631" s="833">
        <v>46</v>
      </c>
      <c r="B631" t="s" s="834">
        <v>809</v>
      </c>
      <c r="C631" t="s" s="834">
        <v>617</v>
      </c>
      <c r="D631" s="835">
        <v>46043</v>
      </c>
      <c r="E631" s="836">
        <v>1.367604166666667</v>
      </c>
      <c r="F631" s="836">
        <v>1.753703703703704</v>
      </c>
      <c r="G631" s="570"/>
      <c r="H631" s="570"/>
      <c r="I631" s="570"/>
      <c r="J631" s="570"/>
      <c r="K631" s="570"/>
    </row>
    <row r="632" ht="12.75" customHeight="1">
      <c r="A632" t="s" s="834">
        <v>832</v>
      </c>
      <c r="B632" t="s" s="834">
        <v>833</v>
      </c>
      <c r="C632" t="s" s="834">
        <v>834</v>
      </c>
      <c r="D632" s="570"/>
      <c r="E632" s="570"/>
      <c r="F632" s="570"/>
      <c r="G632" s="570"/>
      <c r="H632" s="570"/>
      <c r="I632" s="570"/>
      <c r="J632" s="570"/>
      <c r="K632" s="570"/>
    </row>
    <row r="633" ht="12.75" customHeight="1">
      <c r="A633" s="833">
        <v>46</v>
      </c>
      <c r="B633" t="s" s="834">
        <v>809</v>
      </c>
      <c r="C633" t="s" s="834">
        <v>617</v>
      </c>
      <c r="D633" s="835">
        <v>46044</v>
      </c>
      <c r="E633" s="836">
        <v>1.369652777777778</v>
      </c>
      <c r="F633" s="836">
        <v>1.765219907407408</v>
      </c>
      <c r="G633" s="570"/>
      <c r="H633" s="570"/>
      <c r="I633" s="570"/>
      <c r="J633" s="570"/>
      <c r="K633" s="570"/>
    </row>
    <row r="634" ht="12.75" customHeight="1">
      <c r="A634" t="s" s="834">
        <v>835</v>
      </c>
      <c r="B634" t="s" s="834">
        <v>836</v>
      </c>
      <c r="C634" t="s" s="834">
        <v>634</v>
      </c>
      <c r="D634" s="570"/>
      <c r="E634" s="570"/>
      <c r="F634" s="570"/>
      <c r="G634" s="570"/>
      <c r="H634" s="570"/>
      <c r="I634" s="570"/>
      <c r="J634" s="570"/>
      <c r="K634" s="570"/>
    </row>
    <row r="635" ht="12.75" customHeight="1">
      <c r="A635" s="833">
        <v>46</v>
      </c>
      <c r="B635" t="s" s="834">
        <v>809</v>
      </c>
      <c r="C635" t="s" s="834">
        <v>617</v>
      </c>
      <c r="D635" s="835">
        <v>46045</v>
      </c>
      <c r="E635" t="s" s="834">
        <v>478</v>
      </c>
      <c r="F635" t="s" s="834">
        <v>478</v>
      </c>
      <c r="G635" s="570"/>
      <c r="H635" s="570"/>
      <c r="I635" s="570"/>
      <c r="J635" s="570"/>
      <c r="K635" s="570"/>
    </row>
    <row r="636" ht="12.75" customHeight="1">
      <c r="A636" s="833">
        <v>46</v>
      </c>
      <c r="B636" t="s" s="834">
        <v>809</v>
      </c>
      <c r="C636" t="s" s="834">
        <v>617</v>
      </c>
      <c r="D636" s="835">
        <v>46046</v>
      </c>
      <c r="E636" t="s" s="834">
        <v>478</v>
      </c>
      <c r="F636" t="s" s="834">
        <v>478</v>
      </c>
      <c r="G636" s="570"/>
      <c r="H636" s="570"/>
      <c r="I636" s="570"/>
      <c r="J636" s="570"/>
      <c r="K636" s="570"/>
    </row>
    <row r="637" ht="12.75" customHeight="1">
      <c r="A637" s="833">
        <v>46</v>
      </c>
      <c r="B637" t="s" s="834">
        <v>809</v>
      </c>
      <c r="C637" t="s" s="834">
        <v>617</v>
      </c>
      <c r="D637" s="835">
        <v>46047</v>
      </c>
      <c r="E637" t="s" s="834">
        <v>478</v>
      </c>
      <c r="F637" t="s" s="834">
        <v>478</v>
      </c>
      <c r="G637" s="570"/>
      <c r="H637" s="570"/>
      <c r="I637" s="570"/>
      <c r="J637" s="570"/>
      <c r="K637" s="570"/>
    </row>
    <row r="638" ht="12.75" customHeight="1">
      <c r="A638" s="833">
        <v>46</v>
      </c>
      <c r="B638" t="s" s="834">
        <v>809</v>
      </c>
      <c r="C638" t="s" s="834">
        <v>617</v>
      </c>
      <c r="D638" s="835">
        <v>46048</v>
      </c>
      <c r="E638" s="836">
        <v>1.380324074074074</v>
      </c>
      <c r="F638" s="836">
        <v>1.753946759259259</v>
      </c>
      <c r="G638" s="570"/>
      <c r="H638" s="570"/>
      <c r="I638" s="570"/>
      <c r="J638" s="570"/>
      <c r="K638" s="570"/>
    </row>
    <row r="639" ht="12.75" customHeight="1">
      <c r="A639" t="s" s="834">
        <v>837</v>
      </c>
      <c r="B639" t="s" s="834">
        <v>838</v>
      </c>
      <c r="C639" t="s" s="834">
        <v>552</v>
      </c>
      <c r="D639" s="570"/>
      <c r="E639" s="570"/>
      <c r="F639" s="570"/>
      <c r="G639" s="570"/>
      <c r="H639" s="570"/>
      <c r="I639" s="570"/>
      <c r="J639" s="570"/>
      <c r="K639" s="570"/>
    </row>
    <row r="640" ht="12.75" customHeight="1">
      <c r="A640" s="833">
        <v>46</v>
      </c>
      <c r="B640" t="s" s="834">
        <v>809</v>
      </c>
      <c r="C640" t="s" s="834">
        <v>617</v>
      </c>
      <c r="D640" s="835">
        <v>46049</v>
      </c>
      <c r="E640" s="836">
        <v>1.370115740740741</v>
      </c>
      <c r="F640" s="836">
        <v>1.77505787037037</v>
      </c>
      <c r="G640" s="570"/>
      <c r="H640" s="570"/>
      <c r="I640" s="570"/>
      <c r="J640" s="570"/>
      <c r="K640" s="570"/>
    </row>
    <row r="641" ht="12.75" customHeight="1">
      <c r="A641" t="s" s="834">
        <v>839</v>
      </c>
      <c r="B641" t="s" s="834">
        <v>840</v>
      </c>
      <c r="C641" t="s" s="834">
        <v>582</v>
      </c>
      <c r="D641" s="570"/>
      <c r="E641" s="570"/>
      <c r="F641" s="570"/>
      <c r="G641" s="570"/>
      <c r="H641" s="570"/>
      <c r="I641" s="570"/>
      <c r="J641" s="570"/>
      <c r="K641" s="570"/>
    </row>
    <row r="642" ht="12.75" customHeight="1">
      <c r="A642" s="833">
        <v>46</v>
      </c>
      <c r="B642" t="s" s="834">
        <v>809</v>
      </c>
      <c r="C642" t="s" s="834">
        <v>617</v>
      </c>
      <c r="D642" s="835">
        <v>46050</v>
      </c>
      <c r="E642" s="836">
        <v>1.377280092592593</v>
      </c>
      <c r="F642" s="836">
        <v>1.75849537037037</v>
      </c>
      <c r="G642" s="570"/>
      <c r="H642" s="570"/>
      <c r="I642" s="570"/>
      <c r="J642" s="570"/>
      <c r="K642" s="570"/>
    </row>
    <row r="643" ht="12.75" customHeight="1">
      <c r="A643" t="s" s="834">
        <v>841</v>
      </c>
      <c r="B643" t="s" s="834">
        <v>842</v>
      </c>
      <c r="C643" t="s" s="834">
        <v>843</v>
      </c>
      <c r="D643" s="570"/>
      <c r="E643" s="570"/>
      <c r="F643" s="570"/>
      <c r="G643" s="570"/>
      <c r="H643" s="570"/>
      <c r="I643" s="570"/>
      <c r="J643" s="570"/>
      <c r="K643" s="570"/>
    </row>
    <row r="644" ht="12.75" customHeight="1">
      <c r="A644" s="833">
        <v>46</v>
      </c>
      <c r="B644" t="s" s="834">
        <v>809</v>
      </c>
      <c r="C644" t="s" s="834">
        <v>617</v>
      </c>
      <c r="D644" s="835">
        <v>46051</v>
      </c>
      <c r="E644" s="836">
        <v>1.383993055555556</v>
      </c>
      <c r="F644" s="836">
        <v>1.760949074074074</v>
      </c>
      <c r="G644" s="570"/>
      <c r="H644" s="570"/>
      <c r="I644" s="570"/>
      <c r="J644" s="570"/>
      <c r="K644" s="570"/>
    </row>
    <row r="645" ht="12.75" customHeight="1">
      <c r="A645" t="s" s="834">
        <v>844</v>
      </c>
      <c r="B645" t="s" s="834">
        <v>845</v>
      </c>
      <c r="C645" t="s" s="834">
        <v>846</v>
      </c>
      <c r="D645" s="570"/>
      <c r="E645" s="570"/>
      <c r="F645" s="570"/>
      <c r="G645" s="570"/>
      <c r="H645" s="570"/>
      <c r="I645" s="570"/>
      <c r="J645" s="570"/>
      <c r="K645" s="570"/>
    </row>
    <row r="646" ht="12.75" customHeight="1">
      <c r="A646" s="833">
        <v>46</v>
      </c>
      <c r="B646" t="s" s="834">
        <v>809</v>
      </c>
      <c r="C646" t="s" s="834">
        <v>617</v>
      </c>
      <c r="D646" s="835">
        <v>46052</v>
      </c>
      <c r="E646" t="s" s="834">
        <v>478</v>
      </c>
      <c r="F646" t="s" s="834">
        <v>478</v>
      </c>
      <c r="G646" s="570"/>
      <c r="H646" s="570"/>
      <c r="I646" s="570"/>
      <c r="J646" s="570"/>
      <c r="K646" s="570"/>
    </row>
    <row r="647" ht="12.75" customHeight="1">
      <c r="A647" s="833">
        <v>46</v>
      </c>
      <c r="B647" t="s" s="834">
        <v>809</v>
      </c>
      <c r="C647" t="s" s="834">
        <v>617</v>
      </c>
      <c r="D647" s="835">
        <v>46053</v>
      </c>
      <c r="E647" t="s" s="834">
        <v>478</v>
      </c>
      <c r="F647" t="s" s="834">
        <v>478</v>
      </c>
      <c r="G647" s="570"/>
      <c r="H647" s="570"/>
      <c r="I647" s="570"/>
      <c r="J647" s="570"/>
      <c r="K647" s="570"/>
    </row>
    <row r="648" ht="12.75" customHeight="1">
      <c r="A648" s="833">
        <v>46</v>
      </c>
      <c r="B648" t="s" s="834">
        <v>809</v>
      </c>
      <c r="C648" t="s" s="834">
        <v>617</v>
      </c>
      <c r="D648" s="835">
        <v>46054</v>
      </c>
      <c r="E648" t="s" s="834">
        <v>478</v>
      </c>
      <c r="F648" t="s" s="834">
        <v>478</v>
      </c>
      <c r="G648" s="570"/>
      <c r="H648" s="570"/>
      <c r="I648" s="570"/>
      <c r="J648" s="570"/>
      <c r="K648" s="570"/>
    </row>
    <row r="649" ht="12.75" customHeight="1">
      <c r="A649" s="833">
        <v>50</v>
      </c>
      <c r="B649" t="s" s="834">
        <v>847</v>
      </c>
      <c r="C649" t="s" s="834">
        <v>617</v>
      </c>
      <c r="D649" s="835">
        <v>46023</v>
      </c>
      <c r="E649" t="s" s="834">
        <v>478</v>
      </c>
      <c r="F649" t="s" s="834">
        <v>478</v>
      </c>
      <c r="G649" s="570"/>
      <c r="H649" s="570"/>
      <c r="I649" s="570"/>
      <c r="J649" s="570"/>
      <c r="K649" s="570"/>
    </row>
    <row r="650" ht="12.75" customHeight="1">
      <c r="A650" s="833">
        <v>50</v>
      </c>
      <c r="B650" t="s" s="834">
        <v>847</v>
      </c>
      <c r="C650" t="s" s="834">
        <v>617</v>
      </c>
      <c r="D650" s="835">
        <v>46024</v>
      </c>
      <c r="E650" t="s" s="834">
        <v>478</v>
      </c>
      <c r="F650" t="s" s="834">
        <v>478</v>
      </c>
      <c r="G650" s="570"/>
      <c r="H650" s="570"/>
      <c r="I650" s="570"/>
      <c r="J650" s="570"/>
      <c r="K650" s="570"/>
    </row>
    <row r="651" ht="12.75" customHeight="1">
      <c r="A651" s="833">
        <v>50</v>
      </c>
      <c r="B651" t="s" s="834">
        <v>847</v>
      </c>
      <c r="C651" t="s" s="834">
        <v>617</v>
      </c>
      <c r="D651" s="835">
        <v>46025</v>
      </c>
      <c r="E651" t="s" s="834">
        <v>478</v>
      </c>
      <c r="F651" t="s" s="834">
        <v>478</v>
      </c>
      <c r="G651" s="570"/>
      <c r="H651" s="570"/>
      <c r="I651" s="570"/>
      <c r="J651" s="570"/>
      <c r="K651" s="570"/>
    </row>
    <row r="652" ht="12.75" customHeight="1">
      <c r="A652" s="833">
        <v>50</v>
      </c>
      <c r="B652" t="s" s="834">
        <v>847</v>
      </c>
      <c r="C652" t="s" s="834">
        <v>617</v>
      </c>
      <c r="D652" s="835">
        <v>46026</v>
      </c>
      <c r="E652" t="s" s="834">
        <v>478</v>
      </c>
      <c r="F652" t="s" s="834">
        <v>478</v>
      </c>
      <c r="G652" s="570"/>
      <c r="H652" s="570"/>
      <c r="I652" s="570"/>
      <c r="J652" s="570"/>
      <c r="K652" s="570"/>
    </row>
    <row r="653" ht="12.75" customHeight="1">
      <c r="A653" s="833">
        <v>50</v>
      </c>
      <c r="B653" t="s" s="834">
        <v>847</v>
      </c>
      <c r="C653" t="s" s="834">
        <v>617</v>
      </c>
      <c r="D653" s="835">
        <v>46027</v>
      </c>
      <c r="E653" s="836">
        <v>1.354814814814815</v>
      </c>
      <c r="F653" s="836">
        <v>1.76619212962963</v>
      </c>
      <c r="G653" s="570"/>
      <c r="H653" s="570"/>
      <c r="I653" s="570"/>
      <c r="J653" s="570"/>
      <c r="K653" s="570"/>
    </row>
    <row r="654" ht="12.75" customHeight="1">
      <c r="A654" t="s" s="834">
        <v>848</v>
      </c>
      <c r="B654" t="s" s="834">
        <v>849</v>
      </c>
      <c r="C654" t="s" s="834">
        <v>850</v>
      </c>
      <c r="D654" s="570"/>
      <c r="E654" s="570"/>
      <c r="F654" s="570"/>
      <c r="G654" s="570"/>
      <c r="H654" s="570"/>
      <c r="I654" s="570"/>
      <c r="J654" s="570"/>
      <c r="K654" s="570"/>
    </row>
    <row r="655" ht="12.75" customHeight="1">
      <c r="A655" s="833">
        <v>50</v>
      </c>
      <c r="B655" t="s" s="834">
        <v>847</v>
      </c>
      <c r="C655" t="s" s="834">
        <v>617</v>
      </c>
      <c r="D655" s="835">
        <v>46028</v>
      </c>
      <c r="E655" s="836">
        <v>1.354733796296296</v>
      </c>
      <c r="F655" s="836">
        <v>1.758090277777778</v>
      </c>
      <c r="G655" s="570"/>
      <c r="H655" s="570"/>
      <c r="I655" s="570"/>
      <c r="J655" s="570"/>
      <c r="K655" s="570"/>
    </row>
    <row r="656" ht="12.75" customHeight="1">
      <c r="A656" t="s" s="834">
        <v>851</v>
      </c>
      <c r="B656" t="s" s="834">
        <v>852</v>
      </c>
      <c r="C656" t="s" s="834">
        <v>590</v>
      </c>
      <c r="D656" s="570"/>
      <c r="E656" s="570"/>
      <c r="F656" s="570"/>
      <c r="G656" s="570"/>
      <c r="H656" s="570"/>
      <c r="I656" s="570"/>
      <c r="J656" s="570"/>
      <c r="K656" s="570"/>
    </row>
    <row r="657" ht="12.75" customHeight="1">
      <c r="A657" s="833">
        <v>50</v>
      </c>
      <c r="B657" t="s" s="834">
        <v>847</v>
      </c>
      <c r="C657" t="s" s="834">
        <v>617</v>
      </c>
      <c r="D657" s="835">
        <v>46029</v>
      </c>
      <c r="E657" s="836">
        <v>1.353402777777778</v>
      </c>
      <c r="F657" s="836">
        <v>1.753263888888889</v>
      </c>
      <c r="G657" s="570"/>
      <c r="H657" s="570"/>
      <c r="I657" s="570"/>
      <c r="J657" s="570"/>
      <c r="K657" s="570"/>
    </row>
    <row r="658" ht="12.75" customHeight="1">
      <c r="A658" t="s" s="834">
        <v>853</v>
      </c>
      <c r="B658" t="s" s="834">
        <v>854</v>
      </c>
      <c r="C658" t="s" s="834">
        <v>759</v>
      </c>
      <c r="D658" s="570"/>
      <c r="E658" s="570"/>
      <c r="F658" s="570"/>
      <c r="G658" s="570"/>
      <c r="H658" s="570"/>
      <c r="I658" s="570"/>
      <c r="J658" s="570"/>
      <c r="K658" s="570"/>
    </row>
    <row r="659" ht="12.75" customHeight="1">
      <c r="A659" s="833">
        <v>50</v>
      </c>
      <c r="B659" t="s" s="834">
        <v>847</v>
      </c>
      <c r="C659" t="s" s="834">
        <v>617</v>
      </c>
      <c r="D659" s="835">
        <v>46030</v>
      </c>
      <c r="E659" s="836">
        <v>1.354930555555556</v>
      </c>
      <c r="F659" s="836">
        <v>1.752835648148148</v>
      </c>
      <c r="G659" s="570"/>
      <c r="H659" s="570"/>
      <c r="I659" s="570"/>
      <c r="J659" s="570"/>
      <c r="K659" s="570"/>
    </row>
    <row r="660" ht="12.75" customHeight="1">
      <c r="A660" t="s" s="834">
        <v>855</v>
      </c>
      <c r="B660" t="s" s="834">
        <v>856</v>
      </c>
      <c r="C660" t="s" s="834">
        <v>688</v>
      </c>
      <c r="D660" s="570"/>
      <c r="E660" s="570"/>
      <c r="F660" s="570"/>
      <c r="G660" s="570"/>
      <c r="H660" s="570"/>
      <c r="I660" s="570"/>
      <c r="J660" s="570"/>
      <c r="K660" s="570"/>
    </row>
    <row r="661" ht="12.75" customHeight="1">
      <c r="A661" s="833">
        <v>50</v>
      </c>
      <c r="B661" t="s" s="834">
        <v>847</v>
      </c>
      <c r="C661" t="s" s="834">
        <v>617</v>
      </c>
      <c r="D661" s="835">
        <v>46031</v>
      </c>
      <c r="E661" t="s" s="834">
        <v>478</v>
      </c>
      <c r="F661" t="s" s="834">
        <v>478</v>
      </c>
      <c r="G661" s="570"/>
      <c r="H661" s="570"/>
      <c r="I661" s="570"/>
      <c r="J661" s="570"/>
      <c r="K661" s="570"/>
    </row>
    <row r="662" ht="12.75" customHeight="1">
      <c r="A662" s="833">
        <v>50</v>
      </c>
      <c r="B662" t="s" s="834">
        <v>847</v>
      </c>
      <c r="C662" t="s" s="834">
        <v>617</v>
      </c>
      <c r="D662" s="835">
        <v>46032</v>
      </c>
      <c r="E662" t="s" s="834">
        <v>478</v>
      </c>
      <c r="F662" t="s" s="834">
        <v>478</v>
      </c>
      <c r="G662" s="570"/>
      <c r="H662" s="570"/>
      <c r="I662" s="570"/>
      <c r="J662" s="570"/>
      <c r="K662" s="570"/>
    </row>
    <row r="663" ht="12.75" customHeight="1">
      <c r="A663" s="833">
        <v>50</v>
      </c>
      <c r="B663" t="s" s="834">
        <v>847</v>
      </c>
      <c r="C663" t="s" s="834">
        <v>617</v>
      </c>
      <c r="D663" s="835">
        <v>46033</v>
      </c>
      <c r="E663" t="s" s="834">
        <v>478</v>
      </c>
      <c r="F663" t="s" s="834">
        <v>478</v>
      </c>
      <c r="G663" s="570"/>
      <c r="H663" s="570"/>
      <c r="I663" s="570"/>
      <c r="J663" s="570"/>
      <c r="K663" s="570"/>
    </row>
    <row r="664" ht="12.75" customHeight="1">
      <c r="A664" s="833">
        <v>50</v>
      </c>
      <c r="B664" t="s" s="834">
        <v>847</v>
      </c>
      <c r="C664" t="s" s="834">
        <v>617</v>
      </c>
      <c r="D664" s="835">
        <v>46034</v>
      </c>
      <c r="E664" s="836">
        <v>1.353796296296296</v>
      </c>
      <c r="F664" s="836">
        <v>1.751469907407407</v>
      </c>
      <c r="G664" s="570"/>
      <c r="H664" s="570"/>
      <c r="I664" s="570"/>
      <c r="J664" s="570"/>
      <c r="K664" s="570"/>
    </row>
    <row r="665" ht="12.75" customHeight="1">
      <c r="A665" t="s" s="834">
        <v>857</v>
      </c>
      <c r="B665" t="s" s="834">
        <v>858</v>
      </c>
      <c r="C665" t="s" s="834">
        <v>688</v>
      </c>
      <c r="D665" s="570"/>
      <c r="E665" s="570"/>
      <c r="F665" s="570"/>
      <c r="G665" s="570"/>
      <c r="H665" s="570"/>
      <c r="I665" s="570"/>
      <c r="J665" s="570"/>
      <c r="K665" s="570"/>
    </row>
    <row r="666" ht="12.75" customHeight="1">
      <c r="A666" s="833">
        <v>50</v>
      </c>
      <c r="B666" t="s" s="834">
        <v>847</v>
      </c>
      <c r="C666" t="s" s="834">
        <v>617</v>
      </c>
      <c r="D666" s="835">
        <v>46035</v>
      </c>
      <c r="E666" s="836">
        <v>1.352430555555556</v>
      </c>
      <c r="F666" s="836">
        <v>1.754884259259259</v>
      </c>
      <c r="G666" s="570"/>
      <c r="H666" s="570"/>
      <c r="I666" s="570"/>
      <c r="J666" s="570"/>
      <c r="K666" s="570"/>
    </row>
    <row r="667" ht="12.75" customHeight="1">
      <c r="A667" t="s" s="834">
        <v>859</v>
      </c>
      <c r="B667" t="s" s="834">
        <v>860</v>
      </c>
      <c r="C667" t="s" s="834">
        <v>861</v>
      </c>
      <c r="D667" s="570"/>
      <c r="E667" s="570"/>
      <c r="F667" s="570"/>
      <c r="G667" s="570"/>
      <c r="H667" s="570"/>
      <c r="I667" s="570"/>
      <c r="J667" s="570"/>
      <c r="K667" s="570"/>
    </row>
    <row r="668" ht="12.75" customHeight="1">
      <c r="A668" s="833">
        <v>50</v>
      </c>
      <c r="B668" t="s" s="834">
        <v>847</v>
      </c>
      <c r="C668" t="s" s="834">
        <v>617</v>
      </c>
      <c r="D668" s="835">
        <v>46036</v>
      </c>
      <c r="E668" s="836">
        <v>1.354421296296296</v>
      </c>
      <c r="F668" s="836">
        <v>1.751990740740741</v>
      </c>
      <c r="G668" s="570"/>
      <c r="H668" s="570"/>
      <c r="I668" s="570"/>
      <c r="J668" s="570"/>
      <c r="K668" s="570"/>
    </row>
    <row r="669" ht="12.75" customHeight="1">
      <c r="A669" t="s" s="834">
        <v>862</v>
      </c>
      <c r="B669" t="s" s="834">
        <v>863</v>
      </c>
      <c r="C669" t="s" s="834">
        <v>688</v>
      </c>
      <c r="D669" s="570"/>
      <c r="E669" s="570"/>
      <c r="F669" s="570"/>
      <c r="G669" s="570"/>
      <c r="H669" s="570"/>
      <c r="I669" s="570"/>
      <c r="J669" s="570"/>
      <c r="K669" s="570"/>
    </row>
    <row r="670" ht="12.75" customHeight="1">
      <c r="A670" s="833">
        <v>50</v>
      </c>
      <c r="B670" t="s" s="834">
        <v>847</v>
      </c>
      <c r="C670" t="s" s="834">
        <v>617</v>
      </c>
      <c r="D670" s="835">
        <v>46037</v>
      </c>
      <c r="E670" s="836">
        <v>1.353460648148148</v>
      </c>
      <c r="F670" s="836">
        <v>1.753206018518519</v>
      </c>
      <c r="G670" s="570"/>
      <c r="H670" s="570"/>
      <c r="I670" s="570"/>
      <c r="J670" s="570"/>
      <c r="K670" s="570"/>
    </row>
    <row r="671" ht="12.75" customHeight="1">
      <c r="A671" t="s" s="834">
        <v>864</v>
      </c>
      <c r="B671" t="s" s="834">
        <v>865</v>
      </c>
      <c r="C671" t="s" s="834">
        <v>759</v>
      </c>
      <c r="D671" s="570"/>
      <c r="E671" s="570"/>
      <c r="F671" s="570"/>
      <c r="G671" s="570"/>
      <c r="H671" s="570"/>
      <c r="I671" s="570"/>
      <c r="J671" s="570"/>
      <c r="K671" s="570"/>
    </row>
    <row r="672" ht="12.75" customHeight="1">
      <c r="A672" s="833">
        <v>50</v>
      </c>
      <c r="B672" t="s" s="834">
        <v>847</v>
      </c>
      <c r="C672" t="s" s="834">
        <v>617</v>
      </c>
      <c r="D672" s="835">
        <v>46038</v>
      </c>
      <c r="E672" t="s" s="834">
        <v>478</v>
      </c>
      <c r="F672" t="s" s="834">
        <v>478</v>
      </c>
      <c r="G672" s="570"/>
      <c r="H672" s="570"/>
      <c r="I672" s="570"/>
      <c r="J672" s="570"/>
      <c r="K672" s="570"/>
    </row>
    <row r="673" ht="12.75" customHeight="1">
      <c r="A673" s="833">
        <v>50</v>
      </c>
      <c r="B673" t="s" s="834">
        <v>847</v>
      </c>
      <c r="C673" t="s" s="834">
        <v>617</v>
      </c>
      <c r="D673" s="835">
        <v>46039</v>
      </c>
      <c r="E673" t="s" s="834">
        <v>478</v>
      </c>
      <c r="F673" t="s" s="834">
        <v>478</v>
      </c>
      <c r="G673" s="570"/>
      <c r="H673" s="570"/>
      <c r="I673" s="570"/>
      <c r="J673" s="570"/>
      <c r="K673" s="570"/>
    </row>
    <row r="674" ht="12.75" customHeight="1">
      <c r="A674" s="833">
        <v>50</v>
      </c>
      <c r="B674" t="s" s="834">
        <v>847</v>
      </c>
      <c r="C674" t="s" s="834">
        <v>617</v>
      </c>
      <c r="D674" s="835">
        <v>46040</v>
      </c>
      <c r="E674" t="s" s="834">
        <v>478</v>
      </c>
      <c r="F674" t="s" s="834">
        <v>478</v>
      </c>
      <c r="G674" s="570"/>
      <c r="H674" s="570"/>
      <c r="I674" s="570"/>
      <c r="J674" s="570"/>
      <c r="K674" s="570"/>
    </row>
    <row r="675" ht="12.75" customHeight="1">
      <c r="A675" s="833">
        <v>50</v>
      </c>
      <c r="B675" t="s" s="834">
        <v>847</v>
      </c>
      <c r="C675" t="s" s="834">
        <v>617</v>
      </c>
      <c r="D675" s="835">
        <v>46041</v>
      </c>
      <c r="E675" s="836">
        <v>1.35412037037037</v>
      </c>
      <c r="F675" s="836">
        <v>1.754537037037037</v>
      </c>
      <c r="G675" s="570"/>
      <c r="H675" s="570"/>
      <c r="I675" s="570"/>
      <c r="J675" s="570"/>
      <c r="K675" s="570"/>
    </row>
    <row r="676" ht="12.75" customHeight="1">
      <c r="A676" t="s" s="834">
        <v>866</v>
      </c>
      <c r="B676" t="s" s="834">
        <v>867</v>
      </c>
      <c r="C676" t="s" s="834">
        <v>606</v>
      </c>
      <c r="D676" s="570"/>
      <c r="E676" s="570"/>
      <c r="F676" s="570"/>
      <c r="G676" s="570"/>
      <c r="H676" s="570"/>
      <c r="I676" s="570"/>
      <c r="J676" s="570"/>
      <c r="K676" s="570"/>
    </row>
    <row r="677" ht="12.75" customHeight="1">
      <c r="A677" s="833">
        <v>50</v>
      </c>
      <c r="B677" t="s" s="834">
        <v>847</v>
      </c>
      <c r="C677" t="s" s="834">
        <v>617</v>
      </c>
      <c r="D677" s="835">
        <v>46042</v>
      </c>
      <c r="E677" s="836">
        <v>1.357303240740741</v>
      </c>
      <c r="F677" s="836">
        <v>1.75568287037037</v>
      </c>
      <c r="G677" s="570"/>
      <c r="H677" s="570"/>
      <c r="I677" s="570"/>
      <c r="J677" s="570"/>
      <c r="K677" s="570"/>
    </row>
    <row r="678" ht="12.75" customHeight="1">
      <c r="A678" t="s" s="834">
        <v>868</v>
      </c>
      <c r="B678" t="s" s="834">
        <v>869</v>
      </c>
      <c r="C678" t="s" s="834">
        <v>611</v>
      </c>
      <c r="D678" s="570"/>
      <c r="E678" s="570"/>
      <c r="F678" s="570"/>
      <c r="G678" s="570"/>
      <c r="H678" s="570"/>
      <c r="I678" s="570"/>
      <c r="J678" s="570"/>
      <c r="K678" s="570"/>
    </row>
    <row r="679" ht="12.75" customHeight="1">
      <c r="A679" s="833">
        <v>50</v>
      </c>
      <c r="B679" t="s" s="834">
        <v>847</v>
      </c>
      <c r="C679" t="s" s="834">
        <v>617</v>
      </c>
      <c r="D679" s="835">
        <v>46043</v>
      </c>
      <c r="E679" s="836">
        <v>1.350416666666667</v>
      </c>
      <c r="F679" s="836">
        <v>1.752604166666667</v>
      </c>
      <c r="G679" s="570"/>
      <c r="H679" s="570"/>
      <c r="I679" s="570"/>
      <c r="J679" s="570"/>
      <c r="K679" s="570"/>
    </row>
    <row r="680" ht="12.75" customHeight="1">
      <c r="A680" t="s" s="834">
        <v>870</v>
      </c>
      <c r="B680" t="s" s="834">
        <v>871</v>
      </c>
      <c r="C680" t="s" s="834">
        <v>772</v>
      </c>
      <c r="D680" s="570"/>
      <c r="E680" s="570"/>
      <c r="F680" s="570"/>
      <c r="G680" s="570"/>
      <c r="H680" s="570"/>
      <c r="I680" s="570"/>
      <c r="J680" s="570"/>
      <c r="K680" s="570"/>
    </row>
    <row r="681" ht="12.75" customHeight="1">
      <c r="A681" s="833">
        <v>50</v>
      </c>
      <c r="B681" t="s" s="834">
        <v>847</v>
      </c>
      <c r="C681" t="s" s="834">
        <v>617</v>
      </c>
      <c r="D681" s="835">
        <v>46044</v>
      </c>
      <c r="E681" s="836">
        <v>1.354583333333333</v>
      </c>
      <c r="F681" s="836">
        <v>1.753645833333333</v>
      </c>
      <c r="G681" s="570"/>
      <c r="H681" s="570"/>
      <c r="I681" s="570"/>
      <c r="J681" s="570"/>
      <c r="K681" s="570"/>
    </row>
    <row r="682" ht="12.75" customHeight="1">
      <c r="A682" t="s" s="834">
        <v>872</v>
      </c>
      <c r="B682" t="s" s="834">
        <v>873</v>
      </c>
      <c r="C682" t="s" s="834">
        <v>515</v>
      </c>
      <c r="D682" s="570"/>
      <c r="E682" s="570"/>
      <c r="F682" s="570"/>
      <c r="G682" s="570"/>
      <c r="H682" s="570"/>
      <c r="I682" s="570"/>
      <c r="J682" s="570"/>
      <c r="K682" s="570"/>
    </row>
    <row r="683" ht="12.75" customHeight="1">
      <c r="A683" s="833">
        <v>50</v>
      </c>
      <c r="B683" t="s" s="834">
        <v>847</v>
      </c>
      <c r="C683" t="s" s="834">
        <v>617</v>
      </c>
      <c r="D683" s="835">
        <v>46045</v>
      </c>
      <c r="E683" t="s" s="834">
        <v>478</v>
      </c>
      <c r="F683" t="s" s="834">
        <v>478</v>
      </c>
      <c r="G683" s="570"/>
      <c r="H683" s="570"/>
      <c r="I683" s="570"/>
      <c r="J683" s="570"/>
      <c r="K683" s="570"/>
    </row>
    <row r="684" ht="12.75" customHeight="1">
      <c r="A684" s="833">
        <v>50</v>
      </c>
      <c r="B684" t="s" s="834">
        <v>847</v>
      </c>
      <c r="C684" t="s" s="834">
        <v>617</v>
      </c>
      <c r="D684" s="835">
        <v>46046</v>
      </c>
      <c r="E684" t="s" s="834">
        <v>478</v>
      </c>
      <c r="F684" t="s" s="834">
        <v>478</v>
      </c>
      <c r="G684" s="570"/>
      <c r="H684" s="570"/>
      <c r="I684" s="570"/>
      <c r="J684" s="570"/>
      <c r="K684" s="570"/>
    </row>
    <row r="685" ht="12.75" customHeight="1">
      <c r="A685" s="833">
        <v>50</v>
      </c>
      <c r="B685" t="s" s="834">
        <v>847</v>
      </c>
      <c r="C685" t="s" s="834">
        <v>617</v>
      </c>
      <c r="D685" s="835">
        <v>46047</v>
      </c>
      <c r="E685" t="s" s="834">
        <v>478</v>
      </c>
      <c r="F685" t="s" s="834">
        <v>478</v>
      </c>
      <c r="G685" s="570"/>
      <c r="H685" s="570"/>
      <c r="I685" s="570"/>
      <c r="J685" s="570"/>
      <c r="K685" s="570"/>
    </row>
    <row r="686" ht="12.75" customHeight="1">
      <c r="A686" s="833">
        <v>50</v>
      </c>
      <c r="B686" t="s" s="834">
        <v>847</v>
      </c>
      <c r="C686" t="s" s="834">
        <v>617</v>
      </c>
      <c r="D686" s="835">
        <v>46048</v>
      </c>
      <c r="E686" s="836">
        <v>1.351423611111111</v>
      </c>
      <c r="F686" s="836">
        <v>1.750775462962963</v>
      </c>
      <c r="G686" s="570"/>
      <c r="H686" s="570"/>
      <c r="I686" s="570"/>
      <c r="J686" s="570"/>
      <c r="K686" s="570"/>
    </row>
    <row r="687" ht="12.75" customHeight="1">
      <c r="A687" t="s" s="834">
        <v>874</v>
      </c>
      <c r="B687" t="s" s="834">
        <v>875</v>
      </c>
      <c r="C687" t="s" s="834">
        <v>515</v>
      </c>
      <c r="D687" s="570"/>
      <c r="E687" s="570"/>
      <c r="F687" s="570"/>
      <c r="G687" s="570"/>
      <c r="H687" s="570"/>
      <c r="I687" s="570"/>
      <c r="J687" s="570"/>
      <c r="K687" s="570"/>
    </row>
    <row r="688" ht="12.75" customHeight="1">
      <c r="A688" s="833">
        <v>50</v>
      </c>
      <c r="B688" t="s" s="834">
        <v>847</v>
      </c>
      <c r="C688" t="s" s="834">
        <v>617</v>
      </c>
      <c r="D688" s="835">
        <v>46049</v>
      </c>
      <c r="E688" s="836">
        <v>1.353391203703704</v>
      </c>
      <c r="F688" s="836">
        <v>1.755902777777778</v>
      </c>
      <c r="G688" s="570"/>
      <c r="H688" s="570"/>
      <c r="I688" s="570"/>
      <c r="J688" s="570"/>
      <c r="K688" s="570"/>
    </row>
    <row r="689" ht="12.75" customHeight="1">
      <c r="A689" t="s" s="834">
        <v>876</v>
      </c>
      <c r="B689" t="s" s="834">
        <v>877</v>
      </c>
      <c r="C689" t="s" s="834">
        <v>861</v>
      </c>
      <c r="D689" s="570"/>
      <c r="E689" s="570"/>
      <c r="F689" s="570"/>
      <c r="G689" s="570"/>
      <c r="H689" s="570"/>
      <c r="I689" s="570"/>
      <c r="J689" s="570"/>
      <c r="K689" s="570"/>
    </row>
    <row r="690" ht="12.75" customHeight="1">
      <c r="A690" s="833">
        <v>50</v>
      </c>
      <c r="B690" t="s" s="834">
        <v>847</v>
      </c>
      <c r="C690" t="s" s="834">
        <v>617</v>
      </c>
      <c r="D690" s="835">
        <v>46050</v>
      </c>
      <c r="E690" s="836">
        <v>1.353819444444444</v>
      </c>
      <c r="F690" s="836">
        <v>1.757175925925926</v>
      </c>
      <c r="G690" s="570"/>
      <c r="H690" s="570"/>
      <c r="I690" s="570"/>
      <c r="J690" s="570"/>
      <c r="K690" s="570"/>
    </row>
    <row r="691" ht="12.75" customHeight="1">
      <c r="A691" t="s" s="834">
        <v>878</v>
      </c>
      <c r="B691" t="s" s="834">
        <v>879</v>
      </c>
      <c r="C691" t="s" s="834">
        <v>590</v>
      </c>
      <c r="D691" s="570"/>
      <c r="E691" s="570"/>
      <c r="F691" s="570"/>
      <c r="G691" s="570"/>
      <c r="H691" s="570"/>
      <c r="I691" s="570"/>
      <c r="J691" s="570"/>
      <c r="K691" s="570"/>
    </row>
    <row r="692" ht="12.75" customHeight="1">
      <c r="A692" s="833">
        <v>50</v>
      </c>
      <c r="B692" t="s" s="834">
        <v>847</v>
      </c>
      <c r="C692" t="s" s="834">
        <v>617</v>
      </c>
      <c r="D692" s="835">
        <v>46051</v>
      </c>
      <c r="E692" s="836">
        <v>1.35369212962963</v>
      </c>
      <c r="F692" s="836">
        <v>1.761064814814815</v>
      </c>
      <c r="G692" s="570"/>
      <c r="H692" s="570"/>
      <c r="I692" s="570"/>
      <c r="J692" s="570"/>
      <c r="K692" s="570"/>
    </row>
    <row r="693" ht="12.75" customHeight="1">
      <c r="A693" t="s" s="834">
        <v>880</v>
      </c>
      <c r="B693" t="s" s="834">
        <v>881</v>
      </c>
      <c r="C693" t="s" s="834">
        <v>882</v>
      </c>
      <c r="D693" s="570"/>
      <c r="E693" s="570"/>
      <c r="F693" s="570"/>
      <c r="G693" s="570"/>
      <c r="H693" s="570"/>
      <c r="I693" s="570"/>
      <c r="J693" s="570"/>
      <c r="K693" s="570"/>
    </row>
    <row r="694" ht="12.75" customHeight="1">
      <c r="A694" s="833">
        <v>50</v>
      </c>
      <c r="B694" t="s" s="834">
        <v>847</v>
      </c>
      <c r="C694" t="s" s="834">
        <v>617</v>
      </c>
      <c r="D694" s="835">
        <v>46052</v>
      </c>
      <c r="E694" t="s" s="834">
        <v>478</v>
      </c>
      <c r="F694" t="s" s="834">
        <v>478</v>
      </c>
      <c r="G694" s="570"/>
      <c r="H694" s="570"/>
      <c r="I694" s="570"/>
      <c r="J694" s="570"/>
      <c r="K694" s="570"/>
    </row>
    <row r="695" ht="12.75" customHeight="1">
      <c r="A695" s="833">
        <v>50</v>
      </c>
      <c r="B695" t="s" s="834">
        <v>847</v>
      </c>
      <c r="C695" t="s" s="834">
        <v>617</v>
      </c>
      <c r="D695" s="835">
        <v>46053</v>
      </c>
      <c r="E695" t="s" s="834">
        <v>478</v>
      </c>
      <c r="F695" t="s" s="834">
        <v>478</v>
      </c>
      <c r="G695" s="570"/>
      <c r="H695" s="570"/>
      <c r="I695" s="570"/>
      <c r="J695" s="570"/>
      <c r="K695" s="570"/>
    </row>
    <row r="696" ht="12.75" customHeight="1">
      <c r="A696" s="833">
        <v>50</v>
      </c>
      <c r="B696" t="s" s="834">
        <v>847</v>
      </c>
      <c r="C696" t="s" s="834">
        <v>617</v>
      </c>
      <c r="D696" s="835">
        <v>46054</v>
      </c>
      <c r="E696" t="s" s="834">
        <v>478</v>
      </c>
      <c r="F696" t="s" s="834">
        <v>478</v>
      </c>
      <c r="G696" s="570"/>
      <c r="H696" s="570"/>
      <c r="I696" s="570"/>
      <c r="J696" s="570"/>
      <c r="K696" s="570"/>
    </row>
    <row r="697" ht="12.75" customHeight="1">
      <c r="A697" s="833">
        <v>51</v>
      </c>
      <c r="B697" t="s" s="834">
        <v>883</v>
      </c>
      <c r="C697" t="s" s="834">
        <v>477</v>
      </c>
      <c r="D697" s="835">
        <v>46023</v>
      </c>
      <c r="E697" t="s" s="834">
        <v>478</v>
      </c>
      <c r="F697" t="s" s="834">
        <v>478</v>
      </c>
      <c r="G697" s="570"/>
      <c r="H697" s="570"/>
      <c r="I697" s="570"/>
      <c r="J697" s="570"/>
      <c r="K697" s="570"/>
    </row>
    <row r="698" ht="12.75" customHeight="1">
      <c r="A698" s="833">
        <v>51</v>
      </c>
      <c r="B698" t="s" s="834">
        <v>883</v>
      </c>
      <c r="C698" t="s" s="834">
        <v>477</v>
      </c>
      <c r="D698" s="835">
        <v>46024</v>
      </c>
      <c r="E698" t="s" s="834">
        <v>478</v>
      </c>
      <c r="F698" t="s" s="834">
        <v>478</v>
      </c>
      <c r="G698" s="570"/>
      <c r="H698" s="570"/>
      <c r="I698" s="570"/>
      <c r="J698" s="570"/>
      <c r="K698" s="570"/>
    </row>
    <row r="699" ht="12.75" customHeight="1">
      <c r="A699" s="833">
        <v>51</v>
      </c>
      <c r="B699" t="s" s="834">
        <v>883</v>
      </c>
      <c r="C699" t="s" s="834">
        <v>477</v>
      </c>
      <c r="D699" s="835">
        <v>46025</v>
      </c>
      <c r="E699" t="s" s="834">
        <v>478</v>
      </c>
      <c r="F699" t="s" s="834">
        <v>478</v>
      </c>
      <c r="G699" s="570"/>
      <c r="H699" s="570"/>
      <c r="I699" s="570"/>
      <c r="J699" s="570"/>
      <c r="K699" s="570"/>
    </row>
    <row r="700" ht="12.75" customHeight="1">
      <c r="A700" s="833">
        <v>51</v>
      </c>
      <c r="B700" t="s" s="834">
        <v>883</v>
      </c>
      <c r="C700" t="s" s="834">
        <v>477</v>
      </c>
      <c r="D700" s="835">
        <v>46026</v>
      </c>
      <c r="E700" t="s" s="834">
        <v>478</v>
      </c>
      <c r="F700" t="s" s="834">
        <v>478</v>
      </c>
      <c r="G700" s="570"/>
      <c r="H700" s="570"/>
      <c r="I700" s="570"/>
      <c r="J700" s="570"/>
      <c r="K700" s="570"/>
    </row>
    <row r="701" ht="12.75" customHeight="1">
      <c r="A701" s="833">
        <v>51</v>
      </c>
      <c r="B701" t="s" s="834">
        <v>883</v>
      </c>
      <c r="C701" t="s" s="834">
        <v>477</v>
      </c>
      <c r="D701" s="835">
        <v>46027</v>
      </c>
      <c r="E701" t="s" s="834">
        <v>478</v>
      </c>
      <c r="F701" t="s" s="834">
        <v>478</v>
      </c>
      <c r="G701" s="570"/>
      <c r="H701" s="570"/>
      <c r="I701" s="570"/>
      <c r="J701" s="570"/>
      <c r="K701" s="570"/>
    </row>
    <row r="702" ht="12.75" customHeight="1">
      <c r="A702" s="833">
        <v>51</v>
      </c>
      <c r="B702" t="s" s="834">
        <v>883</v>
      </c>
      <c r="C702" t="s" s="834">
        <v>477</v>
      </c>
      <c r="D702" s="835">
        <v>46028</v>
      </c>
      <c r="E702" t="s" s="834">
        <v>478</v>
      </c>
      <c r="F702" t="s" s="834">
        <v>478</v>
      </c>
      <c r="G702" s="570"/>
      <c r="H702" s="570"/>
      <c r="I702" s="570"/>
      <c r="J702" s="570"/>
      <c r="K702" s="570"/>
    </row>
    <row r="703" ht="12.75" customHeight="1">
      <c r="A703" s="833">
        <v>51</v>
      </c>
      <c r="B703" t="s" s="834">
        <v>883</v>
      </c>
      <c r="C703" t="s" s="834">
        <v>477</v>
      </c>
      <c r="D703" s="835">
        <v>46029</v>
      </c>
      <c r="E703" t="s" s="834">
        <v>478</v>
      </c>
      <c r="F703" t="s" s="834">
        <v>478</v>
      </c>
      <c r="G703" s="570"/>
      <c r="H703" s="570"/>
      <c r="I703" s="570"/>
      <c r="J703" s="570"/>
      <c r="K703" s="570"/>
    </row>
    <row r="704" ht="12.75" customHeight="1">
      <c r="A704" s="833">
        <v>51</v>
      </c>
      <c r="B704" t="s" s="834">
        <v>883</v>
      </c>
      <c r="C704" t="s" s="834">
        <v>477</v>
      </c>
      <c r="D704" s="835">
        <v>46030</v>
      </c>
      <c r="E704" t="s" s="834">
        <v>478</v>
      </c>
      <c r="F704" t="s" s="834">
        <v>478</v>
      </c>
      <c r="G704" s="570"/>
      <c r="H704" s="570"/>
      <c r="I704" s="570"/>
      <c r="J704" s="570"/>
      <c r="K704" s="570"/>
    </row>
    <row r="705" ht="12.75" customHeight="1">
      <c r="A705" s="833">
        <v>51</v>
      </c>
      <c r="B705" t="s" s="834">
        <v>883</v>
      </c>
      <c r="C705" t="s" s="834">
        <v>477</v>
      </c>
      <c r="D705" s="835">
        <v>46031</v>
      </c>
      <c r="E705" t="s" s="834">
        <v>478</v>
      </c>
      <c r="F705" t="s" s="834">
        <v>478</v>
      </c>
      <c r="G705" s="570"/>
      <c r="H705" s="570"/>
      <c r="I705" s="570"/>
      <c r="J705" s="570"/>
      <c r="K705" s="570"/>
    </row>
    <row r="706" ht="12.75" customHeight="1">
      <c r="A706" s="833">
        <v>51</v>
      </c>
      <c r="B706" t="s" s="834">
        <v>883</v>
      </c>
      <c r="C706" t="s" s="834">
        <v>477</v>
      </c>
      <c r="D706" s="835">
        <v>46032</v>
      </c>
      <c r="E706" t="s" s="834">
        <v>478</v>
      </c>
      <c r="F706" t="s" s="834">
        <v>478</v>
      </c>
      <c r="G706" s="570"/>
      <c r="H706" s="570"/>
      <c r="I706" s="570"/>
      <c r="J706" s="570"/>
      <c r="K706" s="570"/>
    </row>
    <row r="707" ht="12.75" customHeight="1">
      <c r="A707" s="833">
        <v>51</v>
      </c>
      <c r="B707" t="s" s="834">
        <v>883</v>
      </c>
      <c r="C707" t="s" s="834">
        <v>477</v>
      </c>
      <c r="D707" s="835">
        <v>46033</v>
      </c>
      <c r="E707" t="s" s="834">
        <v>478</v>
      </c>
      <c r="F707" t="s" s="834">
        <v>478</v>
      </c>
      <c r="G707" s="570"/>
      <c r="H707" s="570"/>
      <c r="I707" s="570"/>
      <c r="J707" s="570"/>
      <c r="K707" s="570"/>
    </row>
    <row r="708" ht="12.75" customHeight="1">
      <c r="A708" s="833">
        <v>51</v>
      </c>
      <c r="B708" t="s" s="834">
        <v>883</v>
      </c>
      <c r="C708" t="s" s="834">
        <v>477</v>
      </c>
      <c r="D708" s="835">
        <v>46034</v>
      </c>
      <c r="E708" t="s" s="834">
        <v>478</v>
      </c>
      <c r="F708" t="s" s="834">
        <v>478</v>
      </c>
      <c r="G708" s="570"/>
      <c r="H708" s="570"/>
      <c r="I708" s="570"/>
      <c r="J708" s="570"/>
      <c r="K708" s="570"/>
    </row>
    <row r="709" ht="12.75" customHeight="1">
      <c r="A709" s="833">
        <v>51</v>
      </c>
      <c r="B709" t="s" s="834">
        <v>883</v>
      </c>
      <c r="C709" t="s" s="834">
        <v>477</v>
      </c>
      <c r="D709" s="835">
        <v>46035</v>
      </c>
      <c r="E709" t="s" s="834">
        <v>478</v>
      </c>
      <c r="F709" t="s" s="834">
        <v>478</v>
      </c>
      <c r="G709" s="570"/>
      <c r="H709" s="570"/>
      <c r="I709" s="570"/>
      <c r="J709" s="570"/>
      <c r="K709" s="570"/>
    </row>
    <row r="710" ht="12.75" customHeight="1">
      <c r="A710" s="833">
        <v>51</v>
      </c>
      <c r="B710" t="s" s="834">
        <v>883</v>
      </c>
      <c r="C710" t="s" s="834">
        <v>477</v>
      </c>
      <c r="D710" s="835">
        <v>46036</v>
      </c>
      <c r="E710" t="s" s="834">
        <v>478</v>
      </c>
      <c r="F710" t="s" s="834">
        <v>478</v>
      </c>
      <c r="G710" s="570"/>
      <c r="H710" s="570"/>
      <c r="I710" s="570"/>
      <c r="J710" s="570"/>
      <c r="K710" s="570"/>
    </row>
    <row r="711" ht="12.75" customHeight="1">
      <c r="A711" s="833">
        <v>51</v>
      </c>
      <c r="B711" t="s" s="834">
        <v>883</v>
      </c>
      <c r="C711" t="s" s="834">
        <v>477</v>
      </c>
      <c r="D711" s="835">
        <v>46037</v>
      </c>
      <c r="E711" t="s" s="834">
        <v>478</v>
      </c>
      <c r="F711" t="s" s="834">
        <v>478</v>
      </c>
      <c r="G711" s="570"/>
      <c r="H711" s="570"/>
      <c r="I711" s="570"/>
      <c r="J711" s="570"/>
      <c r="K711" s="570"/>
    </row>
    <row r="712" ht="12.75" customHeight="1">
      <c r="A712" s="833">
        <v>51</v>
      </c>
      <c r="B712" t="s" s="834">
        <v>883</v>
      </c>
      <c r="C712" t="s" s="834">
        <v>477</v>
      </c>
      <c r="D712" s="835">
        <v>46038</v>
      </c>
      <c r="E712" t="s" s="834">
        <v>478</v>
      </c>
      <c r="F712" t="s" s="834">
        <v>478</v>
      </c>
      <c r="G712" s="570"/>
      <c r="H712" s="570"/>
      <c r="I712" s="570"/>
      <c r="J712" s="570"/>
      <c r="K712" s="570"/>
    </row>
    <row r="713" ht="12.75" customHeight="1">
      <c r="A713" s="833">
        <v>51</v>
      </c>
      <c r="B713" t="s" s="834">
        <v>883</v>
      </c>
      <c r="C713" t="s" s="834">
        <v>477</v>
      </c>
      <c r="D713" s="835">
        <v>46039</v>
      </c>
      <c r="E713" t="s" s="834">
        <v>478</v>
      </c>
      <c r="F713" t="s" s="834">
        <v>478</v>
      </c>
      <c r="G713" s="570"/>
      <c r="H713" s="570"/>
      <c r="I713" s="570"/>
      <c r="J713" s="570"/>
      <c r="K713" s="570"/>
    </row>
    <row r="714" ht="12.75" customHeight="1">
      <c r="A714" s="833">
        <v>51</v>
      </c>
      <c r="B714" t="s" s="834">
        <v>883</v>
      </c>
      <c r="C714" t="s" s="834">
        <v>477</v>
      </c>
      <c r="D714" s="835">
        <v>46040</v>
      </c>
      <c r="E714" t="s" s="834">
        <v>478</v>
      </c>
      <c r="F714" t="s" s="834">
        <v>478</v>
      </c>
      <c r="G714" s="570"/>
      <c r="H714" s="570"/>
      <c r="I714" s="570"/>
      <c r="J714" s="570"/>
      <c r="K714" s="570"/>
    </row>
    <row r="715" ht="12.75" customHeight="1">
      <c r="A715" s="833">
        <v>51</v>
      </c>
      <c r="B715" t="s" s="834">
        <v>883</v>
      </c>
      <c r="C715" t="s" s="834">
        <v>477</v>
      </c>
      <c r="D715" s="835">
        <v>46041</v>
      </c>
      <c r="E715" t="s" s="834">
        <v>478</v>
      </c>
      <c r="F715" t="s" s="834">
        <v>478</v>
      </c>
      <c r="G715" s="570"/>
      <c r="H715" s="570"/>
      <c r="I715" s="570"/>
      <c r="J715" s="570"/>
      <c r="K715" s="570"/>
    </row>
    <row r="716" ht="12.75" customHeight="1">
      <c r="A716" s="833">
        <v>51</v>
      </c>
      <c r="B716" t="s" s="834">
        <v>883</v>
      </c>
      <c r="C716" t="s" s="834">
        <v>477</v>
      </c>
      <c r="D716" s="835">
        <v>46042</v>
      </c>
      <c r="E716" t="s" s="834">
        <v>478</v>
      </c>
      <c r="F716" t="s" s="834">
        <v>478</v>
      </c>
      <c r="G716" s="570"/>
      <c r="H716" s="570"/>
      <c r="I716" s="570"/>
      <c r="J716" s="570"/>
      <c r="K716" s="570"/>
    </row>
    <row r="717" ht="12.75" customHeight="1">
      <c r="A717" s="833">
        <v>51</v>
      </c>
      <c r="B717" t="s" s="834">
        <v>883</v>
      </c>
      <c r="C717" t="s" s="834">
        <v>477</v>
      </c>
      <c r="D717" s="835">
        <v>46043</v>
      </c>
      <c r="E717" t="s" s="834">
        <v>478</v>
      </c>
      <c r="F717" t="s" s="834">
        <v>478</v>
      </c>
      <c r="G717" s="570"/>
      <c r="H717" s="570"/>
      <c r="I717" s="570"/>
      <c r="J717" s="570"/>
      <c r="K717" s="570"/>
    </row>
    <row r="718" ht="12.75" customHeight="1">
      <c r="A718" s="833">
        <v>51</v>
      </c>
      <c r="B718" t="s" s="834">
        <v>883</v>
      </c>
      <c r="C718" t="s" s="834">
        <v>477</v>
      </c>
      <c r="D718" s="835">
        <v>46044</v>
      </c>
      <c r="E718" t="s" s="834">
        <v>478</v>
      </c>
      <c r="F718" t="s" s="834">
        <v>478</v>
      </c>
      <c r="G718" s="570"/>
      <c r="H718" s="570"/>
      <c r="I718" s="570"/>
      <c r="J718" s="570"/>
      <c r="K718" s="570"/>
    </row>
    <row r="719" ht="12.75" customHeight="1">
      <c r="A719" s="833">
        <v>51</v>
      </c>
      <c r="B719" t="s" s="834">
        <v>883</v>
      </c>
      <c r="C719" t="s" s="834">
        <v>477</v>
      </c>
      <c r="D719" s="835">
        <v>46045</v>
      </c>
      <c r="E719" t="s" s="834">
        <v>478</v>
      </c>
      <c r="F719" t="s" s="834">
        <v>478</v>
      </c>
      <c r="G719" s="570"/>
      <c r="H719" s="570"/>
      <c r="I719" s="570"/>
      <c r="J719" s="570"/>
      <c r="K719" s="570"/>
    </row>
    <row r="720" ht="12.75" customHeight="1">
      <c r="A720" s="833">
        <v>51</v>
      </c>
      <c r="B720" t="s" s="834">
        <v>883</v>
      </c>
      <c r="C720" t="s" s="834">
        <v>477</v>
      </c>
      <c r="D720" s="835">
        <v>46046</v>
      </c>
      <c r="E720" t="s" s="834">
        <v>478</v>
      </c>
      <c r="F720" t="s" s="834">
        <v>478</v>
      </c>
      <c r="G720" s="570"/>
      <c r="H720" s="570"/>
      <c r="I720" s="570"/>
      <c r="J720" s="570"/>
      <c r="K720" s="570"/>
    </row>
    <row r="721" ht="12.75" customHeight="1">
      <c r="A721" s="833">
        <v>51</v>
      </c>
      <c r="B721" t="s" s="834">
        <v>883</v>
      </c>
      <c r="C721" t="s" s="834">
        <v>477</v>
      </c>
      <c r="D721" s="835">
        <v>46047</v>
      </c>
      <c r="E721" t="s" s="834">
        <v>478</v>
      </c>
      <c r="F721" t="s" s="834">
        <v>478</v>
      </c>
      <c r="G721" s="570"/>
      <c r="H721" s="570"/>
      <c r="I721" s="570"/>
      <c r="J721" s="570"/>
      <c r="K721" s="570"/>
    </row>
    <row r="722" ht="12.75" customHeight="1">
      <c r="A722" s="833">
        <v>51</v>
      </c>
      <c r="B722" t="s" s="834">
        <v>883</v>
      </c>
      <c r="C722" t="s" s="834">
        <v>477</v>
      </c>
      <c r="D722" s="835">
        <v>46048</v>
      </c>
      <c r="E722" t="s" s="834">
        <v>478</v>
      </c>
      <c r="F722" t="s" s="834">
        <v>478</v>
      </c>
      <c r="G722" s="570"/>
      <c r="H722" s="570"/>
      <c r="I722" s="570"/>
      <c r="J722" s="570"/>
      <c r="K722" s="570"/>
    </row>
    <row r="723" ht="12.75" customHeight="1">
      <c r="A723" s="833">
        <v>51</v>
      </c>
      <c r="B723" t="s" s="834">
        <v>883</v>
      </c>
      <c r="C723" t="s" s="834">
        <v>477</v>
      </c>
      <c r="D723" s="835">
        <v>46049</v>
      </c>
      <c r="E723" t="s" s="834">
        <v>478</v>
      </c>
      <c r="F723" t="s" s="834">
        <v>478</v>
      </c>
      <c r="G723" s="570"/>
      <c r="H723" s="570"/>
      <c r="I723" s="570"/>
      <c r="J723" s="570"/>
      <c r="K723" s="570"/>
    </row>
    <row r="724" ht="12.75" customHeight="1">
      <c r="A724" s="833">
        <v>51</v>
      </c>
      <c r="B724" t="s" s="834">
        <v>883</v>
      </c>
      <c r="C724" t="s" s="834">
        <v>477</v>
      </c>
      <c r="D724" s="835">
        <v>46050</v>
      </c>
      <c r="E724" t="s" s="834">
        <v>478</v>
      </c>
      <c r="F724" t="s" s="834">
        <v>478</v>
      </c>
      <c r="G724" s="570"/>
      <c r="H724" s="570"/>
      <c r="I724" s="570"/>
      <c r="J724" s="570"/>
      <c r="K724" s="570"/>
    </row>
    <row r="725" ht="12.75" customHeight="1">
      <c r="A725" s="833">
        <v>51</v>
      </c>
      <c r="B725" t="s" s="834">
        <v>883</v>
      </c>
      <c r="C725" t="s" s="834">
        <v>477</v>
      </c>
      <c r="D725" s="835">
        <v>46051</v>
      </c>
      <c r="E725" t="s" s="834">
        <v>478</v>
      </c>
      <c r="F725" t="s" s="834">
        <v>478</v>
      </c>
      <c r="G725" s="570"/>
      <c r="H725" s="570"/>
      <c r="I725" s="570"/>
      <c r="J725" s="570"/>
      <c r="K725" s="570"/>
    </row>
    <row r="726" ht="12.75" customHeight="1">
      <c r="A726" s="833">
        <v>51</v>
      </c>
      <c r="B726" t="s" s="834">
        <v>883</v>
      </c>
      <c r="C726" t="s" s="834">
        <v>477</v>
      </c>
      <c r="D726" s="835">
        <v>46052</v>
      </c>
      <c r="E726" t="s" s="834">
        <v>478</v>
      </c>
      <c r="F726" t="s" s="834">
        <v>478</v>
      </c>
      <c r="G726" s="570"/>
      <c r="H726" s="570"/>
      <c r="I726" s="570"/>
      <c r="J726" s="570"/>
      <c r="K726" s="570"/>
    </row>
    <row r="727" ht="12.75" customHeight="1">
      <c r="A727" s="833">
        <v>51</v>
      </c>
      <c r="B727" t="s" s="834">
        <v>883</v>
      </c>
      <c r="C727" t="s" s="834">
        <v>477</v>
      </c>
      <c r="D727" s="835">
        <v>46053</v>
      </c>
      <c r="E727" t="s" s="834">
        <v>478</v>
      </c>
      <c r="F727" t="s" s="834">
        <v>478</v>
      </c>
      <c r="G727" s="570"/>
      <c r="H727" s="570"/>
      <c r="I727" s="570"/>
      <c r="J727" s="570"/>
      <c r="K727" s="570"/>
    </row>
    <row r="728" ht="12.75" customHeight="1">
      <c r="A728" s="833">
        <v>51</v>
      </c>
      <c r="B728" t="s" s="834">
        <v>883</v>
      </c>
      <c r="C728" t="s" s="834">
        <v>477</v>
      </c>
      <c r="D728" s="835">
        <v>46054</v>
      </c>
      <c r="E728" t="s" s="834">
        <v>478</v>
      </c>
      <c r="F728" t="s" s="834">
        <v>478</v>
      </c>
      <c r="G728" s="570"/>
      <c r="H728" s="570"/>
      <c r="I728" s="570"/>
      <c r="J728" s="570"/>
      <c r="K728" s="570"/>
    </row>
    <row r="729" ht="12.75" customHeight="1">
      <c r="A729" s="833">
        <v>56</v>
      </c>
      <c r="B729" t="s" s="834">
        <v>884</v>
      </c>
      <c r="C729" t="s" s="834">
        <v>477</v>
      </c>
      <c r="D729" s="835">
        <v>46023</v>
      </c>
      <c r="E729" t="s" s="834">
        <v>478</v>
      </c>
      <c r="F729" t="s" s="834">
        <v>478</v>
      </c>
      <c r="G729" s="570"/>
      <c r="H729" s="570"/>
      <c r="I729" s="570"/>
      <c r="J729" s="570"/>
      <c r="K729" s="570"/>
    </row>
    <row r="730" ht="12.75" customHeight="1">
      <c r="A730" s="833">
        <v>56</v>
      </c>
      <c r="B730" t="s" s="834">
        <v>884</v>
      </c>
      <c r="C730" t="s" s="834">
        <v>477</v>
      </c>
      <c r="D730" s="835">
        <v>46024</v>
      </c>
      <c r="E730" t="s" s="834">
        <v>478</v>
      </c>
      <c r="F730" t="s" s="834">
        <v>478</v>
      </c>
      <c r="G730" s="570"/>
      <c r="H730" s="570"/>
      <c r="I730" s="570"/>
      <c r="J730" s="570"/>
      <c r="K730" s="570"/>
    </row>
    <row r="731" ht="12.75" customHeight="1">
      <c r="A731" s="833">
        <v>56</v>
      </c>
      <c r="B731" t="s" s="834">
        <v>884</v>
      </c>
      <c r="C731" t="s" s="834">
        <v>477</v>
      </c>
      <c r="D731" s="835">
        <v>46025</v>
      </c>
      <c r="E731" t="s" s="834">
        <v>478</v>
      </c>
      <c r="F731" t="s" s="834">
        <v>478</v>
      </c>
      <c r="G731" s="570"/>
      <c r="H731" s="570"/>
      <c r="I731" s="570"/>
      <c r="J731" s="570"/>
      <c r="K731" s="570"/>
    </row>
    <row r="732" ht="12.75" customHeight="1">
      <c r="A732" s="833">
        <v>56</v>
      </c>
      <c r="B732" t="s" s="834">
        <v>884</v>
      </c>
      <c r="C732" t="s" s="834">
        <v>477</v>
      </c>
      <c r="D732" s="835">
        <v>46026</v>
      </c>
      <c r="E732" t="s" s="834">
        <v>478</v>
      </c>
      <c r="F732" t="s" s="834">
        <v>478</v>
      </c>
      <c r="G732" s="570"/>
      <c r="H732" s="570"/>
      <c r="I732" s="570"/>
      <c r="J732" s="570"/>
      <c r="K732" s="570"/>
    </row>
    <row r="733" ht="12.75" customHeight="1">
      <c r="A733" s="833">
        <v>56</v>
      </c>
      <c r="B733" t="s" s="834">
        <v>884</v>
      </c>
      <c r="C733" t="s" s="834">
        <v>477</v>
      </c>
      <c r="D733" s="835">
        <v>46027</v>
      </c>
      <c r="E733" t="s" s="834">
        <v>478</v>
      </c>
      <c r="F733" t="s" s="834">
        <v>478</v>
      </c>
      <c r="G733" s="570"/>
      <c r="H733" s="570"/>
      <c r="I733" s="570"/>
      <c r="J733" s="570"/>
      <c r="K733" s="570"/>
    </row>
    <row r="734" ht="12.75" customHeight="1">
      <c r="A734" s="833">
        <v>56</v>
      </c>
      <c r="B734" t="s" s="834">
        <v>884</v>
      </c>
      <c r="C734" t="s" s="834">
        <v>477</v>
      </c>
      <c r="D734" s="835">
        <v>46028</v>
      </c>
      <c r="E734" t="s" s="834">
        <v>478</v>
      </c>
      <c r="F734" t="s" s="834">
        <v>478</v>
      </c>
      <c r="G734" s="570"/>
      <c r="H734" s="570"/>
      <c r="I734" s="570"/>
      <c r="J734" s="570"/>
      <c r="K734" s="570"/>
    </row>
    <row r="735" ht="12.75" customHeight="1">
      <c r="A735" s="833">
        <v>56</v>
      </c>
      <c r="B735" t="s" s="834">
        <v>884</v>
      </c>
      <c r="C735" t="s" s="834">
        <v>477</v>
      </c>
      <c r="D735" s="835">
        <v>46029</v>
      </c>
      <c r="E735" t="s" s="834">
        <v>478</v>
      </c>
      <c r="F735" t="s" s="834">
        <v>478</v>
      </c>
      <c r="G735" s="570"/>
      <c r="H735" s="570"/>
      <c r="I735" s="570"/>
      <c r="J735" s="570"/>
      <c r="K735" s="570"/>
    </row>
    <row r="736" ht="12.75" customHeight="1">
      <c r="A736" s="833">
        <v>56</v>
      </c>
      <c r="B736" t="s" s="834">
        <v>884</v>
      </c>
      <c r="C736" t="s" s="834">
        <v>477</v>
      </c>
      <c r="D736" s="835">
        <v>46030</v>
      </c>
      <c r="E736" t="s" s="834">
        <v>478</v>
      </c>
      <c r="F736" t="s" s="834">
        <v>478</v>
      </c>
      <c r="G736" s="570"/>
      <c r="H736" s="570"/>
      <c r="I736" s="570"/>
      <c r="J736" s="570"/>
      <c r="K736" s="570"/>
    </row>
    <row r="737" ht="12.75" customHeight="1">
      <c r="A737" s="833">
        <v>56</v>
      </c>
      <c r="B737" t="s" s="834">
        <v>884</v>
      </c>
      <c r="C737" t="s" s="834">
        <v>477</v>
      </c>
      <c r="D737" s="835">
        <v>46031</v>
      </c>
      <c r="E737" t="s" s="834">
        <v>478</v>
      </c>
      <c r="F737" t="s" s="834">
        <v>478</v>
      </c>
      <c r="G737" s="570"/>
      <c r="H737" s="570"/>
      <c r="I737" s="570"/>
      <c r="J737" s="570"/>
      <c r="K737" s="570"/>
    </row>
    <row r="738" ht="12.75" customHeight="1">
      <c r="A738" s="833">
        <v>56</v>
      </c>
      <c r="B738" t="s" s="834">
        <v>884</v>
      </c>
      <c r="C738" t="s" s="834">
        <v>477</v>
      </c>
      <c r="D738" s="835">
        <v>46032</v>
      </c>
      <c r="E738" t="s" s="834">
        <v>478</v>
      </c>
      <c r="F738" t="s" s="834">
        <v>478</v>
      </c>
      <c r="G738" s="570"/>
      <c r="H738" s="570"/>
      <c r="I738" s="570"/>
      <c r="J738" s="570"/>
      <c r="K738" s="570"/>
    </row>
    <row r="739" ht="12.75" customHeight="1">
      <c r="A739" s="833">
        <v>56</v>
      </c>
      <c r="B739" t="s" s="834">
        <v>884</v>
      </c>
      <c r="C739" t="s" s="834">
        <v>477</v>
      </c>
      <c r="D739" s="835">
        <v>46033</v>
      </c>
      <c r="E739" t="s" s="834">
        <v>478</v>
      </c>
      <c r="F739" t="s" s="834">
        <v>478</v>
      </c>
      <c r="G739" s="570"/>
      <c r="H739" s="570"/>
      <c r="I739" s="570"/>
      <c r="J739" s="570"/>
      <c r="K739" s="570"/>
    </row>
    <row r="740" ht="12.75" customHeight="1">
      <c r="A740" s="833">
        <v>56</v>
      </c>
      <c r="B740" t="s" s="834">
        <v>884</v>
      </c>
      <c r="C740" t="s" s="834">
        <v>477</v>
      </c>
      <c r="D740" s="835">
        <v>46034</v>
      </c>
      <c r="E740" t="s" s="834">
        <v>478</v>
      </c>
      <c r="F740" t="s" s="834">
        <v>478</v>
      </c>
      <c r="G740" s="570"/>
      <c r="H740" s="570"/>
      <c r="I740" s="570"/>
      <c r="J740" s="570"/>
      <c r="K740" s="570"/>
    </row>
    <row r="741" ht="12.75" customHeight="1">
      <c r="A741" s="833">
        <v>56</v>
      </c>
      <c r="B741" t="s" s="834">
        <v>884</v>
      </c>
      <c r="C741" t="s" s="834">
        <v>477</v>
      </c>
      <c r="D741" s="835">
        <v>46035</v>
      </c>
      <c r="E741" s="836">
        <v>1.473564814814815</v>
      </c>
      <c r="F741" s="836">
        <v>1.681701388888889</v>
      </c>
      <c r="G741" s="570"/>
      <c r="H741" s="570"/>
      <c r="I741" s="570"/>
      <c r="J741" s="570"/>
      <c r="K741" s="570"/>
    </row>
    <row r="742" ht="12.75" customHeight="1">
      <c r="A742" t="s" s="834">
        <v>885</v>
      </c>
      <c r="B742" t="s" s="834">
        <v>886</v>
      </c>
      <c r="C742" t="s" s="834">
        <v>887</v>
      </c>
      <c r="D742" s="570"/>
      <c r="E742" s="570"/>
      <c r="F742" s="570"/>
      <c r="G742" s="570"/>
      <c r="H742" s="570"/>
      <c r="I742" s="570"/>
      <c r="J742" s="570"/>
      <c r="K742" s="570"/>
    </row>
    <row r="743" ht="12.75" customHeight="1">
      <c r="A743" s="833">
        <v>56</v>
      </c>
      <c r="B743" t="s" s="834">
        <v>884</v>
      </c>
      <c r="C743" t="s" s="834">
        <v>477</v>
      </c>
      <c r="D743" s="835">
        <v>46036</v>
      </c>
      <c r="E743" t="s" s="834">
        <v>478</v>
      </c>
      <c r="F743" t="s" s="834">
        <v>478</v>
      </c>
      <c r="G743" s="570"/>
      <c r="H743" s="570"/>
      <c r="I743" s="570"/>
      <c r="J743" s="570"/>
      <c r="K743" s="570"/>
    </row>
    <row r="744" ht="12.75" customHeight="1">
      <c r="A744" s="833">
        <v>56</v>
      </c>
      <c r="B744" t="s" s="834">
        <v>884</v>
      </c>
      <c r="C744" t="s" s="834">
        <v>477</v>
      </c>
      <c r="D744" s="835">
        <v>46037</v>
      </c>
      <c r="E744" s="836">
        <v>1.795543981481482</v>
      </c>
      <c r="F744" s="836">
        <v>1.795601851851852</v>
      </c>
      <c r="G744" s="570"/>
      <c r="H744" s="570"/>
      <c r="I744" s="570"/>
      <c r="J744" s="570"/>
      <c r="K744" s="570"/>
    </row>
    <row r="745" ht="12.75" customHeight="1">
      <c r="A745" t="s" s="834">
        <v>888</v>
      </c>
      <c r="B745" t="s" s="834">
        <v>889</v>
      </c>
      <c r="C745" t="s" s="834">
        <v>486</v>
      </c>
      <c r="D745" s="570"/>
      <c r="E745" s="570"/>
      <c r="F745" s="570"/>
      <c r="G745" s="570"/>
      <c r="H745" s="570"/>
      <c r="I745" s="570"/>
      <c r="J745" s="570"/>
      <c r="K745" s="570"/>
    </row>
    <row r="746" ht="12.75" customHeight="1">
      <c r="A746" s="833">
        <v>56</v>
      </c>
      <c r="B746" t="s" s="834">
        <v>884</v>
      </c>
      <c r="C746" t="s" s="834">
        <v>477</v>
      </c>
      <c r="D746" s="835">
        <v>46038</v>
      </c>
      <c r="E746" t="s" s="834">
        <v>478</v>
      </c>
      <c r="F746" t="s" s="834">
        <v>478</v>
      </c>
      <c r="G746" s="570"/>
      <c r="H746" s="570"/>
      <c r="I746" s="570"/>
      <c r="J746" s="570"/>
      <c r="K746" s="570"/>
    </row>
    <row r="747" ht="12.75" customHeight="1">
      <c r="A747" s="833">
        <v>56</v>
      </c>
      <c r="B747" t="s" s="834">
        <v>884</v>
      </c>
      <c r="C747" t="s" s="834">
        <v>477</v>
      </c>
      <c r="D747" s="835">
        <v>46039</v>
      </c>
      <c r="E747" t="s" s="834">
        <v>478</v>
      </c>
      <c r="F747" t="s" s="834">
        <v>478</v>
      </c>
      <c r="G747" s="570"/>
      <c r="H747" s="570"/>
      <c r="I747" s="570"/>
      <c r="J747" s="570"/>
      <c r="K747" s="570"/>
    </row>
    <row r="748" ht="12.75" customHeight="1">
      <c r="A748" s="833">
        <v>56</v>
      </c>
      <c r="B748" t="s" s="834">
        <v>884</v>
      </c>
      <c r="C748" t="s" s="834">
        <v>477</v>
      </c>
      <c r="D748" s="835">
        <v>46040</v>
      </c>
      <c r="E748" t="s" s="834">
        <v>478</v>
      </c>
      <c r="F748" t="s" s="834">
        <v>478</v>
      </c>
      <c r="G748" s="570"/>
      <c r="H748" s="570"/>
      <c r="I748" s="570"/>
      <c r="J748" s="570"/>
      <c r="K748" s="570"/>
    </row>
    <row r="749" ht="12.75" customHeight="1">
      <c r="A749" s="833">
        <v>56</v>
      </c>
      <c r="B749" t="s" s="834">
        <v>884</v>
      </c>
      <c r="C749" t="s" s="834">
        <v>477</v>
      </c>
      <c r="D749" s="835">
        <v>46041</v>
      </c>
      <c r="E749" t="s" s="834">
        <v>478</v>
      </c>
      <c r="F749" t="s" s="834">
        <v>478</v>
      </c>
      <c r="G749" s="570"/>
      <c r="H749" s="570"/>
      <c r="I749" s="570"/>
      <c r="J749" s="570"/>
      <c r="K749" s="570"/>
    </row>
    <row r="750" ht="12.75" customHeight="1">
      <c r="A750" s="833">
        <v>56</v>
      </c>
      <c r="B750" t="s" s="834">
        <v>884</v>
      </c>
      <c r="C750" t="s" s="834">
        <v>477</v>
      </c>
      <c r="D750" s="835">
        <v>46042</v>
      </c>
      <c r="E750" t="s" s="834">
        <v>478</v>
      </c>
      <c r="F750" t="s" s="834">
        <v>478</v>
      </c>
      <c r="G750" s="570"/>
      <c r="H750" s="570"/>
      <c r="I750" s="570"/>
      <c r="J750" s="570"/>
      <c r="K750" s="570"/>
    </row>
    <row r="751" ht="12.75" customHeight="1">
      <c r="A751" s="833">
        <v>56</v>
      </c>
      <c r="B751" t="s" s="834">
        <v>884</v>
      </c>
      <c r="C751" t="s" s="834">
        <v>477</v>
      </c>
      <c r="D751" s="835">
        <v>46043</v>
      </c>
      <c r="E751" t="s" s="834">
        <v>478</v>
      </c>
      <c r="F751" t="s" s="834">
        <v>478</v>
      </c>
      <c r="G751" s="570"/>
      <c r="H751" s="570"/>
      <c r="I751" s="570"/>
      <c r="J751" s="570"/>
      <c r="K751" s="570"/>
    </row>
    <row r="752" ht="12.75" customHeight="1">
      <c r="A752" s="833">
        <v>56</v>
      </c>
      <c r="B752" t="s" s="834">
        <v>884</v>
      </c>
      <c r="C752" t="s" s="834">
        <v>477</v>
      </c>
      <c r="D752" s="835">
        <v>46044</v>
      </c>
      <c r="E752" t="s" s="834">
        <v>478</v>
      </c>
      <c r="F752" t="s" s="834">
        <v>478</v>
      </c>
      <c r="G752" s="570"/>
      <c r="H752" s="570"/>
      <c r="I752" s="570"/>
      <c r="J752" s="570"/>
      <c r="K752" s="570"/>
    </row>
    <row r="753" ht="12.75" customHeight="1">
      <c r="A753" s="833">
        <v>56</v>
      </c>
      <c r="B753" t="s" s="834">
        <v>884</v>
      </c>
      <c r="C753" t="s" s="834">
        <v>477</v>
      </c>
      <c r="D753" s="835">
        <v>46045</v>
      </c>
      <c r="E753" t="s" s="834">
        <v>478</v>
      </c>
      <c r="F753" t="s" s="834">
        <v>478</v>
      </c>
      <c r="G753" s="570"/>
      <c r="H753" s="570"/>
      <c r="I753" s="570"/>
      <c r="J753" s="570"/>
      <c r="K753" s="570"/>
    </row>
    <row r="754" ht="12.75" customHeight="1">
      <c r="A754" s="833">
        <v>56</v>
      </c>
      <c r="B754" t="s" s="834">
        <v>884</v>
      </c>
      <c r="C754" t="s" s="834">
        <v>477</v>
      </c>
      <c r="D754" s="835">
        <v>46046</v>
      </c>
      <c r="E754" t="s" s="834">
        <v>478</v>
      </c>
      <c r="F754" t="s" s="834">
        <v>478</v>
      </c>
      <c r="G754" s="570"/>
      <c r="H754" s="570"/>
      <c r="I754" s="570"/>
      <c r="J754" s="570"/>
      <c r="K754" s="570"/>
    </row>
    <row r="755" ht="12.75" customHeight="1">
      <c r="A755" s="833">
        <v>56</v>
      </c>
      <c r="B755" t="s" s="834">
        <v>884</v>
      </c>
      <c r="C755" t="s" s="834">
        <v>477</v>
      </c>
      <c r="D755" s="835">
        <v>46047</v>
      </c>
      <c r="E755" t="s" s="834">
        <v>478</v>
      </c>
      <c r="F755" t="s" s="834">
        <v>478</v>
      </c>
      <c r="G755" s="570"/>
      <c r="H755" s="570"/>
      <c r="I755" s="570"/>
      <c r="J755" s="570"/>
      <c r="K755" s="570"/>
    </row>
    <row r="756" ht="12.75" customHeight="1">
      <c r="A756" s="833">
        <v>56</v>
      </c>
      <c r="B756" t="s" s="834">
        <v>884</v>
      </c>
      <c r="C756" t="s" s="834">
        <v>477</v>
      </c>
      <c r="D756" s="835">
        <v>46048</v>
      </c>
      <c r="E756" t="s" s="834">
        <v>478</v>
      </c>
      <c r="F756" t="s" s="834">
        <v>478</v>
      </c>
      <c r="G756" s="570"/>
      <c r="H756" s="570"/>
      <c r="I756" s="570"/>
      <c r="J756" s="570"/>
      <c r="K756" s="570"/>
    </row>
    <row r="757" ht="12.75" customHeight="1">
      <c r="A757" s="833">
        <v>56</v>
      </c>
      <c r="B757" t="s" s="834">
        <v>884</v>
      </c>
      <c r="C757" t="s" s="834">
        <v>477</v>
      </c>
      <c r="D757" s="835">
        <v>46049</v>
      </c>
      <c r="E757" t="s" s="834">
        <v>478</v>
      </c>
      <c r="F757" t="s" s="834">
        <v>478</v>
      </c>
      <c r="G757" s="570"/>
      <c r="H757" s="570"/>
      <c r="I757" s="570"/>
      <c r="J757" s="570"/>
      <c r="K757" s="570"/>
    </row>
    <row r="758" ht="12.75" customHeight="1">
      <c r="A758" s="833">
        <v>56</v>
      </c>
      <c r="B758" t="s" s="834">
        <v>884</v>
      </c>
      <c r="C758" t="s" s="834">
        <v>477</v>
      </c>
      <c r="D758" s="835">
        <v>46050</v>
      </c>
      <c r="E758" t="s" s="834">
        <v>478</v>
      </c>
      <c r="F758" t="s" s="834">
        <v>478</v>
      </c>
      <c r="G758" s="570"/>
      <c r="H758" s="570"/>
      <c r="I758" s="570"/>
      <c r="J758" s="570"/>
      <c r="K758" s="570"/>
    </row>
    <row r="759" ht="12.75" customHeight="1">
      <c r="A759" s="833">
        <v>56</v>
      </c>
      <c r="B759" t="s" s="834">
        <v>884</v>
      </c>
      <c r="C759" t="s" s="834">
        <v>477</v>
      </c>
      <c r="D759" s="835">
        <v>46051</v>
      </c>
      <c r="E759" t="s" s="834">
        <v>478</v>
      </c>
      <c r="F759" t="s" s="834">
        <v>478</v>
      </c>
      <c r="G759" s="570"/>
      <c r="H759" s="570"/>
      <c r="I759" s="570"/>
      <c r="J759" s="570"/>
      <c r="K759" s="570"/>
    </row>
    <row r="760" ht="12.75" customHeight="1">
      <c r="A760" s="833">
        <v>56</v>
      </c>
      <c r="B760" t="s" s="834">
        <v>884</v>
      </c>
      <c r="C760" t="s" s="834">
        <v>477</v>
      </c>
      <c r="D760" s="835">
        <v>46052</v>
      </c>
      <c r="E760" t="s" s="834">
        <v>478</v>
      </c>
      <c r="F760" t="s" s="834">
        <v>478</v>
      </c>
      <c r="G760" s="570"/>
      <c r="H760" s="570"/>
      <c r="I760" s="570"/>
      <c r="J760" s="570"/>
      <c r="K760" s="570"/>
    </row>
    <row r="761" ht="12.75" customHeight="1">
      <c r="A761" s="833">
        <v>56</v>
      </c>
      <c r="B761" t="s" s="834">
        <v>884</v>
      </c>
      <c r="C761" t="s" s="834">
        <v>477</v>
      </c>
      <c r="D761" s="835">
        <v>46053</v>
      </c>
      <c r="E761" t="s" s="834">
        <v>478</v>
      </c>
      <c r="F761" t="s" s="834">
        <v>478</v>
      </c>
      <c r="G761" s="570"/>
      <c r="H761" s="570"/>
      <c r="I761" s="570"/>
      <c r="J761" s="570"/>
      <c r="K761" s="570"/>
    </row>
    <row r="762" ht="12.75" customHeight="1">
      <c r="A762" s="833">
        <v>56</v>
      </c>
      <c r="B762" t="s" s="834">
        <v>884</v>
      </c>
      <c r="C762" t="s" s="834">
        <v>477</v>
      </c>
      <c r="D762" s="835">
        <v>46054</v>
      </c>
      <c r="E762" t="s" s="834">
        <v>478</v>
      </c>
      <c r="F762" t="s" s="834">
        <v>478</v>
      </c>
      <c r="G762" s="570"/>
      <c r="H762" s="570"/>
      <c r="I762" s="570"/>
      <c r="J762" s="570"/>
      <c r="K762" s="570"/>
    </row>
    <row r="763" ht="12.75" customHeight="1">
      <c r="A763" s="833">
        <v>57</v>
      </c>
      <c r="B763" t="s" s="834">
        <v>890</v>
      </c>
      <c r="C763" t="s" s="834">
        <v>477</v>
      </c>
      <c r="D763" s="835">
        <v>46023</v>
      </c>
      <c r="E763" t="s" s="834">
        <v>478</v>
      </c>
      <c r="F763" t="s" s="834">
        <v>478</v>
      </c>
      <c r="G763" s="570"/>
      <c r="H763" s="570"/>
      <c r="I763" s="570"/>
      <c r="J763" s="570"/>
      <c r="K763" s="570"/>
    </row>
    <row r="764" ht="12.75" customHeight="1">
      <c r="A764" s="833">
        <v>57</v>
      </c>
      <c r="B764" t="s" s="834">
        <v>890</v>
      </c>
      <c r="C764" t="s" s="834">
        <v>477</v>
      </c>
      <c r="D764" s="835">
        <v>46024</v>
      </c>
      <c r="E764" t="s" s="834">
        <v>478</v>
      </c>
      <c r="F764" t="s" s="834">
        <v>478</v>
      </c>
      <c r="G764" s="570"/>
      <c r="H764" s="570"/>
      <c r="I764" s="570"/>
      <c r="J764" s="570"/>
      <c r="K764" s="570"/>
    </row>
    <row r="765" ht="12.75" customHeight="1">
      <c r="A765" s="833">
        <v>57</v>
      </c>
      <c r="B765" t="s" s="834">
        <v>890</v>
      </c>
      <c r="C765" t="s" s="834">
        <v>477</v>
      </c>
      <c r="D765" s="835">
        <v>46025</v>
      </c>
      <c r="E765" t="s" s="834">
        <v>478</v>
      </c>
      <c r="F765" t="s" s="834">
        <v>478</v>
      </c>
      <c r="G765" s="570"/>
      <c r="H765" s="570"/>
      <c r="I765" s="570"/>
      <c r="J765" s="570"/>
      <c r="K765" s="570"/>
    </row>
    <row r="766" ht="12.75" customHeight="1">
      <c r="A766" s="833">
        <v>57</v>
      </c>
      <c r="B766" t="s" s="834">
        <v>890</v>
      </c>
      <c r="C766" t="s" s="834">
        <v>477</v>
      </c>
      <c r="D766" s="835">
        <v>46026</v>
      </c>
      <c r="E766" t="s" s="834">
        <v>478</v>
      </c>
      <c r="F766" t="s" s="834">
        <v>478</v>
      </c>
      <c r="G766" s="570"/>
      <c r="H766" s="570"/>
      <c r="I766" s="570"/>
      <c r="J766" s="570"/>
      <c r="K766" s="570"/>
    </row>
    <row r="767" ht="12.75" customHeight="1">
      <c r="A767" s="833">
        <v>57</v>
      </c>
      <c r="B767" t="s" s="834">
        <v>890</v>
      </c>
      <c r="C767" t="s" s="834">
        <v>477</v>
      </c>
      <c r="D767" s="835">
        <v>46027</v>
      </c>
      <c r="E767" t="s" s="834">
        <v>478</v>
      </c>
      <c r="F767" t="s" s="834">
        <v>478</v>
      </c>
      <c r="G767" s="570"/>
      <c r="H767" s="570"/>
      <c r="I767" s="570"/>
      <c r="J767" s="570"/>
      <c r="K767" s="570"/>
    </row>
    <row r="768" ht="12.75" customHeight="1">
      <c r="A768" s="833">
        <v>57</v>
      </c>
      <c r="B768" t="s" s="834">
        <v>890</v>
      </c>
      <c r="C768" t="s" s="834">
        <v>477</v>
      </c>
      <c r="D768" s="835">
        <v>46028</v>
      </c>
      <c r="E768" t="s" s="834">
        <v>478</v>
      </c>
      <c r="F768" t="s" s="834">
        <v>478</v>
      </c>
      <c r="G768" s="570"/>
      <c r="H768" s="570"/>
      <c r="I768" s="570"/>
      <c r="J768" s="570"/>
      <c r="K768" s="570"/>
    </row>
    <row r="769" ht="12.75" customHeight="1">
      <c r="A769" s="833">
        <v>57</v>
      </c>
      <c r="B769" t="s" s="834">
        <v>890</v>
      </c>
      <c r="C769" t="s" s="834">
        <v>477</v>
      </c>
      <c r="D769" s="835">
        <v>46029</v>
      </c>
      <c r="E769" t="s" s="834">
        <v>478</v>
      </c>
      <c r="F769" t="s" s="834">
        <v>478</v>
      </c>
      <c r="G769" s="570"/>
      <c r="H769" s="570"/>
      <c r="I769" s="570"/>
      <c r="J769" s="570"/>
      <c r="K769" s="570"/>
    </row>
    <row r="770" ht="12.75" customHeight="1">
      <c r="A770" s="833">
        <v>57</v>
      </c>
      <c r="B770" t="s" s="834">
        <v>890</v>
      </c>
      <c r="C770" t="s" s="834">
        <v>477</v>
      </c>
      <c r="D770" s="835">
        <v>46030</v>
      </c>
      <c r="E770" t="s" s="834">
        <v>478</v>
      </c>
      <c r="F770" t="s" s="834">
        <v>478</v>
      </c>
      <c r="G770" s="570"/>
      <c r="H770" s="570"/>
      <c r="I770" s="570"/>
      <c r="J770" s="570"/>
      <c r="K770" s="570"/>
    </row>
    <row r="771" ht="12.75" customHeight="1">
      <c r="A771" s="833">
        <v>57</v>
      </c>
      <c r="B771" t="s" s="834">
        <v>890</v>
      </c>
      <c r="C771" t="s" s="834">
        <v>477</v>
      </c>
      <c r="D771" s="835">
        <v>46031</v>
      </c>
      <c r="E771" t="s" s="834">
        <v>478</v>
      </c>
      <c r="F771" t="s" s="834">
        <v>478</v>
      </c>
      <c r="G771" s="570"/>
      <c r="H771" s="570"/>
      <c r="I771" s="570"/>
      <c r="J771" s="570"/>
      <c r="K771" s="570"/>
    </row>
    <row r="772" ht="12.75" customHeight="1">
      <c r="A772" s="833">
        <v>57</v>
      </c>
      <c r="B772" t="s" s="834">
        <v>890</v>
      </c>
      <c r="C772" t="s" s="834">
        <v>477</v>
      </c>
      <c r="D772" s="835">
        <v>46032</v>
      </c>
      <c r="E772" t="s" s="834">
        <v>478</v>
      </c>
      <c r="F772" t="s" s="834">
        <v>478</v>
      </c>
      <c r="G772" s="570"/>
      <c r="H772" s="570"/>
      <c r="I772" s="570"/>
      <c r="J772" s="570"/>
      <c r="K772" s="570"/>
    </row>
    <row r="773" ht="12.75" customHeight="1">
      <c r="A773" s="833">
        <v>57</v>
      </c>
      <c r="B773" t="s" s="834">
        <v>890</v>
      </c>
      <c r="C773" t="s" s="834">
        <v>477</v>
      </c>
      <c r="D773" s="835">
        <v>46033</v>
      </c>
      <c r="E773" t="s" s="834">
        <v>478</v>
      </c>
      <c r="F773" t="s" s="834">
        <v>478</v>
      </c>
      <c r="G773" s="570"/>
      <c r="H773" s="570"/>
      <c r="I773" s="570"/>
      <c r="J773" s="570"/>
      <c r="K773" s="570"/>
    </row>
    <row r="774" ht="12.75" customHeight="1">
      <c r="A774" s="833">
        <v>57</v>
      </c>
      <c r="B774" t="s" s="834">
        <v>890</v>
      </c>
      <c r="C774" t="s" s="834">
        <v>477</v>
      </c>
      <c r="D774" s="835">
        <v>46034</v>
      </c>
      <c r="E774" t="s" s="834">
        <v>478</v>
      </c>
      <c r="F774" t="s" s="834">
        <v>478</v>
      </c>
      <c r="G774" s="570"/>
      <c r="H774" s="570"/>
      <c r="I774" s="570"/>
      <c r="J774" s="570"/>
      <c r="K774" s="570"/>
    </row>
    <row r="775" ht="12.75" customHeight="1">
      <c r="A775" s="833">
        <v>57</v>
      </c>
      <c r="B775" t="s" s="834">
        <v>890</v>
      </c>
      <c r="C775" t="s" s="834">
        <v>477</v>
      </c>
      <c r="D775" s="835">
        <v>46035</v>
      </c>
      <c r="E775" t="s" s="834">
        <v>478</v>
      </c>
      <c r="F775" t="s" s="834">
        <v>478</v>
      </c>
      <c r="G775" s="570"/>
      <c r="H775" s="570"/>
      <c r="I775" s="570"/>
      <c r="J775" s="570"/>
      <c r="K775" s="570"/>
    </row>
    <row r="776" ht="12.75" customHeight="1">
      <c r="A776" s="833">
        <v>57</v>
      </c>
      <c r="B776" t="s" s="834">
        <v>890</v>
      </c>
      <c r="C776" t="s" s="834">
        <v>477</v>
      </c>
      <c r="D776" s="835">
        <v>46036</v>
      </c>
      <c r="E776" t="s" s="834">
        <v>478</v>
      </c>
      <c r="F776" t="s" s="834">
        <v>478</v>
      </c>
      <c r="G776" s="570"/>
      <c r="H776" s="570"/>
      <c r="I776" s="570"/>
      <c r="J776" s="570"/>
      <c r="K776" s="570"/>
    </row>
    <row r="777" ht="12.75" customHeight="1">
      <c r="A777" s="833">
        <v>57</v>
      </c>
      <c r="B777" t="s" s="834">
        <v>890</v>
      </c>
      <c r="C777" t="s" s="834">
        <v>477</v>
      </c>
      <c r="D777" s="835">
        <v>46037</v>
      </c>
      <c r="E777" t="s" s="834">
        <v>478</v>
      </c>
      <c r="F777" t="s" s="834">
        <v>478</v>
      </c>
      <c r="G777" s="570"/>
      <c r="H777" s="570"/>
      <c r="I777" s="570"/>
      <c r="J777" s="570"/>
      <c r="K777" s="570"/>
    </row>
    <row r="778" ht="12.75" customHeight="1">
      <c r="A778" s="833">
        <v>57</v>
      </c>
      <c r="B778" t="s" s="834">
        <v>890</v>
      </c>
      <c r="C778" t="s" s="834">
        <v>477</v>
      </c>
      <c r="D778" s="835">
        <v>46038</v>
      </c>
      <c r="E778" t="s" s="834">
        <v>478</v>
      </c>
      <c r="F778" t="s" s="834">
        <v>478</v>
      </c>
      <c r="G778" s="570"/>
      <c r="H778" s="570"/>
      <c r="I778" s="570"/>
      <c r="J778" s="570"/>
      <c r="K778" s="570"/>
    </row>
    <row r="779" ht="12.75" customHeight="1">
      <c r="A779" s="833">
        <v>57</v>
      </c>
      <c r="B779" t="s" s="834">
        <v>890</v>
      </c>
      <c r="C779" t="s" s="834">
        <v>477</v>
      </c>
      <c r="D779" s="835">
        <v>46039</v>
      </c>
      <c r="E779" t="s" s="834">
        <v>478</v>
      </c>
      <c r="F779" t="s" s="834">
        <v>478</v>
      </c>
      <c r="G779" s="570"/>
      <c r="H779" s="570"/>
      <c r="I779" s="570"/>
      <c r="J779" s="570"/>
      <c r="K779" s="570"/>
    </row>
    <row r="780" ht="12.75" customHeight="1">
      <c r="A780" s="833">
        <v>57</v>
      </c>
      <c r="B780" t="s" s="834">
        <v>890</v>
      </c>
      <c r="C780" t="s" s="834">
        <v>477</v>
      </c>
      <c r="D780" s="835">
        <v>46040</v>
      </c>
      <c r="E780" t="s" s="834">
        <v>478</v>
      </c>
      <c r="F780" t="s" s="834">
        <v>478</v>
      </c>
      <c r="G780" s="570"/>
      <c r="H780" s="570"/>
      <c r="I780" s="570"/>
      <c r="J780" s="570"/>
      <c r="K780" s="570"/>
    </row>
    <row r="781" ht="12.75" customHeight="1">
      <c r="A781" s="833">
        <v>57</v>
      </c>
      <c r="B781" t="s" s="834">
        <v>890</v>
      </c>
      <c r="C781" t="s" s="834">
        <v>477</v>
      </c>
      <c r="D781" s="835">
        <v>46041</v>
      </c>
      <c r="E781" t="s" s="834">
        <v>478</v>
      </c>
      <c r="F781" t="s" s="834">
        <v>478</v>
      </c>
      <c r="G781" s="570"/>
      <c r="H781" s="570"/>
      <c r="I781" s="570"/>
      <c r="J781" s="570"/>
      <c r="K781" s="570"/>
    </row>
    <row r="782" ht="12.75" customHeight="1">
      <c r="A782" s="833">
        <v>57</v>
      </c>
      <c r="B782" t="s" s="834">
        <v>890</v>
      </c>
      <c r="C782" t="s" s="834">
        <v>477</v>
      </c>
      <c r="D782" s="835">
        <v>46042</v>
      </c>
      <c r="E782" t="s" s="834">
        <v>478</v>
      </c>
      <c r="F782" t="s" s="834">
        <v>478</v>
      </c>
      <c r="G782" s="570"/>
      <c r="H782" s="570"/>
      <c r="I782" s="570"/>
      <c r="J782" s="570"/>
      <c r="K782" s="570"/>
    </row>
    <row r="783" ht="12.75" customHeight="1">
      <c r="A783" s="833">
        <v>57</v>
      </c>
      <c r="B783" t="s" s="834">
        <v>890</v>
      </c>
      <c r="C783" t="s" s="834">
        <v>477</v>
      </c>
      <c r="D783" s="835">
        <v>46043</v>
      </c>
      <c r="E783" t="s" s="834">
        <v>478</v>
      </c>
      <c r="F783" t="s" s="834">
        <v>478</v>
      </c>
      <c r="G783" s="570"/>
      <c r="H783" s="570"/>
      <c r="I783" s="570"/>
      <c r="J783" s="570"/>
      <c r="K783" s="570"/>
    </row>
    <row r="784" ht="12.75" customHeight="1">
      <c r="A784" s="833">
        <v>57</v>
      </c>
      <c r="B784" t="s" s="834">
        <v>890</v>
      </c>
      <c r="C784" t="s" s="834">
        <v>477</v>
      </c>
      <c r="D784" s="835">
        <v>46044</v>
      </c>
      <c r="E784" t="s" s="834">
        <v>478</v>
      </c>
      <c r="F784" t="s" s="834">
        <v>478</v>
      </c>
      <c r="G784" s="570"/>
      <c r="H784" s="570"/>
      <c r="I784" s="570"/>
      <c r="J784" s="570"/>
      <c r="K784" s="570"/>
    </row>
    <row r="785" ht="12.75" customHeight="1">
      <c r="A785" s="833">
        <v>57</v>
      </c>
      <c r="B785" t="s" s="834">
        <v>890</v>
      </c>
      <c r="C785" t="s" s="834">
        <v>477</v>
      </c>
      <c r="D785" s="835">
        <v>46045</v>
      </c>
      <c r="E785" t="s" s="834">
        <v>478</v>
      </c>
      <c r="F785" t="s" s="834">
        <v>478</v>
      </c>
      <c r="G785" s="570"/>
      <c r="H785" s="570"/>
      <c r="I785" s="570"/>
      <c r="J785" s="570"/>
      <c r="K785" s="570"/>
    </row>
    <row r="786" ht="12.75" customHeight="1">
      <c r="A786" s="833">
        <v>57</v>
      </c>
      <c r="B786" t="s" s="834">
        <v>890</v>
      </c>
      <c r="C786" t="s" s="834">
        <v>477</v>
      </c>
      <c r="D786" s="835">
        <v>46046</v>
      </c>
      <c r="E786" t="s" s="834">
        <v>478</v>
      </c>
      <c r="F786" t="s" s="834">
        <v>478</v>
      </c>
      <c r="G786" s="570"/>
      <c r="H786" s="570"/>
      <c r="I786" s="570"/>
      <c r="J786" s="570"/>
      <c r="K786" s="570"/>
    </row>
    <row r="787" ht="12.75" customHeight="1">
      <c r="A787" s="833">
        <v>57</v>
      </c>
      <c r="B787" t="s" s="834">
        <v>890</v>
      </c>
      <c r="C787" t="s" s="834">
        <v>477</v>
      </c>
      <c r="D787" s="835">
        <v>46047</v>
      </c>
      <c r="E787" t="s" s="834">
        <v>478</v>
      </c>
      <c r="F787" t="s" s="834">
        <v>478</v>
      </c>
      <c r="G787" s="570"/>
      <c r="H787" s="570"/>
      <c r="I787" s="570"/>
      <c r="J787" s="570"/>
      <c r="K787" s="570"/>
    </row>
    <row r="788" ht="12.75" customHeight="1">
      <c r="A788" s="833">
        <v>57</v>
      </c>
      <c r="B788" t="s" s="834">
        <v>890</v>
      </c>
      <c r="C788" t="s" s="834">
        <v>477</v>
      </c>
      <c r="D788" s="835">
        <v>46048</v>
      </c>
      <c r="E788" t="s" s="834">
        <v>478</v>
      </c>
      <c r="F788" t="s" s="834">
        <v>478</v>
      </c>
      <c r="G788" s="570"/>
      <c r="H788" s="570"/>
      <c r="I788" s="570"/>
      <c r="J788" s="570"/>
      <c r="K788" s="570"/>
    </row>
    <row r="789" ht="12.75" customHeight="1">
      <c r="A789" s="833">
        <v>57</v>
      </c>
      <c r="B789" t="s" s="834">
        <v>890</v>
      </c>
      <c r="C789" t="s" s="834">
        <v>477</v>
      </c>
      <c r="D789" s="835">
        <v>46049</v>
      </c>
      <c r="E789" t="s" s="834">
        <v>478</v>
      </c>
      <c r="F789" t="s" s="834">
        <v>478</v>
      </c>
      <c r="G789" s="570"/>
      <c r="H789" s="570"/>
      <c r="I789" s="570"/>
      <c r="J789" s="570"/>
      <c r="K789" s="570"/>
    </row>
    <row r="790" ht="12.75" customHeight="1">
      <c r="A790" s="833">
        <v>57</v>
      </c>
      <c r="B790" t="s" s="834">
        <v>890</v>
      </c>
      <c r="C790" t="s" s="834">
        <v>477</v>
      </c>
      <c r="D790" s="835">
        <v>46050</v>
      </c>
      <c r="E790" t="s" s="834">
        <v>478</v>
      </c>
      <c r="F790" t="s" s="834">
        <v>478</v>
      </c>
      <c r="G790" s="570"/>
      <c r="H790" s="570"/>
      <c r="I790" s="570"/>
      <c r="J790" s="570"/>
      <c r="K790" s="570"/>
    </row>
    <row r="791" ht="12.75" customHeight="1">
      <c r="A791" s="833">
        <v>57</v>
      </c>
      <c r="B791" t="s" s="834">
        <v>890</v>
      </c>
      <c r="C791" t="s" s="834">
        <v>477</v>
      </c>
      <c r="D791" s="835">
        <v>46051</v>
      </c>
      <c r="E791" t="s" s="834">
        <v>478</v>
      </c>
      <c r="F791" t="s" s="834">
        <v>478</v>
      </c>
      <c r="G791" s="570"/>
      <c r="H791" s="570"/>
      <c r="I791" s="570"/>
      <c r="J791" s="570"/>
      <c r="K791" s="570"/>
    </row>
    <row r="792" ht="12.75" customHeight="1">
      <c r="A792" s="833">
        <v>57</v>
      </c>
      <c r="B792" t="s" s="834">
        <v>890</v>
      </c>
      <c r="C792" t="s" s="834">
        <v>477</v>
      </c>
      <c r="D792" s="835">
        <v>46052</v>
      </c>
      <c r="E792" t="s" s="834">
        <v>478</v>
      </c>
      <c r="F792" t="s" s="834">
        <v>478</v>
      </c>
      <c r="G792" s="570"/>
      <c r="H792" s="570"/>
      <c r="I792" s="570"/>
      <c r="J792" s="570"/>
      <c r="K792" s="570"/>
    </row>
    <row r="793" ht="12.75" customHeight="1">
      <c r="A793" s="833">
        <v>57</v>
      </c>
      <c r="B793" t="s" s="834">
        <v>890</v>
      </c>
      <c r="C793" t="s" s="834">
        <v>477</v>
      </c>
      <c r="D793" s="835">
        <v>46053</v>
      </c>
      <c r="E793" t="s" s="834">
        <v>478</v>
      </c>
      <c r="F793" t="s" s="834">
        <v>478</v>
      </c>
      <c r="G793" s="570"/>
      <c r="H793" s="570"/>
      <c r="I793" s="570"/>
      <c r="J793" s="570"/>
      <c r="K793" s="570"/>
    </row>
    <row r="794" ht="12.75" customHeight="1">
      <c r="A794" s="833">
        <v>57</v>
      </c>
      <c r="B794" t="s" s="834">
        <v>890</v>
      </c>
      <c r="C794" t="s" s="834">
        <v>477</v>
      </c>
      <c r="D794" s="835">
        <v>46054</v>
      </c>
      <c r="E794" t="s" s="834">
        <v>478</v>
      </c>
      <c r="F794" t="s" s="834">
        <v>478</v>
      </c>
      <c r="G794" s="570"/>
      <c r="H794" s="570"/>
      <c r="I794" s="570"/>
      <c r="J794" s="570"/>
      <c r="K794" s="570"/>
    </row>
    <row r="795" ht="12.75" customHeight="1">
      <c r="A795" s="833">
        <v>60</v>
      </c>
      <c r="B795" t="s" s="834">
        <v>891</v>
      </c>
      <c r="C795" t="s" s="834">
        <v>892</v>
      </c>
      <c r="D795" s="835">
        <v>46023</v>
      </c>
      <c r="E795" t="s" s="834">
        <v>478</v>
      </c>
      <c r="F795" t="s" s="834">
        <v>478</v>
      </c>
      <c r="G795" s="570"/>
      <c r="H795" s="570"/>
      <c r="I795" s="570"/>
      <c r="J795" s="570"/>
      <c r="K795" s="570"/>
    </row>
    <row r="796" ht="12.75" customHeight="1">
      <c r="A796" s="833">
        <v>60</v>
      </c>
      <c r="B796" t="s" s="834">
        <v>891</v>
      </c>
      <c r="C796" t="s" s="834">
        <v>892</v>
      </c>
      <c r="D796" s="835">
        <v>46024</v>
      </c>
      <c r="E796" t="s" s="834">
        <v>478</v>
      </c>
      <c r="F796" t="s" s="834">
        <v>478</v>
      </c>
      <c r="G796" s="570"/>
      <c r="H796" s="570"/>
      <c r="I796" s="570"/>
      <c r="J796" s="570"/>
      <c r="K796" s="570"/>
    </row>
    <row r="797" ht="12.75" customHeight="1">
      <c r="A797" s="833">
        <v>60</v>
      </c>
      <c r="B797" t="s" s="834">
        <v>891</v>
      </c>
      <c r="C797" t="s" s="834">
        <v>892</v>
      </c>
      <c r="D797" s="835">
        <v>46025</v>
      </c>
      <c r="E797" t="s" s="834">
        <v>478</v>
      </c>
      <c r="F797" t="s" s="834">
        <v>478</v>
      </c>
      <c r="G797" s="570"/>
      <c r="H797" s="570"/>
      <c r="I797" s="570"/>
      <c r="J797" s="570"/>
      <c r="K797" s="570"/>
    </row>
    <row r="798" ht="12.75" customHeight="1">
      <c r="A798" s="833">
        <v>60</v>
      </c>
      <c r="B798" t="s" s="834">
        <v>891</v>
      </c>
      <c r="C798" t="s" s="834">
        <v>892</v>
      </c>
      <c r="D798" s="835">
        <v>46026</v>
      </c>
      <c r="E798" t="s" s="834">
        <v>478</v>
      </c>
      <c r="F798" t="s" s="834">
        <v>478</v>
      </c>
      <c r="G798" s="570"/>
      <c r="H798" s="570"/>
      <c r="I798" s="570"/>
      <c r="J798" s="570"/>
      <c r="K798" s="570"/>
    </row>
    <row r="799" ht="12.75" customHeight="1">
      <c r="A799" s="833">
        <v>60</v>
      </c>
      <c r="B799" t="s" s="834">
        <v>891</v>
      </c>
      <c r="C799" t="s" s="834">
        <v>892</v>
      </c>
      <c r="D799" s="835">
        <v>46027</v>
      </c>
      <c r="E799" s="836">
        <v>1.36650462962963</v>
      </c>
      <c r="F799" s="836">
        <v>1.800509259259259</v>
      </c>
      <c r="G799" s="570"/>
      <c r="H799" s="570"/>
      <c r="I799" s="570"/>
      <c r="J799" s="570"/>
      <c r="K799" s="570"/>
    </row>
    <row r="800" ht="12.75" customHeight="1">
      <c r="A800" t="s" s="834">
        <v>893</v>
      </c>
      <c r="B800" t="s" s="834">
        <v>894</v>
      </c>
      <c r="C800" t="s" s="834">
        <v>895</v>
      </c>
      <c r="D800" s="570"/>
      <c r="E800" s="570"/>
      <c r="F800" s="570"/>
      <c r="G800" s="570"/>
      <c r="H800" s="570"/>
      <c r="I800" s="570"/>
      <c r="J800" s="570"/>
      <c r="K800" s="570"/>
    </row>
    <row r="801" ht="12.75" customHeight="1">
      <c r="A801" s="833">
        <v>60</v>
      </c>
      <c r="B801" t="s" s="834">
        <v>891</v>
      </c>
      <c r="C801" t="s" s="834">
        <v>892</v>
      </c>
      <c r="D801" s="835">
        <v>46028</v>
      </c>
      <c r="E801" s="836">
        <v>1.559606481481481</v>
      </c>
      <c r="F801" s="836">
        <v>1.761886574074074</v>
      </c>
      <c r="G801" s="570"/>
      <c r="H801" s="570"/>
      <c r="I801" s="570"/>
      <c r="J801" s="570"/>
      <c r="K801" s="570"/>
    </row>
    <row r="802" ht="12.75" customHeight="1">
      <c r="A802" t="s" s="834">
        <v>896</v>
      </c>
      <c r="B802" t="s" s="834">
        <v>897</v>
      </c>
      <c r="C802" t="s" s="834">
        <v>898</v>
      </c>
      <c r="D802" s="570"/>
      <c r="E802" s="570"/>
      <c r="F802" s="570"/>
      <c r="G802" s="570"/>
      <c r="H802" s="570"/>
      <c r="I802" s="570"/>
      <c r="J802" s="570"/>
      <c r="K802" s="570"/>
    </row>
    <row r="803" ht="12.75" customHeight="1">
      <c r="A803" s="833">
        <v>60</v>
      </c>
      <c r="B803" t="s" s="834">
        <v>891</v>
      </c>
      <c r="C803" t="s" s="834">
        <v>892</v>
      </c>
      <c r="D803" s="835">
        <v>46029</v>
      </c>
      <c r="E803" s="836">
        <v>1.390150462962963</v>
      </c>
      <c r="F803" s="836">
        <v>1.780300925925926</v>
      </c>
      <c r="G803" s="570"/>
      <c r="H803" s="570"/>
      <c r="I803" s="570"/>
      <c r="J803" s="570"/>
      <c r="K803" s="570"/>
    </row>
    <row r="804" ht="12.75" customHeight="1">
      <c r="A804" t="s" s="834">
        <v>899</v>
      </c>
      <c r="B804" t="s" s="834">
        <v>900</v>
      </c>
      <c r="C804" t="s" s="834">
        <v>901</v>
      </c>
      <c r="D804" s="570"/>
      <c r="E804" s="570"/>
      <c r="F804" s="570"/>
      <c r="G804" s="570"/>
      <c r="H804" s="570"/>
      <c r="I804" s="570"/>
      <c r="J804" s="570"/>
      <c r="K804" s="570"/>
    </row>
    <row r="805" ht="12.75" customHeight="1">
      <c r="A805" s="833">
        <v>60</v>
      </c>
      <c r="B805" t="s" s="834">
        <v>891</v>
      </c>
      <c r="C805" t="s" s="834">
        <v>892</v>
      </c>
      <c r="D805" s="835">
        <v>46030</v>
      </c>
      <c r="E805" s="836">
        <v>1.38931712962963</v>
      </c>
      <c r="F805" s="836">
        <v>1.787430555555555</v>
      </c>
      <c r="G805" s="570"/>
      <c r="H805" s="570"/>
      <c r="I805" s="570"/>
      <c r="J805" s="570"/>
      <c r="K805" s="570"/>
    </row>
    <row r="806" ht="12.75" customHeight="1">
      <c r="A806" t="s" s="834">
        <v>902</v>
      </c>
      <c r="B806" t="s" s="834">
        <v>903</v>
      </c>
      <c r="C806" t="s" s="834">
        <v>688</v>
      </c>
      <c r="D806" s="570"/>
      <c r="E806" s="570"/>
      <c r="F806" s="570"/>
      <c r="G806" s="570"/>
      <c r="H806" s="570"/>
      <c r="I806" s="570"/>
      <c r="J806" s="570"/>
      <c r="K806" s="570"/>
    </row>
    <row r="807" ht="12.75" customHeight="1">
      <c r="A807" s="833">
        <v>60</v>
      </c>
      <c r="B807" t="s" s="834">
        <v>891</v>
      </c>
      <c r="C807" t="s" s="834">
        <v>892</v>
      </c>
      <c r="D807" s="835">
        <v>46031</v>
      </c>
      <c r="E807" s="836">
        <v>1.374212962962963</v>
      </c>
      <c r="F807" s="836">
        <v>1.756840277777778</v>
      </c>
      <c r="G807" s="570"/>
      <c r="H807" s="570"/>
      <c r="I807" s="570"/>
      <c r="J807" s="570"/>
      <c r="K807" s="570"/>
    </row>
    <row r="808" ht="12.75" customHeight="1">
      <c r="A808" t="s" s="834">
        <v>904</v>
      </c>
      <c r="B808" t="s" s="834">
        <v>905</v>
      </c>
      <c r="C808" t="s" s="834">
        <v>540</v>
      </c>
      <c r="D808" s="570"/>
      <c r="E808" s="570"/>
      <c r="F808" s="570"/>
      <c r="G808" s="570"/>
      <c r="H808" s="570"/>
      <c r="I808" s="570"/>
      <c r="J808" s="570"/>
      <c r="K808" s="570"/>
    </row>
    <row r="809" ht="12.75" customHeight="1">
      <c r="A809" s="833">
        <v>60</v>
      </c>
      <c r="B809" t="s" s="834">
        <v>891</v>
      </c>
      <c r="C809" t="s" s="834">
        <v>892</v>
      </c>
      <c r="D809" s="835">
        <v>46032</v>
      </c>
      <c r="E809" s="836">
        <v>1.429699074074074</v>
      </c>
      <c r="F809" s="836">
        <v>1.76650462962963</v>
      </c>
      <c r="G809" s="570"/>
      <c r="H809" s="570"/>
      <c r="I809" s="570"/>
      <c r="J809" s="570"/>
      <c r="K809" s="570"/>
    </row>
    <row r="810" ht="12.75" customHeight="1">
      <c r="A810" t="s" s="834">
        <v>906</v>
      </c>
      <c r="B810" t="s" s="834">
        <v>907</v>
      </c>
      <c r="C810" t="s" s="834">
        <v>908</v>
      </c>
      <c r="D810" s="570"/>
      <c r="E810" s="570"/>
      <c r="F810" s="570"/>
      <c r="G810" s="570"/>
      <c r="H810" s="570"/>
      <c r="I810" s="570"/>
      <c r="J810" s="570"/>
      <c r="K810" s="570"/>
    </row>
    <row r="811" ht="12.75" customHeight="1">
      <c r="A811" s="833">
        <v>60</v>
      </c>
      <c r="B811" t="s" s="834">
        <v>891</v>
      </c>
      <c r="C811" t="s" s="834">
        <v>892</v>
      </c>
      <c r="D811" s="835">
        <v>46033</v>
      </c>
      <c r="E811" t="s" s="834">
        <v>478</v>
      </c>
      <c r="F811" t="s" s="834">
        <v>478</v>
      </c>
      <c r="G811" s="570"/>
      <c r="H811" s="570"/>
      <c r="I811" s="570"/>
      <c r="J811" s="570"/>
      <c r="K811" s="570"/>
    </row>
    <row r="812" ht="12.75" customHeight="1">
      <c r="A812" s="833">
        <v>60</v>
      </c>
      <c r="B812" t="s" s="834">
        <v>891</v>
      </c>
      <c r="C812" t="s" s="834">
        <v>892</v>
      </c>
      <c r="D812" s="835">
        <v>46034</v>
      </c>
      <c r="E812" s="836">
        <v>1.371516203703704</v>
      </c>
      <c r="F812" s="836">
        <v>1.775763888888889</v>
      </c>
      <c r="G812" s="570"/>
      <c r="H812" s="570"/>
      <c r="I812" s="570"/>
      <c r="J812" s="570"/>
      <c r="K812" s="570"/>
    </row>
    <row r="813" ht="12.75" customHeight="1">
      <c r="A813" t="s" s="834">
        <v>909</v>
      </c>
      <c r="B813" t="s" s="834">
        <v>910</v>
      </c>
      <c r="C813" t="s" s="834">
        <v>493</v>
      </c>
      <c r="D813" s="570"/>
      <c r="E813" s="570"/>
      <c r="F813" s="570"/>
      <c r="G813" s="570"/>
      <c r="H813" s="570"/>
      <c r="I813" s="570"/>
      <c r="J813" s="570"/>
      <c r="K813" s="570"/>
    </row>
    <row r="814" ht="12.75" customHeight="1">
      <c r="A814" s="833">
        <v>60</v>
      </c>
      <c r="B814" t="s" s="834">
        <v>891</v>
      </c>
      <c r="C814" t="s" s="834">
        <v>892</v>
      </c>
      <c r="D814" s="835">
        <v>46035</v>
      </c>
      <c r="E814" s="836">
        <v>1.570023148148148</v>
      </c>
      <c r="F814" s="836">
        <v>1.789710648148148</v>
      </c>
      <c r="G814" s="570"/>
      <c r="H814" s="570"/>
      <c r="I814" s="570"/>
      <c r="J814" s="570"/>
      <c r="K814" s="570"/>
    </row>
    <row r="815" ht="12.75" customHeight="1">
      <c r="A815" t="s" s="834">
        <v>911</v>
      </c>
      <c r="B815" t="s" s="834">
        <v>912</v>
      </c>
      <c r="C815" t="s" s="834">
        <v>913</v>
      </c>
      <c r="D815" s="570"/>
      <c r="E815" s="570"/>
      <c r="F815" s="570"/>
      <c r="G815" s="570"/>
      <c r="H815" s="570"/>
      <c r="I815" s="570"/>
      <c r="J815" s="570"/>
      <c r="K815" s="570"/>
    </row>
    <row r="816" ht="12.75" customHeight="1">
      <c r="A816" s="833">
        <v>60</v>
      </c>
      <c r="B816" t="s" s="834">
        <v>891</v>
      </c>
      <c r="C816" t="s" s="834">
        <v>892</v>
      </c>
      <c r="D816" s="835">
        <v>46036</v>
      </c>
      <c r="E816" s="836">
        <v>1.37037037037037</v>
      </c>
      <c r="F816" s="836">
        <v>1.879490740740741</v>
      </c>
      <c r="G816" s="570"/>
      <c r="H816" s="570"/>
      <c r="I816" s="570"/>
      <c r="J816" s="570"/>
      <c r="K816" s="570"/>
    </row>
    <row r="817" ht="12.75" customHeight="1">
      <c r="A817" t="s" s="834">
        <v>914</v>
      </c>
      <c r="B817" t="s" s="834">
        <v>915</v>
      </c>
      <c r="C817" t="s" s="834">
        <v>916</v>
      </c>
      <c r="D817" s="570"/>
      <c r="E817" s="570"/>
      <c r="F817" s="570"/>
      <c r="G817" s="570"/>
      <c r="H817" s="570"/>
      <c r="I817" s="570"/>
      <c r="J817" s="570"/>
      <c r="K817" s="570"/>
    </row>
    <row r="818" ht="12.75" customHeight="1">
      <c r="A818" s="833">
        <v>60</v>
      </c>
      <c r="B818" t="s" s="834">
        <v>891</v>
      </c>
      <c r="C818" t="s" s="834">
        <v>892</v>
      </c>
      <c r="D818" s="835">
        <v>46037</v>
      </c>
      <c r="E818" s="836">
        <v>1.366435185185185</v>
      </c>
      <c r="F818" s="836">
        <v>1.764166666666667</v>
      </c>
      <c r="G818" s="570"/>
      <c r="H818" s="570"/>
      <c r="I818" s="570"/>
      <c r="J818" s="570"/>
      <c r="K818" s="570"/>
    </row>
    <row r="819" ht="12.75" customHeight="1">
      <c r="A819" t="s" s="834">
        <v>917</v>
      </c>
      <c r="B819" t="s" s="834">
        <v>918</v>
      </c>
      <c r="C819" t="s" s="834">
        <v>688</v>
      </c>
      <c r="D819" s="570"/>
      <c r="E819" s="570"/>
      <c r="F819" s="570"/>
      <c r="G819" s="570"/>
      <c r="H819" s="570"/>
      <c r="I819" s="570"/>
      <c r="J819" s="570"/>
      <c r="K819" s="570"/>
    </row>
    <row r="820" ht="12.75" customHeight="1">
      <c r="A820" s="833">
        <v>60</v>
      </c>
      <c r="B820" t="s" s="834">
        <v>891</v>
      </c>
      <c r="C820" t="s" s="834">
        <v>892</v>
      </c>
      <c r="D820" s="835">
        <v>46038</v>
      </c>
      <c r="E820" s="836">
        <v>1.41037037037037</v>
      </c>
      <c r="F820" s="836">
        <v>1.917175925925926</v>
      </c>
      <c r="G820" s="570"/>
      <c r="H820" s="570"/>
      <c r="I820" s="570"/>
      <c r="J820" s="570"/>
      <c r="K820" s="570"/>
    </row>
    <row r="821" ht="12.75" customHeight="1">
      <c r="A821" t="s" s="834">
        <v>919</v>
      </c>
      <c r="B821" t="s" s="834">
        <v>920</v>
      </c>
      <c r="C821" t="s" s="834">
        <v>921</v>
      </c>
      <c r="D821" s="570"/>
      <c r="E821" s="570"/>
      <c r="F821" s="570"/>
      <c r="G821" s="570"/>
      <c r="H821" s="570"/>
      <c r="I821" s="570"/>
      <c r="J821" s="570"/>
      <c r="K821" s="570"/>
    </row>
    <row r="822" ht="12.75" customHeight="1">
      <c r="A822" s="833">
        <v>60</v>
      </c>
      <c r="B822" t="s" s="834">
        <v>891</v>
      </c>
      <c r="C822" t="s" s="834">
        <v>892</v>
      </c>
      <c r="D822" s="835">
        <v>46039</v>
      </c>
      <c r="E822" t="s" s="834">
        <v>478</v>
      </c>
      <c r="F822" t="s" s="834">
        <v>478</v>
      </c>
      <c r="G822" s="570"/>
      <c r="H822" s="570"/>
      <c r="I822" s="570"/>
      <c r="J822" s="570"/>
      <c r="K822" s="570"/>
    </row>
    <row r="823" ht="12.75" customHeight="1">
      <c r="A823" s="833">
        <v>60</v>
      </c>
      <c r="B823" t="s" s="834">
        <v>891</v>
      </c>
      <c r="C823" t="s" s="834">
        <v>892</v>
      </c>
      <c r="D823" s="835">
        <v>46040</v>
      </c>
      <c r="E823" t="s" s="834">
        <v>478</v>
      </c>
      <c r="F823" t="s" s="834">
        <v>478</v>
      </c>
      <c r="G823" s="570"/>
      <c r="H823" s="570"/>
      <c r="I823" s="570"/>
      <c r="J823" s="570"/>
      <c r="K823" s="570"/>
    </row>
    <row r="824" ht="12.75" customHeight="1">
      <c r="A824" s="833">
        <v>60</v>
      </c>
      <c r="B824" t="s" s="834">
        <v>891</v>
      </c>
      <c r="C824" t="s" s="834">
        <v>892</v>
      </c>
      <c r="D824" s="835">
        <v>46041</v>
      </c>
      <c r="E824" s="836">
        <v>1.369212962962963</v>
      </c>
      <c r="F824" s="836">
        <v>1.780219907407407</v>
      </c>
      <c r="G824" s="570"/>
      <c r="H824" s="570"/>
      <c r="I824" s="570"/>
      <c r="J824" s="570"/>
      <c r="K824" s="570"/>
    </row>
    <row r="825" ht="12.75" customHeight="1">
      <c r="A825" t="s" s="834">
        <v>922</v>
      </c>
      <c r="B825" t="s" s="834">
        <v>923</v>
      </c>
      <c r="C825" t="s" s="834">
        <v>850</v>
      </c>
      <c r="D825" s="570"/>
      <c r="E825" s="570"/>
      <c r="F825" s="570"/>
      <c r="G825" s="570"/>
      <c r="H825" s="570"/>
      <c r="I825" s="570"/>
      <c r="J825" s="570"/>
      <c r="K825" s="570"/>
    </row>
    <row r="826" ht="12.75" customHeight="1">
      <c r="A826" s="833">
        <v>60</v>
      </c>
      <c r="B826" t="s" s="834">
        <v>891</v>
      </c>
      <c r="C826" t="s" s="834">
        <v>892</v>
      </c>
      <c r="D826" s="835">
        <v>46042</v>
      </c>
      <c r="E826" s="836">
        <v>1.377835648148148</v>
      </c>
      <c r="F826" s="836">
        <v>1.799814814814815</v>
      </c>
      <c r="G826" s="570"/>
      <c r="H826" s="570"/>
      <c r="I826" s="570"/>
      <c r="J826" s="570"/>
      <c r="K826" s="570"/>
    </row>
    <row r="827" ht="12.75" customHeight="1">
      <c r="A827" t="s" s="834">
        <v>924</v>
      </c>
      <c r="B827" t="s" s="834">
        <v>925</v>
      </c>
      <c r="C827" t="s" s="834">
        <v>926</v>
      </c>
      <c r="D827" s="570"/>
      <c r="E827" s="570"/>
      <c r="F827" s="570"/>
      <c r="G827" s="570"/>
      <c r="H827" s="570"/>
      <c r="I827" s="570"/>
      <c r="J827" s="570"/>
      <c r="K827" s="570"/>
    </row>
    <row r="828" ht="12.75" customHeight="1">
      <c r="A828" s="833">
        <v>60</v>
      </c>
      <c r="B828" t="s" s="834">
        <v>891</v>
      </c>
      <c r="C828" t="s" s="834">
        <v>892</v>
      </c>
      <c r="D828" s="835">
        <v>46043</v>
      </c>
      <c r="E828" s="836">
        <v>1.378252314814815</v>
      </c>
      <c r="F828" s="836">
        <v>1.80806712962963</v>
      </c>
      <c r="G828" s="570"/>
      <c r="H828" s="570"/>
      <c r="I828" s="570"/>
      <c r="J828" s="570"/>
      <c r="K828" s="570"/>
    </row>
    <row r="829" ht="12.75" customHeight="1">
      <c r="A829" t="s" s="834">
        <v>927</v>
      </c>
      <c r="B829" t="s" s="834">
        <v>928</v>
      </c>
      <c r="C829" t="s" s="834">
        <v>509</v>
      </c>
      <c r="D829" s="570"/>
      <c r="E829" s="570"/>
      <c r="F829" s="570"/>
      <c r="G829" s="570"/>
      <c r="H829" s="570"/>
      <c r="I829" s="570"/>
      <c r="J829" s="570"/>
      <c r="K829" s="570"/>
    </row>
    <row r="830" ht="12.75" customHeight="1">
      <c r="A830" s="833">
        <v>60</v>
      </c>
      <c r="B830" t="s" s="834">
        <v>891</v>
      </c>
      <c r="C830" t="s" s="834">
        <v>892</v>
      </c>
      <c r="D830" s="835">
        <v>46044</v>
      </c>
      <c r="E830" s="836">
        <v>1.375752314814815</v>
      </c>
      <c r="F830" s="836">
        <v>1.774131944444445</v>
      </c>
      <c r="G830" s="570"/>
      <c r="H830" s="570"/>
      <c r="I830" s="570"/>
      <c r="J830" s="570"/>
      <c r="K830" s="570"/>
    </row>
    <row r="831" ht="12.75" customHeight="1">
      <c r="A831" t="s" s="834">
        <v>929</v>
      </c>
      <c r="B831" t="s" s="834">
        <v>930</v>
      </c>
      <c r="C831" t="s" s="834">
        <v>611</v>
      </c>
      <c r="D831" s="570"/>
      <c r="E831" s="570"/>
      <c r="F831" s="570"/>
      <c r="G831" s="570"/>
      <c r="H831" s="570"/>
      <c r="I831" s="570"/>
      <c r="J831" s="570"/>
      <c r="K831" s="570"/>
    </row>
    <row r="832" ht="12.75" customHeight="1">
      <c r="A832" s="833">
        <v>60</v>
      </c>
      <c r="B832" t="s" s="834">
        <v>891</v>
      </c>
      <c r="C832" t="s" s="834">
        <v>892</v>
      </c>
      <c r="D832" s="835">
        <v>46045</v>
      </c>
      <c r="E832" s="836">
        <v>1.394537037037037</v>
      </c>
      <c r="F832" s="836">
        <v>1.7821875</v>
      </c>
      <c r="G832" s="570"/>
      <c r="H832" s="570"/>
      <c r="I832" s="570"/>
      <c r="J832" s="570"/>
      <c r="K832" s="570"/>
    </row>
    <row r="833" ht="12.75" customHeight="1">
      <c r="A833" t="s" s="834">
        <v>931</v>
      </c>
      <c r="B833" t="s" s="834">
        <v>932</v>
      </c>
      <c r="C833" t="s" s="834">
        <v>640</v>
      </c>
      <c r="D833" s="570"/>
      <c r="E833" s="570"/>
      <c r="F833" s="570"/>
      <c r="G833" s="570"/>
      <c r="H833" s="570"/>
      <c r="I833" s="570"/>
      <c r="J833" s="570"/>
      <c r="K833" s="570"/>
    </row>
    <row r="834" ht="12.75" customHeight="1">
      <c r="A834" s="833">
        <v>60</v>
      </c>
      <c r="B834" t="s" s="834">
        <v>891</v>
      </c>
      <c r="C834" t="s" s="834">
        <v>892</v>
      </c>
      <c r="D834" s="835">
        <v>46046</v>
      </c>
      <c r="E834" t="s" s="834">
        <v>478</v>
      </c>
      <c r="F834" t="s" s="834">
        <v>478</v>
      </c>
      <c r="G834" s="570"/>
      <c r="H834" s="570"/>
      <c r="I834" s="570"/>
      <c r="J834" s="570"/>
      <c r="K834" s="570"/>
    </row>
    <row r="835" ht="12.75" customHeight="1">
      <c r="A835" s="833">
        <v>60</v>
      </c>
      <c r="B835" t="s" s="834">
        <v>891</v>
      </c>
      <c r="C835" t="s" s="834">
        <v>892</v>
      </c>
      <c r="D835" s="835">
        <v>46047</v>
      </c>
      <c r="E835" t="s" s="834">
        <v>478</v>
      </c>
      <c r="F835" t="s" s="834">
        <v>478</v>
      </c>
      <c r="G835" s="570"/>
      <c r="H835" s="570"/>
      <c r="I835" s="570"/>
      <c r="J835" s="570"/>
      <c r="K835" s="570"/>
    </row>
    <row r="836" ht="12.75" customHeight="1">
      <c r="A836" s="833">
        <v>60</v>
      </c>
      <c r="B836" t="s" s="834">
        <v>891</v>
      </c>
      <c r="C836" t="s" s="834">
        <v>892</v>
      </c>
      <c r="D836" s="835">
        <v>46048</v>
      </c>
      <c r="E836" s="836">
        <v>1.407222222222222</v>
      </c>
      <c r="F836" s="836">
        <v>1.87068287037037</v>
      </c>
      <c r="G836" s="570"/>
      <c r="H836" s="570"/>
      <c r="I836" s="570"/>
      <c r="J836" s="570"/>
      <c r="K836" s="570"/>
    </row>
    <row r="837" ht="12.75" customHeight="1">
      <c r="A837" t="s" s="834">
        <v>933</v>
      </c>
      <c r="B837" t="s" s="834">
        <v>934</v>
      </c>
      <c r="C837" t="s" s="834">
        <v>935</v>
      </c>
      <c r="D837" s="570"/>
      <c r="E837" s="570"/>
      <c r="F837" s="570"/>
      <c r="G837" s="570"/>
      <c r="H837" s="570"/>
      <c r="I837" s="570"/>
      <c r="J837" s="570"/>
      <c r="K837" s="570"/>
    </row>
    <row r="838" ht="12.75" customHeight="1">
      <c r="A838" s="833">
        <v>60</v>
      </c>
      <c r="B838" t="s" s="834">
        <v>891</v>
      </c>
      <c r="C838" t="s" s="834">
        <v>892</v>
      </c>
      <c r="D838" s="835">
        <v>46049</v>
      </c>
      <c r="E838" s="836">
        <v>1.561226851851852</v>
      </c>
      <c r="F838" s="836">
        <v>1.766770833333333</v>
      </c>
      <c r="G838" s="570"/>
      <c r="H838" s="570"/>
      <c r="I838" s="570"/>
      <c r="J838" s="570"/>
      <c r="K838" s="570"/>
    </row>
    <row r="839" ht="12.75" customHeight="1">
      <c r="A839" t="s" s="834">
        <v>936</v>
      </c>
      <c r="B839" t="s" s="834">
        <v>937</v>
      </c>
      <c r="C839" t="s" s="834">
        <v>938</v>
      </c>
      <c r="D839" s="570"/>
      <c r="E839" s="570"/>
      <c r="F839" s="570"/>
      <c r="G839" s="570"/>
      <c r="H839" s="570"/>
      <c r="I839" s="570"/>
      <c r="J839" s="570"/>
      <c r="K839" s="570"/>
    </row>
    <row r="840" ht="12.75" customHeight="1">
      <c r="A840" s="833">
        <v>60</v>
      </c>
      <c r="B840" t="s" s="834">
        <v>891</v>
      </c>
      <c r="C840" t="s" s="834">
        <v>892</v>
      </c>
      <c r="D840" s="835">
        <v>46050</v>
      </c>
      <c r="E840" s="836">
        <v>1.394849537037037</v>
      </c>
      <c r="F840" s="836">
        <v>1.772175925925926</v>
      </c>
      <c r="G840" s="570"/>
      <c r="H840" s="570"/>
      <c r="I840" s="570"/>
      <c r="J840" s="570"/>
      <c r="K840" s="570"/>
    </row>
    <row r="841" ht="12.75" customHeight="1">
      <c r="A841" t="s" s="834">
        <v>939</v>
      </c>
      <c r="B841" t="s" s="834">
        <v>940</v>
      </c>
      <c r="C841" t="s" s="834">
        <v>846</v>
      </c>
      <c r="D841" s="570"/>
      <c r="E841" s="570"/>
      <c r="F841" s="570"/>
      <c r="G841" s="570"/>
      <c r="H841" s="570"/>
      <c r="I841" s="570"/>
      <c r="J841" s="570"/>
      <c r="K841" s="570"/>
    </row>
    <row r="842" ht="12.75" customHeight="1">
      <c r="A842" s="833">
        <v>60</v>
      </c>
      <c r="B842" t="s" s="834">
        <v>891</v>
      </c>
      <c r="C842" t="s" s="834">
        <v>892</v>
      </c>
      <c r="D842" s="835">
        <v>46051</v>
      </c>
      <c r="E842" s="836">
        <v>1.380601851851852</v>
      </c>
      <c r="F842" s="836">
        <v>1.779016203703704</v>
      </c>
      <c r="G842" s="570"/>
      <c r="H842" s="570"/>
      <c r="I842" s="570"/>
      <c r="J842" s="570"/>
      <c r="K842" s="570"/>
    </row>
    <row r="843" ht="12.75" customHeight="1">
      <c r="A843" t="s" s="834">
        <v>941</v>
      </c>
      <c r="B843" t="s" s="834">
        <v>942</v>
      </c>
      <c r="C843" t="s" s="834">
        <v>611</v>
      </c>
      <c r="D843" s="570"/>
      <c r="E843" s="570"/>
      <c r="F843" s="570"/>
      <c r="G843" s="570"/>
      <c r="H843" s="570"/>
      <c r="I843" s="570"/>
      <c r="J843" s="570"/>
      <c r="K843" s="570"/>
    </row>
    <row r="844" ht="12.75" customHeight="1">
      <c r="A844" s="833">
        <v>60</v>
      </c>
      <c r="B844" t="s" s="834">
        <v>891</v>
      </c>
      <c r="C844" t="s" s="834">
        <v>892</v>
      </c>
      <c r="D844" s="835">
        <v>46052</v>
      </c>
      <c r="E844" s="836">
        <v>1.419664351851852</v>
      </c>
      <c r="F844" s="836">
        <v>1.784814814814815</v>
      </c>
      <c r="G844" s="570"/>
      <c r="H844" s="570"/>
      <c r="I844" s="570"/>
      <c r="J844" s="570"/>
      <c r="K844" s="570"/>
    </row>
    <row r="845" ht="12.75" customHeight="1">
      <c r="A845" t="s" s="834">
        <v>943</v>
      </c>
      <c r="B845" t="s" s="834">
        <v>944</v>
      </c>
      <c r="C845" t="s" s="834">
        <v>945</v>
      </c>
      <c r="D845" s="570"/>
      <c r="E845" s="570"/>
      <c r="F845" s="570"/>
      <c r="G845" s="570"/>
      <c r="H845" s="570"/>
      <c r="I845" s="570"/>
      <c r="J845" s="570"/>
      <c r="K845" s="570"/>
    </row>
    <row r="846" ht="12.75" customHeight="1">
      <c r="A846" s="833">
        <v>60</v>
      </c>
      <c r="B846" t="s" s="834">
        <v>891</v>
      </c>
      <c r="C846" t="s" s="834">
        <v>892</v>
      </c>
      <c r="D846" s="835">
        <v>46053</v>
      </c>
      <c r="E846" t="s" s="834">
        <v>478</v>
      </c>
      <c r="F846" t="s" s="834">
        <v>478</v>
      </c>
      <c r="G846" s="570"/>
      <c r="H846" s="570"/>
      <c r="I846" s="570"/>
      <c r="J846" s="570"/>
      <c r="K846" s="570"/>
    </row>
    <row r="847" ht="12.75" customHeight="1">
      <c r="A847" s="833">
        <v>60</v>
      </c>
      <c r="B847" t="s" s="834">
        <v>891</v>
      </c>
      <c r="C847" t="s" s="834">
        <v>892</v>
      </c>
      <c r="D847" s="835">
        <v>46054</v>
      </c>
      <c r="E847" t="s" s="834">
        <v>478</v>
      </c>
      <c r="F847" t="s" s="834">
        <v>478</v>
      </c>
      <c r="G847" s="570"/>
      <c r="H847" s="570"/>
      <c r="I847" s="570"/>
      <c r="J847" s="570"/>
      <c r="K847" s="570"/>
    </row>
    <row r="848" ht="12.75" customHeight="1">
      <c r="A848" s="833">
        <v>62</v>
      </c>
      <c r="B848" t="s" s="834">
        <v>946</v>
      </c>
      <c r="C848" t="s" s="834">
        <v>477</v>
      </c>
      <c r="D848" s="835">
        <v>46023</v>
      </c>
      <c r="E848" t="s" s="834">
        <v>478</v>
      </c>
      <c r="F848" t="s" s="834">
        <v>478</v>
      </c>
      <c r="G848" s="570"/>
      <c r="H848" s="570"/>
      <c r="I848" s="570"/>
      <c r="J848" s="570"/>
      <c r="K848" s="570"/>
    </row>
    <row r="849" ht="12.75" customHeight="1">
      <c r="A849" s="833">
        <v>62</v>
      </c>
      <c r="B849" t="s" s="834">
        <v>946</v>
      </c>
      <c r="C849" t="s" s="834">
        <v>477</v>
      </c>
      <c r="D849" s="835">
        <v>46024</v>
      </c>
      <c r="E849" t="s" s="834">
        <v>478</v>
      </c>
      <c r="F849" t="s" s="834">
        <v>478</v>
      </c>
      <c r="G849" s="570"/>
      <c r="H849" s="570"/>
      <c r="I849" s="570"/>
      <c r="J849" s="570"/>
      <c r="K849" s="570"/>
    </row>
    <row r="850" ht="12.75" customHeight="1">
      <c r="A850" s="833">
        <v>62</v>
      </c>
      <c r="B850" t="s" s="834">
        <v>946</v>
      </c>
      <c r="C850" t="s" s="834">
        <v>477</v>
      </c>
      <c r="D850" s="835">
        <v>46025</v>
      </c>
      <c r="E850" t="s" s="834">
        <v>478</v>
      </c>
      <c r="F850" t="s" s="834">
        <v>478</v>
      </c>
      <c r="G850" s="570"/>
      <c r="H850" s="570"/>
      <c r="I850" s="570"/>
      <c r="J850" s="570"/>
      <c r="K850" s="570"/>
    </row>
    <row r="851" ht="12.75" customHeight="1">
      <c r="A851" s="833">
        <v>62</v>
      </c>
      <c r="B851" t="s" s="834">
        <v>946</v>
      </c>
      <c r="C851" t="s" s="834">
        <v>477</v>
      </c>
      <c r="D851" s="835">
        <v>46026</v>
      </c>
      <c r="E851" t="s" s="834">
        <v>478</v>
      </c>
      <c r="F851" t="s" s="834">
        <v>478</v>
      </c>
      <c r="G851" s="570"/>
      <c r="H851" s="570"/>
      <c r="I851" s="570"/>
      <c r="J851" s="570"/>
      <c r="K851" s="570"/>
    </row>
    <row r="852" ht="12.75" customHeight="1">
      <c r="A852" s="833">
        <v>62</v>
      </c>
      <c r="B852" t="s" s="834">
        <v>946</v>
      </c>
      <c r="C852" t="s" s="834">
        <v>477</v>
      </c>
      <c r="D852" s="835">
        <v>46027</v>
      </c>
      <c r="E852" t="s" s="834">
        <v>478</v>
      </c>
      <c r="F852" t="s" s="834">
        <v>478</v>
      </c>
      <c r="G852" s="570"/>
      <c r="H852" s="570"/>
      <c r="I852" s="570"/>
      <c r="J852" s="570"/>
      <c r="K852" s="570"/>
    </row>
    <row r="853" ht="12.75" customHeight="1">
      <c r="A853" s="833">
        <v>62</v>
      </c>
      <c r="B853" t="s" s="834">
        <v>946</v>
      </c>
      <c r="C853" t="s" s="834">
        <v>477</v>
      </c>
      <c r="D853" s="835">
        <v>46028</v>
      </c>
      <c r="E853" s="836">
        <v>1.415324074074074</v>
      </c>
      <c r="F853" t="s" s="834">
        <v>478</v>
      </c>
      <c r="G853" s="570"/>
      <c r="H853" s="570"/>
      <c r="I853" s="570"/>
      <c r="J853" s="570"/>
      <c r="K853" s="570"/>
    </row>
    <row r="854" ht="12.75" customHeight="1">
      <c r="A854" t="s" s="834">
        <v>947</v>
      </c>
      <c r="B854" t="s" s="834">
        <v>485</v>
      </c>
      <c r="C854" t="s" s="834">
        <v>486</v>
      </c>
      <c r="D854" s="570"/>
      <c r="E854" s="570"/>
      <c r="F854" s="570"/>
      <c r="G854" s="570"/>
      <c r="H854" s="570"/>
      <c r="I854" s="570"/>
      <c r="J854" s="570"/>
      <c r="K854" s="570"/>
    </row>
    <row r="855" ht="12.75" customHeight="1">
      <c r="A855" s="833">
        <v>62</v>
      </c>
      <c r="B855" t="s" s="834">
        <v>946</v>
      </c>
      <c r="C855" t="s" s="834">
        <v>477</v>
      </c>
      <c r="D855" s="835">
        <v>46029</v>
      </c>
      <c r="E855" s="836">
        <v>1.500717592592593</v>
      </c>
      <c r="F855" t="s" s="834">
        <v>478</v>
      </c>
      <c r="G855" s="570"/>
      <c r="H855" s="570"/>
      <c r="I855" s="570"/>
      <c r="J855" s="570"/>
      <c r="K855" s="570"/>
    </row>
    <row r="856" ht="12.75" customHeight="1">
      <c r="A856" t="s" s="834">
        <v>948</v>
      </c>
      <c r="B856" t="s" s="834">
        <v>485</v>
      </c>
      <c r="C856" t="s" s="834">
        <v>486</v>
      </c>
      <c r="D856" s="570"/>
      <c r="E856" s="570"/>
      <c r="F856" s="570"/>
      <c r="G856" s="570"/>
      <c r="H856" s="570"/>
      <c r="I856" s="570"/>
      <c r="J856" s="570"/>
      <c r="K856" s="570"/>
    </row>
    <row r="857" ht="12.75" customHeight="1">
      <c r="A857" s="833">
        <v>62</v>
      </c>
      <c r="B857" t="s" s="834">
        <v>946</v>
      </c>
      <c r="C857" t="s" s="834">
        <v>477</v>
      </c>
      <c r="D857" s="835">
        <v>46030</v>
      </c>
      <c r="E857" t="s" s="834">
        <v>478</v>
      </c>
      <c r="F857" t="s" s="834">
        <v>478</v>
      </c>
      <c r="G857" s="570"/>
      <c r="H857" s="570"/>
      <c r="I857" s="570"/>
      <c r="J857" s="570"/>
      <c r="K857" s="570"/>
    </row>
    <row r="858" ht="12.75" customHeight="1">
      <c r="A858" s="833">
        <v>62</v>
      </c>
      <c r="B858" t="s" s="834">
        <v>946</v>
      </c>
      <c r="C858" t="s" s="834">
        <v>477</v>
      </c>
      <c r="D858" s="835">
        <v>46031</v>
      </c>
      <c r="E858" t="s" s="834">
        <v>478</v>
      </c>
      <c r="F858" t="s" s="834">
        <v>478</v>
      </c>
      <c r="G858" s="570"/>
      <c r="H858" s="570"/>
      <c r="I858" s="570"/>
      <c r="J858" s="570"/>
      <c r="K858" s="570"/>
    </row>
    <row r="859" ht="12.75" customHeight="1">
      <c r="A859" s="833">
        <v>62</v>
      </c>
      <c r="B859" t="s" s="834">
        <v>946</v>
      </c>
      <c r="C859" t="s" s="834">
        <v>477</v>
      </c>
      <c r="D859" s="835">
        <v>46032</v>
      </c>
      <c r="E859" t="s" s="834">
        <v>478</v>
      </c>
      <c r="F859" t="s" s="834">
        <v>478</v>
      </c>
      <c r="G859" s="570"/>
      <c r="H859" s="570"/>
      <c r="I859" s="570"/>
      <c r="J859" s="570"/>
      <c r="K859" s="570"/>
    </row>
    <row r="860" ht="12.75" customHeight="1">
      <c r="A860" s="833">
        <v>62</v>
      </c>
      <c r="B860" t="s" s="834">
        <v>946</v>
      </c>
      <c r="C860" t="s" s="834">
        <v>477</v>
      </c>
      <c r="D860" s="835">
        <v>46033</v>
      </c>
      <c r="E860" t="s" s="834">
        <v>478</v>
      </c>
      <c r="F860" t="s" s="834">
        <v>478</v>
      </c>
      <c r="G860" s="570"/>
      <c r="H860" s="570"/>
      <c r="I860" s="570"/>
      <c r="J860" s="570"/>
      <c r="K860" s="570"/>
    </row>
    <row r="861" ht="12.75" customHeight="1">
      <c r="A861" s="833">
        <v>62</v>
      </c>
      <c r="B861" t="s" s="834">
        <v>946</v>
      </c>
      <c r="C861" t="s" s="834">
        <v>477</v>
      </c>
      <c r="D861" s="835">
        <v>46034</v>
      </c>
      <c r="E861" t="s" s="834">
        <v>478</v>
      </c>
      <c r="F861" t="s" s="834">
        <v>478</v>
      </c>
      <c r="G861" s="570"/>
      <c r="H861" s="570"/>
      <c r="I861" s="570"/>
      <c r="J861" s="570"/>
      <c r="K861" s="570"/>
    </row>
    <row r="862" ht="12.75" customHeight="1">
      <c r="A862" s="833">
        <v>62</v>
      </c>
      <c r="B862" t="s" s="834">
        <v>946</v>
      </c>
      <c r="C862" t="s" s="834">
        <v>477</v>
      </c>
      <c r="D862" s="835">
        <v>46035</v>
      </c>
      <c r="E862" s="836">
        <v>1.453148148148148</v>
      </c>
      <c r="F862" s="836">
        <v>1.761608796296296</v>
      </c>
      <c r="G862" s="570"/>
      <c r="H862" s="570"/>
      <c r="I862" s="570"/>
      <c r="J862" s="570"/>
      <c r="K862" s="570"/>
    </row>
    <row r="863" ht="12.75" customHeight="1">
      <c r="A863" t="s" s="834">
        <v>949</v>
      </c>
      <c r="B863" t="s" s="834">
        <v>950</v>
      </c>
      <c r="C863" t="s" s="834">
        <v>951</v>
      </c>
      <c r="D863" s="570"/>
      <c r="E863" s="570"/>
      <c r="F863" s="570"/>
      <c r="G863" s="570"/>
      <c r="H863" s="570"/>
      <c r="I863" s="570"/>
      <c r="J863" s="570"/>
      <c r="K863" s="570"/>
    </row>
    <row r="864" ht="12.75" customHeight="1">
      <c r="A864" s="833">
        <v>62</v>
      </c>
      <c r="B864" t="s" s="834">
        <v>946</v>
      </c>
      <c r="C864" t="s" s="834">
        <v>477</v>
      </c>
      <c r="D864" s="835">
        <v>46036</v>
      </c>
      <c r="E864" t="s" s="834">
        <v>478</v>
      </c>
      <c r="F864" t="s" s="834">
        <v>478</v>
      </c>
      <c r="G864" s="570"/>
      <c r="H864" s="570"/>
      <c r="I864" s="570"/>
      <c r="J864" s="570"/>
      <c r="K864" s="570"/>
    </row>
    <row r="865" ht="12.75" customHeight="1">
      <c r="A865" s="833">
        <v>62</v>
      </c>
      <c r="B865" t="s" s="834">
        <v>946</v>
      </c>
      <c r="C865" t="s" s="834">
        <v>477</v>
      </c>
      <c r="D865" s="835">
        <v>46037</v>
      </c>
      <c r="E865" t="s" s="834">
        <v>478</v>
      </c>
      <c r="F865" t="s" s="834">
        <v>478</v>
      </c>
      <c r="G865" s="570"/>
      <c r="H865" s="570"/>
      <c r="I865" s="570"/>
      <c r="J865" s="570"/>
      <c r="K865" s="570"/>
    </row>
    <row r="866" ht="12.75" customHeight="1">
      <c r="A866" s="833">
        <v>62</v>
      </c>
      <c r="B866" t="s" s="834">
        <v>946</v>
      </c>
      <c r="C866" t="s" s="834">
        <v>477</v>
      </c>
      <c r="D866" s="835">
        <v>46038</v>
      </c>
      <c r="E866" t="s" s="834">
        <v>478</v>
      </c>
      <c r="F866" t="s" s="834">
        <v>478</v>
      </c>
      <c r="G866" s="570"/>
      <c r="H866" s="570"/>
      <c r="I866" s="570"/>
      <c r="J866" s="570"/>
      <c r="K866" s="570"/>
    </row>
    <row r="867" ht="12.75" customHeight="1">
      <c r="A867" s="833">
        <v>62</v>
      </c>
      <c r="B867" t="s" s="834">
        <v>946</v>
      </c>
      <c r="C867" t="s" s="834">
        <v>477</v>
      </c>
      <c r="D867" s="835">
        <v>46039</v>
      </c>
      <c r="E867" t="s" s="834">
        <v>478</v>
      </c>
      <c r="F867" t="s" s="834">
        <v>478</v>
      </c>
      <c r="G867" s="570"/>
      <c r="H867" s="570"/>
      <c r="I867" s="570"/>
      <c r="J867" s="570"/>
      <c r="K867" s="570"/>
    </row>
    <row r="868" ht="12.75" customHeight="1">
      <c r="A868" s="833">
        <v>62</v>
      </c>
      <c r="B868" t="s" s="834">
        <v>946</v>
      </c>
      <c r="C868" t="s" s="834">
        <v>477</v>
      </c>
      <c r="D868" s="835">
        <v>46040</v>
      </c>
      <c r="E868" t="s" s="834">
        <v>478</v>
      </c>
      <c r="F868" t="s" s="834">
        <v>478</v>
      </c>
      <c r="G868" s="570"/>
      <c r="H868" s="570"/>
      <c r="I868" s="570"/>
      <c r="J868" s="570"/>
      <c r="K868" s="570"/>
    </row>
    <row r="869" ht="12.75" customHeight="1">
      <c r="A869" s="833">
        <v>62</v>
      </c>
      <c r="B869" t="s" s="834">
        <v>946</v>
      </c>
      <c r="C869" t="s" s="834">
        <v>477</v>
      </c>
      <c r="D869" s="835">
        <v>46041</v>
      </c>
      <c r="E869" s="836">
        <v>1.752870370370371</v>
      </c>
      <c r="F869" t="s" s="834">
        <v>478</v>
      </c>
      <c r="G869" s="570"/>
      <c r="H869" s="570"/>
      <c r="I869" s="570"/>
      <c r="J869" s="570"/>
      <c r="K869" s="570"/>
    </row>
    <row r="870" ht="12.75" customHeight="1">
      <c r="A870" t="s" s="834">
        <v>952</v>
      </c>
      <c r="B870" t="s" s="834">
        <v>485</v>
      </c>
      <c r="C870" t="s" s="834">
        <v>486</v>
      </c>
      <c r="D870" s="570"/>
      <c r="E870" s="570"/>
      <c r="F870" s="570"/>
      <c r="G870" s="570"/>
      <c r="H870" s="570"/>
      <c r="I870" s="570"/>
      <c r="J870" s="570"/>
      <c r="K870" s="570"/>
    </row>
    <row r="871" ht="12.75" customHeight="1">
      <c r="A871" s="833">
        <v>62</v>
      </c>
      <c r="B871" t="s" s="834">
        <v>946</v>
      </c>
      <c r="C871" t="s" s="834">
        <v>477</v>
      </c>
      <c r="D871" s="835">
        <v>46042</v>
      </c>
      <c r="E871" t="s" s="834">
        <v>478</v>
      </c>
      <c r="F871" t="s" s="834">
        <v>478</v>
      </c>
      <c r="G871" s="570"/>
      <c r="H871" s="570"/>
      <c r="I871" s="570"/>
      <c r="J871" s="570"/>
      <c r="K871" s="570"/>
    </row>
    <row r="872" ht="12.75" customHeight="1">
      <c r="A872" s="833">
        <v>62</v>
      </c>
      <c r="B872" t="s" s="834">
        <v>946</v>
      </c>
      <c r="C872" t="s" s="834">
        <v>477</v>
      </c>
      <c r="D872" s="835">
        <v>46043</v>
      </c>
      <c r="E872" s="836">
        <v>1.766678240740741</v>
      </c>
      <c r="F872" t="s" s="834">
        <v>478</v>
      </c>
      <c r="G872" s="570"/>
      <c r="H872" s="570"/>
      <c r="I872" s="570"/>
      <c r="J872" s="570"/>
      <c r="K872" s="570"/>
    </row>
    <row r="873" ht="12.75" customHeight="1">
      <c r="A873" t="s" s="834">
        <v>953</v>
      </c>
      <c r="B873" t="s" s="834">
        <v>485</v>
      </c>
      <c r="C873" t="s" s="834">
        <v>486</v>
      </c>
      <c r="D873" s="570"/>
      <c r="E873" s="570"/>
      <c r="F873" s="570"/>
      <c r="G873" s="570"/>
      <c r="H873" s="570"/>
      <c r="I873" s="570"/>
      <c r="J873" s="570"/>
      <c r="K873" s="570"/>
    </row>
    <row r="874" ht="12.75" customHeight="1">
      <c r="A874" s="833">
        <v>62</v>
      </c>
      <c r="B874" t="s" s="834">
        <v>946</v>
      </c>
      <c r="C874" t="s" s="834">
        <v>477</v>
      </c>
      <c r="D874" s="835">
        <v>46044</v>
      </c>
      <c r="E874" t="s" s="834">
        <v>478</v>
      </c>
      <c r="F874" t="s" s="834">
        <v>478</v>
      </c>
      <c r="G874" s="570"/>
      <c r="H874" s="570"/>
      <c r="I874" s="570"/>
      <c r="J874" s="570"/>
      <c r="K874" s="570"/>
    </row>
    <row r="875" ht="12.75" customHeight="1">
      <c r="A875" s="833">
        <v>62</v>
      </c>
      <c r="B875" t="s" s="834">
        <v>946</v>
      </c>
      <c r="C875" t="s" s="834">
        <v>477</v>
      </c>
      <c r="D875" s="835">
        <v>46045</v>
      </c>
      <c r="E875" t="s" s="834">
        <v>478</v>
      </c>
      <c r="F875" t="s" s="834">
        <v>478</v>
      </c>
      <c r="G875" s="570"/>
      <c r="H875" s="570"/>
      <c r="I875" s="570"/>
      <c r="J875" s="570"/>
      <c r="K875" s="570"/>
    </row>
    <row r="876" ht="12.75" customHeight="1">
      <c r="A876" s="833">
        <v>62</v>
      </c>
      <c r="B876" t="s" s="834">
        <v>946</v>
      </c>
      <c r="C876" t="s" s="834">
        <v>477</v>
      </c>
      <c r="D876" s="835">
        <v>46046</v>
      </c>
      <c r="E876" t="s" s="834">
        <v>478</v>
      </c>
      <c r="F876" t="s" s="834">
        <v>478</v>
      </c>
      <c r="G876" s="570"/>
      <c r="H876" s="570"/>
      <c r="I876" s="570"/>
      <c r="J876" s="570"/>
      <c r="K876" s="570"/>
    </row>
    <row r="877" ht="12.75" customHeight="1">
      <c r="A877" s="833">
        <v>62</v>
      </c>
      <c r="B877" t="s" s="834">
        <v>946</v>
      </c>
      <c r="C877" t="s" s="834">
        <v>477</v>
      </c>
      <c r="D877" s="835">
        <v>46047</v>
      </c>
      <c r="E877" s="836">
        <v>1.348391203703704</v>
      </c>
      <c r="F877" t="s" s="834">
        <v>478</v>
      </c>
      <c r="G877" s="570"/>
      <c r="H877" s="570"/>
      <c r="I877" s="570"/>
      <c r="J877" s="570"/>
      <c r="K877" s="570"/>
    </row>
    <row r="878" ht="12.75" customHeight="1">
      <c r="A878" t="s" s="834">
        <v>954</v>
      </c>
      <c r="B878" t="s" s="834">
        <v>485</v>
      </c>
      <c r="C878" t="s" s="834">
        <v>486</v>
      </c>
      <c r="D878" s="570"/>
      <c r="E878" s="570"/>
      <c r="F878" s="570"/>
      <c r="G878" s="570"/>
      <c r="H878" s="570"/>
      <c r="I878" s="570"/>
      <c r="J878" s="570"/>
      <c r="K878" s="570"/>
    </row>
    <row r="879" ht="12.75" customHeight="1">
      <c r="A879" s="833">
        <v>62</v>
      </c>
      <c r="B879" t="s" s="834">
        <v>946</v>
      </c>
      <c r="C879" t="s" s="834">
        <v>477</v>
      </c>
      <c r="D879" s="835">
        <v>46048</v>
      </c>
      <c r="E879" t="s" s="834">
        <v>478</v>
      </c>
      <c r="F879" t="s" s="834">
        <v>478</v>
      </c>
      <c r="G879" s="570"/>
      <c r="H879" s="570"/>
      <c r="I879" s="570"/>
      <c r="J879" s="570"/>
      <c r="K879" s="570"/>
    </row>
    <row r="880" ht="12.75" customHeight="1">
      <c r="A880" s="833">
        <v>62</v>
      </c>
      <c r="B880" t="s" s="834">
        <v>946</v>
      </c>
      <c r="C880" t="s" s="834">
        <v>477</v>
      </c>
      <c r="D880" s="835">
        <v>46049</v>
      </c>
      <c r="E880" t="s" s="834">
        <v>478</v>
      </c>
      <c r="F880" t="s" s="834">
        <v>478</v>
      </c>
      <c r="G880" s="570"/>
      <c r="H880" s="570"/>
      <c r="I880" s="570"/>
      <c r="J880" s="570"/>
      <c r="K880" s="570"/>
    </row>
    <row r="881" ht="12.75" customHeight="1">
      <c r="A881" s="833">
        <v>62</v>
      </c>
      <c r="B881" t="s" s="834">
        <v>946</v>
      </c>
      <c r="C881" t="s" s="834">
        <v>477</v>
      </c>
      <c r="D881" s="835">
        <v>46050</v>
      </c>
      <c r="E881" s="836">
        <v>1.691284722222222</v>
      </c>
      <c r="F881" t="s" s="834">
        <v>478</v>
      </c>
      <c r="G881" s="570"/>
      <c r="H881" s="570"/>
      <c r="I881" s="570"/>
      <c r="J881" s="570"/>
      <c r="K881" s="570"/>
    </row>
    <row r="882" ht="12.75" customHeight="1">
      <c r="A882" t="s" s="834">
        <v>955</v>
      </c>
      <c r="B882" t="s" s="834">
        <v>485</v>
      </c>
      <c r="C882" t="s" s="834">
        <v>486</v>
      </c>
      <c r="D882" s="570"/>
      <c r="E882" s="570"/>
      <c r="F882" s="570"/>
      <c r="G882" s="570"/>
      <c r="H882" s="570"/>
      <c r="I882" s="570"/>
      <c r="J882" s="570"/>
      <c r="K882" s="570"/>
    </row>
    <row r="883" ht="12.75" customHeight="1">
      <c r="A883" s="833">
        <v>62</v>
      </c>
      <c r="B883" t="s" s="834">
        <v>946</v>
      </c>
      <c r="C883" t="s" s="834">
        <v>477</v>
      </c>
      <c r="D883" s="835">
        <v>46051</v>
      </c>
      <c r="E883" s="836">
        <v>1.528321759259259</v>
      </c>
      <c r="F883" t="s" s="834">
        <v>478</v>
      </c>
      <c r="G883" s="570"/>
      <c r="H883" s="570"/>
      <c r="I883" s="570"/>
      <c r="J883" s="570"/>
      <c r="K883" s="570"/>
    </row>
    <row r="884" ht="12.75" customHeight="1">
      <c r="A884" t="s" s="834">
        <v>956</v>
      </c>
      <c r="B884" t="s" s="834">
        <v>485</v>
      </c>
      <c r="C884" t="s" s="834">
        <v>486</v>
      </c>
      <c r="D884" s="570"/>
      <c r="E884" s="570"/>
      <c r="F884" s="570"/>
      <c r="G884" s="570"/>
      <c r="H884" s="570"/>
      <c r="I884" s="570"/>
      <c r="J884" s="570"/>
      <c r="K884" s="570"/>
    </row>
    <row r="885" ht="12.75" customHeight="1">
      <c r="A885" s="833">
        <v>62</v>
      </c>
      <c r="B885" t="s" s="834">
        <v>946</v>
      </c>
      <c r="C885" t="s" s="834">
        <v>477</v>
      </c>
      <c r="D885" s="835">
        <v>46052</v>
      </c>
      <c r="E885" s="836">
        <v>1.564571759259259</v>
      </c>
      <c r="F885" t="s" s="834">
        <v>478</v>
      </c>
      <c r="G885" s="570"/>
      <c r="H885" s="570"/>
      <c r="I885" s="570"/>
      <c r="J885" s="570"/>
      <c r="K885" s="570"/>
    </row>
    <row r="886" ht="12.75" customHeight="1">
      <c r="A886" t="s" s="834">
        <v>957</v>
      </c>
      <c r="B886" t="s" s="834">
        <v>485</v>
      </c>
      <c r="C886" t="s" s="834">
        <v>486</v>
      </c>
      <c r="D886" s="570"/>
      <c r="E886" s="570"/>
      <c r="F886" s="570"/>
      <c r="G886" s="570"/>
      <c r="H886" s="570"/>
      <c r="I886" s="570"/>
      <c r="J886" s="570"/>
      <c r="K886" s="570"/>
    </row>
    <row r="887" ht="12.75" customHeight="1">
      <c r="A887" s="833">
        <v>62</v>
      </c>
      <c r="B887" t="s" s="834">
        <v>946</v>
      </c>
      <c r="C887" t="s" s="834">
        <v>477</v>
      </c>
      <c r="D887" s="835">
        <v>46053</v>
      </c>
      <c r="E887" t="s" s="834">
        <v>478</v>
      </c>
      <c r="F887" t="s" s="834">
        <v>478</v>
      </c>
      <c r="G887" s="570"/>
      <c r="H887" s="570"/>
      <c r="I887" s="570"/>
      <c r="J887" s="570"/>
      <c r="K887" s="570"/>
    </row>
    <row r="888" ht="12.75" customHeight="1">
      <c r="A888" s="833">
        <v>62</v>
      </c>
      <c r="B888" t="s" s="834">
        <v>946</v>
      </c>
      <c r="C888" t="s" s="834">
        <v>477</v>
      </c>
      <c r="D888" s="835">
        <v>46054</v>
      </c>
      <c r="E888" t="s" s="834">
        <v>478</v>
      </c>
      <c r="F888" t="s" s="834">
        <v>478</v>
      </c>
      <c r="G888" s="570"/>
      <c r="H888" s="570"/>
      <c r="I888" s="570"/>
      <c r="J888" s="570"/>
      <c r="K888" s="570"/>
    </row>
    <row r="889" ht="12.75" customHeight="1">
      <c r="A889" s="833">
        <v>66</v>
      </c>
      <c r="B889" t="s" s="834">
        <v>958</v>
      </c>
      <c r="C889" t="s" s="834">
        <v>959</v>
      </c>
      <c r="D889" s="835">
        <v>46023</v>
      </c>
      <c r="E889" t="s" s="834">
        <v>478</v>
      </c>
      <c r="F889" t="s" s="834">
        <v>478</v>
      </c>
      <c r="G889" s="570"/>
      <c r="H889" s="570"/>
      <c r="I889" s="570"/>
      <c r="J889" s="570"/>
      <c r="K889" s="570"/>
    </row>
    <row r="890" ht="12.75" customHeight="1">
      <c r="A890" s="833">
        <v>66</v>
      </c>
      <c r="B890" t="s" s="834">
        <v>958</v>
      </c>
      <c r="C890" t="s" s="834">
        <v>959</v>
      </c>
      <c r="D890" s="835">
        <v>46024</v>
      </c>
      <c r="E890" t="s" s="834">
        <v>478</v>
      </c>
      <c r="F890" t="s" s="834">
        <v>478</v>
      </c>
      <c r="G890" s="570"/>
      <c r="H890" s="570"/>
      <c r="I890" s="570"/>
      <c r="J890" s="570"/>
      <c r="K890" s="570"/>
    </row>
    <row r="891" ht="12.75" customHeight="1">
      <c r="A891" s="833">
        <v>66</v>
      </c>
      <c r="B891" t="s" s="834">
        <v>958</v>
      </c>
      <c r="C891" t="s" s="834">
        <v>959</v>
      </c>
      <c r="D891" s="835">
        <v>46025</v>
      </c>
      <c r="E891" t="s" s="834">
        <v>478</v>
      </c>
      <c r="F891" t="s" s="834">
        <v>478</v>
      </c>
      <c r="G891" s="570"/>
      <c r="H891" s="570"/>
      <c r="I891" s="570"/>
      <c r="J891" s="570"/>
      <c r="K891" s="570"/>
    </row>
    <row r="892" ht="12.75" customHeight="1">
      <c r="A892" s="833">
        <v>66</v>
      </c>
      <c r="B892" t="s" s="834">
        <v>958</v>
      </c>
      <c r="C892" t="s" s="834">
        <v>959</v>
      </c>
      <c r="D892" s="835">
        <v>46026</v>
      </c>
      <c r="E892" t="s" s="834">
        <v>478</v>
      </c>
      <c r="F892" t="s" s="834">
        <v>478</v>
      </c>
      <c r="G892" s="570"/>
      <c r="H892" s="570"/>
      <c r="I892" s="570"/>
      <c r="J892" s="570"/>
      <c r="K892" s="570"/>
    </row>
    <row r="893" ht="12.75" customHeight="1">
      <c r="A893" s="833">
        <v>66</v>
      </c>
      <c r="B893" t="s" s="834">
        <v>958</v>
      </c>
      <c r="C893" t="s" s="834">
        <v>959</v>
      </c>
      <c r="D893" s="835">
        <v>46027</v>
      </c>
      <c r="E893" s="836">
        <v>1.362546296296296</v>
      </c>
      <c r="F893" s="836">
        <v>1.764502314814815</v>
      </c>
      <c r="G893" s="570"/>
      <c r="H893" s="570"/>
      <c r="I893" s="570"/>
      <c r="J893" s="570"/>
      <c r="K893" s="570"/>
    </row>
    <row r="894" ht="12.75" customHeight="1">
      <c r="A894" t="s" s="834">
        <v>960</v>
      </c>
      <c r="B894" t="s" s="834">
        <v>961</v>
      </c>
      <c r="C894" t="s" s="834">
        <v>772</v>
      </c>
      <c r="D894" s="570"/>
      <c r="E894" s="570"/>
      <c r="F894" s="570"/>
      <c r="G894" s="570"/>
      <c r="H894" s="570"/>
      <c r="I894" s="570"/>
      <c r="J894" s="570"/>
      <c r="K894" s="570"/>
    </row>
    <row r="895" ht="12.75" customHeight="1">
      <c r="A895" s="833">
        <v>66</v>
      </c>
      <c r="B895" t="s" s="834">
        <v>958</v>
      </c>
      <c r="C895" t="s" s="834">
        <v>959</v>
      </c>
      <c r="D895" s="835">
        <v>46028</v>
      </c>
      <c r="E895" s="836">
        <v>1.367233796296296</v>
      </c>
      <c r="F895" s="836">
        <v>1.76875</v>
      </c>
      <c r="G895" s="570"/>
      <c r="H895" s="570"/>
      <c r="I895" s="570"/>
      <c r="J895" s="570"/>
      <c r="K895" s="570"/>
    </row>
    <row r="896" ht="12.75" customHeight="1">
      <c r="A896" t="s" s="834">
        <v>962</v>
      </c>
      <c r="B896" t="s" s="834">
        <v>963</v>
      </c>
      <c r="C896" t="s" s="834">
        <v>697</v>
      </c>
      <c r="D896" s="570"/>
      <c r="E896" s="570"/>
      <c r="F896" s="570"/>
      <c r="G896" s="570"/>
      <c r="H896" s="570"/>
      <c r="I896" s="570"/>
      <c r="J896" s="570"/>
      <c r="K896" s="570"/>
    </row>
    <row r="897" ht="12.75" customHeight="1">
      <c r="A897" s="833">
        <v>66</v>
      </c>
      <c r="B897" t="s" s="834">
        <v>958</v>
      </c>
      <c r="C897" t="s" s="834">
        <v>959</v>
      </c>
      <c r="D897" s="835">
        <v>46029</v>
      </c>
      <c r="E897" s="836">
        <v>1.363310185185185</v>
      </c>
      <c r="F897" s="836">
        <v>1.755983796296296</v>
      </c>
      <c r="G897" s="570"/>
      <c r="H897" s="570"/>
      <c r="I897" s="570"/>
      <c r="J897" s="570"/>
      <c r="K897" s="570"/>
    </row>
    <row r="898" ht="12.75" customHeight="1">
      <c r="A898" t="s" s="834">
        <v>964</v>
      </c>
      <c r="B898" t="s" s="834">
        <v>965</v>
      </c>
      <c r="C898" t="s" s="834">
        <v>966</v>
      </c>
      <c r="D898" s="570"/>
      <c r="E898" s="570"/>
      <c r="F898" s="570"/>
      <c r="G898" s="570"/>
      <c r="H898" s="570"/>
      <c r="I898" s="570"/>
      <c r="J898" s="570"/>
      <c r="K898" s="570"/>
    </row>
    <row r="899" ht="12.75" customHeight="1">
      <c r="A899" s="833">
        <v>66</v>
      </c>
      <c r="B899" t="s" s="834">
        <v>958</v>
      </c>
      <c r="C899" t="s" s="834">
        <v>959</v>
      </c>
      <c r="D899" s="835">
        <v>46030</v>
      </c>
      <c r="E899" s="836">
        <v>1.366608796296296</v>
      </c>
      <c r="F899" s="836">
        <v>1.76244212962963</v>
      </c>
      <c r="G899" s="570"/>
      <c r="H899" s="570"/>
      <c r="I899" s="570"/>
      <c r="J899" s="570"/>
      <c r="K899" s="570"/>
    </row>
    <row r="900" ht="12.75" customHeight="1">
      <c r="A900" t="s" s="834">
        <v>967</v>
      </c>
      <c r="B900" t="s" s="834">
        <v>968</v>
      </c>
      <c r="C900" t="s" s="834">
        <v>634</v>
      </c>
      <c r="D900" s="570"/>
      <c r="E900" s="570"/>
      <c r="F900" s="570"/>
      <c r="G900" s="570"/>
      <c r="H900" s="570"/>
      <c r="I900" s="570"/>
      <c r="J900" s="570"/>
      <c r="K900" s="570"/>
    </row>
    <row r="901" ht="12.75" customHeight="1">
      <c r="A901" s="833">
        <v>66</v>
      </c>
      <c r="B901" t="s" s="834">
        <v>958</v>
      </c>
      <c r="C901" t="s" s="834">
        <v>959</v>
      </c>
      <c r="D901" s="835">
        <v>46031</v>
      </c>
      <c r="E901" s="836">
        <v>1.364282407407407</v>
      </c>
      <c r="F901" s="836">
        <v>1.787418981481482</v>
      </c>
      <c r="G901" s="570"/>
      <c r="H901" s="570"/>
      <c r="I901" s="570"/>
      <c r="J901" s="570"/>
      <c r="K901" s="570"/>
    </row>
    <row r="902" ht="12.75" customHeight="1">
      <c r="A902" t="s" s="834">
        <v>969</v>
      </c>
      <c r="B902" t="s" s="834">
        <v>970</v>
      </c>
      <c r="C902" t="s" s="834">
        <v>971</v>
      </c>
      <c r="D902" s="570"/>
      <c r="E902" s="570"/>
      <c r="F902" s="570"/>
      <c r="G902" s="570"/>
      <c r="H902" s="570"/>
      <c r="I902" s="570"/>
      <c r="J902" s="570"/>
      <c r="K902" s="570"/>
    </row>
    <row r="903" ht="12.75" customHeight="1">
      <c r="A903" s="833">
        <v>66</v>
      </c>
      <c r="B903" t="s" s="834">
        <v>958</v>
      </c>
      <c r="C903" t="s" s="834">
        <v>959</v>
      </c>
      <c r="D903" s="835">
        <v>46032</v>
      </c>
      <c r="E903" s="836">
        <v>1.456111111111111</v>
      </c>
      <c r="F903" s="836">
        <v>1.799097222222222</v>
      </c>
      <c r="G903" s="570"/>
      <c r="H903" s="570"/>
      <c r="I903" s="570"/>
      <c r="J903" s="570"/>
      <c r="K903" s="570"/>
    </row>
    <row r="904" ht="12.75" customHeight="1">
      <c r="A904" t="s" s="834">
        <v>972</v>
      </c>
      <c r="B904" t="s" s="834">
        <v>973</v>
      </c>
      <c r="C904" t="s" s="834">
        <v>974</v>
      </c>
      <c r="D904" s="570"/>
      <c r="E904" s="570"/>
      <c r="F904" s="570"/>
      <c r="G904" s="570"/>
      <c r="H904" s="570"/>
      <c r="I904" s="570"/>
      <c r="J904" s="570"/>
      <c r="K904" s="570"/>
    </row>
    <row r="905" ht="12.75" customHeight="1">
      <c r="A905" s="833">
        <v>66</v>
      </c>
      <c r="B905" t="s" s="834">
        <v>958</v>
      </c>
      <c r="C905" t="s" s="834">
        <v>959</v>
      </c>
      <c r="D905" s="835">
        <v>46033</v>
      </c>
      <c r="E905" t="s" s="834">
        <v>478</v>
      </c>
      <c r="F905" t="s" s="834">
        <v>478</v>
      </c>
      <c r="G905" s="570"/>
      <c r="H905" s="570"/>
      <c r="I905" s="570"/>
      <c r="J905" s="570"/>
      <c r="K905" s="570"/>
    </row>
    <row r="906" ht="12.75" customHeight="1">
      <c r="A906" s="833">
        <v>66</v>
      </c>
      <c r="B906" t="s" s="834">
        <v>958</v>
      </c>
      <c r="C906" t="s" s="834">
        <v>959</v>
      </c>
      <c r="D906" s="835">
        <v>46034</v>
      </c>
      <c r="E906" s="836">
        <v>1.3659375</v>
      </c>
      <c r="F906" s="836">
        <v>1.769699074074074</v>
      </c>
      <c r="G906" s="570"/>
      <c r="H906" s="570"/>
      <c r="I906" s="570"/>
      <c r="J906" s="570"/>
      <c r="K906" s="570"/>
    </row>
    <row r="907" ht="12.75" customHeight="1">
      <c r="A907" t="s" s="834">
        <v>975</v>
      </c>
      <c r="B907" t="s" s="834">
        <v>976</v>
      </c>
      <c r="C907" t="s" s="834">
        <v>590</v>
      </c>
      <c r="D907" s="570"/>
      <c r="E907" s="570"/>
      <c r="F907" s="570"/>
      <c r="G907" s="570"/>
      <c r="H907" s="570"/>
      <c r="I907" s="570"/>
      <c r="J907" s="570"/>
      <c r="K907" s="570"/>
    </row>
    <row r="908" ht="12.75" customHeight="1">
      <c r="A908" s="833">
        <v>66</v>
      </c>
      <c r="B908" t="s" s="834">
        <v>958</v>
      </c>
      <c r="C908" t="s" s="834">
        <v>959</v>
      </c>
      <c r="D908" s="835">
        <v>46035</v>
      </c>
      <c r="E908" s="836">
        <v>1.366863425925926</v>
      </c>
      <c r="F908" s="836">
        <v>1.756481481481482</v>
      </c>
      <c r="G908" s="570"/>
      <c r="H908" s="570"/>
      <c r="I908" s="570"/>
      <c r="J908" s="570"/>
      <c r="K908" s="570"/>
    </row>
    <row r="909" ht="12.75" customHeight="1">
      <c r="A909" t="s" s="834">
        <v>977</v>
      </c>
      <c r="B909" t="s" s="834">
        <v>978</v>
      </c>
      <c r="C909" t="s" s="834">
        <v>979</v>
      </c>
      <c r="D909" s="570"/>
      <c r="E909" s="570"/>
      <c r="F909" s="570"/>
      <c r="G909" s="570"/>
      <c r="H909" s="570"/>
      <c r="I909" s="570"/>
      <c r="J909" s="570"/>
      <c r="K909" s="570"/>
    </row>
    <row r="910" ht="12.75" customHeight="1">
      <c r="A910" s="833">
        <v>66</v>
      </c>
      <c r="B910" t="s" s="834">
        <v>958</v>
      </c>
      <c r="C910" t="s" s="834">
        <v>959</v>
      </c>
      <c r="D910" s="835">
        <v>46036</v>
      </c>
      <c r="E910" s="836">
        <v>1.368842592592593</v>
      </c>
      <c r="F910" s="836">
        <v>1.7571875</v>
      </c>
      <c r="G910" s="570"/>
      <c r="H910" s="570"/>
      <c r="I910" s="570"/>
      <c r="J910" s="570"/>
      <c r="K910" s="570"/>
    </row>
    <row r="911" ht="12.75" customHeight="1">
      <c r="A911" t="s" s="834">
        <v>980</v>
      </c>
      <c r="B911" t="s" s="834">
        <v>981</v>
      </c>
      <c r="C911" t="s" s="834">
        <v>716</v>
      </c>
      <c r="D911" s="570"/>
      <c r="E911" s="570"/>
      <c r="F911" s="570"/>
      <c r="G911" s="570"/>
      <c r="H911" s="570"/>
      <c r="I911" s="570"/>
      <c r="J911" s="570"/>
      <c r="K911" s="570"/>
    </row>
    <row r="912" ht="12.75" customHeight="1">
      <c r="A912" s="833">
        <v>66</v>
      </c>
      <c r="B912" t="s" s="834">
        <v>958</v>
      </c>
      <c r="C912" t="s" s="834">
        <v>959</v>
      </c>
      <c r="D912" s="835">
        <v>46037</v>
      </c>
      <c r="E912" s="836">
        <v>1.370462962962963</v>
      </c>
      <c r="F912" s="836">
        <v>1.754826388888889</v>
      </c>
      <c r="G912" s="570"/>
      <c r="H912" s="570"/>
      <c r="I912" s="570"/>
      <c r="J912" s="570"/>
      <c r="K912" s="570"/>
    </row>
    <row r="913" ht="12.75" customHeight="1">
      <c r="A913" t="s" s="834">
        <v>982</v>
      </c>
      <c r="B913" t="s" s="834">
        <v>983</v>
      </c>
      <c r="C913" t="s" s="834">
        <v>984</v>
      </c>
      <c r="D913" s="570"/>
      <c r="E913" s="570"/>
      <c r="F913" s="570"/>
      <c r="G913" s="570"/>
      <c r="H913" s="570"/>
      <c r="I913" s="570"/>
      <c r="J913" s="570"/>
      <c r="K913" s="570"/>
    </row>
    <row r="914" ht="12.75" customHeight="1">
      <c r="A914" s="833">
        <v>66</v>
      </c>
      <c r="B914" t="s" s="834">
        <v>958</v>
      </c>
      <c r="C914" t="s" s="834">
        <v>959</v>
      </c>
      <c r="D914" s="835">
        <v>46038</v>
      </c>
      <c r="E914" s="836">
        <v>1.370659722222222</v>
      </c>
      <c r="F914" s="836">
        <v>1.766608796296296</v>
      </c>
      <c r="G914" s="570"/>
      <c r="H914" s="570"/>
      <c r="I914" s="570"/>
      <c r="J914" s="570"/>
      <c r="K914" s="570"/>
    </row>
    <row r="915" ht="12.75" customHeight="1">
      <c r="A915" t="s" s="834">
        <v>985</v>
      </c>
      <c r="B915" t="s" s="834">
        <v>986</v>
      </c>
      <c r="C915" t="s" s="834">
        <v>634</v>
      </c>
      <c r="D915" s="570"/>
      <c r="E915" s="570"/>
      <c r="F915" s="570"/>
      <c r="G915" s="570"/>
      <c r="H915" s="570"/>
      <c r="I915" s="570"/>
      <c r="J915" s="570"/>
      <c r="K915" s="570"/>
    </row>
    <row r="916" ht="12.75" customHeight="1">
      <c r="A916" s="833">
        <v>66</v>
      </c>
      <c r="B916" t="s" s="834">
        <v>958</v>
      </c>
      <c r="C916" t="s" s="834">
        <v>959</v>
      </c>
      <c r="D916" s="835">
        <v>46039</v>
      </c>
      <c r="E916" t="s" s="834">
        <v>478</v>
      </c>
      <c r="F916" t="s" s="834">
        <v>478</v>
      </c>
      <c r="G916" s="570"/>
      <c r="H916" s="570"/>
      <c r="I916" s="570"/>
      <c r="J916" s="570"/>
      <c r="K916" s="570"/>
    </row>
    <row r="917" ht="12.75" customHeight="1">
      <c r="A917" s="833">
        <v>66</v>
      </c>
      <c r="B917" t="s" s="834">
        <v>958</v>
      </c>
      <c r="C917" t="s" s="834">
        <v>959</v>
      </c>
      <c r="D917" s="835">
        <v>46040</v>
      </c>
      <c r="E917" t="s" s="834">
        <v>478</v>
      </c>
      <c r="F917" t="s" s="834">
        <v>478</v>
      </c>
      <c r="G917" s="570"/>
      <c r="H917" s="570"/>
      <c r="I917" s="570"/>
      <c r="J917" s="570"/>
      <c r="K917" s="570"/>
    </row>
    <row r="918" ht="12.75" customHeight="1">
      <c r="A918" s="833">
        <v>66</v>
      </c>
      <c r="B918" t="s" s="834">
        <v>958</v>
      </c>
      <c r="C918" t="s" s="834">
        <v>959</v>
      </c>
      <c r="D918" s="835">
        <v>46041</v>
      </c>
      <c r="E918" s="836">
        <v>1.367395833333333</v>
      </c>
      <c r="F918" s="836">
        <v>1.757719907407407</v>
      </c>
      <c r="G918" s="570"/>
      <c r="H918" s="570"/>
      <c r="I918" s="570"/>
      <c r="J918" s="570"/>
      <c r="K918" s="570"/>
    </row>
    <row r="919" ht="12.75" customHeight="1">
      <c r="A919" t="s" s="834">
        <v>987</v>
      </c>
      <c r="B919" t="s" s="834">
        <v>988</v>
      </c>
      <c r="C919" t="s" s="834">
        <v>901</v>
      </c>
      <c r="D919" s="570"/>
      <c r="E919" s="570"/>
      <c r="F919" s="570"/>
      <c r="G919" s="570"/>
      <c r="H919" s="570"/>
      <c r="I919" s="570"/>
      <c r="J919" s="570"/>
      <c r="K919" s="570"/>
    </row>
    <row r="920" ht="12.75" customHeight="1">
      <c r="A920" s="833">
        <v>66</v>
      </c>
      <c r="B920" t="s" s="834">
        <v>958</v>
      </c>
      <c r="C920" t="s" s="834">
        <v>959</v>
      </c>
      <c r="D920" s="835">
        <v>46042</v>
      </c>
      <c r="E920" s="836">
        <v>1.368148148148148</v>
      </c>
      <c r="F920" s="836">
        <v>1.753530092592593</v>
      </c>
      <c r="G920" s="570"/>
      <c r="H920" s="570"/>
      <c r="I920" s="570"/>
      <c r="J920" s="570"/>
      <c r="K920" s="570"/>
    </row>
    <row r="921" ht="12.75" customHeight="1">
      <c r="A921" t="s" s="834">
        <v>989</v>
      </c>
      <c r="B921" t="s" s="834">
        <v>990</v>
      </c>
      <c r="C921" t="s" s="834">
        <v>831</v>
      </c>
      <c r="D921" s="570"/>
      <c r="E921" s="570"/>
      <c r="F921" s="570"/>
      <c r="G921" s="570"/>
      <c r="H921" s="570"/>
      <c r="I921" s="570"/>
      <c r="J921" s="570"/>
      <c r="K921" s="570"/>
    </row>
    <row r="922" ht="12.75" customHeight="1">
      <c r="A922" s="833">
        <v>66</v>
      </c>
      <c r="B922" t="s" s="834">
        <v>958</v>
      </c>
      <c r="C922" t="s" s="834">
        <v>959</v>
      </c>
      <c r="D922" s="835">
        <v>46043</v>
      </c>
      <c r="E922" s="836">
        <v>1.369490740740741</v>
      </c>
      <c r="F922" s="836">
        <v>1.767314814814815</v>
      </c>
      <c r="G922" s="570"/>
      <c r="H922" s="570"/>
      <c r="I922" s="570"/>
      <c r="J922" s="570"/>
      <c r="K922" s="570"/>
    </row>
    <row r="923" ht="12.75" customHeight="1">
      <c r="A923" t="s" s="834">
        <v>991</v>
      </c>
      <c r="B923" t="s" s="834">
        <v>992</v>
      </c>
      <c r="C923" t="s" s="834">
        <v>688</v>
      </c>
      <c r="D923" s="570"/>
      <c r="E923" s="570"/>
      <c r="F923" s="570"/>
      <c r="G923" s="570"/>
      <c r="H923" s="570"/>
      <c r="I923" s="570"/>
      <c r="J923" s="570"/>
      <c r="K923" s="570"/>
    </row>
    <row r="924" ht="12.75" customHeight="1">
      <c r="A924" s="833">
        <v>66</v>
      </c>
      <c r="B924" t="s" s="834">
        <v>958</v>
      </c>
      <c r="C924" t="s" s="834">
        <v>959</v>
      </c>
      <c r="D924" s="835">
        <v>46044</v>
      </c>
      <c r="E924" s="836">
        <v>1.370694444444444</v>
      </c>
      <c r="F924" s="836">
        <v>1.757638888888889</v>
      </c>
      <c r="G924" s="570"/>
      <c r="H924" s="570"/>
      <c r="I924" s="570"/>
      <c r="J924" s="570"/>
      <c r="K924" s="570"/>
    </row>
    <row r="925" ht="12.75" customHeight="1">
      <c r="A925" t="s" s="834">
        <v>993</v>
      </c>
      <c r="B925" t="s" s="834">
        <v>994</v>
      </c>
      <c r="C925" t="s" s="834">
        <v>995</v>
      </c>
      <c r="D925" s="570"/>
      <c r="E925" s="570"/>
      <c r="F925" s="570"/>
      <c r="G925" s="570"/>
      <c r="H925" s="570"/>
      <c r="I925" s="570"/>
      <c r="J925" s="570"/>
      <c r="K925" s="570"/>
    </row>
    <row r="926" ht="12.75" customHeight="1">
      <c r="A926" s="833">
        <v>66</v>
      </c>
      <c r="B926" t="s" s="834">
        <v>958</v>
      </c>
      <c r="C926" t="s" s="834">
        <v>959</v>
      </c>
      <c r="D926" s="835">
        <v>46045</v>
      </c>
      <c r="E926" s="836">
        <v>1.758981481481481</v>
      </c>
      <c r="F926" s="836">
        <v>1.759548611111111</v>
      </c>
      <c r="G926" s="570"/>
      <c r="H926" s="570"/>
      <c r="I926" s="570"/>
      <c r="J926" s="570"/>
      <c r="K926" s="570"/>
    </row>
    <row r="927" ht="12.75" customHeight="1">
      <c r="A927" t="s" s="834">
        <v>996</v>
      </c>
      <c r="B927" t="s" s="834">
        <v>997</v>
      </c>
      <c r="C927" t="s" s="834">
        <v>805</v>
      </c>
      <c r="D927" s="570"/>
      <c r="E927" s="570"/>
      <c r="F927" s="570"/>
      <c r="G927" s="570"/>
      <c r="H927" s="570"/>
      <c r="I927" s="570"/>
      <c r="J927" s="570"/>
      <c r="K927" s="570"/>
    </row>
    <row r="928" ht="12.75" customHeight="1">
      <c r="A928" s="833">
        <v>66</v>
      </c>
      <c r="B928" t="s" s="834">
        <v>958</v>
      </c>
      <c r="C928" t="s" s="834">
        <v>959</v>
      </c>
      <c r="D928" s="835">
        <v>46046</v>
      </c>
      <c r="E928" t="s" s="834">
        <v>478</v>
      </c>
      <c r="F928" t="s" s="834">
        <v>478</v>
      </c>
      <c r="G928" s="570"/>
      <c r="H928" s="570"/>
      <c r="I928" s="570"/>
      <c r="J928" s="570"/>
      <c r="K928" s="570"/>
    </row>
    <row r="929" ht="12.75" customHeight="1">
      <c r="A929" s="833">
        <v>66</v>
      </c>
      <c r="B929" t="s" s="834">
        <v>958</v>
      </c>
      <c r="C929" t="s" s="834">
        <v>959</v>
      </c>
      <c r="D929" s="835">
        <v>46047</v>
      </c>
      <c r="E929" t="s" s="834">
        <v>478</v>
      </c>
      <c r="F929" t="s" s="834">
        <v>478</v>
      </c>
      <c r="G929" s="570"/>
      <c r="H929" s="570"/>
      <c r="I929" s="570"/>
      <c r="J929" s="570"/>
      <c r="K929" s="570"/>
    </row>
    <row r="930" ht="12.75" customHeight="1">
      <c r="A930" s="833">
        <v>66</v>
      </c>
      <c r="B930" t="s" s="834">
        <v>958</v>
      </c>
      <c r="C930" t="s" s="834">
        <v>959</v>
      </c>
      <c r="D930" s="835">
        <v>46048</v>
      </c>
      <c r="E930" s="836">
        <v>1.365833333333333</v>
      </c>
      <c r="F930" s="836">
        <v>1.762881944444445</v>
      </c>
      <c r="G930" s="570"/>
      <c r="H930" s="570"/>
      <c r="I930" s="570"/>
      <c r="J930" s="570"/>
      <c r="K930" s="570"/>
    </row>
    <row r="931" ht="12.75" customHeight="1">
      <c r="A931" t="s" s="834">
        <v>998</v>
      </c>
      <c r="B931" t="s" s="834">
        <v>999</v>
      </c>
      <c r="C931" t="s" s="834">
        <v>747</v>
      </c>
      <c r="D931" s="570"/>
      <c r="E931" s="570"/>
      <c r="F931" s="570"/>
      <c r="G931" s="570"/>
      <c r="H931" s="570"/>
      <c r="I931" s="570"/>
      <c r="J931" s="570"/>
      <c r="K931" s="570"/>
    </row>
    <row r="932" ht="12.75" customHeight="1">
      <c r="A932" s="833">
        <v>66</v>
      </c>
      <c r="B932" t="s" s="834">
        <v>958</v>
      </c>
      <c r="C932" t="s" s="834">
        <v>959</v>
      </c>
      <c r="D932" s="835">
        <v>46049</v>
      </c>
      <c r="E932" s="836">
        <v>1.368333333333333</v>
      </c>
      <c r="F932" s="836">
        <v>1.757789351851852</v>
      </c>
      <c r="G932" s="570"/>
      <c r="H932" s="570"/>
      <c r="I932" s="570"/>
      <c r="J932" s="570"/>
      <c r="K932" s="570"/>
    </row>
    <row r="933" ht="12.75" customHeight="1">
      <c r="A933" t="s" s="834">
        <v>1000</v>
      </c>
      <c r="B933" t="s" s="834">
        <v>1001</v>
      </c>
      <c r="C933" t="s" s="834">
        <v>979</v>
      </c>
      <c r="D933" s="570"/>
      <c r="E933" s="570"/>
      <c r="F933" s="570"/>
      <c r="G933" s="570"/>
      <c r="H933" s="570"/>
      <c r="I933" s="570"/>
      <c r="J933" s="570"/>
      <c r="K933" s="570"/>
    </row>
    <row r="934" ht="12.75" customHeight="1">
      <c r="A934" s="833">
        <v>66</v>
      </c>
      <c r="B934" t="s" s="834">
        <v>958</v>
      </c>
      <c r="C934" t="s" s="834">
        <v>959</v>
      </c>
      <c r="D934" s="835">
        <v>46050</v>
      </c>
      <c r="E934" s="836">
        <v>1.369780092592593</v>
      </c>
      <c r="F934" s="836">
        <v>1.762256944444444</v>
      </c>
      <c r="G934" s="570"/>
      <c r="H934" s="570"/>
      <c r="I934" s="570"/>
      <c r="J934" s="570"/>
      <c r="K934" s="570"/>
    </row>
    <row r="935" ht="12.75" customHeight="1">
      <c r="A935" t="s" s="834">
        <v>1002</v>
      </c>
      <c r="B935" t="s" s="834">
        <v>1003</v>
      </c>
      <c r="C935" t="s" s="834">
        <v>966</v>
      </c>
      <c r="D935" s="570"/>
      <c r="E935" s="570"/>
      <c r="F935" s="570"/>
      <c r="G935" s="570"/>
      <c r="H935" s="570"/>
      <c r="I935" s="570"/>
      <c r="J935" s="570"/>
      <c r="K935" s="570"/>
    </row>
    <row r="936" ht="12.75" customHeight="1">
      <c r="A936" s="833">
        <v>66</v>
      </c>
      <c r="B936" t="s" s="834">
        <v>958</v>
      </c>
      <c r="C936" t="s" s="834">
        <v>959</v>
      </c>
      <c r="D936" s="835">
        <v>46051</v>
      </c>
      <c r="E936" s="836">
        <v>1.369814814814815</v>
      </c>
      <c r="F936" s="836">
        <v>1.764155092592593</v>
      </c>
      <c r="G936" s="570"/>
      <c r="H936" s="570"/>
      <c r="I936" s="570"/>
      <c r="J936" s="570"/>
      <c r="K936" s="570"/>
    </row>
    <row r="937" ht="12.75" customHeight="1">
      <c r="A937" t="s" s="834">
        <v>1004</v>
      </c>
      <c r="B937" t="s" s="834">
        <v>1005</v>
      </c>
      <c r="C937" t="s" s="834">
        <v>512</v>
      </c>
      <c r="D937" s="570"/>
      <c r="E937" s="570"/>
      <c r="F937" s="570"/>
      <c r="G937" s="570"/>
      <c r="H937" s="570"/>
      <c r="I937" s="570"/>
      <c r="J937" s="570"/>
      <c r="K937" s="570"/>
    </row>
    <row r="938" ht="12.75" customHeight="1">
      <c r="A938" s="833">
        <v>66</v>
      </c>
      <c r="B938" t="s" s="834">
        <v>958</v>
      </c>
      <c r="C938" t="s" s="834">
        <v>959</v>
      </c>
      <c r="D938" s="835">
        <v>46052</v>
      </c>
      <c r="E938" s="836">
        <v>1.36974537037037</v>
      </c>
      <c r="F938" s="836">
        <v>1.809398148148148</v>
      </c>
      <c r="G938" s="570"/>
      <c r="H938" s="570"/>
      <c r="I938" s="570"/>
      <c r="J938" s="570"/>
      <c r="K938" s="570"/>
    </row>
    <row r="939" ht="12.75" customHeight="1">
      <c r="A939" t="s" s="834">
        <v>1006</v>
      </c>
      <c r="B939" t="s" s="834">
        <v>1007</v>
      </c>
      <c r="C939" t="s" s="834">
        <v>1008</v>
      </c>
      <c r="D939" s="570"/>
      <c r="E939" s="570"/>
      <c r="F939" s="570"/>
      <c r="G939" s="570"/>
      <c r="H939" s="570"/>
      <c r="I939" s="570"/>
      <c r="J939" s="570"/>
      <c r="K939" s="570"/>
    </row>
    <row r="940" ht="12.75" customHeight="1">
      <c r="A940" s="833">
        <v>66</v>
      </c>
      <c r="B940" t="s" s="834">
        <v>958</v>
      </c>
      <c r="C940" t="s" s="834">
        <v>959</v>
      </c>
      <c r="D940" s="835">
        <v>46053</v>
      </c>
      <c r="E940" t="s" s="834">
        <v>478</v>
      </c>
      <c r="F940" t="s" s="834">
        <v>478</v>
      </c>
      <c r="G940" s="570"/>
      <c r="H940" s="570"/>
      <c r="I940" s="570"/>
      <c r="J940" s="570"/>
      <c r="K940" s="570"/>
    </row>
    <row r="941" ht="12.75" customHeight="1">
      <c r="A941" s="833">
        <v>66</v>
      </c>
      <c r="B941" t="s" s="834">
        <v>958</v>
      </c>
      <c r="C941" t="s" s="834">
        <v>959</v>
      </c>
      <c r="D941" s="835">
        <v>46054</v>
      </c>
      <c r="E941" t="s" s="834">
        <v>478</v>
      </c>
      <c r="F941" t="s" s="834">
        <v>478</v>
      </c>
      <c r="G941" s="570"/>
      <c r="H941" s="570"/>
      <c r="I941" s="570"/>
      <c r="J941" s="570"/>
      <c r="K941" s="570"/>
    </row>
    <row r="942" ht="12.75" customHeight="1">
      <c r="A942" s="833">
        <v>71</v>
      </c>
      <c r="B942" t="s" s="834">
        <v>1009</v>
      </c>
      <c r="C942" t="s" s="834">
        <v>1010</v>
      </c>
      <c r="D942" s="835">
        <v>46023</v>
      </c>
      <c r="E942" t="s" s="834">
        <v>478</v>
      </c>
      <c r="F942" t="s" s="834">
        <v>478</v>
      </c>
      <c r="G942" s="570"/>
      <c r="H942" s="570"/>
      <c r="I942" s="570"/>
      <c r="J942" s="570"/>
      <c r="K942" s="570"/>
    </row>
    <row r="943" ht="12.75" customHeight="1">
      <c r="A943" s="833">
        <v>71</v>
      </c>
      <c r="B943" t="s" s="834">
        <v>1009</v>
      </c>
      <c r="C943" t="s" s="834">
        <v>1010</v>
      </c>
      <c r="D943" s="835">
        <v>46024</v>
      </c>
      <c r="E943" t="s" s="834">
        <v>478</v>
      </c>
      <c r="F943" t="s" s="834">
        <v>478</v>
      </c>
      <c r="G943" s="570"/>
      <c r="H943" s="570"/>
      <c r="I943" s="570"/>
      <c r="J943" s="570"/>
      <c r="K943" s="570"/>
    </row>
    <row r="944" ht="12.75" customHeight="1">
      <c r="A944" s="833">
        <v>71</v>
      </c>
      <c r="B944" t="s" s="834">
        <v>1009</v>
      </c>
      <c r="C944" t="s" s="834">
        <v>1010</v>
      </c>
      <c r="D944" s="835">
        <v>46025</v>
      </c>
      <c r="E944" t="s" s="834">
        <v>478</v>
      </c>
      <c r="F944" t="s" s="834">
        <v>478</v>
      </c>
      <c r="G944" s="570"/>
      <c r="H944" s="570"/>
      <c r="I944" s="570"/>
      <c r="J944" s="570"/>
      <c r="K944" s="570"/>
    </row>
    <row r="945" ht="12.75" customHeight="1">
      <c r="A945" s="833">
        <v>71</v>
      </c>
      <c r="B945" t="s" s="834">
        <v>1009</v>
      </c>
      <c r="C945" t="s" s="834">
        <v>1010</v>
      </c>
      <c r="D945" s="835">
        <v>46026</v>
      </c>
      <c r="E945" t="s" s="834">
        <v>478</v>
      </c>
      <c r="F945" t="s" s="834">
        <v>478</v>
      </c>
      <c r="G945" s="570"/>
      <c r="H945" s="570"/>
      <c r="I945" s="570"/>
      <c r="J945" s="570"/>
      <c r="K945" s="570"/>
    </row>
    <row r="946" ht="12.75" customHeight="1">
      <c r="A946" s="833">
        <v>71</v>
      </c>
      <c r="B946" t="s" s="834">
        <v>1009</v>
      </c>
      <c r="C946" t="s" s="834">
        <v>1010</v>
      </c>
      <c r="D946" s="835">
        <v>46027</v>
      </c>
      <c r="E946" s="836">
        <v>1.371840277777778</v>
      </c>
      <c r="F946" s="836">
        <v>1.810856481481482</v>
      </c>
      <c r="G946" s="570"/>
      <c r="H946" s="570"/>
      <c r="I946" s="570"/>
      <c r="J946" s="570"/>
      <c r="K946" s="570"/>
    </row>
    <row r="947" ht="12.75" customHeight="1">
      <c r="A947" t="s" s="834">
        <v>1011</v>
      </c>
      <c r="B947" t="s" s="834">
        <v>1012</v>
      </c>
      <c r="C947" t="s" s="834">
        <v>1013</v>
      </c>
      <c r="D947" s="570"/>
      <c r="E947" s="570"/>
      <c r="F947" s="570"/>
      <c r="G947" s="570"/>
      <c r="H947" s="570"/>
      <c r="I947" s="570"/>
      <c r="J947" s="570"/>
      <c r="K947" s="570"/>
    </row>
    <row r="948" ht="12.75" customHeight="1">
      <c r="A948" s="833">
        <v>71</v>
      </c>
      <c r="B948" t="s" s="834">
        <v>1009</v>
      </c>
      <c r="C948" t="s" s="834">
        <v>1010</v>
      </c>
      <c r="D948" s="835">
        <v>46028</v>
      </c>
      <c r="E948" s="836">
        <v>1.398981481481481</v>
      </c>
      <c r="F948" s="836">
        <v>1.818449074074074</v>
      </c>
      <c r="G948" s="570"/>
      <c r="H948" s="570"/>
      <c r="I948" s="570"/>
      <c r="J948" s="570"/>
      <c r="K948" s="570"/>
    </row>
    <row r="949" ht="12.75" customHeight="1">
      <c r="A949" t="s" s="834">
        <v>1014</v>
      </c>
      <c r="B949" t="s" s="834">
        <v>1015</v>
      </c>
      <c r="C949" t="s" s="834">
        <v>1016</v>
      </c>
      <c r="D949" s="570"/>
      <c r="E949" s="570"/>
      <c r="F949" s="570"/>
      <c r="G949" s="570"/>
      <c r="H949" s="570"/>
      <c r="I949" s="570"/>
      <c r="J949" s="570"/>
      <c r="K949" s="570"/>
    </row>
    <row r="950" ht="12.75" customHeight="1">
      <c r="A950" s="833">
        <v>71</v>
      </c>
      <c r="B950" t="s" s="834">
        <v>1009</v>
      </c>
      <c r="C950" t="s" s="834">
        <v>1010</v>
      </c>
      <c r="D950" s="835">
        <v>46029</v>
      </c>
      <c r="E950" s="836">
        <v>1.41162037037037</v>
      </c>
      <c r="F950" s="836">
        <v>1.804895833333333</v>
      </c>
      <c r="G950" s="570"/>
      <c r="H950" s="570"/>
      <c r="I950" s="570"/>
      <c r="J950" s="570"/>
      <c r="K950" s="570"/>
    </row>
    <row r="951" ht="12.75" customHeight="1">
      <c r="A951" t="s" s="834">
        <v>1017</v>
      </c>
      <c r="B951" t="s" s="834">
        <v>1018</v>
      </c>
      <c r="C951" t="s" s="834">
        <v>1019</v>
      </c>
      <c r="D951" s="570"/>
      <c r="E951" s="570"/>
      <c r="F951" s="570"/>
      <c r="G951" s="570"/>
      <c r="H951" s="570"/>
      <c r="I951" s="570"/>
      <c r="J951" s="570"/>
      <c r="K951" s="570"/>
    </row>
    <row r="952" ht="12.75" customHeight="1">
      <c r="A952" s="833">
        <v>71</v>
      </c>
      <c r="B952" t="s" s="834">
        <v>1009</v>
      </c>
      <c r="C952" t="s" s="834">
        <v>1010</v>
      </c>
      <c r="D952" s="835">
        <v>46030</v>
      </c>
      <c r="E952" s="836">
        <v>1.421157407407407</v>
      </c>
      <c r="F952" s="836">
        <v>1.787152777777778</v>
      </c>
      <c r="G952" s="570"/>
      <c r="H952" s="570"/>
      <c r="I952" s="570"/>
      <c r="J952" s="570"/>
      <c r="K952" s="570"/>
    </row>
    <row r="953" ht="12.75" customHeight="1">
      <c r="A953" t="s" s="834">
        <v>1020</v>
      </c>
      <c r="B953" t="s" s="834">
        <v>1021</v>
      </c>
      <c r="C953" t="s" s="834">
        <v>1022</v>
      </c>
      <c r="D953" s="570"/>
      <c r="E953" s="570"/>
      <c r="F953" s="570"/>
      <c r="G953" s="570"/>
      <c r="H953" s="570"/>
      <c r="I953" s="570"/>
      <c r="J953" s="570"/>
      <c r="K953" s="570"/>
    </row>
    <row r="954" ht="12.75" customHeight="1">
      <c r="A954" s="833">
        <v>71</v>
      </c>
      <c r="B954" t="s" s="834">
        <v>1009</v>
      </c>
      <c r="C954" t="s" s="834">
        <v>1010</v>
      </c>
      <c r="D954" s="835">
        <v>46031</v>
      </c>
      <c r="E954" s="836">
        <v>1.538935185185185</v>
      </c>
      <c r="F954" s="836">
        <v>1.804155092592592</v>
      </c>
      <c r="G954" s="570"/>
      <c r="H954" s="570"/>
      <c r="I954" s="570"/>
      <c r="J954" s="570"/>
      <c r="K954" s="570"/>
    </row>
    <row r="955" ht="12.75" customHeight="1">
      <c r="A955" t="s" s="834">
        <v>1023</v>
      </c>
      <c r="B955" t="s" s="834">
        <v>1024</v>
      </c>
      <c r="C955" t="s" s="834">
        <v>1025</v>
      </c>
      <c r="D955" s="570"/>
      <c r="E955" s="570"/>
      <c r="F955" s="570"/>
      <c r="G955" s="570"/>
      <c r="H955" s="570"/>
      <c r="I955" s="570"/>
      <c r="J955" s="570"/>
      <c r="K955" s="570"/>
    </row>
    <row r="956" ht="12.75" customHeight="1">
      <c r="A956" s="833">
        <v>71</v>
      </c>
      <c r="B956" t="s" s="834">
        <v>1009</v>
      </c>
      <c r="C956" t="s" s="834">
        <v>1010</v>
      </c>
      <c r="D956" s="835">
        <v>46032</v>
      </c>
      <c r="E956" s="836">
        <v>1.381493055555556</v>
      </c>
      <c r="F956" s="836">
        <v>1.805798611111111</v>
      </c>
      <c r="G956" s="570"/>
      <c r="H956" s="570"/>
      <c r="I956" s="570"/>
      <c r="J956" s="570"/>
      <c r="K956" s="570"/>
    </row>
    <row r="957" ht="12.75" customHeight="1">
      <c r="A957" t="s" s="834">
        <v>1026</v>
      </c>
      <c r="B957" t="s" s="834">
        <v>1027</v>
      </c>
      <c r="C957" t="s" s="834">
        <v>623</v>
      </c>
      <c r="D957" s="570"/>
      <c r="E957" s="570"/>
      <c r="F957" s="570"/>
      <c r="G957" s="570"/>
      <c r="H957" s="570"/>
      <c r="I957" s="570"/>
      <c r="J957" s="570"/>
      <c r="K957" s="570"/>
    </row>
    <row r="958" ht="12.75" customHeight="1">
      <c r="A958" s="833">
        <v>71</v>
      </c>
      <c r="B958" t="s" s="834">
        <v>1009</v>
      </c>
      <c r="C958" t="s" s="834">
        <v>1010</v>
      </c>
      <c r="D958" s="835">
        <v>46033</v>
      </c>
      <c r="E958" t="s" s="834">
        <v>478</v>
      </c>
      <c r="F958" t="s" s="834">
        <v>478</v>
      </c>
      <c r="G958" s="570"/>
      <c r="H958" s="570"/>
      <c r="I958" s="570"/>
      <c r="J958" s="570"/>
      <c r="K958" s="570"/>
    </row>
    <row r="959" ht="12.75" customHeight="1">
      <c r="A959" s="833">
        <v>71</v>
      </c>
      <c r="B959" t="s" s="834">
        <v>1009</v>
      </c>
      <c r="C959" t="s" s="834">
        <v>1010</v>
      </c>
      <c r="D959" s="835">
        <v>46034</v>
      </c>
      <c r="E959" s="836">
        <v>1.37443287037037</v>
      </c>
      <c r="F959" s="836">
        <v>1.812824074074074</v>
      </c>
      <c r="G959" s="570"/>
      <c r="H959" s="570"/>
      <c r="I959" s="570"/>
      <c r="J959" s="570"/>
      <c r="K959" s="570"/>
    </row>
    <row r="960" ht="12.75" customHeight="1">
      <c r="A960" t="s" s="834">
        <v>1028</v>
      </c>
      <c r="B960" t="s" s="834">
        <v>1029</v>
      </c>
      <c r="C960" t="s" s="834">
        <v>1030</v>
      </c>
      <c r="D960" s="570"/>
      <c r="E960" s="570"/>
      <c r="F960" s="570"/>
      <c r="G960" s="570"/>
      <c r="H960" s="570"/>
      <c r="I960" s="570"/>
      <c r="J960" s="570"/>
      <c r="K960" s="570"/>
    </row>
    <row r="961" ht="12.75" customHeight="1">
      <c r="A961" s="833">
        <v>71</v>
      </c>
      <c r="B961" t="s" s="834">
        <v>1009</v>
      </c>
      <c r="C961" t="s" s="834">
        <v>1010</v>
      </c>
      <c r="D961" s="835">
        <v>46035</v>
      </c>
      <c r="E961" s="836">
        <v>1.396041666666667</v>
      </c>
      <c r="F961" s="836">
        <v>1.813993055555556</v>
      </c>
      <c r="G961" s="570"/>
      <c r="H961" s="570"/>
      <c r="I961" s="570"/>
      <c r="J961" s="570"/>
      <c r="K961" s="570"/>
    </row>
    <row r="962" ht="12.75" customHeight="1">
      <c r="A962" t="s" s="834">
        <v>1031</v>
      </c>
      <c r="B962" t="s" s="834">
        <v>1032</v>
      </c>
      <c r="C962" t="s" s="834">
        <v>1033</v>
      </c>
      <c r="D962" s="570"/>
      <c r="E962" s="570"/>
      <c r="F962" s="570"/>
      <c r="G962" s="570"/>
      <c r="H962" s="570"/>
      <c r="I962" s="570"/>
      <c r="J962" s="570"/>
      <c r="K962" s="570"/>
    </row>
    <row r="963" ht="12.75" customHeight="1">
      <c r="A963" s="833">
        <v>71</v>
      </c>
      <c r="B963" t="s" s="834">
        <v>1009</v>
      </c>
      <c r="C963" t="s" s="834">
        <v>1010</v>
      </c>
      <c r="D963" s="835">
        <v>46036</v>
      </c>
      <c r="E963" s="836">
        <v>1.358773148148148</v>
      </c>
      <c r="F963" s="836">
        <v>1.734386574074074</v>
      </c>
      <c r="G963" s="570"/>
      <c r="H963" s="570"/>
      <c r="I963" s="570"/>
      <c r="J963" s="570"/>
      <c r="K963" s="570"/>
    </row>
    <row r="964" ht="12.75" customHeight="1">
      <c r="A964" t="s" s="834">
        <v>1034</v>
      </c>
      <c r="B964" t="s" s="834">
        <v>1035</v>
      </c>
      <c r="C964" t="s" s="834">
        <v>556</v>
      </c>
      <c r="D964" s="570"/>
      <c r="E964" s="570"/>
      <c r="F964" s="570"/>
      <c r="G964" s="570"/>
      <c r="H964" s="570"/>
      <c r="I964" s="570"/>
      <c r="J964" s="570"/>
      <c r="K964" s="570"/>
    </row>
    <row r="965" ht="12.75" customHeight="1">
      <c r="A965" s="833">
        <v>71</v>
      </c>
      <c r="B965" t="s" s="834">
        <v>1009</v>
      </c>
      <c r="C965" t="s" s="834">
        <v>1010</v>
      </c>
      <c r="D965" s="835">
        <v>46037</v>
      </c>
      <c r="E965" s="836">
        <v>1.386921296296296</v>
      </c>
      <c r="F965" s="836">
        <v>1.860694444444444</v>
      </c>
      <c r="G965" s="570"/>
      <c r="H965" s="570"/>
      <c r="I965" s="570"/>
      <c r="J965" s="570"/>
      <c r="K965" s="570"/>
    </row>
    <row r="966" ht="12.75" customHeight="1">
      <c r="A966" t="s" s="834">
        <v>1036</v>
      </c>
      <c r="B966" t="s" s="834">
        <v>1037</v>
      </c>
      <c r="C966" t="s" s="834">
        <v>1038</v>
      </c>
      <c r="D966" s="570"/>
      <c r="E966" s="570"/>
      <c r="F966" s="570"/>
      <c r="G966" s="570"/>
      <c r="H966" s="570"/>
      <c r="I966" s="570"/>
      <c r="J966" s="570"/>
      <c r="K966" s="570"/>
    </row>
    <row r="967" ht="12.75" customHeight="1">
      <c r="A967" s="833">
        <v>71</v>
      </c>
      <c r="B967" t="s" s="834">
        <v>1009</v>
      </c>
      <c r="C967" t="s" s="834">
        <v>1010</v>
      </c>
      <c r="D967" s="835">
        <v>46038</v>
      </c>
      <c r="E967" s="836">
        <v>1.38880787037037</v>
      </c>
      <c r="F967" s="836">
        <v>1.8328125</v>
      </c>
      <c r="G967" s="570"/>
      <c r="H967" s="570"/>
      <c r="I967" s="570"/>
      <c r="J967" s="570"/>
      <c r="K967" s="570"/>
    </row>
    <row r="968" ht="12.75" customHeight="1">
      <c r="A968" t="s" s="834">
        <v>1039</v>
      </c>
      <c r="B968" t="s" s="834">
        <v>1040</v>
      </c>
      <c r="C968" t="s" s="834">
        <v>497</v>
      </c>
      <c r="D968" s="570"/>
      <c r="E968" s="570"/>
      <c r="F968" s="570"/>
      <c r="G968" s="570"/>
      <c r="H968" s="570"/>
      <c r="I968" s="570"/>
      <c r="J968" s="570"/>
      <c r="K968" s="570"/>
    </row>
    <row r="969" ht="12.75" customHeight="1">
      <c r="A969" s="833">
        <v>71</v>
      </c>
      <c r="B969" t="s" s="834">
        <v>1009</v>
      </c>
      <c r="C969" t="s" s="834">
        <v>1010</v>
      </c>
      <c r="D969" s="835">
        <v>46039</v>
      </c>
      <c r="E969" t="s" s="834">
        <v>478</v>
      </c>
      <c r="F969" t="s" s="834">
        <v>478</v>
      </c>
      <c r="G969" s="570"/>
      <c r="H969" s="570"/>
      <c r="I969" s="570"/>
      <c r="J969" s="570"/>
      <c r="K969" s="570"/>
    </row>
    <row r="970" ht="12.75" customHeight="1">
      <c r="A970" s="833">
        <v>71</v>
      </c>
      <c r="B970" t="s" s="834">
        <v>1009</v>
      </c>
      <c r="C970" t="s" s="834">
        <v>1010</v>
      </c>
      <c r="D970" s="835">
        <v>46040</v>
      </c>
      <c r="E970" t="s" s="834">
        <v>478</v>
      </c>
      <c r="F970" t="s" s="834">
        <v>478</v>
      </c>
      <c r="G970" s="570"/>
      <c r="H970" s="570"/>
      <c r="I970" s="570"/>
      <c r="J970" s="570"/>
      <c r="K970" s="570"/>
    </row>
    <row r="971" ht="12.75" customHeight="1">
      <c r="A971" s="833">
        <v>71</v>
      </c>
      <c r="B971" t="s" s="834">
        <v>1009</v>
      </c>
      <c r="C971" t="s" s="834">
        <v>1010</v>
      </c>
      <c r="D971" s="835">
        <v>46041</v>
      </c>
      <c r="E971" s="836">
        <v>1.388819444444444</v>
      </c>
      <c r="F971" s="836">
        <v>1.783912037037037</v>
      </c>
      <c r="G971" s="570"/>
      <c r="H971" s="570"/>
      <c r="I971" s="570"/>
      <c r="J971" s="570"/>
      <c r="K971" s="570"/>
    </row>
    <row r="972" ht="12.75" customHeight="1">
      <c r="A972" t="s" s="834">
        <v>1041</v>
      </c>
      <c r="B972" t="s" s="834">
        <v>1042</v>
      </c>
      <c r="C972" t="s" s="834">
        <v>643</v>
      </c>
      <c r="D972" s="570"/>
      <c r="E972" s="570"/>
      <c r="F972" s="570"/>
      <c r="G972" s="570"/>
      <c r="H972" s="570"/>
      <c r="I972" s="570"/>
      <c r="J972" s="570"/>
      <c r="K972" s="570"/>
    </row>
    <row r="973" ht="12.75" customHeight="1">
      <c r="A973" s="833">
        <v>71</v>
      </c>
      <c r="B973" t="s" s="834">
        <v>1009</v>
      </c>
      <c r="C973" t="s" s="834">
        <v>1010</v>
      </c>
      <c r="D973" s="835">
        <v>46042</v>
      </c>
      <c r="E973" s="836">
        <v>1.393449074074074</v>
      </c>
      <c r="F973" s="836">
        <v>1.784085648148148</v>
      </c>
      <c r="G973" s="570"/>
      <c r="H973" s="570"/>
      <c r="I973" s="570"/>
      <c r="J973" s="570"/>
      <c r="K973" s="570"/>
    </row>
    <row r="974" ht="12.75" customHeight="1">
      <c r="A974" t="s" s="834">
        <v>1043</v>
      </c>
      <c r="B974" t="s" s="834">
        <v>1044</v>
      </c>
      <c r="C974" t="s" s="834">
        <v>668</v>
      </c>
      <c r="D974" s="570"/>
      <c r="E974" s="570"/>
      <c r="F974" s="570"/>
      <c r="G974" s="570"/>
      <c r="H974" s="570"/>
      <c r="I974" s="570"/>
      <c r="J974" s="570"/>
      <c r="K974" s="570"/>
    </row>
    <row r="975" ht="12.75" customHeight="1">
      <c r="A975" s="833">
        <v>71</v>
      </c>
      <c r="B975" t="s" s="834">
        <v>1009</v>
      </c>
      <c r="C975" t="s" s="834">
        <v>1010</v>
      </c>
      <c r="D975" s="835">
        <v>46043</v>
      </c>
      <c r="E975" s="836">
        <v>1.399074074074074</v>
      </c>
      <c r="F975" s="836">
        <v>1.794340277777778</v>
      </c>
      <c r="G975" s="570"/>
      <c r="H975" s="570"/>
      <c r="I975" s="570"/>
      <c r="J975" s="570"/>
      <c r="K975" s="570"/>
    </row>
    <row r="976" ht="12.75" customHeight="1">
      <c r="A976" t="s" s="834">
        <v>1045</v>
      </c>
      <c r="B976" t="s" s="834">
        <v>1046</v>
      </c>
      <c r="C976" t="s" s="834">
        <v>643</v>
      </c>
      <c r="D976" s="570"/>
      <c r="E976" s="570"/>
      <c r="F976" s="570"/>
      <c r="G976" s="570"/>
      <c r="H976" s="570"/>
      <c r="I976" s="570"/>
      <c r="J976" s="570"/>
      <c r="K976" s="570"/>
    </row>
    <row r="977" ht="12.75" customHeight="1">
      <c r="A977" s="833">
        <v>71</v>
      </c>
      <c r="B977" t="s" s="834">
        <v>1009</v>
      </c>
      <c r="C977" t="s" s="834">
        <v>1010</v>
      </c>
      <c r="D977" s="835">
        <v>46044</v>
      </c>
      <c r="E977" s="836">
        <v>1.412384259259259</v>
      </c>
      <c r="F977" s="836">
        <v>1.807835648148148</v>
      </c>
      <c r="G977" s="570"/>
      <c r="H977" s="570"/>
      <c r="I977" s="570"/>
      <c r="J977" s="570"/>
      <c r="K977" s="570"/>
    </row>
    <row r="978" ht="12.75" customHeight="1">
      <c r="A978" t="s" s="834">
        <v>1047</v>
      </c>
      <c r="B978" t="s" s="834">
        <v>1048</v>
      </c>
      <c r="C978" t="s" s="834">
        <v>643</v>
      </c>
      <c r="D978" s="570"/>
      <c r="E978" s="570"/>
      <c r="F978" s="570"/>
      <c r="G978" s="570"/>
      <c r="H978" s="570"/>
      <c r="I978" s="570"/>
      <c r="J978" s="570"/>
      <c r="K978" s="570"/>
    </row>
    <row r="979" ht="12.75" customHeight="1">
      <c r="A979" s="833">
        <v>71</v>
      </c>
      <c r="B979" t="s" s="834">
        <v>1009</v>
      </c>
      <c r="C979" t="s" s="834">
        <v>1010</v>
      </c>
      <c r="D979" s="835">
        <v>46045</v>
      </c>
      <c r="E979" s="836">
        <v>1.412337962962963</v>
      </c>
      <c r="F979" s="836">
        <v>1.835231481481482</v>
      </c>
      <c r="G979" s="570"/>
      <c r="H979" s="570"/>
      <c r="I979" s="570"/>
      <c r="J979" s="570"/>
      <c r="K979" s="570"/>
    </row>
    <row r="980" ht="12.75" customHeight="1">
      <c r="A980" t="s" s="834">
        <v>1049</v>
      </c>
      <c r="B980" t="s" s="834">
        <v>1050</v>
      </c>
      <c r="C980" t="s" s="834">
        <v>971</v>
      </c>
      <c r="D980" s="570"/>
      <c r="E980" s="570"/>
      <c r="F980" s="570"/>
      <c r="G980" s="570"/>
      <c r="H980" s="570"/>
      <c r="I980" s="570"/>
      <c r="J980" s="570"/>
      <c r="K980" s="570"/>
    </row>
    <row r="981" ht="12.75" customHeight="1">
      <c r="A981" s="833">
        <v>71</v>
      </c>
      <c r="B981" t="s" s="834">
        <v>1009</v>
      </c>
      <c r="C981" t="s" s="834">
        <v>1010</v>
      </c>
      <c r="D981" s="835">
        <v>46046</v>
      </c>
      <c r="E981" t="s" s="834">
        <v>478</v>
      </c>
      <c r="F981" t="s" s="834">
        <v>478</v>
      </c>
      <c r="G981" s="570"/>
      <c r="H981" s="570"/>
      <c r="I981" s="570"/>
      <c r="J981" s="570"/>
      <c r="K981" s="570"/>
    </row>
    <row r="982" ht="12.75" customHeight="1">
      <c r="A982" s="833">
        <v>71</v>
      </c>
      <c r="B982" t="s" s="834">
        <v>1009</v>
      </c>
      <c r="C982" t="s" s="834">
        <v>1010</v>
      </c>
      <c r="D982" s="835">
        <v>46047</v>
      </c>
      <c r="E982" t="s" s="834">
        <v>478</v>
      </c>
      <c r="F982" t="s" s="834">
        <v>478</v>
      </c>
      <c r="G982" s="570"/>
      <c r="H982" s="570"/>
      <c r="I982" s="570"/>
      <c r="J982" s="570"/>
      <c r="K982" s="570"/>
    </row>
    <row r="983" ht="12.75" customHeight="1">
      <c r="A983" s="833">
        <v>71</v>
      </c>
      <c r="B983" t="s" s="834">
        <v>1009</v>
      </c>
      <c r="C983" t="s" s="834">
        <v>1010</v>
      </c>
      <c r="D983" s="835">
        <v>46048</v>
      </c>
      <c r="E983" s="836">
        <v>1.576157407407407</v>
      </c>
      <c r="F983" s="836">
        <v>1.770983796296296</v>
      </c>
      <c r="G983" s="570"/>
      <c r="H983" s="570"/>
      <c r="I983" s="570"/>
      <c r="J983" s="570"/>
      <c r="K983" s="570"/>
    </row>
    <row r="984" ht="12.75" customHeight="1">
      <c r="A984" t="s" s="834">
        <v>1051</v>
      </c>
      <c r="B984" t="s" s="834">
        <v>1052</v>
      </c>
      <c r="C984" t="s" s="834">
        <v>1053</v>
      </c>
      <c r="D984" s="570"/>
      <c r="E984" s="570"/>
      <c r="F984" s="570"/>
      <c r="G984" s="570"/>
      <c r="H984" s="570"/>
      <c r="I984" s="570"/>
      <c r="J984" s="570"/>
      <c r="K984" s="570"/>
    </row>
    <row r="985" ht="12.75" customHeight="1">
      <c r="A985" s="833">
        <v>71</v>
      </c>
      <c r="B985" t="s" s="834">
        <v>1009</v>
      </c>
      <c r="C985" t="s" s="834">
        <v>1010</v>
      </c>
      <c r="D985" s="835">
        <v>46049</v>
      </c>
      <c r="E985" s="836">
        <v>1.402048611111111</v>
      </c>
      <c r="F985" s="836">
        <v>1.793958333333333</v>
      </c>
      <c r="G985" s="570"/>
      <c r="H985" s="570"/>
      <c r="I985" s="570"/>
      <c r="J985" s="570"/>
      <c r="K985" s="570"/>
    </row>
    <row r="986" ht="12.75" customHeight="1">
      <c r="A986" t="s" s="834">
        <v>1054</v>
      </c>
      <c r="B986" t="s" s="834">
        <v>1055</v>
      </c>
      <c r="C986" t="s" s="834">
        <v>1056</v>
      </c>
      <c r="D986" s="570"/>
      <c r="E986" s="570"/>
      <c r="F986" s="570"/>
      <c r="G986" s="570"/>
      <c r="H986" s="570"/>
      <c r="I986" s="570"/>
      <c r="J986" s="570"/>
      <c r="K986" s="570"/>
    </row>
    <row r="987" ht="12.75" customHeight="1">
      <c r="A987" s="833">
        <v>71</v>
      </c>
      <c r="B987" t="s" s="834">
        <v>1009</v>
      </c>
      <c r="C987" t="s" s="834">
        <v>1010</v>
      </c>
      <c r="D987" s="835">
        <v>46050</v>
      </c>
      <c r="E987" s="836">
        <v>1.388229166666667</v>
      </c>
      <c r="F987" s="836">
        <v>1.800671296296296</v>
      </c>
      <c r="G987" s="570"/>
      <c r="H987" s="570"/>
      <c r="I987" s="570"/>
      <c r="J987" s="570"/>
      <c r="K987" s="570"/>
    </row>
    <row r="988" ht="12.75" customHeight="1">
      <c r="A988" t="s" s="834">
        <v>1057</v>
      </c>
      <c r="B988" t="s" s="834">
        <v>1058</v>
      </c>
      <c r="C988" t="s" s="834">
        <v>1059</v>
      </c>
      <c r="D988" s="570"/>
      <c r="E988" s="570"/>
      <c r="F988" s="570"/>
      <c r="G988" s="570"/>
      <c r="H988" s="570"/>
      <c r="I988" s="570"/>
      <c r="J988" s="570"/>
      <c r="K988" s="570"/>
    </row>
    <row r="989" ht="12.75" customHeight="1">
      <c r="A989" s="833">
        <v>71</v>
      </c>
      <c r="B989" t="s" s="834">
        <v>1009</v>
      </c>
      <c r="C989" t="s" s="834">
        <v>1010</v>
      </c>
      <c r="D989" s="835">
        <v>46051</v>
      </c>
      <c r="E989" s="836">
        <v>1.38537037037037</v>
      </c>
      <c r="F989" s="836">
        <v>1.841203703703704</v>
      </c>
      <c r="G989" s="570"/>
      <c r="H989" s="570"/>
      <c r="I989" s="570"/>
      <c r="J989" s="570"/>
      <c r="K989" s="570"/>
    </row>
    <row r="990" ht="12.75" customHeight="1">
      <c r="A990" t="s" s="834">
        <v>1060</v>
      </c>
      <c r="B990" t="s" s="834">
        <v>1061</v>
      </c>
      <c r="C990" t="s" s="834">
        <v>1062</v>
      </c>
      <c r="D990" s="570"/>
      <c r="E990" s="570"/>
      <c r="F990" s="570"/>
      <c r="G990" s="570"/>
      <c r="H990" s="570"/>
      <c r="I990" s="570"/>
      <c r="J990" s="570"/>
      <c r="K990" s="570"/>
    </row>
    <row r="991" ht="12.75" customHeight="1">
      <c r="A991" s="833">
        <v>71</v>
      </c>
      <c r="B991" t="s" s="834">
        <v>1009</v>
      </c>
      <c r="C991" t="s" s="834">
        <v>1010</v>
      </c>
      <c r="D991" s="835">
        <v>46052</v>
      </c>
      <c r="E991" s="836">
        <v>1.558831018518518</v>
      </c>
      <c r="F991" s="836">
        <v>1.825115740740741</v>
      </c>
      <c r="G991" s="570"/>
      <c r="H991" s="570"/>
      <c r="I991" s="570"/>
      <c r="J991" s="570"/>
      <c r="K991" s="570"/>
    </row>
    <row r="992" ht="12.75" customHeight="1">
      <c r="A992" t="s" s="834">
        <v>1063</v>
      </c>
      <c r="B992" t="s" s="834">
        <v>1064</v>
      </c>
      <c r="C992" t="s" s="834">
        <v>1065</v>
      </c>
      <c r="D992" s="570"/>
      <c r="E992" s="570"/>
      <c r="F992" s="570"/>
      <c r="G992" s="570"/>
      <c r="H992" s="570"/>
      <c r="I992" s="570"/>
      <c r="J992" s="570"/>
      <c r="K992" s="570"/>
    </row>
    <row r="993" ht="12.75" customHeight="1">
      <c r="A993" s="833">
        <v>71</v>
      </c>
      <c r="B993" t="s" s="834">
        <v>1009</v>
      </c>
      <c r="C993" t="s" s="834">
        <v>1010</v>
      </c>
      <c r="D993" s="835">
        <v>46053</v>
      </c>
      <c r="E993" t="s" s="834">
        <v>478</v>
      </c>
      <c r="F993" t="s" s="834">
        <v>478</v>
      </c>
      <c r="G993" s="570"/>
      <c r="H993" s="570"/>
      <c r="I993" s="570"/>
      <c r="J993" s="570"/>
      <c r="K993" s="570"/>
    </row>
    <row r="994" ht="12.75" customHeight="1">
      <c r="A994" s="833">
        <v>71</v>
      </c>
      <c r="B994" t="s" s="834">
        <v>1009</v>
      </c>
      <c r="C994" t="s" s="834">
        <v>1010</v>
      </c>
      <c r="D994" s="835">
        <v>46054</v>
      </c>
      <c r="E994" t="s" s="834">
        <v>478</v>
      </c>
      <c r="F994" t="s" s="834">
        <v>478</v>
      </c>
      <c r="G994" s="570"/>
      <c r="H994" s="570"/>
      <c r="I994" s="570"/>
      <c r="J994" s="570"/>
      <c r="K994" s="570"/>
    </row>
    <row r="995" ht="12.75" customHeight="1">
      <c r="A995" s="833">
        <v>74</v>
      </c>
      <c r="B995" t="s" s="834">
        <v>1066</v>
      </c>
      <c r="C995" t="s" s="834">
        <v>1067</v>
      </c>
      <c r="D995" s="835">
        <v>46023</v>
      </c>
      <c r="E995" t="s" s="834">
        <v>478</v>
      </c>
      <c r="F995" t="s" s="834">
        <v>478</v>
      </c>
      <c r="G995" s="570"/>
      <c r="H995" s="570"/>
      <c r="I995" s="570"/>
      <c r="J995" s="570"/>
      <c r="K995" s="570"/>
    </row>
    <row r="996" ht="12.75" customHeight="1">
      <c r="A996" s="833">
        <v>74</v>
      </c>
      <c r="B996" t="s" s="834">
        <v>1066</v>
      </c>
      <c r="C996" t="s" s="834">
        <v>1067</v>
      </c>
      <c r="D996" s="835">
        <v>46024</v>
      </c>
      <c r="E996" t="s" s="834">
        <v>478</v>
      </c>
      <c r="F996" t="s" s="834">
        <v>478</v>
      </c>
      <c r="G996" s="570"/>
      <c r="H996" s="570"/>
      <c r="I996" s="570"/>
      <c r="J996" s="570"/>
      <c r="K996" s="570"/>
    </row>
    <row r="997" ht="12.75" customHeight="1">
      <c r="A997" s="833">
        <v>74</v>
      </c>
      <c r="B997" t="s" s="834">
        <v>1066</v>
      </c>
      <c r="C997" t="s" s="834">
        <v>1067</v>
      </c>
      <c r="D997" s="835">
        <v>46025</v>
      </c>
      <c r="E997" t="s" s="834">
        <v>478</v>
      </c>
      <c r="F997" t="s" s="834">
        <v>478</v>
      </c>
      <c r="G997" s="570"/>
      <c r="H997" s="570"/>
      <c r="I997" s="570"/>
      <c r="J997" s="570"/>
      <c r="K997" s="570"/>
    </row>
    <row r="998" ht="12.75" customHeight="1">
      <c r="A998" s="833">
        <v>74</v>
      </c>
      <c r="B998" t="s" s="834">
        <v>1066</v>
      </c>
      <c r="C998" t="s" s="834">
        <v>1067</v>
      </c>
      <c r="D998" s="835">
        <v>46026</v>
      </c>
      <c r="E998" t="s" s="834">
        <v>478</v>
      </c>
      <c r="F998" t="s" s="834">
        <v>478</v>
      </c>
      <c r="G998" s="570"/>
      <c r="H998" s="570"/>
      <c r="I998" s="570"/>
      <c r="J998" s="570"/>
      <c r="K998" s="570"/>
    </row>
    <row r="999" ht="12.75" customHeight="1">
      <c r="A999" s="833">
        <v>74</v>
      </c>
      <c r="B999" t="s" s="834">
        <v>1066</v>
      </c>
      <c r="C999" t="s" s="834">
        <v>1067</v>
      </c>
      <c r="D999" s="835">
        <v>46027</v>
      </c>
      <c r="E999" t="s" s="834">
        <v>478</v>
      </c>
      <c r="F999" t="s" s="834">
        <v>478</v>
      </c>
      <c r="G999" s="570"/>
      <c r="H999" s="570"/>
      <c r="I999" s="570"/>
      <c r="J999" s="570"/>
      <c r="K999" s="570"/>
    </row>
    <row r="1000" ht="12.75" customHeight="1">
      <c r="A1000" s="833">
        <v>74</v>
      </c>
      <c r="B1000" t="s" s="834">
        <v>1066</v>
      </c>
      <c r="C1000" t="s" s="834">
        <v>1067</v>
      </c>
      <c r="D1000" s="835">
        <v>46028</v>
      </c>
      <c r="E1000" t="s" s="834">
        <v>478</v>
      </c>
      <c r="F1000" t="s" s="834">
        <v>478</v>
      </c>
      <c r="G1000" s="570"/>
      <c r="H1000" s="570"/>
      <c r="I1000" s="570"/>
      <c r="J1000" s="570"/>
      <c r="K1000" s="570"/>
    </row>
    <row r="1001" ht="12.75" customHeight="1">
      <c r="A1001" s="833">
        <v>74</v>
      </c>
      <c r="B1001" t="s" s="834">
        <v>1066</v>
      </c>
      <c r="C1001" t="s" s="834">
        <v>1067</v>
      </c>
      <c r="D1001" s="835">
        <v>46029</v>
      </c>
      <c r="E1001" t="s" s="834">
        <v>478</v>
      </c>
      <c r="F1001" t="s" s="834">
        <v>478</v>
      </c>
      <c r="G1001" s="570"/>
      <c r="H1001" s="570"/>
      <c r="I1001" s="570"/>
      <c r="J1001" s="570"/>
      <c r="K1001" s="570"/>
    </row>
    <row r="1002" ht="12.75" customHeight="1">
      <c r="A1002" s="833">
        <v>74</v>
      </c>
      <c r="B1002" t="s" s="834">
        <v>1066</v>
      </c>
      <c r="C1002" t="s" s="834">
        <v>1067</v>
      </c>
      <c r="D1002" s="835">
        <v>46030</v>
      </c>
      <c r="E1002" t="s" s="834">
        <v>478</v>
      </c>
      <c r="F1002" t="s" s="834">
        <v>478</v>
      </c>
      <c r="G1002" s="570"/>
      <c r="H1002" s="570"/>
      <c r="I1002" s="570"/>
      <c r="J1002" s="570"/>
      <c r="K1002" s="570"/>
    </row>
    <row r="1003" ht="12.75" customHeight="1">
      <c r="A1003" s="833">
        <v>74</v>
      </c>
      <c r="B1003" t="s" s="834">
        <v>1066</v>
      </c>
      <c r="C1003" t="s" s="834">
        <v>1067</v>
      </c>
      <c r="D1003" s="835">
        <v>46031</v>
      </c>
      <c r="E1003" t="s" s="834">
        <v>478</v>
      </c>
      <c r="F1003" t="s" s="834">
        <v>478</v>
      </c>
      <c r="G1003" s="570"/>
      <c r="H1003" s="570"/>
      <c r="I1003" s="570"/>
      <c r="J1003" s="570"/>
      <c r="K1003" s="570"/>
    </row>
    <row r="1004" ht="12.75" customHeight="1">
      <c r="A1004" s="833">
        <v>74</v>
      </c>
      <c r="B1004" t="s" s="834">
        <v>1066</v>
      </c>
      <c r="C1004" t="s" s="834">
        <v>1067</v>
      </c>
      <c r="D1004" s="835">
        <v>46032</v>
      </c>
      <c r="E1004" t="s" s="834">
        <v>478</v>
      </c>
      <c r="F1004" t="s" s="834">
        <v>478</v>
      </c>
      <c r="G1004" s="570"/>
      <c r="H1004" s="570"/>
      <c r="I1004" s="570"/>
      <c r="J1004" s="570"/>
      <c r="K1004" s="570"/>
    </row>
    <row r="1005" ht="12.75" customHeight="1">
      <c r="A1005" s="833">
        <v>74</v>
      </c>
      <c r="B1005" t="s" s="834">
        <v>1066</v>
      </c>
      <c r="C1005" t="s" s="834">
        <v>1067</v>
      </c>
      <c r="D1005" s="835">
        <v>46033</v>
      </c>
      <c r="E1005" t="s" s="834">
        <v>478</v>
      </c>
      <c r="F1005" t="s" s="834">
        <v>478</v>
      </c>
      <c r="G1005" s="570"/>
      <c r="H1005" s="570"/>
      <c r="I1005" s="570"/>
      <c r="J1005" s="570"/>
      <c r="K1005" s="570"/>
    </row>
    <row r="1006" ht="12.75" customHeight="1">
      <c r="A1006" s="833">
        <v>74</v>
      </c>
      <c r="B1006" t="s" s="834">
        <v>1066</v>
      </c>
      <c r="C1006" t="s" s="834">
        <v>1067</v>
      </c>
      <c r="D1006" s="835">
        <v>46034</v>
      </c>
      <c r="E1006" t="s" s="834">
        <v>478</v>
      </c>
      <c r="F1006" t="s" s="834">
        <v>478</v>
      </c>
      <c r="G1006" s="570"/>
      <c r="H1006" s="570"/>
      <c r="I1006" s="570"/>
      <c r="J1006" s="570"/>
      <c r="K1006" s="570"/>
    </row>
    <row r="1007" ht="12.75" customHeight="1">
      <c r="A1007" s="833">
        <v>74</v>
      </c>
      <c r="B1007" t="s" s="834">
        <v>1066</v>
      </c>
      <c r="C1007" t="s" s="834">
        <v>1067</v>
      </c>
      <c r="D1007" s="835">
        <v>46035</v>
      </c>
      <c r="E1007" t="s" s="834">
        <v>478</v>
      </c>
      <c r="F1007" t="s" s="834">
        <v>478</v>
      </c>
      <c r="G1007" s="570"/>
      <c r="H1007" s="570"/>
      <c r="I1007" s="570"/>
      <c r="J1007" s="570"/>
      <c r="K1007" s="570"/>
    </row>
    <row r="1008" ht="12.75" customHeight="1">
      <c r="A1008" s="833">
        <v>74</v>
      </c>
      <c r="B1008" t="s" s="834">
        <v>1066</v>
      </c>
      <c r="C1008" t="s" s="834">
        <v>1067</v>
      </c>
      <c r="D1008" s="835">
        <v>46036</v>
      </c>
      <c r="E1008" t="s" s="834">
        <v>478</v>
      </c>
      <c r="F1008" t="s" s="834">
        <v>478</v>
      </c>
      <c r="G1008" s="570"/>
      <c r="H1008" s="570"/>
      <c r="I1008" s="570"/>
      <c r="J1008" s="570"/>
      <c r="K1008" s="570"/>
    </row>
    <row r="1009" ht="12.75" customHeight="1">
      <c r="A1009" s="833">
        <v>74</v>
      </c>
      <c r="B1009" t="s" s="834">
        <v>1066</v>
      </c>
      <c r="C1009" t="s" s="834">
        <v>1067</v>
      </c>
      <c r="D1009" s="835">
        <v>46037</v>
      </c>
      <c r="E1009" t="s" s="834">
        <v>478</v>
      </c>
      <c r="F1009" t="s" s="834">
        <v>478</v>
      </c>
      <c r="G1009" s="570"/>
      <c r="H1009" s="570"/>
      <c r="I1009" s="570"/>
      <c r="J1009" s="570"/>
      <c r="K1009" s="570"/>
    </row>
    <row r="1010" ht="12.75" customHeight="1">
      <c r="A1010" s="833">
        <v>74</v>
      </c>
      <c r="B1010" t="s" s="834">
        <v>1066</v>
      </c>
      <c r="C1010" t="s" s="834">
        <v>1067</v>
      </c>
      <c r="D1010" s="835">
        <v>46038</v>
      </c>
      <c r="E1010" t="s" s="834">
        <v>478</v>
      </c>
      <c r="F1010" t="s" s="834">
        <v>478</v>
      </c>
      <c r="G1010" s="570"/>
      <c r="H1010" s="570"/>
      <c r="I1010" s="570"/>
      <c r="J1010" s="570"/>
      <c r="K1010" s="570"/>
    </row>
    <row r="1011" ht="12.75" customHeight="1">
      <c r="A1011" s="833">
        <v>74</v>
      </c>
      <c r="B1011" t="s" s="834">
        <v>1066</v>
      </c>
      <c r="C1011" t="s" s="834">
        <v>1067</v>
      </c>
      <c r="D1011" s="835">
        <v>46039</v>
      </c>
      <c r="E1011" t="s" s="834">
        <v>478</v>
      </c>
      <c r="F1011" t="s" s="834">
        <v>478</v>
      </c>
      <c r="G1011" s="570"/>
      <c r="H1011" s="570"/>
      <c r="I1011" s="570"/>
      <c r="J1011" s="570"/>
      <c r="K1011" s="570"/>
    </row>
    <row r="1012" ht="12.75" customHeight="1">
      <c r="A1012" s="833">
        <v>74</v>
      </c>
      <c r="B1012" t="s" s="834">
        <v>1066</v>
      </c>
      <c r="C1012" t="s" s="834">
        <v>1067</v>
      </c>
      <c r="D1012" s="835">
        <v>46040</v>
      </c>
      <c r="E1012" t="s" s="834">
        <v>478</v>
      </c>
      <c r="F1012" t="s" s="834">
        <v>478</v>
      </c>
      <c r="G1012" s="570"/>
      <c r="H1012" s="570"/>
      <c r="I1012" s="570"/>
      <c r="J1012" s="570"/>
      <c r="K1012" s="570"/>
    </row>
    <row r="1013" ht="12.75" customHeight="1">
      <c r="A1013" s="833">
        <v>74</v>
      </c>
      <c r="B1013" t="s" s="834">
        <v>1066</v>
      </c>
      <c r="C1013" t="s" s="834">
        <v>1067</v>
      </c>
      <c r="D1013" s="835">
        <v>46041</v>
      </c>
      <c r="E1013" s="836">
        <v>1.36349537037037</v>
      </c>
      <c r="F1013" s="836">
        <v>1.373576388888889</v>
      </c>
      <c r="G1013" s="570"/>
      <c r="H1013" s="570"/>
      <c r="I1013" s="570"/>
      <c r="J1013" s="570"/>
      <c r="K1013" s="570"/>
    </row>
    <row r="1014" ht="12.75" customHeight="1">
      <c r="A1014" t="s" s="834">
        <v>1068</v>
      </c>
      <c r="B1014" t="s" s="834">
        <v>1069</v>
      </c>
      <c r="C1014" t="s" s="834">
        <v>1070</v>
      </c>
      <c r="D1014" s="570"/>
      <c r="E1014" s="570"/>
      <c r="F1014" s="570"/>
      <c r="G1014" s="570"/>
      <c r="H1014" s="570"/>
      <c r="I1014" s="570"/>
      <c r="J1014" s="570"/>
      <c r="K1014" s="570"/>
    </row>
    <row r="1015" ht="12.75" customHeight="1">
      <c r="A1015" s="833">
        <v>74</v>
      </c>
      <c r="B1015" t="s" s="834">
        <v>1066</v>
      </c>
      <c r="C1015" t="s" s="834">
        <v>1067</v>
      </c>
      <c r="D1015" s="835">
        <v>46042</v>
      </c>
      <c r="E1015" t="s" s="834">
        <v>478</v>
      </c>
      <c r="F1015" t="s" s="834">
        <v>478</v>
      </c>
      <c r="G1015" s="570"/>
      <c r="H1015" s="570"/>
      <c r="I1015" s="570"/>
      <c r="J1015" s="570"/>
      <c r="K1015" s="570"/>
    </row>
    <row r="1016" ht="12.75" customHeight="1">
      <c r="A1016" s="833">
        <v>74</v>
      </c>
      <c r="B1016" t="s" s="834">
        <v>1066</v>
      </c>
      <c r="C1016" t="s" s="834">
        <v>1067</v>
      </c>
      <c r="D1016" s="835">
        <v>46043</v>
      </c>
      <c r="E1016" t="s" s="834">
        <v>478</v>
      </c>
      <c r="F1016" t="s" s="834">
        <v>478</v>
      </c>
      <c r="G1016" s="570"/>
      <c r="H1016" s="570"/>
      <c r="I1016" s="570"/>
      <c r="J1016" s="570"/>
      <c r="K1016" s="570"/>
    </row>
    <row r="1017" ht="12.75" customHeight="1">
      <c r="A1017" s="833">
        <v>74</v>
      </c>
      <c r="B1017" t="s" s="834">
        <v>1066</v>
      </c>
      <c r="C1017" t="s" s="834">
        <v>1067</v>
      </c>
      <c r="D1017" s="835">
        <v>46044</v>
      </c>
      <c r="E1017" s="836">
        <v>1.767152777777778</v>
      </c>
      <c r="F1017" s="836">
        <v>1.7671875</v>
      </c>
      <c r="G1017" s="570"/>
      <c r="H1017" s="570"/>
      <c r="I1017" s="570"/>
      <c r="J1017" s="570"/>
      <c r="K1017" s="570"/>
    </row>
    <row r="1018" ht="12.75" customHeight="1">
      <c r="A1018" t="s" s="834">
        <v>1071</v>
      </c>
      <c r="B1018" t="s" s="834">
        <v>1072</v>
      </c>
      <c r="C1018" t="s" s="834">
        <v>486</v>
      </c>
      <c r="D1018" s="570"/>
      <c r="E1018" s="570"/>
      <c r="F1018" s="570"/>
      <c r="G1018" s="570"/>
      <c r="H1018" s="570"/>
      <c r="I1018" s="570"/>
      <c r="J1018" s="570"/>
      <c r="K1018" s="570"/>
    </row>
    <row r="1019" ht="12.75" customHeight="1">
      <c r="A1019" s="833">
        <v>74</v>
      </c>
      <c r="B1019" t="s" s="834">
        <v>1066</v>
      </c>
      <c r="C1019" t="s" s="834">
        <v>1067</v>
      </c>
      <c r="D1019" s="835">
        <v>46045</v>
      </c>
      <c r="E1019" t="s" s="834">
        <v>478</v>
      </c>
      <c r="F1019" t="s" s="834">
        <v>478</v>
      </c>
      <c r="G1019" s="570"/>
      <c r="H1019" s="570"/>
      <c r="I1019" s="570"/>
      <c r="J1019" s="570"/>
      <c r="K1019" s="570"/>
    </row>
    <row r="1020" ht="12.75" customHeight="1">
      <c r="A1020" s="833">
        <v>74</v>
      </c>
      <c r="B1020" t="s" s="834">
        <v>1066</v>
      </c>
      <c r="C1020" t="s" s="834">
        <v>1067</v>
      </c>
      <c r="D1020" s="835">
        <v>46046</v>
      </c>
      <c r="E1020" t="s" s="834">
        <v>478</v>
      </c>
      <c r="F1020" t="s" s="834">
        <v>478</v>
      </c>
      <c r="G1020" s="570"/>
      <c r="H1020" s="570"/>
      <c r="I1020" s="570"/>
      <c r="J1020" s="570"/>
      <c r="K1020" s="570"/>
    </row>
    <row r="1021" ht="12.75" customHeight="1">
      <c r="A1021" s="833">
        <v>74</v>
      </c>
      <c r="B1021" t="s" s="834">
        <v>1066</v>
      </c>
      <c r="C1021" t="s" s="834">
        <v>1067</v>
      </c>
      <c r="D1021" s="835">
        <v>46047</v>
      </c>
      <c r="E1021" t="s" s="834">
        <v>478</v>
      </c>
      <c r="F1021" t="s" s="834">
        <v>478</v>
      </c>
      <c r="G1021" s="570"/>
      <c r="H1021" s="570"/>
      <c r="I1021" s="570"/>
      <c r="J1021" s="570"/>
      <c r="K1021" s="570"/>
    </row>
    <row r="1022" ht="12.75" customHeight="1">
      <c r="A1022" s="833">
        <v>74</v>
      </c>
      <c r="B1022" t="s" s="834">
        <v>1066</v>
      </c>
      <c r="C1022" t="s" s="834">
        <v>1067</v>
      </c>
      <c r="D1022" s="835">
        <v>46048</v>
      </c>
      <c r="E1022" t="s" s="834">
        <v>478</v>
      </c>
      <c r="F1022" t="s" s="834">
        <v>478</v>
      </c>
      <c r="G1022" s="570"/>
      <c r="H1022" s="570"/>
      <c r="I1022" s="570"/>
      <c r="J1022" s="570"/>
      <c r="K1022" s="570"/>
    </row>
    <row r="1023" ht="12.75" customHeight="1">
      <c r="A1023" s="833">
        <v>74</v>
      </c>
      <c r="B1023" t="s" s="834">
        <v>1066</v>
      </c>
      <c r="C1023" t="s" s="834">
        <v>1067</v>
      </c>
      <c r="D1023" s="835">
        <v>46049</v>
      </c>
      <c r="E1023" t="s" s="834">
        <v>478</v>
      </c>
      <c r="F1023" t="s" s="834">
        <v>478</v>
      </c>
      <c r="G1023" s="570"/>
      <c r="H1023" s="570"/>
      <c r="I1023" s="570"/>
      <c r="J1023" s="570"/>
      <c r="K1023" s="570"/>
    </row>
    <row r="1024" ht="12.75" customHeight="1">
      <c r="A1024" s="833">
        <v>74</v>
      </c>
      <c r="B1024" t="s" s="834">
        <v>1066</v>
      </c>
      <c r="C1024" t="s" s="834">
        <v>1067</v>
      </c>
      <c r="D1024" s="835">
        <v>46050</v>
      </c>
      <c r="E1024" t="s" s="834">
        <v>478</v>
      </c>
      <c r="F1024" t="s" s="834">
        <v>478</v>
      </c>
      <c r="G1024" s="570"/>
      <c r="H1024" s="570"/>
      <c r="I1024" s="570"/>
      <c r="J1024" s="570"/>
      <c r="K1024" s="570"/>
    </row>
    <row r="1025" ht="12.75" customHeight="1">
      <c r="A1025" s="833">
        <v>74</v>
      </c>
      <c r="B1025" t="s" s="834">
        <v>1066</v>
      </c>
      <c r="C1025" t="s" s="834">
        <v>1067</v>
      </c>
      <c r="D1025" s="835">
        <v>46051</v>
      </c>
      <c r="E1025" s="836">
        <v>1.622708333333333</v>
      </c>
      <c r="F1025" s="836">
        <v>1.623078703703704</v>
      </c>
      <c r="G1025" s="570"/>
      <c r="H1025" s="570"/>
      <c r="I1025" s="570"/>
      <c r="J1025" s="570"/>
      <c r="K1025" s="570"/>
    </row>
    <row r="1026" ht="12.75" customHeight="1">
      <c r="A1026" t="s" s="834">
        <v>1073</v>
      </c>
      <c r="B1026" t="s" s="834">
        <v>1074</v>
      </c>
      <c r="C1026" t="s" s="834">
        <v>805</v>
      </c>
      <c r="D1026" s="570"/>
      <c r="E1026" s="570"/>
      <c r="F1026" s="570"/>
      <c r="G1026" s="570"/>
      <c r="H1026" s="570"/>
      <c r="I1026" s="570"/>
      <c r="J1026" s="570"/>
      <c r="K1026" s="570"/>
    </row>
    <row r="1027" ht="12.75" customHeight="1">
      <c r="A1027" s="833">
        <v>74</v>
      </c>
      <c r="B1027" t="s" s="834">
        <v>1066</v>
      </c>
      <c r="C1027" t="s" s="834">
        <v>1067</v>
      </c>
      <c r="D1027" s="835">
        <v>46052</v>
      </c>
      <c r="E1027" t="s" s="834">
        <v>478</v>
      </c>
      <c r="F1027" t="s" s="834">
        <v>478</v>
      </c>
      <c r="G1027" s="570"/>
      <c r="H1027" s="570"/>
      <c r="I1027" s="570"/>
      <c r="J1027" s="570"/>
      <c r="K1027" s="570"/>
    </row>
    <row r="1028" ht="12.75" customHeight="1">
      <c r="A1028" s="833">
        <v>74</v>
      </c>
      <c r="B1028" t="s" s="834">
        <v>1066</v>
      </c>
      <c r="C1028" t="s" s="834">
        <v>1067</v>
      </c>
      <c r="D1028" s="835">
        <v>46053</v>
      </c>
      <c r="E1028" t="s" s="834">
        <v>478</v>
      </c>
      <c r="F1028" t="s" s="834">
        <v>478</v>
      </c>
      <c r="G1028" s="570"/>
      <c r="H1028" s="570"/>
      <c r="I1028" s="570"/>
      <c r="J1028" s="570"/>
      <c r="K1028" s="570"/>
    </row>
    <row r="1029" ht="12.75" customHeight="1">
      <c r="A1029" s="833">
        <v>74</v>
      </c>
      <c r="B1029" t="s" s="834">
        <v>1066</v>
      </c>
      <c r="C1029" t="s" s="834">
        <v>1067</v>
      </c>
      <c r="D1029" s="835">
        <v>46054</v>
      </c>
      <c r="E1029" t="s" s="834">
        <v>478</v>
      </c>
      <c r="F1029" t="s" s="834">
        <v>478</v>
      </c>
      <c r="G1029" s="570"/>
      <c r="H1029" s="570"/>
      <c r="I1029" s="570"/>
      <c r="J1029" s="570"/>
      <c r="K1029" s="570"/>
    </row>
    <row r="1030" ht="12.75" customHeight="1">
      <c r="A1030" s="833">
        <v>76</v>
      </c>
      <c r="B1030" t="s" s="834">
        <v>1075</v>
      </c>
      <c r="C1030" t="s" s="834">
        <v>892</v>
      </c>
      <c r="D1030" s="835">
        <v>46023</v>
      </c>
      <c r="E1030" t="s" s="834">
        <v>478</v>
      </c>
      <c r="F1030" t="s" s="834">
        <v>478</v>
      </c>
      <c r="G1030" s="570"/>
      <c r="H1030" s="570"/>
      <c r="I1030" s="570"/>
      <c r="J1030" s="570"/>
      <c r="K1030" s="570"/>
    </row>
    <row r="1031" ht="12.75" customHeight="1">
      <c r="A1031" s="833">
        <v>76</v>
      </c>
      <c r="B1031" t="s" s="834">
        <v>1075</v>
      </c>
      <c r="C1031" t="s" s="834">
        <v>892</v>
      </c>
      <c r="D1031" s="835">
        <v>46024</v>
      </c>
      <c r="E1031" t="s" s="834">
        <v>478</v>
      </c>
      <c r="F1031" t="s" s="834">
        <v>478</v>
      </c>
      <c r="G1031" s="570"/>
      <c r="H1031" s="570"/>
      <c r="I1031" s="570"/>
      <c r="J1031" s="570"/>
      <c r="K1031" s="570"/>
    </row>
    <row r="1032" ht="12.75" customHeight="1">
      <c r="A1032" s="833">
        <v>76</v>
      </c>
      <c r="B1032" t="s" s="834">
        <v>1075</v>
      </c>
      <c r="C1032" t="s" s="834">
        <v>892</v>
      </c>
      <c r="D1032" s="835">
        <v>46025</v>
      </c>
      <c r="E1032" t="s" s="834">
        <v>478</v>
      </c>
      <c r="F1032" t="s" s="834">
        <v>478</v>
      </c>
      <c r="G1032" s="570"/>
      <c r="H1032" s="570"/>
      <c r="I1032" s="570"/>
      <c r="J1032" s="570"/>
      <c r="K1032" s="570"/>
    </row>
    <row r="1033" ht="12.75" customHeight="1">
      <c r="A1033" s="833">
        <v>76</v>
      </c>
      <c r="B1033" t="s" s="834">
        <v>1075</v>
      </c>
      <c r="C1033" t="s" s="834">
        <v>892</v>
      </c>
      <c r="D1033" s="835">
        <v>46026</v>
      </c>
      <c r="E1033" t="s" s="834">
        <v>478</v>
      </c>
      <c r="F1033" t="s" s="834">
        <v>478</v>
      </c>
      <c r="G1033" s="570"/>
      <c r="H1033" s="570"/>
      <c r="I1033" s="570"/>
      <c r="J1033" s="570"/>
      <c r="K1033" s="570"/>
    </row>
    <row r="1034" ht="12.75" customHeight="1">
      <c r="A1034" s="833">
        <v>76</v>
      </c>
      <c r="B1034" t="s" s="834">
        <v>1075</v>
      </c>
      <c r="C1034" t="s" s="834">
        <v>892</v>
      </c>
      <c r="D1034" s="835">
        <v>46027</v>
      </c>
      <c r="E1034" s="836">
        <v>1.561111111111111</v>
      </c>
      <c r="F1034" s="836">
        <v>1.752210648148148</v>
      </c>
      <c r="G1034" s="570"/>
      <c r="H1034" s="570"/>
      <c r="I1034" s="570"/>
      <c r="J1034" s="570"/>
      <c r="K1034" s="570"/>
    </row>
    <row r="1035" ht="12.75" customHeight="1">
      <c r="A1035" t="s" s="834">
        <v>1076</v>
      </c>
      <c r="B1035" t="s" s="834">
        <v>1077</v>
      </c>
      <c r="C1035" t="s" s="834">
        <v>1078</v>
      </c>
      <c r="D1035" s="570"/>
      <c r="E1035" s="570"/>
      <c r="F1035" s="570"/>
      <c r="G1035" s="570"/>
      <c r="H1035" s="570"/>
      <c r="I1035" s="570"/>
      <c r="J1035" s="570"/>
      <c r="K1035" s="570"/>
    </row>
    <row r="1036" ht="12.75" customHeight="1">
      <c r="A1036" s="833">
        <v>76</v>
      </c>
      <c r="B1036" t="s" s="834">
        <v>1075</v>
      </c>
      <c r="C1036" t="s" s="834">
        <v>892</v>
      </c>
      <c r="D1036" s="835">
        <v>46028</v>
      </c>
      <c r="E1036" s="836">
        <v>1.362893518518518</v>
      </c>
      <c r="F1036" s="836">
        <v>1.761863425925926</v>
      </c>
      <c r="G1036" s="570"/>
      <c r="H1036" s="570"/>
      <c r="I1036" s="570"/>
      <c r="J1036" s="570"/>
      <c r="K1036" s="570"/>
    </row>
    <row r="1037" ht="12.75" customHeight="1">
      <c r="A1037" t="s" s="834">
        <v>1079</v>
      </c>
      <c r="B1037" t="s" s="834">
        <v>1080</v>
      </c>
      <c r="C1037" t="s" s="834">
        <v>515</v>
      </c>
      <c r="D1037" s="570"/>
      <c r="E1037" s="570"/>
      <c r="F1037" s="570"/>
      <c r="G1037" s="570"/>
      <c r="H1037" s="570"/>
      <c r="I1037" s="570"/>
      <c r="J1037" s="570"/>
      <c r="K1037" s="570"/>
    </row>
    <row r="1038" ht="12.75" customHeight="1">
      <c r="A1038" s="833">
        <v>76</v>
      </c>
      <c r="B1038" t="s" s="834">
        <v>1075</v>
      </c>
      <c r="C1038" t="s" s="834">
        <v>892</v>
      </c>
      <c r="D1038" s="835">
        <v>46029</v>
      </c>
      <c r="E1038" s="836">
        <v>1.356469907407407</v>
      </c>
      <c r="F1038" s="836">
        <v>1.780289351851852</v>
      </c>
      <c r="G1038" s="570"/>
      <c r="H1038" s="570"/>
      <c r="I1038" s="570"/>
      <c r="J1038" s="570"/>
      <c r="K1038" s="570"/>
    </row>
    <row r="1039" ht="12.75" customHeight="1">
      <c r="A1039" t="s" s="834">
        <v>1081</v>
      </c>
      <c r="B1039" t="s" s="834">
        <v>1082</v>
      </c>
      <c r="C1039" t="s" s="834">
        <v>649</v>
      </c>
      <c r="D1039" s="570"/>
      <c r="E1039" s="570"/>
      <c r="F1039" s="570"/>
      <c r="G1039" s="570"/>
      <c r="H1039" s="570"/>
      <c r="I1039" s="570"/>
      <c r="J1039" s="570"/>
      <c r="K1039" s="570"/>
    </row>
    <row r="1040" ht="12.75" customHeight="1">
      <c r="A1040" s="833">
        <v>76</v>
      </c>
      <c r="B1040" t="s" s="834">
        <v>1075</v>
      </c>
      <c r="C1040" t="s" s="834">
        <v>892</v>
      </c>
      <c r="D1040" s="835">
        <v>46030</v>
      </c>
      <c r="E1040" s="836">
        <v>1.564918981481481</v>
      </c>
      <c r="F1040" s="836">
        <v>1.783148148148148</v>
      </c>
      <c r="G1040" s="570"/>
      <c r="H1040" s="570"/>
      <c r="I1040" s="570"/>
      <c r="J1040" s="570"/>
      <c r="K1040" s="570"/>
    </row>
    <row r="1041" ht="12.75" customHeight="1">
      <c r="A1041" t="s" s="834">
        <v>1083</v>
      </c>
      <c r="B1041" t="s" s="834">
        <v>1084</v>
      </c>
      <c r="C1041" t="s" s="834">
        <v>1085</v>
      </c>
      <c r="D1041" s="570"/>
      <c r="E1041" s="570"/>
      <c r="F1041" s="570"/>
      <c r="G1041" s="570"/>
      <c r="H1041" s="570"/>
      <c r="I1041" s="570"/>
      <c r="J1041" s="570"/>
      <c r="K1041" s="570"/>
    </row>
    <row r="1042" ht="12.75" customHeight="1">
      <c r="A1042" s="833">
        <v>76</v>
      </c>
      <c r="B1042" t="s" s="834">
        <v>1075</v>
      </c>
      <c r="C1042" t="s" s="834">
        <v>892</v>
      </c>
      <c r="D1042" s="835">
        <v>46031</v>
      </c>
      <c r="E1042" s="836">
        <v>1.35318287037037</v>
      </c>
      <c r="F1042" s="836">
        <v>1.756805555555556</v>
      </c>
      <c r="G1042" s="570"/>
      <c r="H1042" s="570"/>
      <c r="I1042" s="570"/>
      <c r="J1042" s="570"/>
      <c r="K1042" s="570"/>
    </row>
    <row r="1043" ht="12.75" customHeight="1">
      <c r="A1043" t="s" s="834">
        <v>1086</v>
      </c>
      <c r="B1043" t="s" s="834">
        <v>1087</v>
      </c>
      <c r="C1043" t="s" s="834">
        <v>590</v>
      </c>
      <c r="D1043" s="570"/>
      <c r="E1043" s="570"/>
      <c r="F1043" s="570"/>
      <c r="G1043" s="570"/>
      <c r="H1043" s="570"/>
      <c r="I1043" s="570"/>
      <c r="J1043" s="570"/>
      <c r="K1043" s="570"/>
    </row>
    <row r="1044" ht="12.75" customHeight="1">
      <c r="A1044" s="833">
        <v>76</v>
      </c>
      <c r="B1044" t="s" s="834">
        <v>1075</v>
      </c>
      <c r="C1044" t="s" s="834">
        <v>892</v>
      </c>
      <c r="D1044" s="835">
        <v>46032</v>
      </c>
      <c r="E1044" s="836">
        <v>1.376261574074074</v>
      </c>
      <c r="F1044" s="836">
        <v>1.766481481481482</v>
      </c>
      <c r="G1044" s="570"/>
      <c r="H1044" s="570"/>
      <c r="I1044" s="570"/>
      <c r="J1044" s="570"/>
      <c r="K1044" s="570"/>
    </row>
    <row r="1045" ht="12.75" customHeight="1">
      <c r="A1045" t="s" s="834">
        <v>1088</v>
      </c>
      <c r="B1045" t="s" s="834">
        <v>1089</v>
      </c>
      <c r="C1045" t="s" s="834">
        <v>901</v>
      </c>
      <c r="D1045" s="570"/>
      <c r="E1045" s="570"/>
      <c r="F1045" s="570"/>
      <c r="G1045" s="570"/>
      <c r="H1045" s="570"/>
      <c r="I1045" s="570"/>
      <c r="J1045" s="570"/>
      <c r="K1045" s="570"/>
    </row>
    <row r="1046" ht="12.75" customHeight="1">
      <c r="A1046" s="833">
        <v>76</v>
      </c>
      <c r="B1046" t="s" s="834">
        <v>1075</v>
      </c>
      <c r="C1046" t="s" s="834">
        <v>892</v>
      </c>
      <c r="D1046" s="835">
        <v>46033</v>
      </c>
      <c r="E1046" t="s" s="834">
        <v>478</v>
      </c>
      <c r="F1046" t="s" s="834">
        <v>478</v>
      </c>
      <c r="G1046" s="570"/>
      <c r="H1046" s="570"/>
      <c r="I1046" s="570"/>
      <c r="J1046" s="570"/>
      <c r="K1046" s="570"/>
    </row>
    <row r="1047" ht="12.75" customHeight="1">
      <c r="A1047" s="833">
        <v>76</v>
      </c>
      <c r="B1047" t="s" s="834">
        <v>1075</v>
      </c>
      <c r="C1047" t="s" s="834">
        <v>892</v>
      </c>
      <c r="D1047" s="835">
        <v>46034</v>
      </c>
      <c r="E1047" s="836">
        <v>1.354328703703704</v>
      </c>
      <c r="F1047" s="836">
        <v>1.763530092592593</v>
      </c>
      <c r="G1047" s="570"/>
      <c r="H1047" s="570"/>
      <c r="I1047" s="570"/>
      <c r="J1047" s="570"/>
      <c r="K1047" s="570"/>
    </row>
    <row r="1048" ht="12.75" customHeight="1">
      <c r="A1048" t="s" s="834">
        <v>1090</v>
      </c>
      <c r="B1048" t="s" s="834">
        <v>1091</v>
      </c>
      <c r="C1048" t="s" s="834">
        <v>600</v>
      </c>
      <c r="D1048" s="570"/>
      <c r="E1048" s="570"/>
      <c r="F1048" s="570"/>
      <c r="G1048" s="570"/>
      <c r="H1048" s="570"/>
      <c r="I1048" s="570"/>
      <c r="J1048" s="570"/>
      <c r="K1048" s="570"/>
    </row>
    <row r="1049" ht="12.75" customHeight="1">
      <c r="A1049" s="833">
        <v>76</v>
      </c>
      <c r="B1049" t="s" s="834">
        <v>1075</v>
      </c>
      <c r="C1049" t="s" s="834">
        <v>892</v>
      </c>
      <c r="D1049" s="835">
        <v>46035</v>
      </c>
      <c r="E1049" s="836">
        <v>1.357280092592593</v>
      </c>
      <c r="F1049" s="836">
        <v>1.789837962962963</v>
      </c>
      <c r="G1049" s="570"/>
      <c r="H1049" s="570"/>
      <c r="I1049" s="570"/>
      <c r="J1049" s="570"/>
      <c r="K1049" s="570"/>
    </row>
    <row r="1050" ht="12.75" customHeight="1">
      <c r="A1050" t="s" s="834">
        <v>1092</v>
      </c>
      <c r="B1050" t="s" s="834">
        <v>1093</v>
      </c>
      <c r="C1050" t="s" s="834">
        <v>1094</v>
      </c>
      <c r="D1050" s="570"/>
      <c r="E1050" s="570"/>
      <c r="F1050" s="570"/>
      <c r="G1050" s="570"/>
      <c r="H1050" s="570"/>
      <c r="I1050" s="570"/>
      <c r="J1050" s="570"/>
      <c r="K1050" s="570"/>
    </row>
    <row r="1051" ht="12.75" customHeight="1">
      <c r="A1051" s="833">
        <v>76</v>
      </c>
      <c r="B1051" t="s" s="834">
        <v>1075</v>
      </c>
      <c r="C1051" t="s" s="834">
        <v>892</v>
      </c>
      <c r="D1051" s="835">
        <v>46036</v>
      </c>
      <c r="E1051" s="836">
        <v>1.356400462962963</v>
      </c>
      <c r="F1051" s="836">
        <v>1.879537037037037</v>
      </c>
      <c r="G1051" s="570"/>
      <c r="H1051" s="570"/>
      <c r="I1051" s="570"/>
      <c r="J1051" s="570"/>
      <c r="K1051" s="570"/>
    </row>
    <row r="1052" ht="12.75" customHeight="1">
      <c r="A1052" t="s" s="834">
        <v>1095</v>
      </c>
      <c r="B1052" t="s" s="834">
        <v>1096</v>
      </c>
      <c r="C1052" t="s" s="834">
        <v>1097</v>
      </c>
      <c r="D1052" s="570"/>
      <c r="E1052" s="570"/>
      <c r="F1052" s="570"/>
      <c r="G1052" s="570"/>
      <c r="H1052" s="570"/>
      <c r="I1052" s="570"/>
      <c r="J1052" s="570"/>
      <c r="K1052" s="570"/>
    </row>
    <row r="1053" ht="12.75" customHeight="1">
      <c r="A1053" s="833">
        <v>76</v>
      </c>
      <c r="B1053" t="s" s="834">
        <v>1075</v>
      </c>
      <c r="C1053" t="s" s="834">
        <v>892</v>
      </c>
      <c r="D1053" s="835">
        <v>46037</v>
      </c>
      <c r="E1053" s="836">
        <v>1.373356481481482</v>
      </c>
      <c r="F1053" s="836">
        <v>1.764027777777778</v>
      </c>
      <c r="G1053" s="570"/>
      <c r="H1053" s="570"/>
      <c r="I1053" s="570"/>
      <c r="J1053" s="570"/>
      <c r="K1053" s="570"/>
    </row>
    <row r="1054" ht="12.75" customHeight="1">
      <c r="A1054" t="s" s="834">
        <v>1098</v>
      </c>
      <c r="B1054" t="s" s="834">
        <v>1099</v>
      </c>
      <c r="C1054" t="s" s="834">
        <v>668</v>
      </c>
      <c r="D1054" s="570"/>
      <c r="E1054" s="570"/>
      <c r="F1054" s="570"/>
      <c r="G1054" s="570"/>
      <c r="H1054" s="570"/>
      <c r="I1054" s="570"/>
      <c r="J1054" s="570"/>
      <c r="K1054" s="570"/>
    </row>
    <row r="1055" ht="12.75" customHeight="1">
      <c r="A1055" s="833">
        <v>76</v>
      </c>
      <c r="B1055" t="s" s="834">
        <v>1075</v>
      </c>
      <c r="C1055" t="s" s="834">
        <v>892</v>
      </c>
      <c r="D1055" s="835">
        <v>46038</v>
      </c>
      <c r="E1055" s="836">
        <v>1.36255787037037</v>
      </c>
      <c r="F1055" s="836">
        <v>1.91712962962963</v>
      </c>
      <c r="G1055" s="570"/>
      <c r="H1055" s="570"/>
      <c r="I1055" s="570"/>
      <c r="J1055" s="570"/>
      <c r="K1055" s="570"/>
    </row>
    <row r="1056" ht="12.75" customHeight="1">
      <c r="A1056" t="s" s="834">
        <v>1100</v>
      </c>
      <c r="B1056" t="s" s="834">
        <v>1101</v>
      </c>
      <c r="C1056" t="s" s="834">
        <v>1102</v>
      </c>
      <c r="D1056" s="570"/>
      <c r="E1056" s="570"/>
      <c r="F1056" s="570"/>
      <c r="G1056" s="570"/>
      <c r="H1056" s="570"/>
      <c r="I1056" s="570"/>
      <c r="J1056" s="570"/>
      <c r="K1056" s="570"/>
    </row>
    <row r="1057" ht="12.75" customHeight="1">
      <c r="A1057" s="833">
        <v>76</v>
      </c>
      <c r="B1057" t="s" s="834">
        <v>1075</v>
      </c>
      <c r="C1057" t="s" s="834">
        <v>892</v>
      </c>
      <c r="D1057" s="835">
        <v>46039</v>
      </c>
      <c r="E1057" t="s" s="834">
        <v>478</v>
      </c>
      <c r="F1057" t="s" s="834">
        <v>478</v>
      </c>
      <c r="G1057" s="570"/>
      <c r="H1057" s="570"/>
      <c r="I1057" s="570"/>
      <c r="J1057" s="570"/>
      <c r="K1057" s="570"/>
    </row>
    <row r="1058" ht="12.75" customHeight="1">
      <c r="A1058" s="833">
        <v>76</v>
      </c>
      <c r="B1058" t="s" s="834">
        <v>1075</v>
      </c>
      <c r="C1058" t="s" s="834">
        <v>892</v>
      </c>
      <c r="D1058" s="835">
        <v>46040</v>
      </c>
      <c r="E1058" t="s" s="834">
        <v>478</v>
      </c>
      <c r="F1058" t="s" s="834">
        <v>478</v>
      </c>
      <c r="G1058" s="570"/>
      <c r="H1058" s="570"/>
      <c r="I1058" s="570"/>
      <c r="J1058" s="570"/>
      <c r="K1058" s="570"/>
    </row>
    <row r="1059" ht="12.75" customHeight="1">
      <c r="A1059" s="833">
        <v>76</v>
      </c>
      <c r="B1059" t="s" s="834">
        <v>1075</v>
      </c>
      <c r="C1059" t="s" s="834">
        <v>892</v>
      </c>
      <c r="D1059" s="835">
        <v>46041</v>
      </c>
      <c r="E1059" s="836">
        <v>1.55912037037037</v>
      </c>
      <c r="F1059" s="836">
        <v>1.780138888888889</v>
      </c>
      <c r="G1059" s="570"/>
      <c r="H1059" s="570"/>
      <c r="I1059" s="570"/>
      <c r="J1059" s="570"/>
      <c r="K1059" s="570"/>
    </row>
    <row r="1060" ht="12.75" customHeight="1">
      <c r="A1060" t="s" s="834">
        <v>1103</v>
      </c>
      <c r="B1060" t="s" s="834">
        <v>1104</v>
      </c>
      <c r="C1060" t="s" s="834">
        <v>1105</v>
      </c>
      <c r="D1060" s="570"/>
      <c r="E1060" s="570"/>
      <c r="F1060" s="570"/>
      <c r="G1060" s="570"/>
      <c r="H1060" s="570"/>
      <c r="I1060" s="570"/>
      <c r="J1060" s="570"/>
      <c r="K1060" s="570"/>
    </row>
    <row r="1061" ht="12.75" customHeight="1">
      <c r="A1061" s="833">
        <v>76</v>
      </c>
      <c r="B1061" t="s" s="834">
        <v>1075</v>
      </c>
      <c r="C1061" t="s" s="834">
        <v>892</v>
      </c>
      <c r="D1061" s="835">
        <v>46042</v>
      </c>
      <c r="E1061" s="836">
        <v>1.558472222222222</v>
      </c>
      <c r="F1061" s="836">
        <v>1.785949074074074</v>
      </c>
      <c r="G1061" s="570"/>
      <c r="H1061" s="570"/>
      <c r="I1061" s="570"/>
      <c r="J1061" s="570"/>
      <c r="K1061" s="570"/>
    </row>
    <row r="1062" ht="12.75" customHeight="1">
      <c r="A1062" t="s" s="834">
        <v>1106</v>
      </c>
      <c r="B1062" t="s" s="834">
        <v>1107</v>
      </c>
      <c r="C1062" t="s" s="834">
        <v>1108</v>
      </c>
      <c r="D1062" s="570"/>
      <c r="E1062" s="570"/>
      <c r="F1062" s="570"/>
      <c r="G1062" s="570"/>
      <c r="H1062" s="570"/>
      <c r="I1062" s="570"/>
      <c r="J1062" s="570"/>
      <c r="K1062" s="570"/>
    </row>
    <row r="1063" ht="12.75" customHeight="1">
      <c r="A1063" s="833">
        <v>76</v>
      </c>
      <c r="B1063" t="s" s="834">
        <v>1075</v>
      </c>
      <c r="C1063" t="s" s="834">
        <v>892</v>
      </c>
      <c r="D1063" s="835">
        <v>46043</v>
      </c>
      <c r="E1063" s="836">
        <v>1.361736111111111</v>
      </c>
      <c r="F1063" s="836">
        <v>1.769236111111111</v>
      </c>
      <c r="G1063" s="570"/>
      <c r="H1063" s="570"/>
      <c r="I1063" s="570"/>
      <c r="J1063" s="570"/>
      <c r="K1063" s="570"/>
    </row>
    <row r="1064" ht="12.75" customHeight="1">
      <c r="A1064" t="s" s="834">
        <v>1109</v>
      </c>
      <c r="B1064" t="s" s="834">
        <v>1110</v>
      </c>
      <c r="C1064" t="s" s="834">
        <v>882</v>
      </c>
      <c r="D1064" s="570"/>
      <c r="E1064" s="570"/>
      <c r="F1064" s="570"/>
      <c r="G1064" s="570"/>
      <c r="H1064" s="570"/>
      <c r="I1064" s="570"/>
      <c r="J1064" s="570"/>
      <c r="K1064" s="570"/>
    </row>
    <row r="1065" ht="12.75" customHeight="1">
      <c r="A1065" s="833">
        <v>76</v>
      </c>
      <c r="B1065" t="s" s="834">
        <v>1075</v>
      </c>
      <c r="C1065" t="s" s="834">
        <v>892</v>
      </c>
      <c r="D1065" s="835">
        <v>46044</v>
      </c>
      <c r="E1065" s="836">
        <v>1.360925925925926</v>
      </c>
      <c r="F1065" s="836">
        <v>1.768043981481481</v>
      </c>
      <c r="G1065" s="570"/>
      <c r="H1065" s="570"/>
      <c r="I1065" s="570"/>
      <c r="J1065" s="570"/>
      <c r="K1065" s="570"/>
    </row>
    <row r="1066" ht="12.75" customHeight="1">
      <c r="A1066" t="s" s="834">
        <v>1111</v>
      </c>
      <c r="B1066" t="s" s="834">
        <v>1112</v>
      </c>
      <c r="C1066" t="s" s="834">
        <v>1113</v>
      </c>
      <c r="D1066" s="570"/>
      <c r="E1066" s="570"/>
      <c r="F1066" s="570"/>
      <c r="G1066" s="570"/>
      <c r="H1066" s="570"/>
      <c r="I1066" s="570"/>
      <c r="J1066" s="570"/>
      <c r="K1066" s="570"/>
    </row>
    <row r="1067" ht="12.75" customHeight="1">
      <c r="A1067" s="833">
        <v>76</v>
      </c>
      <c r="B1067" t="s" s="834">
        <v>1075</v>
      </c>
      <c r="C1067" t="s" s="834">
        <v>892</v>
      </c>
      <c r="D1067" s="835">
        <v>46045</v>
      </c>
      <c r="E1067" s="836">
        <v>1.369548611111111</v>
      </c>
      <c r="F1067" s="836">
        <v>1.790428240740741</v>
      </c>
      <c r="G1067" s="570"/>
      <c r="H1067" s="570"/>
      <c r="I1067" s="570"/>
      <c r="J1067" s="570"/>
      <c r="K1067" s="570"/>
    </row>
    <row r="1068" ht="12.75" customHeight="1">
      <c r="A1068" t="s" s="834">
        <v>1114</v>
      </c>
      <c r="B1068" t="s" s="834">
        <v>1115</v>
      </c>
      <c r="C1068" t="s" s="834">
        <v>1116</v>
      </c>
      <c r="D1068" s="570"/>
      <c r="E1068" s="570"/>
      <c r="F1068" s="570"/>
      <c r="G1068" s="570"/>
      <c r="H1068" s="570"/>
      <c r="I1068" s="570"/>
      <c r="J1068" s="570"/>
      <c r="K1068" s="570"/>
    </row>
    <row r="1069" ht="12.75" customHeight="1">
      <c r="A1069" s="833">
        <v>76</v>
      </c>
      <c r="B1069" t="s" s="834">
        <v>1075</v>
      </c>
      <c r="C1069" t="s" s="834">
        <v>892</v>
      </c>
      <c r="D1069" s="835">
        <v>46046</v>
      </c>
      <c r="E1069" t="s" s="834">
        <v>478</v>
      </c>
      <c r="F1069" t="s" s="834">
        <v>478</v>
      </c>
      <c r="G1069" s="570"/>
      <c r="H1069" s="570"/>
      <c r="I1069" s="570"/>
      <c r="J1069" s="570"/>
      <c r="K1069" s="570"/>
    </row>
    <row r="1070" ht="12.75" customHeight="1">
      <c r="A1070" s="833">
        <v>76</v>
      </c>
      <c r="B1070" t="s" s="834">
        <v>1075</v>
      </c>
      <c r="C1070" t="s" s="834">
        <v>892</v>
      </c>
      <c r="D1070" s="835">
        <v>46047</v>
      </c>
      <c r="E1070" t="s" s="834">
        <v>478</v>
      </c>
      <c r="F1070" t="s" s="834">
        <v>478</v>
      </c>
      <c r="G1070" s="570"/>
      <c r="H1070" s="570"/>
      <c r="I1070" s="570"/>
      <c r="J1070" s="570"/>
      <c r="K1070" s="570"/>
    </row>
    <row r="1071" ht="12.75" customHeight="1">
      <c r="A1071" s="833">
        <v>76</v>
      </c>
      <c r="B1071" t="s" s="834">
        <v>1075</v>
      </c>
      <c r="C1071" t="s" s="834">
        <v>892</v>
      </c>
      <c r="D1071" s="835">
        <v>46048</v>
      </c>
      <c r="E1071" t="s" s="834">
        <v>478</v>
      </c>
      <c r="F1071" t="s" s="834">
        <v>478</v>
      </c>
      <c r="G1071" s="570"/>
      <c r="H1071" s="570"/>
      <c r="I1071" s="570"/>
      <c r="J1071" s="570"/>
      <c r="K1071" s="570"/>
    </row>
    <row r="1072" ht="12.75" customHeight="1">
      <c r="A1072" s="833">
        <v>76</v>
      </c>
      <c r="B1072" t="s" s="834">
        <v>1075</v>
      </c>
      <c r="C1072" t="s" s="834">
        <v>892</v>
      </c>
      <c r="D1072" s="835">
        <v>46049</v>
      </c>
      <c r="E1072" s="836">
        <v>1.357303240740741</v>
      </c>
      <c r="F1072" s="836">
        <v>1.766828703703704</v>
      </c>
      <c r="G1072" s="570"/>
      <c r="H1072" s="570"/>
      <c r="I1072" s="570"/>
      <c r="J1072" s="570"/>
      <c r="K1072" s="570"/>
    </row>
    <row r="1073" ht="12.75" customHeight="1">
      <c r="A1073" t="s" s="834">
        <v>1117</v>
      </c>
      <c r="B1073" t="s" s="834">
        <v>1118</v>
      </c>
      <c r="C1073" t="s" s="834">
        <v>1119</v>
      </c>
      <c r="D1073" s="570"/>
      <c r="E1073" s="570"/>
      <c r="F1073" s="570"/>
      <c r="G1073" s="570"/>
      <c r="H1073" s="570"/>
      <c r="I1073" s="570"/>
      <c r="J1073" s="570"/>
      <c r="K1073" s="570"/>
    </row>
    <row r="1074" ht="12.75" customHeight="1">
      <c r="A1074" s="833">
        <v>76</v>
      </c>
      <c r="B1074" t="s" s="834">
        <v>1075</v>
      </c>
      <c r="C1074" t="s" s="834">
        <v>892</v>
      </c>
      <c r="D1074" s="835">
        <v>46050</v>
      </c>
      <c r="E1074" s="836">
        <v>1.362280092592593</v>
      </c>
      <c r="F1074" s="836">
        <v>1.762268518518519</v>
      </c>
      <c r="G1074" s="570"/>
      <c r="H1074" s="570"/>
      <c r="I1074" s="570"/>
      <c r="J1074" s="570"/>
      <c r="K1074" s="570"/>
    </row>
    <row r="1075" ht="12.75" customHeight="1">
      <c r="A1075" t="s" s="834">
        <v>1120</v>
      </c>
      <c r="B1075" t="s" s="834">
        <v>1121</v>
      </c>
      <c r="C1075" t="s" s="834">
        <v>759</v>
      </c>
      <c r="D1075" s="570"/>
      <c r="E1075" s="570"/>
      <c r="F1075" s="570"/>
      <c r="G1075" s="570"/>
      <c r="H1075" s="570"/>
      <c r="I1075" s="570"/>
      <c r="J1075" s="570"/>
      <c r="K1075" s="570"/>
    </row>
    <row r="1076" ht="12.75" customHeight="1">
      <c r="A1076" s="833">
        <v>76</v>
      </c>
      <c r="B1076" t="s" s="834">
        <v>1075</v>
      </c>
      <c r="C1076" t="s" s="834">
        <v>892</v>
      </c>
      <c r="D1076" s="835">
        <v>46051</v>
      </c>
      <c r="E1076" s="836">
        <v>1.363645833333333</v>
      </c>
      <c r="F1076" s="836">
        <v>1.778935185185185</v>
      </c>
      <c r="G1076" s="570"/>
      <c r="H1076" s="570"/>
      <c r="I1076" s="570"/>
      <c r="J1076" s="570"/>
      <c r="K1076" s="570"/>
    </row>
    <row r="1077" ht="12.75" customHeight="1">
      <c r="A1077" t="s" s="834">
        <v>1122</v>
      </c>
      <c r="B1077" t="s" s="834">
        <v>1123</v>
      </c>
      <c r="C1077" t="s" s="834">
        <v>1124</v>
      </c>
      <c r="D1077" s="570"/>
      <c r="E1077" s="570"/>
      <c r="F1077" s="570"/>
      <c r="G1077" s="570"/>
      <c r="H1077" s="570"/>
      <c r="I1077" s="570"/>
      <c r="J1077" s="570"/>
      <c r="K1077" s="570"/>
    </row>
    <row r="1078" ht="12.75" customHeight="1">
      <c r="A1078" s="833">
        <v>76</v>
      </c>
      <c r="B1078" t="s" s="834">
        <v>1075</v>
      </c>
      <c r="C1078" t="s" s="834">
        <v>892</v>
      </c>
      <c r="D1078" s="835">
        <v>46052</v>
      </c>
      <c r="E1078" s="836">
        <v>1.377962962962963</v>
      </c>
      <c r="F1078" s="836">
        <v>1.766319444444445</v>
      </c>
      <c r="G1078" s="570"/>
      <c r="H1078" s="570"/>
      <c r="I1078" s="570"/>
      <c r="J1078" s="570"/>
      <c r="K1078" s="570"/>
    </row>
    <row r="1079" ht="12.75" customHeight="1">
      <c r="A1079" t="s" s="834">
        <v>1125</v>
      </c>
      <c r="B1079" t="s" s="834">
        <v>1126</v>
      </c>
      <c r="C1079" t="s" s="834">
        <v>716</v>
      </c>
      <c r="D1079" s="570"/>
      <c r="E1079" s="570"/>
      <c r="F1079" s="570"/>
      <c r="G1079" s="570"/>
      <c r="H1079" s="570"/>
      <c r="I1079" s="570"/>
      <c r="J1079" s="570"/>
      <c r="K1079" s="570"/>
    </row>
    <row r="1080" ht="12.75" customHeight="1">
      <c r="A1080" s="833">
        <v>76</v>
      </c>
      <c r="B1080" t="s" s="834">
        <v>1075</v>
      </c>
      <c r="C1080" t="s" s="834">
        <v>892</v>
      </c>
      <c r="D1080" s="835">
        <v>46053</v>
      </c>
      <c r="E1080" t="s" s="834">
        <v>478</v>
      </c>
      <c r="F1080" t="s" s="834">
        <v>478</v>
      </c>
      <c r="G1080" s="570"/>
      <c r="H1080" s="570"/>
      <c r="I1080" s="570"/>
      <c r="J1080" s="570"/>
      <c r="K1080" s="570"/>
    </row>
    <row r="1081" ht="12.75" customHeight="1">
      <c r="A1081" s="833">
        <v>76</v>
      </c>
      <c r="B1081" t="s" s="834">
        <v>1075</v>
      </c>
      <c r="C1081" t="s" s="834">
        <v>892</v>
      </c>
      <c r="D1081" s="835">
        <v>46054</v>
      </c>
      <c r="E1081" t="s" s="834">
        <v>478</v>
      </c>
      <c r="F1081" t="s" s="834">
        <v>478</v>
      </c>
      <c r="G1081" s="570"/>
      <c r="H1081" s="570"/>
      <c r="I1081" s="570"/>
      <c r="J1081" s="570"/>
      <c r="K1081" s="570"/>
    </row>
    <row r="1082" ht="12.75" customHeight="1">
      <c r="A1082" s="833">
        <v>77</v>
      </c>
      <c r="B1082" t="s" s="834">
        <v>1127</v>
      </c>
      <c r="C1082" t="s" s="834">
        <v>477</v>
      </c>
      <c r="D1082" s="835">
        <v>46023</v>
      </c>
      <c r="E1082" t="s" s="834">
        <v>478</v>
      </c>
      <c r="F1082" t="s" s="834">
        <v>478</v>
      </c>
      <c r="G1082" s="570"/>
      <c r="H1082" s="570"/>
      <c r="I1082" s="570"/>
      <c r="J1082" s="570"/>
      <c r="K1082" s="570"/>
    </row>
    <row r="1083" ht="12.75" customHeight="1">
      <c r="A1083" s="833">
        <v>77</v>
      </c>
      <c r="B1083" t="s" s="834">
        <v>1127</v>
      </c>
      <c r="C1083" t="s" s="834">
        <v>477</v>
      </c>
      <c r="D1083" s="835">
        <v>46024</v>
      </c>
      <c r="E1083" t="s" s="834">
        <v>478</v>
      </c>
      <c r="F1083" t="s" s="834">
        <v>478</v>
      </c>
      <c r="G1083" s="570"/>
      <c r="H1083" s="570"/>
      <c r="I1083" s="570"/>
      <c r="J1083" s="570"/>
      <c r="K1083" s="570"/>
    </row>
    <row r="1084" ht="12.75" customHeight="1">
      <c r="A1084" s="833">
        <v>77</v>
      </c>
      <c r="B1084" t="s" s="834">
        <v>1127</v>
      </c>
      <c r="C1084" t="s" s="834">
        <v>477</v>
      </c>
      <c r="D1084" s="835">
        <v>46025</v>
      </c>
      <c r="E1084" t="s" s="834">
        <v>478</v>
      </c>
      <c r="F1084" t="s" s="834">
        <v>478</v>
      </c>
      <c r="G1084" s="570"/>
      <c r="H1084" s="570"/>
      <c r="I1084" s="570"/>
      <c r="J1084" s="570"/>
      <c r="K1084" s="570"/>
    </row>
    <row r="1085" ht="12.75" customHeight="1">
      <c r="A1085" s="833">
        <v>77</v>
      </c>
      <c r="B1085" t="s" s="834">
        <v>1127</v>
      </c>
      <c r="C1085" t="s" s="834">
        <v>477</v>
      </c>
      <c r="D1085" s="835">
        <v>46026</v>
      </c>
      <c r="E1085" t="s" s="834">
        <v>478</v>
      </c>
      <c r="F1085" t="s" s="834">
        <v>478</v>
      </c>
      <c r="G1085" s="570"/>
      <c r="H1085" s="570"/>
      <c r="I1085" s="570"/>
      <c r="J1085" s="570"/>
      <c r="K1085" s="570"/>
    </row>
    <row r="1086" ht="12.75" customHeight="1">
      <c r="A1086" s="833">
        <v>77</v>
      </c>
      <c r="B1086" t="s" s="834">
        <v>1127</v>
      </c>
      <c r="C1086" t="s" s="834">
        <v>477</v>
      </c>
      <c r="D1086" s="835">
        <v>46027</v>
      </c>
      <c r="E1086" s="836">
        <v>1.457048611111111</v>
      </c>
      <c r="F1086" t="s" s="834">
        <v>478</v>
      </c>
      <c r="G1086" s="570"/>
      <c r="H1086" s="570"/>
      <c r="I1086" s="570"/>
      <c r="J1086" s="570"/>
      <c r="K1086" s="570"/>
    </row>
    <row r="1087" ht="12.75" customHeight="1">
      <c r="A1087" t="s" s="834">
        <v>1128</v>
      </c>
      <c r="B1087" t="s" s="834">
        <v>485</v>
      </c>
      <c r="C1087" t="s" s="834">
        <v>486</v>
      </c>
      <c r="D1087" s="570"/>
      <c r="E1087" s="570"/>
      <c r="F1087" s="570"/>
      <c r="G1087" s="570"/>
      <c r="H1087" s="570"/>
      <c r="I1087" s="570"/>
      <c r="J1087" s="570"/>
      <c r="K1087" s="570"/>
    </row>
    <row r="1088" ht="12.75" customHeight="1">
      <c r="A1088" s="833">
        <v>77</v>
      </c>
      <c r="B1088" t="s" s="834">
        <v>1127</v>
      </c>
      <c r="C1088" t="s" s="834">
        <v>477</v>
      </c>
      <c r="D1088" s="835">
        <v>46028</v>
      </c>
      <c r="E1088" s="836">
        <v>1.311134259259259</v>
      </c>
      <c r="F1088" t="s" s="834">
        <v>478</v>
      </c>
      <c r="G1088" s="570"/>
      <c r="H1088" s="570"/>
      <c r="I1088" s="570"/>
      <c r="J1088" s="570"/>
      <c r="K1088" s="570"/>
    </row>
    <row r="1089" ht="12.75" customHeight="1">
      <c r="A1089" t="s" s="834">
        <v>1129</v>
      </c>
      <c r="B1089" t="s" s="834">
        <v>485</v>
      </c>
      <c r="C1089" t="s" s="834">
        <v>486</v>
      </c>
      <c r="D1089" s="570"/>
      <c r="E1089" s="570"/>
      <c r="F1089" s="570"/>
      <c r="G1089" s="570"/>
      <c r="H1089" s="570"/>
      <c r="I1089" s="570"/>
      <c r="J1089" s="570"/>
      <c r="K1089" s="570"/>
    </row>
    <row r="1090" ht="12.75" customHeight="1">
      <c r="A1090" s="833">
        <v>77</v>
      </c>
      <c r="B1090" t="s" s="834">
        <v>1127</v>
      </c>
      <c r="C1090" t="s" s="834">
        <v>477</v>
      </c>
      <c r="D1090" s="835">
        <v>46029</v>
      </c>
      <c r="E1090" t="s" s="834">
        <v>478</v>
      </c>
      <c r="F1090" t="s" s="834">
        <v>478</v>
      </c>
      <c r="G1090" s="570"/>
      <c r="H1090" s="570"/>
      <c r="I1090" s="570"/>
      <c r="J1090" s="570"/>
      <c r="K1090" s="570"/>
    </row>
    <row r="1091" ht="12.75" customHeight="1">
      <c r="A1091" s="833">
        <v>77</v>
      </c>
      <c r="B1091" t="s" s="834">
        <v>1127</v>
      </c>
      <c r="C1091" t="s" s="834">
        <v>477</v>
      </c>
      <c r="D1091" s="835">
        <v>46030</v>
      </c>
      <c r="E1091" t="s" s="834">
        <v>478</v>
      </c>
      <c r="F1091" t="s" s="834">
        <v>478</v>
      </c>
      <c r="G1091" s="570"/>
      <c r="H1091" s="570"/>
      <c r="I1091" s="570"/>
      <c r="J1091" s="570"/>
      <c r="K1091" s="570"/>
    </row>
    <row r="1092" ht="12.75" customHeight="1">
      <c r="A1092" s="833">
        <v>77</v>
      </c>
      <c r="B1092" t="s" s="834">
        <v>1127</v>
      </c>
      <c r="C1092" t="s" s="834">
        <v>477</v>
      </c>
      <c r="D1092" s="835">
        <v>46031</v>
      </c>
      <c r="E1092" t="s" s="834">
        <v>478</v>
      </c>
      <c r="F1092" t="s" s="834">
        <v>478</v>
      </c>
      <c r="G1092" s="570"/>
      <c r="H1092" s="570"/>
      <c r="I1092" s="570"/>
      <c r="J1092" s="570"/>
      <c r="K1092" s="570"/>
    </row>
    <row r="1093" ht="12.75" customHeight="1">
      <c r="A1093" s="833">
        <v>77</v>
      </c>
      <c r="B1093" t="s" s="834">
        <v>1127</v>
      </c>
      <c r="C1093" t="s" s="834">
        <v>477</v>
      </c>
      <c r="D1093" s="835">
        <v>46032</v>
      </c>
      <c r="E1093" t="s" s="834">
        <v>478</v>
      </c>
      <c r="F1093" t="s" s="834">
        <v>478</v>
      </c>
      <c r="G1093" s="570"/>
      <c r="H1093" s="570"/>
      <c r="I1093" s="570"/>
      <c r="J1093" s="570"/>
      <c r="K1093" s="570"/>
    </row>
    <row r="1094" ht="12.75" customHeight="1">
      <c r="A1094" s="833">
        <v>77</v>
      </c>
      <c r="B1094" t="s" s="834">
        <v>1127</v>
      </c>
      <c r="C1094" t="s" s="834">
        <v>477</v>
      </c>
      <c r="D1094" s="835">
        <v>46033</v>
      </c>
      <c r="E1094" t="s" s="834">
        <v>478</v>
      </c>
      <c r="F1094" t="s" s="834">
        <v>478</v>
      </c>
      <c r="G1094" s="570"/>
      <c r="H1094" s="570"/>
      <c r="I1094" s="570"/>
      <c r="J1094" s="570"/>
      <c r="K1094" s="570"/>
    </row>
    <row r="1095" ht="12.75" customHeight="1">
      <c r="A1095" s="833">
        <v>77</v>
      </c>
      <c r="B1095" t="s" s="834">
        <v>1127</v>
      </c>
      <c r="C1095" t="s" s="834">
        <v>477</v>
      </c>
      <c r="D1095" s="835">
        <v>46034</v>
      </c>
      <c r="E1095" s="836">
        <v>1.311898148148148</v>
      </c>
      <c r="F1095" t="s" s="834">
        <v>478</v>
      </c>
      <c r="G1095" s="570"/>
      <c r="H1095" s="570"/>
      <c r="I1095" s="570"/>
      <c r="J1095" s="570"/>
      <c r="K1095" s="570"/>
    </row>
    <row r="1096" ht="12.75" customHeight="1">
      <c r="A1096" t="s" s="834">
        <v>1130</v>
      </c>
      <c r="B1096" t="s" s="834">
        <v>485</v>
      </c>
      <c r="C1096" t="s" s="834">
        <v>486</v>
      </c>
      <c r="D1096" s="570"/>
      <c r="E1096" s="570"/>
      <c r="F1096" s="570"/>
      <c r="G1096" s="570"/>
      <c r="H1096" s="570"/>
      <c r="I1096" s="570"/>
      <c r="J1096" s="570"/>
      <c r="K1096" s="570"/>
    </row>
    <row r="1097" ht="12.75" customHeight="1">
      <c r="A1097" s="833">
        <v>77</v>
      </c>
      <c r="B1097" t="s" s="834">
        <v>1127</v>
      </c>
      <c r="C1097" t="s" s="834">
        <v>477</v>
      </c>
      <c r="D1097" s="835">
        <v>46035</v>
      </c>
      <c r="E1097" s="836">
        <v>1.313055555555556</v>
      </c>
      <c r="F1097" s="836">
        <v>1.765833333333333</v>
      </c>
      <c r="G1097" s="570"/>
      <c r="H1097" s="570"/>
      <c r="I1097" s="570"/>
      <c r="J1097" s="570"/>
      <c r="K1097" s="570"/>
    </row>
    <row r="1098" ht="12.75" customHeight="1">
      <c r="A1098" t="s" s="834">
        <v>1131</v>
      </c>
      <c r="B1098" t="s" s="834">
        <v>1132</v>
      </c>
      <c r="C1098" t="s" s="834">
        <v>1133</v>
      </c>
      <c r="D1098" s="570"/>
      <c r="E1098" s="570"/>
      <c r="F1098" s="570"/>
      <c r="G1098" s="570"/>
      <c r="H1098" s="570"/>
      <c r="I1098" s="570"/>
      <c r="J1098" s="570"/>
      <c r="K1098" s="570"/>
    </row>
    <row r="1099" ht="12.75" customHeight="1">
      <c r="A1099" s="833">
        <v>77</v>
      </c>
      <c r="B1099" t="s" s="834">
        <v>1127</v>
      </c>
      <c r="C1099" t="s" s="834">
        <v>477</v>
      </c>
      <c r="D1099" s="835">
        <v>46036</v>
      </c>
      <c r="E1099" t="s" s="834">
        <v>478</v>
      </c>
      <c r="F1099" t="s" s="834">
        <v>478</v>
      </c>
      <c r="G1099" s="570"/>
      <c r="H1099" s="570"/>
      <c r="I1099" s="570"/>
      <c r="J1099" s="570"/>
      <c r="K1099" s="570"/>
    </row>
    <row r="1100" ht="12.75" customHeight="1">
      <c r="A1100" s="833">
        <v>77</v>
      </c>
      <c r="B1100" t="s" s="834">
        <v>1127</v>
      </c>
      <c r="C1100" t="s" s="834">
        <v>477</v>
      </c>
      <c r="D1100" s="835">
        <v>46037</v>
      </c>
      <c r="E1100" s="836">
        <v>1.321655092592593</v>
      </c>
      <c r="F1100" s="836">
        <v>1.32193287037037</v>
      </c>
      <c r="G1100" s="570"/>
      <c r="H1100" s="570"/>
      <c r="I1100" s="570"/>
      <c r="J1100" s="570"/>
      <c r="K1100" s="570"/>
    </row>
    <row r="1101" ht="12.75" customHeight="1">
      <c r="A1101" t="s" s="834">
        <v>1134</v>
      </c>
      <c r="B1101" t="s" s="834">
        <v>1135</v>
      </c>
      <c r="C1101" t="s" s="834">
        <v>486</v>
      </c>
      <c r="D1101" s="570"/>
      <c r="E1101" s="570"/>
      <c r="F1101" s="570"/>
      <c r="G1101" s="570"/>
      <c r="H1101" s="570"/>
      <c r="I1101" s="570"/>
      <c r="J1101" s="570"/>
      <c r="K1101" s="570"/>
    </row>
    <row r="1102" ht="12.75" customHeight="1">
      <c r="A1102" s="833">
        <v>77</v>
      </c>
      <c r="B1102" t="s" s="834">
        <v>1127</v>
      </c>
      <c r="C1102" t="s" s="834">
        <v>477</v>
      </c>
      <c r="D1102" s="835">
        <v>46038</v>
      </c>
      <c r="E1102" s="836">
        <v>1.318368055555555</v>
      </c>
      <c r="F1102" s="836">
        <v>1.387337962962963</v>
      </c>
      <c r="G1102" s="570"/>
      <c r="H1102" s="570"/>
      <c r="I1102" s="570"/>
      <c r="J1102" s="570"/>
      <c r="K1102" s="570"/>
    </row>
    <row r="1103" ht="12.75" customHeight="1">
      <c r="A1103" t="s" s="834">
        <v>1136</v>
      </c>
      <c r="B1103" t="s" s="834">
        <v>1137</v>
      </c>
      <c r="C1103" t="s" s="834">
        <v>1138</v>
      </c>
      <c r="D1103" s="570"/>
      <c r="E1103" s="570"/>
      <c r="F1103" s="570"/>
      <c r="G1103" s="570"/>
      <c r="H1103" s="570"/>
      <c r="I1103" s="570"/>
      <c r="J1103" s="570"/>
      <c r="K1103" s="570"/>
    </row>
    <row r="1104" ht="12.75" customHeight="1">
      <c r="A1104" s="833">
        <v>77</v>
      </c>
      <c r="B1104" t="s" s="834">
        <v>1127</v>
      </c>
      <c r="C1104" t="s" s="834">
        <v>477</v>
      </c>
      <c r="D1104" s="835">
        <v>46039</v>
      </c>
      <c r="E1104" t="s" s="834">
        <v>478</v>
      </c>
      <c r="F1104" t="s" s="834">
        <v>478</v>
      </c>
      <c r="G1104" s="570"/>
      <c r="H1104" s="570"/>
      <c r="I1104" s="570"/>
      <c r="J1104" s="570"/>
      <c r="K1104" s="570"/>
    </row>
    <row r="1105" ht="12.75" customHeight="1">
      <c r="A1105" s="833">
        <v>77</v>
      </c>
      <c r="B1105" t="s" s="834">
        <v>1127</v>
      </c>
      <c r="C1105" t="s" s="834">
        <v>477</v>
      </c>
      <c r="D1105" s="835">
        <v>46040</v>
      </c>
      <c r="E1105" t="s" s="834">
        <v>478</v>
      </c>
      <c r="F1105" t="s" s="834">
        <v>478</v>
      </c>
      <c r="G1105" s="570"/>
      <c r="H1105" s="570"/>
      <c r="I1105" s="570"/>
      <c r="J1105" s="570"/>
      <c r="K1105" s="570"/>
    </row>
    <row r="1106" ht="12.75" customHeight="1">
      <c r="A1106" s="833">
        <v>77</v>
      </c>
      <c r="B1106" t="s" s="834">
        <v>1127</v>
      </c>
      <c r="C1106" t="s" s="834">
        <v>477</v>
      </c>
      <c r="D1106" s="835">
        <v>46041</v>
      </c>
      <c r="E1106" t="s" s="834">
        <v>478</v>
      </c>
      <c r="F1106" t="s" s="834">
        <v>478</v>
      </c>
      <c r="G1106" s="570"/>
      <c r="H1106" s="570"/>
      <c r="I1106" s="570"/>
      <c r="J1106" s="570"/>
      <c r="K1106" s="570"/>
    </row>
    <row r="1107" ht="12.75" customHeight="1">
      <c r="A1107" s="833">
        <v>77</v>
      </c>
      <c r="B1107" t="s" s="834">
        <v>1127</v>
      </c>
      <c r="C1107" t="s" s="834">
        <v>477</v>
      </c>
      <c r="D1107" s="835">
        <v>46042</v>
      </c>
      <c r="E1107" s="836">
        <v>1.322314814814815</v>
      </c>
      <c r="F1107" s="836">
        <v>1.757372685185185</v>
      </c>
      <c r="G1107" s="570"/>
      <c r="H1107" s="570"/>
      <c r="I1107" s="570"/>
      <c r="J1107" s="570"/>
      <c r="K1107" s="570"/>
    </row>
    <row r="1108" ht="12.75" customHeight="1">
      <c r="A1108" t="s" s="834">
        <v>1139</v>
      </c>
      <c r="B1108" t="s" s="834">
        <v>1140</v>
      </c>
      <c r="C1108" t="s" s="834">
        <v>1141</v>
      </c>
      <c r="D1108" s="570"/>
      <c r="E1108" s="570"/>
      <c r="F1108" s="570"/>
      <c r="G1108" s="570"/>
      <c r="H1108" s="570"/>
      <c r="I1108" s="570"/>
      <c r="J1108" s="570"/>
      <c r="K1108" s="570"/>
    </row>
    <row r="1109" ht="12.75" customHeight="1">
      <c r="A1109" s="833">
        <v>77</v>
      </c>
      <c r="B1109" t="s" s="834">
        <v>1127</v>
      </c>
      <c r="C1109" t="s" s="834">
        <v>477</v>
      </c>
      <c r="D1109" s="835">
        <v>46043</v>
      </c>
      <c r="E1109" s="836">
        <v>1.323368055555556</v>
      </c>
      <c r="F1109" s="836">
        <v>1.323460648148148</v>
      </c>
      <c r="G1109" s="570"/>
      <c r="H1109" s="570"/>
      <c r="I1109" s="570"/>
      <c r="J1109" s="570"/>
      <c r="K1109" s="570"/>
    </row>
    <row r="1110" ht="12.75" customHeight="1">
      <c r="A1110" t="s" s="834">
        <v>1142</v>
      </c>
      <c r="B1110" t="s" s="834">
        <v>1143</v>
      </c>
      <c r="C1110" t="s" s="834">
        <v>486</v>
      </c>
      <c r="D1110" s="570"/>
      <c r="E1110" s="570"/>
      <c r="F1110" s="570"/>
      <c r="G1110" s="570"/>
      <c r="H1110" s="570"/>
      <c r="I1110" s="570"/>
      <c r="J1110" s="570"/>
      <c r="K1110" s="570"/>
    </row>
    <row r="1111" ht="12.75" customHeight="1">
      <c r="A1111" s="833">
        <v>77</v>
      </c>
      <c r="B1111" t="s" s="834">
        <v>1127</v>
      </c>
      <c r="C1111" t="s" s="834">
        <v>477</v>
      </c>
      <c r="D1111" s="835">
        <v>46044</v>
      </c>
      <c r="E1111" s="836">
        <v>1.316759259259259</v>
      </c>
      <c r="F1111" t="s" s="834">
        <v>478</v>
      </c>
      <c r="G1111" s="570"/>
      <c r="H1111" s="570"/>
      <c r="I1111" s="570"/>
      <c r="J1111" s="570"/>
      <c r="K1111" s="570"/>
    </row>
    <row r="1112" ht="12.75" customHeight="1">
      <c r="A1112" t="s" s="834">
        <v>1144</v>
      </c>
      <c r="B1112" t="s" s="834">
        <v>485</v>
      </c>
      <c r="C1112" t="s" s="834">
        <v>486</v>
      </c>
      <c r="D1112" s="570"/>
      <c r="E1112" s="570"/>
      <c r="F1112" s="570"/>
      <c r="G1112" s="570"/>
      <c r="H1112" s="570"/>
      <c r="I1112" s="570"/>
      <c r="J1112" s="570"/>
      <c r="K1112" s="570"/>
    </row>
    <row r="1113" ht="12.75" customHeight="1">
      <c r="A1113" s="833">
        <v>77</v>
      </c>
      <c r="B1113" t="s" s="834">
        <v>1127</v>
      </c>
      <c r="C1113" t="s" s="834">
        <v>477</v>
      </c>
      <c r="D1113" s="835">
        <v>46045</v>
      </c>
      <c r="E1113" s="836">
        <v>1.327233796296296</v>
      </c>
      <c r="F1113" s="836">
        <v>1.327303240740741</v>
      </c>
      <c r="G1113" s="570"/>
      <c r="H1113" s="570"/>
      <c r="I1113" s="570"/>
      <c r="J1113" s="570"/>
      <c r="K1113" s="570"/>
    </row>
    <row r="1114" ht="12.75" customHeight="1">
      <c r="A1114" t="s" s="834">
        <v>1145</v>
      </c>
      <c r="B1114" t="s" s="834">
        <v>1146</v>
      </c>
      <c r="C1114" t="s" s="834">
        <v>486</v>
      </c>
      <c r="D1114" s="570"/>
      <c r="E1114" s="570"/>
      <c r="F1114" s="570"/>
      <c r="G1114" s="570"/>
      <c r="H1114" s="570"/>
      <c r="I1114" s="570"/>
      <c r="J1114" s="570"/>
      <c r="K1114" s="570"/>
    </row>
    <row r="1115" ht="12.75" customHeight="1">
      <c r="A1115" s="833">
        <v>77</v>
      </c>
      <c r="B1115" t="s" s="834">
        <v>1127</v>
      </c>
      <c r="C1115" t="s" s="834">
        <v>477</v>
      </c>
      <c r="D1115" s="835">
        <v>46046</v>
      </c>
      <c r="E1115" t="s" s="834">
        <v>478</v>
      </c>
      <c r="F1115" t="s" s="834">
        <v>478</v>
      </c>
      <c r="G1115" s="570"/>
      <c r="H1115" s="570"/>
      <c r="I1115" s="570"/>
      <c r="J1115" s="570"/>
      <c r="K1115" s="570"/>
    </row>
    <row r="1116" ht="12.75" customHeight="1">
      <c r="A1116" s="833">
        <v>77</v>
      </c>
      <c r="B1116" t="s" s="834">
        <v>1127</v>
      </c>
      <c r="C1116" t="s" s="834">
        <v>477</v>
      </c>
      <c r="D1116" s="835">
        <v>46047</v>
      </c>
      <c r="E1116" t="s" s="834">
        <v>478</v>
      </c>
      <c r="F1116" t="s" s="834">
        <v>478</v>
      </c>
      <c r="G1116" s="570"/>
      <c r="H1116" s="570"/>
      <c r="I1116" s="570"/>
      <c r="J1116" s="570"/>
      <c r="K1116" s="570"/>
    </row>
    <row r="1117" ht="12.75" customHeight="1">
      <c r="A1117" s="833">
        <v>77</v>
      </c>
      <c r="B1117" t="s" s="834">
        <v>1127</v>
      </c>
      <c r="C1117" t="s" s="834">
        <v>477</v>
      </c>
      <c r="D1117" s="835">
        <v>46048</v>
      </c>
      <c r="E1117" s="836">
        <v>1.329328703703704</v>
      </c>
      <c r="F1117" s="836">
        <v>1.762939814814815</v>
      </c>
      <c r="G1117" s="570"/>
      <c r="H1117" s="570"/>
      <c r="I1117" s="570"/>
      <c r="J1117" s="570"/>
      <c r="K1117" s="570"/>
    </row>
    <row r="1118" ht="12.75" customHeight="1">
      <c r="A1118" t="s" s="834">
        <v>1147</v>
      </c>
      <c r="B1118" t="s" s="834">
        <v>1148</v>
      </c>
      <c r="C1118" t="s" s="834">
        <v>1149</v>
      </c>
      <c r="D1118" s="570"/>
      <c r="E1118" s="570"/>
      <c r="F1118" s="570"/>
      <c r="G1118" s="570"/>
      <c r="H1118" s="570"/>
      <c r="I1118" s="570"/>
      <c r="J1118" s="570"/>
      <c r="K1118" s="570"/>
    </row>
    <row r="1119" ht="12.75" customHeight="1">
      <c r="A1119" s="833">
        <v>77</v>
      </c>
      <c r="B1119" t="s" s="834">
        <v>1127</v>
      </c>
      <c r="C1119" t="s" s="834">
        <v>477</v>
      </c>
      <c r="D1119" s="835">
        <v>46049</v>
      </c>
      <c r="E1119" s="836">
        <v>1.321203703703704</v>
      </c>
      <c r="F1119" s="836">
        <v>1.321412037037037</v>
      </c>
      <c r="G1119" s="570"/>
      <c r="H1119" s="570"/>
      <c r="I1119" s="570"/>
      <c r="J1119" s="570"/>
      <c r="K1119" s="570"/>
    </row>
    <row r="1120" ht="12.75" customHeight="1">
      <c r="A1120" t="s" s="834">
        <v>1150</v>
      </c>
      <c r="B1120" t="s" s="834">
        <v>1151</v>
      </c>
      <c r="C1120" t="s" s="834">
        <v>486</v>
      </c>
      <c r="D1120" s="570"/>
      <c r="E1120" s="570"/>
      <c r="F1120" s="570"/>
      <c r="G1120" s="570"/>
      <c r="H1120" s="570"/>
      <c r="I1120" s="570"/>
      <c r="J1120" s="570"/>
      <c r="K1120" s="570"/>
    </row>
    <row r="1121" ht="12.75" customHeight="1">
      <c r="A1121" s="833">
        <v>77</v>
      </c>
      <c r="B1121" t="s" s="834">
        <v>1127</v>
      </c>
      <c r="C1121" t="s" s="834">
        <v>477</v>
      </c>
      <c r="D1121" s="835">
        <v>46050</v>
      </c>
      <c r="E1121" t="s" s="834">
        <v>478</v>
      </c>
      <c r="F1121" t="s" s="834">
        <v>478</v>
      </c>
      <c r="G1121" s="570"/>
      <c r="H1121" s="570"/>
      <c r="I1121" s="570"/>
      <c r="J1121" s="570"/>
      <c r="K1121" s="570"/>
    </row>
    <row r="1122" ht="12.75" customHeight="1">
      <c r="A1122" s="833">
        <v>77</v>
      </c>
      <c r="B1122" t="s" s="834">
        <v>1127</v>
      </c>
      <c r="C1122" t="s" s="834">
        <v>477</v>
      </c>
      <c r="D1122" s="835">
        <v>46051</v>
      </c>
      <c r="E1122" t="s" s="834">
        <v>478</v>
      </c>
      <c r="F1122" t="s" s="834">
        <v>478</v>
      </c>
      <c r="G1122" s="570"/>
      <c r="H1122" s="570"/>
      <c r="I1122" s="570"/>
      <c r="J1122" s="570"/>
      <c r="K1122" s="570"/>
    </row>
    <row r="1123" ht="12.75" customHeight="1">
      <c r="A1123" s="833">
        <v>77</v>
      </c>
      <c r="B1123" t="s" s="834">
        <v>1127</v>
      </c>
      <c r="C1123" t="s" s="834">
        <v>477</v>
      </c>
      <c r="D1123" s="835">
        <v>46052</v>
      </c>
      <c r="E1123" s="836">
        <v>1.325196759259259</v>
      </c>
      <c r="F1123" s="836">
        <v>1.3253125</v>
      </c>
      <c r="G1123" s="570"/>
      <c r="H1123" s="570"/>
      <c r="I1123" s="570"/>
      <c r="J1123" s="570"/>
      <c r="K1123" s="570"/>
    </row>
    <row r="1124" ht="12.75" customHeight="1">
      <c r="A1124" t="s" s="834">
        <v>1152</v>
      </c>
      <c r="B1124" t="s" s="834">
        <v>1153</v>
      </c>
      <c r="C1124" t="s" s="834">
        <v>486</v>
      </c>
      <c r="D1124" s="570"/>
      <c r="E1124" s="570"/>
      <c r="F1124" s="570"/>
      <c r="G1124" s="570"/>
      <c r="H1124" s="570"/>
      <c r="I1124" s="570"/>
      <c r="J1124" s="570"/>
      <c r="K1124" s="570"/>
    </row>
    <row r="1125" ht="12.75" customHeight="1">
      <c r="A1125" s="833">
        <v>77</v>
      </c>
      <c r="B1125" t="s" s="834">
        <v>1127</v>
      </c>
      <c r="C1125" t="s" s="834">
        <v>477</v>
      </c>
      <c r="D1125" s="835">
        <v>46053</v>
      </c>
      <c r="E1125" t="s" s="834">
        <v>478</v>
      </c>
      <c r="F1125" t="s" s="834">
        <v>478</v>
      </c>
      <c r="G1125" s="570"/>
      <c r="H1125" s="570"/>
      <c r="I1125" s="570"/>
      <c r="J1125" s="570"/>
      <c r="K1125" s="570"/>
    </row>
    <row r="1126" ht="12.75" customHeight="1">
      <c r="A1126" s="833">
        <v>77</v>
      </c>
      <c r="B1126" t="s" s="834">
        <v>1127</v>
      </c>
      <c r="C1126" t="s" s="834">
        <v>477</v>
      </c>
      <c r="D1126" s="835">
        <v>46054</v>
      </c>
      <c r="E1126" t="s" s="834">
        <v>478</v>
      </c>
      <c r="F1126" t="s" s="834">
        <v>478</v>
      </c>
      <c r="G1126" s="570"/>
      <c r="H1126" s="570"/>
      <c r="I1126" s="570"/>
      <c r="J1126" s="570"/>
      <c r="K1126" s="570"/>
    </row>
    <row r="1127" ht="12.75" customHeight="1">
      <c r="A1127" s="833">
        <v>78</v>
      </c>
      <c r="B1127" t="s" s="834">
        <v>1154</v>
      </c>
      <c r="C1127" t="s" s="834">
        <v>700</v>
      </c>
      <c r="D1127" s="835">
        <v>46023</v>
      </c>
      <c r="E1127" t="s" s="834">
        <v>478</v>
      </c>
      <c r="F1127" t="s" s="834">
        <v>478</v>
      </c>
      <c r="G1127" s="570"/>
      <c r="H1127" s="570"/>
      <c r="I1127" s="570"/>
      <c r="J1127" s="570"/>
      <c r="K1127" s="570"/>
    </row>
    <row r="1128" ht="12.75" customHeight="1">
      <c r="A1128" s="833">
        <v>78</v>
      </c>
      <c r="B1128" t="s" s="834">
        <v>1154</v>
      </c>
      <c r="C1128" t="s" s="834">
        <v>700</v>
      </c>
      <c r="D1128" s="835">
        <v>46024</v>
      </c>
      <c r="E1128" t="s" s="834">
        <v>478</v>
      </c>
      <c r="F1128" t="s" s="834">
        <v>478</v>
      </c>
      <c r="G1128" s="570"/>
      <c r="H1128" s="570"/>
      <c r="I1128" s="570"/>
      <c r="J1128" s="570"/>
      <c r="K1128" s="570"/>
    </row>
    <row r="1129" ht="12.75" customHeight="1">
      <c r="A1129" s="833">
        <v>78</v>
      </c>
      <c r="B1129" t="s" s="834">
        <v>1154</v>
      </c>
      <c r="C1129" t="s" s="834">
        <v>700</v>
      </c>
      <c r="D1129" s="835">
        <v>46025</v>
      </c>
      <c r="E1129" t="s" s="834">
        <v>478</v>
      </c>
      <c r="F1129" t="s" s="834">
        <v>478</v>
      </c>
      <c r="G1129" s="570"/>
      <c r="H1129" s="570"/>
      <c r="I1129" s="570"/>
      <c r="J1129" s="570"/>
      <c r="K1129" s="570"/>
    </row>
    <row r="1130" ht="12.75" customHeight="1">
      <c r="A1130" s="833">
        <v>78</v>
      </c>
      <c r="B1130" t="s" s="834">
        <v>1154</v>
      </c>
      <c r="C1130" t="s" s="834">
        <v>700</v>
      </c>
      <c r="D1130" s="835">
        <v>46026</v>
      </c>
      <c r="E1130" t="s" s="834">
        <v>478</v>
      </c>
      <c r="F1130" t="s" s="834">
        <v>478</v>
      </c>
      <c r="G1130" s="570"/>
      <c r="H1130" s="570"/>
      <c r="I1130" s="570"/>
      <c r="J1130" s="570"/>
      <c r="K1130" s="570"/>
    </row>
    <row r="1131" ht="12.75" customHeight="1">
      <c r="A1131" s="833">
        <v>78</v>
      </c>
      <c r="B1131" t="s" s="834">
        <v>1154</v>
      </c>
      <c r="C1131" t="s" s="834">
        <v>700</v>
      </c>
      <c r="D1131" s="835">
        <v>46027</v>
      </c>
      <c r="E1131" s="836">
        <v>1.914791666666667</v>
      </c>
      <c r="F1131" t="s" s="834">
        <v>478</v>
      </c>
      <c r="G1131" s="570"/>
      <c r="H1131" s="570"/>
      <c r="I1131" s="570"/>
      <c r="J1131" s="570"/>
      <c r="K1131" s="570"/>
    </row>
    <row r="1132" ht="12.75" customHeight="1">
      <c r="A1132" t="s" s="834">
        <v>1155</v>
      </c>
      <c r="B1132" t="s" s="834">
        <v>485</v>
      </c>
      <c r="C1132" t="s" s="834">
        <v>486</v>
      </c>
      <c r="D1132" s="570"/>
      <c r="E1132" s="570"/>
      <c r="F1132" s="570"/>
      <c r="G1132" s="570"/>
      <c r="H1132" s="570"/>
      <c r="I1132" s="570"/>
      <c r="J1132" s="570"/>
      <c r="K1132" s="570"/>
    </row>
    <row r="1133" ht="12.75" customHeight="1">
      <c r="A1133" s="833">
        <v>78</v>
      </c>
      <c r="B1133" t="s" s="834">
        <v>1154</v>
      </c>
      <c r="C1133" t="s" s="834">
        <v>700</v>
      </c>
      <c r="D1133" s="835">
        <v>46028</v>
      </c>
      <c r="E1133" t="s" s="834">
        <v>478</v>
      </c>
      <c r="F1133" t="s" s="834">
        <v>478</v>
      </c>
      <c r="G1133" s="570"/>
      <c r="H1133" s="570"/>
      <c r="I1133" s="570"/>
      <c r="J1133" s="570"/>
      <c r="K1133" s="570"/>
    </row>
    <row r="1134" ht="12.75" customHeight="1">
      <c r="A1134" s="833">
        <v>78</v>
      </c>
      <c r="B1134" t="s" s="834">
        <v>1154</v>
      </c>
      <c r="C1134" t="s" s="834">
        <v>700</v>
      </c>
      <c r="D1134" s="835">
        <v>46029</v>
      </c>
      <c r="E1134" s="836">
        <v>1.795416666666667</v>
      </c>
      <c r="F1134" s="836">
        <v>1.795694444444444</v>
      </c>
      <c r="G1134" s="570"/>
      <c r="H1134" s="570"/>
      <c r="I1134" s="570"/>
      <c r="J1134" s="570"/>
      <c r="K1134" s="570"/>
    </row>
    <row r="1135" ht="12.75" customHeight="1">
      <c r="A1135" t="s" s="834">
        <v>1156</v>
      </c>
      <c r="B1135" t="s" s="834">
        <v>1157</v>
      </c>
      <c r="C1135" t="s" s="834">
        <v>486</v>
      </c>
      <c r="D1135" s="570"/>
      <c r="E1135" s="570"/>
      <c r="F1135" s="570"/>
      <c r="G1135" s="570"/>
      <c r="H1135" s="570"/>
      <c r="I1135" s="570"/>
      <c r="J1135" s="570"/>
      <c r="K1135" s="570"/>
    </row>
    <row r="1136" ht="12.75" customHeight="1">
      <c r="A1136" s="833">
        <v>78</v>
      </c>
      <c r="B1136" t="s" s="834">
        <v>1154</v>
      </c>
      <c r="C1136" t="s" s="834">
        <v>700</v>
      </c>
      <c r="D1136" s="835">
        <v>46030</v>
      </c>
      <c r="E1136" s="836">
        <v>1.842974537037037</v>
      </c>
      <c r="F1136" t="s" s="834">
        <v>478</v>
      </c>
      <c r="G1136" s="570"/>
      <c r="H1136" s="570"/>
      <c r="I1136" s="570"/>
      <c r="J1136" s="570"/>
      <c r="K1136" s="570"/>
    </row>
    <row r="1137" ht="12.75" customHeight="1">
      <c r="A1137" t="s" s="834">
        <v>1158</v>
      </c>
      <c r="B1137" t="s" s="834">
        <v>485</v>
      </c>
      <c r="C1137" t="s" s="834">
        <v>486</v>
      </c>
      <c r="D1137" s="570"/>
      <c r="E1137" s="570"/>
      <c r="F1137" s="570"/>
      <c r="G1137" s="570"/>
      <c r="H1137" s="570"/>
      <c r="I1137" s="570"/>
      <c r="J1137" s="570"/>
      <c r="K1137" s="570"/>
    </row>
    <row r="1138" ht="12.75" customHeight="1">
      <c r="A1138" s="833">
        <v>78</v>
      </c>
      <c r="B1138" t="s" s="834">
        <v>1154</v>
      </c>
      <c r="C1138" t="s" s="834">
        <v>700</v>
      </c>
      <c r="D1138" s="835">
        <v>46031</v>
      </c>
      <c r="E1138" t="s" s="834">
        <v>478</v>
      </c>
      <c r="F1138" t="s" s="834">
        <v>478</v>
      </c>
      <c r="G1138" s="570"/>
      <c r="H1138" s="570"/>
      <c r="I1138" s="570"/>
      <c r="J1138" s="570"/>
      <c r="K1138" s="570"/>
    </row>
    <row r="1139" ht="12.75" customHeight="1">
      <c r="A1139" s="833">
        <v>78</v>
      </c>
      <c r="B1139" t="s" s="834">
        <v>1154</v>
      </c>
      <c r="C1139" t="s" s="834">
        <v>700</v>
      </c>
      <c r="D1139" s="835">
        <v>46032</v>
      </c>
      <c r="E1139" t="s" s="834">
        <v>478</v>
      </c>
      <c r="F1139" t="s" s="834">
        <v>478</v>
      </c>
      <c r="G1139" s="570"/>
      <c r="H1139" s="570"/>
      <c r="I1139" s="570"/>
      <c r="J1139" s="570"/>
      <c r="K1139" s="570"/>
    </row>
    <row r="1140" ht="12.75" customHeight="1">
      <c r="A1140" s="833">
        <v>78</v>
      </c>
      <c r="B1140" t="s" s="834">
        <v>1154</v>
      </c>
      <c r="C1140" t="s" s="834">
        <v>700</v>
      </c>
      <c r="D1140" s="835">
        <v>46033</v>
      </c>
      <c r="E1140" t="s" s="834">
        <v>478</v>
      </c>
      <c r="F1140" t="s" s="834">
        <v>478</v>
      </c>
      <c r="G1140" s="570"/>
      <c r="H1140" s="570"/>
      <c r="I1140" s="570"/>
      <c r="J1140" s="570"/>
      <c r="K1140" s="570"/>
    </row>
    <row r="1141" ht="12.75" customHeight="1">
      <c r="A1141" s="833">
        <v>78</v>
      </c>
      <c r="B1141" t="s" s="834">
        <v>1154</v>
      </c>
      <c r="C1141" t="s" s="834">
        <v>700</v>
      </c>
      <c r="D1141" s="835">
        <v>46034</v>
      </c>
      <c r="E1141" t="s" s="834">
        <v>478</v>
      </c>
      <c r="F1141" t="s" s="834">
        <v>478</v>
      </c>
      <c r="G1141" s="570"/>
      <c r="H1141" s="570"/>
      <c r="I1141" s="570"/>
      <c r="J1141" s="570"/>
      <c r="K1141" s="570"/>
    </row>
    <row r="1142" ht="12.75" customHeight="1">
      <c r="A1142" s="833">
        <v>78</v>
      </c>
      <c r="B1142" t="s" s="834">
        <v>1154</v>
      </c>
      <c r="C1142" t="s" s="834">
        <v>700</v>
      </c>
      <c r="D1142" s="835">
        <v>46035</v>
      </c>
      <c r="E1142" s="836">
        <v>1.808217592592593</v>
      </c>
      <c r="F1142" t="s" s="834">
        <v>478</v>
      </c>
      <c r="G1142" s="570"/>
      <c r="H1142" s="570"/>
      <c r="I1142" s="570"/>
      <c r="J1142" s="570"/>
      <c r="K1142" s="570"/>
    </row>
    <row r="1143" ht="12.75" customHeight="1">
      <c r="A1143" t="s" s="834">
        <v>1159</v>
      </c>
      <c r="B1143" t="s" s="834">
        <v>485</v>
      </c>
      <c r="C1143" t="s" s="834">
        <v>486</v>
      </c>
      <c r="D1143" s="570"/>
      <c r="E1143" s="570"/>
      <c r="F1143" s="570"/>
      <c r="G1143" s="570"/>
      <c r="H1143" s="570"/>
      <c r="I1143" s="570"/>
      <c r="J1143" s="570"/>
      <c r="K1143" s="570"/>
    </row>
    <row r="1144" ht="12.75" customHeight="1">
      <c r="A1144" s="833">
        <v>78</v>
      </c>
      <c r="B1144" t="s" s="834">
        <v>1154</v>
      </c>
      <c r="C1144" t="s" s="834">
        <v>700</v>
      </c>
      <c r="D1144" s="835">
        <v>46036</v>
      </c>
      <c r="E1144" s="836">
        <v>1.929236111111111</v>
      </c>
      <c r="F1144" t="s" s="834">
        <v>478</v>
      </c>
      <c r="G1144" s="570"/>
      <c r="H1144" s="570"/>
      <c r="I1144" s="570"/>
      <c r="J1144" s="570"/>
      <c r="K1144" s="570"/>
    </row>
    <row r="1145" ht="12.75" customHeight="1">
      <c r="A1145" t="s" s="834">
        <v>1160</v>
      </c>
      <c r="B1145" t="s" s="834">
        <v>485</v>
      </c>
      <c r="C1145" t="s" s="834">
        <v>486</v>
      </c>
      <c r="D1145" s="570"/>
      <c r="E1145" s="570"/>
      <c r="F1145" s="570"/>
      <c r="G1145" s="570"/>
      <c r="H1145" s="570"/>
      <c r="I1145" s="570"/>
      <c r="J1145" s="570"/>
      <c r="K1145" s="570"/>
    </row>
    <row r="1146" ht="12.75" customHeight="1">
      <c r="A1146" s="833">
        <v>78</v>
      </c>
      <c r="B1146" t="s" s="834">
        <v>1154</v>
      </c>
      <c r="C1146" t="s" s="834">
        <v>700</v>
      </c>
      <c r="D1146" s="835">
        <v>46037</v>
      </c>
      <c r="E1146" t="s" s="834">
        <v>478</v>
      </c>
      <c r="F1146" t="s" s="834">
        <v>478</v>
      </c>
      <c r="G1146" s="570"/>
      <c r="H1146" s="570"/>
      <c r="I1146" s="570"/>
      <c r="J1146" s="570"/>
      <c r="K1146" s="570"/>
    </row>
    <row r="1147" ht="12.75" customHeight="1">
      <c r="A1147" s="833">
        <v>78</v>
      </c>
      <c r="B1147" t="s" s="834">
        <v>1154</v>
      </c>
      <c r="C1147" t="s" s="834">
        <v>700</v>
      </c>
      <c r="D1147" s="835">
        <v>46038</v>
      </c>
      <c r="E1147" s="836">
        <v>1.497361111111111</v>
      </c>
      <c r="F1147" s="836">
        <v>1.497662037037037</v>
      </c>
      <c r="G1147" s="570"/>
      <c r="H1147" s="570"/>
      <c r="I1147" s="570"/>
      <c r="J1147" s="570"/>
      <c r="K1147" s="570"/>
    </row>
    <row r="1148" ht="12.75" customHeight="1">
      <c r="A1148" t="s" s="834">
        <v>1161</v>
      </c>
      <c r="B1148" t="s" s="834">
        <v>1162</v>
      </c>
      <c r="C1148" t="s" s="834">
        <v>486</v>
      </c>
      <c r="D1148" s="570"/>
      <c r="E1148" s="570"/>
      <c r="F1148" s="570"/>
      <c r="G1148" s="570"/>
      <c r="H1148" s="570"/>
      <c r="I1148" s="570"/>
      <c r="J1148" s="570"/>
      <c r="K1148" s="570"/>
    </row>
    <row r="1149" ht="12.75" customHeight="1">
      <c r="A1149" s="833">
        <v>78</v>
      </c>
      <c r="B1149" t="s" s="834">
        <v>1154</v>
      </c>
      <c r="C1149" t="s" s="834">
        <v>700</v>
      </c>
      <c r="D1149" s="835">
        <v>46039</v>
      </c>
      <c r="E1149" t="s" s="834">
        <v>478</v>
      </c>
      <c r="F1149" t="s" s="834">
        <v>478</v>
      </c>
      <c r="G1149" s="570"/>
      <c r="H1149" s="570"/>
      <c r="I1149" s="570"/>
      <c r="J1149" s="570"/>
      <c r="K1149" s="570"/>
    </row>
    <row r="1150" ht="12.75" customHeight="1">
      <c r="A1150" s="833">
        <v>78</v>
      </c>
      <c r="B1150" t="s" s="834">
        <v>1154</v>
      </c>
      <c r="C1150" t="s" s="834">
        <v>700</v>
      </c>
      <c r="D1150" s="835">
        <v>46040</v>
      </c>
      <c r="E1150" t="s" s="834">
        <v>478</v>
      </c>
      <c r="F1150" t="s" s="834">
        <v>478</v>
      </c>
      <c r="G1150" s="570"/>
      <c r="H1150" s="570"/>
      <c r="I1150" s="570"/>
      <c r="J1150" s="570"/>
      <c r="K1150" s="570"/>
    </row>
    <row r="1151" ht="12.75" customHeight="1">
      <c r="A1151" s="833">
        <v>78</v>
      </c>
      <c r="B1151" t="s" s="834">
        <v>1154</v>
      </c>
      <c r="C1151" t="s" s="834">
        <v>700</v>
      </c>
      <c r="D1151" s="835">
        <v>46041</v>
      </c>
      <c r="E1151" s="836">
        <v>1.937118055555556</v>
      </c>
      <c r="F1151" s="836">
        <v>1.93744212962963</v>
      </c>
      <c r="G1151" s="570"/>
      <c r="H1151" s="570"/>
      <c r="I1151" s="570"/>
      <c r="J1151" s="570"/>
      <c r="K1151" s="570"/>
    </row>
    <row r="1152" ht="12.75" customHeight="1">
      <c r="A1152" t="s" s="834">
        <v>1163</v>
      </c>
      <c r="B1152" t="s" s="834">
        <v>1164</v>
      </c>
      <c r="C1152" t="s" s="834">
        <v>486</v>
      </c>
      <c r="D1152" s="570"/>
      <c r="E1152" s="570"/>
      <c r="F1152" s="570"/>
      <c r="G1152" s="570"/>
      <c r="H1152" s="570"/>
      <c r="I1152" s="570"/>
      <c r="J1152" s="570"/>
      <c r="K1152" s="570"/>
    </row>
    <row r="1153" ht="12.75" customHeight="1">
      <c r="A1153" s="833">
        <v>78</v>
      </c>
      <c r="B1153" t="s" s="834">
        <v>1154</v>
      </c>
      <c r="C1153" t="s" s="834">
        <v>700</v>
      </c>
      <c r="D1153" s="835">
        <v>46042</v>
      </c>
      <c r="E1153" t="s" s="834">
        <v>478</v>
      </c>
      <c r="F1153" t="s" s="834">
        <v>478</v>
      </c>
      <c r="G1153" s="570"/>
      <c r="H1153" s="570"/>
      <c r="I1153" s="570"/>
      <c r="J1153" s="570"/>
      <c r="K1153" s="570"/>
    </row>
    <row r="1154" ht="12.75" customHeight="1">
      <c r="A1154" s="833">
        <v>78</v>
      </c>
      <c r="B1154" t="s" s="834">
        <v>1154</v>
      </c>
      <c r="C1154" t="s" s="834">
        <v>700</v>
      </c>
      <c r="D1154" s="835">
        <v>46043</v>
      </c>
      <c r="E1154" t="s" s="834">
        <v>478</v>
      </c>
      <c r="F1154" t="s" s="834">
        <v>478</v>
      </c>
      <c r="G1154" s="570"/>
      <c r="H1154" s="570"/>
      <c r="I1154" s="570"/>
      <c r="J1154" s="570"/>
      <c r="K1154" s="570"/>
    </row>
    <row r="1155" ht="12.75" customHeight="1">
      <c r="A1155" s="833">
        <v>78</v>
      </c>
      <c r="B1155" t="s" s="834">
        <v>1154</v>
      </c>
      <c r="C1155" t="s" s="834">
        <v>700</v>
      </c>
      <c r="D1155" s="835">
        <v>46044</v>
      </c>
      <c r="E1155" t="s" s="834">
        <v>478</v>
      </c>
      <c r="F1155" t="s" s="834">
        <v>478</v>
      </c>
      <c r="G1155" s="570"/>
      <c r="H1155" s="570"/>
      <c r="I1155" s="570"/>
      <c r="J1155" s="570"/>
      <c r="K1155" s="570"/>
    </row>
    <row r="1156" ht="12.75" customHeight="1">
      <c r="A1156" s="833">
        <v>78</v>
      </c>
      <c r="B1156" t="s" s="834">
        <v>1154</v>
      </c>
      <c r="C1156" t="s" s="834">
        <v>700</v>
      </c>
      <c r="D1156" s="835">
        <v>46045</v>
      </c>
      <c r="E1156" s="836">
        <v>1.921793981481482</v>
      </c>
      <c r="F1156" t="s" s="834">
        <v>478</v>
      </c>
      <c r="G1156" s="570"/>
      <c r="H1156" s="570"/>
      <c r="I1156" s="570"/>
      <c r="J1156" s="570"/>
      <c r="K1156" s="570"/>
    </row>
    <row r="1157" ht="12.75" customHeight="1">
      <c r="A1157" t="s" s="834">
        <v>1165</v>
      </c>
      <c r="B1157" t="s" s="834">
        <v>485</v>
      </c>
      <c r="C1157" t="s" s="834">
        <v>486</v>
      </c>
      <c r="D1157" s="570"/>
      <c r="E1157" s="570"/>
      <c r="F1157" s="570"/>
      <c r="G1157" s="570"/>
      <c r="H1157" s="570"/>
      <c r="I1157" s="570"/>
      <c r="J1157" s="570"/>
      <c r="K1157" s="570"/>
    </row>
    <row r="1158" ht="12.75" customHeight="1">
      <c r="A1158" s="833">
        <v>78</v>
      </c>
      <c r="B1158" t="s" s="834">
        <v>1154</v>
      </c>
      <c r="C1158" t="s" s="834">
        <v>700</v>
      </c>
      <c r="D1158" s="835">
        <v>46046</v>
      </c>
      <c r="E1158" t="s" s="834">
        <v>478</v>
      </c>
      <c r="F1158" t="s" s="834">
        <v>478</v>
      </c>
      <c r="G1158" s="570"/>
      <c r="H1158" s="570"/>
      <c r="I1158" s="570"/>
      <c r="J1158" s="570"/>
      <c r="K1158" s="570"/>
    </row>
    <row r="1159" ht="12.75" customHeight="1">
      <c r="A1159" s="833">
        <v>78</v>
      </c>
      <c r="B1159" t="s" s="834">
        <v>1154</v>
      </c>
      <c r="C1159" t="s" s="834">
        <v>700</v>
      </c>
      <c r="D1159" s="835">
        <v>46047</v>
      </c>
      <c r="E1159" t="s" s="834">
        <v>478</v>
      </c>
      <c r="F1159" t="s" s="834">
        <v>478</v>
      </c>
      <c r="G1159" s="570"/>
      <c r="H1159" s="570"/>
      <c r="I1159" s="570"/>
      <c r="J1159" s="570"/>
      <c r="K1159" s="570"/>
    </row>
    <row r="1160" ht="12.75" customHeight="1">
      <c r="A1160" s="833">
        <v>78</v>
      </c>
      <c r="B1160" t="s" s="834">
        <v>1154</v>
      </c>
      <c r="C1160" t="s" s="834">
        <v>700</v>
      </c>
      <c r="D1160" s="835">
        <v>46048</v>
      </c>
      <c r="E1160" s="836">
        <v>1.86724537037037</v>
      </c>
      <c r="F1160" t="s" s="834">
        <v>478</v>
      </c>
      <c r="G1160" s="570"/>
      <c r="H1160" s="570"/>
      <c r="I1160" s="570"/>
      <c r="J1160" s="570"/>
      <c r="K1160" s="570"/>
    </row>
    <row r="1161" ht="12.75" customHeight="1">
      <c r="A1161" t="s" s="834">
        <v>1166</v>
      </c>
      <c r="B1161" t="s" s="834">
        <v>485</v>
      </c>
      <c r="C1161" t="s" s="834">
        <v>486</v>
      </c>
      <c r="D1161" s="570"/>
      <c r="E1161" s="570"/>
      <c r="F1161" s="570"/>
      <c r="G1161" s="570"/>
      <c r="H1161" s="570"/>
      <c r="I1161" s="570"/>
      <c r="J1161" s="570"/>
      <c r="K1161" s="570"/>
    </row>
    <row r="1162" ht="12.75" customHeight="1">
      <c r="A1162" s="833">
        <v>78</v>
      </c>
      <c r="B1162" t="s" s="834">
        <v>1154</v>
      </c>
      <c r="C1162" t="s" s="834">
        <v>700</v>
      </c>
      <c r="D1162" s="835">
        <v>46049</v>
      </c>
      <c r="E1162" s="836">
        <v>1.830393518518519</v>
      </c>
      <c r="F1162" t="s" s="834">
        <v>478</v>
      </c>
      <c r="G1162" s="570"/>
      <c r="H1162" s="570"/>
      <c r="I1162" s="570"/>
      <c r="J1162" s="570"/>
      <c r="K1162" s="570"/>
    </row>
    <row r="1163" ht="12.75" customHeight="1">
      <c r="A1163" t="s" s="834">
        <v>1167</v>
      </c>
      <c r="B1163" t="s" s="834">
        <v>485</v>
      </c>
      <c r="C1163" t="s" s="834">
        <v>486</v>
      </c>
      <c r="D1163" s="570"/>
      <c r="E1163" s="570"/>
      <c r="F1163" s="570"/>
      <c r="G1163" s="570"/>
      <c r="H1163" s="570"/>
      <c r="I1163" s="570"/>
      <c r="J1163" s="570"/>
      <c r="K1163" s="570"/>
    </row>
    <row r="1164" ht="12.75" customHeight="1">
      <c r="A1164" s="833">
        <v>78</v>
      </c>
      <c r="B1164" t="s" s="834">
        <v>1154</v>
      </c>
      <c r="C1164" t="s" s="834">
        <v>700</v>
      </c>
      <c r="D1164" s="835">
        <v>46050</v>
      </c>
      <c r="E1164" s="836">
        <v>1.925069444444444</v>
      </c>
      <c r="F1164" s="836">
        <v>1.925462962962963</v>
      </c>
      <c r="G1164" s="570"/>
      <c r="H1164" s="570"/>
      <c r="I1164" s="570"/>
      <c r="J1164" s="570"/>
      <c r="K1164" s="570"/>
    </row>
    <row r="1165" ht="12.75" customHeight="1">
      <c r="A1165" t="s" s="834">
        <v>1168</v>
      </c>
      <c r="B1165" t="s" s="834">
        <v>1169</v>
      </c>
      <c r="C1165" t="s" s="834">
        <v>805</v>
      </c>
      <c r="D1165" s="570"/>
      <c r="E1165" s="570"/>
      <c r="F1165" s="570"/>
      <c r="G1165" s="570"/>
      <c r="H1165" s="570"/>
      <c r="I1165" s="570"/>
      <c r="J1165" s="570"/>
      <c r="K1165" s="570"/>
    </row>
    <row r="1166" ht="12.75" customHeight="1">
      <c r="A1166" s="833">
        <v>78</v>
      </c>
      <c r="B1166" t="s" s="834">
        <v>1154</v>
      </c>
      <c r="C1166" t="s" s="834">
        <v>700</v>
      </c>
      <c r="D1166" s="835">
        <v>46051</v>
      </c>
      <c r="E1166" s="836">
        <v>1.617847222222222</v>
      </c>
      <c r="F1166" t="s" s="834">
        <v>478</v>
      </c>
      <c r="G1166" s="570"/>
      <c r="H1166" s="570"/>
      <c r="I1166" s="570"/>
      <c r="J1166" s="570"/>
      <c r="K1166" s="570"/>
    </row>
    <row r="1167" ht="12.75" customHeight="1">
      <c r="A1167" t="s" s="834">
        <v>1170</v>
      </c>
      <c r="B1167" t="s" s="834">
        <v>485</v>
      </c>
      <c r="C1167" t="s" s="834">
        <v>486</v>
      </c>
      <c r="D1167" s="570"/>
      <c r="E1167" s="570"/>
      <c r="F1167" s="570"/>
      <c r="G1167" s="570"/>
      <c r="H1167" s="570"/>
      <c r="I1167" s="570"/>
      <c r="J1167" s="570"/>
      <c r="K1167" s="570"/>
    </row>
    <row r="1168" ht="12.75" customHeight="1">
      <c r="A1168" s="833">
        <v>78</v>
      </c>
      <c r="B1168" t="s" s="834">
        <v>1154</v>
      </c>
      <c r="C1168" t="s" s="834">
        <v>700</v>
      </c>
      <c r="D1168" s="835">
        <v>46052</v>
      </c>
      <c r="E1168" t="s" s="834">
        <v>478</v>
      </c>
      <c r="F1168" t="s" s="834">
        <v>478</v>
      </c>
      <c r="G1168" s="570"/>
      <c r="H1168" s="570"/>
      <c r="I1168" s="570"/>
      <c r="J1168" s="570"/>
      <c r="K1168" s="570"/>
    </row>
    <row r="1169" ht="12.75" customHeight="1">
      <c r="A1169" s="833">
        <v>78</v>
      </c>
      <c r="B1169" t="s" s="834">
        <v>1154</v>
      </c>
      <c r="C1169" t="s" s="834">
        <v>700</v>
      </c>
      <c r="D1169" s="835">
        <v>46053</v>
      </c>
      <c r="E1169" t="s" s="834">
        <v>478</v>
      </c>
      <c r="F1169" t="s" s="834">
        <v>478</v>
      </c>
      <c r="G1169" s="570"/>
      <c r="H1169" s="570"/>
      <c r="I1169" s="570"/>
      <c r="J1169" s="570"/>
      <c r="K1169" s="570"/>
    </row>
    <row r="1170" ht="12.75" customHeight="1">
      <c r="A1170" s="833">
        <v>78</v>
      </c>
      <c r="B1170" t="s" s="834">
        <v>1154</v>
      </c>
      <c r="C1170" t="s" s="834">
        <v>700</v>
      </c>
      <c r="D1170" s="835">
        <v>46054</v>
      </c>
      <c r="E1170" t="s" s="834">
        <v>478</v>
      </c>
      <c r="F1170" t="s" s="834">
        <v>478</v>
      </c>
      <c r="G1170" s="570"/>
      <c r="H1170" s="570"/>
      <c r="I1170" s="570"/>
      <c r="J1170" s="570"/>
      <c r="K1170" s="570"/>
    </row>
    <row r="1171" ht="12.75" customHeight="1">
      <c r="A1171" s="833">
        <v>79</v>
      </c>
      <c r="B1171" t="s" s="834">
        <v>1171</v>
      </c>
      <c r="C1171" t="s" s="834">
        <v>1067</v>
      </c>
      <c r="D1171" s="835">
        <v>46023</v>
      </c>
      <c r="E1171" t="s" s="834">
        <v>478</v>
      </c>
      <c r="F1171" t="s" s="834">
        <v>478</v>
      </c>
      <c r="G1171" s="570"/>
      <c r="H1171" s="570"/>
      <c r="I1171" s="570"/>
      <c r="J1171" s="570"/>
      <c r="K1171" s="570"/>
    </row>
    <row r="1172" ht="12.75" customHeight="1">
      <c r="A1172" s="833">
        <v>79</v>
      </c>
      <c r="B1172" t="s" s="834">
        <v>1171</v>
      </c>
      <c r="C1172" t="s" s="834">
        <v>1067</v>
      </c>
      <c r="D1172" s="835">
        <v>46024</v>
      </c>
      <c r="E1172" t="s" s="834">
        <v>478</v>
      </c>
      <c r="F1172" t="s" s="834">
        <v>478</v>
      </c>
      <c r="G1172" s="570"/>
      <c r="H1172" s="570"/>
      <c r="I1172" s="570"/>
      <c r="J1172" s="570"/>
      <c r="K1172" s="570"/>
    </row>
    <row r="1173" ht="12.75" customHeight="1">
      <c r="A1173" s="833">
        <v>79</v>
      </c>
      <c r="B1173" t="s" s="834">
        <v>1171</v>
      </c>
      <c r="C1173" t="s" s="834">
        <v>1067</v>
      </c>
      <c r="D1173" s="835">
        <v>46025</v>
      </c>
      <c r="E1173" t="s" s="834">
        <v>478</v>
      </c>
      <c r="F1173" t="s" s="834">
        <v>478</v>
      </c>
      <c r="G1173" s="570"/>
      <c r="H1173" s="570"/>
      <c r="I1173" s="570"/>
      <c r="J1173" s="570"/>
      <c r="K1173" s="570"/>
    </row>
    <row r="1174" ht="12.75" customHeight="1">
      <c r="A1174" s="833">
        <v>79</v>
      </c>
      <c r="B1174" t="s" s="834">
        <v>1171</v>
      </c>
      <c r="C1174" t="s" s="834">
        <v>1067</v>
      </c>
      <c r="D1174" s="835">
        <v>46026</v>
      </c>
      <c r="E1174" t="s" s="834">
        <v>478</v>
      </c>
      <c r="F1174" t="s" s="834">
        <v>478</v>
      </c>
      <c r="G1174" s="570"/>
      <c r="H1174" s="570"/>
      <c r="I1174" s="570"/>
      <c r="J1174" s="570"/>
      <c r="K1174" s="570"/>
    </row>
    <row r="1175" ht="12.75" customHeight="1">
      <c r="A1175" s="833">
        <v>79</v>
      </c>
      <c r="B1175" t="s" s="834">
        <v>1171</v>
      </c>
      <c r="C1175" t="s" s="834">
        <v>1067</v>
      </c>
      <c r="D1175" s="835">
        <v>46027</v>
      </c>
      <c r="E1175" s="836">
        <v>1.38662037037037</v>
      </c>
      <c r="F1175" s="836">
        <v>1.754456018518519</v>
      </c>
      <c r="G1175" s="570"/>
      <c r="H1175" s="570"/>
      <c r="I1175" s="570"/>
      <c r="J1175" s="570"/>
      <c r="K1175" s="570"/>
    </row>
    <row r="1176" ht="12.75" customHeight="1">
      <c r="A1176" t="s" s="834">
        <v>1172</v>
      </c>
      <c r="B1176" t="s" s="834">
        <v>1173</v>
      </c>
      <c r="C1176" t="s" s="834">
        <v>1174</v>
      </c>
      <c r="D1176" s="570"/>
      <c r="E1176" s="570"/>
      <c r="F1176" s="570"/>
      <c r="G1176" s="570"/>
      <c r="H1176" s="570"/>
      <c r="I1176" s="570"/>
      <c r="J1176" s="570"/>
      <c r="K1176" s="570"/>
    </row>
    <row r="1177" ht="12.75" customHeight="1">
      <c r="A1177" s="833">
        <v>79</v>
      </c>
      <c r="B1177" t="s" s="834">
        <v>1171</v>
      </c>
      <c r="C1177" t="s" s="834">
        <v>1067</v>
      </c>
      <c r="D1177" s="835">
        <v>46028</v>
      </c>
      <c r="E1177" s="836">
        <v>1.579259259259259</v>
      </c>
      <c r="F1177" s="836">
        <v>1.788055555555556</v>
      </c>
      <c r="G1177" s="570"/>
      <c r="H1177" s="570"/>
      <c r="I1177" s="570"/>
      <c r="J1177" s="570"/>
      <c r="K1177" s="570"/>
    </row>
    <row r="1178" ht="12.75" customHeight="1">
      <c r="A1178" t="s" s="834">
        <v>1175</v>
      </c>
      <c r="B1178" t="s" s="834">
        <v>1176</v>
      </c>
      <c r="C1178" t="s" s="834">
        <v>1177</v>
      </c>
      <c r="D1178" s="570"/>
      <c r="E1178" s="570"/>
      <c r="F1178" s="570"/>
      <c r="G1178" s="570"/>
      <c r="H1178" s="570"/>
      <c r="I1178" s="570"/>
      <c r="J1178" s="570"/>
      <c r="K1178" s="570"/>
    </row>
    <row r="1179" ht="12.75" customHeight="1">
      <c r="A1179" s="833">
        <v>79</v>
      </c>
      <c r="B1179" t="s" s="834">
        <v>1171</v>
      </c>
      <c r="C1179" t="s" s="834">
        <v>1067</v>
      </c>
      <c r="D1179" s="835">
        <v>46029</v>
      </c>
      <c r="E1179" s="836">
        <v>1.379502314814815</v>
      </c>
      <c r="F1179" s="836">
        <v>1.75462962962963</v>
      </c>
      <c r="G1179" s="570"/>
      <c r="H1179" s="570"/>
      <c r="I1179" s="570"/>
      <c r="J1179" s="570"/>
      <c r="K1179" s="570"/>
    </row>
    <row r="1180" ht="12.75" customHeight="1">
      <c r="A1180" t="s" s="834">
        <v>1178</v>
      </c>
      <c r="B1180" t="s" s="834">
        <v>1179</v>
      </c>
      <c r="C1180" t="s" s="834">
        <v>673</v>
      </c>
      <c r="D1180" s="570"/>
      <c r="E1180" s="570"/>
      <c r="F1180" s="570"/>
      <c r="G1180" s="570"/>
      <c r="H1180" s="570"/>
      <c r="I1180" s="570"/>
      <c r="J1180" s="570"/>
      <c r="K1180" s="570"/>
    </row>
    <row r="1181" ht="12.75" customHeight="1">
      <c r="A1181" s="833">
        <v>79</v>
      </c>
      <c r="B1181" t="s" s="834">
        <v>1171</v>
      </c>
      <c r="C1181" t="s" s="834">
        <v>1067</v>
      </c>
      <c r="D1181" s="835">
        <v>46030</v>
      </c>
      <c r="E1181" s="836">
        <v>1.782638888888889</v>
      </c>
      <c r="F1181" t="s" s="834">
        <v>478</v>
      </c>
      <c r="G1181" s="570"/>
      <c r="H1181" s="570"/>
      <c r="I1181" s="570"/>
      <c r="J1181" s="570"/>
      <c r="K1181" s="570"/>
    </row>
    <row r="1182" ht="12.75" customHeight="1">
      <c r="A1182" t="s" s="834">
        <v>1180</v>
      </c>
      <c r="B1182" t="s" s="834">
        <v>485</v>
      </c>
      <c r="C1182" t="s" s="834">
        <v>486</v>
      </c>
      <c r="D1182" s="570"/>
      <c r="E1182" s="570"/>
      <c r="F1182" s="570"/>
      <c r="G1182" s="570"/>
      <c r="H1182" s="570"/>
      <c r="I1182" s="570"/>
      <c r="J1182" s="570"/>
      <c r="K1182" s="570"/>
    </row>
    <row r="1183" ht="12.75" customHeight="1">
      <c r="A1183" s="833">
        <v>79</v>
      </c>
      <c r="B1183" t="s" s="834">
        <v>1171</v>
      </c>
      <c r="C1183" t="s" s="834">
        <v>1067</v>
      </c>
      <c r="D1183" s="835">
        <v>46031</v>
      </c>
      <c r="E1183" s="836">
        <v>1.37994212962963</v>
      </c>
      <c r="F1183" s="836">
        <v>1.766851851851852</v>
      </c>
      <c r="G1183" s="570"/>
      <c r="H1183" s="570"/>
      <c r="I1183" s="570"/>
      <c r="J1183" s="570"/>
      <c r="K1183" s="570"/>
    </row>
    <row r="1184" ht="12.75" customHeight="1">
      <c r="A1184" t="s" s="834">
        <v>1181</v>
      </c>
      <c r="B1184" t="s" s="834">
        <v>1182</v>
      </c>
      <c r="C1184" t="s" s="834">
        <v>995</v>
      </c>
      <c r="D1184" s="570"/>
      <c r="E1184" s="570"/>
      <c r="F1184" s="570"/>
      <c r="G1184" s="570"/>
      <c r="H1184" s="570"/>
      <c r="I1184" s="570"/>
      <c r="J1184" s="570"/>
      <c r="K1184" s="570"/>
    </row>
    <row r="1185" ht="12.75" customHeight="1">
      <c r="A1185" s="833">
        <v>79</v>
      </c>
      <c r="B1185" t="s" s="834">
        <v>1171</v>
      </c>
      <c r="C1185" t="s" s="834">
        <v>1067</v>
      </c>
      <c r="D1185" s="835">
        <v>46032</v>
      </c>
      <c r="E1185" s="836">
        <v>1.393159722222222</v>
      </c>
      <c r="F1185" s="836">
        <v>1.765196759259259</v>
      </c>
      <c r="G1185" s="570"/>
      <c r="H1185" s="570"/>
      <c r="I1185" s="570"/>
      <c r="J1185" s="570"/>
      <c r="K1185" s="570"/>
    </row>
    <row r="1186" ht="12.75" customHeight="1">
      <c r="A1186" t="s" s="834">
        <v>1183</v>
      </c>
      <c r="B1186" t="s" s="834">
        <v>1184</v>
      </c>
      <c r="C1186" t="s" s="834">
        <v>1185</v>
      </c>
      <c r="D1186" s="570"/>
      <c r="E1186" s="570"/>
      <c r="F1186" s="570"/>
      <c r="G1186" s="570"/>
      <c r="H1186" s="570"/>
      <c r="I1186" s="570"/>
      <c r="J1186" s="570"/>
      <c r="K1186" s="570"/>
    </row>
    <row r="1187" ht="12.75" customHeight="1">
      <c r="A1187" s="833">
        <v>79</v>
      </c>
      <c r="B1187" t="s" s="834">
        <v>1171</v>
      </c>
      <c r="C1187" t="s" s="834">
        <v>1067</v>
      </c>
      <c r="D1187" s="835">
        <v>46033</v>
      </c>
      <c r="E1187" t="s" s="834">
        <v>478</v>
      </c>
      <c r="F1187" t="s" s="834">
        <v>478</v>
      </c>
      <c r="G1187" s="570"/>
      <c r="H1187" s="570"/>
      <c r="I1187" s="570"/>
      <c r="J1187" s="570"/>
      <c r="K1187" s="570"/>
    </row>
    <row r="1188" ht="12.75" customHeight="1">
      <c r="A1188" s="833">
        <v>79</v>
      </c>
      <c r="B1188" t="s" s="834">
        <v>1171</v>
      </c>
      <c r="C1188" t="s" s="834">
        <v>1067</v>
      </c>
      <c r="D1188" s="835">
        <v>46034</v>
      </c>
      <c r="E1188" s="836">
        <v>1.372175925925926</v>
      </c>
      <c r="F1188" s="836">
        <v>1.75431712962963</v>
      </c>
      <c r="G1188" s="570"/>
      <c r="H1188" s="570"/>
      <c r="I1188" s="570"/>
      <c r="J1188" s="570"/>
      <c r="K1188" s="570"/>
    </row>
    <row r="1189" ht="12.75" customHeight="1">
      <c r="A1189" t="s" s="834">
        <v>1186</v>
      </c>
      <c r="B1189" t="s" s="834">
        <v>1187</v>
      </c>
      <c r="C1189" t="s" s="834">
        <v>816</v>
      </c>
      <c r="D1189" s="570"/>
      <c r="E1189" s="570"/>
      <c r="F1189" s="570"/>
      <c r="G1189" s="570"/>
      <c r="H1189" s="570"/>
      <c r="I1189" s="570"/>
      <c r="J1189" s="570"/>
      <c r="K1189" s="570"/>
    </row>
    <row r="1190" ht="12.75" customHeight="1">
      <c r="A1190" s="833">
        <v>79</v>
      </c>
      <c r="B1190" t="s" s="834">
        <v>1171</v>
      </c>
      <c r="C1190" t="s" s="834">
        <v>1067</v>
      </c>
      <c r="D1190" s="835">
        <v>46035</v>
      </c>
      <c r="E1190" s="836">
        <v>1.370324074074074</v>
      </c>
      <c r="F1190" s="836">
        <v>1.756331018518519</v>
      </c>
      <c r="G1190" s="570"/>
      <c r="H1190" s="570"/>
      <c r="I1190" s="570"/>
      <c r="J1190" s="570"/>
      <c r="K1190" s="570"/>
    </row>
    <row r="1191" ht="12.75" customHeight="1">
      <c r="A1191" t="s" s="834">
        <v>1188</v>
      </c>
      <c r="B1191" t="s" s="834">
        <v>1189</v>
      </c>
      <c r="C1191" t="s" s="834">
        <v>834</v>
      </c>
      <c r="D1191" s="570"/>
      <c r="E1191" s="570"/>
      <c r="F1191" s="570"/>
      <c r="G1191" s="570"/>
      <c r="H1191" s="570"/>
      <c r="I1191" s="570"/>
      <c r="J1191" s="570"/>
      <c r="K1191" s="570"/>
    </row>
    <row r="1192" ht="12.75" customHeight="1">
      <c r="A1192" s="833">
        <v>79</v>
      </c>
      <c r="B1192" t="s" s="834">
        <v>1171</v>
      </c>
      <c r="C1192" t="s" s="834">
        <v>1067</v>
      </c>
      <c r="D1192" s="835">
        <v>46036</v>
      </c>
      <c r="E1192" s="836">
        <v>1.371273148148148</v>
      </c>
      <c r="F1192" s="836">
        <v>1.754976851851852</v>
      </c>
      <c r="G1192" s="570"/>
      <c r="H1192" s="570"/>
      <c r="I1192" s="570"/>
      <c r="J1192" s="570"/>
      <c r="K1192" s="570"/>
    </row>
    <row r="1193" ht="12.75" customHeight="1">
      <c r="A1193" t="s" s="834">
        <v>1190</v>
      </c>
      <c r="B1193" t="s" s="834">
        <v>1191</v>
      </c>
      <c r="C1193" t="s" s="834">
        <v>984</v>
      </c>
      <c r="D1193" s="570"/>
      <c r="E1193" s="570"/>
      <c r="F1193" s="570"/>
      <c r="G1193" s="570"/>
      <c r="H1193" s="570"/>
      <c r="I1193" s="570"/>
      <c r="J1193" s="570"/>
      <c r="K1193" s="570"/>
    </row>
    <row r="1194" ht="12.75" customHeight="1">
      <c r="A1194" s="833">
        <v>79</v>
      </c>
      <c r="B1194" t="s" s="834">
        <v>1171</v>
      </c>
      <c r="C1194" t="s" s="834">
        <v>1067</v>
      </c>
      <c r="D1194" s="835">
        <v>46037</v>
      </c>
      <c r="E1194" s="836">
        <v>1.363854166666667</v>
      </c>
      <c r="F1194" s="836">
        <v>1.826087962962963</v>
      </c>
      <c r="G1194" s="570"/>
      <c r="H1194" s="570"/>
      <c r="I1194" s="570"/>
      <c r="J1194" s="570"/>
      <c r="K1194" s="570"/>
    </row>
    <row r="1195" ht="12.75" customHeight="1">
      <c r="A1195" t="s" s="834">
        <v>1192</v>
      </c>
      <c r="B1195" t="s" s="834">
        <v>1193</v>
      </c>
      <c r="C1195" t="s" s="834">
        <v>1194</v>
      </c>
      <c r="D1195" s="570"/>
      <c r="E1195" s="570"/>
      <c r="F1195" s="570"/>
      <c r="G1195" s="570"/>
      <c r="H1195" s="570"/>
      <c r="I1195" s="570"/>
      <c r="J1195" s="570"/>
      <c r="K1195" s="570"/>
    </row>
    <row r="1196" ht="12.75" customHeight="1">
      <c r="A1196" s="833">
        <v>79</v>
      </c>
      <c r="B1196" t="s" s="834">
        <v>1171</v>
      </c>
      <c r="C1196" t="s" s="834">
        <v>1067</v>
      </c>
      <c r="D1196" s="835">
        <v>46038</v>
      </c>
      <c r="E1196" s="836">
        <v>1.370706018518518</v>
      </c>
      <c r="F1196" s="836">
        <v>1.76244212962963</v>
      </c>
      <c r="G1196" s="570"/>
      <c r="H1196" s="570"/>
      <c r="I1196" s="570"/>
      <c r="J1196" s="570"/>
      <c r="K1196" s="570"/>
    </row>
    <row r="1197" ht="12.75" customHeight="1">
      <c r="A1197" t="s" s="834">
        <v>1195</v>
      </c>
      <c r="B1197" t="s" s="834">
        <v>1196</v>
      </c>
      <c r="C1197" t="s" s="834">
        <v>1056</v>
      </c>
      <c r="D1197" s="570"/>
      <c r="E1197" s="570"/>
      <c r="F1197" s="570"/>
      <c r="G1197" s="570"/>
      <c r="H1197" s="570"/>
      <c r="I1197" s="570"/>
      <c r="J1197" s="570"/>
      <c r="K1197" s="570"/>
    </row>
    <row r="1198" ht="12.75" customHeight="1">
      <c r="A1198" s="833">
        <v>79</v>
      </c>
      <c r="B1198" t="s" s="834">
        <v>1171</v>
      </c>
      <c r="C1198" t="s" s="834">
        <v>1067</v>
      </c>
      <c r="D1198" s="835">
        <v>46039</v>
      </c>
      <c r="E1198" t="s" s="834">
        <v>478</v>
      </c>
      <c r="F1198" t="s" s="834">
        <v>478</v>
      </c>
      <c r="G1198" s="570"/>
      <c r="H1198" s="570"/>
      <c r="I1198" s="570"/>
      <c r="J1198" s="570"/>
      <c r="K1198" s="570"/>
    </row>
    <row r="1199" ht="12.75" customHeight="1">
      <c r="A1199" s="833">
        <v>79</v>
      </c>
      <c r="B1199" t="s" s="834">
        <v>1171</v>
      </c>
      <c r="C1199" t="s" s="834">
        <v>1067</v>
      </c>
      <c r="D1199" s="835">
        <v>46040</v>
      </c>
      <c r="E1199" t="s" s="834">
        <v>478</v>
      </c>
      <c r="F1199" t="s" s="834">
        <v>478</v>
      </c>
      <c r="G1199" s="570"/>
      <c r="H1199" s="570"/>
      <c r="I1199" s="570"/>
      <c r="J1199" s="570"/>
      <c r="K1199" s="570"/>
    </row>
    <row r="1200" ht="12.75" customHeight="1">
      <c r="A1200" s="833">
        <v>79</v>
      </c>
      <c r="B1200" t="s" s="834">
        <v>1171</v>
      </c>
      <c r="C1200" t="s" s="834">
        <v>1067</v>
      </c>
      <c r="D1200" s="835">
        <v>46041</v>
      </c>
      <c r="E1200" s="836">
        <v>1.353738425925926</v>
      </c>
      <c r="F1200" s="836">
        <v>1.757650462962963</v>
      </c>
      <c r="G1200" s="570"/>
      <c r="H1200" s="570"/>
      <c r="I1200" s="570"/>
      <c r="J1200" s="570"/>
      <c r="K1200" s="570"/>
    </row>
    <row r="1201" ht="12.75" customHeight="1">
      <c r="A1201" t="s" s="834">
        <v>1197</v>
      </c>
      <c r="B1201" t="s" s="834">
        <v>1198</v>
      </c>
      <c r="C1201" t="s" s="834">
        <v>493</v>
      </c>
      <c r="D1201" s="570"/>
      <c r="E1201" s="570"/>
      <c r="F1201" s="570"/>
      <c r="G1201" s="570"/>
      <c r="H1201" s="570"/>
      <c r="I1201" s="570"/>
      <c r="J1201" s="570"/>
      <c r="K1201" s="570"/>
    </row>
    <row r="1202" ht="12.75" customHeight="1">
      <c r="A1202" s="833">
        <v>79</v>
      </c>
      <c r="B1202" t="s" s="834">
        <v>1171</v>
      </c>
      <c r="C1202" t="s" s="834">
        <v>1067</v>
      </c>
      <c r="D1202" s="835">
        <v>46042</v>
      </c>
      <c r="E1202" s="836">
        <v>1.359328703703704</v>
      </c>
      <c r="F1202" s="836">
        <v>1.777083333333333</v>
      </c>
      <c r="G1202" s="570"/>
      <c r="H1202" s="570"/>
      <c r="I1202" s="570"/>
      <c r="J1202" s="570"/>
      <c r="K1202" s="570"/>
    </row>
    <row r="1203" ht="12.75" customHeight="1">
      <c r="A1203" t="s" s="834">
        <v>1199</v>
      </c>
      <c r="B1203" t="s" s="834">
        <v>1200</v>
      </c>
      <c r="C1203" t="s" s="834">
        <v>1033</v>
      </c>
      <c r="D1203" s="570"/>
      <c r="E1203" s="570"/>
      <c r="F1203" s="570"/>
      <c r="G1203" s="570"/>
      <c r="H1203" s="570"/>
      <c r="I1203" s="570"/>
      <c r="J1203" s="570"/>
      <c r="K1203" s="570"/>
    </row>
    <row r="1204" ht="12.75" customHeight="1">
      <c r="A1204" s="833">
        <v>79</v>
      </c>
      <c r="B1204" t="s" s="834">
        <v>1171</v>
      </c>
      <c r="C1204" t="s" s="834">
        <v>1067</v>
      </c>
      <c r="D1204" s="835">
        <v>46043</v>
      </c>
      <c r="E1204" s="836">
        <v>1.383900462962963</v>
      </c>
      <c r="F1204" s="836">
        <v>1.828611111111111</v>
      </c>
      <c r="G1204" s="570"/>
      <c r="H1204" s="570"/>
      <c r="I1204" s="570"/>
      <c r="J1204" s="570"/>
      <c r="K1204" s="570"/>
    </row>
    <row r="1205" ht="12.75" customHeight="1">
      <c r="A1205" t="s" s="834">
        <v>1201</v>
      </c>
      <c r="B1205" t="s" s="834">
        <v>1202</v>
      </c>
      <c r="C1205" t="s" s="834">
        <v>1203</v>
      </c>
      <c r="D1205" s="570"/>
      <c r="E1205" s="570"/>
      <c r="F1205" s="570"/>
      <c r="G1205" s="570"/>
      <c r="H1205" s="570"/>
      <c r="I1205" s="570"/>
      <c r="J1205" s="570"/>
      <c r="K1205" s="570"/>
    </row>
    <row r="1206" ht="12.75" customHeight="1">
      <c r="A1206" s="833">
        <v>79</v>
      </c>
      <c r="B1206" t="s" s="834">
        <v>1171</v>
      </c>
      <c r="C1206" t="s" s="834">
        <v>1067</v>
      </c>
      <c r="D1206" s="835">
        <v>46044</v>
      </c>
      <c r="E1206" s="836">
        <v>1.397789351851852</v>
      </c>
      <c r="F1206" s="836">
        <v>1.767233796296296</v>
      </c>
      <c r="G1206" s="570"/>
      <c r="H1206" s="570"/>
      <c r="I1206" s="570"/>
      <c r="J1206" s="570"/>
      <c r="K1206" s="570"/>
    </row>
    <row r="1207" ht="12.75" customHeight="1">
      <c r="A1207" t="s" s="834">
        <v>1204</v>
      </c>
      <c r="B1207" t="s" s="834">
        <v>1205</v>
      </c>
      <c r="C1207" t="s" s="834">
        <v>1206</v>
      </c>
      <c r="D1207" s="570"/>
      <c r="E1207" s="570"/>
      <c r="F1207" s="570"/>
      <c r="G1207" s="570"/>
      <c r="H1207" s="570"/>
      <c r="I1207" s="570"/>
      <c r="J1207" s="570"/>
      <c r="K1207" s="570"/>
    </row>
    <row r="1208" ht="12.75" customHeight="1">
      <c r="A1208" s="833">
        <v>79</v>
      </c>
      <c r="B1208" t="s" s="834">
        <v>1171</v>
      </c>
      <c r="C1208" t="s" s="834">
        <v>1067</v>
      </c>
      <c r="D1208" s="835">
        <v>46045</v>
      </c>
      <c r="E1208" s="836">
        <v>1.403831018518519</v>
      </c>
      <c r="F1208" s="836">
        <v>1.783518518518519</v>
      </c>
      <c r="G1208" s="570"/>
      <c r="H1208" s="570"/>
      <c r="I1208" s="570"/>
      <c r="J1208" s="570"/>
      <c r="K1208" s="570"/>
    </row>
    <row r="1209" ht="12.75" customHeight="1">
      <c r="A1209" t="s" s="834">
        <v>1207</v>
      </c>
      <c r="B1209" t="s" s="834">
        <v>1208</v>
      </c>
      <c r="C1209" t="s" s="834">
        <v>821</v>
      </c>
      <c r="D1209" s="570"/>
      <c r="E1209" s="570"/>
      <c r="F1209" s="570"/>
      <c r="G1209" s="570"/>
      <c r="H1209" s="570"/>
      <c r="I1209" s="570"/>
      <c r="J1209" s="570"/>
      <c r="K1209" s="570"/>
    </row>
    <row r="1210" ht="12.75" customHeight="1">
      <c r="A1210" s="833">
        <v>79</v>
      </c>
      <c r="B1210" t="s" s="834">
        <v>1171</v>
      </c>
      <c r="C1210" t="s" s="834">
        <v>1067</v>
      </c>
      <c r="D1210" s="835">
        <v>46046</v>
      </c>
      <c r="E1210" t="s" s="834">
        <v>478</v>
      </c>
      <c r="F1210" t="s" s="834">
        <v>478</v>
      </c>
      <c r="G1210" s="570"/>
      <c r="H1210" s="570"/>
      <c r="I1210" s="570"/>
      <c r="J1210" s="570"/>
      <c r="K1210" s="570"/>
    </row>
    <row r="1211" ht="12.75" customHeight="1">
      <c r="A1211" s="833">
        <v>79</v>
      </c>
      <c r="B1211" t="s" s="834">
        <v>1171</v>
      </c>
      <c r="C1211" t="s" s="834">
        <v>1067</v>
      </c>
      <c r="D1211" s="835">
        <v>46047</v>
      </c>
      <c r="E1211" t="s" s="834">
        <v>478</v>
      </c>
      <c r="F1211" t="s" s="834">
        <v>478</v>
      </c>
      <c r="G1211" s="570"/>
      <c r="H1211" s="570"/>
      <c r="I1211" s="570"/>
      <c r="J1211" s="570"/>
      <c r="K1211" s="570"/>
    </row>
    <row r="1212" ht="12.75" customHeight="1">
      <c r="A1212" s="833">
        <v>79</v>
      </c>
      <c r="B1212" t="s" s="834">
        <v>1171</v>
      </c>
      <c r="C1212" t="s" s="834">
        <v>1067</v>
      </c>
      <c r="D1212" s="835">
        <v>46048</v>
      </c>
      <c r="E1212" s="836">
        <v>1.853067129629629</v>
      </c>
      <c r="F1212" t="s" s="834">
        <v>478</v>
      </c>
      <c r="G1212" s="570"/>
      <c r="H1212" s="570"/>
      <c r="I1212" s="570"/>
      <c r="J1212" s="570"/>
      <c r="K1212" s="570"/>
    </row>
    <row r="1213" ht="12.75" customHeight="1">
      <c r="A1213" t="s" s="834">
        <v>1209</v>
      </c>
      <c r="B1213" t="s" s="834">
        <v>485</v>
      </c>
      <c r="C1213" t="s" s="834">
        <v>486</v>
      </c>
      <c r="D1213" s="570"/>
      <c r="E1213" s="570"/>
      <c r="F1213" s="570"/>
      <c r="G1213" s="570"/>
      <c r="H1213" s="570"/>
      <c r="I1213" s="570"/>
      <c r="J1213" s="570"/>
      <c r="K1213" s="570"/>
    </row>
    <row r="1214" ht="12.75" customHeight="1">
      <c r="A1214" s="833">
        <v>79</v>
      </c>
      <c r="B1214" t="s" s="834">
        <v>1171</v>
      </c>
      <c r="C1214" t="s" s="834">
        <v>1067</v>
      </c>
      <c r="D1214" s="835">
        <v>46049</v>
      </c>
      <c r="E1214" t="s" s="834">
        <v>478</v>
      </c>
      <c r="F1214" t="s" s="834">
        <v>478</v>
      </c>
      <c r="G1214" s="570"/>
      <c r="H1214" s="570"/>
      <c r="I1214" s="570"/>
      <c r="J1214" s="570"/>
      <c r="K1214" s="570"/>
    </row>
    <row r="1215" ht="12.75" customHeight="1">
      <c r="A1215" s="833">
        <v>79</v>
      </c>
      <c r="B1215" t="s" s="834">
        <v>1171</v>
      </c>
      <c r="C1215" t="s" s="834">
        <v>1067</v>
      </c>
      <c r="D1215" s="835">
        <v>46050</v>
      </c>
      <c r="E1215" s="836">
        <v>1.358784722222222</v>
      </c>
      <c r="F1215" s="836">
        <v>1.793888888888889</v>
      </c>
      <c r="G1215" s="570"/>
      <c r="H1215" s="570"/>
      <c r="I1215" s="570"/>
      <c r="J1215" s="570"/>
      <c r="K1215" s="570"/>
    </row>
    <row r="1216" ht="12.75" customHeight="1">
      <c r="A1216" t="s" s="834">
        <v>1210</v>
      </c>
      <c r="B1216" t="s" s="834">
        <v>1211</v>
      </c>
      <c r="C1216" t="s" s="834">
        <v>1212</v>
      </c>
      <c r="D1216" s="570"/>
      <c r="E1216" s="570"/>
      <c r="F1216" s="570"/>
      <c r="G1216" s="570"/>
      <c r="H1216" s="570"/>
      <c r="I1216" s="570"/>
      <c r="J1216" s="570"/>
      <c r="K1216" s="570"/>
    </row>
    <row r="1217" ht="12.75" customHeight="1">
      <c r="A1217" s="833">
        <v>79</v>
      </c>
      <c r="B1217" t="s" s="834">
        <v>1171</v>
      </c>
      <c r="C1217" t="s" s="834">
        <v>1067</v>
      </c>
      <c r="D1217" s="835">
        <v>46051</v>
      </c>
      <c r="E1217" s="836">
        <v>1.386712962962963</v>
      </c>
      <c r="F1217" s="836">
        <v>1.760185185185185</v>
      </c>
      <c r="G1217" s="570"/>
      <c r="H1217" s="570"/>
      <c r="I1217" s="570"/>
      <c r="J1217" s="570"/>
      <c r="K1217" s="570"/>
    </row>
    <row r="1218" ht="12.75" customHeight="1">
      <c r="A1218" t="s" s="834">
        <v>1213</v>
      </c>
      <c r="B1218" t="s" s="834">
        <v>1214</v>
      </c>
      <c r="C1218" t="s" s="834">
        <v>552</v>
      </c>
      <c r="D1218" s="570"/>
      <c r="E1218" s="570"/>
      <c r="F1218" s="570"/>
      <c r="G1218" s="570"/>
      <c r="H1218" s="570"/>
      <c r="I1218" s="570"/>
      <c r="J1218" s="570"/>
      <c r="K1218" s="570"/>
    </row>
    <row r="1219" ht="12.75" customHeight="1">
      <c r="A1219" s="833">
        <v>79</v>
      </c>
      <c r="B1219" t="s" s="834">
        <v>1171</v>
      </c>
      <c r="C1219" t="s" s="834">
        <v>1067</v>
      </c>
      <c r="D1219" s="835">
        <v>46052</v>
      </c>
      <c r="E1219" s="836">
        <v>1.562766203703704</v>
      </c>
      <c r="F1219" s="836">
        <v>1.755011574074074</v>
      </c>
      <c r="G1219" s="570"/>
      <c r="H1219" s="570"/>
      <c r="I1219" s="570"/>
      <c r="J1219" s="570"/>
      <c r="K1219" s="570"/>
    </row>
    <row r="1220" ht="12.75" customHeight="1">
      <c r="A1220" t="s" s="834">
        <v>1215</v>
      </c>
      <c r="B1220" t="s" s="834">
        <v>1216</v>
      </c>
      <c r="C1220" t="s" s="834">
        <v>1217</v>
      </c>
      <c r="D1220" s="570"/>
      <c r="E1220" s="570"/>
      <c r="F1220" s="570"/>
      <c r="G1220" s="570"/>
      <c r="H1220" s="570"/>
      <c r="I1220" s="570"/>
      <c r="J1220" s="570"/>
      <c r="K1220" s="570"/>
    </row>
    <row r="1221" ht="12.75" customHeight="1">
      <c r="A1221" s="833">
        <v>79</v>
      </c>
      <c r="B1221" t="s" s="834">
        <v>1171</v>
      </c>
      <c r="C1221" t="s" s="834">
        <v>1067</v>
      </c>
      <c r="D1221" s="835">
        <v>46053</v>
      </c>
      <c r="E1221" t="s" s="834">
        <v>478</v>
      </c>
      <c r="F1221" t="s" s="834">
        <v>478</v>
      </c>
      <c r="G1221" s="570"/>
      <c r="H1221" s="570"/>
      <c r="I1221" s="570"/>
      <c r="J1221" s="570"/>
      <c r="K1221" s="570"/>
    </row>
    <row r="1222" ht="12.75" customHeight="1">
      <c r="A1222" s="833">
        <v>79</v>
      </c>
      <c r="B1222" t="s" s="834">
        <v>1171</v>
      </c>
      <c r="C1222" t="s" s="834">
        <v>1067</v>
      </c>
      <c r="D1222" s="835">
        <v>46054</v>
      </c>
      <c r="E1222" t="s" s="834">
        <v>478</v>
      </c>
      <c r="F1222" t="s" s="834">
        <v>478</v>
      </c>
      <c r="G1222" s="570"/>
      <c r="H1222" s="570"/>
      <c r="I1222" s="570"/>
      <c r="J1222" s="570"/>
      <c r="K1222" s="570"/>
    </row>
    <row r="1223" ht="12.75" customHeight="1">
      <c r="A1223" s="833">
        <v>87</v>
      </c>
      <c r="B1223" t="s" s="834">
        <v>1218</v>
      </c>
      <c r="C1223" t="s" s="834">
        <v>617</v>
      </c>
      <c r="D1223" s="835">
        <v>46023</v>
      </c>
      <c r="E1223" t="s" s="834">
        <v>478</v>
      </c>
      <c r="F1223" t="s" s="834">
        <v>478</v>
      </c>
      <c r="G1223" s="570"/>
      <c r="H1223" s="570"/>
      <c r="I1223" s="570"/>
      <c r="J1223" s="570"/>
      <c r="K1223" s="570"/>
    </row>
    <row r="1224" ht="12.75" customHeight="1">
      <c r="A1224" s="833">
        <v>87</v>
      </c>
      <c r="B1224" t="s" s="834">
        <v>1218</v>
      </c>
      <c r="C1224" t="s" s="834">
        <v>617</v>
      </c>
      <c r="D1224" s="835">
        <v>46024</v>
      </c>
      <c r="E1224" t="s" s="834">
        <v>478</v>
      </c>
      <c r="F1224" t="s" s="834">
        <v>478</v>
      </c>
      <c r="G1224" s="570"/>
      <c r="H1224" s="570"/>
      <c r="I1224" s="570"/>
      <c r="J1224" s="570"/>
      <c r="K1224" s="570"/>
    </row>
    <row r="1225" ht="12.75" customHeight="1">
      <c r="A1225" s="833">
        <v>87</v>
      </c>
      <c r="B1225" t="s" s="834">
        <v>1218</v>
      </c>
      <c r="C1225" t="s" s="834">
        <v>617</v>
      </c>
      <c r="D1225" s="835">
        <v>46025</v>
      </c>
      <c r="E1225" t="s" s="834">
        <v>478</v>
      </c>
      <c r="F1225" t="s" s="834">
        <v>478</v>
      </c>
      <c r="G1225" s="570"/>
      <c r="H1225" s="570"/>
      <c r="I1225" s="570"/>
      <c r="J1225" s="570"/>
      <c r="K1225" s="570"/>
    </row>
    <row r="1226" ht="12.75" customHeight="1">
      <c r="A1226" s="833">
        <v>87</v>
      </c>
      <c r="B1226" t="s" s="834">
        <v>1218</v>
      </c>
      <c r="C1226" t="s" s="834">
        <v>617</v>
      </c>
      <c r="D1226" s="835">
        <v>46026</v>
      </c>
      <c r="E1226" t="s" s="834">
        <v>478</v>
      </c>
      <c r="F1226" t="s" s="834">
        <v>478</v>
      </c>
      <c r="G1226" s="570"/>
      <c r="H1226" s="570"/>
      <c r="I1226" s="570"/>
      <c r="J1226" s="570"/>
      <c r="K1226" s="570"/>
    </row>
    <row r="1227" ht="12.75" customHeight="1">
      <c r="A1227" s="833">
        <v>87</v>
      </c>
      <c r="B1227" t="s" s="834">
        <v>1218</v>
      </c>
      <c r="C1227" t="s" s="834">
        <v>617</v>
      </c>
      <c r="D1227" s="835">
        <v>46027</v>
      </c>
      <c r="E1227" s="836">
        <v>1.386527777777778</v>
      </c>
      <c r="F1227" s="836">
        <v>1.762384259259259</v>
      </c>
      <c r="G1227" s="570"/>
      <c r="H1227" s="570"/>
      <c r="I1227" s="570"/>
      <c r="J1227" s="570"/>
      <c r="K1227" s="570"/>
    </row>
    <row r="1228" ht="12.75" customHeight="1">
      <c r="A1228" t="s" s="834">
        <v>1219</v>
      </c>
      <c r="B1228" t="s" s="834">
        <v>1220</v>
      </c>
      <c r="C1228" t="s" s="834">
        <v>556</v>
      </c>
      <c r="D1228" s="570"/>
      <c r="E1228" s="570"/>
      <c r="F1228" s="570"/>
      <c r="G1228" s="570"/>
      <c r="H1228" s="570"/>
      <c r="I1228" s="570"/>
      <c r="J1228" s="570"/>
      <c r="K1228" s="570"/>
    </row>
    <row r="1229" ht="12.75" customHeight="1">
      <c r="A1229" s="833">
        <v>87</v>
      </c>
      <c r="B1229" t="s" s="834">
        <v>1218</v>
      </c>
      <c r="C1229" t="s" s="834">
        <v>617</v>
      </c>
      <c r="D1229" s="835">
        <v>46028</v>
      </c>
      <c r="E1229" s="836">
        <v>1.39380787037037</v>
      </c>
      <c r="F1229" s="836">
        <v>1.796053240740741</v>
      </c>
      <c r="G1229" s="570"/>
      <c r="H1229" s="570"/>
      <c r="I1229" s="570"/>
      <c r="J1229" s="570"/>
      <c r="K1229" s="570"/>
    </row>
    <row r="1230" ht="12.75" customHeight="1">
      <c r="A1230" t="s" s="834">
        <v>1221</v>
      </c>
      <c r="B1230" t="s" s="834">
        <v>1222</v>
      </c>
      <c r="C1230" t="s" s="834">
        <v>772</v>
      </c>
      <c r="D1230" s="570"/>
      <c r="E1230" s="570"/>
      <c r="F1230" s="570"/>
      <c r="G1230" s="570"/>
      <c r="H1230" s="570"/>
      <c r="I1230" s="570"/>
      <c r="J1230" s="570"/>
      <c r="K1230" s="570"/>
    </row>
    <row r="1231" ht="12.75" customHeight="1">
      <c r="A1231" s="833">
        <v>87</v>
      </c>
      <c r="B1231" t="s" s="834">
        <v>1218</v>
      </c>
      <c r="C1231" t="s" s="834">
        <v>617</v>
      </c>
      <c r="D1231" s="835">
        <v>46029</v>
      </c>
      <c r="E1231" s="836">
        <v>1.767291666666667</v>
      </c>
      <c r="F1231" t="s" s="834">
        <v>478</v>
      </c>
      <c r="G1231" s="570"/>
      <c r="H1231" s="570"/>
      <c r="I1231" s="570"/>
      <c r="J1231" s="570"/>
      <c r="K1231" s="570"/>
    </row>
    <row r="1232" ht="12.75" customHeight="1">
      <c r="A1232" t="s" s="834">
        <v>1223</v>
      </c>
      <c r="B1232" t="s" s="834">
        <v>485</v>
      </c>
      <c r="C1232" t="s" s="834">
        <v>486</v>
      </c>
      <c r="D1232" s="570"/>
      <c r="E1232" s="570"/>
      <c r="F1232" s="570"/>
      <c r="G1232" s="570"/>
      <c r="H1232" s="570"/>
      <c r="I1232" s="570"/>
      <c r="J1232" s="570"/>
      <c r="K1232" s="570"/>
    </row>
    <row r="1233" ht="12.75" customHeight="1">
      <c r="A1233" s="833">
        <v>87</v>
      </c>
      <c r="B1233" t="s" s="834">
        <v>1218</v>
      </c>
      <c r="C1233" t="s" s="834">
        <v>617</v>
      </c>
      <c r="D1233" s="835">
        <v>46030</v>
      </c>
      <c r="E1233" s="836">
        <v>1.391921296296296</v>
      </c>
      <c r="F1233" s="836">
        <v>1.83625</v>
      </c>
      <c r="G1233" s="570"/>
      <c r="H1233" s="570"/>
      <c r="I1233" s="570"/>
      <c r="J1233" s="570"/>
      <c r="K1233" s="570"/>
    </row>
    <row r="1234" ht="12.75" customHeight="1">
      <c r="A1234" t="s" s="834">
        <v>1224</v>
      </c>
      <c r="B1234" t="s" s="834">
        <v>1225</v>
      </c>
      <c r="C1234" t="s" s="834">
        <v>1203</v>
      </c>
      <c r="D1234" s="570"/>
      <c r="E1234" s="570"/>
      <c r="F1234" s="570"/>
      <c r="G1234" s="570"/>
      <c r="H1234" s="570"/>
      <c r="I1234" s="570"/>
      <c r="J1234" s="570"/>
      <c r="K1234" s="570"/>
    </row>
    <row r="1235" ht="12.75" customHeight="1">
      <c r="A1235" s="833">
        <v>87</v>
      </c>
      <c r="B1235" t="s" s="834">
        <v>1218</v>
      </c>
      <c r="C1235" t="s" s="834">
        <v>617</v>
      </c>
      <c r="D1235" s="835">
        <v>46031</v>
      </c>
      <c r="E1235" t="s" s="834">
        <v>478</v>
      </c>
      <c r="F1235" t="s" s="834">
        <v>478</v>
      </c>
      <c r="G1235" s="570"/>
      <c r="H1235" s="570"/>
      <c r="I1235" s="570"/>
      <c r="J1235" s="570"/>
      <c r="K1235" s="570"/>
    </row>
    <row r="1236" ht="12.75" customHeight="1">
      <c r="A1236" s="833">
        <v>87</v>
      </c>
      <c r="B1236" t="s" s="834">
        <v>1218</v>
      </c>
      <c r="C1236" t="s" s="834">
        <v>617</v>
      </c>
      <c r="D1236" s="835">
        <v>46032</v>
      </c>
      <c r="E1236" t="s" s="834">
        <v>478</v>
      </c>
      <c r="F1236" t="s" s="834">
        <v>478</v>
      </c>
      <c r="G1236" s="570"/>
      <c r="H1236" s="570"/>
      <c r="I1236" s="570"/>
      <c r="J1236" s="570"/>
      <c r="K1236" s="570"/>
    </row>
    <row r="1237" ht="12.75" customHeight="1">
      <c r="A1237" s="833">
        <v>87</v>
      </c>
      <c r="B1237" t="s" s="834">
        <v>1218</v>
      </c>
      <c r="C1237" t="s" s="834">
        <v>617</v>
      </c>
      <c r="D1237" s="835">
        <v>46033</v>
      </c>
      <c r="E1237" t="s" s="834">
        <v>478</v>
      </c>
      <c r="F1237" t="s" s="834">
        <v>478</v>
      </c>
      <c r="G1237" s="570"/>
      <c r="H1237" s="570"/>
      <c r="I1237" s="570"/>
      <c r="J1237" s="570"/>
      <c r="K1237" s="570"/>
    </row>
    <row r="1238" ht="12.75" customHeight="1">
      <c r="A1238" s="833">
        <v>87</v>
      </c>
      <c r="B1238" t="s" s="834">
        <v>1218</v>
      </c>
      <c r="C1238" t="s" s="834">
        <v>617</v>
      </c>
      <c r="D1238" s="835">
        <v>46034</v>
      </c>
      <c r="E1238" s="836">
        <v>1.378217592592593</v>
      </c>
      <c r="F1238" s="836">
        <v>1.761041666666667</v>
      </c>
      <c r="G1238" s="570"/>
      <c r="H1238" s="570"/>
      <c r="I1238" s="570"/>
      <c r="J1238" s="570"/>
      <c r="K1238" s="570"/>
    </row>
    <row r="1239" ht="12.75" customHeight="1">
      <c r="A1239" t="s" s="834">
        <v>1226</v>
      </c>
      <c r="B1239" t="s" s="834">
        <v>1227</v>
      </c>
      <c r="C1239" t="s" s="834">
        <v>540</v>
      </c>
      <c r="D1239" s="570"/>
      <c r="E1239" s="570"/>
      <c r="F1239" s="570"/>
      <c r="G1239" s="570"/>
      <c r="H1239" s="570"/>
      <c r="I1239" s="570"/>
      <c r="J1239" s="570"/>
      <c r="K1239" s="570"/>
    </row>
    <row r="1240" ht="12.75" customHeight="1">
      <c r="A1240" s="833">
        <v>87</v>
      </c>
      <c r="B1240" t="s" s="834">
        <v>1218</v>
      </c>
      <c r="C1240" t="s" s="834">
        <v>617</v>
      </c>
      <c r="D1240" s="835">
        <v>46035</v>
      </c>
      <c r="E1240" s="836">
        <v>1.423217592592593</v>
      </c>
      <c r="F1240" s="836">
        <v>1.780856481481481</v>
      </c>
      <c r="G1240" s="570"/>
      <c r="H1240" s="570"/>
      <c r="I1240" s="570"/>
      <c r="J1240" s="570"/>
      <c r="K1240" s="570"/>
    </row>
    <row r="1241" ht="12.75" customHeight="1">
      <c r="A1241" t="s" s="834">
        <v>1228</v>
      </c>
      <c r="B1241" t="s" s="834">
        <v>1229</v>
      </c>
      <c r="C1241" t="s" s="834">
        <v>1230</v>
      </c>
      <c r="D1241" s="570"/>
      <c r="E1241" s="570"/>
      <c r="F1241" s="570"/>
      <c r="G1241" s="570"/>
      <c r="H1241" s="570"/>
      <c r="I1241" s="570"/>
      <c r="J1241" s="570"/>
      <c r="K1241" s="570"/>
    </row>
    <row r="1242" ht="12.75" customHeight="1">
      <c r="A1242" s="833">
        <v>87</v>
      </c>
      <c r="B1242" t="s" s="834">
        <v>1218</v>
      </c>
      <c r="C1242" t="s" s="834">
        <v>617</v>
      </c>
      <c r="D1242" s="835">
        <v>46036</v>
      </c>
      <c r="E1242" s="836">
        <v>1.418263888888889</v>
      </c>
      <c r="F1242" s="836">
        <v>1.761168981481481</v>
      </c>
      <c r="G1242" s="570"/>
      <c r="H1242" s="570"/>
      <c r="I1242" s="570"/>
      <c r="J1242" s="570"/>
      <c r="K1242" s="570"/>
    </row>
    <row r="1243" ht="12.75" customHeight="1">
      <c r="A1243" t="s" s="834">
        <v>1231</v>
      </c>
      <c r="B1243" t="s" s="834">
        <v>1232</v>
      </c>
      <c r="C1243" t="s" s="834">
        <v>974</v>
      </c>
      <c r="D1243" s="570"/>
      <c r="E1243" s="570"/>
      <c r="F1243" s="570"/>
      <c r="G1243" s="570"/>
      <c r="H1243" s="570"/>
      <c r="I1243" s="570"/>
      <c r="J1243" s="570"/>
      <c r="K1243" s="570"/>
    </row>
    <row r="1244" ht="12.75" customHeight="1">
      <c r="A1244" s="833">
        <v>87</v>
      </c>
      <c r="B1244" t="s" s="834">
        <v>1218</v>
      </c>
      <c r="C1244" t="s" s="834">
        <v>617</v>
      </c>
      <c r="D1244" s="835">
        <v>46037</v>
      </c>
      <c r="E1244" t="s" s="834">
        <v>478</v>
      </c>
      <c r="F1244" t="s" s="834">
        <v>478</v>
      </c>
      <c r="G1244" s="570"/>
      <c r="H1244" s="570"/>
      <c r="I1244" s="570"/>
      <c r="J1244" s="570"/>
      <c r="K1244" s="570"/>
    </row>
    <row r="1245" ht="12.75" customHeight="1">
      <c r="A1245" s="833">
        <v>87</v>
      </c>
      <c r="B1245" t="s" s="834">
        <v>1218</v>
      </c>
      <c r="C1245" t="s" s="834">
        <v>617</v>
      </c>
      <c r="D1245" s="835">
        <v>46038</v>
      </c>
      <c r="E1245" t="s" s="834">
        <v>478</v>
      </c>
      <c r="F1245" t="s" s="834">
        <v>478</v>
      </c>
      <c r="G1245" s="570"/>
      <c r="H1245" s="570"/>
      <c r="I1245" s="570"/>
      <c r="J1245" s="570"/>
      <c r="K1245" s="570"/>
    </row>
    <row r="1246" ht="12.75" customHeight="1">
      <c r="A1246" s="833">
        <v>87</v>
      </c>
      <c r="B1246" t="s" s="834">
        <v>1218</v>
      </c>
      <c r="C1246" t="s" s="834">
        <v>617</v>
      </c>
      <c r="D1246" s="835">
        <v>46039</v>
      </c>
      <c r="E1246" t="s" s="834">
        <v>478</v>
      </c>
      <c r="F1246" t="s" s="834">
        <v>478</v>
      </c>
      <c r="G1246" s="570"/>
      <c r="H1246" s="570"/>
      <c r="I1246" s="570"/>
      <c r="J1246" s="570"/>
      <c r="K1246" s="570"/>
    </row>
    <row r="1247" ht="12.75" customHeight="1">
      <c r="A1247" s="833">
        <v>87</v>
      </c>
      <c r="B1247" t="s" s="834">
        <v>1218</v>
      </c>
      <c r="C1247" t="s" s="834">
        <v>617</v>
      </c>
      <c r="D1247" s="835">
        <v>46040</v>
      </c>
      <c r="E1247" t="s" s="834">
        <v>478</v>
      </c>
      <c r="F1247" t="s" s="834">
        <v>478</v>
      </c>
      <c r="G1247" s="570"/>
      <c r="H1247" s="570"/>
      <c r="I1247" s="570"/>
      <c r="J1247" s="570"/>
      <c r="K1247" s="570"/>
    </row>
    <row r="1248" ht="12.75" customHeight="1">
      <c r="A1248" s="833">
        <v>87</v>
      </c>
      <c r="B1248" t="s" s="834">
        <v>1218</v>
      </c>
      <c r="C1248" t="s" s="834">
        <v>617</v>
      </c>
      <c r="D1248" s="835">
        <v>46041</v>
      </c>
      <c r="E1248" s="836">
        <v>1.405243055555556</v>
      </c>
      <c r="F1248" s="836">
        <v>1.777615740740741</v>
      </c>
      <c r="G1248" s="570"/>
      <c r="H1248" s="570"/>
      <c r="I1248" s="570"/>
      <c r="J1248" s="570"/>
      <c r="K1248" s="570"/>
    </row>
    <row r="1249" ht="12.75" customHeight="1">
      <c r="A1249" t="s" s="834">
        <v>1233</v>
      </c>
      <c r="B1249" t="s" s="834">
        <v>1234</v>
      </c>
      <c r="C1249" t="s" s="834">
        <v>1185</v>
      </c>
      <c r="D1249" s="570"/>
      <c r="E1249" s="570"/>
      <c r="F1249" s="570"/>
      <c r="G1249" s="570"/>
      <c r="H1249" s="570"/>
      <c r="I1249" s="570"/>
      <c r="J1249" s="570"/>
      <c r="K1249" s="570"/>
    </row>
    <row r="1250" ht="12.75" customHeight="1">
      <c r="A1250" s="833">
        <v>87</v>
      </c>
      <c r="B1250" t="s" s="834">
        <v>1218</v>
      </c>
      <c r="C1250" t="s" s="834">
        <v>617</v>
      </c>
      <c r="D1250" s="835">
        <v>46042</v>
      </c>
      <c r="E1250" s="836">
        <v>1.416087962962963</v>
      </c>
      <c r="F1250" s="836">
        <v>1.763645833333333</v>
      </c>
      <c r="G1250" s="570"/>
      <c r="H1250" s="570"/>
      <c r="I1250" s="570"/>
      <c r="J1250" s="570"/>
      <c r="K1250" s="570"/>
    </row>
    <row r="1251" ht="12.75" customHeight="1">
      <c r="A1251" t="s" s="834">
        <v>1235</v>
      </c>
      <c r="B1251" t="s" s="834">
        <v>1236</v>
      </c>
      <c r="C1251" t="s" s="834">
        <v>1237</v>
      </c>
      <c r="D1251" s="570"/>
      <c r="E1251" s="570"/>
      <c r="F1251" s="570"/>
      <c r="G1251" s="570"/>
      <c r="H1251" s="570"/>
      <c r="I1251" s="570"/>
      <c r="J1251" s="570"/>
      <c r="K1251" s="570"/>
    </row>
    <row r="1252" ht="12.75" customHeight="1">
      <c r="A1252" s="833">
        <v>87</v>
      </c>
      <c r="B1252" t="s" s="834">
        <v>1218</v>
      </c>
      <c r="C1252" t="s" s="834">
        <v>617</v>
      </c>
      <c r="D1252" s="835">
        <v>46043</v>
      </c>
      <c r="E1252" s="836">
        <v>1.382349537037037</v>
      </c>
      <c r="F1252" s="836">
        <v>1.775648148148148</v>
      </c>
      <c r="G1252" s="570"/>
      <c r="H1252" s="570"/>
      <c r="I1252" s="570"/>
      <c r="J1252" s="570"/>
      <c r="K1252" s="570"/>
    </row>
    <row r="1253" ht="12.75" customHeight="1">
      <c r="A1253" t="s" s="834">
        <v>1238</v>
      </c>
      <c r="B1253" t="s" s="834">
        <v>1239</v>
      </c>
      <c r="C1253" t="s" s="834">
        <v>1019</v>
      </c>
      <c r="D1253" s="570"/>
      <c r="E1253" s="570"/>
      <c r="F1253" s="570"/>
      <c r="G1253" s="570"/>
      <c r="H1253" s="570"/>
      <c r="I1253" s="570"/>
      <c r="J1253" s="570"/>
      <c r="K1253" s="570"/>
    </row>
    <row r="1254" ht="12.75" customHeight="1">
      <c r="A1254" s="833">
        <v>87</v>
      </c>
      <c r="B1254" t="s" s="834">
        <v>1218</v>
      </c>
      <c r="C1254" t="s" s="834">
        <v>617</v>
      </c>
      <c r="D1254" s="835">
        <v>46044</v>
      </c>
      <c r="E1254" s="836">
        <v>1.417083333333333</v>
      </c>
      <c r="F1254" s="836">
        <v>1.758715277777778</v>
      </c>
      <c r="G1254" s="570"/>
      <c r="H1254" s="570"/>
      <c r="I1254" s="570"/>
      <c r="J1254" s="570"/>
      <c r="K1254" s="570"/>
    </row>
    <row r="1255" ht="12.75" customHeight="1">
      <c r="A1255" t="s" s="834">
        <v>1240</v>
      </c>
      <c r="B1255" t="s" s="834">
        <v>1241</v>
      </c>
      <c r="C1255" t="s" s="834">
        <v>713</v>
      </c>
      <c r="D1255" s="570"/>
      <c r="E1255" s="570"/>
      <c r="F1255" s="570"/>
      <c r="G1255" s="570"/>
      <c r="H1255" s="570"/>
      <c r="I1255" s="570"/>
      <c r="J1255" s="570"/>
      <c r="K1255" s="570"/>
    </row>
    <row r="1256" ht="12.75" customHeight="1">
      <c r="A1256" s="833">
        <v>87</v>
      </c>
      <c r="B1256" t="s" s="834">
        <v>1218</v>
      </c>
      <c r="C1256" t="s" s="834">
        <v>617</v>
      </c>
      <c r="D1256" s="835">
        <v>46045</v>
      </c>
      <c r="E1256" t="s" s="834">
        <v>478</v>
      </c>
      <c r="F1256" t="s" s="834">
        <v>478</v>
      </c>
      <c r="G1256" s="570"/>
      <c r="H1256" s="570"/>
      <c r="I1256" s="570"/>
      <c r="J1256" s="570"/>
      <c r="K1256" s="570"/>
    </row>
    <row r="1257" ht="12.75" customHeight="1">
      <c r="A1257" s="833">
        <v>87</v>
      </c>
      <c r="B1257" t="s" s="834">
        <v>1218</v>
      </c>
      <c r="C1257" t="s" s="834">
        <v>617</v>
      </c>
      <c r="D1257" s="835">
        <v>46046</v>
      </c>
      <c r="E1257" t="s" s="834">
        <v>478</v>
      </c>
      <c r="F1257" t="s" s="834">
        <v>478</v>
      </c>
      <c r="G1257" s="570"/>
      <c r="H1257" s="570"/>
      <c r="I1257" s="570"/>
      <c r="J1257" s="570"/>
      <c r="K1257" s="570"/>
    </row>
    <row r="1258" ht="12.75" customHeight="1">
      <c r="A1258" s="833">
        <v>87</v>
      </c>
      <c r="B1258" t="s" s="834">
        <v>1218</v>
      </c>
      <c r="C1258" t="s" s="834">
        <v>617</v>
      </c>
      <c r="D1258" s="835">
        <v>46047</v>
      </c>
      <c r="E1258" t="s" s="834">
        <v>478</v>
      </c>
      <c r="F1258" t="s" s="834">
        <v>478</v>
      </c>
      <c r="G1258" s="570"/>
      <c r="H1258" s="570"/>
      <c r="I1258" s="570"/>
      <c r="J1258" s="570"/>
      <c r="K1258" s="570"/>
    </row>
    <row r="1259" ht="12.75" customHeight="1">
      <c r="A1259" s="833">
        <v>87</v>
      </c>
      <c r="B1259" t="s" s="834">
        <v>1218</v>
      </c>
      <c r="C1259" t="s" s="834">
        <v>617</v>
      </c>
      <c r="D1259" s="835">
        <v>46048</v>
      </c>
      <c r="E1259" s="836">
        <v>1.415162037037037</v>
      </c>
      <c r="F1259" s="836">
        <v>1.765300925925926</v>
      </c>
      <c r="G1259" s="570"/>
      <c r="H1259" s="570"/>
      <c r="I1259" s="570"/>
      <c r="J1259" s="570"/>
      <c r="K1259" s="570"/>
    </row>
    <row r="1260" ht="12.75" customHeight="1">
      <c r="A1260" t="s" s="834">
        <v>1242</v>
      </c>
      <c r="B1260" t="s" s="834">
        <v>1243</v>
      </c>
      <c r="C1260" t="s" s="834">
        <v>1244</v>
      </c>
      <c r="D1260" s="570"/>
      <c r="E1260" s="570"/>
      <c r="F1260" s="570"/>
      <c r="G1260" s="570"/>
      <c r="H1260" s="570"/>
      <c r="I1260" s="570"/>
      <c r="J1260" s="570"/>
      <c r="K1260" s="570"/>
    </row>
    <row r="1261" ht="12.75" customHeight="1">
      <c r="A1261" s="833">
        <v>87</v>
      </c>
      <c r="B1261" t="s" s="834">
        <v>1218</v>
      </c>
      <c r="C1261" t="s" s="834">
        <v>617</v>
      </c>
      <c r="D1261" s="835">
        <v>46049</v>
      </c>
      <c r="E1261" s="836">
        <v>1.3884375</v>
      </c>
      <c r="F1261" s="836">
        <v>1.771493055555556</v>
      </c>
      <c r="G1261" s="570"/>
      <c r="H1261" s="570"/>
      <c r="I1261" s="570"/>
      <c r="J1261" s="570"/>
      <c r="K1261" s="570"/>
    </row>
    <row r="1262" ht="12.75" customHeight="1">
      <c r="A1262" t="s" s="834">
        <v>1245</v>
      </c>
      <c r="B1262" t="s" s="834">
        <v>1246</v>
      </c>
      <c r="C1262" t="s" s="834">
        <v>812</v>
      </c>
      <c r="D1262" s="570"/>
      <c r="E1262" s="570"/>
      <c r="F1262" s="570"/>
      <c r="G1262" s="570"/>
      <c r="H1262" s="570"/>
      <c r="I1262" s="570"/>
      <c r="J1262" s="570"/>
      <c r="K1262" s="570"/>
    </row>
    <row r="1263" ht="12.75" customHeight="1">
      <c r="A1263" s="833">
        <v>87</v>
      </c>
      <c r="B1263" t="s" s="834">
        <v>1218</v>
      </c>
      <c r="C1263" t="s" s="834">
        <v>617</v>
      </c>
      <c r="D1263" s="835">
        <v>46050</v>
      </c>
      <c r="E1263" s="836">
        <v>1.407361111111111</v>
      </c>
      <c r="F1263" s="836">
        <v>1.779016203703704</v>
      </c>
      <c r="G1263" s="570"/>
      <c r="H1263" s="570"/>
      <c r="I1263" s="570"/>
      <c r="J1263" s="570"/>
      <c r="K1263" s="570"/>
    </row>
    <row r="1264" ht="12.75" customHeight="1">
      <c r="A1264" t="s" s="834">
        <v>1247</v>
      </c>
      <c r="B1264" t="s" s="834">
        <v>1248</v>
      </c>
      <c r="C1264" t="s" s="834">
        <v>1249</v>
      </c>
      <c r="D1264" s="570"/>
      <c r="E1264" s="570"/>
      <c r="F1264" s="570"/>
      <c r="G1264" s="570"/>
      <c r="H1264" s="570"/>
      <c r="I1264" s="570"/>
      <c r="J1264" s="570"/>
      <c r="K1264" s="570"/>
    </row>
    <row r="1265" ht="12.75" customHeight="1">
      <c r="A1265" s="833">
        <v>87</v>
      </c>
      <c r="B1265" t="s" s="834">
        <v>1218</v>
      </c>
      <c r="C1265" t="s" s="834">
        <v>617</v>
      </c>
      <c r="D1265" s="835">
        <v>46051</v>
      </c>
      <c r="E1265" s="836">
        <v>1.423368055555556</v>
      </c>
      <c r="F1265" s="836">
        <v>1.833680555555556</v>
      </c>
      <c r="G1265" s="570"/>
      <c r="H1265" s="570"/>
      <c r="I1265" s="570"/>
      <c r="J1265" s="570"/>
      <c r="K1265" s="570"/>
    </row>
    <row r="1266" ht="12.75" customHeight="1">
      <c r="A1266" t="s" s="834">
        <v>1250</v>
      </c>
      <c r="B1266" t="s" s="834">
        <v>1251</v>
      </c>
      <c r="C1266" t="s" s="834">
        <v>1252</v>
      </c>
      <c r="D1266" s="570"/>
      <c r="E1266" s="570"/>
      <c r="F1266" s="570"/>
      <c r="G1266" s="570"/>
      <c r="H1266" s="570"/>
      <c r="I1266" s="570"/>
      <c r="J1266" s="570"/>
      <c r="K1266" s="570"/>
    </row>
    <row r="1267" ht="12.75" customHeight="1">
      <c r="A1267" s="833">
        <v>87</v>
      </c>
      <c r="B1267" t="s" s="834">
        <v>1218</v>
      </c>
      <c r="C1267" t="s" s="834">
        <v>617</v>
      </c>
      <c r="D1267" s="835">
        <v>46052</v>
      </c>
      <c r="E1267" t="s" s="834">
        <v>478</v>
      </c>
      <c r="F1267" t="s" s="834">
        <v>478</v>
      </c>
      <c r="G1267" s="570"/>
      <c r="H1267" s="570"/>
      <c r="I1267" s="570"/>
      <c r="J1267" s="570"/>
      <c r="K1267" s="570"/>
    </row>
    <row r="1268" ht="12.75" customHeight="1">
      <c r="A1268" s="833">
        <v>87</v>
      </c>
      <c r="B1268" t="s" s="834">
        <v>1218</v>
      </c>
      <c r="C1268" t="s" s="834">
        <v>617</v>
      </c>
      <c r="D1268" s="835">
        <v>46053</v>
      </c>
      <c r="E1268" t="s" s="834">
        <v>478</v>
      </c>
      <c r="F1268" t="s" s="834">
        <v>478</v>
      </c>
      <c r="G1268" s="570"/>
      <c r="H1268" s="570"/>
      <c r="I1268" s="570"/>
      <c r="J1268" s="570"/>
      <c r="K1268" s="570"/>
    </row>
    <row r="1269" ht="12.75" customHeight="1">
      <c r="A1269" s="833">
        <v>87</v>
      </c>
      <c r="B1269" t="s" s="834">
        <v>1218</v>
      </c>
      <c r="C1269" t="s" s="834">
        <v>617</v>
      </c>
      <c r="D1269" s="835">
        <v>46054</v>
      </c>
      <c r="E1269" t="s" s="834">
        <v>478</v>
      </c>
      <c r="F1269" t="s" s="834">
        <v>478</v>
      </c>
      <c r="G1269" s="570"/>
      <c r="H1269" s="570"/>
      <c r="I1269" s="570"/>
      <c r="J1269" s="570"/>
      <c r="K1269" s="570"/>
    </row>
    <row r="1270" ht="12.75" customHeight="1">
      <c r="A1270" s="833">
        <v>91</v>
      </c>
      <c r="B1270" t="s" s="834">
        <v>1253</v>
      </c>
      <c r="C1270" t="s" s="834">
        <v>477</v>
      </c>
      <c r="D1270" s="835">
        <v>46023</v>
      </c>
      <c r="E1270" t="s" s="834">
        <v>478</v>
      </c>
      <c r="F1270" t="s" s="834">
        <v>478</v>
      </c>
      <c r="G1270" s="570"/>
      <c r="H1270" s="570"/>
      <c r="I1270" s="570"/>
      <c r="J1270" s="570"/>
      <c r="K1270" s="570"/>
    </row>
    <row r="1271" ht="12.75" customHeight="1">
      <c r="A1271" s="833">
        <v>91</v>
      </c>
      <c r="B1271" t="s" s="834">
        <v>1253</v>
      </c>
      <c r="C1271" t="s" s="834">
        <v>477</v>
      </c>
      <c r="D1271" s="835">
        <v>46024</v>
      </c>
      <c r="E1271" t="s" s="834">
        <v>478</v>
      </c>
      <c r="F1271" t="s" s="834">
        <v>478</v>
      </c>
      <c r="G1271" s="570"/>
      <c r="H1271" s="570"/>
      <c r="I1271" s="570"/>
      <c r="J1271" s="570"/>
      <c r="K1271" s="570"/>
    </row>
    <row r="1272" ht="12.75" customHeight="1">
      <c r="A1272" s="833">
        <v>91</v>
      </c>
      <c r="B1272" t="s" s="834">
        <v>1253</v>
      </c>
      <c r="C1272" t="s" s="834">
        <v>477</v>
      </c>
      <c r="D1272" s="835">
        <v>46025</v>
      </c>
      <c r="E1272" t="s" s="834">
        <v>478</v>
      </c>
      <c r="F1272" t="s" s="834">
        <v>478</v>
      </c>
      <c r="G1272" s="570"/>
      <c r="H1272" s="570"/>
      <c r="I1272" s="570"/>
      <c r="J1272" s="570"/>
      <c r="K1272" s="570"/>
    </row>
    <row r="1273" ht="12.75" customHeight="1">
      <c r="A1273" s="833">
        <v>91</v>
      </c>
      <c r="B1273" t="s" s="834">
        <v>1253</v>
      </c>
      <c r="C1273" t="s" s="834">
        <v>477</v>
      </c>
      <c r="D1273" s="835">
        <v>46026</v>
      </c>
      <c r="E1273" t="s" s="834">
        <v>478</v>
      </c>
      <c r="F1273" t="s" s="834">
        <v>478</v>
      </c>
      <c r="G1273" s="570"/>
      <c r="H1273" s="570"/>
      <c r="I1273" s="570"/>
      <c r="J1273" s="570"/>
      <c r="K1273" s="570"/>
    </row>
    <row r="1274" ht="12.75" customHeight="1">
      <c r="A1274" s="833">
        <v>91</v>
      </c>
      <c r="B1274" t="s" s="834">
        <v>1253</v>
      </c>
      <c r="C1274" t="s" s="834">
        <v>477</v>
      </c>
      <c r="D1274" s="835">
        <v>46027</v>
      </c>
      <c r="E1274" t="s" s="834">
        <v>478</v>
      </c>
      <c r="F1274" t="s" s="834">
        <v>478</v>
      </c>
      <c r="G1274" s="570"/>
      <c r="H1274" s="570"/>
      <c r="I1274" s="570"/>
      <c r="J1274" s="570"/>
      <c r="K1274" s="570"/>
    </row>
    <row r="1275" ht="12.75" customHeight="1">
      <c r="A1275" s="833">
        <v>91</v>
      </c>
      <c r="B1275" t="s" s="834">
        <v>1253</v>
      </c>
      <c r="C1275" t="s" s="834">
        <v>477</v>
      </c>
      <c r="D1275" s="835">
        <v>46028</v>
      </c>
      <c r="E1275" t="s" s="834">
        <v>478</v>
      </c>
      <c r="F1275" t="s" s="834">
        <v>478</v>
      </c>
      <c r="G1275" s="570"/>
      <c r="H1275" s="570"/>
      <c r="I1275" s="570"/>
      <c r="J1275" s="570"/>
      <c r="K1275" s="570"/>
    </row>
    <row r="1276" ht="12.75" customHeight="1">
      <c r="A1276" s="833">
        <v>91</v>
      </c>
      <c r="B1276" t="s" s="834">
        <v>1253</v>
      </c>
      <c r="C1276" t="s" s="834">
        <v>477</v>
      </c>
      <c r="D1276" s="835">
        <v>46029</v>
      </c>
      <c r="E1276" t="s" s="834">
        <v>478</v>
      </c>
      <c r="F1276" t="s" s="834">
        <v>478</v>
      </c>
      <c r="G1276" s="570"/>
      <c r="H1276" s="570"/>
      <c r="I1276" s="570"/>
      <c r="J1276" s="570"/>
      <c r="K1276" s="570"/>
    </row>
    <row r="1277" ht="12.75" customHeight="1">
      <c r="A1277" s="833">
        <v>91</v>
      </c>
      <c r="B1277" t="s" s="834">
        <v>1253</v>
      </c>
      <c r="C1277" t="s" s="834">
        <v>477</v>
      </c>
      <c r="D1277" s="835">
        <v>46030</v>
      </c>
      <c r="E1277" t="s" s="834">
        <v>478</v>
      </c>
      <c r="F1277" t="s" s="834">
        <v>478</v>
      </c>
      <c r="G1277" s="570"/>
      <c r="H1277" s="570"/>
      <c r="I1277" s="570"/>
      <c r="J1277" s="570"/>
      <c r="K1277" s="570"/>
    </row>
    <row r="1278" ht="12.75" customHeight="1">
      <c r="A1278" s="833">
        <v>91</v>
      </c>
      <c r="B1278" t="s" s="834">
        <v>1253</v>
      </c>
      <c r="C1278" t="s" s="834">
        <v>477</v>
      </c>
      <c r="D1278" s="835">
        <v>46031</v>
      </c>
      <c r="E1278" t="s" s="834">
        <v>478</v>
      </c>
      <c r="F1278" t="s" s="834">
        <v>478</v>
      </c>
      <c r="G1278" s="570"/>
      <c r="H1278" s="570"/>
      <c r="I1278" s="570"/>
      <c r="J1278" s="570"/>
      <c r="K1278" s="570"/>
    </row>
    <row r="1279" ht="12.75" customHeight="1">
      <c r="A1279" s="833">
        <v>91</v>
      </c>
      <c r="B1279" t="s" s="834">
        <v>1253</v>
      </c>
      <c r="C1279" t="s" s="834">
        <v>477</v>
      </c>
      <c r="D1279" s="835">
        <v>46032</v>
      </c>
      <c r="E1279" t="s" s="834">
        <v>478</v>
      </c>
      <c r="F1279" t="s" s="834">
        <v>478</v>
      </c>
      <c r="G1279" s="570"/>
      <c r="H1279" s="570"/>
      <c r="I1279" s="570"/>
      <c r="J1279" s="570"/>
      <c r="K1279" s="570"/>
    </row>
    <row r="1280" ht="12.75" customHeight="1">
      <c r="A1280" s="833">
        <v>91</v>
      </c>
      <c r="B1280" t="s" s="834">
        <v>1253</v>
      </c>
      <c r="C1280" t="s" s="834">
        <v>477</v>
      </c>
      <c r="D1280" s="835">
        <v>46033</v>
      </c>
      <c r="E1280" t="s" s="834">
        <v>478</v>
      </c>
      <c r="F1280" t="s" s="834">
        <v>478</v>
      </c>
      <c r="G1280" s="570"/>
      <c r="H1280" s="570"/>
      <c r="I1280" s="570"/>
      <c r="J1280" s="570"/>
      <c r="K1280" s="570"/>
    </row>
    <row r="1281" ht="12.75" customHeight="1">
      <c r="A1281" s="833">
        <v>91</v>
      </c>
      <c r="B1281" t="s" s="834">
        <v>1253</v>
      </c>
      <c r="C1281" t="s" s="834">
        <v>477</v>
      </c>
      <c r="D1281" s="835">
        <v>46034</v>
      </c>
      <c r="E1281" t="s" s="834">
        <v>478</v>
      </c>
      <c r="F1281" t="s" s="834">
        <v>478</v>
      </c>
      <c r="G1281" s="570"/>
      <c r="H1281" s="570"/>
      <c r="I1281" s="570"/>
      <c r="J1281" s="570"/>
      <c r="K1281" s="570"/>
    </row>
    <row r="1282" ht="12.75" customHeight="1">
      <c r="A1282" s="833">
        <v>91</v>
      </c>
      <c r="B1282" t="s" s="834">
        <v>1253</v>
      </c>
      <c r="C1282" t="s" s="834">
        <v>477</v>
      </c>
      <c r="D1282" s="835">
        <v>46035</v>
      </c>
      <c r="E1282" t="s" s="834">
        <v>478</v>
      </c>
      <c r="F1282" t="s" s="834">
        <v>478</v>
      </c>
      <c r="G1282" s="570"/>
      <c r="H1282" s="570"/>
      <c r="I1282" s="570"/>
      <c r="J1282" s="570"/>
      <c r="K1282" s="570"/>
    </row>
    <row r="1283" ht="12.75" customHeight="1">
      <c r="A1283" s="833">
        <v>91</v>
      </c>
      <c r="B1283" t="s" s="834">
        <v>1253</v>
      </c>
      <c r="C1283" t="s" s="834">
        <v>477</v>
      </c>
      <c r="D1283" s="835">
        <v>46036</v>
      </c>
      <c r="E1283" t="s" s="834">
        <v>478</v>
      </c>
      <c r="F1283" t="s" s="834">
        <v>478</v>
      </c>
      <c r="G1283" s="570"/>
      <c r="H1283" s="570"/>
      <c r="I1283" s="570"/>
      <c r="J1283" s="570"/>
      <c r="K1283" s="570"/>
    </row>
    <row r="1284" ht="12.75" customHeight="1">
      <c r="A1284" s="833">
        <v>91</v>
      </c>
      <c r="B1284" t="s" s="834">
        <v>1253</v>
      </c>
      <c r="C1284" t="s" s="834">
        <v>477</v>
      </c>
      <c r="D1284" s="835">
        <v>46037</v>
      </c>
      <c r="E1284" t="s" s="834">
        <v>478</v>
      </c>
      <c r="F1284" t="s" s="834">
        <v>478</v>
      </c>
      <c r="G1284" s="570"/>
      <c r="H1284" s="570"/>
      <c r="I1284" s="570"/>
      <c r="J1284" s="570"/>
      <c r="K1284" s="570"/>
    </row>
    <row r="1285" ht="12.75" customHeight="1">
      <c r="A1285" s="833">
        <v>91</v>
      </c>
      <c r="B1285" t="s" s="834">
        <v>1253</v>
      </c>
      <c r="C1285" t="s" s="834">
        <v>477</v>
      </c>
      <c r="D1285" s="835">
        <v>46038</v>
      </c>
      <c r="E1285" t="s" s="834">
        <v>478</v>
      </c>
      <c r="F1285" t="s" s="834">
        <v>478</v>
      </c>
      <c r="G1285" s="570"/>
      <c r="H1285" s="570"/>
      <c r="I1285" s="570"/>
      <c r="J1285" s="570"/>
      <c r="K1285" s="570"/>
    </row>
    <row r="1286" ht="12.75" customHeight="1">
      <c r="A1286" s="833">
        <v>91</v>
      </c>
      <c r="B1286" t="s" s="834">
        <v>1253</v>
      </c>
      <c r="C1286" t="s" s="834">
        <v>477</v>
      </c>
      <c r="D1286" s="835">
        <v>46039</v>
      </c>
      <c r="E1286" t="s" s="834">
        <v>478</v>
      </c>
      <c r="F1286" t="s" s="834">
        <v>478</v>
      </c>
      <c r="G1286" s="570"/>
      <c r="H1286" s="570"/>
      <c r="I1286" s="570"/>
      <c r="J1286" s="570"/>
      <c r="K1286" s="570"/>
    </row>
    <row r="1287" ht="12.75" customHeight="1">
      <c r="A1287" s="833">
        <v>91</v>
      </c>
      <c r="B1287" t="s" s="834">
        <v>1253</v>
      </c>
      <c r="C1287" t="s" s="834">
        <v>477</v>
      </c>
      <c r="D1287" s="835">
        <v>46040</v>
      </c>
      <c r="E1287" t="s" s="834">
        <v>478</v>
      </c>
      <c r="F1287" t="s" s="834">
        <v>478</v>
      </c>
      <c r="G1287" s="570"/>
      <c r="H1287" s="570"/>
      <c r="I1287" s="570"/>
      <c r="J1287" s="570"/>
      <c r="K1287" s="570"/>
    </row>
    <row r="1288" ht="12.75" customHeight="1">
      <c r="A1288" s="833">
        <v>91</v>
      </c>
      <c r="B1288" t="s" s="834">
        <v>1253</v>
      </c>
      <c r="C1288" t="s" s="834">
        <v>477</v>
      </c>
      <c r="D1288" s="835">
        <v>46041</v>
      </c>
      <c r="E1288" t="s" s="834">
        <v>478</v>
      </c>
      <c r="F1288" t="s" s="834">
        <v>478</v>
      </c>
      <c r="G1288" s="570"/>
      <c r="H1288" s="570"/>
      <c r="I1288" s="570"/>
      <c r="J1288" s="570"/>
      <c r="K1288" s="570"/>
    </row>
    <row r="1289" ht="12.75" customHeight="1">
      <c r="A1289" s="833">
        <v>91</v>
      </c>
      <c r="B1289" t="s" s="834">
        <v>1253</v>
      </c>
      <c r="C1289" t="s" s="834">
        <v>477</v>
      </c>
      <c r="D1289" s="835">
        <v>46042</v>
      </c>
      <c r="E1289" t="s" s="834">
        <v>478</v>
      </c>
      <c r="F1289" t="s" s="834">
        <v>478</v>
      </c>
      <c r="G1289" s="570"/>
      <c r="H1289" s="570"/>
      <c r="I1289" s="570"/>
      <c r="J1289" s="570"/>
      <c r="K1289" s="570"/>
    </row>
    <row r="1290" ht="12.75" customHeight="1">
      <c r="A1290" s="833">
        <v>91</v>
      </c>
      <c r="B1290" t="s" s="834">
        <v>1253</v>
      </c>
      <c r="C1290" t="s" s="834">
        <v>477</v>
      </c>
      <c r="D1290" s="835">
        <v>46043</v>
      </c>
      <c r="E1290" t="s" s="834">
        <v>478</v>
      </c>
      <c r="F1290" t="s" s="834">
        <v>478</v>
      </c>
      <c r="G1290" s="570"/>
      <c r="H1290" s="570"/>
      <c r="I1290" s="570"/>
      <c r="J1290" s="570"/>
      <c r="K1290" s="570"/>
    </row>
    <row r="1291" ht="12.75" customHeight="1">
      <c r="A1291" s="833">
        <v>91</v>
      </c>
      <c r="B1291" t="s" s="834">
        <v>1253</v>
      </c>
      <c r="C1291" t="s" s="834">
        <v>477</v>
      </c>
      <c r="D1291" s="835">
        <v>46044</v>
      </c>
      <c r="E1291" t="s" s="834">
        <v>478</v>
      </c>
      <c r="F1291" t="s" s="834">
        <v>478</v>
      </c>
      <c r="G1291" s="570"/>
      <c r="H1291" s="570"/>
      <c r="I1291" s="570"/>
      <c r="J1291" s="570"/>
      <c r="K1291" s="570"/>
    </row>
    <row r="1292" ht="12.75" customHeight="1">
      <c r="A1292" s="833">
        <v>91</v>
      </c>
      <c r="B1292" t="s" s="834">
        <v>1253</v>
      </c>
      <c r="C1292" t="s" s="834">
        <v>477</v>
      </c>
      <c r="D1292" s="835">
        <v>46045</v>
      </c>
      <c r="E1292" t="s" s="834">
        <v>478</v>
      </c>
      <c r="F1292" t="s" s="834">
        <v>478</v>
      </c>
      <c r="G1292" s="570"/>
      <c r="H1292" s="570"/>
      <c r="I1292" s="570"/>
      <c r="J1292" s="570"/>
      <c r="K1292" s="570"/>
    </row>
    <row r="1293" ht="12.75" customHeight="1">
      <c r="A1293" s="833">
        <v>91</v>
      </c>
      <c r="B1293" t="s" s="834">
        <v>1253</v>
      </c>
      <c r="C1293" t="s" s="834">
        <v>477</v>
      </c>
      <c r="D1293" s="835">
        <v>46046</v>
      </c>
      <c r="E1293" t="s" s="834">
        <v>478</v>
      </c>
      <c r="F1293" t="s" s="834">
        <v>478</v>
      </c>
      <c r="G1293" s="570"/>
      <c r="H1293" s="570"/>
      <c r="I1293" s="570"/>
      <c r="J1293" s="570"/>
      <c r="K1293" s="570"/>
    </row>
    <row r="1294" ht="12.75" customHeight="1">
      <c r="A1294" s="833">
        <v>91</v>
      </c>
      <c r="B1294" t="s" s="834">
        <v>1253</v>
      </c>
      <c r="C1294" t="s" s="834">
        <v>477</v>
      </c>
      <c r="D1294" s="835">
        <v>46047</v>
      </c>
      <c r="E1294" t="s" s="834">
        <v>478</v>
      </c>
      <c r="F1294" t="s" s="834">
        <v>478</v>
      </c>
      <c r="G1294" s="570"/>
      <c r="H1294" s="570"/>
      <c r="I1294" s="570"/>
      <c r="J1294" s="570"/>
      <c r="K1294" s="570"/>
    </row>
    <row r="1295" ht="12.75" customHeight="1">
      <c r="A1295" s="833">
        <v>91</v>
      </c>
      <c r="B1295" t="s" s="834">
        <v>1253</v>
      </c>
      <c r="C1295" t="s" s="834">
        <v>477</v>
      </c>
      <c r="D1295" s="835">
        <v>46048</v>
      </c>
      <c r="E1295" t="s" s="834">
        <v>478</v>
      </c>
      <c r="F1295" t="s" s="834">
        <v>478</v>
      </c>
      <c r="G1295" s="570"/>
      <c r="H1295" s="570"/>
      <c r="I1295" s="570"/>
      <c r="J1295" s="570"/>
      <c r="K1295" s="570"/>
    </row>
    <row r="1296" ht="12.75" customHeight="1">
      <c r="A1296" s="833">
        <v>91</v>
      </c>
      <c r="B1296" t="s" s="834">
        <v>1253</v>
      </c>
      <c r="C1296" t="s" s="834">
        <v>477</v>
      </c>
      <c r="D1296" s="835">
        <v>46049</v>
      </c>
      <c r="E1296" t="s" s="834">
        <v>478</v>
      </c>
      <c r="F1296" t="s" s="834">
        <v>478</v>
      </c>
      <c r="G1296" s="570"/>
      <c r="H1296" s="570"/>
      <c r="I1296" s="570"/>
      <c r="J1296" s="570"/>
      <c r="K1296" s="570"/>
    </row>
    <row r="1297" ht="12.75" customHeight="1">
      <c r="A1297" s="833">
        <v>91</v>
      </c>
      <c r="B1297" t="s" s="834">
        <v>1253</v>
      </c>
      <c r="C1297" t="s" s="834">
        <v>477</v>
      </c>
      <c r="D1297" s="835">
        <v>46050</v>
      </c>
      <c r="E1297" t="s" s="834">
        <v>478</v>
      </c>
      <c r="F1297" t="s" s="834">
        <v>478</v>
      </c>
      <c r="G1297" s="570"/>
      <c r="H1297" s="570"/>
      <c r="I1297" s="570"/>
      <c r="J1297" s="570"/>
      <c r="K1297" s="570"/>
    </row>
    <row r="1298" ht="12.75" customHeight="1">
      <c r="A1298" s="833">
        <v>91</v>
      </c>
      <c r="B1298" t="s" s="834">
        <v>1253</v>
      </c>
      <c r="C1298" t="s" s="834">
        <v>477</v>
      </c>
      <c r="D1298" s="835">
        <v>46051</v>
      </c>
      <c r="E1298" t="s" s="834">
        <v>478</v>
      </c>
      <c r="F1298" t="s" s="834">
        <v>478</v>
      </c>
      <c r="G1298" s="570"/>
      <c r="H1298" s="570"/>
      <c r="I1298" s="570"/>
      <c r="J1298" s="570"/>
      <c r="K1298" s="570"/>
    </row>
    <row r="1299" ht="12.75" customHeight="1">
      <c r="A1299" s="833">
        <v>91</v>
      </c>
      <c r="B1299" t="s" s="834">
        <v>1253</v>
      </c>
      <c r="C1299" t="s" s="834">
        <v>477</v>
      </c>
      <c r="D1299" s="835">
        <v>46052</v>
      </c>
      <c r="E1299" t="s" s="834">
        <v>478</v>
      </c>
      <c r="F1299" t="s" s="834">
        <v>478</v>
      </c>
      <c r="G1299" s="570"/>
      <c r="H1299" s="570"/>
      <c r="I1299" s="570"/>
      <c r="J1299" s="570"/>
      <c r="K1299" s="570"/>
    </row>
    <row r="1300" ht="12.75" customHeight="1">
      <c r="A1300" s="833">
        <v>91</v>
      </c>
      <c r="B1300" t="s" s="834">
        <v>1253</v>
      </c>
      <c r="C1300" t="s" s="834">
        <v>477</v>
      </c>
      <c r="D1300" s="835">
        <v>46053</v>
      </c>
      <c r="E1300" t="s" s="834">
        <v>478</v>
      </c>
      <c r="F1300" t="s" s="834">
        <v>478</v>
      </c>
      <c r="G1300" s="570"/>
      <c r="H1300" s="570"/>
      <c r="I1300" s="570"/>
      <c r="J1300" s="570"/>
      <c r="K1300" s="570"/>
    </row>
    <row r="1301" ht="12.75" customHeight="1">
      <c r="A1301" s="833">
        <v>91</v>
      </c>
      <c r="B1301" t="s" s="834">
        <v>1253</v>
      </c>
      <c r="C1301" t="s" s="834">
        <v>477</v>
      </c>
      <c r="D1301" s="835">
        <v>46054</v>
      </c>
      <c r="E1301" t="s" s="834">
        <v>478</v>
      </c>
      <c r="F1301" t="s" s="834">
        <v>478</v>
      </c>
      <c r="G1301" s="570"/>
      <c r="H1301" s="570"/>
      <c r="I1301" s="570"/>
      <c r="J1301" s="570"/>
      <c r="K1301" s="570"/>
    </row>
    <row r="1302" ht="12.75" customHeight="1">
      <c r="A1302" s="833">
        <v>92</v>
      </c>
      <c r="B1302" t="s" s="834">
        <v>1254</v>
      </c>
      <c r="C1302" t="s" s="834">
        <v>1010</v>
      </c>
      <c r="D1302" s="835">
        <v>46023</v>
      </c>
      <c r="E1302" t="s" s="834">
        <v>478</v>
      </c>
      <c r="F1302" t="s" s="834">
        <v>478</v>
      </c>
      <c r="G1302" s="570"/>
      <c r="H1302" s="570"/>
      <c r="I1302" s="570"/>
      <c r="J1302" s="570"/>
      <c r="K1302" s="570"/>
    </row>
    <row r="1303" ht="12.75" customHeight="1">
      <c r="A1303" s="833">
        <v>92</v>
      </c>
      <c r="B1303" t="s" s="834">
        <v>1254</v>
      </c>
      <c r="C1303" t="s" s="834">
        <v>1010</v>
      </c>
      <c r="D1303" s="835">
        <v>46024</v>
      </c>
      <c r="E1303" t="s" s="834">
        <v>478</v>
      </c>
      <c r="F1303" t="s" s="834">
        <v>478</v>
      </c>
      <c r="G1303" s="570"/>
      <c r="H1303" s="570"/>
      <c r="I1303" s="570"/>
      <c r="J1303" s="570"/>
      <c r="K1303" s="570"/>
    </row>
    <row r="1304" ht="12.75" customHeight="1">
      <c r="A1304" s="833">
        <v>92</v>
      </c>
      <c r="B1304" t="s" s="834">
        <v>1254</v>
      </c>
      <c r="C1304" t="s" s="834">
        <v>1010</v>
      </c>
      <c r="D1304" s="835">
        <v>46025</v>
      </c>
      <c r="E1304" t="s" s="834">
        <v>478</v>
      </c>
      <c r="F1304" t="s" s="834">
        <v>478</v>
      </c>
      <c r="G1304" s="570"/>
      <c r="H1304" s="570"/>
      <c r="I1304" s="570"/>
      <c r="J1304" s="570"/>
      <c r="K1304" s="570"/>
    </row>
    <row r="1305" ht="12.75" customHeight="1">
      <c r="A1305" s="833">
        <v>92</v>
      </c>
      <c r="B1305" t="s" s="834">
        <v>1254</v>
      </c>
      <c r="C1305" t="s" s="834">
        <v>1010</v>
      </c>
      <c r="D1305" s="835">
        <v>46026</v>
      </c>
      <c r="E1305" t="s" s="834">
        <v>478</v>
      </c>
      <c r="F1305" t="s" s="834">
        <v>478</v>
      </c>
      <c r="G1305" s="570"/>
      <c r="H1305" s="570"/>
      <c r="I1305" s="570"/>
      <c r="J1305" s="570"/>
      <c r="K1305" s="570"/>
    </row>
    <row r="1306" ht="12.75" customHeight="1">
      <c r="A1306" s="833">
        <v>92</v>
      </c>
      <c r="B1306" t="s" s="834">
        <v>1254</v>
      </c>
      <c r="C1306" t="s" s="834">
        <v>1010</v>
      </c>
      <c r="D1306" s="835">
        <v>46027</v>
      </c>
      <c r="E1306" s="836">
        <v>1.373310185185185</v>
      </c>
      <c r="F1306" s="836">
        <v>1.773599537037037</v>
      </c>
      <c r="G1306" s="570"/>
      <c r="H1306" s="570"/>
      <c r="I1306" s="570"/>
      <c r="J1306" s="570"/>
      <c r="K1306" s="570"/>
    </row>
    <row r="1307" ht="12.75" customHeight="1">
      <c r="A1307" t="s" s="834">
        <v>1255</v>
      </c>
      <c r="B1307" t="s" s="834">
        <v>1256</v>
      </c>
      <c r="C1307" t="s" s="834">
        <v>759</v>
      </c>
      <c r="D1307" s="570"/>
      <c r="E1307" s="570"/>
      <c r="F1307" s="570"/>
      <c r="G1307" s="570"/>
      <c r="H1307" s="570"/>
      <c r="I1307" s="570"/>
      <c r="J1307" s="570"/>
      <c r="K1307" s="570"/>
    </row>
    <row r="1308" ht="12.75" customHeight="1">
      <c r="A1308" s="833">
        <v>92</v>
      </c>
      <c r="B1308" t="s" s="834">
        <v>1254</v>
      </c>
      <c r="C1308" t="s" s="834">
        <v>1010</v>
      </c>
      <c r="D1308" s="835">
        <v>46028</v>
      </c>
      <c r="E1308" s="836">
        <v>1.409328703703704</v>
      </c>
      <c r="F1308" s="836">
        <v>1.823958333333333</v>
      </c>
      <c r="G1308" s="570"/>
      <c r="H1308" s="570"/>
      <c r="I1308" s="570"/>
      <c r="J1308" s="570"/>
      <c r="K1308" s="570"/>
    </row>
    <row r="1309" ht="12.75" customHeight="1">
      <c r="A1309" t="s" s="834">
        <v>1257</v>
      </c>
      <c r="B1309" t="s" s="834">
        <v>1258</v>
      </c>
      <c r="C1309" t="s" s="834">
        <v>1259</v>
      </c>
      <c r="D1309" s="570"/>
      <c r="E1309" s="570"/>
      <c r="F1309" s="570"/>
      <c r="G1309" s="570"/>
      <c r="H1309" s="570"/>
      <c r="I1309" s="570"/>
      <c r="J1309" s="570"/>
      <c r="K1309" s="570"/>
    </row>
    <row r="1310" ht="12.75" customHeight="1">
      <c r="A1310" s="833">
        <v>92</v>
      </c>
      <c r="B1310" t="s" s="834">
        <v>1254</v>
      </c>
      <c r="C1310" t="s" s="834">
        <v>1010</v>
      </c>
      <c r="D1310" s="835">
        <v>46029</v>
      </c>
      <c r="E1310" s="836">
        <v>1.409375</v>
      </c>
      <c r="F1310" s="836">
        <v>1.799016203703704</v>
      </c>
      <c r="G1310" s="570"/>
      <c r="H1310" s="570"/>
      <c r="I1310" s="570"/>
      <c r="J1310" s="570"/>
      <c r="K1310" s="570"/>
    </row>
    <row r="1311" ht="12.75" customHeight="1">
      <c r="A1311" t="s" s="834">
        <v>1260</v>
      </c>
      <c r="B1311" t="s" s="834">
        <v>1261</v>
      </c>
      <c r="C1311" t="s" s="834">
        <v>979</v>
      </c>
      <c r="D1311" s="570"/>
      <c r="E1311" s="570"/>
      <c r="F1311" s="570"/>
      <c r="G1311" s="570"/>
      <c r="H1311" s="570"/>
      <c r="I1311" s="570"/>
      <c r="J1311" s="570"/>
      <c r="K1311" s="570"/>
    </row>
    <row r="1312" ht="12.75" customHeight="1">
      <c r="A1312" s="833">
        <v>92</v>
      </c>
      <c r="B1312" t="s" s="834">
        <v>1254</v>
      </c>
      <c r="C1312" t="s" s="834">
        <v>1010</v>
      </c>
      <c r="D1312" s="835">
        <v>46030</v>
      </c>
      <c r="E1312" s="836">
        <v>1.407048611111111</v>
      </c>
      <c r="F1312" s="836">
        <v>1.774444444444444</v>
      </c>
      <c r="G1312" s="570"/>
      <c r="H1312" s="570"/>
      <c r="I1312" s="570"/>
      <c r="J1312" s="570"/>
      <c r="K1312" s="570"/>
    </row>
    <row r="1313" ht="12.75" customHeight="1">
      <c r="A1313" t="s" s="834">
        <v>1262</v>
      </c>
      <c r="B1313" t="s" s="834">
        <v>1263</v>
      </c>
      <c r="C1313" t="s" s="834">
        <v>1264</v>
      </c>
      <c r="D1313" s="570"/>
      <c r="E1313" s="570"/>
      <c r="F1313" s="570"/>
      <c r="G1313" s="570"/>
      <c r="H1313" s="570"/>
      <c r="I1313" s="570"/>
      <c r="J1313" s="570"/>
      <c r="K1313" s="570"/>
    </row>
    <row r="1314" ht="12.75" customHeight="1">
      <c r="A1314" s="833">
        <v>92</v>
      </c>
      <c r="B1314" t="s" s="834">
        <v>1254</v>
      </c>
      <c r="C1314" t="s" s="834">
        <v>1010</v>
      </c>
      <c r="D1314" s="835">
        <v>46031</v>
      </c>
      <c r="E1314" s="836">
        <v>1.435069444444445</v>
      </c>
      <c r="F1314" s="836">
        <v>1.800520833333333</v>
      </c>
      <c r="G1314" s="570"/>
      <c r="H1314" s="570"/>
      <c r="I1314" s="570"/>
      <c r="J1314" s="570"/>
      <c r="K1314" s="570"/>
    </row>
    <row r="1315" ht="12.75" customHeight="1">
      <c r="A1315" t="s" s="834">
        <v>1265</v>
      </c>
      <c r="B1315" t="s" s="834">
        <v>1266</v>
      </c>
      <c r="C1315" t="s" s="834">
        <v>945</v>
      </c>
      <c r="D1315" s="570"/>
      <c r="E1315" s="570"/>
      <c r="F1315" s="570"/>
      <c r="G1315" s="570"/>
      <c r="H1315" s="570"/>
      <c r="I1315" s="570"/>
      <c r="J1315" s="570"/>
      <c r="K1315" s="570"/>
    </row>
    <row r="1316" ht="12.75" customHeight="1">
      <c r="A1316" s="833">
        <v>92</v>
      </c>
      <c r="B1316" t="s" s="834">
        <v>1254</v>
      </c>
      <c r="C1316" t="s" s="834">
        <v>1010</v>
      </c>
      <c r="D1316" s="835">
        <v>46032</v>
      </c>
      <c r="E1316" s="836">
        <v>1.399305555555556</v>
      </c>
      <c r="F1316" s="836">
        <v>1.7825</v>
      </c>
      <c r="G1316" s="570"/>
      <c r="H1316" s="570"/>
      <c r="I1316" s="570"/>
      <c r="J1316" s="570"/>
      <c r="K1316" s="570"/>
    </row>
    <row r="1317" ht="12.75" customHeight="1">
      <c r="A1317" t="s" s="834">
        <v>1267</v>
      </c>
      <c r="B1317" t="s" s="834">
        <v>1268</v>
      </c>
      <c r="C1317" t="s" s="834">
        <v>812</v>
      </c>
      <c r="D1317" s="570"/>
      <c r="E1317" s="570"/>
      <c r="F1317" s="570"/>
      <c r="G1317" s="570"/>
      <c r="H1317" s="570"/>
      <c r="I1317" s="570"/>
      <c r="J1317" s="570"/>
      <c r="K1317" s="570"/>
    </row>
    <row r="1318" ht="12.75" customHeight="1">
      <c r="A1318" s="833">
        <v>92</v>
      </c>
      <c r="B1318" t="s" s="834">
        <v>1254</v>
      </c>
      <c r="C1318" t="s" s="834">
        <v>1010</v>
      </c>
      <c r="D1318" s="835">
        <v>46033</v>
      </c>
      <c r="E1318" t="s" s="834">
        <v>478</v>
      </c>
      <c r="F1318" t="s" s="834">
        <v>478</v>
      </c>
      <c r="G1318" s="570"/>
      <c r="H1318" s="570"/>
      <c r="I1318" s="570"/>
      <c r="J1318" s="570"/>
      <c r="K1318" s="570"/>
    </row>
    <row r="1319" ht="12.75" customHeight="1">
      <c r="A1319" s="833">
        <v>92</v>
      </c>
      <c r="B1319" t="s" s="834">
        <v>1254</v>
      </c>
      <c r="C1319" t="s" s="834">
        <v>1010</v>
      </c>
      <c r="D1319" s="835">
        <v>46034</v>
      </c>
      <c r="E1319" s="836">
        <v>1.38244212962963</v>
      </c>
      <c r="F1319" s="836">
        <v>1.836238425925926</v>
      </c>
      <c r="G1319" s="570"/>
      <c r="H1319" s="570"/>
      <c r="I1319" s="570"/>
      <c r="J1319" s="570"/>
      <c r="K1319" s="570"/>
    </row>
    <row r="1320" ht="12.75" customHeight="1">
      <c r="A1320" t="s" s="834">
        <v>1269</v>
      </c>
      <c r="B1320" t="s" s="834">
        <v>1270</v>
      </c>
      <c r="C1320" t="s" s="834">
        <v>506</v>
      </c>
      <c r="D1320" s="570"/>
      <c r="E1320" s="570"/>
      <c r="F1320" s="570"/>
      <c r="G1320" s="570"/>
      <c r="H1320" s="570"/>
      <c r="I1320" s="570"/>
      <c r="J1320" s="570"/>
      <c r="K1320" s="570"/>
    </row>
    <row r="1321" ht="12.75" customHeight="1">
      <c r="A1321" s="833">
        <v>92</v>
      </c>
      <c r="B1321" t="s" s="834">
        <v>1254</v>
      </c>
      <c r="C1321" t="s" s="834">
        <v>1010</v>
      </c>
      <c r="D1321" s="835">
        <v>46035</v>
      </c>
      <c r="E1321" s="836">
        <v>1.384328703703704</v>
      </c>
      <c r="F1321" s="836">
        <v>1.50787037037037</v>
      </c>
      <c r="G1321" s="570"/>
      <c r="H1321" s="570"/>
      <c r="I1321" s="570"/>
      <c r="J1321" s="570"/>
      <c r="K1321" s="570"/>
    </row>
    <row r="1322" ht="12.75" customHeight="1">
      <c r="A1322" t="s" s="834">
        <v>1271</v>
      </c>
      <c r="B1322" t="s" s="834">
        <v>1272</v>
      </c>
      <c r="C1322" t="s" s="834">
        <v>1273</v>
      </c>
      <c r="D1322" s="570"/>
      <c r="E1322" s="570"/>
      <c r="F1322" s="570"/>
      <c r="G1322" s="570"/>
      <c r="H1322" s="570"/>
      <c r="I1322" s="570"/>
      <c r="J1322" s="570"/>
      <c r="K1322" s="570"/>
    </row>
    <row r="1323" ht="12.75" customHeight="1">
      <c r="A1323" s="833">
        <v>92</v>
      </c>
      <c r="B1323" t="s" s="834">
        <v>1254</v>
      </c>
      <c r="C1323" t="s" s="834">
        <v>1010</v>
      </c>
      <c r="D1323" s="835">
        <v>46036</v>
      </c>
      <c r="E1323" s="836">
        <v>1.394398148148148</v>
      </c>
      <c r="F1323" s="836">
        <v>1.791122685185185</v>
      </c>
      <c r="G1323" s="570"/>
      <c r="H1323" s="570"/>
      <c r="I1323" s="570"/>
      <c r="J1323" s="570"/>
      <c r="K1323" s="570"/>
    </row>
    <row r="1324" ht="12.75" customHeight="1">
      <c r="A1324" t="s" s="834">
        <v>1274</v>
      </c>
      <c r="B1324" t="s" s="834">
        <v>1275</v>
      </c>
      <c r="C1324" t="s" s="834">
        <v>683</v>
      </c>
      <c r="D1324" s="570"/>
      <c r="E1324" s="570"/>
      <c r="F1324" s="570"/>
      <c r="G1324" s="570"/>
      <c r="H1324" s="570"/>
      <c r="I1324" s="570"/>
      <c r="J1324" s="570"/>
      <c r="K1324" s="570"/>
    </row>
    <row r="1325" ht="12.75" customHeight="1">
      <c r="A1325" s="833">
        <v>92</v>
      </c>
      <c r="B1325" t="s" s="834">
        <v>1254</v>
      </c>
      <c r="C1325" t="s" s="834">
        <v>1010</v>
      </c>
      <c r="D1325" s="835">
        <v>46037</v>
      </c>
      <c r="E1325" s="836">
        <v>1.411527777777778</v>
      </c>
      <c r="F1325" s="836">
        <v>1.865196759259259</v>
      </c>
      <c r="G1325" s="570"/>
      <c r="H1325" s="570"/>
      <c r="I1325" s="570"/>
      <c r="J1325" s="570"/>
      <c r="K1325" s="570"/>
    </row>
    <row r="1326" ht="12.75" customHeight="1">
      <c r="A1326" t="s" s="834">
        <v>1276</v>
      </c>
      <c r="B1326" t="s" s="834">
        <v>1277</v>
      </c>
      <c r="C1326" t="s" s="834">
        <v>506</v>
      </c>
      <c r="D1326" s="570"/>
      <c r="E1326" s="570"/>
      <c r="F1326" s="570"/>
      <c r="G1326" s="570"/>
      <c r="H1326" s="570"/>
      <c r="I1326" s="570"/>
      <c r="J1326" s="570"/>
      <c r="K1326" s="570"/>
    </row>
    <row r="1327" ht="12.75" customHeight="1">
      <c r="A1327" s="833">
        <v>92</v>
      </c>
      <c r="B1327" t="s" s="834">
        <v>1254</v>
      </c>
      <c r="C1327" t="s" s="834">
        <v>1010</v>
      </c>
      <c r="D1327" s="835">
        <v>46038</v>
      </c>
      <c r="E1327" s="836">
        <v>1.397013888888889</v>
      </c>
      <c r="F1327" s="836">
        <v>1.8159375</v>
      </c>
      <c r="G1327" s="570"/>
      <c r="H1327" s="570"/>
      <c r="I1327" s="570"/>
      <c r="J1327" s="570"/>
      <c r="K1327" s="570"/>
    </row>
    <row r="1328" ht="12.75" customHeight="1">
      <c r="A1328" t="s" s="834">
        <v>1278</v>
      </c>
      <c r="B1328" t="s" s="834">
        <v>1279</v>
      </c>
      <c r="C1328" t="s" s="834">
        <v>1280</v>
      </c>
      <c r="D1328" s="570"/>
      <c r="E1328" s="570"/>
      <c r="F1328" s="570"/>
      <c r="G1328" s="570"/>
      <c r="H1328" s="570"/>
      <c r="I1328" s="570"/>
      <c r="J1328" s="570"/>
      <c r="K1328" s="570"/>
    </row>
    <row r="1329" ht="12.75" customHeight="1">
      <c r="A1329" s="833">
        <v>92</v>
      </c>
      <c r="B1329" t="s" s="834">
        <v>1254</v>
      </c>
      <c r="C1329" t="s" s="834">
        <v>1010</v>
      </c>
      <c r="D1329" s="835">
        <v>46039</v>
      </c>
      <c r="E1329" t="s" s="834">
        <v>478</v>
      </c>
      <c r="F1329" t="s" s="834">
        <v>478</v>
      </c>
      <c r="G1329" s="570"/>
      <c r="H1329" s="570"/>
      <c r="I1329" s="570"/>
      <c r="J1329" s="570"/>
      <c r="K1329" s="570"/>
    </row>
    <row r="1330" ht="12.75" customHeight="1">
      <c r="A1330" s="833">
        <v>92</v>
      </c>
      <c r="B1330" t="s" s="834">
        <v>1254</v>
      </c>
      <c r="C1330" t="s" s="834">
        <v>1010</v>
      </c>
      <c r="D1330" s="835">
        <v>46040</v>
      </c>
      <c r="E1330" t="s" s="834">
        <v>478</v>
      </c>
      <c r="F1330" t="s" s="834">
        <v>478</v>
      </c>
      <c r="G1330" s="570"/>
      <c r="H1330" s="570"/>
      <c r="I1330" s="570"/>
      <c r="J1330" s="570"/>
      <c r="K1330" s="570"/>
    </row>
    <row r="1331" ht="12.75" customHeight="1">
      <c r="A1331" s="833">
        <v>92</v>
      </c>
      <c r="B1331" t="s" s="834">
        <v>1254</v>
      </c>
      <c r="C1331" t="s" s="834">
        <v>1010</v>
      </c>
      <c r="D1331" s="835">
        <v>46041</v>
      </c>
      <c r="E1331" s="836">
        <v>1.391377314814815</v>
      </c>
      <c r="F1331" s="836">
        <v>1.783530092592593</v>
      </c>
      <c r="G1331" s="570"/>
      <c r="H1331" s="570"/>
      <c r="I1331" s="570"/>
      <c r="J1331" s="570"/>
      <c r="K1331" s="570"/>
    </row>
    <row r="1332" ht="12.75" customHeight="1">
      <c r="A1332" t="s" s="834">
        <v>1281</v>
      </c>
      <c r="B1332" t="s" s="834">
        <v>1282</v>
      </c>
      <c r="C1332" t="s" s="834">
        <v>966</v>
      </c>
      <c r="D1332" s="570"/>
      <c r="E1332" s="570"/>
      <c r="F1332" s="570"/>
      <c r="G1332" s="570"/>
      <c r="H1332" s="570"/>
      <c r="I1332" s="570"/>
      <c r="J1332" s="570"/>
      <c r="K1332" s="570"/>
    </row>
    <row r="1333" ht="12.75" customHeight="1">
      <c r="A1333" s="833">
        <v>92</v>
      </c>
      <c r="B1333" t="s" s="834">
        <v>1254</v>
      </c>
      <c r="C1333" t="s" s="834">
        <v>1010</v>
      </c>
      <c r="D1333" s="835">
        <v>46042</v>
      </c>
      <c r="E1333" s="836">
        <v>1.411226851851852</v>
      </c>
      <c r="F1333" s="836">
        <v>1.828912037037037</v>
      </c>
      <c r="G1333" s="570"/>
      <c r="H1333" s="570"/>
      <c r="I1333" s="570"/>
      <c r="J1333" s="570"/>
      <c r="K1333" s="570"/>
    </row>
    <row r="1334" ht="12.75" customHeight="1">
      <c r="A1334" t="s" s="834">
        <v>1283</v>
      </c>
      <c r="B1334" t="s" s="834">
        <v>1284</v>
      </c>
      <c r="C1334" t="s" s="834">
        <v>1285</v>
      </c>
      <c r="D1334" s="570"/>
      <c r="E1334" s="570"/>
      <c r="F1334" s="570"/>
      <c r="G1334" s="570"/>
      <c r="H1334" s="570"/>
      <c r="I1334" s="570"/>
      <c r="J1334" s="570"/>
      <c r="K1334" s="570"/>
    </row>
    <row r="1335" ht="12.75" customHeight="1">
      <c r="A1335" s="833">
        <v>92</v>
      </c>
      <c r="B1335" t="s" s="834">
        <v>1254</v>
      </c>
      <c r="C1335" t="s" s="834">
        <v>1010</v>
      </c>
      <c r="D1335" s="835">
        <v>46043</v>
      </c>
      <c r="E1335" s="836">
        <v>1.391145833333333</v>
      </c>
      <c r="F1335" s="836">
        <v>1.791481481481481</v>
      </c>
      <c r="G1335" s="570"/>
      <c r="H1335" s="570"/>
      <c r="I1335" s="570"/>
      <c r="J1335" s="570"/>
      <c r="K1335" s="570"/>
    </row>
    <row r="1336" ht="12.75" customHeight="1">
      <c r="A1336" t="s" s="834">
        <v>1286</v>
      </c>
      <c r="B1336" t="s" s="834">
        <v>1287</v>
      </c>
      <c r="C1336" t="s" s="834">
        <v>759</v>
      </c>
      <c r="D1336" s="570"/>
      <c r="E1336" s="570"/>
      <c r="F1336" s="570"/>
      <c r="G1336" s="570"/>
      <c r="H1336" s="570"/>
      <c r="I1336" s="570"/>
      <c r="J1336" s="570"/>
      <c r="K1336" s="570"/>
    </row>
    <row r="1337" ht="12.75" customHeight="1">
      <c r="A1337" s="833">
        <v>92</v>
      </c>
      <c r="B1337" t="s" s="834">
        <v>1254</v>
      </c>
      <c r="C1337" t="s" s="834">
        <v>1010</v>
      </c>
      <c r="D1337" s="835">
        <v>46044</v>
      </c>
      <c r="E1337" s="836">
        <v>1.413113425925926</v>
      </c>
      <c r="F1337" s="836">
        <v>1.797175925925926</v>
      </c>
      <c r="G1337" s="570"/>
      <c r="H1337" s="570"/>
      <c r="I1337" s="570"/>
      <c r="J1337" s="570"/>
      <c r="K1337" s="570"/>
    </row>
    <row r="1338" ht="12.75" customHeight="1">
      <c r="A1338" t="s" s="834">
        <v>1288</v>
      </c>
      <c r="B1338" t="s" s="834">
        <v>1289</v>
      </c>
      <c r="C1338" t="s" s="834">
        <v>984</v>
      </c>
      <c r="D1338" s="570"/>
      <c r="E1338" s="570"/>
      <c r="F1338" s="570"/>
      <c r="G1338" s="570"/>
      <c r="H1338" s="570"/>
      <c r="I1338" s="570"/>
      <c r="J1338" s="570"/>
      <c r="K1338" s="570"/>
    </row>
    <row r="1339" ht="12.75" customHeight="1">
      <c r="A1339" s="833">
        <v>92</v>
      </c>
      <c r="B1339" t="s" s="834">
        <v>1254</v>
      </c>
      <c r="C1339" t="s" s="834">
        <v>1010</v>
      </c>
      <c r="D1339" s="835">
        <v>46045</v>
      </c>
      <c r="E1339" s="836">
        <v>1.402476851851852</v>
      </c>
      <c r="F1339" s="836">
        <v>1.834803240740741</v>
      </c>
      <c r="G1339" s="570"/>
      <c r="H1339" s="570"/>
      <c r="I1339" s="570"/>
      <c r="J1339" s="570"/>
      <c r="K1339" s="570"/>
    </row>
    <row r="1340" ht="12.75" customHeight="1">
      <c r="A1340" t="s" s="834">
        <v>1290</v>
      </c>
      <c r="B1340" t="s" s="834">
        <v>1291</v>
      </c>
      <c r="C1340" t="s" s="834">
        <v>1094</v>
      </c>
      <c r="D1340" s="570"/>
      <c r="E1340" s="570"/>
      <c r="F1340" s="570"/>
      <c r="G1340" s="570"/>
      <c r="H1340" s="570"/>
      <c r="I1340" s="570"/>
      <c r="J1340" s="570"/>
      <c r="K1340" s="570"/>
    </row>
    <row r="1341" ht="12.75" customHeight="1">
      <c r="A1341" s="833">
        <v>92</v>
      </c>
      <c r="B1341" t="s" s="834">
        <v>1254</v>
      </c>
      <c r="C1341" t="s" s="834">
        <v>1010</v>
      </c>
      <c r="D1341" s="835">
        <v>46046</v>
      </c>
      <c r="E1341" t="s" s="834">
        <v>478</v>
      </c>
      <c r="F1341" t="s" s="834">
        <v>478</v>
      </c>
      <c r="G1341" s="570"/>
      <c r="H1341" s="570"/>
      <c r="I1341" s="570"/>
      <c r="J1341" s="570"/>
      <c r="K1341" s="570"/>
    </row>
    <row r="1342" ht="12.75" customHeight="1">
      <c r="A1342" s="833">
        <v>92</v>
      </c>
      <c r="B1342" t="s" s="834">
        <v>1254</v>
      </c>
      <c r="C1342" t="s" s="834">
        <v>1010</v>
      </c>
      <c r="D1342" s="835">
        <v>46047</v>
      </c>
      <c r="E1342" t="s" s="834">
        <v>478</v>
      </c>
      <c r="F1342" t="s" s="834">
        <v>478</v>
      </c>
      <c r="G1342" s="570"/>
      <c r="H1342" s="570"/>
      <c r="I1342" s="570"/>
      <c r="J1342" s="570"/>
      <c r="K1342" s="570"/>
    </row>
    <row r="1343" ht="12.75" customHeight="1">
      <c r="A1343" s="833">
        <v>92</v>
      </c>
      <c r="B1343" t="s" s="834">
        <v>1254</v>
      </c>
      <c r="C1343" t="s" s="834">
        <v>1010</v>
      </c>
      <c r="D1343" s="835">
        <v>46048</v>
      </c>
      <c r="E1343" s="836">
        <v>1.393275462962963</v>
      </c>
      <c r="F1343" s="836">
        <v>1.770567129629629</v>
      </c>
      <c r="G1343" s="570"/>
      <c r="H1343" s="570"/>
      <c r="I1343" s="570"/>
      <c r="J1343" s="570"/>
      <c r="K1343" s="570"/>
    </row>
    <row r="1344" ht="12.75" customHeight="1">
      <c r="A1344" t="s" s="834">
        <v>1292</v>
      </c>
      <c r="B1344" t="s" s="834">
        <v>1293</v>
      </c>
      <c r="C1344" t="s" s="834">
        <v>846</v>
      </c>
      <c r="D1344" s="570"/>
      <c r="E1344" s="570"/>
      <c r="F1344" s="570"/>
      <c r="G1344" s="570"/>
      <c r="H1344" s="570"/>
      <c r="I1344" s="570"/>
      <c r="J1344" s="570"/>
      <c r="K1344" s="570"/>
    </row>
    <row r="1345" ht="12.75" customHeight="1">
      <c r="A1345" s="833">
        <v>92</v>
      </c>
      <c r="B1345" t="s" s="834">
        <v>1254</v>
      </c>
      <c r="C1345" t="s" s="834">
        <v>1010</v>
      </c>
      <c r="D1345" s="835">
        <v>46049</v>
      </c>
      <c r="E1345" s="836">
        <v>1.402650462962963</v>
      </c>
      <c r="F1345" s="836">
        <v>1.793923611111111</v>
      </c>
      <c r="G1345" s="570"/>
      <c r="H1345" s="570"/>
      <c r="I1345" s="570"/>
      <c r="J1345" s="570"/>
      <c r="K1345" s="570"/>
    </row>
    <row r="1346" ht="12.75" customHeight="1">
      <c r="A1346" t="s" s="834">
        <v>1294</v>
      </c>
      <c r="B1346" t="s" s="834">
        <v>1295</v>
      </c>
      <c r="C1346" t="s" s="834">
        <v>668</v>
      </c>
      <c r="D1346" s="570"/>
      <c r="E1346" s="570"/>
      <c r="F1346" s="570"/>
      <c r="G1346" s="570"/>
      <c r="H1346" s="570"/>
      <c r="I1346" s="570"/>
      <c r="J1346" s="570"/>
      <c r="K1346" s="570"/>
    </row>
    <row r="1347" ht="12.75" customHeight="1">
      <c r="A1347" s="833">
        <v>92</v>
      </c>
      <c r="B1347" t="s" s="834">
        <v>1254</v>
      </c>
      <c r="C1347" t="s" s="834">
        <v>1010</v>
      </c>
      <c r="D1347" s="835">
        <v>46050</v>
      </c>
      <c r="E1347" t="s" s="834">
        <v>478</v>
      </c>
      <c r="F1347" t="s" s="834">
        <v>478</v>
      </c>
      <c r="G1347" s="570"/>
      <c r="H1347" s="570"/>
      <c r="I1347" s="570"/>
      <c r="J1347" s="570"/>
      <c r="K1347" s="570"/>
    </row>
    <row r="1348" ht="12.75" customHeight="1">
      <c r="A1348" s="833">
        <v>92</v>
      </c>
      <c r="B1348" t="s" s="834">
        <v>1254</v>
      </c>
      <c r="C1348" t="s" s="834">
        <v>1010</v>
      </c>
      <c r="D1348" s="835">
        <v>46051</v>
      </c>
      <c r="E1348" s="836">
        <v>1.401423611111111</v>
      </c>
      <c r="F1348" s="836">
        <v>1.810925925925926</v>
      </c>
      <c r="G1348" s="570"/>
      <c r="H1348" s="570"/>
      <c r="I1348" s="570"/>
      <c r="J1348" s="570"/>
      <c r="K1348" s="570"/>
    </row>
    <row r="1349" ht="12.75" customHeight="1">
      <c r="A1349" t="s" s="834">
        <v>1296</v>
      </c>
      <c r="B1349" t="s" s="834">
        <v>1297</v>
      </c>
      <c r="C1349" t="s" s="834">
        <v>1119</v>
      </c>
      <c r="D1349" s="570"/>
      <c r="E1349" s="570"/>
      <c r="F1349" s="570"/>
      <c r="G1349" s="570"/>
      <c r="H1349" s="570"/>
      <c r="I1349" s="570"/>
      <c r="J1349" s="570"/>
      <c r="K1349" s="570"/>
    </row>
    <row r="1350" ht="12.75" customHeight="1">
      <c r="A1350" s="833">
        <v>92</v>
      </c>
      <c r="B1350" t="s" s="834">
        <v>1254</v>
      </c>
      <c r="C1350" t="s" s="834">
        <v>1010</v>
      </c>
      <c r="D1350" s="835">
        <v>46052</v>
      </c>
      <c r="E1350" s="836">
        <v>1.407465277777778</v>
      </c>
      <c r="F1350" s="836">
        <v>1.825104166666667</v>
      </c>
      <c r="G1350" s="570"/>
      <c r="H1350" s="570"/>
      <c r="I1350" s="570"/>
      <c r="J1350" s="570"/>
      <c r="K1350" s="570"/>
    </row>
    <row r="1351" ht="12.75" customHeight="1">
      <c r="A1351" t="s" s="834">
        <v>1298</v>
      </c>
      <c r="B1351" t="s" s="834">
        <v>1299</v>
      </c>
      <c r="C1351" t="s" s="834">
        <v>1285</v>
      </c>
      <c r="D1351" s="570"/>
      <c r="E1351" s="570"/>
      <c r="F1351" s="570"/>
      <c r="G1351" s="570"/>
      <c r="H1351" s="570"/>
      <c r="I1351" s="570"/>
      <c r="J1351" s="570"/>
      <c r="K1351" s="570"/>
    </row>
    <row r="1352" ht="12.75" customHeight="1">
      <c r="A1352" s="833">
        <v>92</v>
      </c>
      <c r="B1352" t="s" s="834">
        <v>1254</v>
      </c>
      <c r="C1352" t="s" s="834">
        <v>1010</v>
      </c>
      <c r="D1352" s="835">
        <v>46053</v>
      </c>
      <c r="E1352" t="s" s="834">
        <v>478</v>
      </c>
      <c r="F1352" t="s" s="834">
        <v>478</v>
      </c>
      <c r="G1352" s="570"/>
      <c r="H1352" s="570"/>
      <c r="I1352" s="570"/>
      <c r="J1352" s="570"/>
      <c r="K1352" s="570"/>
    </row>
    <row r="1353" ht="12.75" customHeight="1">
      <c r="A1353" s="833">
        <v>92</v>
      </c>
      <c r="B1353" t="s" s="834">
        <v>1254</v>
      </c>
      <c r="C1353" t="s" s="834">
        <v>1010</v>
      </c>
      <c r="D1353" s="835">
        <v>46054</v>
      </c>
      <c r="E1353" t="s" s="834">
        <v>478</v>
      </c>
      <c r="F1353" t="s" s="834">
        <v>478</v>
      </c>
      <c r="G1353" s="570"/>
      <c r="H1353" s="570"/>
      <c r="I1353" s="570"/>
      <c r="J1353" s="570"/>
      <c r="K1353" s="570"/>
    </row>
    <row r="1354" ht="12.75" customHeight="1">
      <c r="A1354" s="833">
        <v>94</v>
      </c>
      <c r="B1354" t="s" s="834">
        <v>1300</v>
      </c>
      <c r="C1354" t="s" s="834">
        <v>617</v>
      </c>
      <c r="D1354" s="835">
        <v>46023</v>
      </c>
      <c r="E1354" t="s" s="834">
        <v>478</v>
      </c>
      <c r="F1354" t="s" s="834">
        <v>478</v>
      </c>
      <c r="G1354" s="570"/>
      <c r="H1354" s="570"/>
      <c r="I1354" s="570"/>
      <c r="J1354" s="570"/>
      <c r="K1354" s="570"/>
    </row>
    <row r="1355" ht="12.75" customHeight="1">
      <c r="A1355" s="833">
        <v>94</v>
      </c>
      <c r="B1355" t="s" s="834">
        <v>1300</v>
      </c>
      <c r="C1355" t="s" s="834">
        <v>617</v>
      </c>
      <c r="D1355" s="835">
        <v>46024</v>
      </c>
      <c r="E1355" t="s" s="834">
        <v>478</v>
      </c>
      <c r="F1355" t="s" s="834">
        <v>478</v>
      </c>
      <c r="G1355" s="570"/>
      <c r="H1355" s="570"/>
      <c r="I1355" s="570"/>
      <c r="J1355" s="570"/>
      <c r="K1355" s="570"/>
    </row>
    <row r="1356" ht="12.75" customHeight="1">
      <c r="A1356" s="833">
        <v>94</v>
      </c>
      <c r="B1356" t="s" s="834">
        <v>1300</v>
      </c>
      <c r="C1356" t="s" s="834">
        <v>617</v>
      </c>
      <c r="D1356" s="835">
        <v>46025</v>
      </c>
      <c r="E1356" t="s" s="834">
        <v>478</v>
      </c>
      <c r="F1356" t="s" s="834">
        <v>478</v>
      </c>
      <c r="G1356" s="570"/>
      <c r="H1356" s="570"/>
      <c r="I1356" s="570"/>
      <c r="J1356" s="570"/>
      <c r="K1356" s="570"/>
    </row>
    <row r="1357" ht="12.75" customHeight="1">
      <c r="A1357" s="833">
        <v>94</v>
      </c>
      <c r="B1357" t="s" s="834">
        <v>1300</v>
      </c>
      <c r="C1357" t="s" s="834">
        <v>617</v>
      </c>
      <c r="D1357" s="835">
        <v>46026</v>
      </c>
      <c r="E1357" t="s" s="834">
        <v>478</v>
      </c>
      <c r="F1357" t="s" s="834">
        <v>478</v>
      </c>
      <c r="G1357" s="570"/>
      <c r="H1357" s="570"/>
      <c r="I1357" s="570"/>
      <c r="J1357" s="570"/>
      <c r="K1357" s="570"/>
    </row>
    <row r="1358" ht="12.75" customHeight="1">
      <c r="A1358" s="833">
        <v>94</v>
      </c>
      <c r="B1358" t="s" s="834">
        <v>1300</v>
      </c>
      <c r="C1358" t="s" s="834">
        <v>617</v>
      </c>
      <c r="D1358" s="835">
        <v>46027</v>
      </c>
      <c r="E1358" t="s" s="834">
        <v>478</v>
      </c>
      <c r="F1358" t="s" s="834">
        <v>478</v>
      </c>
      <c r="G1358" s="570"/>
      <c r="H1358" s="570"/>
      <c r="I1358" s="570"/>
      <c r="J1358" s="570"/>
      <c r="K1358" s="570"/>
    </row>
    <row r="1359" ht="12.75" customHeight="1">
      <c r="A1359" s="833">
        <v>94</v>
      </c>
      <c r="B1359" t="s" s="834">
        <v>1300</v>
      </c>
      <c r="C1359" t="s" s="834">
        <v>617</v>
      </c>
      <c r="D1359" s="835">
        <v>46028</v>
      </c>
      <c r="E1359" t="s" s="834">
        <v>478</v>
      </c>
      <c r="F1359" t="s" s="834">
        <v>478</v>
      </c>
      <c r="G1359" s="570"/>
      <c r="H1359" s="570"/>
      <c r="I1359" s="570"/>
      <c r="J1359" s="570"/>
      <c r="K1359" s="570"/>
    </row>
    <row r="1360" ht="12.75" customHeight="1">
      <c r="A1360" s="833">
        <v>94</v>
      </c>
      <c r="B1360" t="s" s="834">
        <v>1300</v>
      </c>
      <c r="C1360" t="s" s="834">
        <v>617</v>
      </c>
      <c r="D1360" s="835">
        <v>46029</v>
      </c>
      <c r="E1360" t="s" s="834">
        <v>478</v>
      </c>
      <c r="F1360" t="s" s="834">
        <v>478</v>
      </c>
      <c r="G1360" s="570"/>
      <c r="H1360" s="570"/>
      <c r="I1360" s="570"/>
      <c r="J1360" s="570"/>
      <c r="K1360" s="570"/>
    </row>
    <row r="1361" ht="12.75" customHeight="1">
      <c r="A1361" s="833">
        <v>94</v>
      </c>
      <c r="B1361" t="s" s="834">
        <v>1300</v>
      </c>
      <c r="C1361" t="s" s="834">
        <v>617</v>
      </c>
      <c r="D1361" s="835">
        <v>46030</v>
      </c>
      <c r="E1361" t="s" s="834">
        <v>478</v>
      </c>
      <c r="F1361" t="s" s="834">
        <v>478</v>
      </c>
      <c r="G1361" s="570"/>
      <c r="H1361" s="570"/>
      <c r="I1361" s="570"/>
      <c r="J1361" s="570"/>
      <c r="K1361" s="570"/>
    </row>
    <row r="1362" ht="12.75" customHeight="1">
      <c r="A1362" s="833">
        <v>94</v>
      </c>
      <c r="B1362" t="s" s="834">
        <v>1300</v>
      </c>
      <c r="C1362" t="s" s="834">
        <v>617</v>
      </c>
      <c r="D1362" s="835">
        <v>46031</v>
      </c>
      <c r="E1362" t="s" s="834">
        <v>478</v>
      </c>
      <c r="F1362" t="s" s="834">
        <v>478</v>
      </c>
      <c r="G1362" s="570"/>
      <c r="H1362" s="570"/>
      <c r="I1362" s="570"/>
      <c r="J1362" s="570"/>
      <c r="K1362" s="570"/>
    </row>
    <row r="1363" ht="12.75" customHeight="1">
      <c r="A1363" s="833">
        <v>94</v>
      </c>
      <c r="B1363" t="s" s="834">
        <v>1300</v>
      </c>
      <c r="C1363" t="s" s="834">
        <v>617</v>
      </c>
      <c r="D1363" s="835">
        <v>46032</v>
      </c>
      <c r="E1363" t="s" s="834">
        <v>478</v>
      </c>
      <c r="F1363" t="s" s="834">
        <v>478</v>
      </c>
      <c r="G1363" s="570"/>
      <c r="H1363" s="570"/>
      <c r="I1363" s="570"/>
      <c r="J1363" s="570"/>
      <c r="K1363" s="570"/>
    </row>
    <row r="1364" ht="12.75" customHeight="1">
      <c r="A1364" s="833">
        <v>94</v>
      </c>
      <c r="B1364" t="s" s="834">
        <v>1300</v>
      </c>
      <c r="C1364" t="s" s="834">
        <v>617</v>
      </c>
      <c r="D1364" s="835">
        <v>46033</v>
      </c>
      <c r="E1364" t="s" s="834">
        <v>478</v>
      </c>
      <c r="F1364" t="s" s="834">
        <v>478</v>
      </c>
      <c r="G1364" s="570"/>
      <c r="H1364" s="570"/>
      <c r="I1364" s="570"/>
      <c r="J1364" s="570"/>
      <c r="K1364" s="570"/>
    </row>
    <row r="1365" ht="12.75" customHeight="1">
      <c r="A1365" s="833">
        <v>94</v>
      </c>
      <c r="B1365" t="s" s="834">
        <v>1300</v>
      </c>
      <c r="C1365" t="s" s="834">
        <v>617</v>
      </c>
      <c r="D1365" s="835">
        <v>46034</v>
      </c>
      <c r="E1365" t="s" s="834">
        <v>478</v>
      </c>
      <c r="F1365" t="s" s="834">
        <v>478</v>
      </c>
      <c r="G1365" s="570"/>
      <c r="H1365" s="570"/>
      <c r="I1365" s="570"/>
      <c r="J1365" s="570"/>
      <c r="K1365" s="570"/>
    </row>
    <row r="1366" ht="12.75" customHeight="1">
      <c r="A1366" s="833">
        <v>94</v>
      </c>
      <c r="B1366" t="s" s="834">
        <v>1300</v>
      </c>
      <c r="C1366" t="s" s="834">
        <v>617</v>
      </c>
      <c r="D1366" s="835">
        <v>46035</v>
      </c>
      <c r="E1366" t="s" s="834">
        <v>478</v>
      </c>
      <c r="F1366" t="s" s="834">
        <v>478</v>
      </c>
      <c r="G1366" s="570"/>
      <c r="H1366" s="570"/>
      <c r="I1366" s="570"/>
      <c r="J1366" s="570"/>
      <c r="K1366" s="570"/>
    </row>
    <row r="1367" ht="12.75" customHeight="1">
      <c r="A1367" s="833">
        <v>94</v>
      </c>
      <c r="B1367" t="s" s="834">
        <v>1300</v>
      </c>
      <c r="C1367" t="s" s="834">
        <v>617</v>
      </c>
      <c r="D1367" s="835">
        <v>46036</v>
      </c>
      <c r="E1367" t="s" s="834">
        <v>478</v>
      </c>
      <c r="F1367" t="s" s="834">
        <v>478</v>
      </c>
      <c r="G1367" s="570"/>
      <c r="H1367" s="570"/>
      <c r="I1367" s="570"/>
      <c r="J1367" s="570"/>
      <c r="K1367" s="570"/>
    </row>
    <row r="1368" ht="12.75" customHeight="1">
      <c r="A1368" s="833">
        <v>94</v>
      </c>
      <c r="B1368" t="s" s="834">
        <v>1300</v>
      </c>
      <c r="C1368" t="s" s="834">
        <v>617</v>
      </c>
      <c r="D1368" s="835">
        <v>46037</v>
      </c>
      <c r="E1368" t="s" s="834">
        <v>478</v>
      </c>
      <c r="F1368" t="s" s="834">
        <v>478</v>
      </c>
      <c r="G1368" s="570"/>
      <c r="H1368" s="570"/>
      <c r="I1368" s="570"/>
      <c r="J1368" s="570"/>
      <c r="K1368" s="570"/>
    </row>
    <row r="1369" ht="12.75" customHeight="1">
      <c r="A1369" s="833">
        <v>94</v>
      </c>
      <c r="B1369" t="s" s="834">
        <v>1300</v>
      </c>
      <c r="C1369" t="s" s="834">
        <v>617</v>
      </c>
      <c r="D1369" s="835">
        <v>46038</v>
      </c>
      <c r="E1369" t="s" s="834">
        <v>478</v>
      </c>
      <c r="F1369" t="s" s="834">
        <v>478</v>
      </c>
      <c r="G1369" s="570"/>
      <c r="H1369" s="570"/>
      <c r="I1369" s="570"/>
      <c r="J1369" s="570"/>
      <c r="K1369" s="570"/>
    </row>
    <row r="1370" ht="12.75" customHeight="1">
      <c r="A1370" s="833">
        <v>94</v>
      </c>
      <c r="B1370" t="s" s="834">
        <v>1300</v>
      </c>
      <c r="C1370" t="s" s="834">
        <v>617</v>
      </c>
      <c r="D1370" s="835">
        <v>46039</v>
      </c>
      <c r="E1370" t="s" s="834">
        <v>478</v>
      </c>
      <c r="F1370" t="s" s="834">
        <v>478</v>
      </c>
      <c r="G1370" s="570"/>
      <c r="H1370" s="570"/>
      <c r="I1370" s="570"/>
      <c r="J1370" s="570"/>
      <c r="K1370" s="570"/>
    </row>
    <row r="1371" ht="12.75" customHeight="1">
      <c r="A1371" s="833">
        <v>94</v>
      </c>
      <c r="B1371" t="s" s="834">
        <v>1300</v>
      </c>
      <c r="C1371" t="s" s="834">
        <v>617</v>
      </c>
      <c r="D1371" s="835">
        <v>46040</v>
      </c>
      <c r="E1371" t="s" s="834">
        <v>478</v>
      </c>
      <c r="F1371" t="s" s="834">
        <v>478</v>
      </c>
      <c r="G1371" s="570"/>
      <c r="H1371" s="570"/>
      <c r="I1371" s="570"/>
      <c r="J1371" s="570"/>
      <c r="K1371" s="570"/>
    </row>
    <row r="1372" ht="12.75" customHeight="1">
      <c r="A1372" s="833">
        <v>94</v>
      </c>
      <c r="B1372" t="s" s="834">
        <v>1300</v>
      </c>
      <c r="C1372" t="s" s="834">
        <v>617</v>
      </c>
      <c r="D1372" s="835">
        <v>46041</v>
      </c>
      <c r="E1372" t="s" s="834">
        <v>478</v>
      </c>
      <c r="F1372" t="s" s="834">
        <v>478</v>
      </c>
      <c r="G1372" s="570"/>
      <c r="H1372" s="570"/>
      <c r="I1372" s="570"/>
      <c r="J1372" s="570"/>
      <c r="K1372" s="570"/>
    </row>
    <row r="1373" ht="12.75" customHeight="1">
      <c r="A1373" s="833">
        <v>94</v>
      </c>
      <c r="B1373" t="s" s="834">
        <v>1300</v>
      </c>
      <c r="C1373" t="s" s="834">
        <v>617</v>
      </c>
      <c r="D1373" s="835">
        <v>46042</v>
      </c>
      <c r="E1373" t="s" s="834">
        <v>478</v>
      </c>
      <c r="F1373" t="s" s="834">
        <v>478</v>
      </c>
      <c r="G1373" s="570"/>
      <c r="H1373" s="570"/>
      <c r="I1373" s="570"/>
      <c r="J1373" s="570"/>
      <c r="K1373" s="570"/>
    </row>
    <row r="1374" ht="12.75" customHeight="1">
      <c r="A1374" s="833">
        <v>94</v>
      </c>
      <c r="B1374" t="s" s="834">
        <v>1300</v>
      </c>
      <c r="C1374" t="s" s="834">
        <v>617</v>
      </c>
      <c r="D1374" s="835">
        <v>46043</v>
      </c>
      <c r="E1374" t="s" s="834">
        <v>478</v>
      </c>
      <c r="F1374" t="s" s="834">
        <v>478</v>
      </c>
      <c r="G1374" s="570"/>
      <c r="H1374" s="570"/>
      <c r="I1374" s="570"/>
      <c r="J1374" s="570"/>
      <c r="K1374" s="570"/>
    </row>
    <row r="1375" ht="12.75" customHeight="1">
      <c r="A1375" s="833">
        <v>94</v>
      </c>
      <c r="B1375" t="s" s="834">
        <v>1300</v>
      </c>
      <c r="C1375" t="s" s="834">
        <v>617</v>
      </c>
      <c r="D1375" s="835">
        <v>46044</v>
      </c>
      <c r="E1375" t="s" s="834">
        <v>478</v>
      </c>
      <c r="F1375" t="s" s="834">
        <v>478</v>
      </c>
      <c r="G1375" s="570"/>
      <c r="H1375" s="570"/>
      <c r="I1375" s="570"/>
      <c r="J1375" s="570"/>
      <c r="K1375" s="570"/>
    </row>
    <row r="1376" ht="12.75" customHeight="1">
      <c r="A1376" s="833">
        <v>94</v>
      </c>
      <c r="B1376" t="s" s="834">
        <v>1300</v>
      </c>
      <c r="C1376" t="s" s="834">
        <v>617</v>
      </c>
      <c r="D1376" s="835">
        <v>46045</v>
      </c>
      <c r="E1376" t="s" s="834">
        <v>478</v>
      </c>
      <c r="F1376" t="s" s="834">
        <v>478</v>
      </c>
      <c r="G1376" s="570"/>
      <c r="H1376" s="570"/>
      <c r="I1376" s="570"/>
      <c r="J1376" s="570"/>
      <c r="K1376" s="570"/>
    </row>
    <row r="1377" ht="12.75" customHeight="1">
      <c r="A1377" s="833">
        <v>94</v>
      </c>
      <c r="B1377" t="s" s="834">
        <v>1300</v>
      </c>
      <c r="C1377" t="s" s="834">
        <v>617</v>
      </c>
      <c r="D1377" s="835">
        <v>46046</v>
      </c>
      <c r="E1377" t="s" s="834">
        <v>478</v>
      </c>
      <c r="F1377" t="s" s="834">
        <v>478</v>
      </c>
      <c r="G1377" s="570"/>
      <c r="H1377" s="570"/>
      <c r="I1377" s="570"/>
      <c r="J1377" s="570"/>
      <c r="K1377" s="570"/>
    </row>
    <row r="1378" ht="12.75" customHeight="1">
      <c r="A1378" s="833">
        <v>94</v>
      </c>
      <c r="B1378" t="s" s="834">
        <v>1300</v>
      </c>
      <c r="C1378" t="s" s="834">
        <v>617</v>
      </c>
      <c r="D1378" s="835">
        <v>46047</v>
      </c>
      <c r="E1378" t="s" s="834">
        <v>478</v>
      </c>
      <c r="F1378" t="s" s="834">
        <v>478</v>
      </c>
      <c r="G1378" s="570"/>
      <c r="H1378" s="570"/>
      <c r="I1378" s="570"/>
      <c r="J1378" s="570"/>
      <c r="K1378" s="570"/>
    </row>
    <row r="1379" ht="12.75" customHeight="1">
      <c r="A1379" s="833">
        <v>94</v>
      </c>
      <c r="B1379" t="s" s="834">
        <v>1300</v>
      </c>
      <c r="C1379" t="s" s="834">
        <v>617</v>
      </c>
      <c r="D1379" s="835">
        <v>46048</v>
      </c>
      <c r="E1379" t="s" s="834">
        <v>478</v>
      </c>
      <c r="F1379" t="s" s="834">
        <v>478</v>
      </c>
      <c r="G1379" s="570"/>
      <c r="H1379" s="570"/>
      <c r="I1379" s="570"/>
      <c r="J1379" s="570"/>
      <c r="K1379" s="570"/>
    </row>
    <row r="1380" ht="12.75" customHeight="1">
      <c r="A1380" s="833">
        <v>94</v>
      </c>
      <c r="B1380" t="s" s="834">
        <v>1300</v>
      </c>
      <c r="C1380" t="s" s="834">
        <v>617</v>
      </c>
      <c r="D1380" s="835">
        <v>46049</v>
      </c>
      <c r="E1380" t="s" s="834">
        <v>478</v>
      </c>
      <c r="F1380" t="s" s="834">
        <v>478</v>
      </c>
      <c r="G1380" s="570"/>
      <c r="H1380" s="570"/>
      <c r="I1380" s="570"/>
      <c r="J1380" s="570"/>
      <c r="K1380" s="570"/>
    </row>
    <row r="1381" ht="12.75" customHeight="1">
      <c r="A1381" s="833">
        <v>94</v>
      </c>
      <c r="B1381" t="s" s="834">
        <v>1300</v>
      </c>
      <c r="C1381" t="s" s="834">
        <v>617</v>
      </c>
      <c r="D1381" s="835">
        <v>46050</v>
      </c>
      <c r="E1381" t="s" s="834">
        <v>478</v>
      </c>
      <c r="F1381" t="s" s="834">
        <v>478</v>
      </c>
      <c r="G1381" s="570"/>
      <c r="H1381" s="570"/>
      <c r="I1381" s="570"/>
      <c r="J1381" s="570"/>
      <c r="K1381" s="570"/>
    </row>
    <row r="1382" ht="12.75" customHeight="1">
      <c r="A1382" s="833">
        <v>94</v>
      </c>
      <c r="B1382" t="s" s="834">
        <v>1300</v>
      </c>
      <c r="C1382" t="s" s="834">
        <v>617</v>
      </c>
      <c r="D1382" s="835">
        <v>46051</v>
      </c>
      <c r="E1382" t="s" s="834">
        <v>478</v>
      </c>
      <c r="F1382" t="s" s="834">
        <v>478</v>
      </c>
      <c r="G1382" s="570"/>
      <c r="H1382" s="570"/>
      <c r="I1382" s="570"/>
      <c r="J1382" s="570"/>
      <c r="K1382" s="570"/>
    </row>
    <row r="1383" ht="12.75" customHeight="1">
      <c r="A1383" s="833">
        <v>94</v>
      </c>
      <c r="B1383" t="s" s="834">
        <v>1300</v>
      </c>
      <c r="C1383" t="s" s="834">
        <v>617</v>
      </c>
      <c r="D1383" s="835">
        <v>46052</v>
      </c>
      <c r="E1383" t="s" s="834">
        <v>478</v>
      </c>
      <c r="F1383" t="s" s="834">
        <v>478</v>
      </c>
      <c r="G1383" s="570"/>
      <c r="H1383" s="570"/>
      <c r="I1383" s="570"/>
      <c r="J1383" s="570"/>
      <c r="K1383" s="570"/>
    </row>
    <row r="1384" ht="12.75" customHeight="1">
      <c r="A1384" s="833">
        <v>94</v>
      </c>
      <c r="B1384" t="s" s="834">
        <v>1300</v>
      </c>
      <c r="C1384" t="s" s="834">
        <v>617</v>
      </c>
      <c r="D1384" s="835">
        <v>46053</v>
      </c>
      <c r="E1384" t="s" s="834">
        <v>478</v>
      </c>
      <c r="F1384" t="s" s="834">
        <v>478</v>
      </c>
      <c r="G1384" s="570"/>
      <c r="H1384" s="570"/>
      <c r="I1384" s="570"/>
      <c r="J1384" s="570"/>
      <c r="K1384" s="570"/>
    </row>
    <row r="1385" ht="12.75" customHeight="1">
      <c r="A1385" s="833">
        <v>94</v>
      </c>
      <c r="B1385" t="s" s="834">
        <v>1300</v>
      </c>
      <c r="C1385" t="s" s="834">
        <v>617</v>
      </c>
      <c r="D1385" s="835">
        <v>46054</v>
      </c>
      <c r="E1385" t="s" s="834">
        <v>478</v>
      </c>
      <c r="F1385" t="s" s="834">
        <v>478</v>
      </c>
      <c r="G1385" s="570"/>
      <c r="H1385" s="570"/>
      <c r="I1385" s="570"/>
      <c r="J1385" s="570"/>
      <c r="K1385" s="570"/>
    </row>
    <row r="1386" ht="12.75" customHeight="1">
      <c r="A1386" s="833">
        <v>103</v>
      </c>
      <c r="B1386" t="s" s="834">
        <v>1301</v>
      </c>
      <c r="C1386" t="s" s="834">
        <v>617</v>
      </c>
      <c r="D1386" s="835">
        <v>46023</v>
      </c>
      <c r="E1386" t="s" s="834">
        <v>478</v>
      </c>
      <c r="F1386" t="s" s="834">
        <v>478</v>
      </c>
      <c r="G1386" s="570"/>
      <c r="H1386" s="570"/>
      <c r="I1386" s="570"/>
      <c r="J1386" s="570"/>
      <c r="K1386" s="570"/>
    </row>
    <row r="1387" ht="12.75" customHeight="1">
      <c r="A1387" s="833">
        <v>103</v>
      </c>
      <c r="B1387" t="s" s="834">
        <v>1301</v>
      </c>
      <c r="C1387" t="s" s="834">
        <v>617</v>
      </c>
      <c r="D1387" s="835">
        <v>46024</v>
      </c>
      <c r="E1387" t="s" s="834">
        <v>478</v>
      </c>
      <c r="F1387" t="s" s="834">
        <v>478</v>
      </c>
      <c r="G1387" s="570"/>
      <c r="H1387" s="570"/>
      <c r="I1387" s="570"/>
      <c r="J1387" s="570"/>
      <c r="K1387" s="570"/>
    </row>
    <row r="1388" ht="12.75" customHeight="1">
      <c r="A1388" s="833">
        <v>103</v>
      </c>
      <c r="B1388" t="s" s="834">
        <v>1301</v>
      </c>
      <c r="C1388" t="s" s="834">
        <v>617</v>
      </c>
      <c r="D1388" s="835">
        <v>46025</v>
      </c>
      <c r="E1388" t="s" s="834">
        <v>478</v>
      </c>
      <c r="F1388" t="s" s="834">
        <v>478</v>
      </c>
      <c r="G1388" s="570"/>
      <c r="H1388" s="570"/>
      <c r="I1388" s="570"/>
      <c r="J1388" s="570"/>
      <c r="K1388" s="570"/>
    </row>
    <row r="1389" ht="12.75" customHeight="1">
      <c r="A1389" s="833">
        <v>103</v>
      </c>
      <c r="B1389" t="s" s="834">
        <v>1301</v>
      </c>
      <c r="C1389" t="s" s="834">
        <v>617</v>
      </c>
      <c r="D1389" s="835">
        <v>46026</v>
      </c>
      <c r="E1389" t="s" s="834">
        <v>478</v>
      </c>
      <c r="F1389" t="s" s="834">
        <v>478</v>
      </c>
      <c r="G1389" s="570"/>
      <c r="H1389" s="570"/>
      <c r="I1389" s="570"/>
      <c r="J1389" s="570"/>
      <c r="K1389" s="570"/>
    </row>
    <row r="1390" ht="12.75" customHeight="1">
      <c r="A1390" s="833">
        <v>103</v>
      </c>
      <c r="B1390" t="s" s="834">
        <v>1301</v>
      </c>
      <c r="C1390" t="s" s="834">
        <v>617</v>
      </c>
      <c r="D1390" s="835">
        <v>46027</v>
      </c>
      <c r="E1390" t="s" s="834">
        <v>478</v>
      </c>
      <c r="F1390" t="s" s="834">
        <v>478</v>
      </c>
      <c r="G1390" s="570"/>
      <c r="H1390" s="570"/>
      <c r="I1390" s="570"/>
      <c r="J1390" s="570"/>
      <c r="K1390" s="570"/>
    </row>
    <row r="1391" ht="12.75" customHeight="1">
      <c r="A1391" s="833">
        <v>103</v>
      </c>
      <c r="B1391" t="s" s="834">
        <v>1301</v>
      </c>
      <c r="C1391" t="s" s="834">
        <v>617</v>
      </c>
      <c r="D1391" s="835">
        <v>46028</v>
      </c>
      <c r="E1391" t="s" s="834">
        <v>478</v>
      </c>
      <c r="F1391" t="s" s="834">
        <v>478</v>
      </c>
      <c r="G1391" s="570"/>
      <c r="H1391" s="570"/>
      <c r="I1391" s="570"/>
      <c r="J1391" s="570"/>
      <c r="K1391" s="570"/>
    </row>
    <row r="1392" ht="12.75" customHeight="1">
      <c r="A1392" s="833">
        <v>103</v>
      </c>
      <c r="B1392" t="s" s="834">
        <v>1301</v>
      </c>
      <c r="C1392" t="s" s="834">
        <v>617</v>
      </c>
      <c r="D1392" s="835">
        <v>46029</v>
      </c>
      <c r="E1392" t="s" s="834">
        <v>478</v>
      </c>
      <c r="F1392" t="s" s="834">
        <v>478</v>
      </c>
      <c r="G1392" s="570"/>
      <c r="H1392" s="570"/>
      <c r="I1392" s="570"/>
      <c r="J1392" s="570"/>
      <c r="K1392" s="570"/>
    </row>
    <row r="1393" ht="12.75" customHeight="1">
      <c r="A1393" s="833">
        <v>103</v>
      </c>
      <c r="B1393" t="s" s="834">
        <v>1301</v>
      </c>
      <c r="C1393" t="s" s="834">
        <v>617</v>
      </c>
      <c r="D1393" s="835">
        <v>46030</v>
      </c>
      <c r="E1393" t="s" s="834">
        <v>478</v>
      </c>
      <c r="F1393" t="s" s="834">
        <v>478</v>
      </c>
      <c r="G1393" s="570"/>
      <c r="H1393" s="570"/>
      <c r="I1393" s="570"/>
      <c r="J1393" s="570"/>
      <c r="K1393" s="570"/>
    </row>
    <row r="1394" ht="12.75" customHeight="1">
      <c r="A1394" s="833">
        <v>103</v>
      </c>
      <c r="B1394" t="s" s="834">
        <v>1301</v>
      </c>
      <c r="C1394" t="s" s="834">
        <v>617</v>
      </c>
      <c r="D1394" s="835">
        <v>46031</v>
      </c>
      <c r="E1394" t="s" s="834">
        <v>478</v>
      </c>
      <c r="F1394" t="s" s="834">
        <v>478</v>
      </c>
      <c r="G1394" s="570"/>
      <c r="H1394" s="570"/>
      <c r="I1394" s="570"/>
      <c r="J1394" s="570"/>
      <c r="K1394" s="570"/>
    </row>
    <row r="1395" ht="12.75" customHeight="1">
      <c r="A1395" s="833">
        <v>103</v>
      </c>
      <c r="B1395" t="s" s="834">
        <v>1301</v>
      </c>
      <c r="C1395" t="s" s="834">
        <v>617</v>
      </c>
      <c r="D1395" s="835">
        <v>46032</v>
      </c>
      <c r="E1395" t="s" s="834">
        <v>478</v>
      </c>
      <c r="F1395" t="s" s="834">
        <v>478</v>
      </c>
      <c r="G1395" s="570"/>
      <c r="H1395" s="570"/>
      <c r="I1395" s="570"/>
      <c r="J1395" s="570"/>
      <c r="K1395" s="570"/>
    </row>
    <row r="1396" ht="12.75" customHeight="1">
      <c r="A1396" s="833">
        <v>103</v>
      </c>
      <c r="B1396" t="s" s="834">
        <v>1301</v>
      </c>
      <c r="C1396" t="s" s="834">
        <v>617</v>
      </c>
      <c r="D1396" s="835">
        <v>46033</v>
      </c>
      <c r="E1396" t="s" s="834">
        <v>478</v>
      </c>
      <c r="F1396" t="s" s="834">
        <v>478</v>
      </c>
      <c r="G1396" s="570"/>
      <c r="H1396" s="570"/>
      <c r="I1396" s="570"/>
      <c r="J1396" s="570"/>
      <c r="K1396" s="570"/>
    </row>
    <row r="1397" ht="12.75" customHeight="1">
      <c r="A1397" s="833">
        <v>103</v>
      </c>
      <c r="B1397" t="s" s="834">
        <v>1301</v>
      </c>
      <c r="C1397" t="s" s="834">
        <v>617</v>
      </c>
      <c r="D1397" s="835">
        <v>46034</v>
      </c>
      <c r="E1397" t="s" s="834">
        <v>478</v>
      </c>
      <c r="F1397" t="s" s="834">
        <v>478</v>
      </c>
      <c r="G1397" s="570"/>
      <c r="H1397" s="570"/>
      <c r="I1397" s="570"/>
      <c r="J1397" s="570"/>
      <c r="K1397" s="570"/>
    </row>
    <row r="1398" ht="12.75" customHeight="1">
      <c r="A1398" s="833">
        <v>103</v>
      </c>
      <c r="B1398" t="s" s="834">
        <v>1301</v>
      </c>
      <c r="C1398" t="s" s="834">
        <v>617</v>
      </c>
      <c r="D1398" s="835">
        <v>46035</v>
      </c>
      <c r="E1398" t="s" s="834">
        <v>478</v>
      </c>
      <c r="F1398" t="s" s="834">
        <v>478</v>
      </c>
      <c r="G1398" s="570"/>
      <c r="H1398" s="570"/>
      <c r="I1398" s="570"/>
      <c r="J1398" s="570"/>
      <c r="K1398" s="570"/>
    </row>
    <row r="1399" ht="12.75" customHeight="1">
      <c r="A1399" s="833">
        <v>103</v>
      </c>
      <c r="B1399" t="s" s="834">
        <v>1301</v>
      </c>
      <c r="C1399" t="s" s="834">
        <v>617</v>
      </c>
      <c r="D1399" s="835">
        <v>46036</v>
      </c>
      <c r="E1399" t="s" s="834">
        <v>478</v>
      </c>
      <c r="F1399" t="s" s="834">
        <v>478</v>
      </c>
      <c r="G1399" s="570"/>
      <c r="H1399" s="570"/>
      <c r="I1399" s="570"/>
      <c r="J1399" s="570"/>
      <c r="K1399" s="570"/>
    </row>
    <row r="1400" ht="12.75" customHeight="1">
      <c r="A1400" s="833">
        <v>103</v>
      </c>
      <c r="B1400" t="s" s="834">
        <v>1301</v>
      </c>
      <c r="C1400" t="s" s="834">
        <v>617</v>
      </c>
      <c r="D1400" s="835">
        <v>46037</v>
      </c>
      <c r="E1400" t="s" s="834">
        <v>478</v>
      </c>
      <c r="F1400" t="s" s="834">
        <v>478</v>
      </c>
      <c r="G1400" s="570"/>
      <c r="H1400" s="570"/>
      <c r="I1400" s="570"/>
      <c r="J1400" s="570"/>
      <c r="K1400" s="570"/>
    </row>
    <row r="1401" ht="12.75" customHeight="1">
      <c r="A1401" s="833">
        <v>103</v>
      </c>
      <c r="B1401" t="s" s="834">
        <v>1301</v>
      </c>
      <c r="C1401" t="s" s="834">
        <v>617</v>
      </c>
      <c r="D1401" s="835">
        <v>46038</v>
      </c>
      <c r="E1401" t="s" s="834">
        <v>478</v>
      </c>
      <c r="F1401" t="s" s="834">
        <v>478</v>
      </c>
      <c r="G1401" s="570"/>
      <c r="H1401" s="570"/>
      <c r="I1401" s="570"/>
      <c r="J1401" s="570"/>
      <c r="K1401" s="570"/>
    </row>
    <row r="1402" ht="12.75" customHeight="1">
      <c r="A1402" s="833">
        <v>103</v>
      </c>
      <c r="B1402" t="s" s="834">
        <v>1301</v>
      </c>
      <c r="C1402" t="s" s="834">
        <v>617</v>
      </c>
      <c r="D1402" s="835">
        <v>46039</v>
      </c>
      <c r="E1402" t="s" s="834">
        <v>478</v>
      </c>
      <c r="F1402" t="s" s="834">
        <v>478</v>
      </c>
      <c r="G1402" s="570"/>
      <c r="H1402" s="570"/>
      <c r="I1402" s="570"/>
      <c r="J1402" s="570"/>
      <c r="K1402" s="570"/>
    </row>
    <row r="1403" ht="12.75" customHeight="1">
      <c r="A1403" s="833">
        <v>103</v>
      </c>
      <c r="B1403" t="s" s="834">
        <v>1301</v>
      </c>
      <c r="C1403" t="s" s="834">
        <v>617</v>
      </c>
      <c r="D1403" s="835">
        <v>46040</v>
      </c>
      <c r="E1403" t="s" s="834">
        <v>478</v>
      </c>
      <c r="F1403" t="s" s="834">
        <v>478</v>
      </c>
      <c r="G1403" s="570"/>
      <c r="H1403" s="570"/>
      <c r="I1403" s="570"/>
      <c r="J1403" s="570"/>
      <c r="K1403" s="570"/>
    </row>
    <row r="1404" ht="12.75" customHeight="1">
      <c r="A1404" s="833">
        <v>103</v>
      </c>
      <c r="B1404" t="s" s="834">
        <v>1301</v>
      </c>
      <c r="C1404" t="s" s="834">
        <v>617</v>
      </c>
      <c r="D1404" s="835">
        <v>46041</v>
      </c>
      <c r="E1404" t="s" s="834">
        <v>478</v>
      </c>
      <c r="F1404" t="s" s="834">
        <v>478</v>
      </c>
      <c r="G1404" s="570"/>
      <c r="H1404" s="570"/>
      <c r="I1404" s="570"/>
      <c r="J1404" s="570"/>
      <c r="K1404" s="570"/>
    </row>
    <row r="1405" ht="12.75" customHeight="1">
      <c r="A1405" s="833">
        <v>103</v>
      </c>
      <c r="B1405" t="s" s="834">
        <v>1301</v>
      </c>
      <c r="C1405" t="s" s="834">
        <v>617</v>
      </c>
      <c r="D1405" s="835">
        <v>46042</v>
      </c>
      <c r="E1405" t="s" s="834">
        <v>478</v>
      </c>
      <c r="F1405" t="s" s="834">
        <v>478</v>
      </c>
      <c r="G1405" s="570"/>
      <c r="H1405" s="570"/>
      <c r="I1405" s="570"/>
      <c r="J1405" s="570"/>
      <c r="K1405" s="570"/>
    </row>
    <row r="1406" ht="12.75" customHeight="1">
      <c r="A1406" s="833">
        <v>103</v>
      </c>
      <c r="B1406" t="s" s="834">
        <v>1301</v>
      </c>
      <c r="C1406" t="s" s="834">
        <v>617</v>
      </c>
      <c r="D1406" s="835">
        <v>46043</v>
      </c>
      <c r="E1406" t="s" s="834">
        <v>478</v>
      </c>
      <c r="F1406" t="s" s="834">
        <v>478</v>
      </c>
      <c r="G1406" s="570"/>
      <c r="H1406" s="570"/>
      <c r="I1406" s="570"/>
      <c r="J1406" s="570"/>
      <c r="K1406" s="570"/>
    </row>
    <row r="1407" ht="12.75" customHeight="1">
      <c r="A1407" s="833">
        <v>103</v>
      </c>
      <c r="B1407" t="s" s="834">
        <v>1301</v>
      </c>
      <c r="C1407" t="s" s="834">
        <v>617</v>
      </c>
      <c r="D1407" s="835">
        <v>46044</v>
      </c>
      <c r="E1407" t="s" s="834">
        <v>478</v>
      </c>
      <c r="F1407" t="s" s="834">
        <v>478</v>
      </c>
      <c r="G1407" s="570"/>
      <c r="H1407" s="570"/>
      <c r="I1407" s="570"/>
      <c r="J1407" s="570"/>
      <c r="K1407" s="570"/>
    </row>
    <row r="1408" ht="12.75" customHeight="1">
      <c r="A1408" s="833">
        <v>103</v>
      </c>
      <c r="B1408" t="s" s="834">
        <v>1301</v>
      </c>
      <c r="C1408" t="s" s="834">
        <v>617</v>
      </c>
      <c r="D1408" s="835">
        <v>46045</v>
      </c>
      <c r="E1408" t="s" s="834">
        <v>478</v>
      </c>
      <c r="F1408" t="s" s="834">
        <v>478</v>
      </c>
      <c r="G1408" s="570"/>
      <c r="H1408" s="570"/>
      <c r="I1408" s="570"/>
      <c r="J1408" s="570"/>
      <c r="K1408" s="570"/>
    </row>
    <row r="1409" ht="12.75" customHeight="1">
      <c r="A1409" s="833">
        <v>103</v>
      </c>
      <c r="B1409" t="s" s="834">
        <v>1301</v>
      </c>
      <c r="C1409" t="s" s="834">
        <v>617</v>
      </c>
      <c r="D1409" s="835">
        <v>46046</v>
      </c>
      <c r="E1409" t="s" s="834">
        <v>478</v>
      </c>
      <c r="F1409" t="s" s="834">
        <v>478</v>
      </c>
      <c r="G1409" s="570"/>
      <c r="H1409" s="570"/>
      <c r="I1409" s="570"/>
      <c r="J1409" s="570"/>
      <c r="K1409" s="570"/>
    </row>
    <row r="1410" ht="12.75" customHeight="1">
      <c r="A1410" s="833">
        <v>103</v>
      </c>
      <c r="B1410" t="s" s="834">
        <v>1301</v>
      </c>
      <c r="C1410" t="s" s="834">
        <v>617</v>
      </c>
      <c r="D1410" s="835">
        <v>46047</v>
      </c>
      <c r="E1410" t="s" s="834">
        <v>478</v>
      </c>
      <c r="F1410" t="s" s="834">
        <v>478</v>
      </c>
      <c r="G1410" s="570"/>
      <c r="H1410" s="570"/>
      <c r="I1410" s="570"/>
      <c r="J1410" s="570"/>
      <c r="K1410" s="570"/>
    </row>
    <row r="1411" ht="13.75" customHeight="1">
      <c r="A1411" s="833">
        <v>103</v>
      </c>
      <c r="B1411" t="s" s="834">
        <v>1301</v>
      </c>
      <c r="C1411" t="s" s="834">
        <v>617</v>
      </c>
      <c r="D1411" s="835">
        <v>46048</v>
      </c>
      <c r="E1411" t="s" s="834">
        <v>478</v>
      </c>
      <c r="F1411" t="s" s="834">
        <v>478</v>
      </c>
      <c r="G1411" s="570"/>
      <c r="H1411" s="570"/>
      <c r="I1411" s="570"/>
      <c r="J1411" s="570"/>
      <c r="K1411" s="570"/>
    </row>
    <row r="1412" ht="13.75" customHeight="1">
      <c r="A1412" s="833">
        <v>103</v>
      </c>
      <c r="B1412" t="s" s="834">
        <v>1301</v>
      </c>
      <c r="C1412" t="s" s="834">
        <v>617</v>
      </c>
      <c r="D1412" s="835">
        <v>46049</v>
      </c>
      <c r="E1412" t="s" s="834">
        <v>478</v>
      </c>
      <c r="F1412" t="s" s="834">
        <v>478</v>
      </c>
      <c r="G1412" s="570"/>
      <c r="H1412" s="570"/>
      <c r="I1412" s="570"/>
      <c r="J1412" s="570"/>
      <c r="K1412" s="570"/>
    </row>
    <row r="1413" ht="13.75" customHeight="1">
      <c r="A1413" s="833">
        <v>103</v>
      </c>
      <c r="B1413" t="s" s="834">
        <v>1301</v>
      </c>
      <c r="C1413" t="s" s="834">
        <v>617</v>
      </c>
      <c r="D1413" s="835">
        <v>46050</v>
      </c>
      <c r="E1413" t="s" s="834">
        <v>478</v>
      </c>
      <c r="F1413" t="s" s="834">
        <v>478</v>
      </c>
      <c r="G1413" s="570"/>
      <c r="H1413" s="570"/>
      <c r="I1413" s="570"/>
      <c r="J1413" s="570"/>
      <c r="K1413" s="570"/>
    </row>
    <row r="1414" ht="13.75" customHeight="1">
      <c r="A1414" s="833">
        <v>103</v>
      </c>
      <c r="B1414" t="s" s="834">
        <v>1301</v>
      </c>
      <c r="C1414" t="s" s="834">
        <v>617</v>
      </c>
      <c r="D1414" s="835">
        <v>46051</v>
      </c>
      <c r="E1414" t="s" s="834">
        <v>478</v>
      </c>
      <c r="F1414" t="s" s="834">
        <v>478</v>
      </c>
      <c r="G1414" s="570"/>
      <c r="H1414" s="570"/>
      <c r="I1414" s="570"/>
      <c r="J1414" s="570"/>
      <c r="K1414" s="570"/>
    </row>
    <row r="1415" ht="13.75" customHeight="1">
      <c r="A1415" s="833">
        <v>103</v>
      </c>
      <c r="B1415" t="s" s="834">
        <v>1301</v>
      </c>
      <c r="C1415" t="s" s="834">
        <v>617</v>
      </c>
      <c r="D1415" s="835">
        <v>46052</v>
      </c>
      <c r="E1415" t="s" s="834">
        <v>478</v>
      </c>
      <c r="F1415" t="s" s="834">
        <v>478</v>
      </c>
      <c r="G1415" s="570"/>
      <c r="H1415" s="570"/>
      <c r="I1415" s="570"/>
      <c r="J1415" s="570"/>
      <c r="K1415" s="570"/>
    </row>
    <row r="1416" ht="13.75" customHeight="1">
      <c r="A1416" s="833">
        <v>103</v>
      </c>
      <c r="B1416" t="s" s="834">
        <v>1301</v>
      </c>
      <c r="C1416" t="s" s="834">
        <v>617</v>
      </c>
      <c r="D1416" s="835">
        <v>46053</v>
      </c>
      <c r="E1416" t="s" s="834">
        <v>478</v>
      </c>
      <c r="F1416" t="s" s="834">
        <v>478</v>
      </c>
      <c r="G1416" s="570"/>
      <c r="H1416" s="570"/>
      <c r="I1416" s="570"/>
      <c r="J1416" s="570"/>
      <c r="K1416" s="570"/>
    </row>
    <row r="1417" ht="13.75" customHeight="1">
      <c r="A1417" s="833">
        <v>103</v>
      </c>
      <c r="B1417" t="s" s="834">
        <v>1301</v>
      </c>
      <c r="C1417" t="s" s="834">
        <v>617</v>
      </c>
      <c r="D1417" s="835">
        <v>46054</v>
      </c>
      <c r="E1417" t="s" s="834">
        <v>478</v>
      </c>
      <c r="F1417" t="s" s="834">
        <v>478</v>
      </c>
      <c r="G1417" s="570"/>
      <c r="H1417" s="570"/>
      <c r="I1417" s="570"/>
      <c r="J1417" s="570"/>
      <c r="K1417" s="570"/>
    </row>
    <row r="1418" ht="13.75" customHeight="1">
      <c r="A1418" s="833">
        <v>104</v>
      </c>
      <c r="B1418" t="s" s="834">
        <v>1302</v>
      </c>
      <c r="C1418" t="s" s="834">
        <v>477</v>
      </c>
      <c r="D1418" s="835">
        <v>46023</v>
      </c>
      <c r="E1418" t="s" s="834">
        <v>478</v>
      </c>
      <c r="F1418" t="s" s="834">
        <v>478</v>
      </c>
      <c r="G1418" s="570"/>
      <c r="H1418" s="570"/>
      <c r="I1418" s="570"/>
      <c r="J1418" s="570"/>
      <c r="K1418" s="570"/>
    </row>
    <row r="1419" ht="13.75" customHeight="1">
      <c r="A1419" s="833">
        <v>104</v>
      </c>
      <c r="B1419" t="s" s="834">
        <v>1302</v>
      </c>
      <c r="C1419" t="s" s="834">
        <v>477</v>
      </c>
      <c r="D1419" s="835">
        <v>46024</v>
      </c>
      <c r="E1419" t="s" s="834">
        <v>478</v>
      </c>
      <c r="F1419" t="s" s="834">
        <v>478</v>
      </c>
      <c r="G1419" s="570"/>
      <c r="H1419" s="570"/>
      <c r="I1419" s="570"/>
      <c r="J1419" s="570"/>
      <c r="K1419" s="570"/>
    </row>
    <row r="1420" ht="13.75" customHeight="1">
      <c r="A1420" s="833">
        <v>104</v>
      </c>
      <c r="B1420" t="s" s="834">
        <v>1302</v>
      </c>
      <c r="C1420" t="s" s="834">
        <v>477</v>
      </c>
      <c r="D1420" s="835">
        <v>46025</v>
      </c>
      <c r="E1420" t="s" s="834">
        <v>478</v>
      </c>
      <c r="F1420" t="s" s="834">
        <v>478</v>
      </c>
      <c r="G1420" s="570"/>
      <c r="H1420" s="570"/>
      <c r="I1420" s="570"/>
      <c r="J1420" s="570"/>
      <c r="K1420" s="570"/>
    </row>
    <row r="1421" ht="13.75" customHeight="1">
      <c r="A1421" s="833">
        <v>104</v>
      </c>
      <c r="B1421" t="s" s="834">
        <v>1302</v>
      </c>
      <c r="C1421" t="s" s="834">
        <v>477</v>
      </c>
      <c r="D1421" s="835">
        <v>46026</v>
      </c>
      <c r="E1421" t="s" s="834">
        <v>478</v>
      </c>
      <c r="F1421" t="s" s="834">
        <v>478</v>
      </c>
      <c r="G1421" s="570"/>
      <c r="H1421" s="570"/>
      <c r="I1421" s="570"/>
      <c r="J1421" s="570"/>
      <c r="K1421" s="570"/>
    </row>
    <row r="1422" ht="13.75" customHeight="1">
      <c r="A1422" s="833">
        <v>104</v>
      </c>
      <c r="B1422" t="s" s="834">
        <v>1302</v>
      </c>
      <c r="C1422" t="s" s="834">
        <v>477</v>
      </c>
      <c r="D1422" s="835">
        <v>46027</v>
      </c>
      <c r="E1422" t="s" s="834">
        <v>478</v>
      </c>
      <c r="F1422" t="s" s="834">
        <v>478</v>
      </c>
      <c r="G1422" s="570"/>
      <c r="H1422" s="570"/>
      <c r="I1422" s="570"/>
      <c r="J1422" s="570"/>
      <c r="K1422" s="570"/>
    </row>
    <row r="1423" ht="13.75" customHeight="1">
      <c r="A1423" s="833">
        <v>104</v>
      </c>
      <c r="B1423" t="s" s="834">
        <v>1302</v>
      </c>
      <c r="C1423" t="s" s="834">
        <v>477</v>
      </c>
      <c r="D1423" s="835">
        <v>46028</v>
      </c>
      <c r="E1423" t="s" s="834">
        <v>478</v>
      </c>
      <c r="F1423" t="s" s="834">
        <v>478</v>
      </c>
      <c r="G1423" s="570"/>
      <c r="H1423" s="570"/>
      <c r="I1423" s="570"/>
      <c r="J1423" s="570"/>
      <c r="K1423" s="570"/>
    </row>
    <row r="1424" ht="13.75" customHeight="1">
      <c r="A1424" s="833">
        <v>104</v>
      </c>
      <c r="B1424" t="s" s="834">
        <v>1302</v>
      </c>
      <c r="C1424" t="s" s="834">
        <v>477</v>
      </c>
      <c r="D1424" s="835">
        <v>46029</v>
      </c>
      <c r="E1424" t="s" s="834">
        <v>478</v>
      </c>
      <c r="F1424" t="s" s="834">
        <v>478</v>
      </c>
      <c r="G1424" s="570"/>
      <c r="H1424" s="570"/>
      <c r="I1424" s="570"/>
      <c r="J1424" s="570"/>
      <c r="K1424" s="570"/>
    </row>
    <row r="1425" ht="13.75" customHeight="1">
      <c r="A1425" s="833">
        <v>104</v>
      </c>
      <c r="B1425" t="s" s="834">
        <v>1302</v>
      </c>
      <c r="C1425" t="s" s="834">
        <v>477</v>
      </c>
      <c r="D1425" s="835">
        <v>46030</v>
      </c>
      <c r="E1425" t="s" s="834">
        <v>478</v>
      </c>
      <c r="F1425" t="s" s="834">
        <v>478</v>
      </c>
      <c r="G1425" s="570"/>
      <c r="H1425" s="570"/>
      <c r="I1425" s="570"/>
      <c r="J1425" s="570"/>
      <c r="K1425" s="570"/>
    </row>
    <row r="1426" ht="13.75" customHeight="1">
      <c r="A1426" s="833">
        <v>104</v>
      </c>
      <c r="B1426" t="s" s="834">
        <v>1302</v>
      </c>
      <c r="C1426" t="s" s="834">
        <v>477</v>
      </c>
      <c r="D1426" s="835">
        <v>46031</v>
      </c>
      <c r="E1426" t="s" s="834">
        <v>478</v>
      </c>
      <c r="F1426" t="s" s="834">
        <v>478</v>
      </c>
      <c r="G1426" s="570"/>
      <c r="H1426" s="570"/>
      <c r="I1426" s="570"/>
      <c r="J1426" s="570"/>
      <c r="K1426" s="570"/>
    </row>
    <row r="1427" ht="13.75" customHeight="1">
      <c r="A1427" s="833">
        <v>104</v>
      </c>
      <c r="B1427" t="s" s="834">
        <v>1302</v>
      </c>
      <c r="C1427" t="s" s="834">
        <v>477</v>
      </c>
      <c r="D1427" s="835">
        <v>46032</v>
      </c>
      <c r="E1427" t="s" s="834">
        <v>478</v>
      </c>
      <c r="F1427" t="s" s="834">
        <v>478</v>
      </c>
      <c r="G1427" s="570"/>
      <c r="H1427" s="570"/>
      <c r="I1427" s="570"/>
      <c r="J1427" s="570"/>
      <c r="K1427" s="570"/>
    </row>
    <row r="1428" ht="13.75" customHeight="1">
      <c r="A1428" s="833">
        <v>104</v>
      </c>
      <c r="B1428" t="s" s="834">
        <v>1302</v>
      </c>
      <c r="C1428" t="s" s="834">
        <v>477</v>
      </c>
      <c r="D1428" s="835">
        <v>46033</v>
      </c>
      <c r="E1428" t="s" s="834">
        <v>478</v>
      </c>
      <c r="F1428" t="s" s="834">
        <v>478</v>
      </c>
      <c r="G1428" s="570"/>
      <c r="H1428" s="570"/>
      <c r="I1428" s="570"/>
      <c r="J1428" s="570"/>
      <c r="K1428" s="570"/>
    </row>
    <row r="1429" ht="13.75" customHeight="1">
      <c r="A1429" s="833">
        <v>104</v>
      </c>
      <c r="B1429" t="s" s="834">
        <v>1302</v>
      </c>
      <c r="C1429" t="s" s="834">
        <v>477</v>
      </c>
      <c r="D1429" s="835">
        <v>46034</v>
      </c>
      <c r="E1429" t="s" s="834">
        <v>478</v>
      </c>
      <c r="F1429" t="s" s="834">
        <v>478</v>
      </c>
      <c r="G1429" s="570"/>
      <c r="H1429" s="570"/>
      <c r="I1429" s="570"/>
      <c r="J1429" s="570"/>
      <c r="K1429" s="570"/>
    </row>
    <row r="1430" ht="13.75" customHeight="1">
      <c r="A1430" s="833">
        <v>104</v>
      </c>
      <c r="B1430" t="s" s="834">
        <v>1302</v>
      </c>
      <c r="C1430" t="s" s="834">
        <v>477</v>
      </c>
      <c r="D1430" s="835">
        <v>46035</v>
      </c>
      <c r="E1430" t="s" s="834">
        <v>478</v>
      </c>
      <c r="F1430" t="s" s="834">
        <v>478</v>
      </c>
      <c r="G1430" s="570"/>
      <c r="H1430" s="570"/>
      <c r="I1430" s="570"/>
      <c r="J1430" s="570"/>
      <c r="K1430" s="570"/>
    </row>
    <row r="1431" ht="13.75" customHeight="1">
      <c r="A1431" s="833">
        <v>104</v>
      </c>
      <c r="B1431" t="s" s="834">
        <v>1302</v>
      </c>
      <c r="C1431" t="s" s="834">
        <v>477</v>
      </c>
      <c r="D1431" s="835">
        <v>46036</v>
      </c>
      <c r="E1431" t="s" s="834">
        <v>478</v>
      </c>
      <c r="F1431" t="s" s="834">
        <v>478</v>
      </c>
      <c r="G1431" s="570"/>
      <c r="H1431" s="570"/>
      <c r="I1431" s="570"/>
      <c r="J1431" s="570"/>
      <c r="K1431" s="570"/>
    </row>
    <row r="1432" ht="13.75" customHeight="1">
      <c r="A1432" s="833">
        <v>104</v>
      </c>
      <c r="B1432" t="s" s="834">
        <v>1302</v>
      </c>
      <c r="C1432" t="s" s="834">
        <v>477</v>
      </c>
      <c r="D1432" s="835">
        <v>46037</v>
      </c>
      <c r="E1432" t="s" s="834">
        <v>478</v>
      </c>
      <c r="F1432" t="s" s="834">
        <v>478</v>
      </c>
      <c r="G1432" s="570"/>
      <c r="H1432" s="570"/>
      <c r="I1432" s="570"/>
      <c r="J1432" s="570"/>
      <c r="K1432" s="570"/>
    </row>
    <row r="1433" ht="13.75" customHeight="1">
      <c r="A1433" s="833">
        <v>104</v>
      </c>
      <c r="B1433" t="s" s="834">
        <v>1302</v>
      </c>
      <c r="C1433" t="s" s="834">
        <v>477</v>
      </c>
      <c r="D1433" s="835">
        <v>46038</v>
      </c>
      <c r="E1433" t="s" s="834">
        <v>478</v>
      </c>
      <c r="F1433" t="s" s="834">
        <v>478</v>
      </c>
      <c r="G1433" s="570"/>
      <c r="H1433" s="570"/>
      <c r="I1433" s="570"/>
      <c r="J1433" s="570"/>
      <c r="K1433" s="570"/>
    </row>
    <row r="1434" ht="13.75" customHeight="1">
      <c r="A1434" s="833">
        <v>104</v>
      </c>
      <c r="B1434" t="s" s="834">
        <v>1302</v>
      </c>
      <c r="C1434" t="s" s="834">
        <v>477</v>
      </c>
      <c r="D1434" s="835">
        <v>46039</v>
      </c>
      <c r="E1434" t="s" s="834">
        <v>478</v>
      </c>
      <c r="F1434" t="s" s="834">
        <v>478</v>
      </c>
      <c r="G1434" s="570"/>
      <c r="H1434" s="570"/>
      <c r="I1434" s="570"/>
      <c r="J1434" s="570"/>
      <c r="K1434" s="570"/>
    </row>
    <row r="1435" ht="13.75" customHeight="1">
      <c r="A1435" s="833">
        <v>104</v>
      </c>
      <c r="B1435" t="s" s="834">
        <v>1302</v>
      </c>
      <c r="C1435" t="s" s="834">
        <v>477</v>
      </c>
      <c r="D1435" s="835">
        <v>46040</v>
      </c>
      <c r="E1435" t="s" s="834">
        <v>478</v>
      </c>
      <c r="F1435" t="s" s="834">
        <v>478</v>
      </c>
      <c r="G1435" s="570"/>
      <c r="H1435" s="570"/>
      <c r="I1435" s="570"/>
      <c r="J1435" s="570"/>
      <c r="K1435" s="570"/>
    </row>
    <row r="1436" ht="13.75" customHeight="1">
      <c r="A1436" s="833">
        <v>104</v>
      </c>
      <c r="B1436" t="s" s="834">
        <v>1302</v>
      </c>
      <c r="C1436" t="s" s="834">
        <v>477</v>
      </c>
      <c r="D1436" s="835">
        <v>46041</v>
      </c>
      <c r="E1436" t="s" s="834">
        <v>478</v>
      </c>
      <c r="F1436" t="s" s="834">
        <v>478</v>
      </c>
      <c r="G1436" s="570"/>
      <c r="H1436" s="570"/>
      <c r="I1436" s="570"/>
      <c r="J1436" s="570"/>
      <c r="K1436" s="570"/>
    </row>
    <row r="1437" ht="13.75" customHeight="1">
      <c r="A1437" s="833">
        <v>104</v>
      </c>
      <c r="B1437" t="s" s="834">
        <v>1302</v>
      </c>
      <c r="C1437" t="s" s="834">
        <v>477</v>
      </c>
      <c r="D1437" s="835">
        <v>46042</v>
      </c>
      <c r="E1437" t="s" s="834">
        <v>478</v>
      </c>
      <c r="F1437" t="s" s="834">
        <v>478</v>
      </c>
      <c r="G1437" s="570"/>
      <c r="H1437" s="570"/>
      <c r="I1437" s="570"/>
      <c r="J1437" s="570"/>
      <c r="K1437" s="570"/>
    </row>
    <row r="1438" ht="13.75" customHeight="1">
      <c r="A1438" s="833">
        <v>104</v>
      </c>
      <c r="B1438" t="s" s="834">
        <v>1302</v>
      </c>
      <c r="C1438" t="s" s="834">
        <v>477</v>
      </c>
      <c r="D1438" s="835">
        <v>46043</v>
      </c>
      <c r="E1438" t="s" s="834">
        <v>478</v>
      </c>
      <c r="F1438" t="s" s="834">
        <v>478</v>
      </c>
      <c r="G1438" s="570"/>
      <c r="H1438" s="570"/>
      <c r="I1438" s="570"/>
      <c r="J1438" s="570"/>
      <c r="K1438" s="570"/>
    </row>
    <row r="1439" ht="13.75" customHeight="1">
      <c r="A1439" s="833">
        <v>104</v>
      </c>
      <c r="B1439" t="s" s="834">
        <v>1302</v>
      </c>
      <c r="C1439" t="s" s="834">
        <v>477</v>
      </c>
      <c r="D1439" s="835">
        <v>46044</v>
      </c>
      <c r="E1439" t="s" s="834">
        <v>478</v>
      </c>
      <c r="F1439" t="s" s="834">
        <v>478</v>
      </c>
      <c r="G1439" s="570"/>
      <c r="H1439" s="570"/>
      <c r="I1439" s="570"/>
      <c r="J1439" s="570"/>
      <c r="K1439" s="570"/>
    </row>
    <row r="1440" ht="13.75" customHeight="1">
      <c r="A1440" s="833">
        <v>104</v>
      </c>
      <c r="B1440" t="s" s="834">
        <v>1302</v>
      </c>
      <c r="C1440" t="s" s="834">
        <v>477</v>
      </c>
      <c r="D1440" s="835">
        <v>46045</v>
      </c>
      <c r="E1440" t="s" s="834">
        <v>478</v>
      </c>
      <c r="F1440" t="s" s="834">
        <v>478</v>
      </c>
      <c r="G1440" s="570"/>
      <c r="H1440" s="570"/>
      <c r="I1440" s="570"/>
      <c r="J1440" s="570"/>
      <c r="K1440" s="570"/>
    </row>
    <row r="1441" ht="13.75" customHeight="1">
      <c r="A1441" s="833">
        <v>104</v>
      </c>
      <c r="B1441" t="s" s="834">
        <v>1302</v>
      </c>
      <c r="C1441" t="s" s="834">
        <v>477</v>
      </c>
      <c r="D1441" s="835">
        <v>46046</v>
      </c>
      <c r="E1441" t="s" s="834">
        <v>478</v>
      </c>
      <c r="F1441" t="s" s="834">
        <v>478</v>
      </c>
      <c r="G1441" s="570"/>
      <c r="H1441" s="570"/>
      <c r="I1441" s="570"/>
      <c r="J1441" s="570"/>
      <c r="K1441" s="570"/>
    </row>
    <row r="1442" ht="13.75" customHeight="1">
      <c r="A1442" s="833">
        <v>104</v>
      </c>
      <c r="B1442" t="s" s="834">
        <v>1302</v>
      </c>
      <c r="C1442" t="s" s="834">
        <v>477</v>
      </c>
      <c r="D1442" s="835">
        <v>46047</v>
      </c>
      <c r="E1442" t="s" s="834">
        <v>478</v>
      </c>
      <c r="F1442" t="s" s="834">
        <v>478</v>
      </c>
      <c r="G1442" s="570"/>
      <c r="H1442" s="570"/>
      <c r="I1442" s="570"/>
      <c r="J1442" s="570"/>
      <c r="K1442" s="570"/>
    </row>
    <row r="1443" ht="13.75" customHeight="1">
      <c r="A1443" s="833">
        <v>104</v>
      </c>
      <c r="B1443" t="s" s="834">
        <v>1302</v>
      </c>
      <c r="C1443" t="s" s="834">
        <v>477</v>
      </c>
      <c r="D1443" s="835">
        <v>46048</v>
      </c>
      <c r="E1443" t="s" s="834">
        <v>478</v>
      </c>
      <c r="F1443" t="s" s="834">
        <v>478</v>
      </c>
      <c r="G1443" s="570"/>
      <c r="H1443" s="570"/>
      <c r="I1443" s="570"/>
      <c r="J1443" s="570"/>
      <c r="K1443" s="570"/>
    </row>
    <row r="1444" ht="13.75" customHeight="1">
      <c r="A1444" s="833">
        <v>104</v>
      </c>
      <c r="B1444" t="s" s="834">
        <v>1302</v>
      </c>
      <c r="C1444" t="s" s="834">
        <v>477</v>
      </c>
      <c r="D1444" s="835">
        <v>46049</v>
      </c>
      <c r="E1444" t="s" s="834">
        <v>478</v>
      </c>
      <c r="F1444" t="s" s="834">
        <v>478</v>
      </c>
      <c r="G1444" s="570"/>
      <c r="H1444" s="570"/>
      <c r="I1444" s="570"/>
      <c r="J1444" s="570"/>
      <c r="K1444" s="570"/>
    </row>
    <row r="1445" ht="13.75" customHeight="1">
      <c r="A1445" s="833">
        <v>104</v>
      </c>
      <c r="B1445" t="s" s="834">
        <v>1302</v>
      </c>
      <c r="C1445" t="s" s="834">
        <v>477</v>
      </c>
      <c r="D1445" s="835">
        <v>46050</v>
      </c>
      <c r="E1445" t="s" s="834">
        <v>478</v>
      </c>
      <c r="F1445" t="s" s="834">
        <v>478</v>
      </c>
      <c r="G1445" s="570"/>
      <c r="H1445" s="570"/>
      <c r="I1445" s="570"/>
      <c r="J1445" s="570"/>
      <c r="K1445" s="570"/>
    </row>
    <row r="1446" ht="13.75" customHeight="1">
      <c r="A1446" s="833">
        <v>104</v>
      </c>
      <c r="B1446" t="s" s="834">
        <v>1302</v>
      </c>
      <c r="C1446" t="s" s="834">
        <v>477</v>
      </c>
      <c r="D1446" s="835">
        <v>46051</v>
      </c>
      <c r="E1446" t="s" s="834">
        <v>478</v>
      </c>
      <c r="F1446" t="s" s="834">
        <v>478</v>
      </c>
      <c r="G1446" s="570"/>
      <c r="H1446" s="570"/>
      <c r="I1446" s="570"/>
      <c r="J1446" s="570"/>
      <c r="K1446" s="570"/>
    </row>
    <row r="1447" ht="13.75" customHeight="1">
      <c r="A1447" s="833">
        <v>104</v>
      </c>
      <c r="B1447" t="s" s="834">
        <v>1302</v>
      </c>
      <c r="C1447" t="s" s="834">
        <v>477</v>
      </c>
      <c r="D1447" s="835">
        <v>46052</v>
      </c>
      <c r="E1447" t="s" s="834">
        <v>478</v>
      </c>
      <c r="F1447" t="s" s="834">
        <v>478</v>
      </c>
      <c r="G1447" s="570"/>
      <c r="H1447" s="570"/>
      <c r="I1447" s="570"/>
      <c r="J1447" s="570"/>
      <c r="K1447" s="570"/>
    </row>
    <row r="1448" ht="13.75" customHeight="1">
      <c r="A1448" s="833">
        <v>104</v>
      </c>
      <c r="B1448" t="s" s="834">
        <v>1302</v>
      </c>
      <c r="C1448" t="s" s="834">
        <v>477</v>
      </c>
      <c r="D1448" s="835">
        <v>46053</v>
      </c>
      <c r="E1448" t="s" s="834">
        <v>478</v>
      </c>
      <c r="F1448" t="s" s="834">
        <v>478</v>
      </c>
      <c r="G1448" s="570"/>
      <c r="H1448" s="570"/>
      <c r="I1448" s="570"/>
      <c r="J1448" s="570"/>
      <c r="K1448" s="570"/>
    </row>
    <row r="1449" ht="13.75" customHeight="1">
      <c r="A1449" s="833">
        <v>104</v>
      </c>
      <c r="B1449" t="s" s="834">
        <v>1302</v>
      </c>
      <c r="C1449" t="s" s="834">
        <v>477</v>
      </c>
      <c r="D1449" s="835">
        <v>46054</v>
      </c>
      <c r="E1449" t="s" s="834">
        <v>478</v>
      </c>
      <c r="F1449" t="s" s="834">
        <v>478</v>
      </c>
      <c r="G1449" s="570"/>
      <c r="H1449" s="570"/>
      <c r="I1449" s="570"/>
      <c r="J1449" s="570"/>
      <c r="K1449" s="570"/>
    </row>
    <row r="1450" ht="13.75" customHeight="1">
      <c r="A1450" s="833">
        <v>106</v>
      </c>
      <c r="B1450" t="s" s="834">
        <v>1303</v>
      </c>
      <c r="C1450" t="s" s="834">
        <v>477</v>
      </c>
      <c r="D1450" s="835">
        <v>46023</v>
      </c>
      <c r="E1450" t="s" s="834">
        <v>478</v>
      </c>
      <c r="F1450" t="s" s="834">
        <v>478</v>
      </c>
      <c r="G1450" s="570"/>
      <c r="H1450" s="570"/>
      <c r="I1450" s="570"/>
      <c r="J1450" s="570"/>
      <c r="K1450" s="570"/>
    </row>
    <row r="1451" ht="13.75" customHeight="1">
      <c r="A1451" s="833">
        <v>106</v>
      </c>
      <c r="B1451" t="s" s="834">
        <v>1303</v>
      </c>
      <c r="C1451" t="s" s="834">
        <v>477</v>
      </c>
      <c r="D1451" s="835">
        <v>46024</v>
      </c>
      <c r="E1451" t="s" s="834">
        <v>478</v>
      </c>
      <c r="F1451" t="s" s="834">
        <v>478</v>
      </c>
      <c r="G1451" s="570"/>
      <c r="H1451" s="570"/>
      <c r="I1451" s="570"/>
      <c r="J1451" s="570"/>
      <c r="K1451" s="570"/>
    </row>
    <row r="1452" ht="13.75" customHeight="1">
      <c r="A1452" s="833">
        <v>106</v>
      </c>
      <c r="B1452" t="s" s="834">
        <v>1303</v>
      </c>
      <c r="C1452" t="s" s="834">
        <v>477</v>
      </c>
      <c r="D1452" s="835">
        <v>46025</v>
      </c>
      <c r="E1452" t="s" s="834">
        <v>478</v>
      </c>
      <c r="F1452" t="s" s="834">
        <v>478</v>
      </c>
      <c r="G1452" s="570"/>
      <c r="H1452" s="570"/>
      <c r="I1452" s="570"/>
      <c r="J1452" s="570"/>
      <c r="K1452" s="570"/>
    </row>
    <row r="1453" ht="13.75" customHeight="1">
      <c r="A1453" s="833">
        <v>106</v>
      </c>
      <c r="B1453" t="s" s="834">
        <v>1303</v>
      </c>
      <c r="C1453" t="s" s="834">
        <v>477</v>
      </c>
      <c r="D1453" s="835">
        <v>46026</v>
      </c>
      <c r="E1453" t="s" s="834">
        <v>478</v>
      </c>
      <c r="F1453" t="s" s="834">
        <v>478</v>
      </c>
      <c r="G1453" s="570"/>
      <c r="H1453" s="570"/>
      <c r="I1453" s="570"/>
      <c r="J1453" s="570"/>
      <c r="K1453" s="570"/>
    </row>
    <row r="1454" ht="13.75" customHeight="1">
      <c r="A1454" s="833">
        <v>106</v>
      </c>
      <c r="B1454" t="s" s="834">
        <v>1303</v>
      </c>
      <c r="C1454" t="s" s="834">
        <v>477</v>
      </c>
      <c r="D1454" s="835">
        <v>46027</v>
      </c>
      <c r="E1454" t="s" s="834">
        <v>478</v>
      </c>
      <c r="F1454" t="s" s="834">
        <v>478</v>
      </c>
      <c r="G1454" s="570"/>
      <c r="H1454" s="570"/>
      <c r="I1454" s="570"/>
      <c r="J1454" s="570"/>
      <c r="K1454" s="570"/>
    </row>
    <row r="1455" ht="13.75" customHeight="1">
      <c r="A1455" s="833">
        <v>106</v>
      </c>
      <c r="B1455" t="s" s="834">
        <v>1303</v>
      </c>
      <c r="C1455" t="s" s="834">
        <v>477</v>
      </c>
      <c r="D1455" s="835">
        <v>46028</v>
      </c>
      <c r="E1455" t="s" s="834">
        <v>478</v>
      </c>
      <c r="F1455" t="s" s="834">
        <v>478</v>
      </c>
      <c r="G1455" s="570"/>
      <c r="H1455" s="570"/>
      <c r="I1455" s="570"/>
      <c r="J1455" s="570"/>
      <c r="K1455" s="570"/>
    </row>
    <row r="1456" ht="13.75" customHeight="1">
      <c r="A1456" s="833">
        <v>106</v>
      </c>
      <c r="B1456" t="s" s="834">
        <v>1303</v>
      </c>
      <c r="C1456" t="s" s="834">
        <v>477</v>
      </c>
      <c r="D1456" s="835">
        <v>46029</v>
      </c>
      <c r="E1456" t="s" s="834">
        <v>478</v>
      </c>
      <c r="F1456" t="s" s="834">
        <v>478</v>
      </c>
      <c r="G1456" s="570"/>
      <c r="H1456" s="570"/>
      <c r="I1456" s="570"/>
      <c r="J1456" s="570"/>
      <c r="K1456" s="570"/>
    </row>
    <row r="1457" ht="13.75" customHeight="1">
      <c r="A1457" s="833">
        <v>106</v>
      </c>
      <c r="B1457" t="s" s="834">
        <v>1303</v>
      </c>
      <c r="C1457" t="s" s="834">
        <v>477</v>
      </c>
      <c r="D1457" s="835">
        <v>46030</v>
      </c>
      <c r="E1457" t="s" s="834">
        <v>478</v>
      </c>
      <c r="F1457" t="s" s="834">
        <v>478</v>
      </c>
      <c r="G1457" s="570"/>
      <c r="H1457" s="570"/>
      <c r="I1457" s="570"/>
      <c r="J1457" s="570"/>
      <c r="K1457" s="570"/>
    </row>
    <row r="1458" ht="13.75" customHeight="1">
      <c r="A1458" s="833">
        <v>106</v>
      </c>
      <c r="B1458" t="s" s="834">
        <v>1303</v>
      </c>
      <c r="C1458" t="s" s="834">
        <v>477</v>
      </c>
      <c r="D1458" s="835">
        <v>46031</v>
      </c>
      <c r="E1458" t="s" s="834">
        <v>478</v>
      </c>
      <c r="F1458" t="s" s="834">
        <v>478</v>
      </c>
      <c r="G1458" s="570"/>
      <c r="H1458" s="570"/>
      <c r="I1458" s="570"/>
      <c r="J1458" s="570"/>
      <c r="K1458" s="570"/>
    </row>
    <row r="1459" ht="13.75" customHeight="1">
      <c r="A1459" s="833">
        <v>106</v>
      </c>
      <c r="B1459" t="s" s="834">
        <v>1303</v>
      </c>
      <c r="C1459" t="s" s="834">
        <v>477</v>
      </c>
      <c r="D1459" s="835">
        <v>46032</v>
      </c>
      <c r="E1459" t="s" s="834">
        <v>478</v>
      </c>
      <c r="F1459" t="s" s="834">
        <v>478</v>
      </c>
      <c r="G1459" s="570"/>
      <c r="H1459" s="570"/>
      <c r="I1459" s="570"/>
      <c r="J1459" s="570"/>
      <c r="K1459" s="570"/>
    </row>
    <row r="1460" ht="13.75" customHeight="1">
      <c r="A1460" s="833">
        <v>106</v>
      </c>
      <c r="B1460" t="s" s="834">
        <v>1303</v>
      </c>
      <c r="C1460" t="s" s="834">
        <v>477</v>
      </c>
      <c r="D1460" s="835">
        <v>46033</v>
      </c>
      <c r="E1460" t="s" s="834">
        <v>478</v>
      </c>
      <c r="F1460" t="s" s="834">
        <v>478</v>
      </c>
      <c r="G1460" s="570"/>
      <c r="H1460" s="570"/>
      <c r="I1460" s="570"/>
      <c r="J1460" s="570"/>
      <c r="K1460" s="570"/>
    </row>
    <row r="1461" ht="13.75" customHeight="1">
      <c r="A1461" s="833">
        <v>106</v>
      </c>
      <c r="B1461" t="s" s="834">
        <v>1303</v>
      </c>
      <c r="C1461" t="s" s="834">
        <v>477</v>
      </c>
      <c r="D1461" s="835">
        <v>46034</v>
      </c>
      <c r="E1461" t="s" s="834">
        <v>478</v>
      </c>
      <c r="F1461" t="s" s="834">
        <v>478</v>
      </c>
      <c r="G1461" s="570"/>
      <c r="H1461" s="570"/>
      <c r="I1461" s="570"/>
      <c r="J1461" s="570"/>
      <c r="K1461" s="570"/>
    </row>
    <row r="1462" ht="13.75" customHeight="1">
      <c r="A1462" s="833">
        <v>106</v>
      </c>
      <c r="B1462" t="s" s="834">
        <v>1303</v>
      </c>
      <c r="C1462" t="s" s="834">
        <v>477</v>
      </c>
      <c r="D1462" s="835">
        <v>46035</v>
      </c>
      <c r="E1462" t="s" s="834">
        <v>478</v>
      </c>
      <c r="F1462" t="s" s="834">
        <v>478</v>
      </c>
      <c r="G1462" s="570"/>
      <c r="H1462" s="570"/>
      <c r="I1462" s="570"/>
      <c r="J1462" s="570"/>
      <c r="K1462" s="570"/>
    </row>
    <row r="1463" ht="13.75" customHeight="1">
      <c r="A1463" s="833">
        <v>106</v>
      </c>
      <c r="B1463" t="s" s="834">
        <v>1303</v>
      </c>
      <c r="C1463" t="s" s="834">
        <v>477</v>
      </c>
      <c r="D1463" s="835">
        <v>46036</v>
      </c>
      <c r="E1463" t="s" s="834">
        <v>478</v>
      </c>
      <c r="F1463" t="s" s="834">
        <v>478</v>
      </c>
      <c r="G1463" s="570"/>
      <c r="H1463" s="570"/>
      <c r="I1463" s="570"/>
      <c r="J1463" s="570"/>
      <c r="K1463" s="570"/>
    </row>
    <row r="1464" ht="13.75" customHeight="1">
      <c r="A1464" s="833">
        <v>106</v>
      </c>
      <c r="B1464" t="s" s="834">
        <v>1303</v>
      </c>
      <c r="C1464" t="s" s="834">
        <v>477</v>
      </c>
      <c r="D1464" s="835">
        <v>46037</v>
      </c>
      <c r="E1464" s="836">
        <v>1.438854166666667</v>
      </c>
      <c r="F1464" s="836">
        <v>1.439560185185185</v>
      </c>
      <c r="G1464" s="570"/>
      <c r="H1464" s="570"/>
      <c r="I1464" s="570"/>
      <c r="J1464" s="570"/>
      <c r="K1464" s="570"/>
    </row>
    <row r="1465" ht="13.75" customHeight="1">
      <c r="A1465" t="s" s="834">
        <v>1304</v>
      </c>
      <c r="B1465" t="s" s="834">
        <v>1305</v>
      </c>
      <c r="C1465" t="s" s="834">
        <v>805</v>
      </c>
      <c r="D1465" s="570"/>
      <c r="E1465" s="570"/>
      <c r="F1465" s="570"/>
      <c r="G1465" s="570"/>
      <c r="H1465" s="570"/>
      <c r="I1465" s="570"/>
      <c r="J1465" s="570"/>
      <c r="K1465" s="570"/>
    </row>
    <row r="1466" ht="13.75" customHeight="1">
      <c r="A1466" s="833">
        <v>106</v>
      </c>
      <c r="B1466" t="s" s="834">
        <v>1303</v>
      </c>
      <c r="C1466" t="s" s="834">
        <v>477</v>
      </c>
      <c r="D1466" s="835">
        <v>46038</v>
      </c>
      <c r="E1466" t="s" s="834">
        <v>478</v>
      </c>
      <c r="F1466" t="s" s="834">
        <v>478</v>
      </c>
      <c r="G1466" s="570"/>
      <c r="H1466" s="570"/>
      <c r="I1466" s="570"/>
      <c r="J1466" s="570"/>
      <c r="K1466" s="570"/>
    </row>
    <row r="1467" ht="13.75" customHeight="1">
      <c r="A1467" s="833">
        <v>106</v>
      </c>
      <c r="B1467" t="s" s="834">
        <v>1303</v>
      </c>
      <c r="C1467" t="s" s="834">
        <v>477</v>
      </c>
      <c r="D1467" s="835">
        <v>46039</v>
      </c>
      <c r="E1467" t="s" s="834">
        <v>478</v>
      </c>
      <c r="F1467" t="s" s="834">
        <v>478</v>
      </c>
      <c r="G1467" s="570"/>
      <c r="H1467" s="570"/>
      <c r="I1467" s="570"/>
      <c r="J1467" s="570"/>
      <c r="K1467" s="570"/>
    </row>
    <row r="1468" ht="13.75" customHeight="1">
      <c r="A1468" s="833">
        <v>106</v>
      </c>
      <c r="B1468" t="s" s="834">
        <v>1303</v>
      </c>
      <c r="C1468" t="s" s="834">
        <v>477</v>
      </c>
      <c r="D1468" s="835">
        <v>46040</v>
      </c>
      <c r="E1468" t="s" s="834">
        <v>478</v>
      </c>
      <c r="F1468" t="s" s="834">
        <v>478</v>
      </c>
      <c r="G1468" s="570"/>
      <c r="H1468" s="570"/>
      <c r="I1468" s="570"/>
      <c r="J1468" s="570"/>
      <c r="K1468" s="570"/>
    </row>
    <row r="1469" ht="13.75" customHeight="1">
      <c r="A1469" s="833">
        <v>106</v>
      </c>
      <c r="B1469" t="s" s="834">
        <v>1303</v>
      </c>
      <c r="C1469" t="s" s="834">
        <v>477</v>
      </c>
      <c r="D1469" s="835">
        <v>46041</v>
      </c>
      <c r="E1469" t="s" s="834">
        <v>478</v>
      </c>
      <c r="F1469" t="s" s="834">
        <v>478</v>
      </c>
      <c r="G1469" s="570"/>
      <c r="H1469" s="570"/>
      <c r="I1469" s="570"/>
      <c r="J1469" s="570"/>
      <c r="K1469" s="570"/>
    </row>
    <row r="1470" ht="13.75" customHeight="1">
      <c r="A1470" s="833">
        <v>106</v>
      </c>
      <c r="B1470" t="s" s="834">
        <v>1303</v>
      </c>
      <c r="C1470" t="s" s="834">
        <v>477</v>
      </c>
      <c r="D1470" s="835">
        <v>46042</v>
      </c>
      <c r="E1470" t="s" s="834">
        <v>478</v>
      </c>
      <c r="F1470" t="s" s="834">
        <v>478</v>
      </c>
      <c r="G1470" s="570"/>
      <c r="H1470" s="570"/>
      <c r="I1470" s="570"/>
      <c r="J1470" s="570"/>
      <c r="K1470" s="570"/>
    </row>
    <row r="1471" ht="13.75" customHeight="1">
      <c r="A1471" s="833">
        <v>106</v>
      </c>
      <c r="B1471" t="s" s="834">
        <v>1303</v>
      </c>
      <c r="C1471" t="s" s="834">
        <v>477</v>
      </c>
      <c r="D1471" s="835">
        <v>46043</v>
      </c>
      <c r="E1471" t="s" s="834">
        <v>478</v>
      </c>
      <c r="F1471" t="s" s="834">
        <v>478</v>
      </c>
      <c r="G1471" s="570"/>
      <c r="H1471" s="570"/>
      <c r="I1471" s="570"/>
      <c r="J1471" s="570"/>
      <c r="K1471" s="570"/>
    </row>
    <row r="1472" ht="13.75" customHeight="1">
      <c r="A1472" s="833">
        <v>106</v>
      </c>
      <c r="B1472" t="s" s="834">
        <v>1303</v>
      </c>
      <c r="C1472" t="s" s="834">
        <v>477</v>
      </c>
      <c r="D1472" s="835">
        <v>46044</v>
      </c>
      <c r="E1472" t="s" s="834">
        <v>478</v>
      </c>
      <c r="F1472" t="s" s="834">
        <v>478</v>
      </c>
      <c r="G1472" s="570"/>
      <c r="H1472" s="570"/>
      <c r="I1472" s="570"/>
      <c r="J1472" s="570"/>
      <c r="K1472" s="570"/>
    </row>
    <row r="1473" ht="13.75" customHeight="1">
      <c r="A1473" s="833">
        <v>106</v>
      </c>
      <c r="B1473" t="s" s="834">
        <v>1303</v>
      </c>
      <c r="C1473" t="s" s="834">
        <v>477</v>
      </c>
      <c r="D1473" s="835">
        <v>46045</v>
      </c>
      <c r="E1473" t="s" s="834">
        <v>478</v>
      </c>
      <c r="F1473" t="s" s="834">
        <v>478</v>
      </c>
      <c r="G1473" s="570"/>
      <c r="H1473" s="570"/>
      <c r="I1473" s="570"/>
      <c r="J1473" s="570"/>
      <c r="K1473" s="570"/>
    </row>
    <row r="1474" ht="13.75" customHeight="1">
      <c r="A1474" s="833">
        <v>106</v>
      </c>
      <c r="B1474" t="s" s="834">
        <v>1303</v>
      </c>
      <c r="C1474" t="s" s="834">
        <v>477</v>
      </c>
      <c r="D1474" s="835">
        <v>46046</v>
      </c>
      <c r="E1474" t="s" s="834">
        <v>478</v>
      </c>
      <c r="F1474" t="s" s="834">
        <v>478</v>
      </c>
      <c r="G1474" s="570"/>
      <c r="H1474" s="570"/>
      <c r="I1474" s="570"/>
      <c r="J1474" s="570"/>
      <c r="K1474" s="570"/>
    </row>
    <row r="1475" ht="13.75" customHeight="1">
      <c r="A1475" s="833">
        <v>106</v>
      </c>
      <c r="B1475" t="s" s="834">
        <v>1303</v>
      </c>
      <c r="C1475" t="s" s="834">
        <v>477</v>
      </c>
      <c r="D1475" s="835">
        <v>46047</v>
      </c>
      <c r="E1475" t="s" s="834">
        <v>478</v>
      </c>
      <c r="F1475" t="s" s="834">
        <v>478</v>
      </c>
      <c r="G1475" s="570"/>
      <c r="H1475" s="570"/>
      <c r="I1475" s="570"/>
      <c r="J1475" s="570"/>
      <c r="K1475" s="570"/>
    </row>
    <row r="1476" ht="13.75" customHeight="1">
      <c r="A1476" s="833">
        <v>106</v>
      </c>
      <c r="B1476" t="s" s="834">
        <v>1303</v>
      </c>
      <c r="C1476" t="s" s="834">
        <v>477</v>
      </c>
      <c r="D1476" s="835">
        <v>46048</v>
      </c>
      <c r="E1476" t="s" s="834">
        <v>478</v>
      </c>
      <c r="F1476" t="s" s="834">
        <v>478</v>
      </c>
      <c r="G1476" s="570"/>
      <c r="H1476" s="570"/>
      <c r="I1476" s="570"/>
      <c r="J1476" s="570"/>
      <c r="K1476" s="570"/>
    </row>
    <row r="1477" ht="13.75" customHeight="1">
      <c r="A1477" s="833">
        <v>106</v>
      </c>
      <c r="B1477" t="s" s="834">
        <v>1303</v>
      </c>
      <c r="C1477" t="s" s="834">
        <v>477</v>
      </c>
      <c r="D1477" s="835">
        <v>46049</v>
      </c>
      <c r="E1477" t="s" s="834">
        <v>478</v>
      </c>
      <c r="F1477" t="s" s="834">
        <v>478</v>
      </c>
      <c r="G1477" s="570"/>
      <c r="H1477" s="570"/>
      <c r="I1477" s="570"/>
      <c r="J1477" s="570"/>
      <c r="K1477" s="570"/>
    </row>
    <row r="1478" ht="13.75" customHeight="1">
      <c r="A1478" s="833">
        <v>106</v>
      </c>
      <c r="B1478" t="s" s="834">
        <v>1303</v>
      </c>
      <c r="C1478" t="s" s="834">
        <v>477</v>
      </c>
      <c r="D1478" s="835">
        <v>46050</v>
      </c>
      <c r="E1478" t="s" s="834">
        <v>478</v>
      </c>
      <c r="F1478" t="s" s="834">
        <v>478</v>
      </c>
      <c r="G1478" s="570"/>
      <c r="H1478" s="570"/>
      <c r="I1478" s="570"/>
      <c r="J1478" s="570"/>
      <c r="K1478" s="570"/>
    </row>
    <row r="1479" ht="13.75" customHeight="1">
      <c r="A1479" s="833">
        <v>106</v>
      </c>
      <c r="B1479" t="s" s="834">
        <v>1303</v>
      </c>
      <c r="C1479" t="s" s="834">
        <v>477</v>
      </c>
      <c r="D1479" s="835">
        <v>46051</v>
      </c>
      <c r="E1479" t="s" s="834">
        <v>478</v>
      </c>
      <c r="F1479" t="s" s="834">
        <v>478</v>
      </c>
      <c r="G1479" s="570"/>
      <c r="H1479" s="570"/>
      <c r="I1479" s="570"/>
      <c r="J1479" s="570"/>
      <c r="K1479" s="570"/>
    </row>
    <row r="1480" ht="13.75" customHeight="1">
      <c r="A1480" s="833">
        <v>106</v>
      </c>
      <c r="B1480" t="s" s="834">
        <v>1303</v>
      </c>
      <c r="C1480" t="s" s="834">
        <v>477</v>
      </c>
      <c r="D1480" s="835">
        <v>46052</v>
      </c>
      <c r="E1480" t="s" s="834">
        <v>478</v>
      </c>
      <c r="F1480" t="s" s="834">
        <v>478</v>
      </c>
      <c r="G1480" s="570"/>
      <c r="H1480" s="570"/>
      <c r="I1480" s="570"/>
      <c r="J1480" s="570"/>
      <c r="K1480" s="570"/>
    </row>
    <row r="1481" ht="13.75" customHeight="1">
      <c r="A1481" s="833">
        <v>106</v>
      </c>
      <c r="B1481" t="s" s="834">
        <v>1303</v>
      </c>
      <c r="C1481" t="s" s="834">
        <v>477</v>
      </c>
      <c r="D1481" s="835">
        <v>46053</v>
      </c>
      <c r="E1481" t="s" s="834">
        <v>478</v>
      </c>
      <c r="F1481" t="s" s="834">
        <v>478</v>
      </c>
      <c r="G1481" s="570"/>
      <c r="H1481" s="570"/>
      <c r="I1481" s="570"/>
      <c r="J1481" s="570"/>
      <c r="K1481" s="570"/>
    </row>
    <row r="1482" ht="13.75" customHeight="1">
      <c r="A1482" s="833">
        <v>106</v>
      </c>
      <c r="B1482" t="s" s="834">
        <v>1303</v>
      </c>
      <c r="C1482" t="s" s="834">
        <v>477</v>
      </c>
      <c r="D1482" s="835">
        <v>46054</v>
      </c>
      <c r="E1482" t="s" s="834">
        <v>478</v>
      </c>
      <c r="F1482" t="s" s="834">
        <v>478</v>
      </c>
      <c r="G1482" s="570"/>
      <c r="H1482" s="570"/>
      <c r="I1482" s="570"/>
      <c r="J1482" s="570"/>
      <c r="K1482" s="570"/>
    </row>
    <row r="1483" ht="13.75" customHeight="1">
      <c r="A1483" s="833">
        <v>349</v>
      </c>
      <c r="B1483" t="s" s="834">
        <v>1306</v>
      </c>
      <c r="C1483" t="s" s="834">
        <v>480</v>
      </c>
      <c r="D1483" s="835">
        <v>46023</v>
      </c>
      <c r="E1483" t="s" s="834">
        <v>478</v>
      </c>
      <c r="F1483" t="s" s="834">
        <v>478</v>
      </c>
      <c r="G1483" s="570"/>
      <c r="H1483" s="570"/>
      <c r="I1483" s="570"/>
      <c r="J1483" s="570"/>
      <c r="K1483" s="570"/>
    </row>
    <row r="1484" ht="13.75" customHeight="1">
      <c r="A1484" s="833">
        <v>349</v>
      </c>
      <c r="B1484" t="s" s="834">
        <v>1306</v>
      </c>
      <c r="C1484" t="s" s="834">
        <v>480</v>
      </c>
      <c r="D1484" s="835">
        <v>46024</v>
      </c>
      <c r="E1484" t="s" s="834">
        <v>478</v>
      </c>
      <c r="F1484" t="s" s="834">
        <v>478</v>
      </c>
      <c r="G1484" s="570"/>
      <c r="H1484" s="570"/>
      <c r="I1484" s="570"/>
      <c r="J1484" s="570"/>
      <c r="K1484" s="570"/>
    </row>
    <row r="1485" ht="13.75" customHeight="1">
      <c r="A1485" s="833">
        <v>349</v>
      </c>
      <c r="B1485" t="s" s="834">
        <v>1306</v>
      </c>
      <c r="C1485" t="s" s="834">
        <v>480</v>
      </c>
      <c r="D1485" s="835">
        <v>46025</v>
      </c>
      <c r="E1485" t="s" s="834">
        <v>478</v>
      </c>
      <c r="F1485" t="s" s="834">
        <v>478</v>
      </c>
      <c r="G1485" s="570"/>
      <c r="H1485" s="570"/>
      <c r="I1485" s="570"/>
      <c r="J1485" s="570"/>
      <c r="K1485" s="570"/>
    </row>
    <row r="1486" ht="13.75" customHeight="1">
      <c r="A1486" s="833">
        <v>349</v>
      </c>
      <c r="B1486" t="s" s="834">
        <v>1306</v>
      </c>
      <c r="C1486" t="s" s="834">
        <v>480</v>
      </c>
      <c r="D1486" s="835">
        <v>46026</v>
      </c>
      <c r="E1486" t="s" s="834">
        <v>478</v>
      </c>
      <c r="F1486" t="s" s="834">
        <v>478</v>
      </c>
      <c r="G1486" s="570"/>
      <c r="H1486" s="570"/>
      <c r="I1486" s="570"/>
      <c r="J1486" s="570"/>
      <c r="K1486" s="570"/>
    </row>
    <row r="1487" ht="13.75" customHeight="1">
      <c r="A1487" s="833">
        <v>349</v>
      </c>
      <c r="B1487" t="s" s="834">
        <v>1306</v>
      </c>
      <c r="C1487" t="s" s="834">
        <v>480</v>
      </c>
      <c r="D1487" s="835">
        <v>46027</v>
      </c>
      <c r="E1487" t="s" s="834">
        <v>478</v>
      </c>
      <c r="F1487" t="s" s="834">
        <v>478</v>
      </c>
      <c r="G1487" s="570"/>
      <c r="H1487" s="570"/>
      <c r="I1487" s="570"/>
      <c r="J1487" s="570"/>
      <c r="K1487" s="570"/>
    </row>
    <row r="1488" ht="13.75" customHeight="1">
      <c r="A1488" s="833">
        <v>349</v>
      </c>
      <c r="B1488" t="s" s="834">
        <v>1306</v>
      </c>
      <c r="C1488" t="s" s="834">
        <v>480</v>
      </c>
      <c r="D1488" s="835">
        <v>46028</v>
      </c>
      <c r="E1488" t="s" s="834">
        <v>478</v>
      </c>
      <c r="F1488" t="s" s="834">
        <v>478</v>
      </c>
      <c r="G1488" s="570"/>
      <c r="H1488" s="570"/>
      <c r="I1488" s="570"/>
      <c r="J1488" s="570"/>
      <c r="K1488" s="570"/>
    </row>
    <row r="1489" ht="13.75" customHeight="1">
      <c r="A1489" s="833">
        <v>349</v>
      </c>
      <c r="B1489" t="s" s="834">
        <v>1306</v>
      </c>
      <c r="C1489" t="s" s="834">
        <v>480</v>
      </c>
      <c r="D1489" s="835">
        <v>46029</v>
      </c>
      <c r="E1489" t="s" s="834">
        <v>478</v>
      </c>
      <c r="F1489" t="s" s="834">
        <v>478</v>
      </c>
      <c r="G1489" s="570"/>
      <c r="H1489" s="570"/>
      <c r="I1489" s="570"/>
      <c r="J1489" s="570"/>
      <c r="K1489" s="570"/>
    </row>
    <row r="1490" ht="13.75" customHeight="1">
      <c r="A1490" s="833">
        <v>349</v>
      </c>
      <c r="B1490" t="s" s="834">
        <v>1306</v>
      </c>
      <c r="C1490" t="s" s="834">
        <v>480</v>
      </c>
      <c r="D1490" s="835">
        <v>46030</v>
      </c>
      <c r="E1490" t="s" s="834">
        <v>478</v>
      </c>
      <c r="F1490" t="s" s="834">
        <v>478</v>
      </c>
      <c r="G1490" s="570"/>
      <c r="H1490" s="570"/>
      <c r="I1490" s="570"/>
      <c r="J1490" s="570"/>
      <c r="K1490" s="570"/>
    </row>
    <row r="1491" ht="13.75" customHeight="1">
      <c r="A1491" s="833">
        <v>349</v>
      </c>
      <c r="B1491" t="s" s="834">
        <v>1306</v>
      </c>
      <c r="C1491" t="s" s="834">
        <v>480</v>
      </c>
      <c r="D1491" s="835">
        <v>46031</v>
      </c>
      <c r="E1491" t="s" s="834">
        <v>478</v>
      </c>
      <c r="F1491" t="s" s="834">
        <v>478</v>
      </c>
      <c r="G1491" s="570"/>
      <c r="H1491" s="570"/>
      <c r="I1491" s="570"/>
      <c r="J1491" s="570"/>
      <c r="K1491" s="570"/>
    </row>
    <row r="1492" ht="13.75" customHeight="1">
      <c r="A1492" s="833">
        <v>349</v>
      </c>
      <c r="B1492" t="s" s="834">
        <v>1306</v>
      </c>
      <c r="C1492" t="s" s="834">
        <v>480</v>
      </c>
      <c r="D1492" s="835">
        <v>46032</v>
      </c>
      <c r="E1492" t="s" s="834">
        <v>478</v>
      </c>
      <c r="F1492" t="s" s="834">
        <v>478</v>
      </c>
      <c r="G1492" s="570"/>
      <c r="H1492" s="570"/>
      <c r="I1492" s="570"/>
      <c r="J1492" s="570"/>
      <c r="K1492" s="570"/>
    </row>
    <row r="1493" ht="13.75" customHeight="1">
      <c r="A1493" s="833">
        <v>349</v>
      </c>
      <c r="B1493" t="s" s="834">
        <v>1306</v>
      </c>
      <c r="C1493" t="s" s="834">
        <v>480</v>
      </c>
      <c r="D1493" s="835">
        <v>46033</v>
      </c>
      <c r="E1493" t="s" s="834">
        <v>478</v>
      </c>
      <c r="F1493" t="s" s="834">
        <v>478</v>
      </c>
      <c r="G1493" s="570"/>
      <c r="H1493" s="570"/>
      <c r="I1493" s="570"/>
      <c r="J1493" s="570"/>
      <c r="K1493" s="570"/>
    </row>
    <row r="1494" ht="13.75" customHeight="1">
      <c r="A1494" s="833">
        <v>349</v>
      </c>
      <c r="B1494" t="s" s="834">
        <v>1306</v>
      </c>
      <c r="C1494" t="s" s="834">
        <v>480</v>
      </c>
      <c r="D1494" s="835">
        <v>46034</v>
      </c>
      <c r="E1494" t="s" s="834">
        <v>478</v>
      </c>
      <c r="F1494" t="s" s="834">
        <v>478</v>
      </c>
      <c r="G1494" s="570"/>
      <c r="H1494" s="570"/>
      <c r="I1494" s="570"/>
      <c r="J1494" s="570"/>
      <c r="K1494" s="570"/>
    </row>
    <row r="1495" ht="13.75" customHeight="1">
      <c r="A1495" s="833">
        <v>349</v>
      </c>
      <c r="B1495" t="s" s="834">
        <v>1306</v>
      </c>
      <c r="C1495" t="s" s="834">
        <v>480</v>
      </c>
      <c r="D1495" s="835">
        <v>46035</v>
      </c>
      <c r="E1495" t="s" s="834">
        <v>478</v>
      </c>
      <c r="F1495" t="s" s="834">
        <v>478</v>
      </c>
      <c r="G1495" s="570"/>
      <c r="H1495" s="570"/>
      <c r="I1495" s="570"/>
      <c r="J1495" s="570"/>
      <c r="K1495" s="570"/>
    </row>
    <row r="1496" ht="13.75" customHeight="1">
      <c r="A1496" s="833">
        <v>349</v>
      </c>
      <c r="B1496" t="s" s="834">
        <v>1306</v>
      </c>
      <c r="C1496" t="s" s="834">
        <v>480</v>
      </c>
      <c r="D1496" s="835">
        <v>46036</v>
      </c>
      <c r="E1496" t="s" s="834">
        <v>478</v>
      </c>
      <c r="F1496" t="s" s="834">
        <v>478</v>
      </c>
      <c r="G1496" s="570"/>
      <c r="H1496" s="570"/>
      <c r="I1496" s="570"/>
      <c r="J1496" s="570"/>
      <c r="K1496" s="570"/>
    </row>
    <row r="1497" ht="13.75" customHeight="1">
      <c r="A1497" s="833">
        <v>349</v>
      </c>
      <c r="B1497" t="s" s="834">
        <v>1306</v>
      </c>
      <c r="C1497" t="s" s="834">
        <v>480</v>
      </c>
      <c r="D1497" s="835">
        <v>46037</v>
      </c>
      <c r="E1497" t="s" s="834">
        <v>478</v>
      </c>
      <c r="F1497" t="s" s="834">
        <v>478</v>
      </c>
      <c r="G1497" s="570"/>
      <c r="H1497" s="570"/>
      <c r="I1497" s="570"/>
      <c r="J1497" s="570"/>
      <c r="K1497" s="570"/>
    </row>
    <row r="1498" ht="13.75" customHeight="1">
      <c r="A1498" s="833">
        <v>349</v>
      </c>
      <c r="B1498" t="s" s="834">
        <v>1306</v>
      </c>
      <c r="C1498" t="s" s="834">
        <v>480</v>
      </c>
      <c r="D1498" s="835">
        <v>46038</v>
      </c>
      <c r="E1498" t="s" s="834">
        <v>478</v>
      </c>
      <c r="F1498" t="s" s="834">
        <v>478</v>
      </c>
      <c r="G1498" s="570"/>
      <c r="H1498" s="570"/>
      <c r="I1498" s="570"/>
      <c r="J1498" s="570"/>
      <c r="K1498" s="570"/>
    </row>
    <row r="1499" ht="13.75" customHeight="1">
      <c r="A1499" s="833">
        <v>349</v>
      </c>
      <c r="B1499" t="s" s="834">
        <v>1306</v>
      </c>
      <c r="C1499" t="s" s="834">
        <v>480</v>
      </c>
      <c r="D1499" s="835">
        <v>46039</v>
      </c>
      <c r="E1499" t="s" s="834">
        <v>478</v>
      </c>
      <c r="F1499" t="s" s="834">
        <v>478</v>
      </c>
      <c r="G1499" s="570"/>
      <c r="H1499" s="570"/>
      <c r="I1499" s="570"/>
      <c r="J1499" s="570"/>
      <c r="K1499" s="570"/>
    </row>
    <row r="1500" ht="13.75" customHeight="1">
      <c r="A1500" s="833">
        <v>349</v>
      </c>
      <c r="B1500" t="s" s="834">
        <v>1306</v>
      </c>
      <c r="C1500" t="s" s="834">
        <v>480</v>
      </c>
      <c r="D1500" s="835">
        <v>46040</v>
      </c>
      <c r="E1500" t="s" s="834">
        <v>478</v>
      </c>
      <c r="F1500" t="s" s="834">
        <v>478</v>
      </c>
      <c r="G1500" s="570"/>
      <c r="H1500" s="570"/>
      <c r="I1500" s="570"/>
      <c r="J1500" s="570"/>
      <c r="K1500" s="570"/>
    </row>
    <row r="1501" ht="13.75" customHeight="1">
      <c r="A1501" s="833">
        <v>349</v>
      </c>
      <c r="B1501" t="s" s="834">
        <v>1306</v>
      </c>
      <c r="C1501" t="s" s="834">
        <v>480</v>
      </c>
      <c r="D1501" s="835">
        <v>46041</v>
      </c>
      <c r="E1501" t="s" s="834">
        <v>478</v>
      </c>
      <c r="F1501" t="s" s="834">
        <v>478</v>
      </c>
      <c r="G1501" s="570"/>
      <c r="H1501" s="570"/>
      <c r="I1501" s="570"/>
      <c r="J1501" s="570"/>
      <c r="K1501" s="570"/>
    </row>
    <row r="1502" ht="13.75" customHeight="1">
      <c r="A1502" s="833">
        <v>349</v>
      </c>
      <c r="B1502" t="s" s="834">
        <v>1306</v>
      </c>
      <c r="C1502" t="s" s="834">
        <v>480</v>
      </c>
      <c r="D1502" s="835">
        <v>46042</v>
      </c>
      <c r="E1502" t="s" s="834">
        <v>478</v>
      </c>
      <c r="F1502" t="s" s="834">
        <v>478</v>
      </c>
      <c r="G1502" s="570"/>
      <c r="H1502" s="570"/>
      <c r="I1502" s="570"/>
      <c r="J1502" s="570"/>
      <c r="K1502" s="570"/>
    </row>
    <row r="1503" ht="13.75" customHeight="1">
      <c r="A1503" s="833">
        <v>349</v>
      </c>
      <c r="B1503" t="s" s="834">
        <v>1306</v>
      </c>
      <c r="C1503" t="s" s="834">
        <v>480</v>
      </c>
      <c r="D1503" s="835">
        <v>46043</v>
      </c>
      <c r="E1503" t="s" s="834">
        <v>478</v>
      </c>
      <c r="F1503" t="s" s="834">
        <v>478</v>
      </c>
      <c r="G1503" s="570"/>
      <c r="H1503" s="570"/>
      <c r="I1503" s="570"/>
      <c r="J1503" s="570"/>
      <c r="K1503" s="570"/>
    </row>
    <row r="1504" ht="13.75" customHeight="1">
      <c r="A1504" s="833">
        <v>349</v>
      </c>
      <c r="B1504" t="s" s="834">
        <v>1306</v>
      </c>
      <c r="C1504" t="s" s="834">
        <v>480</v>
      </c>
      <c r="D1504" s="835">
        <v>46044</v>
      </c>
      <c r="E1504" t="s" s="834">
        <v>478</v>
      </c>
      <c r="F1504" t="s" s="834">
        <v>478</v>
      </c>
      <c r="G1504" s="570"/>
      <c r="H1504" s="570"/>
      <c r="I1504" s="570"/>
      <c r="J1504" s="570"/>
      <c r="K1504" s="570"/>
    </row>
    <row r="1505" ht="13.75" customHeight="1">
      <c r="A1505" s="833">
        <v>349</v>
      </c>
      <c r="B1505" t="s" s="834">
        <v>1306</v>
      </c>
      <c r="C1505" t="s" s="834">
        <v>480</v>
      </c>
      <c r="D1505" s="835">
        <v>46045</v>
      </c>
      <c r="E1505" t="s" s="834">
        <v>478</v>
      </c>
      <c r="F1505" t="s" s="834">
        <v>478</v>
      </c>
      <c r="G1505" s="570"/>
      <c r="H1505" s="570"/>
      <c r="I1505" s="570"/>
      <c r="J1505" s="570"/>
      <c r="K1505" s="570"/>
    </row>
    <row r="1506" ht="13.75" customHeight="1">
      <c r="A1506" s="833">
        <v>349</v>
      </c>
      <c r="B1506" t="s" s="834">
        <v>1306</v>
      </c>
      <c r="C1506" t="s" s="834">
        <v>480</v>
      </c>
      <c r="D1506" s="835">
        <v>46046</v>
      </c>
      <c r="E1506" t="s" s="834">
        <v>478</v>
      </c>
      <c r="F1506" t="s" s="834">
        <v>478</v>
      </c>
      <c r="G1506" s="570"/>
      <c r="H1506" s="570"/>
      <c r="I1506" s="570"/>
      <c r="J1506" s="570"/>
      <c r="K1506" s="570"/>
    </row>
    <row r="1507" ht="13.75" customHeight="1">
      <c r="A1507" s="833">
        <v>349</v>
      </c>
      <c r="B1507" t="s" s="834">
        <v>1306</v>
      </c>
      <c r="C1507" t="s" s="834">
        <v>480</v>
      </c>
      <c r="D1507" s="835">
        <v>46047</v>
      </c>
      <c r="E1507" t="s" s="834">
        <v>478</v>
      </c>
      <c r="F1507" t="s" s="834">
        <v>478</v>
      </c>
      <c r="G1507" s="570"/>
      <c r="H1507" s="570"/>
      <c r="I1507" s="570"/>
      <c r="J1507" s="570"/>
      <c r="K1507" s="570"/>
    </row>
    <row r="1508" ht="13.75" customHeight="1">
      <c r="A1508" s="833">
        <v>349</v>
      </c>
      <c r="B1508" t="s" s="834">
        <v>1306</v>
      </c>
      <c r="C1508" t="s" s="834">
        <v>480</v>
      </c>
      <c r="D1508" s="835">
        <v>46048</v>
      </c>
      <c r="E1508" t="s" s="834">
        <v>478</v>
      </c>
      <c r="F1508" t="s" s="834">
        <v>478</v>
      </c>
      <c r="G1508" s="570"/>
      <c r="H1508" s="570"/>
      <c r="I1508" s="570"/>
      <c r="J1508" s="570"/>
      <c r="K1508" s="570"/>
    </row>
    <row r="1509" ht="13.75" customHeight="1">
      <c r="A1509" s="833">
        <v>349</v>
      </c>
      <c r="B1509" t="s" s="834">
        <v>1306</v>
      </c>
      <c r="C1509" t="s" s="834">
        <v>480</v>
      </c>
      <c r="D1509" s="835">
        <v>46049</v>
      </c>
      <c r="E1509" t="s" s="834">
        <v>478</v>
      </c>
      <c r="F1509" t="s" s="834">
        <v>478</v>
      </c>
      <c r="G1509" s="570"/>
      <c r="H1509" s="570"/>
      <c r="I1509" s="570"/>
      <c r="J1509" s="570"/>
      <c r="K1509" s="570"/>
    </row>
    <row r="1510" ht="13.75" customHeight="1">
      <c r="A1510" s="833">
        <v>349</v>
      </c>
      <c r="B1510" t="s" s="834">
        <v>1306</v>
      </c>
      <c r="C1510" t="s" s="834">
        <v>480</v>
      </c>
      <c r="D1510" s="835">
        <v>46050</v>
      </c>
      <c r="E1510" t="s" s="834">
        <v>478</v>
      </c>
      <c r="F1510" t="s" s="834">
        <v>478</v>
      </c>
      <c r="G1510" s="570"/>
      <c r="H1510" s="570"/>
      <c r="I1510" s="570"/>
      <c r="J1510" s="570"/>
      <c r="K1510" s="570"/>
    </row>
    <row r="1511" ht="13.75" customHeight="1">
      <c r="A1511" s="833">
        <v>349</v>
      </c>
      <c r="B1511" t="s" s="834">
        <v>1306</v>
      </c>
      <c r="C1511" t="s" s="834">
        <v>480</v>
      </c>
      <c r="D1511" s="835">
        <v>46051</v>
      </c>
      <c r="E1511" t="s" s="834">
        <v>478</v>
      </c>
      <c r="F1511" t="s" s="834">
        <v>478</v>
      </c>
      <c r="G1511" s="570"/>
      <c r="H1511" s="570"/>
      <c r="I1511" s="570"/>
      <c r="J1511" s="570"/>
      <c r="K1511" s="570"/>
    </row>
    <row r="1512" ht="13.75" customHeight="1">
      <c r="A1512" s="833">
        <v>349</v>
      </c>
      <c r="B1512" t="s" s="834">
        <v>1306</v>
      </c>
      <c r="C1512" t="s" s="834">
        <v>480</v>
      </c>
      <c r="D1512" s="835">
        <v>46052</v>
      </c>
      <c r="E1512" t="s" s="834">
        <v>478</v>
      </c>
      <c r="F1512" t="s" s="834">
        <v>478</v>
      </c>
      <c r="G1512" s="570"/>
      <c r="H1512" s="570"/>
      <c r="I1512" s="570"/>
      <c r="J1512" s="570"/>
      <c r="K1512" s="570"/>
    </row>
    <row r="1513" ht="13.75" customHeight="1">
      <c r="A1513" s="833">
        <v>349</v>
      </c>
      <c r="B1513" t="s" s="834">
        <v>1306</v>
      </c>
      <c r="C1513" t="s" s="834">
        <v>480</v>
      </c>
      <c r="D1513" s="835">
        <v>46053</v>
      </c>
      <c r="E1513" t="s" s="834">
        <v>478</v>
      </c>
      <c r="F1513" t="s" s="834">
        <v>478</v>
      </c>
      <c r="G1513" s="570"/>
      <c r="H1513" s="570"/>
      <c r="I1513" s="570"/>
      <c r="J1513" s="570"/>
      <c r="K1513" s="570"/>
    </row>
    <row r="1514" ht="13.75" customHeight="1">
      <c r="A1514" s="833">
        <v>349</v>
      </c>
      <c r="B1514" t="s" s="834">
        <v>1306</v>
      </c>
      <c r="C1514" t="s" s="834">
        <v>480</v>
      </c>
      <c r="D1514" s="835">
        <v>46054</v>
      </c>
      <c r="E1514" t="s" s="834">
        <v>478</v>
      </c>
      <c r="F1514" t="s" s="834">
        <v>478</v>
      </c>
      <c r="G1514" s="570"/>
      <c r="H1514" s="570"/>
      <c r="I1514" s="570"/>
      <c r="J1514" s="570"/>
      <c r="K1514" s="570"/>
    </row>
    <row r="1515" ht="13.75" customHeight="1">
      <c r="A1515" s="833">
        <v>350</v>
      </c>
      <c r="B1515" t="s" s="834">
        <v>442</v>
      </c>
      <c r="C1515" t="s" s="834">
        <v>480</v>
      </c>
      <c r="D1515" s="835">
        <v>46023</v>
      </c>
      <c r="E1515" t="s" s="834">
        <v>478</v>
      </c>
      <c r="F1515" t="s" s="834">
        <v>478</v>
      </c>
      <c r="G1515" s="570"/>
      <c r="H1515" s="570"/>
      <c r="I1515" s="570"/>
      <c r="J1515" s="570"/>
      <c r="K1515" s="570"/>
    </row>
    <row r="1516" ht="13.75" customHeight="1">
      <c r="A1516" s="833">
        <v>350</v>
      </c>
      <c r="B1516" t="s" s="834">
        <v>442</v>
      </c>
      <c r="C1516" t="s" s="834">
        <v>480</v>
      </c>
      <c r="D1516" s="835">
        <v>46024</v>
      </c>
      <c r="E1516" t="s" s="834">
        <v>478</v>
      </c>
      <c r="F1516" t="s" s="834">
        <v>478</v>
      </c>
      <c r="G1516" s="570"/>
      <c r="H1516" s="570"/>
      <c r="I1516" s="570"/>
      <c r="J1516" s="570"/>
      <c r="K1516" s="570"/>
    </row>
    <row r="1517" ht="13.75" customHeight="1">
      <c r="A1517" s="833">
        <v>350</v>
      </c>
      <c r="B1517" t="s" s="834">
        <v>442</v>
      </c>
      <c r="C1517" t="s" s="834">
        <v>480</v>
      </c>
      <c r="D1517" s="835">
        <v>46025</v>
      </c>
      <c r="E1517" t="s" s="834">
        <v>478</v>
      </c>
      <c r="F1517" t="s" s="834">
        <v>478</v>
      </c>
      <c r="G1517" s="570"/>
      <c r="H1517" s="570"/>
      <c r="I1517" s="570"/>
      <c r="J1517" s="570"/>
      <c r="K1517" s="570"/>
    </row>
    <row r="1518" ht="13.75" customHeight="1">
      <c r="A1518" s="833">
        <v>350</v>
      </c>
      <c r="B1518" t="s" s="834">
        <v>442</v>
      </c>
      <c r="C1518" t="s" s="834">
        <v>480</v>
      </c>
      <c r="D1518" s="835">
        <v>46026</v>
      </c>
      <c r="E1518" t="s" s="834">
        <v>478</v>
      </c>
      <c r="F1518" t="s" s="834">
        <v>478</v>
      </c>
      <c r="G1518" s="570"/>
      <c r="H1518" s="570"/>
      <c r="I1518" s="570"/>
      <c r="J1518" s="570"/>
      <c r="K1518" s="570"/>
    </row>
    <row r="1519" ht="13.75" customHeight="1">
      <c r="A1519" s="833">
        <v>350</v>
      </c>
      <c r="B1519" t="s" s="834">
        <v>442</v>
      </c>
      <c r="C1519" t="s" s="834">
        <v>480</v>
      </c>
      <c r="D1519" s="835">
        <v>46027</v>
      </c>
      <c r="E1519" s="836">
        <v>1.36005787037037</v>
      </c>
      <c r="F1519" s="836">
        <v>1.772858796296296</v>
      </c>
      <c r="G1519" s="570"/>
      <c r="H1519" s="570"/>
      <c r="I1519" s="570"/>
      <c r="J1519" s="570"/>
      <c r="K1519" s="570"/>
    </row>
    <row r="1520" ht="13.75" customHeight="1">
      <c r="A1520" t="s" s="834">
        <v>1307</v>
      </c>
      <c r="B1520" t="s" s="834">
        <v>1308</v>
      </c>
      <c r="C1520" t="s" s="834">
        <v>1059</v>
      </c>
      <c r="D1520" s="570"/>
      <c r="E1520" s="570"/>
      <c r="F1520" s="570"/>
      <c r="G1520" s="570"/>
      <c r="H1520" s="570"/>
      <c r="I1520" s="570"/>
      <c r="J1520" s="570"/>
      <c r="K1520" s="570"/>
    </row>
    <row r="1521" ht="13.75" customHeight="1">
      <c r="A1521" s="833">
        <v>350</v>
      </c>
      <c r="B1521" t="s" s="834">
        <v>442</v>
      </c>
      <c r="C1521" t="s" s="834">
        <v>480</v>
      </c>
      <c r="D1521" s="835">
        <v>46028</v>
      </c>
      <c r="E1521" s="836">
        <v>1.373946759259259</v>
      </c>
      <c r="F1521" s="836">
        <v>1.774594907407407</v>
      </c>
      <c r="G1521" s="570"/>
      <c r="H1521" s="570"/>
      <c r="I1521" s="570"/>
      <c r="J1521" s="570"/>
      <c r="K1521" s="570"/>
    </row>
    <row r="1522" ht="13.75" customHeight="1">
      <c r="A1522" t="s" s="834">
        <v>1309</v>
      </c>
      <c r="B1522" t="s" s="834">
        <v>1310</v>
      </c>
      <c r="C1522" t="s" s="834">
        <v>606</v>
      </c>
      <c r="D1522" s="570"/>
      <c r="E1522" s="570"/>
      <c r="F1522" s="570"/>
      <c r="G1522" s="570"/>
      <c r="H1522" s="570"/>
      <c r="I1522" s="570"/>
      <c r="J1522" s="570"/>
      <c r="K1522" s="570"/>
    </row>
    <row r="1523" ht="13.75" customHeight="1">
      <c r="A1523" s="833">
        <v>350</v>
      </c>
      <c r="B1523" t="s" s="834">
        <v>442</v>
      </c>
      <c r="C1523" t="s" s="834">
        <v>480</v>
      </c>
      <c r="D1523" s="835">
        <v>46029</v>
      </c>
      <c r="E1523" s="836">
        <v>1.361770833333333</v>
      </c>
      <c r="F1523" s="836">
        <v>1.764386574074074</v>
      </c>
      <c r="G1523" s="570"/>
      <c r="H1523" s="570"/>
      <c r="I1523" s="570"/>
      <c r="J1523" s="570"/>
      <c r="K1523" s="570"/>
    </row>
    <row r="1524" ht="13.75" customHeight="1">
      <c r="A1524" t="s" s="834">
        <v>1311</v>
      </c>
      <c r="B1524" t="s" s="834">
        <v>1312</v>
      </c>
      <c r="C1524" t="s" s="834">
        <v>861</v>
      </c>
      <c r="D1524" s="570"/>
      <c r="E1524" s="570"/>
      <c r="F1524" s="570"/>
      <c r="G1524" s="570"/>
      <c r="H1524" s="570"/>
      <c r="I1524" s="570"/>
      <c r="J1524" s="570"/>
      <c r="K1524" s="570"/>
    </row>
    <row r="1525" ht="13.75" customHeight="1">
      <c r="A1525" s="833">
        <v>350</v>
      </c>
      <c r="B1525" t="s" s="834">
        <v>442</v>
      </c>
      <c r="C1525" t="s" s="834">
        <v>480</v>
      </c>
      <c r="D1525" s="835">
        <v>46030</v>
      </c>
      <c r="E1525" s="836">
        <v>1.361354166666667</v>
      </c>
      <c r="F1525" s="836">
        <v>1.760763888888889</v>
      </c>
      <c r="G1525" s="570"/>
      <c r="H1525" s="570"/>
      <c r="I1525" s="570"/>
      <c r="J1525" s="570"/>
      <c r="K1525" s="570"/>
    </row>
    <row r="1526" ht="13.75" customHeight="1">
      <c r="A1526" t="s" s="834">
        <v>1313</v>
      </c>
      <c r="B1526" t="s" s="834">
        <v>1314</v>
      </c>
      <c r="C1526" t="s" s="834">
        <v>515</v>
      </c>
      <c r="D1526" s="570"/>
      <c r="E1526" s="570"/>
      <c r="F1526" s="570"/>
      <c r="G1526" s="570"/>
      <c r="H1526" s="570"/>
      <c r="I1526" s="570"/>
      <c r="J1526" s="570"/>
      <c r="K1526" s="570"/>
    </row>
    <row r="1527" ht="13.75" customHeight="1">
      <c r="A1527" s="833">
        <v>350</v>
      </c>
      <c r="B1527" t="s" s="834">
        <v>442</v>
      </c>
      <c r="C1527" t="s" s="834">
        <v>480</v>
      </c>
      <c r="D1527" s="835">
        <v>46031</v>
      </c>
      <c r="E1527" s="836">
        <v>1.373194444444444</v>
      </c>
      <c r="F1527" s="836">
        <v>1.827199074074074</v>
      </c>
      <c r="G1527" s="570"/>
      <c r="H1527" s="570"/>
      <c r="I1527" s="570"/>
      <c r="J1527" s="570"/>
      <c r="K1527" s="570"/>
    </row>
    <row r="1528" ht="13.75" customHeight="1">
      <c r="A1528" t="s" s="834">
        <v>1315</v>
      </c>
      <c r="B1528" t="s" s="834">
        <v>1316</v>
      </c>
      <c r="C1528" t="s" s="834">
        <v>1317</v>
      </c>
      <c r="D1528" s="570"/>
      <c r="E1528" s="570"/>
      <c r="F1528" s="570"/>
      <c r="G1528" s="570"/>
      <c r="H1528" s="570"/>
      <c r="I1528" s="570"/>
      <c r="J1528" s="570"/>
      <c r="K1528" s="570"/>
    </row>
    <row r="1529" ht="13.75" customHeight="1">
      <c r="A1529" s="833">
        <v>350</v>
      </c>
      <c r="B1529" t="s" s="834">
        <v>442</v>
      </c>
      <c r="C1529" t="s" s="834">
        <v>480</v>
      </c>
      <c r="D1529" s="835">
        <v>46032</v>
      </c>
      <c r="E1529" t="s" s="834">
        <v>478</v>
      </c>
      <c r="F1529" t="s" s="834">
        <v>478</v>
      </c>
      <c r="G1529" s="570"/>
      <c r="H1529" s="570"/>
      <c r="I1529" s="570"/>
      <c r="J1529" s="570"/>
      <c r="K1529" s="570"/>
    </row>
    <row r="1530" ht="13.75" customHeight="1">
      <c r="A1530" s="833">
        <v>350</v>
      </c>
      <c r="B1530" t="s" s="834">
        <v>442</v>
      </c>
      <c r="C1530" t="s" s="834">
        <v>480</v>
      </c>
      <c r="D1530" s="835">
        <v>46033</v>
      </c>
      <c r="E1530" t="s" s="834">
        <v>478</v>
      </c>
      <c r="F1530" t="s" s="834">
        <v>478</v>
      </c>
      <c r="G1530" s="570"/>
      <c r="H1530" s="570"/>
      <c r="I1530" s="570"/>
      <c r="J1530" s="570"/>
      <c r="K1530" s="570"/>
    </row>
    <row r="1531" ht="13.75" customHeight="1">
      <c r="A1531" s="833">
        <v>350</v>
      </c>
      <c r="B1531" t="s" s="834">
        <v>442</v>
      </c>
      <c r="C1531" t="s" s="834">
        <v>480</v>
      </c>
      <c r="D1531" s="835">
        <v>46034</v>
      </c>
      <c r="E1531" s="836">
        <v>1.366655092592593</v>
      </c>
      <c r="F1531" t="s" s="834">
        <v>478</v>
      </c>
      <c r="G1531" s="570"/>
      <c r="H1531" s="570"/>
      <c r="I1531" s="570"/>
      <c r="J1531" s="570"/>
      <c r="K1531" s="570"/>
    </row>
    <row r="1532" ht="13.75" customHeight="1">
      <c r="A1532" t="s" s="834">
        <v>1318</v>
      </c>
      <c r="B1532" t="s" s="834">
        <v>485</v>
      </c>
      <c r="C1532" t="s" s="834">
        <v>486</v>
      </c>
      <c r="D1532" s="570"/>
      <c r="E1532" s="570"/>
      <c r="F1532" s="570"/>
      <c r="G1532" s="570"/>
      <c r="H1532" s="570"/>
      <c r="I1532" s="570"/>
      <c r="J1532" s="570"/>
      <c r="K1532" s="570"/>
    </row>
    <row r="1533" ht="13.75" customHeight="1">
      <c r="A1533" s="833">
        <v>350</v>
      </c>
      <c r="B1533" t="s" s="834">
        <v>442</v>
      </c>
      <c r="C1533" t="s" s="834">
        <v>480</v>
      </c>
      <c r="D1533" s="835">
        <v>46035</v>
      </c>
      <c r="E1533" s="836">
        <v>1.362546296296296</v>
      </c>
      <c r="F1533" s="836">
        <v>1.761759259259259</v>
      </c>
      <c r="G1533" s="570"/>
      <c r="H1533" s="570"/>
      <c r="I1533" s="570"/>
      <c r="J1533" s="570"/>
      <c r="K1533" s="570"/>
    </row>
    <row r="1534" ht="13.75" customHeight="1">
      <c r="A1534" t="s" s="834">
        <v>1319</v>
      </c>
      <c r="B1534" t="s" s="834">
        <v>1320</v>
      </c>
      <c r="C1534" t="s" s="834">
        <v>515</v>
      </c>
      <c r="D1534" s="570"/>
      <c r="E1534" s="570"/>
      <c r="F1534" s="570"/>
      <c r="G1534" s="570"/>
      <c r="H1534" s="570"/>
      <c r="I1534" s="570"/>
      <c r="J1534" s="570"/>
      <c r="K1534" s="570"/>
    </row>
    <row r="1535" ht="13.75" customHeight="1">
      <c r="A1535" s="833">
        <v>350</v>
      </c>
      <c r="B1535" t="s" s="834">
        <v>442</v>
      </c>
      <c r="C1535" t="s" s="834">
        <v>480</v>
      </c>
      <c r="D1535" s="835">
        <v>46036</v>
      </c>
      <c r="E1535" s="836">
        <v>1.366226851851852</v>
      </c>
      <c r="F1535" s="836">
        <v>1.767986111111111</v>
      </c>
      <c r="G1535" s="570"/>
      <c r="H1535" s="570"/>
      <c r="I1535" s="570"/>
      <c r="J1535" s="570"/>
      <c r="K1535" s="570"/>
    </row>
    <row r="1536" ht="13.75" customHeight="1">
      <c r="A1536" t="s" s="834">
        <v>1321</v>
      </c>
      <c r="B1536" t="s" s="834">
        <v>1322</v>
      </c>
      <c r="C1536" t="s" s="834">
        <v>772</v>
      </c>
      <c r="D1536" s="570"/>
      <c r="E1536" s="570"/>
      <c r="F1536" s="570"/>
      <c r="G1536" s="570"/>
      <c r="H1536" s="570"/>
      <c r="I1536" s="570"/>
      <c r="J1536" s="570"/>
      <c r="K1536" s="570"/>
    </row>
    <row r="1537" ht="13.75" customHeight="1">
      <c r="A1537" s="833">
        <v>350</v>
      </c>
      <c r="B1537" t="s" s="834">
        <v>442</v>
      </c>
      <c r="C1537" t="s" s="834">
        <v>480</v>
      </c>
      <c r="D1537" s="835">
        <v>46037</v>
      </c>
      <c r="E1537" s="836">
        <v>1.513055555555556</v>
      </c>
      <c r="F1537" s="836">
        <v>1.752928240740741</v>
      </c>
      <c r="G1537" s="570"/>
      <c r="H1537" s="570"/>
      <c r="I1537" s="570"/>
      <c r="J1537" s="570"/>
      <c r="K1537" s="570"/>
    </row>
    <row r="1538" ht="13.75" customHeight="1">
      <c r="A1538" t="s" s="834">
        <v>1323</v>
      </c>
      <c r="B1538" t="s" s="834">
        <v>1324</v>
      </c>
      <c r="C1538" t="s" s="834">
        <v>1325</v>
      </c>
      <c r="D1538" s="570"/>
      <c r="E1538" s="570"/>
      <c r="F1538" s="570"/>
      <c r="G1538" s="570"/>
      <c r="H1538" s="570"/>
      <c r="I1538" s="570"/>
      <c r="J1538" s="570"/>
      <c r="K1538" s="570"/>
    </row>
    <row r="1539" ht="13.75" customHeight="1">
      <c r="A1539" s="833">
        <v>350</v>
      </c>
      <c r="B1539" t="s" s="834">
        <v>442</v>
      </c>
      <c r="C1539" t="s" s="834">
        <v>480</v>
      </c>
      <c r="D1539" s="835">
        <v>46038</v>
      </c>
      <c r="E1539" s="836">
        <v>1.348831018518518</v>
      </c>
      <c r="F1539" s="836">
        <v>1.752025462962963</v>
      </c>
      <c r="G1539" s="570"/>
      <c r="H1539" s="570"/>
      <c r="I1539" s="570"/>
      <c r="J1539" s="570"/>
      <c r="K1539" s="570"/>
    </row>
    <row r="1540" ht="13.75" customHeight="1">
      <c r="A1540" t="s" s="834">
        <v>1326</v>
      </c>
      <c r="B1540" t="s" s="834">
        <v>1327</v>
      </c>
      <c r="C1540" t="s" s="834">
        <v>590</v>
      </c>
      <c r="D1540" s="570"/>
      <c r="E1540" s="570"/>
      <c r="F1540" s="570"/>
      <c r="G1540" s="570"/>
      <c r="H1540" s="570"/>
      <c r="I1540" s="570"/>
      <c r="J1540" s="570"/>
      <c r="K1540" s="570"/>
    </row>
    <row r="1541" ht="13.75" customHeight="1">
      <c r="A1541" s="833">
        <v>350</v>
      </c>
      <c r="B1541" t="s" s="834">
        <v>442</v>
      </c>
      <c r="C1541" t="s" s="834">
        <v>480</v>
      </c>
      <c r="D1541" s="835">
        <v>46039</v>
      </c>
      <c r="E1541" t="s" s="834">
        <v>478</v>
      </c>
      <c r="F1541" t="s" s="834">
        <v>478</v>
      </c>
      <c r="G1541" s="570"/>
      <c r="H1541" s="570"/>
      <c r="I1541" s="570"/>
      <c r="J1541" s="570"/>
      <c r="K1541" s="570"/>
    </row>
    <row r="1542" ht="13.75" customHeight="1">
      <c r="A1542" s="833">
        <v>350</v>
      </c>
      <c r="B1542" t="s" s="834">
        <v>442</v>
      </c>
      <c r="C1542" t="s" s="834">
        <v>480</v>
      </c>
      <c r="D1542" s="835">
        <v>46040</v>
      </c>
      <c r="E1542" t="s" s="834">
        <v>478</v>
      </c>
      <c r="F1542" t="s" s="834">
        <v>478</v>
      </c>
      <c r="G1542" s="570"/>
      <c r="H1542" s="570"/>
      <c r="I1542" s="570"/>
      <c r="J1542" s="570"/>
      <c r="K1542" s="570"/>
    </row>
    <row r="1543" ht="13.75" customHeight="1">
      <c r="A1543" s="833">
        <v>350</v>
      </c>
      <c r="B1543" t="s" s="834">
        <v>442</v>
      </c>
      <c r="C1543" t="s" s="834">
        <v>480</v>
      </c>
      <c r="D1543" s="835">
        <v>46041</v>
      </c>
      <c r="E1543" s="836">
        <v>1.358553240740741</v>
      </c>
      <c r="F1543" s="836">
        <v>1.766793981481481</v>
      </c>
      <c r="G1543" s="570"/>
      <c r="H1543" s="570"/>
      <c r="I1543" s="570"/>
      <c r="J1543" s="570"/>
      <c r="K1543" s="570"/>
    </row>
    <row r="1544" ht="13.75" customHeight="1">
      <c r="A1544" t="s" s="834">
        <v>1328</v>
      </c>
      <c r="B1544" t="s" s="834">
        <v>1329</v>
      </c>
      <c r="C1544" t="s" s="834">
        <v>1330</v>
      </c>
      <c r="D1544" s="570"/>
      <c r="E1544" s="570"/>
      <c r="F1544" s="570"/>
      <c r="G1544" s="570"/>
      <c r="H1544" s="570"/>
      <c r="I1544" s="570"/>
      <c r="J1544" s="570"/>
      <c r="K1544" s="570"/>
    </row>
    <row r="1545" ht="13.75" customHeight="1">
      <c r="A1545" s="833">
        <v>350</v>
      </c>
      <c r="B1545" t="s" s="834">
        <v>442</v>
      </c>
      <c r="C1545" t="s" s="834">
        <v>480</v>
      </c>
      <c r="D1545" s="835">
        <v>46042</v>
      </c>
      <c r="E1545" s="836">
        <v>1.556863425925926</v>
      </c>
      <c r="F1545" s="836">
        <v>1.753009259259259</v>
      </c>
      <c r="G1545" s="570"/>
      <c r="H1545" s="570"/>
      <c r="I1545" s="570"/>
      <c r="J1545" s="570"/>
      <c r="K1545" s="570"/>
    </row>
    <row r="1546" ht="13.75" customHeight="1">
      <c r="A1546" t="s" s="834">
        <v>1331</v>
      </c>
      <c r="B1546" t="s" s="834">
        <v>1332</v>
      </c>
      <c r="C1546" t="s" s="834">
        <v>1333</v>
      </c>
      <c r="D1546" s="570"/>
      <c r="E1546" s="570"/>
      <c r="F1546" s="570"/>
      <c r="G1546" s="570"/>
      <c r="H1546" s="570"/>
      <c r="I1546" s="570"/>
      <c r="J1546" s="570"/>
      <c r="K1546" s="570"/>
    </row>
    <row r="1547" ht="13.75" customHeight="1">
      <c r="A1547" s="833">
        <v>350</v>
      </c>
      <c r="B1547" t="s" s="834">
        <v>442</v>
      </c>
      <c r="C1547" t="s" s="834">
        <v>480</v>
      </c>
      <c r="D1547" s="835">
        <v>46043</v>
      </c>
      <c r="E1547" s="836">
        <v>1.365</v>
      </c>
      <c r="F1547" s="836">
        <v>1.778368055555556</v>
      </c>
      <c r="G1547" s="570"/>
      <c r="H1547" s="570"/>
      <c r="I1547" s="570"/>
      <c r="J1547" s="570"/>
      <c r="K1547" s="570"/>
    </row>
    <row r="1548" ht="13.75" customHeight="1">
      <c r="A1548" t="s" s="834">
        <v>1334</v>
      </c>
      <c r="B1548" t="s" s="834">
        <v>1335</v>
      </c>
      <c r="C1548" t="s" s="834">
        <v>586</v>
      </c>
      <c r="D1548" s="570"/>
      <c r="E1548" s="570"/>
      <c r="F1548" s="570"/>
      <c r="G1548" s="570"/>
      <c r="H1548" s="570"/>
      <c r="I1548" s="570"/>
      <c r="J1548" s="570"/>
      <c r="K1548" s="570"/>
    </row>
    <row r="1549" ht="13.75" customHeight="1">
      <c r="A1549" s="833">
        <v>350</v>
      </c>
      <c r="B1549" t="s" s="834">
        <v>442</v>
      </c>
      <c r="C1549" t="s" s="834">
        <v>480</v>
      </c>
      <c r="D1549" s="835">
        <v>46044</v>
      </c>
      <c r="E1549" s="836">
        <v>1.369456018518519</v>
      </c>
      <c r="F1549" s="836">
        <v>1.76556712962963</v>
      </c>
      <c r="G1549" s="570"/>
      <c r="H1549" s="570"/>
      <c r="I1549" s="570"/>
      <c r="J1549" s="570"/>
      <c r="K1549" s="570"/>
    </row>
    <row r="1550" ht="13.75" customHeight="1">
      <c r="A1550" t="s" s="834">
        <v>1336</v>
      </c>
      <c r="B1550" t="s" s="834">
        <v>1337</v>
      </c>
      <c r="C1550" t="s" s="834">
        <v>634</v>
      </c>
      <c r="D1550" s="570"/>
      <c r="E1550" s="570"/>
      <c r="F1550" s="570"/>
      <c r="G1550" s="570"/>
      <c r="H1550" s="570"/>
      <c r="I1550" s="570"/>
      <c r="J1550" s="570"/>
      <c r="K1550" s="570"/>
    </row>
    <row r="1551" ht="13.75" customHeight="1">
      <c r="A1551" s="833">
        <v>350</v>
      </c>
      <c r="B1551" t="s" s="834">
        <v>442</v>
      </c>
      <c r="C1551" t="s" s="834">
        <v>480</v>
      </c>
      <c r="D1551" s="835">
        <v>46045</v>
      </c>
      <c r="E1551" s="836">
        <v>1.373888888888889</v>
      </c>
      <c r="F1551" s="836">
        <v>1.767708333333333</v>
      </c>
      <c r="G1551" s="570"/>
      <c r="H1551" s="570"/>
      <c r="I1551" s="570"/>
      <c r="J1551" s="570"/>
      <c r="K1551" s="570"/>
    </row>
    <row r="1552" ht="13.75" customHeight="1">
      <c r="A1552" t="s" s="834">
        <v>1338</v>
      </c>
      <c r="B1552" t="s" s="834">
        <v>1339</v>
      </c>
      <c r="C1552" t="s" s="834">
        <v>518</v>
      </c>
      <c r="D1552" s="570"/>
      <c r="E1552" s="570"/>
      <c r="F1552" s="570"/>
      <c r="G1552" s="570"/>
      <c r="H1552" s="570"/>
      <c r="I1552" s="570"/>
      <c r="J1552" s="570"/>
      <c r="K1552" s="570"/>
    </row>
    <row r="1553" ht="13.75" customHeight="1">
      <c r="A1553" s="833">
        <v>350</v>
      </c>
      <c r="B1553" t="s" s="834">
        <v>442</v>
      </c>
      <c r="C1553" t="s" s="834">
        <v>480</v>
      </c>
      <c r="D1553" s="835">
        <v>46046</v>
      </c>
      <c r="E1553" t="s" s="834">
        <v>478</v>
      </c>
      <c r="F1553" t="s" s="834">
        <v>478</v>
      </c>
      <c r="G1553" s="570"/>
      <c r="H1553" s="570"/>
      <c r="I1553" s="570"/>
      <c r="J1553" s="570"/>
      <c r="K1553" s="570"/>
    </row>
    <row r="1554" ht="13.75" customHeight="1">
      <c r="A1554" s="833">
        <v>350</v>
      </c>
      <c r="B1554" t="s" s="834">
        <v>442</v>
      </c>
      <c r="C1554" t="s" s="834">
        <v>480</v>
      </c>
      <c r="D1554" s="835">
        <v>46047</v>
      </c>
      <c r="E1554" t="s" s="834">
        <v>478</v>
      </c>
      <c r="F1554" t="s" s="834">
        <v>478</v>
      </c>
      <c r="G1554" s="570"/>
      <c r="H1554" s="570"/>
      <c r="I1554" s="570"/>
      <c r="J1554" s="570"/>
      <c r="K1554" s="570"/>
    </row>
    <row r="1555" ht="13.75" customHeight="1">
      <c r="A1555" s="833">
        <v>350</v>
      </c>
      <c r="B1555" t="s" s="834">
        <v>442</v>
      </c>
      <c r="C1555" t="s" s="834">
        <v>480</v>
      </c>
      <c r="D1555" s="835">
        <v>46048</v>
      </c>
      <c r="E1555" s="836">
        <v>1.56525462962963</v>
      </c>
      <c r="F1555" s="836">
        <v>1.762002314814815</v>
      </c>
      <c r="G1555" s="570"/>
      <c r="H1555" s="570"/>
      <c r="I1555" s="570"/>
      <c r="J1555" s="570"/>
      <c r="K1555" s="570"/>
    </row>
    <row r="1556" ht="13.75" customHeight="1">
      <c r="A1556" t="s" s="834">
        <v>1340</v>
      </c>
      <c r="B1556" t="s" s="834">
        <v>1341</v>
      </c>
      <c r="C1556" t="s" s="834">
        <v>1342</v>
      </c>
      <c r="D1556" s="570"/>
      <c r="E1556" s="570"/>
      <c r="F1556" s="570"/>
      <c r="G1556" s="570"/>
      <c r="H1556" s="570"/>
      <c r="I1556" s="570"/>
      <c r="J1556" s="570"/>
      <c r="K1556" s="570"/>
    </row>
    <row r="1557" ht="13.75" customHeight="1">
      <c r="A1557" s="833">
        <v>350</v>
      </c>
      <c r="B1557" t="s" s="834">
        <v>442</v>
      </c>
      <c r="C1557" t="s" s="834">
        <v>480</v>
      </c>
      <c r="D1557" s="835">
        <v>46049</v>
      </c>
      <c r="E1557" s="836">
        <v>1.3603125</v>
      </c>
      <c r="F1557" s="836">
        <v>1.765381944444445</v>
      </c>
      <c r="G1557" s="570"/>
      <c r="H1557" s="570"/>
      <c r="I1557" s="570"/>
      <c r="J1557" s="570"/>
      <c r="K1557" s="570"/>
    </row>
    <row r="1558" ht="13.75" customHeight="1">
      <c r="A1558" t="s" s="834">
        <v>1343</v>
      </c>
      <c r="B1558" t="s" s="834">
        <v>1344</v>
      </c>
      <c r="C1558" t="s" s="834">
        <v>582</v>
      </c>
      <c r="D1558" s="570"/>
      <c r="E1558" s="570"/>
      <c r="F1558" s="570"/>
      <c r="G1558" s="570"/>
      <c r="H1558" s="570"/>
      <c r="I1558" s="570"/>
      <c r="J1558" s="570"/>
      <c r="K1558" s="570"/>
    </row>
    <row r="1559" ht="13.75" customHeight="1">
      <c r="A1559" s="833">
        <v>350</v>
      </c>
      <c r="B1559" t="s" s="834">
        <v>442</v>
      </c>
      <c r="C1559" t="s" s="834">
        <v>480</v>
      </c>
      <c r="D1559" s="835">
        <v>46050</v>
      </c>
      <c r="E1559" t="s" s="834">
        <v>478</v>
      </c>
      <c r="F1559" t="s" s="834">
        <v>478</v>
      </c>
      <c r="G1559" s="570"/>
      <c r="H1559" s="570"/>
      <c r="I1559" s="570"/>
      <c r="J1559" s="570"/>
      <c r="K1559" s="570"/>
    </row>
    <row r="1560" ht="13.75" customHeight="1">
      <c r="A1560" s="833">
        <v>350</v>
      </c>
      <c r="B1560" t="s" s="834">
        <v>442</v>
      </c>
      <c r="C1560" t="s" s="834">
        <v>480</v>
      </c>
      <c r="D1560" s="835">
        <v>46051</v>
      </c>
      <c r="E1560" s="836">
        <v>1.346759259259259</v>
      </c>
      <c r="F1560" s="836">
        <v>1.762615740740741</v>
      </c>
      <c r="G1560" s="570"/>
      <c r="H1560" s="570"/>
      <c r="I1560" s="570"/>
      <c r="J1560" s="570"/>
      <c r="K1560" s="570"/>
    </row>
    <row r="1561" ht="13.75" customHeight="1">
      <c r="A1561" t="s" s="834">
        <v>1345</v>
      </c>
      <c r="B1561" t="s" s="834">
        <v>1346</v>
      </c>
      <c r="C1561" t="s" s="834">
        <v>652</v>
      </c>
      <c r="D1561" s="570"/>
      <c r="E1561" s="570"/>
      <c r="F1561" s="570"/>
      <c r="G1561" s="570"/>
      <c r="H1561" s="570"/>
      <c r="I1561" s="570"/>
      <c r="J1561" s="570"/>
      <c r="K1561" s="570"/>
    </row>
    <row r="1562" ht="13.75" customHeight="1">
      <c r="A1562" s="833">
        <v>350</v>
      </c>
      <c r="B1562" t="s" s="834">
        <v>442</v>
      </c>
      <c r="C1562" t="s" s="834">
        <v>480</v>
      </c>
      <c r="D1562" s="835">
        <v>46052</v>
      </c>
      <c r="E1562" t="s" s="834">
        <v>478</v>
      </c>
      <c r="F1562" t="s" s="834">
        <v>478</v>
      </c>
      <c r="G1562" s="570"/>
      <c r="H1562" s="570"/>
      <c r="I1562" s="570"/>
      <c r="J1562" s="570"/>
      <c r="K1562" s="570"/>
    </row>
    <row r="1563" ht="13.75" customHeight="1">
      <c r="A1563" s="833">
        <v>350</v>
      </c>
      <c r="B1563" t="s" s="834">
        <v>442</v>
      </c>
      <c r="C1563" t="s" s="834">
        <v>480</v>
      </c>
      <c r="D1563" s="835">
        <v>46053</v>
      </c>
      <c r="E1563" t="s" s="834">
        <v>478</v>
      </c>
      <c r="F1563" t="s" s="834">
        <v>478</v>
      </c>
      <c r="G1563" s="570"/>
      <c r="H1563" s="570"/>
      <c r="I1563" s="570"/>
      <c r="J1563" s="570"/>
      <c r="K1563" s="570"/>
    </row>
    <row r="1564" ht="13.75" customHeight="1">
      <c r="A1564" s="833">
        <v>350</v>
      </c>
      <c r="B1564" t="s" s="834">
        <v>442</v>
      </c>
      <c r="C1564" t="s" s="834">
        <v>480</v>
      </c>
      <c r="D1564" s="835">
        <v>46054</v>
      </c>
      <c r="E1564" t="s" s="834">
        <v>478</v>
      </c>
      <c r="F1564" t="s" s="834">
        <v>478</v>
      </c>
      <c r="G1564" s="570"/>
      <c r="H1564" s="570"/>
      <c r="I1564" s="570"/>
      <c r="J1564" s="570"/>
      <c r="K1564" s="570"/>
    </row>
    <row r="1565" ht="13.75" customHeight="1">
      <c r="A1565" s="833">
        <v>351</v>
      </c>
      <c r="B1565" t="s" s="834">
        <v>1347</v>
      </c>
      <c r="C1565" t="s" s="834">
        <v>480</v>
      </c>
      <c r="D1565" s="835">
        <v>46023</v>
      </c>
      <c r="E1565" t="s" s="834">
        <v>478</v>
      </c>
      <c r="F1565" t="s" s="834">
        <v>478</v>
      </c>
      <c r="G1565" s="570"/>
      <c r="H1565" s="570"/>
      <c r="I1565" s="570"/>
      <c r="J1565" s="570"/>
      <c r="K1565" s="570"/>
    </row>
    <row r="1566" ht="13.75" customHeight="1">
      <c r="A1566" s="833">
        <v>351</v>
      </c>
      <c r="B1566" t="s" s="834">
        <v>1347</v>
      </c>
      <c r="C1566" t="s" s="834">
        <v>480</v>
      </c>
      <c r="D1566" s="835">
        <v>46024</v>
      </c>
      <c r="E1566" t="s" s="834">
        <v>478</v>
      </c>
      <c r="F1566" t="s" s="834">
        <v>478</v>
      </c>
      <c r="G1566" s="570"/>
      <c r="H1566" s="570"/>
      <c r="I1566" s="570"/>
      <c r="J1566" s="570"/>
      <c r="K1566" s="570"/>
    </row>
    <row r="1567" ht="13.75" customHeight="1">
      <c r="A1567" s="833">
        <v>351</v>
      </c>
      <c r="B1567" t="s" s="834">
        <v>1347</v>
      </c>
      <c r="C1567" t="s" s="834">
        <v>480</v>
      </c>
      <c r="D1567" s="835">
        <v>46025</v>
      </c>
      <c r="E1567" t="s" s="834">
        <v>478</v>
      </c>
      <c r="F1567" t="s" s="834">
        <v>478</v>
      </c>
      <c r="G1567" s="570"/>
      <c r="H1567" s="570"/>
      <c r="I1567" s="570"/>
      <c r="J1567" s="570"/>
      <c r="K1567" s="570"/>
    </row>
    <row r="1568" ht="13.75" customHeight="1">
      <c r="A1568" s="833">
        <v>351</v>
      </c>
      <c r="B1568" t="s" s="834">
        <v>1347</v>
      </c>
      <c r="C1568" t="s" s="834">
        <v>480</v>
      </c>
      <c r="D1568" s="835">
        <v>46026</v>
      </c>
      <c r="E1568" t="s" s="834">
        <v>478</v>
      </c>
      <c r="F1568" t="s" s="834">
        <v>478</v>
      </c>
      <c r="G1568" s="570"/>
      <c r="H1568" s="570"/>
      <c r="I1568" s="570"/>
      <c r="J1568" s="570"/>
      <c r="K1568" s="570"/>
    </row>
    <row r="1569" ht="13.75" customHeight="1">
      <c r="A1569" s="833">
        <v>351</v>
      </c>
      <c r="B1569" t="s" s="834">
        <v>1347</v>
      </c>
      <c r="C1569" t="s" s="834">
        <v>480</v>
      </c>
      <c r="D1569" s="835">
        <v>46027</v>
      </c>
      <c r="E1569" t="s" s="834">
        <v>478</v>
      </c>
      <c r="F1569" t="s" s="834">
        <v>478</v>
      </c>
      <c r="G1569" s="570"/>
      <c r="H1569" s="570"/>
      <c r="I1569" s="570"/>
      <c r="J1569" s="570"/>
      <c r="K1569" s="570"/>
    </row>
    <row r="1570" ht="13.75" customHeight="1">
      <c r="A1570" s="833">
        <v>351</v>
      </c>
      <c r="B1570" t="s" s="834">
        <v>1347</v>
      </c>
      <c r="C1570" t="s" s="834">
        <v>480</v>
      </c>
      <c r="D1570" s="835">
        <v>46028</v>
      </c>
      <c r="E1570" t="s" s="834">
        <v>478</v>
      </c>
      <c r="F1570" t="s" s="834">
        <v>478</v>
      </c>
      <c r="G1570" s="570"/>
      <c r="H1570" s="570"/>
      <c r="I1570" s="570"/>
      <c r="J1570" s="570"/>
      <c r="K1570" s="570"/>
    </row>
    <row r="1571" ht="13.75" customHeight="1">
      <c r="A1571" s="833">
        <v>351</v>
      </c>
      <c r="B1571" t="s" s="834">
        <v>1347</v>
      </c>
      <c r="C1571" t="s" s="834">
        <v>480</v>
      </c>
      <c r="D1571" s="835">
        <v>46029</v>
      </c>
      <c r="E1571" t="s" s="834">
        <v>478</v>
      </c>
      <c r="F1571" t="s" s="834">
        <v>478</v>
      </c>
      <c r="G1571" s="570"/>
      <c r="H1571" s="570"/>
      <c r="I1571" s="570"/>
      <c r="J1571" s="570"/>
      <c r="K1571" s="570"/>
    </row>
    <row r="1572" ht="13.75" customHeight="1">
      <c r="A1572" s="833">
        <v>351</v>
      </c>
      <c r="B1572" t="s" s="834">
        <v>1347</v>
      </c>
      <c r="C1572" t="s" s="834">
        <v>480</v>
      </c>
      <c r="D1572" s="835">
        <v>46030</v>
      </c>
      <c r="E1572" t="s" s="834">
        <v>478</v>
      </c>
      <c r="F1572" t="s" s="834">
        <v>478</v>
      </c>
      <c r="G1572" s="570"/>
      <c r="H1572" s="570"/>
      <c r="I1572" s="570"/>
      <c r="J1572" s="570"/>
      <c r="K1572" s="570"/>
    </row>
    <row r="1573" ht="13.75" customHeight="1">
      <c r="A1573" s="833">
        <v>351</v>
      </c>
      <c r="B1573" t="s" s="834">
        <v>1347</v>
      </c>
      <c r="C1573" t="s" s="834">
        <v>480</v>
      </c>
      <c r="D1573" s="835">
        <v>46031</v>
      </c>
      <c r="E1573" t="s" s="834">
        <v>478</v>
      </c>
      <c r="F1573" t="s" s="834">
        <v>478</v>
      </c>
      <c r="G1573" s="570"/>
      <c r="H1573" s="570"/>
      <c r="I1573" s="570"/>
      <c r="J1573" s="570"/>
      <c r="K1573" s="570"/>
    </row>
    <row r="1574" ht="13.75" customHeight="1">
      <c r="A1574" s="833">
        <v>351</v>
      </c>
      <c r="B1574" t="s" s="834">
        <v>1347</v>
      </c>
      <c r="C1574" t="s" s="834">
        <v>480</v>
      </c>
      <c r="D1574" s="835">
        <v>46032</v>
      </c>
      <c r="E1574" t="s" s="834">
        <v>478</v>
      </c>
      <c r="F1574" t="s" s="834">
        <v>478</v>
      </c>
      <c r="G1574" s="570"/>
      <c r="H1574" s="570"/>
      <c r="I1574" s="570"/>
      <c r="J1574" s="570"/>
      <c r="K1574" s="570"/>
    </row>
    <row r="1575" ht="13.75" customHeight="1">
      <c r="A1575" s="833">
        <v>351</v>
      </c>
      <c r="B1575" t="s" s="834">
        <v>1347</v>
      </c>
      <c r="C1575" t="s" s="834">
        <v>480</v>
      </c>
      <c r="D1575" s="835">
        <v>46033</v>
      </c>
      <c r="E1575" t="s" s="834">
        <v>478</v>
      </c>
      <c r="F1575" t="s" s="834">
        <v>478</v>
      </c>
      <c r="G1575" s="570"/>
      <c r="H1575" s="570"/>
      <c r="I1575" s="570"/>
      <c r="J1575" s="570"/>
      <c r="K1575" s="570"/>
    </row>
    <row r="1576" ht="13.75" customHeight="1">
      <c r="A1576" s="833">
        <v>351</v>
      </c>
      <c r="B1576" t="s" s="834">
        <v>1347</v>
      </c>
      <c r="C1576" t="s" s="834">
        <v>480</v>
      </c>
      <c r="D1576" s="835">
        <v>46034</v>
      </c>
      <c r="E1576" t="s" s="834">
        <v>478</v>
      </c>
      <c r="F1576" t="s" s="834">
        <v>478</v>
      </c>
      <c r="G1576" s="570"/>
      <c r="H1576" s="570"/>
      <c r="I1576" s="570"/>
      <c r="J1576" s="570"/>
      <c r="K1576" s="570"/>
    </row>
    <row r="1577" ht="13.75" customHeight="1">
      <c r="A1577" s="833">
        <v>351</v>
      </c>
      <c r="B1577" t="s" s="834">
        <v>1347</v>
      </c>
      <c r="C1577" t="s" s="834">
        <v>480</v>
      </c>
      <c r="D1577" s="835">
        <v>46035</v>
      </c>
      <c r="E1577" t="s" s="834">
        <v>478</v>
      </c>
      <c r="F1577" t="s" s="834">
        <v>478</v>
      </c>
      <c r="G1577" s="570"/>
      <c r="H1577" s="570"/>
      <c r="I1577" s="570"/>
      <c r="J1577" s="570"/>
      <c r="K1577" s="570"/>
    </row>
    <row r="1578" ht="13.75" customHeight="1">
      <c r="A1578" s="833">
        <v>351</v>
      </c>
      <c r="B1578" t="s" s="834">
        <v>1347</v>
      </c>
      <c r="C1578" t="s" s="834">
        <v>480</v>
      </c>
      <c r="D1578" s="835">
        <v>46036</v>
      </c>
      <c r="E1578" t="s" s="834">
        <v>478</v>
      </c>
      <c r="F1578" t="s" s="834">
        <v>478</v>
      </c>
      <c r="G1578" s="570"/>
      <c r="H1578" s="570"/>
      <c r="I1578" s="570"/>
      <c r="J1578" s="570"/>
      <c r="K1578" s="570"/>
    </row>
    <row r="1579" ht="13.75" customHeight="1">
      <c r="A1579" s="833">
        <v>351</v>
      </c>
      <c r="B1579" t="s" s="834">
        <v>1347</v>
      </c>
      <c r="C1579" t="s" s="834">
        <v>480</v>
      </c>
      <c r="D1579" s="835">
        <v>46037</v>
      </c>
      <c r="E1579" t="s" s="834">
        <v>478</v>
      </c>
      <c r="F1579" t="s" s="834">
        <v>478</v>
      </c>
      <c r="G1579" s="570"/>
      <c r="H1579" s="570"/>
      <c r="I1579" s="570"/>
      <c r="J1579" s="570"/>
      <c r="K1579" s="570"/>
    </row>
    <row r="1580" ht="13.75" customHeight="1">
      <c r="A1580" s="833">
        <v>351</v>
      </c>
      <c r="B1580" t="s" s="834">
        <v>1347</v>
      </c>
      <c r="C1580" t="s" s="834">
        <v>480</v>
      </c>
      <c r="D1580" s="835">
        <v>46038</v>
      </c>
      <c r="E1580" t="s" s="834">
        <v>478</v>
      </c>
      <c r="F1580" t="s" s="834">
        <v>478</v>
      </c>
      <c r="G1580" s="570"/>
      <c r="H1580" s="570"/>
      <c r="I1580" s="570"/>
      <c r="J1580" s="570"/>
      <c r="K1580" s="570"/>
    </row>
    <row r="1581" ht="13.75" customHeight="1">
      <c r="A1581" s="833">
        <v>351</v>
      </c>
      <c r="B1581" t="s" s="834">
        <v>1347</v>
      </c>
      <c r="C1581" t="s" s="834">
        <v>480</v>
      </c>
      <c r="D1581" s="835">
        <v>46039</v>
      </c>
      <c r="E1581" t="s" s="834">
        <v>478</v>
      </c>
      <c r="F1581" t="s" s="834">
        <v>478</v>
      </c>
      <c r="G1581" s="570"/>
      <c r="H1581" s="570"/>
      <c r="I1581" s="570"/>
      <c r="J1581" s="570"/>
      <c r="K1581" s="570"/>
    </row>
    <row r="1582" ht="13.75" customHeight="1">
      <c r="A1582" s="833">
        <v>351</v>
      </c>
      <c r="B1582" t="s" s="834">
        <v>1347</v>
      </c>
      <c r="C1582" t="s" s="834">
        <v>480</v>
      </c>
      <c r="D1582" s="835">
        <v>46040</v>
      </c>
      <c r="E1582" t="s" s="834">
        <v>478</v>
      </c>
      <c r="F1582" t="s" s="834">
        <v>478</v>
      </c>
      <c r="G1582" s="570"/>
      <c r="H1582" s="570"/>
      <c r="I1582" s="570"/>
      <c r="J1582" s="570"/>
      <c r="K1582" s="570"/>
    </row>
    <row r="1583" ht="13.75" customHeight="1">
      <c r="A1583" s="833">
        <v>351</v>
      </c>
      <c r="B1583" t="s" s="834">
        <v>1347</v>
      </c>
      <c r="C1583" t="s" s="834">
        <v>480</v>
      </c>
      <c r="D1583" s="835">
        <v>46041</v>
      </c>
      <c r="E1583" t="s" s="834">
        <v>478</v>
      </c>
      <c r="F1583" t="s" s="834">
        <v>478</v>
      </c>
      <c r="G1583" s="570"/>
      <c r="H1583" s="570"/>
      <c r="I1583" s="570"/>
      <c r="J1583" s="570"/>
      <c r="K1583" s="570"/>
    </row>
    <row r="1584" ht="13.75" customHeight="1">
      <c r="A1584" s="833">
        <v>351</v>
      </c>
      <c r="B1584" t="s" s="834">
        <v>1347</v>
      </c>
      <c r="C1584" t="s" s="834">
        <v>480</v>
      </c>
      <c r="D1584" s="835">
        <v>46042</v>
      </c>
      <c r="E1584" t="s" s="834">
        <v>478</v>
      </c>
      <c r="F1584" t="s" s="834">
        <v>478</v>
      </c>
      <c r="G1584" s="570"/>
      <c r="H1584" s="570"/>
      <c r="I1584" s="570"/>
      <c r="J1584" s="570"/>
      <c r="K1584" s="570"/>
    </row>
    <row r="1585" ht="13.75" customHeight="1">
      <c r="A1585" s="833">
        <v>351</v>
      </c>
      <c r="B1585" t="s" s="834">
        <v>1347</v>
      </c>
      <c r="C1585" t="s" s="834">
        <v>480</v>
      </c>
      <c r="D1585" s="835">
        <v>46043</v>
      </c>
      <c r="E1585" t="s" s="834">
        <v>478</v>
      </c>
      <c r="F1585" t="s" s="834">
        <v>478</v>
      </c>
      <c r="G1585" s="570"/>
      <c r="H1585" s="570"/>
      <c r="I1585" s="570"/>
      <c r="J1585" s="570"/>
      <c r="K1585" s="570"/>
    </row>
    <row r="1586" ht="13.75" customHeight="1">
      <c r="A1586" s="833">
        <v>351</v>
      </c>
      <c r="B1586" t="s" s="834">
        <v>1347</v>
      </c>
      <c r="C1586" t="s" s="834">
        <v>480</v>
      </c>
      <c r="D1586" s="835">
        <v>46044</v>
      </c>
      <c r="E1586" t="s" s="834">
        <v>478</v>
      </c>
      <c r="F1586" t="s" s="834">
        <v>478</v>
      </c>
      <c r="G1586" s="570"/>
      <c r="H1586" s="570"/>
      <c r="I1586" s="570"/>
      <c r="J1586" s="570"/>
      <c r="K1586" s="570"/>
    </row>
    <row r="1587" ht="13.75" customHeight="1">
      <c r="A1587" s="833">
        <v>351</v>
      </c>
      <c r="B1587" t="s" s="834">
        <v>1347</v>
      </c>
      <c r="C1587" t="s" s="834">
        <v>480</v>
      </c>
      <c r="D1587" s="835">
        <v>46045</v>
      </c>
      <c r="E1587" t="s" s="834">
        <v>478</v>
      </c>
      <c r="F1587" t="s" s="834">
        <v>478</v>
      </c>
      <c r="G1587" s="570"/>
      <c r="H1587" s="570"/>
      <c r="I1587" s="570"/>
      <c r="J1587" s="570"/>
      <c r="K1587" s="570"/>
    </row>
    <row r="1588" ht="13.75" customHeight="1">
      <c r="A1588" s="833">
        <v>351</v>
      </c>
      <c r="B1588" t="s" s="834">
        <v>1347</v>
      </c>
      <c r="C1588" t="s" s="834">
        <v>480</v>
      </c>
      <c r="D1588" s="835">
        <v>46046</v>
      </c>
      <c r="E1588" t="s" s="834">
        <v>478</v>
      </c>
      <c r="F1588" t="s" s="834">
        <v>478</v>
      </c>
      <c r="G1588" s="570"/>
      <c r="H1588" s="570"/>
      <c r="I1588" s="570"/>
      <c r="J1588" s="570"/>
      <c r="K1588" s="570"/>
    </row>
    <row r="1589" ht="13.75" customHeight="1">
      <c r="A1589" s="833">
        <v>351</v>
      </c>
      <c r="B1589" t="s" s="834">
        <v>1347</v>
      </c>
      <c r="C1589" t="s" s="834">
        <v>480</v>
      </c>
      <c r="D1589" s="835">
        <v>46047</v>
      </c>
      <c r="E1589" t="s" s="834">
        <v>478</v>
      </c>
      <c r="F1589" t="s" s="834">
        <v>478</v>
      </c>
      <c r="G1589" s="570"/>
      <c r="H1589" s="570"/>
      <c r="I1589" s="570"/>
      <c r="J1589" s="570"/>
      <c r="K1589" s="570"/>
    </row>
    <row r="1590" ht="13.75" customHeight="1">
      <c r="A1590" s="833">
        <v>351</v>
      </c>
      <c r="B1590" t="s" s="834">
        <v>1347</v>
      </c>
      <c r="C1590" t="s" s="834">
        <v>480</v>
      </c>
      <c r="D1590" s="835">
        <v>46048</v>
      </c>
      <c r="E1590" t="s" s="834">
        <v>478</v>
      </c>
      <c r="F1590" t="s" s="834">
        <v>478</v>
      </c>
      <c r="G1590" s="570"/>
      <c r="H1590" s="570"/>
      <c r="I1590" s="570"/>
      <c r="J1590" s="570"/>
      <c r="K1590" s="570"/>
    </row>
    <row r="1591" ht="13.75" customHeight="1">
      <c r="A1591" s="833">
        <v>351</v>
      </c>
      <c r="B1591" t="s" s="834">
        <v>1347</v>
      </c>
      <c r="C1591" t="s" s="834">
        <v>480</v>
      </c>
      <c r="D1591" s="835">
        <v>46049</v>
      </c>
      <c r="E1591" t="s" s="834">
        <v>478</v>
      </c>
      <c r="F1591" t="s" s="834">
        <v>478</v>
      </c>
      <c r="G1591" s="570"/>
      <c r="H1591" s="570"/>
      <c r="I1591" s="570"/>
      <c r="J1591" s="570"/>
      <c r="K1591" s="570"/>
    </row>
    <row r="1592" ht="13.75" customHeight="1">
      <c r="A1592" s="833">
        <v>351</v>
      </c>
      <c r="B1592" t="s" s="834">
        <v>1347</v>
      </c>
      <c r="C1592" t="s" s="834">
        <v>480</v>
      </c>
      <c r="D1592" s="835">
        <v>46050</v>
      </c>
      <c r="E1592" t="s" s="834">
        <v>478</v>
      </c>
      <c r="F1592" t="s" s="834">
        <v>478</v>
      </c>
      <c r="G1592" s="570"/>
      <c r="H1592" s="570"/>
      <c r="I1592" s="570"/>
      <c r="J1592" s="570"/>
      <c r="K1592" s="570"/>
    </row>
    <row r="1593" ht="13.75" customHeight="1">
      <c r="A1593" s="833">
        <v>351</v>
      </c>
      <c r="B1593" t="s" s="834">
        <v>1347</v>
      </c>
      <c r="C1593" t="s" s="834">
        <v>480</v>
      </c>
      <c r="D1593" s="835">
        <v>46051</v>
      </c>
      <c r="E1593" t="s" s="834">
        <v>478</v>
      </c>
      <c r="F1593" t="s" s="834">
        <v>478</v>
      </c>
      <c r="G1593" s="570"/>
      <c r="H1593" s="570"/>
      <c r="I1593" s="570"/>
      <c r="J1593" s="570"/>
      <c r="K1593" s="570"/>
    </row>
    <row r="1594" ht="13.75" customHeight="1">
      <c r="A1594" s="833">
        <v>351</v>
      </c>
      <c r="B1594" t="s" s="834">
        <v>1347</v>
      </c>
      <c r="C1594" t="s" s="834">
        <v>480</v>
      </c>
      <c r="D1594" s="835">
        <v>46052</v>
      </c>
      <c r="E1594" t="s" s="834">
        <v>478</v>
      </c>
      <c r="F1594" t="s" s="834">
        <v>478</v>
      </c>
      <c r="G1594" s="570"/>
      <c r="H1594" s="570"/>
      <c r="I1594" s="570"/>
      <c r="J1594" s="570"/>
      <c r="K1594" s="570"/>
    </row>
    <row r="1595" ht="13.75" customHeight="1">
      <c r="A1595" s="833">
        <v>351</v>
      </c>
      <c r="B1595" t="s" s="834">
        <v>1347</v>
      </c>
      <c r="C1595" t="s" s="834">
        <v>480</v>
      </c>
      <c r="D1595" s="835">
        <v>46053</v>
      </c>
      <c r="E1595" t="s" s="834">
        <v>478</v>
      </c>
      <c r="F1595" t="s" s="834">
        <v>478</v>
      </c>
      <c r="G1595" s="570"/>
      <c r="H1595" s="570"/>
      <c r="I1595" s="570"/>
      <c r="J1595" s="570"/>
      <c r="K1595" s="570"/>
    </row>
    <row r="1596" ht="13.75" customHeight="1">
      <c r="A1596" s="833">
        <v>351</v>
      </c>
      <c r="B1596" t="s" s="834">
        <v>1347</v>
      </c>
      <c r="C1596" t="s" s="834">
        <v>480</v>
      </c>
      <c r="D1596" s="835">
        <v>46054</v>
      </c>
      <c r="E1596" t="s" s="834">
        <v>478</v>
      </c>
      <c r="F1596" t="s" s="834">
        <v>478</v>
      </c>
      <c r="G1596" s="570"/>
      <c r="H1596" s="570"/>
      <c r="I1596" s="570"/>
      <c r="J1596" s="570"/>
      <c r="K1596" s="570"/>
    </row>
    <row r="1597" ht="13.75" customHeight="1">
      <c r="A1597" s="833">
        <v>353</v>
      </c>
      <c r="B1597" t="s" s="834">
        <v>1348</v>
      </c>
      <c r="C1597" t="s" s="834">
        <v>480</v>
      </c>
      <c r="D1597" s="835">
        <v>46023</v>
      </c>
      <c r="E1597" t="s" s="834">
        <v>478</v>
      </c>
      <c r="F1597" t="s" s="834">
        <v>478</v>
      </c>
      <c r="G1597" s="570"/>
      <c r="H1597" s="570"/>
      <c r="I1597" s="570"/>
      <c r="J1597" s="570"/>
      <c r="K1597" s="570"/>
    </row>
    <row r="1598" ht="13.75" customHeight="1">
      <c r="A1598" s="833">
        <v>353</v>
      </c>
      <c r="B1598" t="s" s="834">
        <v>1348</v>
      </c>
      <c r="C1598" t="s" s="834">
        <v>480</v>
      </c>
      <c r="D1598" s="835">
        <v>46024</v>
      </c>
      <c r="E1598" t="s" s="834">
        <v>478</v>
      </c>
      <c r="F1598" t="s" s="834">
        <v>478</v>
      </c>
      <c r="G1598" s="570"/>
      <c r="H1598" s="570"/>
      <c r="I1598" s="570"/>
      <c r="J1598" s="570"/>
      <c r="K1598" s="570"/>
    </row>
    <row r="1599" ht="13.75" customHeight="1">
      <c r="A1599" s="833">
        <v>353</v>
      </c>
      <c r="B1599" t="s" s="834">
        <v>1348</v>
      </c>
      <c r="C1599" t="s" s="834">
        <v>480</v>
      </c>
      <c r="D1599" s="835">
        <v>46025</v>
      </c>
      <c r="E1599" t="s" s="834">
        <v>478</v>
      </c>
      <c r="F1599" t="s" s="834">
        <v>478</v>
      </c>
      <c r="G1599" s="570"/>
      <c r="H1599" s="570"/>
      <c r="I1599" s="570"/>
      <c r="J1599" s="570"/>
      <c r="K1599" s="570"/>
    </row>
    <row r="1600" ht="13.75" customHeight="1">
      <c r="A1600" s="833">
        <v>353</v>
      </c>
      <c r="B1600" t="s" s="834">
        <v>1348</v>
      </c>
      <c r="C1600" t="s" s="834">
        <v>480</v>
      </c>
      <c r="D1600" s="835">
        <v>46026</v>
      </c>
      <c r="E1600" t="s" s="834">
        <v>478</v>
      </c>
      <c r="F1600" t="s" s="834">
        <v>478</v>
      </c>
      <c r="G1600" s="570"/>
      <c r="H1600" s="570"/>
      <c r="I1600" s="570"/>
      <c r="J1600" s="570"/>
      <c r="K1600" s="570"/>
    </row>
    <row r="1601" ht="13.75" customHeight="1">
      <c r="A1601" s="833">
        <v>353</v>
      </c>
      <c r="B1601" t="s" s="834">
        <v>1348</v>
      </c>
      <c r="C1601" t="s" s="834">
        <v>480</v>
      </c>
      <c r="D1601" s="835">
        <v>46027</v>
      </c>
      <c r="E1601" t="s" s="834">
        <v>478</v>
      </c>
      <c r="F1601" t="s" s="834">
        <v>478</v>
      </c>
      <c r="G1601" s="570"/>
      <c r="H1601" s="570"/>
      <c r="I1601" s="570"/>
      <c r="J1601" s="570"/>
      <c r="K1601" s="570"/>
    </row>
    <row r="1602" ht="13.75" customHeight="1">
      <c r="A1602" s="833">
        <v>353</v>
      </c>
      <c r="B1602" t="s" s="834">
        <v>1348</v>
      </c>
      <c r="C1602" t="s" s="834">
        <v>480</v>
      </c>
      <c r="D1602" s="835">
        <v>46028</v>
      </c>
      <c r="E1602" t="s" s="834">
        <v>478</v>
      </c>
      <c r="F1602" t="s" s="834">
        <v>478</v>
      </c>
      <c r="G1602" s="570"/>
      <c r="H1602" s="570"/>
      <c r="I1602" s="570"/>
      <c r="J1602" s="570"/>
      <c r="K1602" s="570"/>
    </row>
    <row r="1603" ht="13.75" customHeight="1">
      <c r="A1603" s="833">
        <v>353</v>
      </c>
      <c r="B1603" t="s" s="834">
        <v>1348</v>
      </c>
      <c r="C1603" t="s" s="834">
        <v>480</v>
      </c>
      <c r="D1603" s="835">
        <v>46029</v>
      </c>
      <c r="E1603" t="s" s="834">
        <v>478</v>
      </c>
      <c r="F1603" t="s" s="834">
        <v>478</v>
      </c>
      <c r="G1603" s="570"/>
      <c r="H1603" s="570"/>
      <c r="I1603" s="570"/>
      <c r="J1603" s="570"/>
      <c r="K1603" s="570"/>
    </row>
    <row r="1604" ht="13.75" customHeight="1">
      <c r="A1604" s="833">
        <v>353</v>
      </c>
      <c r="B1604" t="s" s="834">
        <v>1348</v>
      </c>
      <c r="C1604" t="s" s="834">
        <v>480</v>
      </c>
      <c r="D1604" s="835">
        <v>46030</v>
      </c>
      <c r="E1604" t="s" s="834">
        <v>478</v>
      </c>
      <c r="F1604" t="s" s="834">
        <v>478</v>
      </c>
      <c r="G1604" s="570"/>
      <c r="H1604" s="570"/>
      <c r="I1604" s="570"/>
      <c r="J1604" s="570"/>
      <c r="K1604" s="570"/>
    </row>
    <row r="1605" ht="13.75" customHeight="1">
      <c r="A1605" s="833">
        <v>353</v>
      </c>
      <c r="B1605" t="s" s="834">
        <v>1348</v>
      </c>
      <c r="C1605" t="s" s="834">
        <v>480</v>
      </c>
      <c r="D1605" s="835">
        <v>46031</v>
      </c>
      <c r="E1605" t="s" s="834">
        <v>478</v>
      </c>
      <c r="F1605" t="s" s="834">
        <v>478</v>
      </c>
      <c r="G1605" s="570"/>
      <c r="H1605" s="570"/>
      <c r="I1605" s="570"/>
      <c r="J1605" s="570"/>
      <c r="K1605" s="570"/>
    </row>
    <row r="1606" ht="13.75" customHeight="1">
      <c r="A1606" s="833">
        <v>353</v>
      </c>
      <c r="B1606" t="s" s="834">
        <v>1348</v>
      </c>
      <c r="C1606" t="s" s="834">
        <v>480</v>
      </c>
      <c r="D1606" s="835">
        <v>46032</v>
      </c>
      <c r="E1606" t="s" s="834">
        <v>478</v>
      </c>
      <c r="F1606" t="s" s="834">
        <v>478</v>
      </c>
      <c r="G1606" s="570"/>
      <c r="H1606" s="570"/>
      <c r="I1606" s="570"/>
      <c r="J1606" s="570"/>
      <c r="K1606" s="570"/>
    </row>
    <row r="1607" ht="13.75" customHeight="1">
      <c r="A1607" s="833">
        <v>353</v>
      </c>
      <c r="B1607" t="s" s="834">
        <v>1348</v>
      </c>
      <c r="C1607" t="s" s="834">
        <v>480</v>
      </c>
      <c r="D1607" s="835">
        <v>46033</v>
      </c>
      <c r="E1607" t="s" s="834">
        <v>478</v>
      </c>
      <c r="F1607" t="s" s="834">
        <v>478</v>
      </c>
      <c r="G1607" s="570"/>
      <c r="H1607" s="570"/>
      <c r="I1607" s="570"/>
      <c r="J1607" s="570"/>
      <c r="K1607" s="570"/>
    </row>
    <row r="1608" ht="13.75" customHeight="1">
      <c r="A1608" s="833">
        <v>353</v>
      </c>
      <c r="B1608" t="s" s="834">
        <v>1348</v>
      </c>
      <c r="C1608" t="s" s="834">
        <v>480</v>
      </c>
      <c r="D1608" s="835">
        <v>46034</v>
      </c>
      <c r="E1608" t="s" s="834">
        <v>478</v>
      </c>
      <c r="F1608" t="s" s="834">
        <v>478</v>
      </c>
      <c r="G1608" s="570"/>
      <c r="H1608" s="570"/>
      <c r="I1608" s="570"/>
      <c r="J1608" s="570"/>
      <c r="K1608" s="570"/>
    </row>
    <row r="1609" ht="13.75" customHeight="1">
      <c r="A1609" s="833">
        <v>353</v>
      </c>
      <c r="B1609" t="s" s="834">
        <v>1348</v>
      </c>
      <c r="C1609" t="s" s="834">
        <v>480</v>
      </c>
      <c r="D1609" s="835">
        <v>46035</v>
      </c>
      <c r="E1609" t="s" s="834">
        <v>478</v>
      </c>
      <c r="F1609" t="s" s="834">
        <v>478</v>
      </c>
      <c r="G1609" s="570"/>
      <c r="H1609" s="570"/>
      <c r="I1609" s="570"/>
      <c r="J1609" s="570"/>
      <c r="K1609" s="570"/>
    </row>
    <row r="1610" ht="13.75" customHeight="1">
      <c r="A1610" s="833">
        <v>353</v>
      </c>
      <c r="B1610" t="s" s="834">
        <v>1348</v>
      </c>
      <c r="C1610" t="s" s="834">
        <v>480</v>
      </c>
      <c r="D1610" s="835">
        <v>46036</v>
      </c>
      <c r="E1610" t="s" s="834">
        <v>478</v>
      </c>
      <c r="F1610" t="s" s="834">
        <v>478</v>
      </c>
      <c r="G1610" s="570"/>
      <c r="H1610" s="570"/>
      <c r="I1610" s="570"/>
      <c r="J1610" s="570"/>
      <c r="K1610" s="570"/>
    </row>
    <row r="1611" ht="13.75" customHeight="1">
      <c r="A1611" s="833">
        <v>353</v>
      </c>
      <c r="B1611" t="s" s="834">
        <v>1348</v>
      </c>
      <c r="C1611" t="s" s="834">
        <v>480</v>
      </c>
      <c r="D1611" s="835">
        <v>46037</v>
      </c>
      <c r="E1611" t="s" s="834">
        <v>478</v>
      </c>
      <c r="F1611" t="s" s="834">
        <v>478</v>
      </c>
      <c r="G1611" s="570"/>
      <c r="H1611" s="570"/>
      <c r="I1611" s="570"/>
      <c r="J1611" s="570"/>
      <c r="K1611" s="570"/>
    </row>
    <row r="1612" ht="13.75" customHeight="1">
      <c r="A1612" s="833">
        <v>353</v>
      </c>
      <c r="B1612" t="s" s="834">
        <v>1348</v>
      </c>
      <c r="C1612" t="s" s="834">
        <v>480</v>
      </c>
      <c r="D1612" s="835">
        <v>46038</v>
      </c>
      <c r="E1612" t="s" s="834">
        <v>478</v>
      </c>
      <c r="F1612" t="s" s="834">
        <v>478</v>
      </c>
      <c r="G1612" s="570"/>
      <c r="H1612" s="570"/>
      <c r="I1612" s="570"/>
      <c r="J1612" s="570"/>
      <c r="K1612" s="570"/>
    </row>
    <row r="1613" ht="13.75" customHeight="1">
      <c r="A1613" s="833">
        <v>353</v>
      </c>
      <c r="B1613" t="s" s="834">
        <v>1348</v>
      </c>
      <c r="C1613" t="s" s="834">
        <v>480</v>
      </c>
      <c r="D1613" s="835">
        <v>46039</v>
      </c>
      <c r="E1613" t="s" s="834">
        <v>478</v>
      </c>
      <c r="F1613" t="s" s="834">
        <v>478</v>
      </c>
      <c r="G1613" s="570"/>
      <c r="H1613" s="570"/>
      <c r="I1613" s="570"/>
      <c r="J1613" s="570"/>
      <c r="K1613" s="570"/>
    </row>
    <row r="1614" ht="13.75" customHeight="1">
      <c r="A1614" s="833">
        <v>353</v>
      </c>
      <c r="B1614" t="s" s="834">
        <v>1348</v>
      </c>
      <c r="C1614" t="s" s="834">
        <v>480</v>
      </c>
      <c r="D1614" s="835">
        <v>46040</v>
      </c>
      <c r="E1614" t="s" s="834">
        <v>478</v>
      </c>
      <c r="F1614" t="s" s="834">
        <v>478</v>
      </c>
      <c r="G1614" s="570"/>
      <c r="H1614" s="570"/>
      <c r="I1614" s="570"/>
      <c r="J1614" s="570"/>
      <c r="K1614" s="570"/>
    </row>
    <row r="1615" ht="13.75" customHeight="1">
      <c r="A1615" s="833">
        <v>353</v>
      </c>
      <c r="B1615" t="s" s="834">
        <v>1348</v>
      </c>
      <c r="C1615" t="s" s="834">
        <v>480</v>
      </c>
      <c r="D1615" s="835">
        <v>46041</v>
      </c>
      <c r="E1615" t="s" s="834">
        <v>478</v>
      </c>
      <c r="F1615" t="s" s="834">
        <v>478</v>
      </c>
      <c r="G1615" s="570"/>
      <c r="H1615" s="570"/>
      <c r="I1615" s="570"/>
      <c r="J1615" s="570"/>
      <c r="K1615" s="570"/>
    </row>
    <row r="1616" ht="13.75" customHeight="1">
      <c r="A1616" s="833">
        <v>353</v>
      </c>
      <c r="B1616" t="s" s="834">
        <v>1348</v>
      </c>
      <c r="C1616" t="s" s="834">
        <v>480</v>
      </c>
      <c r="D1616" s="835">
        <v>46042</v>
      </c>
      <c r="E1616" t="s" s="834">
        <v>478</v>
      </c>
      <c r="F1616" t="s" s="834">
        <v>478</v>
      </c>
      <c r="G1616" s="570"/>
      <c r="H1616" s="570"/>
      <c r="I1616" s="570"/>
      <c r="J1616" s="570"/>
      <c r="K1616" s="570"/>
    </row>
    <row r="1617" ht="13.75" customHeight="1">
      <c r="A1617" s="833">
        <v>353</v>
      </c>
      <c r="B1617" t="s" s="834">
        <v>1348</v>
      </c>
      <c r="C1617" t="s" s="834">
        <v>480</v>
      </c>
      <c r="D1617" s="835">
        <v>46043</v>
      </c>
      <c r="E1617" t="s" s="834">
        <v>478</v>
      </c>
      <c r="F1617" t="s" s="834">
        <v>478</v>
      </c>
      <c r="G1617" s="570"/>
      <c r="H1617" s="570"/>
      <c r="I1617" s="570"/>
      <c r="J1617" s="570"/>
      <c r="K1617" s="570"/>
    </row>
    <row r="1618" ht="13.75" customHeight="1">
      <c r="A1618" s="833">
        <v>353</v>
      </c>
      <c r="B1618" t="s" s="834">
        <v>1348</v>
      </c>
      <c r="C1618" t="s" s="834">
        <v>480</v>
      </c>
      <c r="D1618" s="835">
        <v>46044</v>
      </c>
      <c r="E1618" t="s" s="834">
        <v>478</v>
      </c>
      <c r="F1618" t="s" s="834">
        <v>478</v>
      </c>
      <c r="G1618" s="570"/>
      <c r="H1618" s="570"/>
      <c r="I1618" s="570"/>
      <c r="J1618" s="570"/>
      <c r="K1618" s="570"/>
    </row>
    <row r="1619" ht="13.75" customHeight="1">
      <c r="A1619" s="833">
        <v>353</v>
      </c>
      <c r="B1619" t="s" s="834">
        <v>1348</v>
      </c>
      <c r="C1619" t="s" s="834">
        <v>480</v>
      </c>
      <c r="D1619" s="835">
        <v>46045</v>
      </c>
      <c r="E1619" t="s" s="834">
        <v>478</v>
      </c>
      <c r="F1619" t="s" s="834">
        <v>478</v>
      </c>
      <c r="G1619" s="570"/>
      <c r="H1619" s="570"/>
      <c r="I1619" s="570"/>
      <c r="J1619" s="570"/>
      <c r="K1619" s="570"/>
    </row>
    <row r="1620" ht="13.75" customHeight="1">
      <c r="A1620" s="833">
        <v>353</v>
      </c>
      <c r="B1620" t="s" s="834">
        <v>1348</v>
      </c>
      <c r="C1620" t="s" s="834">
        <v>480</v>
      </c>
      <c r="D1620" s="835">
        <v>46046</v>
      </c>
      <c r="E1620" t="s" s="834">
        <v>478</v>
      </c>
      <c r="F1620" t="s" s="834">
        <v>478</v>
      </c>
      <c r="G1620" s="570"/>
      <c r="H1620" s="570"/>
      <c r="I1620" s="570"/>
      <c r="J1620" s="570"/>
      <c r="K1620" s="570"/>
    </row>
    <row r="1621" ht="13.75" customHeight="1">
      <c r="A1621" s="833">
        <v>353</v>
      </c>
      <c r="B1621" t="s" s="834">
        <v>1348</v>
      </c>
      <c r="C1621" t="s" s="834">
        <v>480</v>
      </c>
      <c r="D1621" s="835">
        <v>46047</v>
      </c>
      <c r="E1621" t="s" s="834">
        <v>478</v>
      </c>
      <c r="F1621" t="s" s="834">
        <v>478</v>
      </c>
      <c r="G1621" s="570"/>
      <c r="H1621" s="570"/>
      <c r="I1621" s="570"/>
      <c r="J1621" s="570"/>
      <c r="K1621" s="570"/>
    </row>
    <row r="1622" ht="13.75" customHeight="1">
      <c r="A1622" s="833">
        <v>353</v>
      </c>
      <c r="B1622" t="s" s="834">
        <v>1348</v>
      </c>
      <c r="C1622" t="s" s="834">
        <v>480</v>
      </c>
      <c r="D1622" s="835">
        <v>46048</v>
      </c>
      <c r="E1622" t="s" s="834">
        <v>478</v>
      </c>
      <c r="F1622" t="s" s="834">
        <v>478</v>
      </c>
      <c r="G1622" s="570"/>
      <c r="H1622" s="570"/>
      <c r="I1622" s="570"/>
      <c r="J1622" s="570"/>
      <c r="K1622" s="570"/>
    </row>
    <row r="1623" ht="13.75" customHeight="1">
      <c r="A1623" s="833">
        <v>353</v>
      </c>
      <c r="B1623" t="s" s="834">
        <v>1348</v>
      </c>
      <c r="C1623" t="s" s="834">
        <v>480</v>
      </c>
      <c r="D1623" s="835">
        <v>46049</v>
      </c>
      <c r="E1623" t="s" s="834">
        <v>478</v>
      </c>
      <c r="F1623" t="s" s="834">
        <v>478</v>
      </c>
      <c r="G1623" s="570"/>
      <c r="H1623" s="570"/>
      <c r="I1623" s="570"/>
      <c r="J1623" s="570"/>
      <c r="K1623" s="570"/>
    </row>
    <row r="1624" ht="13.75" customHeight="1">
      <c r="A1624" s="833">
        <v>353</v>
      </c>
      <c r="B1624" t="s" s="834">
        <v>1348</v>
      </c>
      <c r="C1624" t="s" s="834">
        <v>480</v>
      </c>
      <c r="D1624" s="835">
        <v>46050</v>
      </c>
      <c r="E1624" t="s" s="834">
        <v>478</v>
      </c>
      <c r="F1624" t="s" s="834">
        <v>478</v>
      </c>
      <c r="G1624" s="570"/>
      <c r="H1624" s="570"/>
      <c r="I1624" s="570"/>
      <c r="J1624" s="570"/>
      <c r="K1624" s="570"/>
    </row>
    <row r="1625" ht="13.75" customHeight="1">
      <c r="A1625" s="833">
        <v>353</v>
      </c>
      <c r="B1625" t="s" s="834">
        <v>1348</v>
      </c>
      <c r="C1625" t="s" s="834">
        <v>480</v>
      </c>
      <c r="D1625" s="835">
        <v>46051</v>
      </c>
      <c r="E1625" t="s" s="834">
        <v>478</v>
      </c>
      <c r="F1625" t="s" s="834">
        <v>478</v>
      </c>
      <c r="G1625" s="570"/>
      <c r="H1625" s="570"/>
      <c r="I1625" s="570"/>
      <c r="J1625" s="570"/>
      <c r="K1625" s="570"/>
    </row>
    <row r="1626" ht="13.75" customHeight="1">
      <c r="A1626" s="833">
        <v>353</v>
      </c>
      <c r="B1626" t="s" s="834">
        <v>1348</v>
      </c>
      <c r="C1626" t="s" s="834">
        <v>480</v>
      </c>
      <c r="D1626" s="835">
        <v>46052</v>
      </c>
      <c r="E1626" t="s" s="834">
        <v>478</v>
      </c>
      <c r="F1626" t="s" s="834">
        <v>478</v>
      </c>
      <c r="G1626" s="570"/>
      <c r="H1626" s="570"/>
      <c r="I1626" s="570"/>
      <c r="J1626" s="570"/>
      <c r="K1626" s="570"/>
    </row>
    <row r="1627" ht="13.75" customHeight="1">
      <c r="A1627" s="833">
        <v>353</v>
      </c>
      <c r="B1627" t="s" s="834">
        <v>1348</v>
      </c>
      <c r="C1627" t="s" s="834">
        <v>480</v>
      </c>
      <c r="D1627" s="835">
        <v>46053</v>
      </c>
      <c r="E1627" t="s" s="834">
        <v>478</v>
      </c>
      <c r="F1627" t="s" s="834">
        <v>478</v>
      </c>
      <c r="G1627" s="570"/>
      <c r="H1627" s="570"/>
      <c r="I1627" s="570"/>
      <c r="J1627" s="570"/>
      <c r="K1627" s="570"/>
    </row>
    <row r="1628" ht="13.75" customHeight="1">
      <c r="A1628" s="833">
        <v>353</v>
      </c>
      <c r="B1628" t="s" s="834">
        <v>1348</v>
      </c>
      <c r="C1628" t="s" s="834">
        <v>480</v>
      </c>
      <c r="D1628" s="835">
        <v>46054</v>
      </c>
      <c r="E1628" t="s" s="834">
        <v>478</v>
      </c>
      <c r="F1628" t="s" s="834">
        <v>478</v>
      </c>
      <c r="G1628" s="570"/>
      <c r="H1628" s="570"/>
      <c r="I1628" s="570"/>
      <c r="J1628" s="570"/>
      <c r="K1628" s="570"/>
    </row>
    <row r="1629" ht="13.75" customHeight="1">
      <c r="A1629" s="833">
        <v>354</v>
      </c>
      <c r="B1629" t="s" s="834">
        <v>1349</v>
      </c>
      <c r="C1629" t="s" s="834">
        <v>480</v>
      </c>
      <c r="D1629" s="835">
        <v>46023</v>
      </c>
      <c r="E1629" t="s" s="834">
        <v>478</v>
      </c>
      <c r="F1629" t="s" s="834">
        <v>478</v>
      </c>
      <c r="G1629" s="570"/>
      <c r="H1629" s="570"/>
      <c r="I1629" s="570"/>
      <c r="J1629" s="570"/>
      <c r="K1629" s="570"/>
    </row>
    <row r="1630" ht="13.75" customHeight="1">
      <c r="A1630" s="833">
        <v>354</v>
      </c>
      <c r="B1630" t="s" s="834">
        <v>1349</v>
      </c>
      <c r="C1630" t="s" s="834">
        <v>480</v>
      </c>
      <c r="D1630" s="835">
        <v>46024</v>
      </c>
      <c r="E1630" t="s" s="834">
        <v>478</v>
      </c>
      <c r="F1630" t="s" s="834">
        <v>478</v>
      </c>
      <c r="G1630" s="570"/>
      <c r="H1630" s="570"/>
      <c r="I1630" s="570"/>
      <c r="J1630" s="570"/>
      <c r="K1630" s="570"/>
    </row>
    <row r="1631" ht="13.75" customHeight="1">
      <c r="A1631" s="833">
        <v>354</v>
      </c>
      <c r="B1631" t="s" s="834">
        <v>1349</v>
      </c>
      <c r="C1631" t="s" s="834">
        <v>480</v>
      </c>
      <c r="D1631" s="835">
        <v>46025</v>
      </c>
      <c r="E1631" t="s" s="834">
        <v>478</v>
      </c>
      <c r="F1631" t="s" s="834">
        <v>478</v>
      </c>
      <c r="G1631" s="570"/>
      <c r="H1631" s="570"/>
      <c r="I1631" s="570"/>
      <c r="J1631" s="570"/>
      <c r="K1631" s="570"/>
    </row>
    <row r="1632" ht="13.75" customHeight="1">
      <c r="A1632" s="833">
        <v>354</v>
      </c>
      <c r="B1632" t="s" s="834">
        <v>1349</v>
      </c>
      <c r="C1632" t="s" s="834">
        <v>480</v>
      </c>
      <c r="D1632" s="835">
        <v>46026</v>
      </c>
      <c r="E1632" t="s" s="834">
        <v>478</v>
      </c>
      <c r="F1632" t="s" s="834">
        <v>478</v>
      </c>
      <c r="G1632" s="570"/>
      <c r="H1632" s="570"/>
      <c r="I1632" s="570"/>
      <c r="J1632" s="570"/>
      <c r="K1632" s="570"/>
    </row>
    <row r="1633" ht="13.75" customHeight="1">
      <c r="A1633" s="833">
        <v>354</v>
      </c>
      <c r="B1633" t="s" s="834">
        <v>1349</v>
      </c>
      <c r="C1633" t="s" s="834">
        <v>480</v>
      </c>
      <c r="D1633" s="835">
        <v>46027</v>
      </c>
      <c r="E1633" t="s" s="834">
        <v>478</v>
      </c>
      <c r="F1633" t="s" s="834">
        <v>478</v>
      </c>
      <c r="G1633" s="570"/>
      <c r="H1633" s="570"/>
      <c r="I1633" s="570"/>
      <c r="J1633" s="570"/>
      <c r="K1633" s="570"/>
    </row>
    <row r="1634" ht="13.75" customHeight="1">
      <c r="A1634" s="833">
        <v>354</v>
      </c>
      <c r="B1634" t="s" s="834">
        <v>1349</v>
      </c>
      <c r="C1634" t="s" s="834">
        <v>480</v>
      </c>
      <c r="D1634" s="835">
        <v>46028</v>
      </c>
      <c r="E1634" t="s" s="834">
        <v>478</v>
      </c>
      <c r="F1634" t="s" s="834">
        <v>478</v>
      </c>
      <c r="G1634" s="570"/>
      <c r="H1634" s="570"/>
      <c r="I1634" s="570"/>
      <c r="J1634" s="570"/>
      <c r="K1634" s="570"/>
    </row>
    <row r="1635" ht="13.75" customHeight="1">
      <c r="A1635" s="833">
        <v>354</v>
      </c>
      <c r="B1635" t="s" s="834">
        <v>1349</v>
      </c>
      <c r="C1635" t="s" s="834">
        <v>480</v>
      </c>
      <c r="D1635" s="835">
        <v>46029</v>
      </c>
      <c r="E1635" t="s" s="834">
        <v>478</v>
      </c>
      <c r="F1635" t="s" s="834">
        <v>478</v>
      </c>
      <c r="G1635" s="570"/>
      <c r="H1635" s="570"/>
      <c r="I1635" s="570"/>
      <c r="J1635" s="570"/>
      <c r="K1635" s="570"/>
    </row>
    <row r="1636" ht="13.75" customHeight="1">
      <c r="A1636" s="833">
        <v>354</v>
      </c>
      <c r="B1636" t="s" s="834">
        <v>1349</v>
      </c>
      <c r="C1636" t="s" s="834">
        <v>480</v>
      </c>
      <c r="D1636" s="835">
        <v>46030</v>
      </c>
      <c r="E1636" t="s" s="834">
        <v>478</v>
      </c>
      <c r="F1636" t="s" s="834">
        <v>478</v>
      </c>
      <c r="G1636" s="570"/>
      <c r="H1636" s="570"/>
      <c r="I1636" s="570"/>
      <c r="J1636" s="570"/>
      <c r="K1636" s="570"/>
    </row>
    <row r="1637" ht="13.75" customHeight="1">
      <c r="A1637" s="833">
        <v>354</v>
      </c>
      <c r="B1637" t="s" s="834">
        <v>1349</v>
      </c>
      <c r="C1637" t="s" s="834">
        <v>480</v>
      </c>
      <c r="D1637" s="835">
        <v>46031</v>
      </c>
      <c r="E1637" t="s" s="834">
        <v>478</v>
      </c>
      <c r="F1637" t="s" s="834">
        <v>478</v>
      </c>
      <c r="G1637" s="570"/>
      <c r="H1637" s="570"/>
      <c r="I1637" s="570"/>
      <c r="J1637" s="570"/>
      <c r="K1637" s="570"/>
    </row>
    <row r="1638" ht="13.75" customHeight="1">
      <c r="A1638" s="833">
        <v>354</v>
      </c>
      <c r="B1638" t="s" s="834">
        <v>1349</v>
      </c>
      <c r="C1638" t="s" s="834">
        <v>480</v>
      </c>
      <c r="D1638" s="835">
        <v>46032</v>
      </c>
      <c r="E1638" t="s" s="834">
        <v>478</v>
      </c>
      <c r="F1638" t="s" s="834">
        <v>478</v>
      </c>
      <c r="G1638" s="570"/>
      <c r="H1638" s="570"/>
      <c r="I1638" s="570"/>
      <c r="J1638" s="570"/>
      <c r="K1638" s="570"/>
    </row>
    <row r="1639" ht="13.75" customHeight="1">
      <c r="A1639" s="833">
        <v>354</v>
      </c>
      <c r="B1639" t="s" s="834">
        <v>1349</v>
      </c>
      <c r="C1639" t="s" s="834">
        <v>480</v>
      </c>
      <c r="D1639" s="835">
        <v>46033</v>
      </c>
      <c r="E1639" t="s" s="834">
        <v>478</v>
      </c>
      <c r="F1639" t="s" s="834">
        <v>478</v>
      </c>
      <c r="G1639" s="570"/>
      <c r="H1639" s="570"/>
      <c r="I1639" s="570"/>
      <c r="J1639" s="570"/>
      <c r="K1639" s="570"/>
    </row>
    <row r="1640" ht="13.75" customHeight="1">
      <c r="A1640" s="833">
        <v>354</v>
      </c>
      <c r="B1640" t="s" s="834">
        <v>1349</v>
      </c>
      <c r="C1640" t="s" s="834">
        <v>480</v>
      </c>
      <c r="D1640" s="835">
        <v>46034</v>
      </c>
      <c r="E1640" t="s" s="834">
        <v>478</v>
      </c>
      <c r="F1640" t="s" s="834">
        <v>478</v>
      </c>
      <c r="G1640" s="570"/>
      <c r="H1640" s="570"/>
      <c r="I1640" s="570"/>
      <c r="J1640" s="570"/>
      <c r="K1640" s="570"/>
    </row>
    <row r="1641" ht="13.75" customHeight="1">
      <c r="A1641" s="833">
        <v>354</v>
      </c>
      <c r="B1641" t="s" s="834">
        <v>1349</v>
      </c>
      <c r="C1641" t="s" s="834">
        <v>480</v>
      </c>
      <c r="D1641" s="835">
        <v>46035</v>
      </c>
      <c r="E1641" t="s" s="834">
        <v>478</v>
      </c>
      <c r="F1641" t="s" s="834">
        <v>478</v>
      </c>
      <c r="G1641" s="570"/>
      <c r="H1641" s="570"/>
      <c r="I1641" s="570"/>
      <c r="J1641" s="570"/>
      <c r="K1641" s="570"/>
    </row>
    <row r="1642" ht="13.75" customHeight="1">
      <c r="A1642" s="833">
        <v>354</v>
      </c>
      <c r="B1642" t="s" s="834">
        <v>1349</v>
      </c>
      <c r="C1642" t="s" s="834">
        <v>480</v>
      </c>
      <c r="D1642" s="835">
        <v>46036</v>
      </c>
      <c r="E1642" t="s" s="834">
        <v>478</v>
      </c>
      <c r="F1642" t="s" s="834">
        <v>478</v>
      </c>
      <c r="G1642" s="570"/>
      <c r="H1642" s="570"/>
      <c r="I1642" s="570"/>
      <c r="J1642" s="570"/>
      <c r="K1642" s="570"/>
    </row>
    <row r="1643" ht="13.75" customHeight="1">
      <c r="A1643" s="833">
        <v>354</v>
      </c>
      <c r="B1643" t="s" s="834">
        <v>1349</v>
      </c>
      <c r="C1643" t="s" s="834">
        <v>480</v>
      </c>
      <c r="D1643" s="835">
        <v>46037</v>
      </c>
      <c r="E1643" t="s" s="834">
        <v>478</v>
      </c>
      <c r="F1643" t="s" s="834">
        <v>478</v>
      </c>
      <c r="G1643" s="570"/>
      <c r="H1643" s="570"/>
      <c r="I1643" s="570"/>
      <c r="J1643" s="570"/>
      <c r="K1643" s="570"/>
    </row>
    <row r="1644" ht="13.75" customHeight="1">
      <c r="A1644" s="833">
        <v>354</v>
      </c>
      <c r="B1644" t="s" s="834">
        <v>1349</v>
      </c>
      <c r="C1644" t="s" s="834">
        <v>480</v>
      </c>
      <c r="D1644" s="835">
        <v>46038</v>
      </c>
      <c r="E1644" t="s" s="834">
        <v>478</v>
      </c>
      <c r="F1644" t="s" s="834">
        <v>478</v>
      </c>
      <c r="G1644" s="570"/>
      <c r="H1644" s="570"/>
      <c r="I1644" s="570"/>
      <c r="J1644" s="570"/>
      <c r="K1644" s="570"/>
    </row>
    <row r="1645" ht="13.75" customHeight="1">
      <c r="A1645" s="833">
        <v>354</v>
      </c>
      <c r="B1645" t="s" s="834">
        <v>1349</v>
      </c>
      <c r="C1645" t="s" s="834">
        <v>480</v>
      </c>
      <c r="D1645" s="835">
        <v>46039</v>
      </c>
      <c r="E1645" t="s" s="834">
        <v>478</v>
      </c>
      <c r="F1645" t="s" s="834">
        <v>478</v>
      </c>
      <c r="G1645" s="570"/>
      <c r="H1645" s="570"/>
      <c r="I1645" s="570"/>
      <c r="J1645" s="570"/>
      <c r="K1645" s="570"/>
    </row>
    <row r="1646" ht="13.75" customHeight="1">
      <c r="A1646" s="833">
        <v>354</v>
      </c>
      <c r="B1646" t="s" s="834">
        <v>1349</v>
      </c>
      <c r="C1646" t="s" s="834">
        <v>480</v>
      </c>
      <c r="D1646" s="835">
        <v>46040</v>
      </c>
      <c r="E1646" t="s" s="834">
        <v>478</v>
      </c>
      <c r="F1646" t="s" s="834">
        <v>478</v>
      </c>
      <c r="G1646" s="570"/>
      <c r="H1646" s="570"/>
      <c r="I1646" s="570"/>
      <c r="J1646" s="570"/>
      <c r="K1646" s="570"/>
    </row>
    <row r="1647" ht="13.75" customHeight="1">
      <c r="A1647" s="833">
        <v>354</v>
      </c>
      <c r="B1647" t="s" s="834">
        <v>1349</v>
      </c>
      <c r="C1647" t="s" s="834">
        <v>480</v>
      </c>
      <c r="D1647" s="835">
        <v>46041</v>
      </c>
      <c r="E1647" t="s" s="834">
        <v>478</v>
      </c>
      <c r="F1647" t="s" s="834">
        <v>478</v>
      </c>
      <c r="G1647" s="570"/>
      <c r="H1647" s="570"/>
      <c r="I1647" s="570"/>
      <c r="J1647" s="570"/>
      <c r="K1647" s="570"/>
    </row>
    <row r="1648" ht="13.75" customHeight="1">
      <c r="A1648" s="833">
        <v>354</v>
      </c>
      <c r="B1648" t="s" s="834">
        <v>1349</v>
      </c>
      <c r="C1648" t="s" s="834">
        <v>480</v>
      </c>
      <c r="D1648" s="835">
        <v>46042</v>
      </c>
      <c r="E1648" t="s" s="834">
        <v>478</v>
      </c>
      <c r="F1648" t="s" s="834">
        <v>478</v>
      </c>
      <c r="G1648" s="570"/>
      <c r="H1648" s="570"/>
      <c r="I1648" s="570"/>
      <c r="J1648" s="570"/>
      <c r="K1648" s="570"/>
    </row>
    <row r="1649" ht="13.75" customHeight="1">
      <c r="A1649" s="833">
        <v>354</v>
      </c>
      <c r="B1649" t="s" s="834">
        <v>1349</v>
      </c>
      <c r="C1649" t="s" s="834">
        <v>480</v>
      </c>
      <c r="D1649" s="835">
        <v>46043</v>
      </c>
      <c r="E1649" t="s" s="834">
        <v>478</v>
      </c>
      <c r="F1649" t="s" s="834">
        <v>478</v>
      </c>
      <c r="G1649" s="570"/>
      <c r="H1649" s="570"/>
      <c r="I1649" s="570"/>
      <c r="J1649" s="570"/>
      <c r="K1649" s="570"/>
    </row>
    <row r="1650" ht="13.75" customHeight="1">
      <c r="A1650" s="833">
        <v>354</v>
      </c>
      <c r="B1650" t="s" s="834">
        <v>1349</v>
      </c>
      <c r="C1650" t="s" s="834">
        <v>480</v>
      </c>
      <c r="D1650" s="835">
        <v>46044</v>
      </c>
      <c r="E1650" t="s" s="834">
        <v>478</v>
      </c>
      <c r="F1650" t="s" s="834">
        <v>478</v>
      </c>
      <c r="G1650" s="570"/>
      <c r="H1650" s="570"/>
      <c r="I1650" s="570"/>
      <c r="J1650" s="570"/>
      <c r="K1650" s="570"/>
    </row>
    <row r="1651" ht="13.75" customHeight="1">
      <c r="A1651" s="833">
        <v>354</v>
      </c>
      <c r="B1651" t="s" s="834">
        <v>1349</v>
      </c>
      <c r="C1651" t="s" s="834">
        <v>480</v>
      </c>
      <c r="D1651" s="835">
        <v>46045</v>
      </c>
      <c r="E1651" t="s" s="834">
        <v>478</v>
      </c>
      <c r="F1651" t="s" s="834">
        <v>478</v>
      </c>
      <c r="G1651" s="570"/>
      <c r="H1651" s="570"/>
      <c r="I1651" s="570"/>
      <c r="J1651" s="570"/>
      <c r="K1651" s="570"/>
    </row>
    <row r="1652" ht="13.75" customHeight="1">
      <c r="A1652" s="833">
        <v>354</v>
      </c>
      <c r="B1652" t="s" s="834">
        <v>1349</v>
      </c>
      <c r="C1652" t="s" s="834">
        <v>480</v>
      </c>
      <c r="D1652" s="835">
        <v>46046</v>
      </c>
      <c r="E1652" t="s" s="834">
        <v>478</v>
      </c>
      <c r="F1652" t="s" s="834">
        <v>478</v>
      </c>
      <c r="G1652" s="570"/>
      <c r="H1652" s="570"/>
      <c r="I1652" s="570"/>
      <c r="J1652" s="570"/>
      <c r="K1652" s="570"/>
    </row>
    <row r="1653" ht="13.75" customHeight="1">
      <c r="A1653" s="833">
        <v>354</v>
      </c>
      <c r="B1653" t="s" s="834">
        <v>1349</v>
      </c>
      <c r="C1653" t="s" s="834">
        <v>480</v>
      </c>
      <c r="D1653" s="835">
        <v>46047</v>
      </c>
      <c r="E1653" t="s" s="834">
        <v>478</v>
      </c>
      <c r="F1653" t="s" s="834">
        <v>478</v>
      </c>
      <c r="G1653" s="570"/>
      <c r="H1653" s="570"/>
      <c r="I1653" s="570"/>
      <c r="J1653" s="570"/>
      <c r="K1653" s="570"/>
    </row>
    <row r="1654" ht="13.75" customHeight="1">
      <c r="A1654" s="833">
        <v>354</v>
      </c>
      <c r="B1654" t="s" s="834">
        <v>1349</v>
      </c>
      <c r="C1654" t="s" s="834">
        <v>480</v>
      </c>
      <c r="D1654" s="835">
        <v>46048</v>
      </c>
      <c r="E1654" t="s" s="834">
        <v>478</v>
      </c>
      <c r="F1654" t="s" s="834">
        <v>478</v>
      </c>
      <c r="G1654" s="570"/>
      <c r="H1654" s="570"/>
      <c r="I1654" s="570"/>
      <c r="J1654" s="570"/>
      <c r="K1654" s="570"/>
    </row>
    <row r="1655" ht="13.75" customHeight="1">
      <c r="A1655" s="833">
        <v>354</v>
      </c>
      <c r="B1655" t="s" s="834">
        <v>1349</v>
      </c>
      <c r="C1655" t="s" s="834">
        <v>480</v>
      </c>
      <c r="D1655" s="835">
        <v>46049</v>
      </c>
      <c r="E1655" t="s" s="834">
        <v>478</v>
      </c>
      <c r="F1655" t="s" s="834">
        <v>478</v>
      </c>
      <c r="G1655" s="570"/>
      <c r="H1655" s="570"/>
      <c r="I1655" s="570"/>
      <c r="J1655" s="570"/>
      <c r="K1655" s="570"/>
    </row>
    <row r="1656" ht="13.75" customHeight="1">
      <c r="A1656" s="833">
        <v>354</v>
      </c>
      <c r="B1656" t="s" s="834">
        <v>1349</v>
      </c>
      <c r="C1656" t="s" s="834">
        <v>480</v>
      </c>
      <c r="D1656" s="835">
        <v>46050</v>
      </c>
      <c r="E1656" t="s" s="834">
        <v>478</v>
      </c>
      <c r="F1656" t="s" s="834">
        <v>478</v>
      </c>
      <c r="G1656" s="570"/>
      <c r="H1656" s="570"/>
      <c r="I1656" s="570"/>
      <c r="J1656" s="570"/>
      <c r="K1656" s="570"/>
    </row>
    <row r="1657" ht="13.75" customHeight="1">
      <c r="A1657" s="833">
        <v>354</v>
      </c>
      <c r="B1657" t="s" s="834">
        <v>1349</v>
      </c>
      <c r="C1657" t="s" s="834">
        <v>480</v>
      </c>
      <c r="D1657" s="835">
        <v>46051</v>
      </c>
      <c r="E1657" t="s" s="834">
        <v>478</v>
      </c>
      <c r="F1657" t="s" s="834">
        <v>478</v>
      </c>
      <c r="G1657" s="570"/>
      <c r="H1657" s="570"/>
      <c r="I1657" s="570"/>
      <c r="J1657" s="570"/>
      <c r="K1657" s="570"/>
    </row>
    <row r="1658" ht="13.75" customHeight="1">
      <c r="A1658" s="833">
        <v>354</v>
      </c>
      <c r="B1658" t="s" s="834">
        <v>1349</v>
      </c>
      <c r="C1658" t="s" s="834">
        <v>480</v>
      </c>
      <c r="D1658" s="835">
        <v>46052</v>
      </c>
      <c r="E1658" t="s" s="834">
        <v>478</v>
      </c>
      <c r="F1658" t="s" s="834">
        <v>478</v>
      </c>
      <c r="G1658" s="570"/>
      <c r="H1658" s="570"/>
      <c r="I1658" s="570"/>
      <c r="J1658" s="570"/>
      <c r="K1658" s="570"/>
    </row>
    <row r="1659" ht="13.75" customHeight="1">
      <c r="A1659" s="833">
        <v>354</v>
      </c>
      <c r="B1659" t="s" s="834">
        <v>1349</v>
      </c>
      <c r="C1659" t="s" s="834">
        <v>480</v>
      </c>
      <c r="D1659" s="835">
        <v>46053</v>
      </c>
      <c r="E1659" t="s" s="834">
        <v>478</v>
      </c>
      <c r="F1659" t="s" s="834">
        <v>478</v>
      </c>
      <c r="G1659" s="570"/>
      <c r="H1659" s="570"/>
      <c r="I1659" s="570"/>
      <c r="J1659" s="570"/>
      <c r="K1659" s="570"/>
    </row>
    <row r="1660" ht="13.75" customHeight="1">
      <c r="A1660" s="833">
        <v>354</v>
      </c>
      <c r="B1660" t="s" s="834">
        <v>1349</v>
      </c>
      <c r="C1660" t="s" s="834">
        <v>480</v>
      </c>
      <c r="D1660" s="835">
        <v>46054</v>
      </c>
      <c r="E1660" t="s" s="834">
        <v>478</v>
      </c>
      <c r="F1660" t="s" s="834">
        <v>478</v>
      </c>
      <c r="G1660" s="570"/>
      <c r="H1660" s="570"/>
      <c r="I1660" s="570"/>
      <c r="J1660" s="570"/>
      <c r="K1660" s="570"/>
    </row>
    <row r="1661" ht="13.75" customHeight="1">
      <c r="A1661" s="833">
        <v>355</v>
      </c>
      <c r="B1661" t="s" s="834">
        <v>318</v>
      </c>
      <c r="C1661" t="s" s="834">
        <v>480</v>
      </c>
      <c r="D1661" s="835">
        <v>46023</v>
      </c>
      <c r="E1661" s="570"/>
      <c r="F1661" t="s" s="834">
        <v>478</v>
      </c>
      <c r="G1661" t="s" s="834">
        <v>567</v>
      </c>
      <c r="H1661" t="s" s="837">
        <v>1350</v>
      </c>
      <c r="I1661" s="570"/>
      <c r="J1661" s="570"/>
      <c r="K1661" s="570"/>
    </row>
    <row r="1662" ht="13.75" customHeight="1">
      <c r="A1662" s="833">
        <v>355</v>
      </c>
      <c r="B1662" t="s" s="834">
        <v>318</v>
      </c>
      <c r="C1662" t="s" s="834">
        <v>480</v>
      </c>
      <c r="D1662" s="835">
        <v>46024</v>
      </c>
      <c r="E1662" t="s" s="834">
        <v>478</v>
      </c>
      <c r="F1662" t="s" s="834">
        <v>478</v>
      </c>
      <c r="G1662" t="s" s="837">
        <v>1351</v>
      </c>
      <c r="H1662" s="570"/>
      <c r="I1662" s="570"/>
      <c r="J1662" s="570"/>
      <c r="K1662" s="570"/>
    </row>
    <row r="1663" ht="13.75" customHeight="1">
      <c r="A1663" s="833">
        <v>355</v>
      </c>
      <c r="B1663" t="s" s="834">
        <v>318</v>
      </c>
      <c r="C1663" t="s" s="834">
        <v>480</v>
      </c>
      <c r="D1663" s="835">
        <v>46025</v>
      </c>
      <c r="E1663" t="s" s="834">
        <v>478</v>
      </c>
      <c r="F1663" t="s" s="834">
        <v>478</v>
      </c>
      <c r="G1663" s="570"/>
      <c r="H1663" s="570"/>
      <c r="I1663" s="570"/>
      <c r="J1663" s="570"/>
      <c r="K1663" s="570"/>
    </row>
    <row r="1664" ht="13.75" customHeight="1">
      <c r="A1664" s="833">
        <v>355</v>
      </c>
      <c r="B1664" t="s" s="834">
        <v>318</v>
      </c>
      <c r="C1664" t="s" s="834">
        <v>480</v>
      </c>
      <c r="D1664" s="835">
        <v>46026</v>
      </c>
      <c r="E1664" t="s" s="834">
        <v>478</v>
      </c>
      <c r="F1664" t="s" s="834">
        <v>478</v>
      </c>
      <c r="G1664" s="570"/>
      <c r="H1664" s="570"/>
      <c r="I1664" s="570"/>
      <c r="J1664" s="570"/>
      <c r="K1664" s="570"/>
    </row>
    <row r="1665" ht="13.75" customHeight="1">
      <c r="A1665" s="833">
        <v>355</v>
      </c>
      <c r="B1665" t="s" s="834">
        <v>318</v>
      </c>
      <c r="C1665" t="s" s="834">
        <v>480</v>
      </c>
      <c r="D1665" s="835">
        <v>46027</v>
      </c>
      <c r="E1665" s="836">
        <v>1.363344907407407</v>
      </c>
      <c r="F1665" s="836">
        <v>1.760821759259259</v>
      </c>
      <c r="G1665" s="570"/>
      <c r="H1665" s="570"/>
      <c r="I1665" s="570"/>
      <c r="J1665" s="570"/>
      <c r="K1665" s="570"/>
    </row>
    <row r="1666" ht="13.75" customHeight="1">
      <c r="A1666" t="s" s="834">
        <v>1352</v>
      </c>
      <c r="B1666" t="s" s="834">
        <v>1353</v>
      </c>
      <c r="C1666" t="s" s="834">
        <v>747</v>
      </c>
      <c r="D1666" s="570"/>
      <c r="E1666" s="570"/>
      <c r="F1666" s="570"/>
      <c r="G1666" s="570"/>
      <c r="H1666" s="570"/>
      <c r="I1666" s="570"/>
      <c r="J1666" s="570"/>
      <c r="K1666" s="570"/>
    </row>
    <row r="1667" ht="13.75" customHeight="1">
      <c r="A1667" s="833">
        <v>355</v>
      </c>
      <c r="B1667" t="s" s="834">
        <v>318</v>
      </c>
      <c r="C1667" t="s" s="834">
        <v>480</v>
      </c>
      <c r="D1667" s="835">
        <v>46028</v>
      </c>
      <c r="E1667" s="836">
        <v>1.361597222222222</v>
      </c>
      <c r="F1667" s="836">
        <v>1.761064814814815</v>
      </c>
      <c r="G1667" s="570"/>
      <c r="H1667" s="570"/>
      <c r="I1667" s="570"/>
      <c r="J1667" s="570"/>
      <c r="K1667" s="570"/>
    </row>
    <row r="1668" ht="13.75" customHeight="1">
      <c r="A1668" t="s" s="834">
        <v>1354</v>
      </c>
      <c r="B1668" t="s" s="834">
        <v>1355</v>
      </c>
      <c r="C1668" t="s" s="834">
        <v>515</v>
      </c>
      <c r="D1668" s="570"/>
      <c r="E1668" s="570"/>
      <c r="F1668" s="570"/>
      <c r="G1668" s="570"/>
      <c r="H1668" s="570"/>
      <c r="I1668" s="570"/>
      <c r="J1668" s="570"/>
      <c r="K1668" s="570"/>
    </row>
    <row r="1669" ht="13.75" customHeight="1">
      <c r="A1669" s="833">
        <v>355</v>
      </c>
      <c r="B1669" t="s" s="834">
        <v>318</v>
      </c>
      <c r="C1669" t="s" s="834">
        <v>480</v>
      </c>
      <c r="D1669" s="835">
        <v>46029</v>
      </c>
      <c r="E1669" s="836">
        <v>1.361469907407407</v>
      </c>
      <c r="F1669" s="836">
        <v>1.758900462962963</v>
      </c>
      <c r="G1669" s="570"/>
      <c r="H1669" s="570"/>
      <c r="I1669" s="570"/>
      <c r="J1669" s="570"/>
      <c r="K1669" s="570"/>
    </row>
    <row r="1670" ht="13.75" customHeight="1">
      <c r="A1670" t="s" s="834">
        <v>1356</v>
      </c>
      <c r="B1670" t="s" s="834">
        <v>1357</v>
      </c>
      <c r="C1670" t="s" s="834">
        <v>747</v>
      </c>
      <c r="D1670" s="570"/>
      <c r="E1670" s="570"/>
      <c r="F1670" s="570"/>
      <c r="G1670" s="570"/>
      <c r="H1670" s="570"/>
      <c r="I1670" s="570"/>
      <c r="J1670" s="570"/>
      <c r="K1670" s="570"/>
    </row>
    <row r="1671" ht="13.75" customHeight="1">
      <c r="A1671" s="833">
        <v>355</v>
      </c>
      <c r="B1671" t="s" s="834">
        <v>318</v>
      </c>
      <c r="C1671" t="s" s="834">
        <v>480</v>
      </c>
      <c r="D1671" s="835">
        <v>46030</v>
      </c>
      <c r="E1671" s="836">
        <v>1.363611111111111</v>
      </c>
      <c r="F1671" s="836">
        <v>1.761006944444444</v>
      </c>
      <c r="G1671" s="570"/>
      <c r="H1671" s="570"/>
      <c r="I1671" s="570"/>
      <c r="J1671" s="570"/>
      <c r="K1671" s="570"/>
    </row>
    <row r="1672" ht="13.75" customHeight="1">
      <c r="A1672" t="s" s="834">
        <v>1358</v>
      </c>
      <c r="B1672" t="s" s="834">
        <v>1359</v>
      </c>
      <c r="C1672" t="s" s="834">
        <v>747</v>
      </c>
      <c r="D1672" s="570"/>
      <c r="E1672" s="570"/>
      <c r="F1672" s="570"/>
      <c r="G1672" s="570"/>
      <c r="H1672" s="570"/>
      <c r="I1672" s="570"/>
      <c r="J1672" s="570"/>
      <c r="K1672" s="570"/>
    </row>
    <row r="1673" ht="13.75" customHeight="1">
      <c r="A1673" s="833">
        <v>355</v>
      </c>
      <c r="B1673" t="s" s="834">
        <v>318</v>
      </c>
      <c r="C1673" t="s" s="834">
        <v>480</v>
      </c>
      <c r="D1673" s="835">
        <v>46031</v>
      </c>
      <c r="E1673" s="836">
        <v>1.370219907407408</v>
      </c>
      <c r="F1673" s="836">
        <v>1.75619212962963</v>
      </c>
      <c r="G1673" s="570"/>
      <c r="H1673" s="570"/>
      <c r="I1673" s="570"/>
      <c r="J1673" s="570"/>
      <c r="K1673" s="570"/>
    </row>
    <row r="1674" ht="13.75" customHeight="1">
      <c r="A1674" t="s" s="834">
        <v>1360</v>
      </c>
      <c r="B1674" t="s" s="834">
        <v>1361</v>
      </c>
      <c r="C1674" t="s" s="834">
        <v>834</v>
      </c>
      <c r="D1674" s="570"/>
      <c r="E1674" s="570"/>
      <c r="F1674" s="570"/>
      <c r="G1674" s="570"/>
      <c r="H1674" s="570"/>
      <c r="I1674" s="570"/>
      <c r="J1674" s="570"/>
      <c r="K1674" s="570"/>
    </row>
    <row r="1675" ht="13.75" customHeight="1">
      <c r="A1675" s="833">
        <v>355</v>
      </c>
      <c r="B1675" t="s" s="834">
        <v>318</v>
      </c>
      <c r="C1675" t="s" s="834">
        <v>480</v>
      </c>
      <c r="D1675" s="835">
        <v>46032</v>
      </c>
      <c r="E1675" t="s" s="834">
        <v>478</v>
      </c>
      <c r="F1675" t="s" s="834">
        <v>478</v>
      </c>
      <c r="G1675" s="570"/>
      <c r="H1675" s="570"/>
      <c r="I1675" s="570"/>
      <c r="J1675" s="570"/>
      <c r="K1675" s="570"/>
    </row>
    <row r="1676" ht="13.75" customHeight="1">
      <c r="A1676" s="833">
        <v>355</v>
      </c>
      <c r="B1676" t="s" s="834">
        <v>318</v>
      </c>
      <c r="C1676" t="s" s="834">
        <v>480</v>
      </c>
      <c r="D1676" s="835">
        <v>46033</v>
      </c>
      <c r="E1676" t="s" s="834">
        <v>478</v>
      </c>
      <c r="F1676" t="s" s="834">
        <v>478</v>
      </c>
      <c r="G1676" s="570"/>
      <c r="H1676" s="570"/>
      <c r="I1676" s="570"/>
      <c r="J1676" s="570"/>
      <c r="K1676" s="570"/>
    </row>
    <row r="1677" ht="13.75" customHeight="1">
      <c r="A1677" s="833">
        <v>355</v>
      </c>
      <c r="B1677" t="s" s="834">
        <v>318</v>
      </c>
      <c r="C1677" t="s" s="834">
        <v>480</v>
      </c>
      <c r="D1677" s="835">
        <v>46034</v>
      </c>
      <c r="E1677" s="836">
        <v>1.371990740740741</v>
      </c>
      <c r="F1677" s="836">
        <v>1.759641203703704</v>
      </c>
      <c r="G1677" s="570"/>
      <c r="H1677" s="570"/>
      <c r="I1677" s="570"/>
      <c r="J1677" s="570"/>
      <c r="K1677" s="570"/>
    </row>
    <row r="1678" ht="13.75" customHeight="1">
      <c r="A1678" t="s" s="834">
        <v>1362</v>
      </c>
      <c r="B1678" t="s" s="834">
        <v>1363</v>
      </c>
      <c r="C1678" t="s" s="834">
        <v>640</v>
      </c>
      <c r="D1678" s="570"/>
      <c r="E1678" s="570"/>
      <c r="F1678" s="570"/>
      <c r="G1678" s="570"/>
      <c r="H1678" s="570"/>
      <c r="I1678" s="570"/>
      <c r="J1678" s="570"/>
      <c r="K1678" s="570"/>
    </row>
    <row r="1679" ht="13.75" customHeight="1">
      <c r="A1679" s="833">
        <v>355</v>
      </c>
      <c r="B1679" t="s" s="834">
        <v>318</v>
      </c>
      <c r="C1679" t="s" s="834">
        <v>480</v>
      </c>
      <c r="D1679" s="835">
        <v>46035</v>
      </c>
      <c r="E1679" s="836">
        <v>1.358217592592593</v>
      </c>
      <c r="F1679" s="836">
        <v>1.758576388888889</v>
      </c>
      <c r="G1679" s="570"/>
      <c r="H1679" s="570"/>
      <c r="I1679" s="570"/>
      <c r="J1679" s="570"/>
      <c r="K1679" s="570"/>
    </row>
    <row r="1680" ht="13.75" customHeight="1">
      <c r="A1680" t="s" s="834">
        <v>1364</v>
      </c>
      <c r="B1680" t="s" s="834">
        <v>1365</v>
      </c>
      <c r="C1680" t="s" s="834">
        <v>606</v>
      </c>
      <c r="D1680" s="570"/>
      <c r="E1680" s="570"/>
      <c r="F1680" s="570"/>
      <c r="G1680" s="570"/>
      <c r="H1680" s="570"/>
      <c r="I1680" s="570"/>
      <c r="J1680" s="570"/>
      <c r="K1680" s="570"/>
    </row>
    <row r="1681" ht="13.75" customHeight="1">
      <c r="A1681" s="833">
        <v>355</v>
      </c>
      <c r="B1681" t="s" s="834">
        <v>318</v>
      </c>
      <c r="C1681" t="s" s="834">
        <v>480</v>
      </c>
      <c r="D1681" s="835">
        <v>46036</v>
      </c>
      <c r="E1681" s="836">
        <v>1.362974537037037</v>
      </c>
      <c r="F1681" s="836">
        <v>1.758564814814815</v>
      </c>
      <c r="G1681" s="570"/>
      <c r="H1681" s="570"/>
      <c r="I1681" s="570"/>
      <c r="J1681" s="570"/>
      <c r="K1681" s="570"/>
    </row>
    <row r="1682" ht="13.75" customHeight="1">
      <c r="A1682" t="s" s="834">
        <v>1366</v>
      </c>
      <c r="B1682" t="s" s="834">
        <v>1367</v>
      </c>
      <c r="C1682" t="s" s="834">
        <v>634</v>
      </c>
      <c r="D1682" s="570"/>
      <c r="E1682" s="570"/>
      <c r="F1682" s="570"/>
      <c r="G1682" s="570"/>
      <c r="H1682" s="570"/>
      <c r="I1682" s="570"/>
      <c r="J1682" s="570"/>
      <c r="K1682" s="570"/>
    </row>
    <row r="1683" ht="13.75" customHeight="1">
      <c r="A1683" s="833">
        <v>355</v>
      </c>
      <c r="B1683" t="s" s="834">
        <v>318</v>
      </c>
      <c r="C1683" t="s" s="834">
        <v>480</v>
      </c>
      <c r="D1683" s="835">
        <v>46037</v>
      </c>
      <c r="E1683" s="836">
        <v>1.358148148148148</v>
      </c>
      <c r="F1683" s="836">
        <v>1.759895833333333</v>
      </c>
      <c r="G1683" s="570"/>
      <c r="H1683" s="570"/>
      <c r="I1683" s="570"/>
      <c r="J1683" s="570"/>
      <c r="K1683" s="570"/>
    </row>
    <row r="1684" ht="13.75" customHeight="1">
      <c r="A1684" t="s" s="834">
        <v>1368</v>
      </c>
      <c r="B1684" t="s" s="834">
        <v>1369</v>
      </c>
      <c r="C1684" t="s" s="834">
        <v>772</v>
      </c>
      <c r="D1684" s="570"/>
      <c r="E1684" s="570"/>
      <c r="F1684" s="570"/>
      <c r="G1684" s="570"/>
      <c r="H1684" s="570"/>
      <c r="I1684" s="570"/>
      <c r="J1684" s="570"/>
      <c r="K1684" s="570"/>
    </row>
    <row r="1685" ht="13.75" customHeight="1">
      <c r="A1685" s="833">
        <v>355</v>
      </c>
      <c r="B1685" t="s" s="834">
        <v>318</v>
      </c>
      <c r="C1685" t="s" s="834">
        <v>480</v>
      </c>
      <c r="D1685" s="835">
        <v>46038</v>
      </c>
      <c r="E1685" s="836">
        <v>1.35630787037037</v>
      </c>
      <c r="F1685" s="836">
        <v>1.757928240740741</v>
      </c>
      <c r="G1685" s="570"/>
      <c r="H1685" s="570"/>
      <c r="I1685" s="570"/>
      <c r="J1685" s="570"/>
      <c r="K1685" s="570"/>
    </row>
    <row r="1686" ht="13.75" customHeight="1">
      <c r="A1686" t="s" s="834">
        <v>1370</v>
      </c>
      <c r="B1686" t="s" s="834">
        <v>1371</v>
      </c>
      <c r="C1686" t="s" s="834">
        <v>697</v>
      </c>
      <c r="D1686" s="570"/>
      <c r="E1686" s="570"/>
      <c r="F1686" s="570"/>
      <c r="G1686" s="570"/>
      <c r="H1686" s="570"/>
      <c r="I1686" s="570"/>
      <c r="J1686" s="570"/>
      <c r="K1686" s="570"/>
    </row>
    <row r="1687" ht="13.75" customHeight="1">
      <c r="A1687" s="833">
        <v>355</v>
      </c>
      <c r="B1687" t="s" s="834">
        <v>318</v>
      </c>
      <c r="C1687" t="s" s="834">
        <v>480</v>
      </c>
      <c r="D1687" s="835">
        <v>46039</v>
      </c>
      <c r="E1687" t="s" s="834">
        <v>478</v>
      </c>
      <c r="F1687" t="s" s="834">
        <v>478</v>
      </c>
      <c r="G1687" s="570"/>
      <c r="H1687" s="570"/>
      <c r="I1687" s="570"/>
      <c r="J1687" s="570"/>
      <c r="K1687" s="570"/>
    </row>
    <row r="1688" ht="13.75" customHeight="1">
      <c r="A1688" s="833">
        <v>355</v>
      </c>
      <c r="B1688" t="s" s="834">
        <v>318</v>
      </c>
      <c r="C1688" t="s" s="834">
        <v>480</v>
      </c>
      <c r="D1688" s="835">
        <v>46040</v>
      </c>
      <c r="E1688" t="s" s="834">
        <v>478</v>
      </c>
      <c r="F1688" t="s" s="834">
        <v>478</v>
      </c>
      <c r="G1688" s="570"/>
      <c r="H1688" s="570"/>
      <c r="I1688" s="570"/>
      <c r="J1688" s="570"/>
      <c r="K1688" s="570"/>
    </row>
    <row r="1689" ht="13.75" customHeight="1">
      <c r="A1689" s="833">
        <v>355</v>
      </c>
      <c r="B1689" t="s" s="834">
        <v>318</v>
      </c>
      <c r="C1689" t="s" s="834">
        <v>480</v>
      </c>
      <c r="D1689" s="835">
        <v>46041</v>
      </c>
      <c r="E1689" s="836">
        <v>1.365578703703704</v>
      </c>
      <c r="F1689" s="836">
        <v>1.760787037037037</v>
      </c>
      <c r="G1689" s="570"/>
      <c r="H1689" s="570"/>
      <c r="I1689" s="570"/>
      <c r="J1689" s="570"/>
      <c r="K1689" s="570"/>
    </row>
    <row r="1690" ht="13.75" customHeight="1">
      <c r="A1690" t="s" s="834">
        <v>1372</v>
      </c>
      <c r="B1690" t="s" s="834">
        <v>1373</v>
      </c>
      <c r="C1690" t="s" s="834">
        <v>643</v>
      </c>
      <c r="D1690" s="570"/>
      <c r="E1690" s="570"/>
      <c r="F1690" s="570"/>
      <c r="G1690" s="570"/>
      <c r="H1690" s="570"/>
      <c r="I1690" s="570"/>
      <c r="J1690" s="570"/>
      <c r="K1690" s="570"/>
    </row>
    <row r="1691" ht="13.75" customHeight="1">
      <c r="A1691" s="833">
        <v>355</v>
      </c>
      <c r="B1691" t="s" s="834">
        <v>318</v>
      </c>
      <c r="C1691" t="s" s="834">
        <v>480</v>
      </c>
      <c r="D1691" s="835">
        <v>46042</v>
      </c>
      <c r="E1691" s="836">
        <v>1.363819444444444</v>
      </c>
      <c r="F1691" s="836">
        <v>1.757939814814815</v>
      </c>
      <c r="G1691" s="570"/>
      <c r="H1691" s="570"/>
      <c r="I1691" s="570"/>
      <c r="J1691" s="570"/>
      <c r="K1691" s="570"/>
    </row>
    <row r="1692" ht="13.75" customHeight="1">
      <c r="A1692" t="s" s="834">
        <v>1374</v>
      </c>
      <c r="B1692" t="s" s="834">
        <v>1375</v>
      </c>
      <c r="C1692" t="s" s="834">
        <v>512</v>
      </c>
      <c r="D1692" s="570"/>
      <c r="E1692" s="570"/>
      <c r="F1692" s="570"/>
      <c r="G1692" s="570"/>
      <c r="H1692" s="570"/>
      <c r="I1692" s="570"/>
      <c r="J1692" s="570"/>
      <c r="K1692" s="570"/>
    </row>
    <row r="1693" ht="13.75" customHeight="1">
      <c r="A1693" s="833">
        <v>355</v>
      </c>
      <c r="B1693" t="s" s="834">
        <v>318</v>
      </c>
      <c r="C1693" t="s" s="834">
        <v>480</v>
      </c>
      <c r="D1693" s="835">
        <v>46043</v>
      </c>
      <c r="E1693" s="836">
        <v>1.357094907407407</v>
      </c>
      <c r="F1693" s="836">
        <v>1.75662037037037</v>
      </c>
      <c r="G1693" s="570"/>
      <c r="H1693" s="570"/>
      <c r="I1693" s="570"/>
      <c r="J1693" s="570"/>
      <c r="K1693" s="570"/>
    </row>
    <row r="1694" ht="13.75" customHeight="1">
      <c r="A1694" t="s" s="834">
        <v>1376</v>
      </c>
      <c r="B1694" t="s" s="834">
        <v>1377</v>
      </c>
      <c r="C1694" t="s" s="834">
        <v>515</v>
      </c>
      <c r="D1694" s="570"/>
      <c r="E1694" s="570"/>
      <c r="F1694" s="570"/>
      <c r="G1694" s="570"/>
      <c r="H1694" s="570"/>
      <c r="I1694" s="570"/>
      <c r="J1694" s="570"/>
      <c r="K1694" s="570"/>
    </row>
    <row r="1695" ht="13.75" customHeight="1">
      <c r="A1695" s="833">
        <v>355</v>
      </c>
      <c r="B1695" t="s" s="834">
        <v>318</v>
      </c>
      <c r="C1695" t="s" s="834">
        <v>480</v>
      </c>
      <c r="D1695" s="835">
        <v>46044</v>
      </c>
      <c r="E1695" s="836">
        <v>1.367303240740741</v>
      </c>
      <c r="F1695" s="836">
        <v>1.760682870370371</v>
      </c>
      <c r="G1695" s="570"/>
      <c r="H1695" s="570"/>
      <c r="I1695" s="570"/>
      <c r="J1695" s="570"/>
      <c r="K1695" s="570"/>
    </row>
    <row r="1696" ht="13.75" customHeight="1">
      <c r="A1696" t="s" s="834">
        <v>1378</v>
      </c>
      <c r="B1696" t="s" s="834">
        <v>1379</v>
      </c>
      <c r="C1696" t="s" s="834">
        <v>1019</v>
      </c>
      <c r="D1696" s="570"/>
      <c r="E1696" s="570"/>
      <c r="F1696" s="570"/>
      <c r="G1696" s="570"/>
      <c r="H1696" s="570"/>
      <c r="I1696" s="570"/>
      <c r="J1696" s="570"/>
      <c r="K1696" s="570"/>
    </row>
    <row r="1697" ht="13.75" customHeight="1">
      <c r="A1697" s="833">
        <v>355</v>
      </c>
      <c r="B1697" t="s" s="834">
        <v>318</v>
      </c>
      <c r="C1697" t="s" s="834">
        <v>480</v>
      </c>
      <c r="D1697" s="835">
        <v>46045</v>
      </c>
      <c r="E1697" s="836">
        <v>1.364259259259259</v>
      </c>
      <c r="F1697" s="836">
        <v>1.714699074074074</v>
      </c>
      <c r="G1697" s="570"/>
      <c r="H1697" s="570"/>
      <c r="I1697" s="570"/>
      <c r="J1697" s="570"/>
      <c r="K1697" s="570"/>
    </row>
    <row r="1698" ht="13.75" customHeight="1">
      <c r="A1698" t="s" s="834">
        <v>1380</v>
      </c>
      <c r="B1698" t="s" s="834">
        <v>1381</v>
      </c>
      <c r="C1698" t="s" s="834">
        <v>1382</v>
      </c>
      <c r="D1698" s="570"/>
      <c r="E1698" s="570"/>
      <c r="F1698" s="570"/>
      <c r="G1698" s="570"/>
      <c r="H1698" s="570"/>
      <c r="I1698" s="570"/>
      <c r="J1698" s="570"/>
      <c r="K1698" s="570"/>
    </row>
    <row r="1699" ht="13.75" customHeight="1">
      <c r="A1699" s="833">
        <v>355</v>
      </c>
      <c r="B1699" t="s" s="834">
        <v>318</v>
      </c>
      <c r="C1699" t="s" s="834">
        <v>480</v>
      </c>
      <c r="D1699" s="835">
        <v>46046</v>
      </c>
      <c r="E1699" t="s" s="834">
        <v>478</v>
      </c>
      <c r="F1699" t="s" s="834">
        <v>478</v>
      </c>
      <c r="G1699" s="570"/>
      <c r="H1699" s="570"/>
      <c r="I1699" s="570"/>
      <c r="J1699" s="570"/>
      <c r="K1699" s="570"/>
    </row>
    <row r="1700" ht="13.75" customHeight="1">
      <c r="A1700" s="833">
        <v>355</v>
      </c>
      <c r="B1700" t="s" s="834">
        <v>318</v>
      </c>
      <c r="C1700" t="s" s="834">
        <v>480</v>
      </c>
      <c r="D1700" s="835">
        <v>46047</v>
      </c>
      <c r="E1700" t="s" s="834">
        <v>478</v>
      </c>
      <c r="F1700" t="s" s="834">
        <v>478</v>
      </c>
      <c r="G1700" s="570"/>
      <c r="H1700" s="570"/>
      <c r="I1700" s="570"/>
      <c r="J1700" s="570"/>
      <c r="K1700" s="570"/>
    </row>
    <row r="1701" ht="13.75" customHeight="1">
      <c r="A1701" s="833">
        <v>355</v>
      </c>
      <c r="B1701" t="s" s="834">
        <v>318</v>
      </c>
      <c r="C1701" t="s" s="834">
        <v>480</v>
      </c>
      <c r="D1701" s="835">
        <v>46048</v>
      </c>
      <c r="E1701" s="836">
        <v>1.382986111111111</v>
      </c>
      <c r="F1701" s="836">
        <v>1.782083333333333</v>
      </c>
      <c r="G1701" s="570"/>
      <c r="H1701" s="570"/>
      <c r="I1701" s="570"/>
      <c r="J1701" s="570"/>
      <c r="K1701" s="570"/>
    </row>
    <row r="1702" ht="13.75" customHeight="1">
      <c r="A1702" t="s" s="834">
        <v>1383</v>
      </c>
      <c r="B1702" t="s" s="834">
        <v>1384</v>
      </c>
      <c r="C1702" t="s" s="834">
        <v>515</v>
      </c>
      <c r="D1702" s="570"/>
      <c r="E1702" s="570"/>
      <c r="F1702" s="570"/>
      <c r="G1702" s="570"/>
      <c r="H1702" s="570"/>
      <c r="I1702" s="570"/>
      <c r="J1702" s="570"/>
      <c r="K1702" s="570"/>
    </row>
    <row r="1703" ht="13.75" customHeight="1">
      <c r="A1703" s="833">
        <v>355</v>
      </c>
      <c r="B1703" t="s" s="834">
        <v>318</v>
      </c>
      <c r="C1703" t="s" s="834">
        <v>480</v>
      </c>
      <c r="D1703" s="835">
        <v>46049</v>
      </c>
      <c r="E1703" s="836">
        <v>1.364016203703704</v>
      </c>
      <c r="F1703" s="836">
        <v>1.768136574074074</v>
      </c>
      <c r="G1703" s="570"/>
      <c r="H1703" s="570"/>
      <c r="I1703" s="570"/>
      <c r="J1703" s="570"/>
      <c r="K1703" s="570"/>
    </row>
    <row r="1704" ht="13.75" customHeight="1">
      <c r="A1704" t="s" s="834">
        <v>1385</v>
      </c>
      <c r="B1704" t="s" s="834">
        <v>1386</v>
      </c>
      <c r="C1704" t="s" s="834">
        <v>493</v>
      </c>
      <c r="D1704" s="570"/>
      <c r="E1704" s="570"/>
      <c r="F1704" s="570"/>
      <c r="G1704" s="570"/>
      <c r="H1704" s="570"/>
      <c r="I1704" s="570"/>
      <c r="J1704" s="570"/>
      <c r="K1704" s="570"/>
    </row>
    <row r="1705" ht="13.75" customHeight="1">
      <c r="A1705" s="833">
        <v>355</v>
      </c>
      <c r="B1705" t="s" s="834">
        <v>318</v>
      </c>
      <c r="C1705" t="s" s="834">
        <v>480</v>
      </c>
      <c r="D1705" s="835">
        <v>46050</v>
      </c>
      <c r="E1705" s="836">
        <v>1.365868055555556</v>
      </c>
      <c r="F1705" s="836">
        <v>1.759710648148148</v>
      </c>
      <c r="G1705" s="570"/>
      <c r="H1705" s="570"/>
      <c r="I1705" s="570"/>
      <c r="J1705" s="570"/>
      <c r="K1705" s="570"/>
    </row>
    <row r="1706" ht="13.75" customHeight="1">
      <c r="A1706" t="s" s="834">
        <v>1387</v>
      </c>
      <c r="B1706" t="s" s="834">
        <v>1388</v>
      </c>
      <c r="C1706" t="s" s="834">
        <v>518</v>
      </c>
      <c r="D1706" s="570"/>
      <c r="E1706" s="570"/>
      <c r="F1706" s="570"/>
      <c r="G1706" s="570"/>
      <c r="H1706" s="570"/>
      <c r="I1706" s="570"/>
      <c r="J1706" s="570"/>
      <c r="K1706" s="570"/>
    </row>
    <row r="1707" ht="13.75" customHeight="1">
      <c r="A1707" s="833">
        <v>355</v>
      </c>
      <c r="B1707" t="s" s="834">
        <v>318</v>
      </c>
      <c r="C1707" t="s" s="834">
        <v>480</v>
      </c>
      <c r="D1707" s="835">
        <v>46051</v>
      </c>
      <c r="E1707" t="s" s="834">
        <v>478</v>
      </c>
      <c r="F1707" t="s" s="834">
        <v>478</v>
      </c>
      <c r="G1707" s="570"/>
      <c r="H1707" s="570"/>
      <c r="I1707" s="570"/>
      <c r="J1707" s="570"/>
      <c r="K1707" s="570"/>
    </row>
    <row r="1708" ht="13.75" customHeight="1">
      <c r="A1708" s="833">
        <v>355</v>
      </c>
      <c r="B1708" t="s" s="834">
        <v>318</v>
      </c>
      <c r="C1708" t="s" s="834">
        <v>480</v>
      </c>
      <c r="D1708" s="835">
        <v>46052</v>
      </c>
      <c r="E1708" s="836">
        <v>1.366701388888889</v>
      </c>
      <c r="F1708" s="836">
        <v>1.761967592592593</v>
      </c>
      <c r="G1708" s="570"/>
      <c r="H1708" s="570"/>
      <c r="I1708" s="570"/>
      <c r="J1708" s="570"/>
      <c r="K1708" s="570"/>
    </row>
    <row r="1709" ht="13.75" customHeight="1">
      <c r="A1709" t="s" s="834">
        <v>1389</v>
      </c>
      <c r="B1709" t="s" s="834">
        <v>1390</v>
      </c>
      <c r="C1709" t="s" s="834">
        <v>643</v>
      </c>
      <c r="D1709" s="570"/>
      <c r="E1709" s="570"/>
      <c r="F1709" s="570"/>
      <c r="G1709" s="570"/>
      <c r="H1709" s="570"/>
      <c r="I1709" s="570"/>
      <c r="J1709" s="570"/>
      <c r="K1709" s="570"/>
    </row>
    <row r="1710" ht="13.75" customHeight="1">
      <c r="A1710" s="833">
        <v>355</v>
      </c>
      <c r="B1710" t="s" s="834">
        <v>318</v>
      </c>
      <c r="C1710" t="s" s="834">
        <v>480</v>
      </c>
      <c r="D1710" s="835">
        <v>46053</v>
      </c>
      <c r="E1710" t="s" s="834">
        <v>478</v>
      </c>
      <c r="F1710" t="s" s="834">
        <v>478</v>
      </c>
      <c r="G1710" s="570"/>
      <c r="H1710" s="570"/>
      <c r="I1710" s="570"/>
      <c r="J1710" s="570"/>
      <c r="K1710" s="570"/>
    </row>
    <row r="1711" ht="13.75" customHeight="1">
      <c r="A1711" s="833">
        <v>355</v>
      </c>
      <c r="B1711" t="s" s="834">
        <v>318</v>
      </c>
      <c r="C1711" t="s" s="834">
        <v>480</v>
      </c>
      <c r="D1711" s="835">
        <v>46054</v>
      </c>
      <c r="E1711" t="s" s="834">
        <v>478</v>
      </c>
      <c r="F1711" t="s" s="834">
        <v>478</v>
      </c>
      <c r="G1711" s="570"/>
      <c r="H1711" s="570"/>
      <c r="I1711" s="570"/>
      <c r="J1711" s="570"/>
      <c r="K1711" s="570"/>
    </row>
    <row r="1712" ht="13.75" customHeight="1">
      <c r="A1712" s="833">
        <v>356</v>
      </c>
      <c r="B1712" t="s" s="834">
        <v>1391</v>
      </c>
      <c r="C1712" t="s" s="834">
        <v>480</v>
      </c>
      <c r="D1712" s="835">
        <v>46023</v>
      </c>
      <c r="E1712" t="s" s="834">
        <v>478</v>
      </c>
      <c r="F1712" t="s" s="834">
        <v>478</v>
      </c>
      <c r="G1712" s="570"/>
      <c r="H1712" s="570"/>
      <c r="I1712" s="570"/>
      <c r="J1712" s="570"/>
      <c r="K1712" s="570"/>
    </row>
    <row r="1713" ht="13.75" customHeight="1">
      <c r="A1713" s="833">
        <v>356</v>
      </c>
      <c r="B1713" t="s" s="834">
        <v>1391</v>
      </c>
      <c r="C1713" t="s" s="834">
        <v>480</v>
      </c>
      <c r="D1713" s="835">
        <v>46024</v>
      </c>
      <c r="E1713" t="s" s="834">
        <v>478</v>
      </c>
      <c r="F1713" t="s" s="834">
        <v>478</v>
      </c>
      <c r="G1713" s="570"/>
      <c r="H1713" s="570"/>
      <c r="I1713" s="570"/>
      <c r="J1713" s="570"/>
      <c r="K1713" s="570"/>
    </row>
    <row r="1714" ht="13.75" customHeight="1">
      <c r="A1714" s="833">
        <v>356</v>
      </c>
      <c r="B1714" t="s" s="834">
        <v>1391</v>
      </c>
      <c r="C1714" t="s" s="834">
        <v>480</v>
      </c>
      <c r="D1714" s="835">
        <v>46025</v>
      </c>
      <c r="E1714" t="s" s="834">
        <v>478</v>
      </c>
      <c r="F1714" t="s" s="834">
        <v>478</v>
      </c>
      <c r="G1714" s="570"/>
      <c r="H1714" s="570"/>
      <c r="I1714" s="570"/>
      <c r="J1714" s="570"/>
      <c r="K1714" s="570"/>
    </row>
    <row r="1715" ht="13.75" customHeight="1">
      <c r="A1715" s="833">
        <v>356</v>
      </c>
      <c r="B1715" t="s" s="834">
        <v>1391</v>
      </c>
      <c r="C1715" t="s" s="834">
        <v>480</v>
      </c>
      <c r="D1715" s="835">
        <v>46026</v>
      </c>
      <c r="E1715" t="s" s="834">
        <v>478</v>
      </c>
      <c r="F1715" t="s" s="834">
        <v>478</v>
      </c>
      <c r="G1715" s="570"/>
      <c r="H1715" s="570"/>
      <c r="I1715" s="570"/>
      <c r="J1715" s="570"/>
      <c r="K1715" s="570"/>
    </row>
    <row r="1716" ht="13.75" customHeight="1">
      <c r="A1716" s="833">
        <v>356</v>
      </c>
      <c r="B1716" t="s" s="834">
        <v>1391</v>
      </c>
      <c r="C1716" t="s" s="834">
        <v>480</v>
      </c>
      <c r="D1716" s="835">
        <v>46027</v>
      </c>
      <c r="E1716" t="s" s="834">
        <v>478</v>
      </c>
      <c r="F1716" t="s" s="834">
        <v>478</v>
      </c>
      <c r="G1716" s="570"/>
      <c r="H1716" s="570"/>
      <c r="I1716" s="570"/>
      <c r="J1716" s="570"/>
      <c r="K1716" s="570"/>
    </row>
    <row r="1717" ht="13.75" customHeight="1">
      <c r="A1717" s="833">
        <v>356</v>
      </c>
      <c r="B1717" t="s" s="834">
        <v>1391</v>
      </c>
      <c r="C1717" t="s" s="834">
        <v>480</v>
      </c>
      <c r="D1717" s="835">
        <v>46028</v>
      </c>
      <c r="E1717" t="s" s="834">
        <v>478</v>
      </c>
      <c r="F1717" t="s" s="834">
        <v>478</v>
      </c>
      <c r="G1717" s="570"/>
      <c r="H1717" s="570"/>
      <c r="I1717" s="570"/>
      <c r="J1717" s="570"/>
      <c r="K1717" s="570"/>
    </row>
    <row r="1718" ht="13.75" customHeight="1">
      <c r="A1718" s="833">
        <v>356</v>
      </c>
      <c r="B1718" t="s" s="834">
        <v>1391</v>
      </c>
      <c r="C1718" t="s" s="834">
        <v>480</v>
      </c>
      <c r="D1718" s="835">
        <v>46029</v>
      </c>
      <c r="E1718" t="s" s="834">
        <v>478</v>
      </c>
      <c r="F1718" t="s" s="834">
        <v>478</v>
      </c>
      <c r="G1718" s="570"/>
      <c r="H1718" s="570"/>
      <c r="I1718" s="570"/>
      <c r="J1718" s="570"/>
      <c r="K1718" s="570"/>
    </row>
    <row r="1719" ht="13.75" customHeight="1">
      <c r="A1719" s="833">
        <v>356</v>
      </c>
      <c r="B1719" t="s" s="834">
        <v>1391</v>
      </c>
      <c r="C1719" t="s" s="834">
        <v>480</v>
      </c>
      <c r="D1719" s="835">
        <v>46030</v>
      </c>
      <c r="E1719" t="s" s="834">
        <v>478</v>
      </c>
      <c r="F1719" t="s" s="834">
        <v>478</v>
      </c>
      <c r="G1719" s="570"/>
      <c r="H1719" s="570"/>
      <c r="I1719" s="570"/>
      <c r="J1719" s="570"/>
      <c r="K1719" s="570"/>
    </row>
    <row r="1720" ht="13.75" customHeight="1">
      <c r="A1720" s="833">
        <v>356</v>
      </c>
      <c r="B1720" t="s" s="834">
        <v>1391</v>
      </c>
      <c r="C1720" t="s" s="834">
        <v>480</v>
      </c>
      <c r="D1720" s="835">
        <v>46031</v>
      </c>
      <c r="E1720" t="s" s="834">
        <v>478</v>
      </c>
      <c r="F1720" t="s" s="834">
        <v>478</v>
      </c>
      <c r="G1720" s="570"/>
      <c r="H1720" s="570"/>
      <c r="I1720" s="570"/>
      <c r="J1720" s="570"/>
      <c r="K1720" s="570"/>
    </row>
    <row r="1721" ht="13.75" customHeight="1">
      <c r="A1721" s="833">
        <v>356</v>
      </c>
      <c r="B1721" t="s" s="834">
        <v>1391</v>
      </c>
      <c r="C1721" t="s" s="834">
        <v>480</v>
      </c>
      <c r="D1721" s="835">
        <v>46032</v>
      </c>
      <c r="E1721" t="s" s="834">
        <v>478</v>
      </c>
      <c r="F1721" t="s" s="834">
        <v>478</v>
      </c>
      <c r="G1721" s="570"/>
      <c r="H1721" s="570"/>
      <c r="I1721" s="570"/>
      <c r="J1721" s="570"/>
      <c r="K1721" s="570"/>
    </row>
    <row r="1722" ht="13.75" customHeight="1">
      <c r="A1722" s="833">
        <v>356</v>
      </c>
      <c r="B1722" t="s" s="834">
        <v>1391</v>
      </c>
      <c r="C1722" t="s" s="834">
        <v>480</v>
      </c>
      <c r="D1722" s="835">
        <v>46033</v>
      </c>
      <c r="E1722" t="s" s="834">
        <v>478</v>
      </c>
      <c r="F1722" t="s" s="834">
        <v>478</v>
      </c>
      <c r="G1722" s="570"/>
      <c r="H1722" s="570"/>
      <c r="I1722" s="570"/>
      <c r="J1722" s="570"/>
      <c r="K1722" s="570"/>
    </row>
    <row r="1723" ht="13.75" customHeight="1">
      <c r="A1723" s="833">
        <v>356</v>
      </c>
      <c r="B1723" t="s" s="834">
        <v>1391</v>
      </c>
      <c r="C1723" t="s" s="834">
        <v>480</v>
      </c>
      <c r="D1723" s="835">
        <v>46034</v>
      </c>
      <c r="E1723" t="s" s="834">
        <v>478</v>
      </c>
      <c r="F1723" t="s" s="834">
        <v>478</v>
      </c>
      <c r="G1723" s="570"/>
      <c r="H1723" s="570"/>
      <c r="I1723" s="570"/>
      <c r="J1723" s="570"/>
      <c r="K1723" s="570"/>
    </row>
    <row r="1724" ht="13.75" customHeight="1">
      <c r="A1724" s="833">
        <v>356</v>
      </c>
      <c r="B1724" t="s" s="834">
        <v>1391</v>
      </c>
      <c r="C1724" t="s" s="834">
        <v>480</v>
      </c>
      <c r="D1724" s="835">
        <v>46035</v>
      </c>
      <c r="E1724" t="s" s="834">
        <v>478</v>
      </c>
      <c r="F1724" t="s" s="834">
        <v>478</v>
      </c>
      <c r="G1724" s="570"/>
      <c r="H1724" s="570"/>
      <c r="I1724" s="570"/>
      <c r="J1724" s="570"/>
      <c r="K1724" s="570"/>
    </row>
    <row r="1725" ht="13.75" customHeight="1">
      <c r="A1725" s="833">
        <v>356</v>
      </c>
      <c r="B1725" t="s" s="834">
        <v>1391</v>
      </c>
      <c r="C1725" t="s" s="834">
        <v>480</v>
      </c>
      <c r="D1725" s="835">
        <v>46036</v>
      </c>
      <c r="E1725" t="s" s="834">
        <v>478</v>
      </c>
      <c r="F1725" t="s" s="834">
        <v>478</v>
      </c>
      <c r="G1725" s="570"/>
      <c r="H1725" s="570"/>
      <c r="I1725" s="570"/>
      <c r="J1725" s="570"/>
      <c r="K1725" s="570"/>
    </row>
    <row r="1726" ht="13.75" customHeight="1">
      <c r="A1726" s="833">
        <v>356</v>
      </c>
      <c r="B1726" t="s" s="834">
        <v>1391</v>
      </c>
      <c r="C1726" t="s" s="834">
        <v>480</v>
      </c>
      <c r="D1726" s="835">
        <v>46037</v>
      </c>
      <c r="E1726" t="s" s="834">
        <v>478</v>
      </c>
      <c r="F1726" t="s" s="834">
        <v>478</v>
      </c>
      <c r="G1726" s="570"/>
      <c r="H1726" s="570"/>
      <c r="I1726" s="570"/>
      <c r="J1726" s="570"/>
      <c r="K1726" s="570"/>
    </row>
    <row r="1727" ht="13.75" customHeight="1">
      <c r="A1727" s="833">
        <v>356</v>
      </c>
      <c r="B1727" t="s" s="834">
        <v>1391</v>
      </c>
      <c r="C1727" t="s" s="834">
        <v>480</v>
      </c>
      <c r="D1727" s="835">
        <v>46038</v>
      </c>
      <c r="E1727" t="s" s="834">
        <v>478</v>
      </c>
      <c r="F1727" t="s" s="834">
        <v>478</v>
      </c>
      <c r="G1727" s="570"/>
      <c r="H1727" s="570"/>
      <c r="I1727" s="570"/>
      <c r="J1727" s="570"/>
      <c r="K1727" s="570"/>
    </row>
    <row r="1728" ht="13.75" customHeight="1">
      <c r="A1728" s="833">
        <v>356</v>
      </c>
      <c r="B1728" t="s" s="834">
        <v>1391</v>
      </c>
      <c r="C1728" t="s" s="834">
        <v>480</v>
      </c>
      <c r="D1728" s="835">
        <v>46039</v>
      </c>
      <c r="E1728" t="s" s="834">
        <v>478</v>
      </c>
      <c r="F1728" t="s" s="834">
        <v>478</v>
      </c>
      <c r="G1728" s="570"/>
      <c r="H1728" s="570"/>
      <c r="I1728" s="570"/>
      <c r="J1728" s="570"/>
      <c r="K1728" s="570"/>
    </row>
    <row r="1729" ht="13.75" customHeight="1">
      <c r="A1729" s="833">
        <v>356</v>
      </c>
      <c r="B1729" t="s" s="834">
        <v>1391</v>
      </c>
      <c r="C1729" t="s" s="834">
        <v>480</v>
      </c>
      <c r="D1729" s="835">
        <v>46040</v>
      </c>
      <c r="E1729" t="s" s="834">
        <v>478</v>
      </c>
      <c r="F1729" t="s" s="834">
        <v>478</v>
      </c>
      <c r="G1729" s="570"/>
      <c r="H1729" s="570"/>
      <c r="I1729" s="570"/>
      <c r="J1729" s="570"/>
      <c r="K1729" s="570"/>
    </row>
    <row r="1730" ht="13.75" customHeight="1">
      <c r="A1730" s="833">
        <v>356</v>
      </c>
      <c r="B1730" t="s" s="834">
        <v>1391</v>
      </c>
      <c r="C1730" t="s" s="834">
        <v>480</v>
      </c>
      <c r="D1730" s="835">
        <v>46041</v>
      </c>
      <c r="E1730" t="s" s="834">
        <v>478</v>
      </c>
      <c r="F1730" t="s" s="834">
        <v>478</v>
      </c>
      <c r="G1730" s="570"/>
      <c r="H1730" s="570"/>
      <c r="I1730" s="570"/>
      <c r="J1730" s="570"/>
      <c r="K1730" s="570"/>
    </row>
    <row r="1731" ht="13.75" customHeight="1">
      <c r="A1731" s="833">
        <v>356</v>
      </c>
      <c r="B1731" t="s" s="834">
        <v>1391</v>
      </c>
      <c r="C1731" t="s" s="834">
        <v>480</v>
      </c>
      <c r="D1731" s="835">
        <v>46042</v>
      </c>
      <c r="E1731" t="s" s="834">
        <v>478</v>
      </c>
      <c r="F1731" t="s" s="834">
        <v>478</v>
      </c>
      <c r="G1731" s="570"/>
      <c r="H1731" s="570"/>
      <c r="I1731" s="570"/>
      <c r="J1731" s="570"/>
      <c r="K1731" s="570"/>
    </row>
    <row r="1732" ht="13.75" customHeight="1">
      <c r="A1732" s="833">
        <v>356</v>
      </c>
      <c r="B1732" t="s" s="834">
        <v>1391</v>
      </c>
      <c r="C1732" t="s" s="834">
        <v>480</v>
      </c>
      <c r="D1732" s="835">
        <v>46043</v>
      </c>
      <c r="E1732" t="s" s="834">
        <v>478</v>
      </c>
      <c r="F1732" t="s" s="834">
        <v>478</v>
      </c>
      <c r="G1732" s="570"/>
      <c r="H1732" s="570"/>
      <c r="I1732" s="570"/>
      <c r="J1732" s="570"/>
      <c r="K1732" s="570"/>
    </row>
    <row r="1733" ht="13.75" customHeight="1">
      <c r="A1733" s="833">
        <v>356</v>
      </c>
      <c r="B1733" t="s" s="834">
        <v>1391</v>
      </c>
      <c r="C1733" t="s" s="834">
        <v>480</v>
      </c>
      <c r="D1733" s="835">
        <v>46044</v>
      </c>
      <c r="E1733" t="s" s="834">
        <v>478</v>
      </c>
      <c r="F1733" t="s" s="834">
        <v>478</v>
      </c>
      <c r="G1733" s="570"/>
      <c r="H1733" s="570"/>
      <c r="I1733" s="570"/>
      <c r="J1733" s="570"/>
      <c r="K1733" s="570"/>
    </row>
    <row r="1734" ht="13.75" customHeight="1">
      <c r="A1734" s="833">
        <v>356</v>
      </c>
      <c r="B1734" t="s" s="834">
        <v>1391</v>
      </c>
      <c r="C1734" t="s" s="834">
        <v>480</v>
      </c>
      <c r="D1734" s="835">
        <v>46045</v>
      </c>
      <c r="E1734" t="s" s="834">
        <v>478</v>
      </c>
      <c r="F1734" t="s" s="834">
        <v>478</v>
      </c>
      <c r="G1734" s="570"/>
      <c r="H1734" s="570"/>
      <c r="I1734" s="570"/>
      <c r="J1734" s="570"/>
      <c r="K1734" s="570"/>
    </row>
    <row r="1735" ht="13.75" customHeight="1">
      <c r="A1735" s="833">
        <v>356</v>
      </c>
      <c r="B1735" t="s" s="834">
        <v>1391</v>
      </c>
      <c r="C1735" t="s" s="834">
        <v>480</v>
      </c>
      <c r="D1735" s="835">
        <v>46046</v>
      </c>
      <c r="E1735" t="s" s="834">
        <v>478</v>
      </c>
      <c r="F1735" t="s" s="834">
        <v>478</v>
      </c>
      <c r="G1735" s="570"/>
      <c r="H1735" s="570"/>
      <c r="I1735" s="570"/>
      <c r="J1735" s="570"/>
      <c r="K1735" s="570"/>
    </row>
    <row r="1736" ht="13.75" customHeight="1">
      <c r="A1736" s="833">
        <v>356</v>
      </c>
      <c r="B1736" t="s" s="834">
        <v>1391</v>
      </c>
      <c r="C1736" t="s" s="834">
        <v>480</v>
      </c>
      <c r="D1736" s="835">
        <v>46047</v>
      </c>
      <c r="E1736" t="s" s="834">
        <v>478</v>
      </c>
      <c r="F1736" t="s" s="834">
        <v>478</v>
      </c>
      <c r="G1736" s="570"/>
      <c r="H1736" s="570"/>
      <c r="I1736" s="570"/>
      <c r="J1736" s="570"/>
      <c r="K1736" s="570"/>
    </row>
    <row r="1737" ht="13.75" customHeight="1">
      <c r="A1737" s="833">
        <v>356</v>
      </c>
      <c r="B1737" t="s" s="834">
        <v>1391</v>
      </c>
      <c r="C1737" t="s" s="834">
        <v>480</v>
      </c>
      <c r="D1737" s="835">
        <v>46048</v>
      </c>
      <c r="E1737" t="s" s="834">
        <v>478</v>
      </c>
      <c r="F1737" t="s" s="834">
        <v>478</v>
      </c>
      <c r="G1737" s="570"/>
      <c r="H1737" s="570"/>
      <c r="I1737" s="570"/>
      <c r="J1737" s="570"/>
      <c r="K1737" s="570"/>
    </row>
    <row r="1738" ht="13.75" customHeight="1">
      <c r="A1738" s="833">
        <v>356</v>
      </c>
      <c r="B1738" t="s" s="834">
        <v>1391</v>
      </c>
      <c r="C1738" t="s" s="834">
        <v>480</v>
      </c>
      <c r="D1738" s="835">
        <v>46049</v>
      </c>
      <c r="E1738" t="s" s="834">
        <v>478</v>
      </c>
      <c r="F1738" t="s" s="834">
        <v>478</v>
      </c>
      <c r="G1738" s="570"/>
      <c r="H1738" s="570"/>
      <c r="I1738" s="570"/>
      <c r="J1738" s="570"/>
      <c r="K1738" s="570"/>
    </row>
    <row r="1739" ht="13.75" customHeight="1">
      <c r="A1739" s="833">
        <v>356</v>
      </c>
      <c r="B1739" t="s" s="834">
        <v>1391</v>
      </c>
      <c r="C1739" t="s" s="834">
        <v>480</v>
      </c>
      <c r="D1739" s="835">
        <v>46050</v>
      </c>
      <c r="E1739" t="s" s="834">
        <v>478</v>
      </c>
      <c r="F1739" t="s" s="834">
        <v>478</v>
      </c>
      <c r="G1739" s="570"/>
      <c r="H1739" s="570"/>
      <c r="I1739" s="570"/>
      <c r="J1739" s="570"/>
      <c r="K1739" s="570"/>
    </row>
    <row r="1740" ht="13.75" customHeight="1">
      <c r="A1740" s="833">
        <v>356</v>
      </c>
      <c r="B1740" t="s" s="834">
        <v>1391</v>
      </c>
      <c r="C1740" t="s" s="834">
        <v>480</v>
      </c>
      <c r="D1740" s="835">
        <v>46051</v>
      </c>
      <c r="E1740" t="s" s="834">
        <v>478</v>
      </c>
      <c r="F1740" t="s" s="834">
        <v>478</v>
      </c>
      <c r="G1740" s="570"/>
      <c r="H1740" s="570"/>
      <c r="I1740" s="570"/>
      <c r="J1740" s="570"/>
      <c r="K1740" s="570"/>
    </row>
    <row r="1741" ht="13.75" customHeight="1">
      <c r="A1741" s="833">
        <v>356</v>
      </c>
      <c r="B1741" t="s" s="834">
        <v>1391</v>
      </c>
      <c r="C1741" t="s" s="834">
        <v>480</v>
      </c>
      <c r="D1741" s="835">
        <v>46052</v>
      </c>
      <c r="E1741" t="s" s="834">
        <v>478</v>
      </c>
      <c r="F1741" t="s" s="834">
        <v>478</v>
      </c>
      <c r="G1741" s="570"/>
      <c r="H1741" s="570"/>
      <c r="I1741" s="570"/>
      <c r="J1741" s="570"/>
      <c r="K1741" s="570"/>
    </row>
    <row r="1742" ht="13.75" customHeight="1">
      <c r="A1742" s="833">
        <v>356</v>
      </c>
      <c r="B1742" t="s" s="834">
        <v>1391</v>
      </c>
      <c r="C1742" t="s" s="834">
        <v>480</v>
      </c>
      <c r="D1742" s="835">
        <v>46053</v>
      </c>
      <c r="E1742" t="s" s="834">
        <v>478</v>
      </c>
      <c r="F1742" t="s" s="834">
        <v>478</v>
      </c>
      <c r="G1742" s="570"/>
      <c r="H1742" s="570"/>
      <c r="I1742" s="570"/>
      <c r="J1742" s="570"/>
      <c r="K1742" s="570"/>
    </row>
    <row r="1743" ht="13.75" customHeight="1">
      <c r="A1743" s="833">
        <v>356</v>
      </c>
      <c r="B1743" t="s" s="834">
        <v>1391</v>
      </c>
      <c r="C1743" t="s" s="834">
        <v>480</v>
      </c>
      <c r="D1743" s="835">
        <v>46054</v>
      </c>
      <c r="E1743" t="s" s="834">
        <v>478</v>
      </c>
      <c r="F1743" t="s" s="834">
        <v>478</v>
      </c>
      <c r="G1743" s="570"/>
      <c r="H1743" s="570"/>
      <c r="I1743" s="570"/>
      <c r="J1743" s="570"/>
      <c r="K1743" s="570"/>
    </row>
    <row r="1744" ht="13.75" customHeight="1">
      <c r="A1744" s="833">
        <v>357</v>
      </c>
      <c r="B1744" t="s" s="834">
        <v>306</v>
      </c>
      <c r="C1744" t="s" s="834">
        <v>480</v>
      </c>
      <c r="D1744" s="835">
        <v>46023</v>
      </c>
      <c r="E1744" t="s" s="834">
        <v>478</v>
      </c>
      <c r="F1744" t="s" s="834">
        <v>478</v>
      </c>
      <c r="G1744" s="570"/>
      <c r="H1744" s="570"/>
      <c r="I1744" s="570"/>
      <c r="J1744" s="570"/>
      <c r="K1744" s="570"/>
    </row>
    <row r="1745" ht="13.75" customHeight="1">
      <c r="A1745" s="833">
        <v>357</v>
      </c>
      <c r="B1745" t="s" s="834">
        <v>306</v>
      </c>
      <c r="C1745" t="s" s="834">
        <v>480</v>
      </c>
      <c r="D1745" s="835">
        <v>46024</v>
      </c>
      <c r="E1745" t="s" s="834">
        <v>478</v>
      </c>
      <c r="F1745" t="s" s="834">
        <v>478</v>
      </c>
      <c r="G1745" s="570"/>
      <c r="H1745" s="570"/>
      <c r="I1745" s="570"/>
      <c r="J1745" s="570"/>
      <c r="K1745" s="570"/>
    </row>
    <row r="1746" ht="13.75" customHeight="1">
      <c r="A1746" s="833">
        <v>357</v>
      </c>
      <c r="B1746" t="s" s="834">
        <v>306</v>
      </c>
      <c r="C1746" t="s" s="834">
        <v>480</v>
      </c>
      <c r="D1746" s="835">
        <v>46025</v>
      </c>
      <c r="E1746" t="s" s="834">
        <v>478</v>
      </c>
      <c r="F1746" t="s" s="834">
        <v>478</v>
      </c>
      <c r="G1746" s="570"/>
      <c r="H1746" s="570"/>
      <c r="I1746" s="570"/>
      <c r="J1746" s="570"/>
      <c r="K1746" s="570"/>
    </row>
    <row r="1747" ht="13.75" customHeight="1">
      <c r="A1747" s="833">
        <v>357</v>
      </c>
      <c r="B1747" t="s" s="834">
        <v>306</v>
      </c>
      <c r="C1747" t="s" s="834">
        <v>480</v>
      </c>
      <c r="D1747" s="835">
        <v>46026</v>
      </c>
      <c r="E1747" t="s" s="834">
        <v>478</v>
      </c>
      <c r="F1747" t="s" s="834">
        <v>478</v>
      </c>
      <c r="G1747" s="570"/>
      <c r="H1747" s="570"/>
      <c r="I1747" s="570"/>
      <c r="J1747" s="570"/>
      <c r="K1747" s="570"/>
    </row>
    <row r="1748" ht="13.75" customHeight="1">
      <c r="A1748" s="833">
        <v>357</v>
      </c>
      <c r="B1748" t="s" s="834">
        <v>306</v>
      </c>
      <c r="C1748" t="s" s="834">
        <v>480</v>
      </c>
      <c r="D1748" s="835">
        <v>46027</v>
      </c>
      <c r="E1748" s="836">
        <v>1.349016203703704</v>
      </c>
      <c r="F1748" s="836">
        <v>1.751527777777778</v>
      </c>
      <c r="G1748" s="570"/>
      <c r="H1748" s="570"/>
      <c r="I1748" s="570"/>
      <c r="J1748" s="570"/>
      <c r="K1748" s="570"/>
    </row>
    <row r="1749" ht="13.75" customHeight="1">
      <c r="A1749" t="s" s="834">
        <v>1392</v>
      </c>
      <c r="B1749" t="s" s="834">
        <v>1393</v>
      </c>
      <c r="C1749" t="s" s="834">
        <v>861</v>
      </c>
      <c r="D1749" s="570"/>
      <c r="E1749" s="570"/>
      <c r="F1749" s="570"/>
      <c r="G1749" s="570"/>
      <c r="H1749" s="570"/>
      <c r="I1749" s="570"/>
      <c r="J1749" s="570"/>
      <c r="K1749" s="570"/>
    </row>
    <row r="1750" ht="13.75" customHeight="1">
      <c r="A1750" s="833">
        <v>357</v>
      </c>
      <c r="B1750" t="s" s="834">
        <v>306</v>
      </c>
      <c r="C1750" t="s" s="834">
        <v>480</v>
      </c>
      <c r="D1750" s="835">
        <v>46028</v>
      </c>
      <c r="E1750" s="836">
        <v>1.364386574074074</v>
      </c>
      <c r="F1750" s="836">
        <v>1.755659722222222</v>
      </c>
      <c r="G1750" s="570"/>
      <c r="H1750" s="570"/>
      <c r="I1750" s="570"/>
      <c r="J1750" s="570"/>
      <c r="K1750" s="570"/>
    </row>
    <row r="1751" ht="13.75" customHeight="1">
      <c r="A1751" t="s" s="834">
        <v>1394</v>
      </c>
      <c r="B1751" t="s" s="834">
        <v>1395</v>
      </c>
      <c r="C1751" t="s" s="834">
        <v>668</v>
      </c>
      <c r="D1751" s="570"/>
      <c r="E1751" s="570"/>
      <c r="F1751" s="570"/>
      <c r="G1751" s="570"/>
      <c r="H1751" s="570"/>
      <c r="I1751" s="570"/>
      <c r="J1751" s="570"/>
      <c r="K1751" s="570"/>
    </row>
    <row r="1752" ht="13.75" customHeight="1">
      <c r="A1752" s="833">
        <v>357</v>
      </c>
      <c r="B1752" t="s" s="834">
        <v>306</v>
      </c>
      <c r="C1752" t="s" s="834">
        <v>480</v>
      </c>
      <c r="D1752" s="835">
        <v>46029</v>
      </c>
      <c r="E1752" s="836">
        <v>1.344780092592593</v>
      </c>
      <c r="F1752" s="836">
        <v>1.751527777777778</v>
      </c>
      <c r="G1752" s="570"/>
      <c r="H1752" s="570"/>
      <c r="I1752" s="570"/>
      <c r="J1752" s="570"/>
      <c r="K1752" s="570"/>
    </row>
    <row r="1753" ht="13.75" customHeight="1">
      <c r="A1753" t="s" s="834">
        <v>1396</v>
      </c>
      <c r="B1753" t="s" s="834">
        <v>1397</v>
      </c>
      <c r="C1753" t="s" s="834">
        <v>1113</v>
      </c>
      <c r="D1753" s="570"/>
      <c r="E1753" s="570"/>
      <c r="F1753" s="570"/>
      <c r="G1753" s="570"/>
      <c r="H1753" s="570"/>
      <c r="I1753" s="570"/>
      <c r="J1753" s="570"/>
      <c r="K1753" s="570"/>
    </row>
    <row r="1754" ht="13.75" customHeight="1">
      <c r="A1754" s="833">
        <v>357</v>
      </c>
      <c r="B1754" t="s" s="834">
        <v>306</v>
      </c>
      <c r="C1754" t="s" s="834">
        <v>480</v>
      </c>
      <c r="D1754" s="835">
        <v>46030</v>
      </c>
      <c r="E1754" s="836">
        <v>1.359861111111111</v>
      </c>
      <c r="F1754" s="836">
        <v>1.752118055555556</v>
      </c>
      <c r="G1754" s="570"/>
      <c r="H1754" s="570"/>
      <c r="I1754" s="570"/>
      <c r="J1754" s="570"/>
      <c r="K1754" s="570"/>
    </row>
    <row r="1755" ht="13.75" customHeight="1">
      <c r="A1755" t="s" s="834">
        <v>1398</v>
      </c>
      <c r="B1755" t="s" s="834">
        <v>1399</v>
      </c>
      <c r="C1755" t="s" s="834">
        <v>966</v>
      </c>
      <c r="D1755" s="570"/>
      <c r="E1755" s="570"/>
      <c r="F1755" s="570"/>
      <c r="G1755" s="570"/>
      <c r="H1755" s="570"/>
      <c r="I1755" s="570"/>
      <c r="J1755" s="570"/>
      <c r="K1755" s="570"/>
    </row>
    <row r="1756" ht="13.75" customHeight="1">
      <c r="A1756" s="833">
        <v>357</v>
      </c>
      <c r="B1756" t="s" s="834">
        <v>306</v>
      </c>
      <c r="C1756" t="s" s="834">
        <v>480</v>
      </c>
      <c r="D1756" s="835">
        <v>46031</v>
      </c>
      <c r="E1756" s="836">
        <v>1.343981481481481</v>
      </c>
      <c r="F1756" s="836">
        <v>1.752835648148148</v>
      </c>
      <c r="G1756" s="570"/>
      <c r="H1756" s="570"/>
      <c r="I1756" s="570"/>
      <c r="J1756" s="570"/>
      <c r="K1756" s="570"/>
    </row>
    <row r="1757" ht="13.75" customHeight="1">
      <c r="A1757" t="s" s="834">
        <v>1400</v>
      </c>
      <c r="B1757" t="s" s="834">
        <v>1401</v>
      </c>
      <c r="C1757" t="s" s="834">
        <v>600</v>
      </c>
      <c r="D1757" s="570"/>
      <c r="E1757" s="570"/>
      <c r="F1757" s="570"/>
      <c r="G1757" s="570"/>
      <c r="H1757" s="570"/>
      <c r="I1757" s="570"/>
      <c r="J1757" s="570"/>
      <c r="K1757" s="570"/>
    </row>
    <row r="1758" ht="13.75" customHeight="1">
      <c r="A1758" s="833">
        <v>357</v>
      </c>
      <c r="B1758" t="s" s="834">
        <v>306</v>
      </c>
      <c r="C1758" t="s" s="834">
        <v>480</v>
      </c>
      <c r="D1758" s="835">
        <v>46032</v>
      </c>
      <c r="E1758" t="s" s="834">
        <v>478</v>
      </c>
      <c r="F1758" t="s" s="834">
        <v>478</v>
      </c>
      <c r="G1758" s="570"/>
      <c r="H1758" s="570"/>
      <c r="I1758" s="570"/>
      <c r="J1758" s="570"/>
      <c r="K1758" s="570"/>
    </row>
    <row r="1759" ht="13.75" customHeight="1">
      <c r="A1759" s="833">
        <v>357</v>
      </c>
      <c r="B1759" t="s" s="834">
        <v>306</v>
      </c>
      <c r="C1759" t="s" s="834">
        <v>480</v>
      </c>
      <c r="D1759" s="835">
        <v>46033</v>
      </c>
      <c r="E1759" t="s" s="834">
        <v>478</v>
      </c>
      <c r="F1759" t="s" s="834">
        <v>478</v>
      </c>
      <c r="G1759" s="570"/>
      <c r="H1759" s="570"/>
      <c r="I1759" s="570"/>
      <c r="J1759" s="570"/>
      <c r="K1759" s="570"/>
    </row>
    <row r="1760" ht="13.75" customHeight="1">
      <c r="A1760" s="833">
        <v>357</v>
      </c>
      <c r="B1760" t="s" s="834">
        <v>306</v>
      </c>
      <c r="C1760" t="s" s="834">
        <v>480</v>
      </c>
      <c r="D1760" s="835">
        <v>46034</v>
      </c>
      <c r="E1760" s="836">
        <v>1.336145833333333</v>
      </c>
      <c r="F1760" s="836">
        <v>1.752141203703704</v>
      </c>
      <c r="G1760" s="570"/>
      <c r="H1760" s="570"/>
      <c r="I1760" s="570"/>
      <c r="J1760" s="570"/>
      <c r="K1760" s="570"/>
    </row>
    <row r="1761" ht="13.75" customHeight="1">
      <c r="A1761" t="s" s="834">
        <v>1402</v>
      </c>
      <c r="B1761" t="s" s="834">
        <v>1403</v>
      </c>
      <c r="C1761" t="s" s="834">
        <v>652</v>
      </c>
      <c r="D1761" s="570"/>
      <c r="E1761" s="570"/>
      <c r="F1761" s="570"/>
      <c r="G1761" s="570"/>
      <c r="H1761" s="570"/>
      <c r="I1761" s="570"/>
      <c r="J1761" s="570"/>
      <c r="K1761" s="570"/>
    </row>
    <row r="1762" ht="13.75" customHeight="1">
      <c r="A1762" s="833">
        <v>357</v>
      </c>
      <c r="B1762" t="s" s="834">
        <v>306</v>
      </c>
      <c r="C1762" t="s" s="834">
        <v>480</v>
      </c>
      <c r="D1762" s="835">
        <v>46035</v>
      </c>
      <c r="E1762" s="836">
        <v>1.344895833333333</v>
      </c>
      <c r="F1762" s="836">
        <v>1.75193287037037</v>
      </c>
      <c r="G1762" s="570"/>
      <c r="H1762" s="570"/>
      <c r="I1762" s="570"/>
      <c r="J1762" s="570"/>
      <c r="K1762" s="570"/>
    </row>
    <row r="1763" ht="13.75" customHeight="1">
      <c r="A1763" t="s" s="834">
        <v>1404</v>
      </c>
      <c r="B1763" t="s" s="834">
        <v>1405</v>
      </c>
      <c r="C1763" t="s" s="834">
        <v>1113</v>
      </c>
      <c r="D1763" s="570"/>
      <c r="E1763" s="570"/>
      <c r="F1763" s="570"/>
      <c r="G1763" s="570"/>
      <c r="H1763" s="570"/>
      <c r="I1763" s="570"/>
      <c r="J1763" s="570"/>
      <c r="K1763" s="570"/>
    </row>
    <row r="1764" ht="13.75" customHeight="1">
      <c r="A1764" s="833">
        <v>357</v>
      </c>
      <c r="B1764" t="s" s="834">
        <v>306</v>
      </c>
      <c r="C1764" t="s" s="834">
        <v>480</v>
      </c>
      <c r="D1764" s="835">
        <v>46036</v>
      </c>
      <c r="E1764" s="836">
        <v>1.348078703703704</v>
      </c>
      <c r="F1764" s="836">
        <v>1.536539351851852</v>
      </c>
      <c r="G1764" s="570"/>
      <c r="H1764" s="570"/>
      <c r="I1764" s="570"/>
      <c r="J1764" s="570"/>
      <c r="K1764" s="570"/>
    </row>
    <row r="1765" ht="13.75" customHeight="1">
      <c r="A1765" t="s" s="834">
        <v>1406</v>
      </c>
      <c r="B1765" t="s" s="834">
        <v>1407</v>
      </c>
      <c r="C1765" t="s" s="834">
        <v>1408</v>
      </c>
      <c r="D1765" s="570"/>
      <c r="E1765" s="570"/>
      <c r="F1765" s="570"/>
      <c r="G1765" s="570"/>
      <c r="H1765" s="570"/>
      <c r="I1765" s="570"/>
      <c r="J1765" s="570"/>
      <c r="K1765" s="570"/>
    </row>
    <row r="1766" ht="13.75" customHeight="1">
      <c r="A1766" s="833">
        <v>357</v>
      </c>
      <c r="B1766" t="s" s="834">
        <v>306</v>
      </c>
      <c r="C1766" t="s" s="834">
        <v>480</v>
      </c>
      <c r="D1766" s="835">
        <v>46037</v>
      </c>
      <c r="E1766" s="836">
        <v>1.348009259259259</v>
      </c>
      <c r="F1766" s="836">
        <v>1.751863425925926</v>
      </c>
      <c r="G1766" s="570"/>
      <c r="H1766" s="570"/>
      <c r="I1766" s="570"/>
      <c r="J1766" s="570"/>
      <c r="K1766" s="570"/>
    </row>
    <row r="1767" ht="13.75" customHeight="1">
      <c r="A1767" t="s" s="834">
        <v>1409</v>
      </c>
      <c r="B1767" t="s" s="834">
        <v>1410</v>
      </c>
      <c r="C1767" t="s" s="834">
        <v>493</v>
      </c>
      <c r="D1767" s="570"/>
      <c r="E1767" s="570"/>
      <c r="F1767" s="570"/>
      <c r="G1767" s="570"/>
      <c r="H1767" s="570"/>
      <c r="I1767" s="570"/>
      <c r="J1767" s="570"/>
      <c r="K1767" s="570"/>
    </row>
    <row r="1768" ht="13.75" customHeight="1">
      <c r="A1768" s="833">
        <v>357</v>
      </c>
      <c r="B1768" t="s" s="834">
        <v>306</v>
      </c>
      <c r="C1768" t="s" s="834">
        <v>480</v>
      </c>
      <c r="D1768" s="835">
        <v>46038</v>
      </c>
      <c r="E1768" s="836">
        <v>1.341944444444444</v>
      </c>
      <c r="F1768" s="836">
        <v>1.751909722222222</v>
      </c>
      <c r="G1768" s="570"/>
      <c r="H1768" s="570"/>
      <c r="I1768" s="570"/>
      <c r="J1768" s="570"/>
      <c r="K1768" s="570"/>
    </row>
    <row r="1769" ht="13.75" customHeight="1">
      <c r="A1769" t="s" s="834">
        <v>1411</v>
      </c>
      <c r="B1769" t="s" s="834">
        <v>1412</v>
      </c>
      <c r="C1769" t="s" s="834">
        <v>1119</v>
      </c>
      <c r="D1769" s="570"/>
      <c r="E1769" s="570"/>
      <c r="F1769" s="570"/>
      <c r="G1769" s="570"/>
      <c r="H1769" s="570"/>
      <c r="I1769" s="570"/>
      <c r="J1769" s="570"/>
      <c r="K1769" s="570"/>
    </row>
    <row r="1770" ht="13.75" customHeight="1">
      <c r="A1770" s="833">
        <v>357</v>
      </c>
      <c r="B1770" t="s" s="834">
        <v>306</v>
      </c>
      <c r="C1770" t="s" s="834">
        <v>480</v>
      </c>
      <c r="D1770" s="835">
        <v>46039</v>
      </c>
      <c r="E1770" t="s" s="834">
        <v>478</v>
      </c>
      <c r="F1770" t="s" s="834">
        <v>478</v>
      </c>
      <c r="G1770" s="570"/>
      <c r="H1770" s="570"/>
      <c r="I1770" s="570"/>
      <c r="J1770" s="570"/>
      <c r="K1770" s="570"/>
    </row>
    <row r="1771" ht="13.75" customHeight="1">
      <c r="A1771" s="833">
        <v>357</v>
      </c>
      <c r="B1771" t="s" s="834">
        <v>306</v>
      </c>
      <c r="C1771" t="s" s="834">
        <v>480</v>
      </c>
      <c r="D1771" s="835">
        <v>46040</v>
      </c>
      <c r="E1771" t="s" s="834">
        <v>478</v>
      </c>
      <c r="F1771" t="s" s="834">
        <v>478</v>
      </c>
      <c r="G1771" s="570"/>
      <c r="H1771" s="570"/>
      <c r="I1771" s="570"/>
      <c r="J1771" s="570"/>
      <c r="K1771" s="570"/>
    </row>
    <row r="1772" ht="13.75" customHeight="1">
      <c r="A1772" s="833">
        <v>357</v>
      </c>
      <c r="B1772" t="s" s="834">
        <v>306</v>
      </c>
      <c r="C1772" t="s" s="834">
        <v>480</v>
      </c>
      <c r="D1772" s="835">
        <v>46041</v>
      </c>
      <c r="E1772" s="836">
        <v>1.353206018518518</v>
      </c>
      <c r="F1772" s="836">
        <v>1.752210648148148</v>
      </c>
      <c r="G1772" s="570"/>
      <c r="H1772" s="570"/>
      <c r="I1772" s="570"/>
      <c r="J1772" s="570"/>
      <c r="K1772" s="570"/>
    </row>
    <row r="1773" ht="13.75" customHeight="1">
      <c r="A1773" t="s" s="834">
        <v>1413</v>
      </c>
      <c r="B1773" t="s" s="834">
        <v>1414</v>
      </c>
      <c r="C1773" t="s" s="834">
        <v>515</v>
      </c>
      <c r="D1773" s="570"/>
      <c r="E1773" s="570"/>
      <c r="F1773" s="570"/>
      <c r="G1773" s="570"/>
      <c r="H1773" s="570"/>
      <c r="I1773" s="570"/>
      <c r="J1773" s="570"/>
      <c r="K1773" s="570"/>
    </row>
    <row r="1774" ht="13.75" customHeight="1">
      <c r="A1774" s="833">
        <v>357</v>
      </c>
      <c r="B1774" t="s" s="834">
        <v>306</v>
      </c>
      <c r="C1774" t="s" s="834">
        <v>480</v>
      </c>
      <c r="D1774" s="835">
        <v>46042</v>
      </c>
      <c r="E1774" s="836">
        <v>1.34875</v>
      </c>
      <c r="F1774" s="836">
        <v>1.755844907407407</v>
      </c>
      <c r="G1774" s="570"/>
      <c r="H1774" s="570"/>
      <c r="I1774" s="570"/>
      <c r="J1774" s="570"/>
      <c r="K1774" s="570"/>
    </row>
    <row r="1775" ht="13.75" customHeight="1">
      <c r="A1775" t="s" s="834">
        <v>1415</v>
      </c>
      <c r="B1775" t="s" s="834">
        <v>1416</v>
      </c>
      <c r="C1775" t="s" s="834">
        <v>1113</v>
      </c>
      <c r="D1775" s="570"/>
      <c r="E1775" s="570"/>
      <c r="F1775" s="570"/>
      <c r="G1775" s="570"/>
      <c r="H1775" s="570"/>
      <c r="I1775" s="570"/>
      <c r="J1775" s="570"/>
      <c r="K1775" s="570"/>
    </row>
    <row r="1776" ht="13.75" customHeight="1">
      <c r="A1776" s="833">
        <v>357</v>
      </c>
      <c r="B1776" t="s" s="834">
        <v>306</v>
      </c>
      <c r="C1776" t="s" s="834">
        <v>480</v>
      </c>
      <c r="D1776" s="835">
        <v>46043</v>
      </c>
      <c r="E1776" t="s" s="834">
        <v>478</v>
      </c>
      <c r="F1776" t="s" s="834">
        <v>478</v>
      </c>
      <c r="G1776" s="570"/>
      <c r="H1776" s="570"/>
      <c r="I1776" s="570"/>
      <c r="J1776" s="570"/>
      <c r="K1776" s="570"/>
    </row>
    <row r="1777" ht="13.75" customHeight="1">
      <c r="A1777" s="833">
        <v>357</v>
      </c>
      <c r="B1777" t="s" s="834">
        <v>306</v>
      </c>
      <c r="C1777" t="s" s="834">
        <v>480</v>
      </c>
      <c r="D1777" s="835">
        <v>46044</v>
      </c>
      <c r="E1777" t="s" s="834">
        <v>478</v>
      </c>
      <c r="F1777" t="s" s="834">
        <v>478</v>
      </c>
      <c r="G1777" s="570"/>
      <c r="H1777" s="570"/>
      <c r="I1777" s="570"/>
      <c r="J1777" s="570"/>
      <c r="K1777" s="570"/>
    </row>
    <row r="1778" ht="13.75" customHeight="1">
      <c r="A1778" s="833">
        <v>357</v>
      </c>
      <c r="B1778" t="s" s="834">
        <v>306</v>
      </c>
      <c r="C1778" t="s" s="834">
        <v>480</v>
      </c>
      <c r="D1778" s="835">
        <v>46045</v>
      </c>
      <c r="E1778" s="836">
        <v>1.350983796296296</v>
      </c>
      <c r="F1778" s="836">
        <v>1.75224537037037</v>
      </c>
      <c r="G1778" s="570"/>
      <c r="H1778" s="570"/>
      <c r="I1778" s="570"/>
      <c r="J1778" s="570"/>
      <c r="K1778" s="570"/>
    </row>
    <row r="1779" ht="13.75" customHeight="1">
      <c r="A1779" t="s" s="834">
        <v>1417</v>
      </c>
      <c r="B1779" t="s" s="834">
        <v>1418</v>
      </c>
      <c r="C1779" t="s" s="834">
        <v>697</v>
      </c>
      <c r="D1779" s="570"/>
      <c r="E1779" s="570"/>
      <c r="F1779" s="570"/>
      <c r="G1779" s="570"/>
      <c r="H1779" s="570"/>
      <c r="I1779" s="570"/>
      <c r="J1779" s="570"/>
      <c r="K1779" s="570"/>
    </row>
    <row r="1780" ht="13.75" customHeight="1">
      <c r="A1780" s="833">
        <v>357</v>
      </c>
      <c r="B1780" t="s" s="834">
        <v>306</v>
      </c>
      <c r="C1780" t="s" s="834">
        <v>480</v>
      </c>
      <c r="D1780" s="835">
        <v>46046</v>
      </c>
      <c r="E1780" t="s" s="834">
        <v>478</v>
      </c>
      <c r="F1780" t="s" s="834">
        <v>478</v>
      </c>
      <c r="G1780" s="570"/>
      <c r="H1780" s="570"/>
      <c r="I1780" s="570"/>
      <c r="J1780" s="570"/>
      <c r="K1780" s="570"/>
    </row>
    <row r="1781" ht="13.75" customHeight="1">
      <c r="A1781" s="833">
        <v>357</v>
      </c>
      <c r="B1781" t="s" s="834">
        <v>306</v>
      </c>
      <c r="C1781" t="s" s="834">
        <v>480</v>
      </c>
      <c r="D1781" s="835">
        <v>46047</v>
      </c>
      <c r="E1781" t="s" s="834">
        <v>478</v>
      </c>
      <c r="F1781" t="s" s="834">
        <v>478</v>
      </c>
      <c r="G1781" s="570"/>
      <c r="H1781" s="570"/>
      <c r="I1781" s="570"/>
      <c r="J1781" s="570"/>
      <c r="K1781" s="570"/>
    </row>
    <row r="1782" ht="13.75" customHeight="1">
      <c r="A1782" s="833">
        <v>357</v>
      </c>
      <c r="B1782" t="s" s="834">
        <v>306</v>
      </c>
      <c r="C1782" t="s" s="834">
        <v>480</v>
      </c>
      <c r="D1782" s="835">
        <v>46048</v>
      </c>
      <c r="E1782" s="836">
        <v>1.3534375</v>
      </c>
      <c r="F1782" s="836">
        <v>1.753321759259259</v>
      </c>
      <c r="G1782" s="570"/>
      <c r="H1782" s="570"/>
      <c r="I1782" s="570"/>
      <c r="J1782" s="570"/>
      <c r="K1782" s="570"/>
    </row>
    <row r="1783" ht="13.75" customHeight="1">
      <c r="A1783" t="s" s="834">
        <v>1419</v>
      </c>
      <c r="B1783" t="s" s="834">
        <v>1420</v>
      </c>
      <c r="C1783" t="s" s="834">
        <v>759</v>
      </c>
      <c r="D1783" s="570"/>
      <c r="E1783" s="570"/>
      <c r="F1783" s="570"/>
      <c r="G1783" s="570"/>
      <c r="H1783" s="570"/>
      <c r="I1783" s="570"/>
      <c r="J1783" s="570"/>
      <c r="K1783" s="570"/>
    </row>
    <row r="1784" ht="13.75" customHeight="1">
      <c r="A1784" s="833">
        <v>357</v>
      </c>
      <c r="B1784" t="s" s="834">
        <v>306</v>
      </c>
      <c r="C1784" t="s" s="834">
        <v>480</v>
      </c>
      <c r="D1784" s="835">
        <v>46049</v>
      </c>
      <c r="E1784" t="s" s="834">
        <v>478</v>
      </c>
      <c r="F1784" t="s" s="834">
        <v>478</v>
      </c>
      <c r="G1784" s="570"/>
      <c r="H1784" s="570"/>
      <c r="I1784" s="570"/>
      <c r="J1784" s="570"/>
      <c r="K1784" s="570"/>
    </row>
    <row r="1785" ht="13.75" customHeight="1">
      <c r="A1785" s="833">
        <v>357</v>
      </c>
      <c r="B1785" t="s" s="834">
        <v>306</v>
      </c>
      <c r="C1785" t="s" s="834">
        <v>480</v>
      </c>
      <c r="D1785" s="835">
        <v>46050</v>
      </c>
      <c r="E1785" t="s" s="834">
        <v>478</v>
      </c>
      <c r="F1785" t="s" s="834">
        <v>478</v>
      </c>
      <c r="G1785" s="570"/>
      <c r="H1785" s="570"/>
      <c r="I1785" s="570"/>
      <c r="J1785" s="570"/>
      <c r="K1785" s="570"/>
    </row>
    <row r="1786" ht="13.75" customHeight="1">
      <c r="A1786" s="833">
        <v>357</v>
      </c>
      <c r="B1786" t="s" s="834">
        <v>306</v>
      </c>
      <c r="C1786" t="s" s="834">
        <v>480</v>
      </c>
      <c r="D1786" s="835">
        <v>46051</v>
      </c>
      <c r="E1786" t="s" s="834">
        <v>478</v>
      </c>
      <c r="F1786" t="s" s="834">
        <v>478</v>
      </c>
      <c r="G1786" s="570"/>
      <c r="H1786" s="570"/>
      <c r="I1786" s="570"/>
      <c r="J1786" s="570"/>
      <c r="K1786" s="570"/>
    </row>
    <row r="1787" ht="13.75" customHeight="1">
      <c r="A1787" s="833">
        <v>357</v>
      </c>
      <c r="B1787" t="s" s="834">
        <v>306</v>
      </c>
      <c r="C1787" t="s" s="834">
        <v>480</v>
      </c>
      <c r="D1787" s="835">
        <v>46052</v>
      </c>
      <c r="E1787" t="s" s="834">
        <v>478</v>
      </c>
      <c r="F1787" t="s" s="834">
        <v>478</v>
      </c>
      <c r="G1787" s="570"/>
      <c r="H1787" s="570"/>
      <c r="I1787" s="570"/>
      <c r="J1787" s="570"/>
      <c r="K1787" s="570"/>
    </row>
    <row r="1788" ht="13.75" customHeight="1">
      <c r="A1788" s="833">
        <v>357</v>
      </c>
      <c r="B1788" t="s" s="834">
        <v>306</v>
      </c>
      <c r="C1788" t="s" s="834">
        <v>480</v>
      </c>
      <c r="D1788" s="835">
        <v>46053</v>
      </c>
      <c r="E1788" t="s" s="834">
        <v>478</v>
      </c>
      <c r="F1788" t="s" s="834">
        <v>478</v>
      </c>
      <c r="G1788" s="570"/>
      <c r="H1788" s="570"/>
      <c r="I1788" s="570"/>
      <c r="J1788" s="570"/>
      <c r="K1788" s="570"/>
    </row>
    <row r="1789" ht="13.75" customHeight="1">
      <c r="A1789" s="833">
        <v>357</v>
      </c>
      <c r="B1789" t="s" s="834">
        <v>306</v>
      </c>
      <c r="C1789" t="s" s="834">
        <v>480</v>
      </c>
      <c r="D1789" s="835">
        <v>46054</v>
      </c>
      <c r="E1789" t="s" s="834">
        <v>478</v>
      </c>
      <c r="F1789" t="s" s="834">
        <v>478</v>
      </c>
      <c r="G1789" s="570"/>
      <c r="H1789" s="570"/>
      <c r="I1789" s="570"/>
      <c r="J1789" s="570"/>
      <c r="K1789" s="570"/>
    </row>
    <row r="1790" ht="13.75" customHeight="1">
      <c r="A1790" s="833">
        <v>358</v>
      </c>
      <c r="B1790" t="s" s="834">
        <v>1421</v>
      </c>
      <c r="C1790" t="s" s="834">
        <v>480</v>
      </c>
      <c r="D1790" s="835">
        <v>46023</v>
      </c>
      <c r="E1790" t="s" s="834">
        <v>478</v>
      </c>
      <c r="F1790" t="s" s="834">
        <v>478</v>
      </c>
      <c r="G1790" s="570"/>
      <c r="H1790" s="570"/>
      <c r="I1790" s="570"/>
      <c r="J1790" s="570"/>
      <c r="K1790" s="570"/>
    </row>
    <row r="1791" ht="13.75" customHeight="1">
      <c r="A1791" s="833">
        <v>358</v>
      </c>
      <c r="B1791" t="s" s="834">
        <v>1421</v>
      </c>
      <c r="C1791" t="s" s="834">
        <v>480</v>
      </c>
      <c r="D1791" s="835">
        <v>46024</v>
      </c>
      <c r="E1791" t="s" s="834">
        <v>478</v>
      </c>
      <c r="F1791" t="s" s="834">
        <v>478</v>
      </c>
      <c r="G1791" s="570"/>
      <c r="H1791" s="570"/>
      <c r="I1791" s="570"/>
      <c r="J1791" s="570"/>
      <c r="K1791" s="570"/>
    </row>
    <row r="1792" ht="13.75" customHeight="1">
      <c r="A1792" s="833">
        <v>358</v>
      </c>
      <c r="B1792" t="s" s="834">
        <v>1421</v>
      </c>
      <c r="C1792" t="s" s="834">
        <v>480</v>
      </c>
      <c r="D1792" s="835">
        <v>46025</v>
      </c>
      <c r="E1792" t="s" s="834">
        <v>478</v>
      </c>
      <c r="F1792" t="s" s="834">
        <v>478</v>
      </c>
      <c r="G1792" s="570"/>
      <c r="H1792" s="570"/>
      <c r="I1792" s="570"/>
      <c r="J1792" s="570"/>
      <c r="K1792" s="570"/>
    </row>
    <row r="1793" ht="13.75" customHeight="1">
      <c r="A1793" s="833">
        <v>358</v>
      </c>
      <c r="B1793" t="s" s="834">
        <v>1421</v>
      </c>
      <c r="C1793" t="s" s="834">
        <v>480</v>
      </c>
      <c r="D1793" s="835">
        <v>46026</v>
      </c>
      <c r="E1793" t="s" s="834">
        <v>478</v>
      </c>
      <c r="F1793" t="s" s="834">
        <v>478</v>
      </c>
      <c r="G1793" s="570"/>
      <c r="H1793" s="570"/>
      <c r="I1793" s="570"/>
      <c r="J1793" s="570"/>
      <c r="K1793" s="570"/>
    </row>
    <row r="1794" ht="13.75" customHeight="1">
      <c r="A1794" s="833">
        <v>358</v>
      </c>
      <c r="B1794" t="s" s="834">
        <v>1421</v>
      </c>
      <c r="C1794" t="s" s="834">
        <v>480</v>
      </c>
      <c r="D1794" s="835">
        <v>46027</v>
      </c>
      <c r="E1794" t="s" s="834">
        <v>478</v>
      </c>
      <c r="F1794" t="s" s="834">
        <v>478</v>
      </c>
      <c r="G1794" s="570"/>
      <c r="H1794" s="570"/>
      <c r="I1794" s="570"/>
      <c r="J1794" s="570"/>
      <c r="K1794" s="570"/>
    </row>
    <row r="1795" ht="13.75" customHeight="1">
      <c r="A1795" s="833">
        <v>358</v>
      </c>
      <c r="B1795" t="s" s="834">
        <v>1421</v>
      </c>
      <c r="C1795" t="s" s="834">
        <v>480</v>
      </c>
      <c r="D1795" s="835">
        <v>46028</v>
      </c>
      <c r="E1795" t="s" s="834">
        <v>478</v>
      </c>
      <c r="F1795" t="s" s="834">
        <v>478</v>
      </c>
      <c r="G1795" s="570"/>
      <c r="H1795" s="570"/>
      <c r="I1795" s="570"/>
      <c r="J1795" s="570"/>
      <c r="K1795" s="570"/>
    </row>
    <row r="1796" ht="13.75" customHeight="1">
      <c r="A1796" s="833">
        <v>358</v>
      </c>
      <c r="B1796" t="s" s="834">
        <v>1421</v>
      </c>
      <c r="C1796" t="s" s="834">
        <v>480</v>
      </c>
      <c r="D1796" s="835">
        <v>46029</v>
      </c>
      <c r="E1796" t="s" s="834">
        <v>478</v>
      </c>
      <c r="F1796" t="s" s="834">
        <v>478</v>
      </c>
      <c r="G1796" s="570"/>
      <c r="H1796" s="570"/>
      <c r="I1796" s="570"/>
      <c r="J1796" s="570"/>
      <c r="K1796" s="570"/>
    </row>
    <row r="1797" ht="13.75" customHeight="1">
      <c r="A1797" s="833">
        <v>358</v>
      </c>
      <c r="B1797" t="s" s="834">
        <v>1421</v>
      </c>
      <c r="C1797" t="s" s="834">
        <v>480</v>
      </c>
      <c r="D1797" s="835">
        <v>46030</v>
      </c>
      <c r="E1797" t="s" s="834">
        <v>478</v>
      </c>
      <c r="F1797" t="s" s="834">
        <v>478</v>
      </c>
      <c r="G1797" s="570"/>
      <c r="H1797" s="570"/>
      <c r="I1797" s="570"/>
      <c r="J1797" s="570"/>
      <c r="K1797" s="570"/>
    </row>
    <row r="1798" ht="13.75" customHeight="1">
      <c r="A1798" s="833">
        <v>358</v>
      </c>
      <c r="B1798" t="s" s="834">
        <v>1421</v>
      </c>
      <c r="C1798" t="s" s="834">
        <v>480</v>
      </c>
      <c r="D1798" s="835">
        <v>46031</v>
      </c>
      <c r="E1798" t="s" s="834">
        <v>478</v>
      </c>
      <c r="F1798" t="s" s="834">
        <v>478</v>
      </c>
      <c r="G1798" s="570"/>
      <c r="H1798" s="570"/>
      <c r="I1798" s="570"/>
      <c r="J1798" s="570"/>
      <c r="K1798" s="570"/>
    </row>
    <row r="1799" ht="13.75" customHeight="1">
      <c r="A1799" s="833">
        <v>358</v>
      </c>
      <c r="B1799" t="s" s="834">
        <v>1421</v>
      </c>
      <c r="C1799" t="s" s="834">
        <v>480</v>
      </c>
      <c r="D1799" s="835">
        <v>46032</v>
      </c>
      <c r="E1799" t="s" s="834">
        <v>478</v>
      </c>
      <c r="F1799" t="s" s="834">
        <v>478</v>
      </c>
      <c r="G1799" s="570"/>
      <c r="H1799" s="570"/>
      <c r="I1799" s="570"/>
      <c r="J1799" s="570"/>
      <c r="K1799" s="570"/>
    </row>
    <row r="1800" ht="13.75" customHeight="1">
      <c r="A1800" s="833">
        <v>358</v>
      </c>
      <c r="B1800" t="s" s="834">
        <v>1421</v>
      </c>
      <c r="C1800" t="s" s="834">
        <v>480</v>
      </c>
      <c r="D1800" s="835">
        <v>46033</v>
      </c>
      <c r="E1800" t="s" s="834">
        <v>478</v>
      </c>
      <c r="F1800" t="s" s="834">
        <v>478</v>
      </c>
      <c r="G1800" s="570"/>
      <c r="H1800" s="570"/>
      <c r="I1800" s="570"/>
      <c r="J1800" s="570"/>
      <c r="K1800" s="570"/>
    </row>
    <row r="1801" ht="13.75" customHeight="1">
      <c r="A1801" s="833">
        <v>358</v>
      </c>
      <c r="B1801" t="s" s="834">
        <v>1421</v>
      </c>
      <c r="C1801" t="s" s="834">
        <v>480</v>
      </c>
      <c r="D1801" s="835">
        <v>46034</v>
      </c>
      <c r="E1801" t="s" s="834">
        <v>478</v>
      </c>
      <c r="F1801" t="s" s="834">
        <v>478</v>
      </c>
      <c r="G1801" s="570"/>
      <c r="H1801" s="570"/>
      <c r="I1801" s="570"/>
      <c r="J1801" s="570"/>
      <c r="K1801" s="570"/>
    </row>
    <row r="1802" ht="13.75" customHeight="1">
      <c r="A1802" s="833">
        <v>358</v>
      </c>
      <c r="B1802" t="s" s="834">
        <v>1421</v>
      </c>
      <c r="C1802" t="s" s="834">
        <v>480</v>
      </c>
      <c r="D1802" s="835">
        <v>46035</v>
      </c>
      <c r="E1802" t="s" s="834">
        <v>478</v>
      </c>
      <c r="F1802" t="s" s="834">
        <v>478</v>
      </c>
      <c r="G1802" s="570"/>
      <c r="H1802" s="570"/>
      <c r="I1802" s="570"/>
      <c r="J1802" s="570"/>
      <c r="K1802" s="570"/>
    </row>
    <row r="1803" ht="13.75" customHeight="1">
      <c r="A1803" s="833">
        <v>358</v>
      </c>
      <c r="B1803" t="s" s="834">
        <v>1421</v>
      </c>
      <c r="C1803" t="s" s="834">
        <v>480</v>
      </c>
      <c r="D1803" s="835">
        <v>46036</v>
      </c>
      <c r="E1803" t="s" s="834">
        <v>478</v>
      </c>
      <c r="F1803" t="s" s="834">
        <v>478</v>
      </c>
      <c r="G1803" s="570"/>
      <c r="H1803" s="570"/>
      <c r="I1803" s="570"/>
      <c r="J1803" s="570"/>
      <c r="K1803" s="570"/>
    </row>
    <row r="1804" ht="13.75" customHeight="1">
      <c r="A1804" s="833">
        <v>358</v>
      </c>
      <c r="B1804" t="s" s="834">
        <v>1421</v>
      </c>
      <c r="C1804" t="s" s="834">
        <v>480</v>
      </c>
      <c r="D1804" s="835">
        <v>46037</v>
      </c>
      <c r="E1804" t="s" s="834">
        <v>478</v>
      </c>
      <c r="F1804" t="s" s="834">
        <v>478</v>
      </c>
      <c r="G1804" s="570"/>
      <c r="H1804" s="570"/>
      <c r="I1804" s="570"/>
      <c r="J1804" s="570"/>
      <c r="K1804" s="570"/>
    </row>
    <row r="1805" ht="13.75" customHeight="1">
      <c r="A1805" s="833">
        <v>358</v>
      </c>
      <c r="B1805" t="s" s="834">
        <v>1421</v>
      </c>
      <c r="C1805" t="s" s="834">
        <v>480</v>
      </c>
      <c r="D1805" s="835">
        <v>46038</v>
      </c>
      <c r="E1805" t="s" s="834">
        <v>478</v>
      </c>
      <c r="F1805" t="s" s="834">
        <v>478</v>
      </c>
      <c r="G1805" s="570"/>
      <c r="H1805" s="570"/>
      <c r="I1805" s="570"/>
      <c r="J1805" s="570"/>
      <c r="K1805" s="570"/>
    </row>
    <row r="1806" ht="13.75" customHeight="1">
      <c r="A1806" s="833">
        <v>358</v>
      </c>
      <c r="B1806" t="s" s="834">
        <v>1421</v>
      </c>
      <c r="C1806" t="s" s="834">
        <v>480</v>
      </c>
      <c r="D1806" s="835">
        <v>46039</v>
      </c>
      <c r="E1806" t="s" s="834">
        <v>478</v>
      </c>
      <c r="F1806" t="s" s="834">
        <v>478</v>
      </c>
      <c r="G1806" s="570"/>
      <c r="H1806" s="570"/>
      <c r="I1806" s="570"/>
      <c r="J1806" s="570"/>
      <c r="K1806" s="570"/>
    </row>
    <row r="1807" ht="13.75" customHeight="1">
      <c r="A1807" s="833">
        <v>358</v>
      </c>
      <c r="B1807" t="s" s="834">
        <v>1421</v>
      </c>
      <c r="C1807" t="s" s="834">
        <v>480</v>
      </c>
      <c r="D1807" s="835">
        <v>46040</v>
      </c>
      <c r="E1807" t="s" s="834">
        <v>478</v>
      </c>
      <c r="F1807" t="s" s="834">
        <v>478</v>
      </c>
      <c r="G1807" s="570"/>
      <c r="H1807" s="570"/>
      <c r="I1807" s="570"/>
      <c r="J1807" s="570"/>
      <c r="K1807" s="570"/>
    </row>
    <row r="1808" ht="13.75" customHeight="1">
      <c r="A1808" s="833">
        <v>358</v>
      </c>
      <c r="B1808" t="s" s="834">
        <v>1421</v>
      </c>
      <c r="C1808" t="s" s="834">
        <v>480</v>
      </c>
      <c r="D1808" s="835">
        <v>46041</v>
      </c>
      <c r="E1808" t="s" s="834">
        <v>478</v>
      </c>
      <c r="F1808" t="s" s="834">
        <v>478</v>
      </c>
      <c r="G1808" s="570"/>
      <c r="H1808" s="570"/>
      <c r="I1808" s="570"/>
      <c r="J1808" s="570"/>
      <c r="K1808" s="570"/>
    </row>
    <row r="1809" ht="13.75" customHeight="1">
      <c r="A1809" s="833">
        <v>358</v>
      </c>
      <c r="B1809" t="s" s="834">
        <v>1421</v>
      </c>
      <c r="C1809" t="s" s="834">
        <v>480</v>
      </c>
      <c r="D1809" s="835">
        <v>46042</v>
      </c>
      <c r="E1809" t="s" s="834">
        <v>478</v>
      </c>
      <c r="F1809" t="s" s="834">
        <v>478</v>
      </c>
      <c r="G1809" s="570"/>
      <c r="H1809" s="570"/>
      <c r="I1809" s="570"/>
      <c r="J1809" s="570"/>
      <c r="K1809" s="570"/>
    </row>
    <row r="1810" ht="13.75" customHeight="1">
      <c r="A1810" s="833">
        <v>358</v>
      </c>
      <c r="B1810" t="s" s="834">
        <v>1421</v>
      </c>
      <c r="C1810" t="s" s="834">
        <v>480</v>
      </c>
      <c r="D1810" s="835">
        <v>46043</v>
      </c>
      <c r="E1810" t="s" s="834">
        <v>478</v>
      </c>
      <c r="F1810" t="s" s="834">
        <v>478</v>
      </c>
      <c r="G1810" s="570"/>
      <c r="H1810" s="570"/>
      <c r="I1810" s="570"/>
      <c r="J1810" s="570"/>
      <c r="K1810" s="570"/>
    </row>
    <row r="1811" ht="13.75" customHeight="1">
      <c r="A1811" s="833">
        <v>358</v>
      </c>
      <c r="B1811" t="s" s="834">
        <v>1421</v>
      </c>
      <c r="C1811" t="s" s="834">
        <v>480</v>
      </c>
      <c r="D1811" s="835">
        <v>46044</v>
      </c>
      <c r="E1811" t="s" s="834">
        <v>478</v>
      </c>
      <c r="F1811" t="s" s="834">
        <v>478</v>
      </c>
      <c r="G1811" s="570"/>
      <c r="H1811" s="570"/>
      <c r="I1811" s="570"/>
      <c r="J1811" s="570"/>
      <c r="K1811" s="570"/>
    </row>
    <row r="1812" ht="13.75" customHeight="1">
      <c r="A1812" s="833">
        <v>358</v>
      </c>
      <c r="B1812" t="s" s="834">
        <v>1421</v>
      </c>
      <c r="C1812" t="s" s="834">
        <v>480</v>
      </c>
      <c r="D1812" s="835">
        <v>46045</v>
      </c>
      <c r="E1812" t="s" s="834">
        <v>478</v>
      </c>
      <c r="F1812" t="s" s="834">
        <v>478</v>
      </c>
      <c r="G1812" s="570"/>
      <c r="H1812" s="570"/>
      <c r="I1812" s="570"/>
      <c r="J1812" s="570"/>
      <c r="K1812" s="570"/>
    </row>
    <row r="1813" ht="13.75" customHeight="1">
      <c r="A1813" s="833">
        <v>358</v>
      </c>
      <c r="B1813" t="s" s="834">
        <v>1421</v>
      </c>
      <c r="C1813" t="s" s="834">
        <v>480</v>
      </c>
      <c r="D1813" s="835">
        <v>46046</v>
      </c>
      <c r="E1813" t="s" s="834">
        <v>478</v>
      </c>
      <c r="F1813" t="s" s="834">
        <v>478</v>
      </c>
      <c r="G1813" s="570"/>
      <c r="H1813" s="570"/>
      <c r="I1813" s="570"/>
      <c r="J1813" s="570"/>
      <c r="K1813" s="570"/>
    </row>
    <row r="1814" ht="13.75" customHeight="1">
      <c r="A1814" s="833">
        <v>358</v>
      </c>
      <c r="B1814" t="s" s="834">
        <v>1421</v>
      </c>
      <c r="C1814" t="s" s="834">
        <v>480</v>
      </c>
      <c r="D1814" s="835">
        <v>46047</v>
      </c>
      <c r="E1814" t="s" s="834">
        <v>478</v>
      </c>
      <c r="F1814" t="s" s="834">
        <v>478</v>
      </c>
      <c r="G1814" s="570"/>
      <c r="H1814" s="570"/>
      <c r="I1814" s="570"/>
      <c r="J1814" s="570"/>
      <c r="K1814" s="570"/>
    </row>
    <row r="1815" ht="13.75" customHeight="1">
      <c r="A1815" s="833">
        <v>358</v>
      </c>
      <c r="B1815" t="s" s="834">
        <v>1421</v>
      </c>
      <c r="C1815" t="s" s="834">
        <v>480</v>
      </c>
      <c r="D1815" s="835">
        <v>46048</v>
      </c>
      <c r="E1815" t="s" s="834">
        <v>478</v>
      </c>
      <c r="F1815" t="s" s="834">
        <v>478</v>
      </c>
      <c r="G1815" s="570"/>
      <c r="H1815" s="570"/>
      <c r="I1815" s="570"/>
      <c r="J1815" s="570"/>
      <c r="K1815" s="570"/>
    </row>
    <row r="1816" ht="13.75" customHeight="1">
      <c r="A1816" s="833">
        <v>358</v>
      </c>
      <c r="B1816" t="s" s="834">
        <v>1421</v>
      </c>
      <c r="C1816" t="s" s="834">
        <v>480</v>
      </c>
      <c r="D1816" s="835">
        <v>46049</v>
      </c>
      <c r="E1816" t="s" s="834">
        <v>478</v>
      </c>
      <c r="F1816" t="s" s="834">
        <v>478</v>
      </c>
      <c r="G1816" s="570"/>
      <c r="H1816" s="570"/>
      <c r="I1816" s="570"/>
      <c r="J1816" s="570"/>
      <c r="K1816" s="570"/>
    </row>
    <row r="1817" ht="13.75" customHeight="1">
      <c r="A1817" s="833">
        <v>358</v>
      </c>
      <c r="B1817" t="s" s="834">
        <v>1421</v>
      </c>
      <c r="C1817" t="s" s="834">
        <v>480</v>
      </c>
      <c r="D1817" s="835">
        <v>46050</v>
      </c>
      <c r="E1817" t="s" s="834">
        <v>478</v>
      </c>
      <c r="F1817" t="s" s="834">
        <v>478</v>
      </c>
      <c r="G1817" s="570"/>
      <c r="H1817" s="570"/>
      <c r="I1817" s="570"/>
      <c r="J1817" s="570"/>
      <c r="K1817" s="570"/>
    </row>
    <row r="1818" ht="13.75" customHeight="1">
      <c r="A1818" s="833">
        <v>358</v>
      </c>
      <c r="B1818" t="s" s="834">
        <v>1421</v>
      </c>
      <c r="C1818" t="s" s="834">
        <v>480</v>
      </c>
      <c r="D1818" s="835">
        <v>46051</v>
      </c>
      <c r="E1818" t="s" s="834">
        <v>478</v>
      </c>
      <c r="F1818" t="s" s="834">
        <v>478</v>
      </c>
      <c r="G1818" s="570"/>
      <c r="H1818" s="570"/>
      <c r="I1818" s="570"/>
      <c r="J1818" s="570"/>
      <c r="K1818" s="570"/>
    </row>
    <row r="1819" ht="13.75" customHeight="1">
      <c r="A1819" s="833">
        <v>358</v>
      </c>
      <c r="B1819" t="s" s="834">
        <v>1421</v>
      </c>
      <c r="C1819" t="s" s="834">
        <v>480</v>
      </c>
      <c r="D1819" s="835">
        <v>46052</v>
      </c>
      <c r="E1819" t="s" s="834">
        <v>478</v>
      </c>
      <c r="F1819" t="s" s="834">
        <v>478</v>
      </c>
      <c r="G1819" s="570"/>
      <c r="H1819" s="570"/>
      <c r="I1819" s="570"/>
      <c r="J1819" s="570"/>
      <c r="K1819" s="570"/>
    </row>
    <row r="1820" ht="13.75" customHeight="1">
      <c r="A1820" s="833">
        <v>358</v>
      </c>
      <c r="B1820" t="s" s="834">
        <v>1421</v>
      </c>
      <c r="C1820" t="s" s="834">
        <v>480</v>
      </c>
      <c r="D1820" s="835">
        <v>46053</v>
      </c>
      <c r="E1820" t="s" s="834">
        <v>478</v>
      </c>
      <c r="F1820" t="s" s="834">
        <v>478</v>
      </c>
      <c r="G1820" s="570"/>
      <c r="H1820" s="570"/>
      <c r="I1820" s="570"/>
      <c r="J1820" s="570"/>
      <c r="K1820" s="570"/>
    </row>
    <row r="1821" ht="13.75" customHeight="1">
      <c r="A1821" s="833">
        <v>358</v>
      </c>
      <c r="B1821" t="s" s="834">
        <v>1421</v>
      </c>
      <c r="C1821" t="s" s="834">
        <v>480</v>
      </c>
      <c r="D1821" s="835">
        <v>46054</v>
      </c>
      <c r="E1821" t="s" s="834">
        <v>478</v>
      </c>
      <c r="F1821" t="s" s="834">
        <v>478</v>
      </c>
      <c r="G1821" s="570"/>
      <c r="H1821" s="570"/>
      <c r="I1821" s="570"/>
      <c r="J1821" s="570"/>
      <c r="K1821" s="570"/>
    </row>
    <row r="1822" ht="13.75" customHeight="1">
      <c r="A1822" s="833">
        <v>359</v>
      </c>
      <c r="B1822" t="s" s="834">
        <v>324</v>
      </c>
      <c r="C1822" t="s" s="834">
        <v>480</v>
      </c>
      <c r="D1822" s="835">
        <v>46023</v>
      </c>
      <c r="E1822" t="s" s="834">
        <v>478</v>
      </c>
      <c r="F1822" t="s" s="834">
        <v>478</v>
      </c>
      <c r="G1822" s="570"/>
      <c r="H1822" s="570"/>
      <c r="I1822" s="570"/>
      <c r="J1822" s="570"/>
      <c r="K1822" s="570"/>
    </row>
    <row r="1823" ht="13.75" customHeight="1">
      <c r="A1823" s="833">
        <v>359</v>
      </c>
      <c r="B1823" t="s" s="834">
        <v>324</v>
      </c>
      <c r="C1823" t="s" s="834">
        <v>480</v>
      </c>
      <c r="D1823" s="835">
        <v>46024</v>
      </c>
      <c r="E1823" t="s" s="834">
        <v>478</v>
      </c>
      <c r="F1823" t="s" s="834">
        <v>478</v>
      </c>
      <c r="G1823" s="570"/>
      <c r="H1823" s="570"/>
      <c r="I1823" s="570"/>
      <c r="J1823" s="570"/>
      <c r="K1823" s="570"/>
    </row>
    <row r="1824" ht="13.75" customHeight="1">
      <c r="A1824" s="833">
        <v>359</v>
      </c>
      <c r="B1824" t="s" s="834">
        <v>324</v>
      </c>
      <c r="C1824" t="s" s="834">
        <v>480</v>
      </c>
      <c r="D1824" s="835">
        <v>46025</v>
      </c>
      <c r="E1824" t="s" s="834">
        <v>478</v>
      </c>
      <c r="F1824" t="s" s="834">
        <v>478</v>
      </c>
      <c r="G1824" s="570"/>
      <c r="H1824" s="570"/>
      <c r="I1824" s="570"/>
      <c r="J1824" s="570"/>
      <c r="K1824" s="570"/>
    </row>
    <row r="1825" ht="13.75" customHeight="1">
      <c r="A1825" s="833">
        <v>359</v>
      </c>
      <c r="B1825" t="s" s="834">
        <v>324</v>
      </c>
      <c r="C1825" t="s" s="834">
        <v>480</v>
      </c>
      <c r="D1825" s="835">
        <v>46026</v>
      </c>
      <c r="E1825" t="s" s="834">
        <v>478</v>
      </c>
      <c r="F1825" t="s" s="834">
        <v>478</v>
      </c>
      <c r="G1825" s="570"/>
      <c r="H1825" s="570"/>
      <c r="I1825" s="570"/>
      <c r="J1825" s="570"/>
      <c r="K1825" s="570"/>
    </row>
    <row r="1826" ht="13.75" customHeight="1">
      <c r="A1826" s="833">
        <v>359</v>
      </c>
      <c r="B1826" t="s" s="834">
        <v>324</v>
      </c>
      <c r="C1826" t="s" s="834">
        <v>480</v>
      </c>
      <c r="D1826" s="835">
        <v>46027</v>
      </c>
      <c r="E1826" s="836">
        <v>1.358680555555555</v>
      </c>
      <c r="F1826" s="836">
        <v>1.760925925925926</v>
      </c>
      <c r="G1826" s="570"/>
      <c r="H1826" s="570"/>
      <c r="I1826" s="570"/>
      <c r="J1826" s="570"/>
      <c r="K1826" s="570"/>
    </row>
    <row r="1827" ht="13.75" customHeight="1">
      <c r="A1827" t="s" s="834">
        <v>1422</v>
      </c>
      <c r="B1827" t="s" s="834">
        <v>1423</v>
      </c>
      <c r="C1827" t="s" s="834">
        <v>772</v>
      </c>
      <c r="D1827" s="570"/>
      <c r="E1827" s="570"/>
      <c r="F1827" s="570"/>
      <c r="G1827" s="570"/>
      <c r="H1827" s="570"/>
      <c r="I1827" s="570"/>
      <c r="J1827" s="570"/>
      <c r="K1827" s="570"/>
    </row>
    <row r="1828" ht="13.75" customHeight="1">
      <c r="A1828" s="833">
        <v>359</v>
      </c>
      <c r="B1828" t="s" s="834">
        <v>324</v>
      </c>
      <c r="C1828" t="s" s="834">
        <v>480</v>
      </c>
      <c r="D1828" s="835">
        <v>46028</v>
      </c>
      <c r="E1828" s="836">
        <v>1.363831018518519</v>
      </c>
      <c r="F1828" s="836">
        <v>1.761145833333333</v>
      </c>
      <c r="G1828" s="570"/>
      <c r="H1828" s="570"/>
      <c r="I1828" s="570"/>
      <c r="J1828" s="570"/>
      <c r="K1828" s="570"/>
    </row>
    <row r="1829" ht="13.75" customHeight="1">
      <c r="A1829" t="s" s="834">
        <v>1424</v>
      </c>
      <c r="B1829" t="s" s="834">
        <v>1425</v>
      </c>
      <c r="C1829" t="s" s="834">
        <v>747</v>
      </c>
      <c r="D1829" s="570"/>
      <c r="E1829" s="570"/>
      <c r="F1829" s="570"/>
      <c r="G1829" s="570"/>
      <c r="H1829" s="570"/>
      <c r="I1829" s="570"/>
      <c r="J1829" s="570"/>
      <c r="K1829" s="570"/>
    </row>
    <row r="1830" ht="13.75" customHeight="1">
      <c r="A1830" s="833">
        <v>359</v>
      </c>
      <c r="B1830" t="s" s="834">
        <v>324</v>
      </c>
      <c r="C1830" t="s" s="834">
        <v>480</v>
      </c>
      <c r="D1830" s="835">
        <v>46029</v>
      </c>
      <c r="E1830" s="836">
        <v>1.357951388888889</v>
      </c>
      <c r="F1830" s="836">
        <v>1.766493055555556</v>
      </c>
      <c r="G1830" s="570"/>
      <c r="H1830" s="570"/>
      <c r="I1830" s="570"/>
      <c r="J1830" s="570"/>
      <c r="K1830" s="570"/>
    </row>
    <row r="1831" ht="13.75" customHeight="1">
      <c r="A1831" t="s" s="834">
        <v>1426</v>
      </c>
      <c r="B1831" t="s" s="834">
        <v>1427</v>
      </c>
      <c r="C1831" t="s" s="834">
        <v>1330</v>
      </c>
      <c r="D1831" s="570"/>
      <c r="E1831" s="570"/>
      <c r="F1831" s="570"/>
      <c r="G1831" s="570"/>
      <c r="H1831" s="570"/>
      <c r="I1831" s="570"/>
      <c r="J1831" s="570"/>
      <c r="K1831" s="570"/>
    </row>
    <row r="1832" ht="13.75" customHeight="1">
      <c r="A1832" s="833">
        <v>359</v>
      </c>
      <c r="B1832" t="s" s="834">
        <v>324</v>
      </c>
      <c r="C1832" t="s" s="834">
        <v>480</v>
      </c>
      <c r="D1832" s="835">
        <v>46030</v>
      </c>
      <c r="E1832" s="836">
        <v>1.362708333333333</v>
      </c>
      <c r="F1832" s="836">
        <v>1.759502314814815</v>
      </c>
      <c r="G1832" s="570"/>
      <c r="H1832" s="570"/>
      <c r="I1832" s="570"/>
      <c r="J1832" s="570"/>
      <c r="K1832" s="570"/>
    </row>
    <row r="1833" ht="13.75" customHeight="1">
      <c r="A1833" t="s" s="834">
        <v>1428</v>
      </c>
      <c r="B1833" t="s" s="834">
        <v>1429</v>
      </c>
      <c r="C1833" t="s" s="834">
        <v>683</v>
      </c>
      <c r="D1833" s="570"/>
      <c r="E1833" s="570"/>
      <c r="F1833" s="570"/>
      <c r="G1833" s="570"/>
      <c r="H1833" s="570"/>
      <c r="I1833" s="570"/>
      <c r="J1833" s="570"/>
      <c r="K1833" s="570"/>
    </row>
    <row r="1834" ht="13.75" customHeight="1">
      <c r="A1834" s="833">
        <v>359</v>
      </c>
      <c r="B1834" t="s" s="834">
        <v>324</v>
      </c>
      <c r="C1834" t="s" s="834">
        <v>480</v>
      </c>
      <c r="D1834" s="835">
        <v>46031</v>
      </c>
      <c r="E1834" s="836">
        <v>1.364409722222222</v>
      </c>
      <c r="F1834" s="836">
        <v>1.761678240740741</v>
      </c>
      <c r="G1834" s="570"/>
      <c r="H1834" s="570"/>
      <c r="I1834" s="570"/>
      <c r="J1834" s="570"/>
      <c r="K1834" s="570"/>
    </row>
    <row r="1835" ht="13.75" customHeight="1">
      <c r="A1835" t="s" s="834">
        <v>1430</v>
      </c>
      <c r="B1835" t="s" s="834">
        <v>1431</v>
      </c>
      <c r="C1835" t="s" s="834">
        <v>747</v>
      </c>
      <c r="D1835" s="570"/>
      <c r="E1835" s="570"/>
      <c r="F1835" s="570"/>
      <c r="G1835" s="570"/>
      <c r="H1835" s="570"/>
      <c r="I1835" s="570"/>
      <c r="J1835" s="570"/>
      <c r="K1835" s="570"/>
    </row>
    <row r="1836" ht="13.75" customHeight="1">
      <c r="A1836" s="833">
        <v>359</v>
      </c>
      <c r="B1836" t="s" s="834">
        <v>324</v>
      </c>
      <c r="C1836" t="s" s="834">
        <v>480</v>
      </c>
      <c r="D1836" s="835">
        <v>46032</v>
      </c>
      <c r="E1836" t="s" s="834">
        <v>478</v>
      </c>
      <c r="F1836" t="s" s="834">
        <v>478</v>
      </c>
      <c r="G1836" s="570"/>
      <c r="H1836" s="570"/>
      <c r="I1836" s="570"/>
      <c r="J1836" s="570"/>
      <c r="K1836" s="570"/>
    </row>
    <row r="1837" ht="13.75" customHeight="1">
      <c r="A1837" s="833">
        <v>359</v>
      </c>
      <c r="B1837" t="s" s="834">
        <v>324</v>
      </c>
      <c r="C1837" t="s" s="834">
        <v>480</v>
      </c>
      <c r="D1837" s="835">
        <v>46033</v>
      </c>
      <c r="E1837" t="s" s="834">
        <v>478</v>
      </c>
      <c r="F1837" t="s" s="834">
        <v>478</v>
      </c>
      <c r="G1837" s="570"/>
      <c r="H1837" s="570"/>
      <c r="I1837" s="570"/>
      <c r="J1837" s="570"/>
      <c r="K1837" s="570"/>
    </row>
    <row r="1838" ht="13.75" customHeight="1">
      <c r="A1838" s="833">
        <v>359</v>
      </c>
      <c r="B1838" t="s" s="834">
        <v>324</v>
      </c>
      <c r="C1838" t="s" s="834">
        <v>480</v>
      </c>
      <c r="D1838" s="835">
        <v>46034</v>
      </c>
      <c r="E1838" s="836">
        <v>1.355185185185185</v>
      </c>
      <c r="F1838" s="836">
        <v>1.766006944444444</v>
      </c>
      <c r="G1838" s="570"/>
      <c r="H1838" s="570"/>
      <c r="I1838" s="570"/>
      <c r="J1838" s="570"/>
      <c r="K1838" s="570"/>
    </row>
    <row r="1839" ht="13.75" customHeight="1">
      <c r="A1839" t="s" s="834">
        <v>1432</v>
      </c>
      <c r="B1839" t="s" s="834">
        <v>1433</v>
      </c>
      <c r="C1839" t="s" s="834">
        <v>850</v>
      </c>
      <c r="D1839" s="570"/>
      <c r="E1839" s="570"/>
      <c r="F1839" s="570"/>
      <c r="G1839" s="570"/>
      <c r="H1839" s="570"/>
      <c r="I1839" s="570"/>
      <c r="J1839" s="570"/>
      <c r="K1839" s="570"/>
    </row>
    <row r="1840" ht="13.75" customHeight="1">
      <c r="A1840" s="833">
        <v>359</v>
      </c>
      <c r="B1840" t="s" s="834">
        <v>324</v>
      </c>
      <c r="C1840" t="s" s="834">
        <v>480</v>
      </c>
      <c r="D1840" s="835">
        <v>46035</v>
      </c>
      <c r="E1840" s="836">
        <v>1.350081018518519</v>
      </c>
      <c r="F1840" s="836">
        <v>1.757835648148148</v>
      </c>
      <c r="G1840" s="570"/>
      <c r="H1840" s="570"/>
      <c r="I1840" s="570"/>
      <c r="J1840" s="570"/>
      <c r="K1840" s="570"/>
    </row>
    <row r="1841" ht="13.75" customHeight="1">
      <c r="A1841" t="s" s="834">
        <v>1434</v>
      </c>
      <c r="B1841" t="s" s="834">
        <v>1435</v>
      </c>
      <c r="C1841" t="s" s="834">
        <v>882</v>
      </c>
      <c r="D1841" s="570"/>
      <c r="E1841" s="570"/>
      <c r="F1841" s="570"/>
      <c r="G1841" s="570"/>
      <c r="H1841" s="570"/>
      <c r="I1841" s="570"/>
      <c r="J1841" s="570"/>
      <c r="K1841" s="570"/>
    </row>
    <row r="1842" ht="13.75" customHeight="1">
      <c r="A1842" s="833">
        <v>359</v>
      </c>
      <c r="B1842" t="s" s="834">
        <v>324</v>
      </c>
      <c r="C1842" t="s" s="834">
        <v>480</v>
      </c>
      <c r="D1842" s="835">
        <v>46036</v>
      </c>
      <c r="E1842" s="836">
        <v>1.348773148148148</v>
      </c>
      <c r="F1842" s="836">
        <v>1.758645833333333</v>
      </c>
      <c r="G1842" s="570"/>
      <c r="H1842" s="570"/>
      <c r="I1842" s="570"/>
      <c r="J1842" s="570"/>
      <c r="K1842" s="570"/>
    </row>
    <row r="1843" ht="13.75" customHeight="1">
      <c r="A1843" t="s" s="834">
        <v>1436</v>
      </c>
      <c r="B1843" t="s" s="834">
        <v>1437</v>
      </c>
      <c r="C1843" t="s" s="834">
        <v>1119</v>
      </c>
      <c r="D1843" s="570"/>
      <c r="E1843" s="570"/>
      <c r="F1843" s="570"/>
      <c r="G1843" s="570"/>
      <c r="H1843" s="570"/>
      <c r="I1843" s="570"/>
      <c r="J1843" s="570"/>
      <c r="K1843" s="570"/>
    </row>
    <row r="1844" ht="13.75" customHeight="1">
      <c r="A1844" s="833">
        <v>359</v>
      </c>
      <c r="B1844" t="s" s="834">
        <v>324</v>
      </c>
      <c r="C1844" t="s" s="834">
        <v>480</v>
      </c>
      <c r="D1844" s="835">
        <v>46037</v>
      </c>
      <c r="E1844" s="836">
        <v>1.350416666666667</v>
      </c>
      <c r="F1844" s="836">
        <v>1.7578125</v>
      </c>
      <c r="G1844" s="570"/>
      <c r="H1844" s="570"/>
      <c r="I1844" s="570"/>
      <c r="J1844" s="570"/>
      <c r="K1844" s="570"/>
    </row>
    <row r="1845" ht="13.75" customHeight="1">
      <c r="A1845" t="s" s="834">
        <v>1438</v>
      </c>
      <c r="B1845" t="s" s="834">
        <v>1439</v>
      </c>
      <c r="C1845" t="s" s="834">
        <v>882</v>
      </c>
      <c r="D1845" s="570"/>
      <c r="E1845" s="570"/>
      <c r="F1845" s="570"/>
      <c r="G1845" s="570"/>
      <c r="H1845" s="570"/>
      <c r="I1845" s="570"/>
      <c r="J1845" s="570"/>
      <c r="K1845" s="570"/>
    </row>
    <row r="1846" ht="13.75" customHeight="1">
      <c r="A1846" s="833">
        <v>359</v>
      </c>
      <c r="B1846" t="s" s="834">
        <v>324</v>
      </c>
      <c r="C1846" t="s" s="834">
        <v>480</v>
      </c>
      <c r="D1846" s="835">
        <v>46038</v>
      </c>
      <c r="E1846" s="836">
        <v>1.35224537037037</v>
      </c>
      <c r="F1846" s="836">
        <v>1.761597222222222</v>
      </c>
      <c r="G1846" s="570"/>
      <c r="H1846" s="570"/>
      <c r="I1846" s="570"/>
      <c r="J1846" s="570"/>
      <c r="K1846" s="570"/>
    </row>
    <row r="1847" ht="13.75" customHeight="1">
      <c r="A1847" t="s" s="834">
        <v>1440</v>
      </c>
      <c r="B1847" t="s" s="834">
        <v>1441</v>
      </c>
      <c r="C1847" t="s" s="834">
        <v>600</v>
      </c>
      <c r="D1847" s="570"/>
      <c r="E1847" s="570"/>
      <c r="F1847" s="570"/>
      <c r="G1847" s="570"/>
      <c r="H1847" s="570"/>
      <c r="I1847" s="570"/>
      <c r="J1847" s="570"/>
      <c r="K1847" s="570"/>
    </row>
    <row r="1848" ht="13.75" customHeight="1">
      <c r="A1848" s="833">
        <v>359</v>
      </c>
      <c r="B1848" t="s" s="834">
        <v>324</v>
      </c>
      <c r="C1848" t="s" s="834">
        <v>480</v>
      </c>
      <c r="D1848" s="835">
        <v>46039</v>
      </c>
      <c r="E1848" t="s" s="834">
        <v>478</v>
      </c>
      <c r="F1848" t="s" s="834">
        <v>478</v>
      </c>
      <c r="G1848" s="570"/>
      <c r="H1848" s="570"/>
      <c r="I1848" s="570"/>
      <c r="J1848" s="570"/>
      <c r="K1848" s="570"/>
    </row>
    <row r="1849" ht="13.75" customHeight="1">
      <c r="A1849" s="833">
        <v>359</v>
      </c>
      <c r="B1849" t="s" s="834">
        <v>324</v>
      </c>
      <c r="C1849" t="s" s="834">
        <v>480</v>
      </c>
      <c r="D1849" s="835">
        <v>46040</v>
      </c>
      <c r="E1849" t="s" s="834">
        <v>478</v>
      </c>
      <c r="F1849" t="s" s="834">
        <v>478</v>
      </c>
      <c r="G1849" s="570"/>
      <c r="H1849" s="570"/>
      <c r="I1849" s="570"/>
      <c r="J1849" s="570"/>
      <c r="K1849" s="570"/>
    </row>
    <row r="1850" ht="13.75" customHeight="1">
      <c r="A1850" s="833">
        <v>359</v>
      </c>
      <c r="B1850" t="s" s="834">
        <v>324</v>
      </c>
      <c r="C1850" t="s" s="834">
        <v>480</v>
      </c>
      <c r="D1850" s="835">
        <v>46041</v>
      </c>
      <c r="E1850" s="836">
        <v>1.349791666666667</v>
      </c>
      <c r="F1850" s="836">
        <v>1.761400462962963</v>
      </c>
      <c r="G1850" s="570"/>
      <c r="H1850" s="570"/>
      <c r="I1850" s="570"/>
      <c r="J1850" s="570"/>
      <c r="K1850" s="570"/>
    </row>
    <row r="1851" ht="13.75" customHeight="1">
      <c r="A1851" t="s" s="834">
        <v>1442</v>
      </c>
      <c r="B1851" t="s" s="834">
        <v>1443</v>
      </c>
      <c r="C1851" t="s" s="834">
        <v>597</v>
      </c>
      <c r="D1851" s="570"/>
      <c r="E1851" s="570"/>
      <c r="F1851" s="570"/>
      <c r="G1851" s="570"/>
      <c r="H1851" s="570"/>
      <c r="I1851" s="570"/>
      <c r="J1851" s="570"/>
      <c r="K1851" s="570"/>
    </row>
    <row r="1852" ht="13.75" customHeight="1">
      <c r="A1852" s="833">
        <v>359</v>
      </c>
      <c r="B1852" t="s" s="834">
        <v>324</v>
      </c>
      <c r="C1852" t="s" s="834">
        <v>480</v>
      </c>
      <c r="D1852" s="835">
        <v>46042</v>
      </c>
      <c r="E1852" s="836">
        <v>1.349826388888889</v>
      </c>
      <c r="F1852" s="836">
        <v>1.758773148148148</v>
      </c>
      <c r="G1852" s="570"/>
      <c r="H1852" s="570"/>
      <c r="I1852" s="570"/>
      <c r="J1852" s="570"/>
      <c r="K1852" s="570"/>
    </row>
    <row r="1853" ht="13.75" customHeight="1">
      <c r="A1853" t="s" s="834">
        <v>1444</v>
      </c>
      <c r="B1853" t="s" s="834">
        <v>1445</v>
      </c>
      <c r="C1853" t="s" s="834">
        <v>600</v>
      </c>
      <c r="D1853" s="570"/>
      <c r="E1853" s="570"/>
      <c r="F1853" s="570"/>
      <c r="G1853" s="570"/>
      <c r="H1853" s="570"/>
      <c r="I1853" s="570"/>
      <c r="J1853" s="570"/>
      <c r="K1853" s="570"/>
    </row>
    <row r="1854" ht="13.75" customHeight="1">
      <c r="A1854" s="833">
        <v>359</v>
      </c>
      <c r="B1854" t="s" s="834">
        <v>324</v>
      </c>
      <c r="C1854" t="s" s="834">
        <v>480</v>
      </c>
      <c r="D1854" s="835">
        <v>46043</v>
      </c>
      <c r="E1854" s="836">
        <v>1.350393518518519</v>
      </c>
      <c r="F1854" s="836">
        <v>1.754641203703704</v>
      </c>
      <c r="G1854" s="570"/>
      <c r="H1854" s="570"/>
      <c r="I1854" s="570"/>
      <c r="J1854" s="570"/>
      <c r="K1854" s="570"/>
    </row>
    <row r="1855" ht="13.75" customHeight="1">
      <c r="A1855" t="s" s="834">
        <v>1446</v>
      </c>
      <c r="B1855" t="s" s="834">
        <v>1447</v>
      </c>
      <c r="C1855" t="s" s="834">
        <v>493</v>
      </c>
      <c r="D1855" s="570"/>
      <c r="E1855" s="570"/>
      <c r="F1855" s="570"/>
      <c r="G1855" s="570"/>
      <c r="H1855" s="570"/>
      <c r="I1855" s="570"/>
      <c r="J1855" s="570"/>
      <c r="K1855" s="570"/>
    </row>
    <row r="1856" ht="13.75" customHeight="1">
      <c r="A1856" s="833">
        <v>359</v>
      </c>
      <c r="B1856" t="s" s="834">
        <v>324</v>
      </c>
      <c r="C1856" t="s" s="834">
        <v>480</v>
      </c>
      <c r="D1856" s="835">
        <v>46044</v>
      </c>
      <c r="E1856" s="836">
        <v>1.352523148148148</v>
      </c>
      <c r="F1856" s="836">
        <v>1.759814814814815</v>
      </c>
      <c r="G1856" s="570"/>
      <c r="H1856" s="570"/>
      <c r="I1856" s="570"/>
      <c r="J1856" s="570"/>
      <c r="K1856" s="570"/>
    </row>
    <row r="1857" ht="13.75" customHeight="1">
      <c r="A1857" t="s" s="834">
        <v>1448</v>
      </c>
      <c r="B1857" t="s" s="834">
        <v>1449</v>
      </c>
      <c r="C1857" t="s" s="834">
        <v>882</v>
      </c>
      <c r="D1857" s="570"/>
      <c r="E1857" s="570"/>
      <c r="F1857" s="570"/>
      <c r="G1857" s="570"/>
      <c r="H1857" s="570"/>
      <c r="I1857" s="570"/>
      <c r="J1857" s="570"/>
      <c r="K1857" s="570"/>
    </row>
    <row r="1858" ht="13.75" customHeight="1">
      <c r="A1858" s="833">
        <v>359</v>
      </c>
      <c r="B1858" t="s" s="834">
        <v>324</v>
      </c>
      <c r="C1858" t="s" s="834">
        <v>480</v>
      </c>
      <c r="D1858" s="835">
        <v>46045</v>
      </c>
      <c r="E1858" s="836">
        <v>1.350034722222222</v>
      </c>
      <c r="F1858" s="836">
        <v>1.500150462962963</v>
      </c>
      <c r="G1858" s="570"/>
      <c r="H1858" s="570"/>
      <c r="I1858" s="570"/>
      <c r="J1858" s="570"/>
      <c r="K1858" s="570"/>
    </row>
    <row r="1859" ht="13.75" customHeight="1">
      <c r="A1859" t="s" s="834">
        <v>1450</v>
      </c>
      <c r="B1859" t="s" s="834">
        <v>1451</v>
      </c>
      <c r="C1859" t="s" s="834">
        <v>1452</v>
      </c>
      <c r="D1859" s="570"/>
      <c r="E1859" s="570"/>
      <c r="F1859" s="570"/>
      <c r="G1859" s="570"/>
      <c r="H1859" s="570"/>
      <c r="I1859" s="570"/>
      <c r="J1859" s="570"/>
      <c r="K1859" s="570"/>
    </row>
    <row r="1860" ht="13.75" customHeight="1">
      <c r="A1860" s="833">
        <v>359</v>
      </c>
      <c r="B1860" t="s" s="834">
        <v>324</v>
      </c>
      <c r="C1860" t="s" s="834">
        <v>480</v>
      </c>
      <c r="D1860" s="835">
        <v>46046</v>
      </c>
      <c r="E1860" t="s" s="834">
        <v>478</v>
      </c>
      <c r="F1860" t="s" s="834">
        <v>478</v>
      </c>
      <c r="G1860" s="570"/>
      <c r="H1860" s="570"/>
      <c r="I1860" s="570"/>
      <c r="J1860" s="570"/>
      <c r="K1860" s="570"/>
    </row>
    <row r="1861" ht="13.75" customHeight="1">
      <c r="A1861" s="833">
        <v>359</v>
      </c>
      <c r="B1861" t="s" s="834">
        <v>324</v>
      </c>
      <c r="C1861" t="s" s="834">
        <v>480</v>
      </c>
      <c r="D1861" s="835">
        <v>46047</v>
      </c>
      <c r="E1861" t="s" s="834">
        <v>478</v>
      </c>
      <c r="F1861" t="s" s="834">
        <v>478</v>
      </c>
      <c r="G1861" s="570"/>
      <c r="H1861" s="570"/>
      <c r="I1861" s="570"/>
      <c r="J1861" s="570"/>
      <c r="K1861" s="570"/>
    </row>
    <row r="1862" ht="13.75" customHeight="1">
      <c r="A1862" s="833">
        <v>359</v>
      </c>
      <c r="B1862" t="s" s="834">
        <v>324</v>
      </c>
      <c r="C1862" t="s" s="834">
        <v>480</v>
      </c>
      <c r="D1862" s="835">
        <v>46048</v>
      </c>
      <c r="E1862" t="s" s="834">
        <v>478</v>
      </c>
      <c r="F1862" t="s" s="834">
        <v>478</v>
      </c>
      <c r="G1862" s="570"/>
      <c r="H1862" s="570"/>
      <c r="I1862" s="570"/>
      <c r="J1862" s="570"/>
      <c r="K1862" s="570"/>
    </row>
    <row r="1863" ht="13.75" customHeight="1">
      <c r="A1863" s="833">
        <v>359</v>
      </c>
      <c r="B1863" t="s" s="834">
        <v>324</v>
      </c>
      <c r="C1863" t="s" s="834">
        <v>480</v>
      </c>
      <c r="D1863" s="835">
        <v>46049</v>
      </c>
      <c r="E1863" t="s" s="834">
        <v>478</v>
      </c>
      <c r="F1863" t="s" s="834">
        <v>478</v>
      </c>
      <c r="G1863" s="570"/>
      <c r="H1863" s="570"/>
      <c r="I1863" s="570"/>
      <c r="J1863" s="570"/>
      <c r="K1863" s="570"/>
    </row>
    <row r="1864" ht="13.75" customHeight="1">
      <c r="A1864" s="833">
        <v>359</v>
      </c>
      <c r="B1864" t="s" s="834">
        <v>324</v>
      </c>
      <c r="C1864" t="s" s="834">
        <v>480</v>
      </c>
      <c r="D1864" s="835">
        <v>46050</v>
      </c>
      <c r="E1864" s="836">
        <v>1.348680555555556</v>
      </c>
      <c r="F1864" s="836">
        <v>1.758715277777778</v>
      </c>
      <c r="G1864" s="570"/>
      <c r="H1864" s="570"/>
      <c r="I1864" s="570"/>
      <c r="J1864" s="570"/>
      <c r="K1864" s="570"/>
    </row>
    <row r="1865" ht="13.75" customHeight="1">
      <c r="A1865" t="s" s="834">
        <v>1453</v>
      </c>
      <c r="B1865" t="s" s="834">
        <v>1454</v>
      </c>
      <c r="C1865" t="s" s="834">
        <v>1119</v>
      </c>
      <c r="D1865" s="570"/>
      <c r="E1865" s="570"/>
      <c r="F1865" s="570"/>
      <c r="G1865" s="570"/>
      <c r="H1865" s="570"/>
      <c r="I1865" s="570"/>
      <c r="J1865" s="570"/>
      <c r="K1865" s="570"/>
    </row>
    <row r="1866" ht="13.75" customHeight="1">
      <c r="A1866" s="833">
        <v>359</v>
      </c>
      <c r="B1866" t="s" s="834">
        <v>324</v>
      </c>
      <c r="C1866" t="s" s="834">
        <v>480</v>
      </c>
      <c r="D1866" s="835">
        <v>46051</v>
      </c>
      <c r="E1866" s="836">
        <v>1.351053240740741</v>
      </c>
      <c r="F1866" s="836">
        <v>1.758460648148148</v>
      </c>
      <c r="G1866" s="570"/>
      <c r="H1866" s="570"/>
      <c r="I1866" s="570"/>
      <c r="J1866" s="570"/>
      <c r="K1866" s="570"/>
    </row>
    <row r="1867" ht="13.75" customHeight="1">
      <c r="A1867" t="s" s="834">
        <v>1455</v>
      </c>
      <c r="B1867" t="s" s="834">
        <v>1456</v>
      </c>
      <c r="C1867" t="s" s="834">
        <v>882</v>
      </c>
      <c r="D1867" s="570"/>
      <c r="E1867" s="570"/>
      <c r="F1867" s="570"/>
      <c r="G1867" s="570"/>
      <c r="H1867" s="570"/>
      <c r="I1867" s="570"/>
      <c r="J1867" s="570"/>
      <c r="K1867" s="570"/>
    </row>
    <row r="1868" ht="13.75" customHeight="1">
      <c r="A1868" s="833">
        <v>359</v>
      </c>
      <c r="B1868" t="s" s="834">
        <v>324</v>
      </c>
      <c r="C1868" t="s" s="834">
        <v>480</v>
      </c>
      <c r="D1868" s="835">
        <v>46052</v>
      </c>
      <c r="E1868" s="836">
        <v>1.350428240740741</v>
      </c>
      <c r="F1868" s="836">
        <v>1.757048611111111</v>
      </c>
      <c r="G1868" s="570"/>
      <c r="H1868" s="570"/>
      <c r="I1868" s="570"/>
      <c r="J1868" s="570"/>
      <c r="K1868" s="570"/>
    </row>
    <row r="1869" ht="13.75" customHeight="1">
      <c r="A1869" t="s" s="834">
        <v>1457</v>
      </c>
      <c r="B1869" t="s" s="834">
        <v>1458</v>
      </c>
      <c r="C1869" t="s" s="834">
        <v>1113</v>
      </c>
      <c r="D1869" s="570"/>
      <c r="E1869" s="570"/>
      <c r="F1869" s="570"/>
      <c r="G1869" s="570"/>
      <c r="H1869" s="570"/>
      <c r="I1869" s="570"/>
      <c r="J1869" s="570"/>
      <c r="K1869" s="570"/>
    </row>
    <row r="1870" ht="13.75" customHeight="1">
      <c r="A1870" s="833">
        <v>359</v>
      </c>
      <c r="B1870" t="s" s="834">
        <v>324</v>
      </c>
      <c r="C1870" t="s" s="834">
        <v>480</v>
      </c>
      <c r="D1870" s="835">
        <v>46053</v>
      </c>
      <c r="E1870" t="s" s="834">
        <v>478</v>
      </c>
      <c r="F1870" t="s" s="834">
        <v>478</v>
      </c>
      <c r="G1870" s="570"/>
      <c r="H1870" s="570"/>
      <c r="I1870" s="570"/>
      <c r="J1870" s="570"/>
      <c r="K1870" s="570"/>
    </row>
    <row r="1871" ht="13.75" customHeight="1">
      <c r="A1871" s="833">
        <v>359</v>
      </c>
      <c r="B1871" t="s" s="834">
        <v>324</v>
      </c>
      <c r="C1871" t="s" s="834">
        <v>480</v>
      </c>
      <c r="D1871" s="835">
        <v>46054</v>
      </c>
      <c r="E1871" t="s" s="834">
        <v>478</v>
      </c>
      <c r="F1871" t="s" s="834">
        <v>478</v>
      </c>
      <c r="G1871" s="570"/>
      <c r="H1871" s="570"/>
      <c r="I1871" s="570"/>
      <c r="J1871" s="570"/>
      <c r="K1871" s="570"/>
    </row>
    <row r="1872" ht="13.75" customHeight="1">
      <c r="A1872" s="833">
        <v>360</v>
      </c>
      <c r="B1872" t="s" s="834">
        <v>1459</v>
      </c>
      <c r="C1872" t="s" s="834">
        <v>480</v>
      </c>
      <c r="D1872" s="835">
        <v>46023</v>
      </c>
      <c r="E1872" t="s" s="834">
        <v>478</v>
      </c>
      <c r="F1872" t="s" s="834">
        <v>478</v>
      </c>
      <c r="G1872" s="570"/>
      <c r="H1872" s="570"/>
      <c r="I1872" s="570"/>
      <c r="J1872" s="570"/>
      <c r="K1872" s="570"/>
    </row>
    <row r="1873" ht="13.75" customHeight="1">
      <c r="A1873" s="833">
        <v>360</v>
      </c>
      <c r="B1873" t="s" s="834">
        <v>1459</v>
      </c>
      <c r="C1873" t="s" s="834">
        <v>480</v>
      </c>
      <c r="D1873" s="835">
        <v>46024</v>
      </c>
      <c r="E1873" t="s" s="834">
        <v>478</v>
      </c>
      <c r="F1873" t="s" s="834">
        <v>478</v>
      </c>
      <c r="G1873" s="570"/>
      <c r="H1873" s="570"/>
      <c r="I1873" s="570"/>
      <c r="J1873" s="570"/>
      <c r="K1873" s="570"/>
    </row>
    <row r="1874" ht="13.75" customHeight="1">
      <c r="A1874" s="833">
        <v>360</v>
      </c>
      <c r="B1874" t="s" s="834">
        <v>1459</v>
      </c>
      <c r="C1874" t="s" s="834">
        <v>480</v>
      </c>
      <c r="D1874" s="835">
        <v>46025</v>
      </c>
      <c r="E1874" t="s" s="834">
        <v>478</v>
      </c>
      <c r="F1874" t="s" s="834">
        <v>478</v>
      </c>
      <c r="G1874" s="570"/>
      <c r="H1874" s="570"/>
      <c r="I1874" s="570"/>
      <c r="J1874" s="570"/>
      <c r="K1874" s="570"/>
    </row>
    <row r="1875" ht="13.75" customHeight="1">
      <c r="A1875" s="833">
        <v>360</v>
      </c>
      <c r="B1875" t="s" s="834">
        <v>1459</v>
      </c>
      <c r="C1875" t="s" s="834">
        <v>480</v>
      </c>
      <c r="D1875" s="835">
        <v>46026</v>
      </c>
      <c r="E1875" t="s" s="834">
        <v>478</v>
      </c>
      <c r="F1875" t="s" s="834">
        <v>478</v>
      </c>
      <c r="G1875" s="570"/>
      <c r="H1875" s="570"/>
      <c r="I1875" s="570"/>
      <c r="J1875" s="570"/>
      <c r="K1875" s="570"/>
    </row>
    <row r="1876" ht="13.75" customHeight="1">
      <c r="A1876" s="833">
        <v>360</v>
      </c>
      <c r="B1876" t="s" s="834">
        <v>1459</v>
      </c>
      <c r="C1876" t="s" s="834">
        <v>480</v>
      </c>
      <c r="D1876" s="835">
        <v>46027</v>
      </c>
      <c r="E1876" t="s" s="834">
        <v>478</v>
      </c>
      <c r="F1876" t="s" s="834">
        <v>478</v>
      </c>
      <c r="G1876" s="570"/>
      <c r="H1876" s="570"/>
      <c r="I1876" s="570"/>
      <c r="J1876" s="570"/>
      <c r="K1876" s="570"/>
    </row>
    <row r="1877" ht="13.75" customHeight="1">
      <c r="A1877" s="833">
        <v>360</v>
      </c>
      <c r="B1877" t="s" s="834">
        <v>1459</v>
      </c>
      <c r="C1877" t="s" s="834">
        <v>480</v>
      </c>
      <c r="D1877" s="835">
        <v>46028</v>
      </c>
      <c r="E1877" t="s" s="834">
        <v>478</v>
      </c>
      <c r="F1877" t="s" s="834">
        <v>478</v>
      </c>
      <c r="G1877" s="570"/>
      <c r="H1877" s="570"/>
      <c r="I1877" s="570"/>
      <c r="J1877" s="570"/>
      <c r="K1877" s="570"/>
    </row>
    <row r="1878" ht="13.75" customHeight="1">
      <c r="A1878" s="833">
        <v>360</v>
      </c>
      <c r="B1878" t="s" s="834">
        <v>1459</v>
      </c>
      <c r="C1878" t="s" s="834">
        <v>480</v>
      </c>
      <c r="D1878" s="835">
        <v>46029</v>
      </c>
      <c r="E1878" t="s" s="834">
        <v>478</v>
      </c>
      <c r="F1878" t="s" s="834">
        <v>478</v>
      </c>
      <c r="G1878" s="570"/>
      <c r="H1878" s="570"/>
      <c r="I1878" s="570"/>
      <c r="J1878" s="570"/>
      <c r="K1878" s="570"/>
    </row>
    <row r="1879" ht="13.75" customHeight="1">
      <c r="A1879" s="833">
        <v>360</v>
      </c>
      <c r="B1879" t="s" s="834">
        <v>1459</v>
      </c>
      <c r="C1879" t="s" s="834">
        <v>480</v>
      </c>
      <c r="D1879" s="835">
        <v>46030</v>
      </c>
      <c r="E1879" t="s" s="834">
        <v>478</v>
      </c>
      <c r="F1879" t="s" s="834">
        <v>478</v>
      </c>
      <c r="G1879" s="570"/>
      <c r="H1879" s="570"/>
      <c r="I1879" s="570"/>
      <c r="J1879" s="570"/>
      <c r="K1879" s="570"/>
    </row>
    <row r="1880" ht="13.75" customHeight="1">
      <c r="A1880" s="833">
        <v>360</v>
      </c>
      <c r="B1880" t="s" s="834">
        <v>1459</v>
      </c>
      <c r="C1880" t="s" s="834">
        <v>480</v>
      </c>
      <c r="D1880" s="835">
        <v>46031</v>
      </c>
      <c r="E1880" t="s" s="834">
        <v>478</v>
      </c>
      <c r="F1880" t="s" s="834">
        <v>478</v>
      </c>
      <c r="G1880" s="570"/>
      <c r="H1880" s="570"/>
      <c r="I1880" s="570"/>
      <c r="J1880" s="570"/>
      <c r="K1880" s="570"/>
    </row>
    <row r="1881" ht="13.75" customHeight="1">
      <c r="A1881" s="833">
        <v>360</v>
      </c>
      <c r="B1881" t="s" s="834">
        <v>1459</v>
      </c>
      <c r="C1881" t="s" s="834">
        <v>480</v>
      </c>
      <c r="D1881" s="835">
        <v>46032</v>
      </c>
      <c r="E1881" t="s" s="834">
        <v>478</v>
      </c>
      <c r="F1881" t="s" s="834">
        <v>478</v>
      </c>
      <c r="G1881" s="570"/>
      <c r="H1881" s="570"/>
      <c r="I1881" s="570"/>
      <c r="J1881" s="570"/>
      <c r="K1881" s="570"/>
    </row>
    <row r="1882" ht="13.75" customHeight="1">
      <c r="A1882" s="833">
        <v>360</v>
      </c>
      <c r="B1882" t="s" s="834">
        <v>1459</v>
      </c>
      <c r="C1882" t="s" s="834">
        <v>480</v>
      </c>
      <c r="D1882" s="835">
        <v>46033</v>
      </c>
      <c r="E1882" t="s" s="834">
        <v>478</v>
      </c>
      <c r="F1882" t="s" s="834">
        <v>478</v>
      </c>
      <c r="G1882" s="570"/>
      <c r="H1882" s="570"/>
      <c r="I1882" s="570"/>
      <c r="J1882" s="570"/>
      <c r="K1882" s="570"/>
    </row>
    <row r="1883" ht="13.75" customHeight="1">
      <c r="A1883" s="833">
        <v>360</v>
      </c>
      <c r="B1883" t="s" s="834">
        <v>1459</v>
      </c>
      <c r="C1883" t="s" s="834">
        <v>480</v>
      </c>
      <c r="D1883" s="835">
        <v>46034</v>
      </c>
      <c r="E1883" t="s" s="834">
        <v>478</v>
      </c>
      <c r="F1883" t="s" s="834">
        <v>478</v>
      </c>
      <c r="G1883" s="570"/>
      <c r="H1883" s="570"/>
      <c r="I1883" s="570"/>
      <c r="J1883" s="570"/>
      <c r="K1883" s="570"/>
    </row>
    <row r="1884" ht="13.75" customHeight="1">
      <c r="A1884" s="833">
        <v>360</v>
      </c>
      <c r="B1884" t="s" s="834">
        <v>1459</v>
      </c>
      <c r="C1884" t="s" s="834">
        <v>480</v>
      </c>
      <c r="D1884" s="835">
        <v>46035</v>
      </c>
      <c r="E1884" t="s" s="834">
        <v>478</v>
      </c>
      <c r="F1884" t="s" s="834">
        <v>478</v>
      </c>
      <c r="G1884" s="570"/>
      <c r="H1884" s="570"/>
      <c r="I1884" s="570"/>
      <c r="J1884" s="570"/>
      <c r="K1884" s="570"/>
    </row>
    <row r="1885" ht="13.75" customHeight="1">
      <c r="A1885" s="833">
        <v>360</v>
      </c>
      <c r="B1885" t="s" s="834">
        <v>1459</v>
      </c>
      <c r="C1885" t="s" s="834">
        <v>480</v>
      </c>
      <c r="D1885" s="835">
        <v>46036</v>
      </c>
      <c r="E1885" t="s" s="834">
        <v>478</v>
      </c>
      <c r="F1885" t="s" s="834">
        <v>478</v>
      </c>
      <c r="G1885" s="570"/>
      <c r="H1885" s="570"/>
      <c r="I1885" s="570"/>
      <c r="J1885" s="570"/>
      <c r="K1885" s="570"/>
    </row>
    <row r="1886" ht="13.75" customHeight="1">
      <c r="A1886" s="833">
        <v>360</v>
      </c>
      <c r="B1886" t="s" s="834">
        <v>1459</v>
      </c>
      <c r="C1886" t="s" s="834">
        <v>480</v>
      </c>
      <c r="D1886" s="835">
        <v>46037</v>
      </c>
      <c r="E1886" t="s" s="834">
        <v>478</v>
      </c>
      <c r="F1886" t="s" s="834">
        <v>478</v>
      </c>
      <c r="G1886" s="570"/>
      <c r="H1886" s="570"/>
      <c r="I1886" s="570"/>
      <c r="J1886" s="570"/>
      <c r="K1886" s="570"/>
    </row>
    <row r="1887" ht="13.75" customHeight="1">
      <c r="A1887" s="833">
        <v>360</v>
      </c>
      <c r="B1887" t="s" s="834">
        <v>1459</v>
      </c>
      <c r="C1887" t="s" s="834">
        <v>480</v>
      </c>
      <c r="D1887" s="835">
        <v>46038</v>
      </c>
      <c r="E1887" t="s" s="834">
        <v>478</v>
      </c>
      <c r="F1887" t="s" s="834">
        <v>478</v>
      </c>
      <c r="G1887" s="570"/>
      <c r="H1887" s="570"/>
      <c r="I1887" s="570"/>
      <c r="J1887" s="570"/>
      <c r="K1887" s="570"/>
    </row>
    <row r="1888" ht="13.75" customHeight="1">
      <c r="A1888" s="833">
        <v>360</v>
      </c>
      <c r="B1888" t="s" s="834">
        <v>1459</v>
      </c>
      <c r="C1888" t="s" s="834">
        <v>480</v>
      </c>
      <c r="D1888" s="835">
        <v>46039</v>
      </c>
      <c r="E1888" t="s" s="834">
        <v>478</v>
      </c>
      <c r="F1888" t="s" s="834">
        <v>478</v>
      </c>
      <c r="G1888" s="570"/>
      <c r="H1888" s="570"/>
      <c r="I1888" s="570"/>
      <c r="J1888" s="570"/>
      <c r="K1888" s="570"/>
    </row>
    <row r="1889" ht="13.75" customHeight="1">
      <c r="A1889" s="833">
        <v>360</v>
      </c>
      <c r="B1889" t="s" s="834">
        <v>1459</v>
      </c>
      <c r="C1889" t="s" s="834">
        <v>480</v>
      </c>
      <c r="D1889" s="835">
        <v>46040</v>
      </c>
      <c r="E1889" t="s" s="834">
        <v>478</v>
      </c>
      <c r="F1889" t="s" s="834">
        <v>478</v>
      </c>
      <c r="G1889" s="570"/>
      <c r="H1889" s="570"/>
      <c r="I1889" s="570"/>
      <c r="J1889" s="570"/>
      <c r="K1889" s="570"/>
    </row>
    <row r="1890" ht="13.75" customHeight="1">
      <c r="A1890" s="833">
        <v>360</v>
      </c>
      <c r="B1890" t="s" s="834">
        <v>1459</v>
      </c>
      <c r="C1890" t="s" s="834">
        <v>480</v>
      </c>
      <c r="D1890" s="835">
        <v>46041</v>
      </c>
      <c r="E1890" t="s" s="834">
        <v>478</v>
      </c>
      <c r="F1890" t="s" s="834">
        <v>478</v>
      </c>
      <c r="G1890" s="570"/>
      <c r="H1890" s="570"/>
      <c r="I1890" s="570"/>
      <c r="J1890" s="570"/>
      <c r="K1890" s="570"/>
    </row>
    <row r="1891" ht="13.75" customHeight="1">
      <c r="A1891" s="833">
        <v>360</v>
      </c>
      <c r="B1891" t="s" s="834">
        <v>1459</v>
      </c>
      <c r="C1891" t="s" s="834">
        <v>480</v>
      </c>
      <c r="D1891" s="835">
        <v>46042</v>
      </c>
      <c r="E1891" t="s" s="834">
        <v>478</v>
      </c>
      <c r="F1891" t="s" s="834">
        <v>478</v>
      </c>
      <c r="G1891" s="570"/>
      <c r="H1891" s="570"/>
      <c r="I1891" s="570"/>
      <c r="J1891" s="570"/>
      <c r="K1891" s="570"/>
    </row>
    <row r="1892" ht="13.75" customHeight="1">
      <c r="A1892" s="833">
        <v>360</v>
      </c>
      <c r="B1892" t="s" s="834">
        <v>1459</v>
      </c>
      <c r="C1892" t="s" s="834">
        <v>480</v>
      </c>
      <c r="D1892" s="835">
        <v>46043</v>
      </c>
      <c r="E1892" t="s" s="834">
        <v>478</v>
      </c>
      <c r="F1892" t="s" s="834">
        <v>478</v>
      </c>
      <c r="G1892" s="570"/>
      <c r="H1892" s="570"/>
      <c r="I1892" s="570"/>
      <c r="J1892" s="570"/>
      <c r="K1892" s="570"/>
    </row>
    <row r="1893" ht="13.75" customHeight="1">
      <c r="A1893" s="833">
        <v>360</v>
      </c>
      <c r="B1893" t="s" s="834">
        <v>1459</v>
      </c>
      <c r="C1893" t="s" s="834">
        <v>480</v>
      </c>
      <c r="D1893" s="835">
        <v>46044</v>
      </c>
      <c r="E1893" t="s" s="834">
        <v>478</v>
      </c>
      <c r="F1893" t="s" s="834">
        <v>478</v>
      </c>
      <c r="G1893" s="570"/>
      <c r="H1893" s="570"/>
      <c r="I1893" s="570"/>
      <c r="J1893" s="570"/>
      <c r="K1893" s="570"/>
    </row>
    <row r="1894" ht="13.75" customHeight="1">
      <c r="A1894" s="833">
        <v>360</v>
      </c>
      <c r="B1894" t="s" s="834">
        <v>1459</v>
      </c>
      <c r="C1894" t="s" s="834">
        <v>480</v>
      </c>
      <c r="D1894" s="835">
        <v>46045</v>
      </c>
      <c r="E1894" t="s" s="834">
        <v>478</v>
      </c>
      <c r="F1894" t="s" s="834">
        <v>478</v>
      </c>
      <c r="G1894" s="570"/>
      <c r="H1894" s="570"/>
      <c r="I1894" s="570"/>
      <c r="J1894" s="570"/>
      <c r="K1894" s="570"/>
    </row>
    <row r="1895" ht="13.75" customHeight="1">
      <c r="A1895" s="833">
        <v>360</v>
      </c>
      <c r="B1895" t="s" s="834">
        <v>1459</v>
      </c>
      <c r="C1895" t="s" s="834">
        <v>480</v>
      </c>
      <c r="D1895" s="835">
        <v>46046</v>
      </c>
      <c r="E1895" t="s" s="834">
        <v>478</v>
      </c>
      <c r="F1895" t="s" s="834">
        <v>478</v>
      </c>
      <c r="G1895" s="570"/>
      <c r="H1895" s="570"/>
      <c r="I1895" s="570"/>
      <c r="J1895" s="570"/>
      <c r="K1895" s="570"/>
    </row>
    <row r="1896" ht="13.75" customHeight="1">
      <c r="A1896" s="833">
        <v>360</v>
      </c>
      <c r="B1896" t="s" s="834">
        <v>1459</v>
      </c>
      <c r="C1896" t="s" s="834">
        <v>480</v>
      </c>
      <c r="D1896" s="835">
        <v>46047</v>
      </c>
      <c r="E1896" t="s" s="834">
        <v>478</v>
      </c>
      <c r="F1896" t="s" s="834">
        <v>478</v>
      </c>
      <c r="G1896" s="570"/>
      <c r="H1896" s="570"/>
      <c r="I1896" s="570"/>
      <c r="J1896" s="570"/>
      <c r="K1896" s="570"/>
    </row>
    <row r="1897" ht="13.75" customHeight="1">
      <c r="A1897" s="833">
        <v>360</v>
      </c>
      <c r="B1897" t="s" s="834">
        <v>1459</v>
      </c>
      <c r="C1897" t="s" s="834">
        <v>480</v>
      </c>
      <c r="D1897" s="835">
        <v>46048</v>
      </c>
      <c r="E1897" t="s" s="834">
        <v>478</v>
      </c>
      <c r="F1897" t="s" s="834">
        <v>478</v>
      </c>
      <c r="G1897" s="570"/>
      <c r="H1897" s="570"/>
      <c r="I1897" s="570"/>
      <c r="J1897" s="570"/>
      <c r="K1897" s="570"/>
    </row>
    <row r="1898" ht="13.75" customHeight="1">
      <c r="A1898" s="833">
        <v>360</v>
      </c>
      <c r="B1898" t="s" s="834">
        <v>1459</v>
      </c>
      <c r="C1898" t="s" s="834">
        <v>480</v>
      </c>
      <c r="D1898" s="835">
        <v>46049</v>
      </c>
      <c r="E1898" t="s" s="834">
        <v>478</v>
      </c>
      <c r="F1898" t="s" s="834">
        <v>478</v>
      </c>
      <c r="G1898" s="570"/>
      <c r="H1898" s="570"/>
      <c r="I1898" s="570"/>
      <c r="J1898" s="570"/>
      <c r="K1898" s="570"/>
    </row>
    <row r="1899" ht="13.75" customHeight="1">
      <c r="A1899" s="833">
        <v>360</v>
      </c>
      <c r="B1899" t="s" s="834">
        <v>1459</v>
      </c>
      <c r="C1899" t="s" s="834">
        <v>480</v>
      </c>
      <c r="D1899" s="835">
        <v>46050</v>
      </c>
      <c r="E1899" t="s" s="834">
        <v>478</v>
      </c>
      <c r="F1899" t="s" s="834">
        <v>478</v>
      </c>
      <c r="G1899" s="570"/>
      <c r="H1899" s="570"/>
      <c r="I1899" s="570"/>
      <c r="J1899" s="570"/>
      <c r="K1899" s="570"/>
    </row>
    <row r="1900" ht="13.75" customHeight="1">
      <c r="A1900" s="833">
        <v>360</v>
      </c>
      <c r="B1900" t="s" s="834">
        <v>1459</v>
      </c>
      <c r="C1900" t="s" s="834">
        <v>480</v>
      </c>
      <c r="D1900" s="835">
        <v>46051</v>
      </c>
      <c r="E1900" t="s" s="834">
        <v>478</v>
      </c>
      <c r="F1900" t="s" s="834">
        <v>478</v>
      </c>
      <c r="G1900" s="570"/>
      <c r="H1900" s="570"/>
      <c r="I1900" s="570"/>
      <c r="J1900" s="570"/>
      <c r="K1900" s="570"/>
    </row>
    <row r="1901" ht="13.75" customHeight="1">
      <c r="A1901" s="833">
        <v>360</v>
      </c>
      <c r="B1901" t="s" s="834">
        <v>1459</v>
      </c>
      <c r="C1901" t="s" s="834">
        <v>480</v>
      </c>
      <c r="D1901" s="835">
        <v>46052</v>
      </c>
      <c r="E1901" t="s" s="834">
        <v>478</v>
      </c>
      <c r="F1901" t="s" s="834">
        <v>478</v>
      </c>
      <c r="G1901" s="570"/>
      <c r="H1901" s="570"/>
      <c r="I1901" s="570"/>
      <c r="J1901" s="570"/>
      <c r="K1901" s="570"/>
    </row>
    <row r="1902" ht="13.75" customHeight="1">
      <c r="A1902" s="833">
        <v>360</v>
      </c>
      <c r="B1902" t="s" s="834">
        <v>1459</v>
      </c>
      <c r="C1902" t="s" s="834">
        <v>480</v>
      </c>
      <c r="D1902" s="835">
        <v>46053</v>
      </c>
      <c r="E1902" t="s" s="834">
        <v>478</v>
      </c>
      <c r="F1902" t="s" s="834">
        <v>478</v>
      </c>
      <c r="G1902" s="570"/>
      <c r="H1902" s="570"/>
      <c r="I1902" s="570"/>
      <c r="J1902" s="570"/>
      <c r="K1902" s="570"/>
    </row>
    <row r="1903" ht="13.75" customHeight="1">
      <c r="A1903" s="833">
        <v>360</v>
      </c>
      <c r="B1903" t="s" s="834">
        <v>1459</v>
      </c>
      <c r="C1903" t="s" s="834">
        <v>480</v>
      </c>
      <c r="D1903" s="835">
        <v>46054</v>
      </c>
      <c r="E1903" t="s" s="834">
        <v>478</v>
      </c>
      <c r="F1903" t="s" s="834">
        <v>478</v>
      </c>
      <c r="G1903" s="570"/>
      <c r="H1903" s="570"/>
      <c r="I1903" s="570"/>
      <c r="J1903" s="570"/>
      <c r="K1903" s="570"/>
    </row>
    <row r="1904" ht="13.75" customHeight="1">
      <c r="A1904" s="833">
        <v>361</v>
      </c>
      <c r="B1904" t="s" s="834">
        <v>1460</v>
      </c>
      <c r="C1904" t="s" s="834">
        <v>480</v>
      </c>
      <c r="D1904" s="835">
        <v>46023</v>
      </c>
      <c r="E1904" t="s" s="834">
        <v>478</v>
      </c>
      <c r="F1904" t="s" s="834">
        <v>478</v>
      </c>
      <c r="G1904" s="570"/>
      <c r="H1904" s="570"/>
      <c r="I1904" s="570"/>
      <c r="J1904" s="570"/>
      <c r="K1904" s="570"/>
    </row>
    <row r="1905" ht="13.75" customHeight="1">
      <c r="A1905" s="833">
        <v>361</v>
      </c>
      <c r="B1905" t="s" s="834">
        <v>1460</v>
      </c>
      <c r="C1905" t="s" s="834">
        <v>480</v>
      </c>
      <c r="D1905" s="835">
        <v>46024</v>
      </c>
      <c r="E1905" t="s" s="834">
        <v>478</v>
      </c>
      <c r="F1905" t="s" s="834">
        <v>478</v>
      </c>
      <c r="G1905" s="570"/>
      <c r="H1905" s="570"/>
      <c r="I1905" s="570"/>
      <c r="J1905" s="570"/>
      <c r="K1905" s="570"/>
    </row>
    <row r="1906" ht="13.75" customHeight="1">
      <c r="A1906" s="833">
        <v>361</v>
      </c>
      <c r="B1906" t="s" s="834">
        <v>1460</v>
      </c>
      <c r="C1906" t="s" s="834">
        <v>480</v>
      </c>
      <c r="D1906" s="835">
        <v>46025</v>
      </c>
      <c r="E1906" t="s" s="834">
        <v>478</v>
      </c>
      <c r="F1906" t="s" s="834">
        <v>478</v>
      </c>
      <c r="G1906" s="570"/>
      <c r="H1906" s="570"/>
      <c r="I1906" s="570"/>
      <c r="J1906" s="570"/>
      <c r="K1906" s="570"/>
    </row>
    <row r="1907" ht="13.75" customHeight="1">
      <c r="A1907" s="833">
        <v>361</v>
      </c>
      <c r="B1907" t="s" s="834">
        <v>1460</v>
      </c>
      <c r="C1907" t="s" s="834">
        <v>480</v>
      </c>
      <c r="D1907" s="835">
        <v>46026</v>
      </c>
      <c r="E1907" t="s" s="834">
        <v>478</v>
      </c>
      <c r="F1907" t="s" s="834">
        <v>478</v>
      </c>
      <c r="G1907" s="570"/>
      <c r="H1907" s="570"/>
      <c r="I1907" s="570"/>
      <c r="J1907" s="570"/>
      <c r="K1907" s="570"/>
    </row>
    <row r="1908" ht="13.75" customHeight="1">
      <c r="A1908" s="833">
        <v>361</v>
      </c>
      <c r="B1908" t="s" s="834">
        <v>1460</v>
      </c>
      <c r="C1908" t="s" s="834">
        <v>480</v>
      </c>
      <c r="D1908" s="835">
        <v>46027</v>
      </c>
      <c r="E1908" t="s" s="834">
        <v>478</v>
      </c>
      <c r="F1908" t="s" s="834">
        <v>478</v>
      </c>
      <c r="G1908" s="570"/>
      <c r="H1908" s="570"/>
      <c r="I1908" s="570"/>
      <c r="J1908" s="570"/>
      <c r="K1908" s="570"/>
    </row>
    <row r="1909" ht="13.75" customHeight="1">
      <c r="A1909" s="833">
        <v>361</v>
      </c>
      <c r="B1909" t="s" s="834">
        <v>1460</v>
      </c>
      <c r="C1909" t="s" s="834">
        <v>480</v>
      </c>
      <c r="D1909" s="835">
        <v>46028</v>
      </c>
      <c r="E1909" t="s" s="834">
        <v>478</v>
      </c>
      <c r="F1909" t="s" s="834">
        <v>478</v>
      </c>
      <c r="G1909" s="570"/>
      <c r="H1909" s="570"/>
      <c r="I1909" s="570"/>
      <c r="J1909" s="570"/>
      <c r="K1909" s="570"/>
    </row>
    <row r="1910" ht="13.75" customHeight="1">
      <c r="A1910" s="833">
        <v>361</v>
      </c>
      <c r="B1910" t="s" s="834">
        <v>1460</v>
      </c>
      <c r="C1910" t="s" s="834">
        <v>480</v>
      </c>
      <c r="D1910" s="835">
        <v>46029</v>
      </c>
      <c r="E1910" t="s" s="834">
        <v>478</v>
      </c>
      <c r="F1910" t="s" s="834">
        <v>478</v>
      </c>
      <c r="G1910" s="570"/>
      <c r="H1910" s="570"/>
      <c r="I1910" s="570"/>
      <c r="J1910" s="570"/>
      <c r="K1910" s="570"/>
    </row>
    <row r="1911" ht="13.75" customHeight="1">
      <c r="A1911" s="833">
        <v>361</v>
      </c>
      <c r="B1911" t="s" s="834">
        <v>1460</v>
      </c>
      <c r="C1911" t="s" s="834">
        <v>480</v>
      </c>
      <c r="D1911" s="835">
        <v>46030</v>
      </c>
      <c r="E1911" t="s" s="834">
        <v>478</v>
      </c>
      <c r="F1911" t="s" s="834">
        <v>478</v>
      </c>
      <c r="G1911" s="570"/>
      <c r="H1911" s="570"/>
      <c r="I1911" s="570"/>
      <c r="J1911" s="570"/>
      <c r="K1911" s="570"/>
    </row>
    <row r="1912" ht="13.75" customHeight="1">
      <c r="A1912" s="833">
        <v>361</v>
      </c>
      <c r="B1912" t="s" s="834">
        <v>1460</v>
      </c>
      <c r="C1912" t="s" s="834">
        <v>480</v>
      </c>
      <c r="D1912" s="835">
        <v>46031</v>
      </c>
      <c r="E1912" t="s" s="834">
        <v>478</v>
      </c>
      <c r="F1912" t="s" s="834">
        <v>478</v>
      </c>
      <c r="G1912" s="570"/>
      <c r="H1912" s="570"/>
      <c r="I1912" s="570"/>
      <c r="J1912" s="570"/>
      <c r="K1912" s="570"/>
    </row>
    <row r="1913" ht="13.75" customHeight="1">
      <c r="A1913" s="833">
        <v>361</v>
      </c>
      <c r="B1913" t="s" s="834">
        <v>1460</v>
      </c>
      <c r="C1913" t="s" s="834">
        <v>480</v>
      </c>
      <c r="D1913" s="835">
        <v>46032</v>
      </c>
      <c r="E1913" t="s" s="834">
        <v>478</v>
      </c>
      <c r="F1913" t="s" s="834">
        <v>478</v>
      </c>
      <c r="G1913" s="570"/>
      <c r="H1913" s="570"/>
      <c r="I1913" s="570"/>
      <c r="J1913" s="570"/>
      <c r="K1913" s="570"/>
    </row>
    <row r="1914" ht="13.75" customHeight="1">
      <c r="A1914" s="833">
        <v>361</v>
      </c>
      <c r="B1914" t="s" s="834">
        <v>1460</v>
      </c>
      <c r="C1914" t="s" s="834">
        <v>480</v>
      </c>
      <c r="D1914" s="835">
        <v>46033</v>
      </c>
      <c r="E1914" t="s" s="834">
        <v>478</v>
      </c>
      <c r="F1914" t="s" s="834">
        <v>478</v>
      </c>
      <c r="G1914" s="570"/>
      <c r="H1914" s="570"/>
      <c r="I1914" s="570"/>
      <c r="J1914" s="570"/>
      <c r="K1914" s="570"/>
    </row>
    <row r="1915" ht="13.75" customHeight="1">
      <c r="A1915" s="833">
        <v>361</v>
      </c>
      <c r="B1915" t="s" s="834">
        <v>1460</v>
      </c>
      <c r="C1915" t="s" s="834">
        <v>480</v>
      </c>
      <c r="D1915" s="835">
        <v>46034</v>
      </c>
      <c r="E1915" t="s" s="834">
        <v>478</v>
      </c>
      <c r="F1915" t="s" s="834">
        <v>478</v>
      </c>
      <c r="G1915" s="570"/>
      <c r="H1915" s="570"/>
      <c r="I1915" s="570"/>
      <c r="J1915" s="570"/>
      <c r="K1915" s="570"/>
    </row>
    <row r="1916" ht="13.75" customHeight="1">
      <c r="A1916" s="833">
        <v>361</v>
      </c>
      <c r="B1916" t="s" s="834">
        <v>1460</v>
      </c>
      <c r="C1916" t="s" s="834">
        <v>480</v>
      </c>
      <c r="D1916" s="835">
        <v>46035</v>
      </c>
      <c r="E1916" t="s" s="834">
        <v>478</v>
      </c>
      <c r="F1916" t="s" s="834">
        <v>478</v>
      </c>
      <c r="G1916" s="570"/>
      <c r="H1916" s="570"/>
      <c r="I1916" s="570"/>
      <c r="J1916" s="570"/>
      <c r="K1916" s="570"/>
    </row>
    <row r="1917" ht="13.75" customHeight="1">
      <c r="A1917" s="833">
        <v>361</v>
      </c>
      <c r="B1917" t="s" s="834">
        <v>1460</v>
      </c>
      <c r="C1917" t="s" s="834">
        <v>480</v>
      </c>
      <c r="D1917" s="835">
        <v>46036</v>
      </c>
      <c r="E1917" t="s" s="834">
        <v>478</v>
      </c>
      <c r="F1917" t="s" s="834">
        <v>478</v>
      </c>
      <c r="G1917" s="570"/>
      <c r="H1917" s="570"/>
      <c r="I1917" s="570"/>
      <c r="J1917" s="570"/>
      <c r="K1917" s="570"/>
    </row>
    <row r="1918" ht="13.75" customHeight="1">
      <c r="A1918" s="833">
        <v>361</v>
      </c>
      <c r="B1918" t="s" s="834">
        <v>1460</v>
      </c>
      <c r="C1918" t="s" s="834">
        <v>480</v>
      </c>
      <c r="D1918" s="835">
        <v>46037</v>
      </c>
      <c r="E1918" t="s" s="834">
        <v>478</v>
      </c>
      <c r="F1918" t="s" s="834">
        <v>478</v>
      </c>
      <c r="G1918" s="570"/>
      <c r="H1918" s="570"/>
      <c r="I1918" s="570"/>
      <c r="J1918" s="570"/>
      <c r="K1918" s="570"/>
    </row>
    <row r="1919" ht="13.75" customHeight="1">
      <c r="A1919" s="833">
        <v>361</v>
      </c>
      <c r="B1919" t="s" s="834">
        <v>1460</v>
      </c>
      <c r="C1919" t="s" s="834">
        <v>480</v>
      </c>
      <c r="D1919" s="835">
        <v>46038</v>
      </c>
      <c r="E1919" t="s" s="834">
        <v>478</v>
      </c>
      <c r="F1919" t="s" s="834">
        <v>478</v>
      </c>
      <c r="G1919" s="570"/>
      <c r="H1919" s="570"/>
      <c r="I1919" s="570"/>
      <c r="J1919" s="570"/>
      <c r="K1919" s="570"/>
    </row>
    <row r="1920" ht="13.75" customHeight="1">
      <c r="A1920" s="833">
        <v>361</v>
      </c>
      <c r="B1920" t="s" s="834">
        <v>1460</v>
      </c>
      <c r="C1920" t="s" s="834">
        <v>480</v>
      </c>
      <c r="D1920" s="835">
        <v>46039</v>
      </c>
      <c r="E1920" t="s" s="834">
        <v>478</v>
      </c>
      <c r="F1920" t="s" s="834">
        <v>478</v>
      </c>
      <c r="G1920" s="570"/>
      <c r="H1920" s="570"/>
      <c r="I1920" s="570"/>
      <c r="J1920" s="570"/>
      <c r="K1920" s="570"/>
    </row>
    <row r="1921" ht="13.75" customHeight="1">
      <c r="A1921" s="833">
        <v>361</v>
      </c>
      <c r="B1921" t="s" s="834">
        <v>1460</v>
      </c>
      <c r="C1921" t="s" s="834">
        <v>480</v>
      </c>
      <c r="D1921" s="835">
        <v>46040</v>
      </c>
      <c r="E1921" t="s" s="834">
        <v>478</v>
      </c>
      <c r="F1921" t="s" s="834">
        <v>478</v>
      </c>
      <c r="G1921" s="570"/>
      <c r="H1921" s="570"/>
      <c r="I1921" s="570"/>
      <c r="J1921" s="570"/>
      <c r="K1921" s="570"/>
    </row>
    <row r="1922" ht="13.75" customHeight="1">
      <c r="A1922" s="833">
        <v>361</v>
      </c>
      <c r="B1922" t="s" s="834">
        <v>1460</v>
      </c>
      <c r="C1922" t="s" s="834">
        <v>480</v>
      </c>
      <c r="D1922" s="835">
        <v>46041</v>
      </c>
      <c r="E1922" t="s" s="834">
        <v>478</v>
      </c>
      <c r="F1922" t="s" s="834">
        <v>478</v>
      </c>
      <c r="G1922" s="570"/>
      <c r="H1922" s="570"/>
      <c r="I1922" s="570"/>
      <c r="J1922" s="570"/>
      <c r="K1922" s="570"/>
    </row>
    <row r="1923" ht="13.75" customHeight="1">
      <c r="A1923" s="833">
        <v>361</v>
      </c>
      <c r="B1923" t="s" s="834">
        <v>1460</v>
      </c>
      <c r="C1923" t="s" s="834">
        <v>480</v>
      </c>
      <c r="D1923" s="835">
        <v>46042</v>
      </c>
      <c r="E1923" t="s" s="834">
        <v>478</v>
      </c>
      <c r="F1923" t="s" s="834">
        <v>478</v>
      </c>
      <c r="G1923" s="570"/>
      <c r="H1923" s="570"/>
      <c r="I1923" s="570"/>
      <c r="J1923" s="570"/>
      <c r="K1923" s="570"/>
    </row>
    <row r="1924" ht="13.75" customHeight="1">
      <c r="A1924" s="833">
        <v>361</v>
      </c>
      <c r="B1924" t="s" s="834">
        <v>1460</v>
      </c>
      <c r="C1924" t="s" s="834">
        <v>480</v>
      </c>
      <c r="D1924" s="835">
        <v>46043</v>
      </c>
      <c r="E1924" t="s" s="834">
        <v>478</v>
      </c>
      <c r="F1924" t="s" s="834">
        <v>478</v>
      </c>
      <c r="G1924" s="570"/>
      <c r="H1924" s="570"/>
      <c r="I1924" s="570"/>
      <c r="J1924" s="570"/>
      <c r="K1924" s="570"/>
    </row>
    <row r="1925" ht="13.75" customHeight="1">
      <c r="A1925" s="833">
        <v>361</v>
      </c>
      <c r="B1925" t="s" s="834">
        <v>1460</v>
      </c>
      <c r="C1925" t="s" s="834">
        <v>480</v>
      </c>
      <c r="D1925" s="835">
        <v>46044</v>
      </c>
      <c r="E1925" t="s" s="834">
        <v>478</v>
      </c>
      <c r="F1925" t="s" s="834">
        <v>478</v>
      </c>
      <c r="G1925" s="570"/>
      <c r="H1925" s="570"/>
      <c r="I1925" s="570"/>
      <c r="J1925" s="570"/>
      <c r="K1925" s="570"/>
    </row>
    <row r="1926" ht="13.75" customHeight="1">
      <c r="A1926" s="833">
        <v>361</v>
      </c>
      <c r="B1926" t="s" s="834">
        <v>1460</v>
      </c>
      <c r="C1926" t="s" s="834">
        <v>480</v>
      </c>
      <c r="D1926" s="835">
        <v>46045</v>
      </c>
      <c r="E1926" t="s" s="834">
        <v>478</v>
      </c>
      <c r="F1926" t="s" s="834">
        <v>478</v>
      </c>
      <c r="G1926" s="570"/>
      <c r="H1926" s="570"/>
      <c r="I1926" s="570"/>
      <c r="J1926" s="570"/>
      <c r="K1926" s="570"/>
    </row>
    <row r="1927" ht="13.75" customHeight="1">
      <c r="A1927" s="833">
        <v>361</v>
      </c>
      <c r="B1927" t="s" s="834">
        <v>1460</v>
      </c>
      <c r="C1927" t="s" s="834">
        <v>480</v>
      </c>
      <c r="D1927" s="835">
        <v>46046</v>
      </c>
      <c r="E1927" t="s" s="834">
        <v>478</v>
      </c>
      <c r="F1927" t="s" s="834">
        <v>478</v>
      </c>
      <c r="G1927" s="570"/>
      <c r="H1927" s="570"/>
      <c r="I1927" s="570"/>
      <c r="J1927" s="570"/>
      <c r="K1927" s="570"/>
    </row>
    <row r="1928" ht="13.75" customHeight="1">
      <c r="A1928" s="833">
        <v>361</v>
      </c>
      <c r="B1928" t="s" s="834">
        <v>1460</v>
      </c>
      <c r="C1928" t="s" s="834">
        <v>480</v>
      </c>
      <c r="D1928" s="835">
        <v>46047</v>
      </c>
      <c r="E1928" t="s" s="834">
        <v>478</v>
      </c>
      <c r="F1928" t="s" s="834">
        <v>478</v>
      </c>
      <c r="G1928" s="570"/>
      <c r="H1928" s="570"/>
      <c r="I1928" s="570"/>
      <c r="J1928" s="570"/>
      <c r="K1928" s="570"/>
    </row>
    <row r="1929" ht="13.75" customHeight="1">
      <c r="A1929" s="833">
        <v>361</v>
      </c>
      <c r="B1929" t="s" s="834">
        <v>1460</v>
      </c>
      <c r="C1929" t="s" s="834">
        <v>480</v>
      </c>
      <c r="D1929" s="835">
        <v>46048</v>
      </c>
      <c r="E1929" t="s" s="834">
        <v>478</v>
      </c>
      <c r="F1929" t="s" s="834">
        <v>478</v>
      </c>
      <c r="G1929" s="570"/>
      <c r="H1929" s="570"/>
      <c r="I1929" s="570"/>
      <c r="J1929" s="570"/>
      <c r="K1929" s="570"/>
    </row>
    <row r="1930" ht="13.75" customHeight="1">
      <c r="A1930" s="833">
        <v>361</v>
      </c>
      <c r="B1930" t="s" s="834">
        <v>1460</v>
      </c>
      <c r="C1930" t="s" s="834">
        <v>480</v>
      </c>
      <c r="D1930" s="835">
        <v>46049</v>
      </c>
      <c r="E1930" t="s" s="834">
        <v>478</v>
      </c>
      <c r="F1930" t="s" s="834">
        <v>478</v>
      </c>
      <c r="G1930" s="570"/>
      <c r="H1930" s="570"/>
      <c r="I1930" s="570"/>
      <c r="J1930" s="570"/>
      <c r="K1930" s="570"/>
    </row>
    <row r="1931" ht="13.75" customHeight="1">
      <c r="A1931" s="833">
        <v>361</v>
      </c>
      <c r="B1931" t="s" s="834">
        <v>1460</v>
      </c>
      <c r="C1931" t="s" s="834">
        <v>480</v>
      </c>
      <c r="D1931" s="835">
        <v>46050</v>
      </c>
      <c r="E1931" t="s" s="834">
        <v>478</v>
      </c>
      <c r="F1931" t="s" s="834">
        <v>478</v>
      </c>
      <c r="G1931" s="570"/>
      <c r="H1931" s="570"/>
      <c r="I1931" s="570"/>
      <c r="J1931" s="570"/>
      <c r="K1931" s="570"/>
    </row>
    <row r="1932" ht="13.75" customHeight="1">
      <c r="A1932" s="833">
        <v>361</v>
      </c>
      <c r="B1932" t="s" s="834">
        <v>1460</v>
      </c>
      <c r="C1932" t="s" s="834">
        <v>480</v>
      </c>
      <c r="D1932" s="835">
        <v>46051</v>
      </c>
      <c r="E1932" t="s" s="834">
        <v>478</v>
      </c>
      <c r="F1932" t="s" s="834">
        <v>478</v>
      </c>
      <c r="G1932" s="570"/>
      <c r="H1932" s="570"/>
      <c r="I1932" s="570"/>
      <c r="J1932" s="570"/>
      <c r="K1932" s="570"/>
    </row>
    <row r="1933" ht="13.75" customHeight="1">
      <c r="A1933" s="833">
        <v>361</v>
      </c>
      <c r="B1933" t="s" s="834">
        <v>1460</v>
      </c>
      <c r="C1933" t="s" s="834">
        <v>480</v>
      </c>
      <c r="D1933" s="835">
        <v>46052</v>
      </c>
      <c r="E1933" t="s" s="834">
        <v>478</v>
      </c>
      <c r="F1933" t="s" s="834">
        <v>478</v>
      </c>
      <c r="G1933" s="570"/>
      <c r="H1933" s="570"/>
      <c r="I1933" s="570"/>
      <c r="J1933" s="570"/>
      <c r="K1933" s="570"/>
    </row>
    <row r="1934" ht="13.75" customHeight="1">
      <c r="A1934" s="833">
        <v>361</v>
      </c>
      <c r="B1934" t="s" s="834">
        <v>1460</v>
      </c>
      <c r="C1934" t="s" s="834">
        <v>480</v>
      </c>
      <c r="D1934" s="835">
        <v>46053</v>
      </c>
      <c r="E1934" t="s" s="834">
        <v>478</v>
      </c>
      <c r="F1934" t="s" s="834">
        <v>478</v>
      </c>
      <c r="G1934" s="570"/>
      <c r="H1934" s="570"/>
      <c r="I1934" s="570"/>
      <c r="J1934" s="570"/>
      <c r="K1934" s="570"/>
    </row>
    <row r="1935" ht="13.75" customHeight="1">
      <c r="A1935" s="833">
        <v>361</v>
      </c>
      <c r="B1935" t="s" s="834">
        <v>1460</v>
      </c>
      <c r="C1935" t="s" s="834">
        <v>480</v>
      </c>
      <c r="D1935" s="835">
        <v>46054</v>
      </c>
      <c r="E1935" t="s" s="834">
        <v>478</v>
      </c>
      <c r="F1935" t="s" s="834">
        <v>478</v>
      </c>
      <c r="G1935" s="570"/>
      <c r="H1935" s="570"/>
      <c r="I1935" s="570"/>
      <c r="J1935" s="570"/>
      <c r="K1935" s="570"/>
    </row>
    <row r="1936" ht="13.75" customHeight="1">
      <c r="A1936" s="833">
        <v>362</v>
      </c>
      <c r="B1936" t="s" s="834">
        <v>313</v>
      </c>
      <c r="C1936" t="s" s="834">
        <v>480</v>
      </c>
      <c r="D1936" s="835">
        <v>46023</v>
      </c>
      <c r="E1936" t="s" s="834">
        <v>478</v>
      </c>
      <c r="F1936" t="s" s="834">
        <v>478</v>
      </c>
      <c r="G1936" s="570"/>
      <c r="H1936" s="570"/>
      <c r="I1936" s="570"/>
      <c r="J1936" s="570"/>
      <c r="K1936" s="570"/>
    </row>
    <row r="1937" ht="13.75" customHeight="1">
      <c r="A1937" s="833">
        <v>362</v>
      </c>
      <c r="B1937" t="s" s="834">
        <v>313</v>
      </c>
      <c r="C1937" t="s" s="834">
        <v>480</v>
      </c>
      <c r="D1937" s="835">
        <v>46024</v>
      </c>
      <c r="E1937" t="s" s="834">
        <v>478</v>
      </c>
      <c r="F1937" t="s" s="834">
        <v>478</v>
      </c>
      <c r="G1937" s="570"/>
      <c r="H1937" s="570"/>
      <c r="I1937" s="570"/>
      <c r="J1937" s="570"/>
      <c r="K1937" s="570"/>
    </row>
    <row r="1938" ht="13.75" customHeight="1">
      <c r="A1938" s="833">
        <v>362</v>
      </c>
      <c r="B1938" t="s" s="834">
        <v>313</v>
      </c>
      <c r="C1938" t="s" s="834">
        <v>480</v>
      </c>
      <c r="D1938" s="835">
        <v>46025</v>
      </c>
      <c r="E1938" t="s" s="834">
        <v>478</v>
      </c>
      <c r="F1938" t="s" s="834">
        <v>478</v>
      </c>
      <c r="G1938" s="570"/>
      <c r="H1938" s="570"/>
      <c r="I1938" s="570"/>
      <c r="J1938" s="570"/>
      <c r="K1938" s="570"/>
    </row>
    <row r="1939" ht="13.75" customHeight="1">
      <c r="A1939" s="833">
        <v>362</v>
      </c>
      <c r="B1939" t="s" s="834">
        <v>313</v>
      </c>
      <c r="C1939" t="s" s="834">
        <v>480</v>
      </c>
      <c r="D1939" s="835">
        <v>46026</v>
      </c>
      <c r="E1939" t="s" s="834">
        <v>478</v>
      </c>
      <c r="F1939" t="s" s="834">
        <v>478</v>
      </c>
      <c r="G1939" s="570"/>
      <c r="H1939" s="570"/>
      <c r="I1939" s="570"/>
      <c r="J1939" s="570"/>
      <c r="K1939" s="570"/>
    </row>
    <row r="1940" ht="13.75" customHeight="1">
      <c r="A1940" s="833">
        <v>362</v>
      </c>
      <c r="B1940" t="s" s="834">
        <v>313</v>
      </c>
      <c r="C1940" t="s" s="834">
        <v>480</v>
      </c>
      <c r="D1940" s="835">
        <v>46027</v>
      </c>
      <c r="E1940" t="s" s="834">
        <v>478</v>
      </c>
      <c r="F1940" t="s" s="834">
        <v>478</v>
      </c>
      <c r="G1940" s="570"/>
      <c r="H1940" s="570"/>
      <c r="I1940" s="570"/>
      <c r="J1940" s="570"/>
      <c r="K1940" s="570"/>
    </row>
    <row r="1941" ht="13.75" customHeight="1">
      <c r="A1941" s="833">
        <v>362</v>
      </c>
      <c r="B1941" t="s" s="834">
        <v>313</v>
      </c>
      <c r="C1941" t="s" s="834">
        <v>480</v>
      </c>
      <c r="D1941" s="835">
        <v>46028</v>
      </c>
      <c r="E1941" t="s" s="834">
        <v>478</v>
      </c>
      <c r="F1941" t="s" s="834">
        <v>478</v>
      </c>
      <c r="G1941" s="570"/>
      <c r="H1941" s="570"/>
      <c r="I1941" s="570"/>
      <c r="J1941" s="570"/>
      <c r="K1941" s="570"/>
    </row>
    <row r="1942" ht="13.75" customHeight="1">
      <c r="A1942" s="833">
        <v>362</v>
      </c>
      <c r="B1942" t="s" s="834">
        <v>313</v>
      </c>
      <c r="C1942" t="s" s="834">
        <v>480</v>
      </c>
      <c r="D1942" s="835">
        <v>46029</v>
      </c>
      <c r="E1942" t="s" s="834">
        <v>478</v>
      </c>
      <c r="F1942" t="s" s="834">
        <v>478</v>
      </c>
      <c r="G1942" s="570"/>
      <c r="H1942" s="570"/>
      <c r="I1942" s="570"/>
      <c r="J1942" s="570"/>
      <c r="K1942" s="570"/>
    </row>
    <row r="1943" ht="13.75" customHeight="1">
      <c r="A1943" s="833">
        <v>362</v>
      </c>
      <c r="B1943" t="s" s="834">
        <v>313</v>
      </c>
      <c r="C1943" t="s" s="834">
        <v>480</v>
      </c>
      <c r="D1943" s="835">
        <v>46030</v>
      </c>
      <c r="E1943" t="s" s="834">
        <v>478</v>
      </c>
      <c r="F1943" t="s" s="834">
        <v>478</v>
      </c>
      <c r="G1943" s="570"/>
      <c r="H1943" s="570"/>
      <c r="I1943" s="570"/>
      <c r="J1943" s="570"/>
      <c r="K1943" s="570"/>
    </row>
    <row r="1944" ht="13.75" customHeight="1">
      <c r="A1944" s="833">
        <v>362</v>
      </c>
      <c r="B1944" t="s" s="834">
        <v>313</v>
      </c>
      <c r="C1944" t="s" s="834">
        <v>480</v>
      </c>
      <c r="D1944" s="835">
        <v>46031</v>
      </c>
      <c r="E1944" t="s" s="834">
        <v>478</v>
      </c>
      <c r="F1944" t="s" s="834">
        <v>478</v>
      </c>
      <c r="G1944" s="570"/>
      <c r="H1944" s="570"/>
      <c r="I1944" s="570"/>
      <c r="J1944" s="570"/>
      <c r="K1944" s="570"/>
    </row>
    <row r="1945" ht="13.75" customHeight="1">
      <c r="A1945" s="833">
        <v>362</v>
      </c>
      <c r="B1945" t="s" s="834">
        <v>313</v>
      </c>
      <c r="C1945" t="s" s="834">
        <v>480</v>
      </c>
      <c r="D1945" s="835">
        <v>46032</v>
      </c>
      <c r="E1945" t="s" s="834">
        <v>478</v>
      </c>
      <c r="F1945" t="s" s="834">
        <v>478</v>
      </c>
      <c r="G1945" s="570"/>
      <c r="H1945" s="570"/>
      <c r="I1945" s="570"/>
      <c r="J1945" s="570"/>
      <c r="K1945" s="570"/>
    </row>
    <row r="1946" ht="13.75" customHeight="1">
      <c r="A1946" s="833">
        <v>362</v>
      </c>
      <c r="B1946" t="s" s="834">
        <v>313</v>
      </c>
      <c r="C1946" t="s" s="834">
        <v>480</v>
      </c>
      <c r="D1946" s="835">
        <v>46033</v>
      </c>
      <c r="E1946" t="s" s="834">
        <v>478</v>
      </c>
      <c r="F1946" t="s" s="834">
        <v>478</v>
      </c>
      <c r="G1946" s="570"/>
      <c r="H1946" s="570"/>
      <c r="I1946" s="570"/>
      <c r="J1946" s="570"/>
      <c r="K1946" s="570"/>
    </row>
    <row r="1947" ht="13.75" customHeight="1">
      <c r="A1947" s="833">
        <v>362</v>
      </c>
      <c r="B1947" t="s" s="834">
        <v>313</v>
      </c>
      <c r="C1947" t="s" s="834">
        <v>480</v>
      </c>
      <c r="D1947" s="835">
        <v>46034</v>
      </c>
      <c r="E1947" t="s" s="834">
        <v>478</v>
      </c>
      <c r="F1947" t="s" s="834">
        <v>478</v>
      </c>
      <c r="G1947" s="570"/>
      <c r="H1947" s="570"/>
      <c r="I1947" s="570"/>
      <c r="J1947" s="570"/>
      <c r="K1947" s="570"/>
    </row>
    <row r="1948" ht="13.75" customHeight="1">
      <c r="A1948" s="833">
        <v>362</v>
      </c>
      <c r="B1948" t="s" s="834">
        <v>313</v>
      </c>
      <c r="C1948" t="s" s="834">
        <v>480</v>
      </c>
      <c r="D1948" s="835">
        <v>46035</v>
      </c>
      <c r="E1948" t="s" s="834">
        <v>478</v>
      </c>
      <c r="F1948" t="s" s="834">
        <v>478</v>
      </c>
      <c r="G1948" s="570"/>
      <c r="H1948" s="570"/>
      <c r="I1948" s="570"/>
      <c r="J1948" s="570"/>
      <c r="K1948" s="570"/>
    </row>
    <row r="1949" ht="13.75" customHeight="1">
      <c r="A1949" s="833">
        <v>362</v>
      </c>
      <c r="B1949" t="s" s="834">
        <v>313</v>
      </c>
      <c r="C1949" t="s" s="834">
        <v>480</v>
      </c>
      <c r="D1949" s="835">
        <v>46036</v>
      </c>
      <c r="E1949" t="s" s="834">
        <v>478</v>
      </c>
      <c r="F1949" t="s" s="834">
        <v>478</v>
      </c>
      <c r="G1949" s="570"/>
      <c r="H1949" s="570"/>
      <c r="I1949" s="570"/>
      <c r="J1949" s="570"/>
      <c r="K1949" s="570"/>
    </row>
    <row r="1950" ht="13.75" customHeight="1">
      <c r="A1950" s="833">
        <v>362</v>
      </c>
      <c r="B1950" t="s" s="834">
        <v>313</v>
      </c>
      <c r="C1950" t="s" s="834">
        <v>480</v>
      </c>
      <c r="D1950" s="835">
        <v>46037</v>
      </c>
      <c r="E1950" t="s" s="834">
        <v>478</v>
      </c>
      <c r="F1950" t="s" s="834">
        <v>478</v>
      </c>
      <c r="G1950" s="570"/>
      <c r="H1950" s="570"/>
      <c r="I1950" s="570"/>
      <c r="J1950" s="570"/>
      <c r="K1950" s="570"/>
    </row>
    <row r="1951" ht="13.75" customHeight="1">
      <c r="A1951" s="833">
        <v>362</v>
      </c>
      <c r="B1951" t="s" s="834">
        <v>313</v>
      </c>
      <c r="C1951" t="s" s="834">
        <v>480</v>
      </c>
      <c r="D1951" s="835">
        <v>46038</v>
      </c>
      <c r="E1951" s="836">
        <v>1.364328703703704</v>
      </c>
      <c r="F1951" t="s" s="834">
        <v>478</v>
      </c>
      <c r="G1951" s="570"/>
      <c r="H1951" s="570"/>
      <c r="I1951" s="570"/>
      <c r="J1951" s="570"/>
      <c r="K1951" s="570"/>
    </row>
    <row r="1952" ht="13.75" customHeight="1">
      <c r="A1952" t="s" s="834">
        <v>1461</v>
      </c>
      <c r="B1952" t="s" s="834">
        <v>485</v>
      </c>
      <c r="C1952" t="s" s="834">
        <v>486</v>
      </c>
      <c r="D1952" s="570"/>
      <c r="E1952" s="570"/>
      <c r="F1952" s="570"/>
      <c r="G1952" s="570"/>
      <c r="H1952" s="570"/>
      <c r="I1952" s="570"/>
      <c r="J1952" s="570"/>
      <c r="K1952" s="570"/>
    </row>
    <row r="1953" ht="13.75" customHeight="1">
      <c r="A1953" s="833">
        <v>362</v>
      </c>
      <c r="B1953" t="s" s="834">
        <v>313</v>
      </c>
      <c r="C1953" t="s" s="834">
        <v>480</v>
      </c>
      <c r="D1953" s="835">
        <v>46039</v>
      </c>
      <c r="E1953" t="s" s="834">
        <v>478</v>
      </c>
      <c r="F1953" t="s" s="834">
        <v>478</v>
      </c>
      <c r="G1953" s="570"/>
      <c r="H1953" s="570"/>
      <c r="I1953" s="570"/>
      <c r="J1953" s="570"/>
      <c r="K1953" s="570"/>
    </row>
    <row r="1954" ht="13.75" customHeight="1">
      <c r="A1954" s="833">
        <v>362</v>
      </c>
      <c r="B1954" t="s" s="834">
        <v>313</v>
      </c>
      <c r="C1954" t="s" s="834">
        <v>480</v>
      </c>
      <c r="D1954" s="835">
        <v>46040</v>
      </c>
      <c r="E1954" t="s" s="834">
        <v>478</v>
      </c>
      <c r="F1954" t="s" s="834">
        <v>478</v>
      </c>
      <c r="G1954" s="570"/>
      <c r="H1954" s="570"/>
      <c r="I1954" s="570"/>
      <c r="J1954" s="570"/>
      <c r="K1954" s="570"/>
    </row>
    <row r="1955" ht="13.75" customHeight="1">
      <c r="A1955" s="833">
        <v>362</v>
      </c>
      <c r="B1955" t="s" s="834">
        <v>313</v>
      </c>
      <c r="C1955" t="s" s="834">
        <v>480</v>
      </c>
      <c r="D1955" s="835">
        <v>46041</v>
      </c>
      <c r="E1955" s="836">
        <v>1.373240740740741</v>
      </c>
      <c r="F1955" s="836">
        <v>1.75119212962963</v>
      </c>
      <c r="G1955" s="570"/>
      <c r="H1955" s="570"/>
      <c r="I1955" s="570"/>
      <c r="J1955" s="570"/>
      <c r="K1955" s="570"/>
    </row>
    <row r="1956" ht="13.75" customHeight="1">
      <c r="A1956" t="s" s="834">
        <v>1462</v>
      </c>
      <c r="B1956" t="s" s="834">
        <v>1463</v>
      </c>
      <c r="C1956" t="s" s="834">
        <v>543</v>
      </c>
      <c r="D1956" s="570"/>
      <c r="E1956" s="570"/>
      <c r="F1956" s="570"/>
      <c r="G1956" s="570"/>
      <c r="H1956" s="570"/>
      <c r="I1956" s="570"/>
      <c r="J1956" s="570"/>
      <c r="K1956" s="570"/>
    </row>
    <row r="1957" ht="13.75" customHeight="1">
      <c r="A1957" s="833">
        <v>362</v>
      </c>
      <c r="B1957" t="s" s="834">
        <v>313</v>
      </c>
      <c r="C1957" t="s" s="834">
        <v>480</v>
      </c>
      <c r="D1957" s="835">
        <v>46042</v>
      </c>
      <c r="E1957" s="836">
        <v>1.360717592592593</v>
      </c>
      <c r="F1957" s="836">
        <v>1.699305555555556</v>
      </c>
      <c r="G1957" s="570"/>
      <c r="H1957" s="570"/>
      <c r="I1957" s="570"/>
      <c r="J1957" s="570"/>
      <c r="K1957" s="570"/>
    </row>
    <row r="1958" ht="13.75" customHeight="1">
      <c r="A1958" t="s" s="834">
        <v>1464</v>
      </c>
      <c r="B1958" t="s" s="834">
        <v>1465</v>
      </c>
      <c r="C1958" t="s" s="834">
        <v>736</v>
      </c>
      <c r="D1958" s="570"/>
      <c r="E1958" s="570"/>
      <c r="F1958" s="570"/>
      <c r="G1958" s="570"/>
      <c r="H1958" s="570"/>
      <c r="I1958" s="570"/>
      <c r="J1958" s="570"/>
      <c r="K1958" s="570"/>
    </row>
    <row r="1959" ht="13.75" customHeight="1">
      <c r="A1959" s="833">
        <v>362</v>
      </c>
      <c r="B1959" t="s" s="834">
        <v>313</v>
      </c>
      <c r="C1959" t="s" s="834">
        <v>480</v>
      </c>
      <c r="D1959" s="835">
        <v>46043</v>
      </c>
      <c r="E1959" s="836">
        <v>1.755081018518518</v>
      </c>
      <c r="F1959" t="s" s="834">
        <v>478</v>
      </c>
      <c r="G1959" s="570"/>
      <c r="H1959" s="570"/>
      <c r="I1959" s="570"/>
      <c r="J1959" s="570"/>
      <c r="K1959" s="570"/>
    </row>
    <row r="1960" ht="13.75" customHeight="1">
      <c r="A1960" t="s" s="834">
        <v>1466</v>
      </c>
      <c r="B1960" t="s" s="834">
        <v>485</v>
      </c>
      <c r="C1960" t="s" s="834">
        <v>486</v>
      </c>
      <c r="D1960" s="570"/>
      <c r="E1960" s="570"/>
      <c r="F1960" s="570"/>
      <c r="G1960" s="570"/>
      <c r="H1960" s="570"/>
      <c r="I1960" s="570"/>
      <c r="J1960" s="570"/>
      <c r="K1960" s="570"/>
    </row>
    <row r="1961" ht="13.75" customHeight="1">
      <c r="A1961" s="833">
        <v>362</v>
      </c>
      <c r="B1961" t="s" s="834">
        <v>313</v>
      </c>
      <c r="C1961" t="s" s="834">
        <v>480</v>
      </c>
      <c r="D1961" s="835">
        <v>46044</v>
      </c>
      <c r="E1961" s="836">
        <v>1.750115740740741</v>
      </c>
      <c r="F1961" t="s" s="834">
        <v>478</v>
      </c>
      <c r="G1961" s="570"/>
      <c r="H1961" s="570"/>
      <c r="I1961" s="570"/>
      <c r="J1961" s="570"/>
      <c r="K1961" s="570"/>
    </row>
    <row r="1962" ht="13.75" customHeight="1">
      <c r="A1962" t="s" s="834">
        <v>1467</v>
      </c>
      <c r="B1962" t="s" s="834">
        <v>485</v>
      </c>
      <c r="C1962" t="s" s="834">
        <v>486</v>
      </c>
      <c r="D1962" s="570"/>
      <c r="E1962" s="570"/>
      <c r="F1962" s="570"/>
      <c r="G1962" s="570"/>
      <c r="H1962" s="570"/>
      <c r="I1962" s="570"/>
      <c r="J1962" s="570"/>
      <c r="K1962" s="570"/>
    </row>
    <row r="1963" ht="13.75" customHeight="1">
      <c r="A1963" s="833">
        <v>362</v>
      </c>
      <c r="B1963" t="s" s="834">
        <v>313</v>
      </c>
      <c r="C1963" t="s" s="834">
        <v>480</v>
      </c>
      <c r="D1963" s="835">
        <v>46045</v>
      </c>
      <c r="E1963" s="836">
        <v>1.367453703703704</v>
      </c>
      <c r="F1963" s="836">
        <v>1.750162037037037</v>
      </c>
      <c r="G1963" s="570"/>
      <c r="H1963" s="570"/>
      <c r="I1963" s="570"/>
      <c r="J1963" s="570"/>
      <c r="K1963" s="570"/>
    </row>
    <row r="1964" ht="13.75" customHeight="1">
      <c r="A1964" t="s" s="834">
        <v>1468</v>
      </c>
      <c r="B1964" t="s" s="834">
        <v>1469</v>
      </c>
      <c r="C1964" t="s" s="834">
        <v>540</v>
      </c>
      <c r="D1964" s="570"/>
      <c r="E1964" s="570"/>
      <c r="F1964" s="570"/>
      <c r="G1964" s="570"/>
      <c r="H1964" s="570"/>
      <c r="I1964" s="570"/>
      <c r="J1964" s="570"/>
      <c r="K1964" s="570"/>
    </row>
    <row r="1965" ht="13.75" customHeight="1">
      <c r="A1965" s="833">
        <v>362</v>
      </c>
      <c r="B1965" t="s" s="834">
        <v>313</v>
      </c>
      <c r="C1965" t="s" s="834">
        <v>480</v>
      </c>
      <c r="D1965" s="835">
        <v>46046</v>
      </c>
      <c r="E1965" t="s" s="834">
        <v>478</v>
      </c>
      <c r="F1965" t="s" s="834">
        <v>478</v>
      </c>
      <c r="G1965" s="570"/>
      <c r="H1965" s="570"/>
      <c r="I1965" s="570"/>
      <c r="J1965" s="570"/>
      <c r="K1965" s="570"/>
    </row>
    <row r="1966" ht="13.75" customHeight="1">
      <c r="A1966" s="833">
        <v>362</v>
      </c>
      <c r="B1966" t="s" s="834">
        <v>313</v>
      </c>
      <c r="C1966" t="s" s="834">
        <v>480</v>
      </c>
      <c r="D1966" s="835">
        <v>46047</v>
      </c>
      <c r="E1966" t="s" s="834">
        <v>478</v>
      </c>
      <c r="F1966" t="s" s="834">
        <v>478</v>
      </c>
      <c r="G1966" s="570"/>
      <c r="H1966" s="570"/>
      <c r="I1966" s="570"/>
      <c r="J1966" s="570"/>
      <c r="K1966" s="570"/>
    </row>
    <row r="1967" ht="13.75" customHeight="1">
      <c r="A1967" s="833">
        <v>362</v>
      </c>
      <c r="B1967" t="s" s="834">
        <v>313</v>
      </c>
      <c r="C1967" t="s" s="834">
        <v>480</v>
      </c>
      <c r="D1967" s="835">
        <v>46048</v>
      </c>
      <c r="E1967" s="836">
        <v>1.360763888888889</v>
      </c>
      <c r="F1967" s="836">
        <v>1.751412037037037</v>
      </c>
      <c r="G1967" s="570"/>
      <c r="H1967" s="570"/>
      <c r="I1967" s="570"/>
      <c r="J1967" s="570"/>
      <c r="K1967" s="570"/>
    </row>
    <row r="1968" ht="13.75" customHeight="1">
      <c r="A1968" t="s" s="834">
        <v>1470</v>
      </c>
      <c r="B1968" t="s" s="834">
        <v>1471</v>
      </c>
      <c r="C1968" t="s" s="834">
        <v>668</v>
      </c>
      <c r="D1968" s="570"/>
      <c r="E1968" s="570"/>
      <c r="F1968" s="570"/>
      <c r="G1968" s="570"/>
      <c r="H1968" s="570"/>
      <c r="I1968" s="570"/>
      <c r="J1968" s="570"/>
      <c r="K1968" s="570"/>
    </row>
    <row r="1969" ht="13.75" customHeight="1">
      <c r="A1969" s="833">
        <v>362</v>
      </c>
      <c r="B1969" t="s" s="834">
        <v>313</v>
      </c>
      <c r="C1969" t="s" s="834">
        <v>480</v>
      </c>
      <c r="D1969" s="835">
        <v>46049</v>
      </c>
      <c r="E1969" s="836">
        <v>1.361793981481481</v>
      </c>
      <c r="F1969" s="836">
        <v>1.709155092592593</v>
      </c>
      <c r="G1969" s="570"/>
      <c r="H1969" s="570"/>
      <c r="I1969" s="570"/>
      <c r="J1969" s="570"/>
      <c r="K1969" s="570"/>
    </row>
    <row r="1970" ht="13.75" customHeight="1">
      <c r="A1970" t="s" s="834">
        <v>1472</v>
      </c>
      <c r="B1970" t="s" s="834">
        <v>1473</v>
      </c>
      <c r="C1970" t="s" s="834">
        <v>1237</v>
      </c>
      <c r="D1970" s="570"/>
      <c r="E1970" s="570"/>
      <c r="F1970" s="570"/>
      <c r="G1970" s="570"/>
      <c r="H1970" s="570"/>
      <c r="I1970" s="570"/>
      <c r="J1970" s="570"/>
      <c r="K1970" s="570"/>
    </row>
    <row r="1971" ht="13.75" customHeight="1">
      <c r="A1971" s="833">
        <v>362</v>
      </c>
      <c r="B1971" t="s" s="834">
        <v>313</v>
      </c>
      <c r="C1971" t="s" s="834">
        <v>480</v>
      </c>
      <c r="D1971" s="835">
        <v>46050</v>
      </c>
      <c r="E1971" s="836">
        <v>1.354965277777778</v>
      </c>
      <c r="F1971" s="836">
        <v>1.731805555555556</v>
      </c>
      <c r="G1971" s="570"/>
      <c r="H1971" s="570"/>
      <c r="I1971" s="570"/>
      <c r="J1971" s="570"/>
      <c r="K1971" s="570"/>
    </row>
    <row r="1972" ht="13.75" customHeight="1">
      <c r="A1972" t="s" s="834">
        <v>1474</v>
      </c>
      <c r="B1972" t="s" s="834">
        <v>1475</v>
      </c>
      <c r="C1972" t="s" s="834">
        <v>846</v>
      </c>
      <c r="D1972" s="570"/>
      <c r="E1972" s="570"/>
      <c r="F1972" s="570"/>
      <c r="G1972" s="570"/>
      <c r="H1972" s="570"/>
      <c r="I1972" s="570"/>
      <c r="J1972" s="570"/>
      <c r="K1972" s="570"/>
    </row>
    <row r="1973" ht="13.75" customHeight="1">
      <c r="A1973" s="833">
        <v>362</v>
      </c>
      <c r="B1973" t="s" s="834">
        <v>313</v>
      </c>
      <c r="C1973" t="s" s="834">
        <v>480</v>
      </c>
      <c r="D1973" s="835">
        <v>46051</v>
      </c>
      <c r="E1973" s="836">
        <v>1.353530092592593</v>
      </c>
      <c r="F1973" s="836">
        <v>1.751990740740741</v>
      </c>
      <c r="G1973" s="570"/>
      <c r="H1973" s="570"/>
      <c r="I1973" s="570"/>
      <c r="J1973" s="570"/>
      <c r="K1973" s="570"/>
    </row>
    <row r="1974" ht="13.75" customHeight="1">
      <c r="A1974" t="s" s="834">
        <v>1476</v>
      </c>
      <c r="B1974" t="s" s="834">
        <v>1477</v>
      </c>
      <c r="C1974" t="s" s="834">
        <v>611</v>
      </c>
      <c r="D1974" s="570"/>
      <c r="E1974" s="570"/>
      <c r="F1974" s="570"/>
      <c r="G1974" s="570"/>
      <c r="H1974" s="570"/>
      <c r="I1974" s="570"/>
      <c r="J1974" s="570"/>
      <c r="K1974" s="570"/>
    </row>
    <row r="1975" ht="13.75" customHeight="1">
      <c r="A1975" s="833">
        <v>362</v>
      </c>
      <c r="B1975" t="s" s="834">
        <v>313</v>
      </c>
      <c r="C1975" t="s" s="834">
        <v>480</v>
      </c>
      <c r="D1975" s="835">
        <v>46052</v>
      </c>
      <c r="E1975" s="836">
        <v>1.356608796296296</v>
      </c>
      <c r="F1975" s="836">
        <v>1.726631944444444</v>
      </c>
      <c r="G1975" s="570"/>
      <c r="H1975" s="570"/>
      <c r="I1975" s="570"/>
      <c r="J1975" s="570"/>
      <c r="K1975" s="570"/>
    </row>
    <row r="1976" ht="13.75" customHeight="1">
      <c r="A1976" t="s" s="834">
        <v>1478</v>
      </c>
      <c r="B1976" t="s" s="834">
        <v>1479</v>
      </c>
      <c r="C1976" t="s" s="834">
        <v>1480</v>
      </c>
      <c r="D1976" s="570"/>
      <c r="E1976" s="570"/>
      <c r="F1976" s="570"/>
      <c r="G1976" s="570"/>
      <c r="H1976" s="570"/>
      <c r="I1976" s="570"/>
      <c r="J1976" s="570"/>
      <c r="K1976" s="570"/>
    </row>
    <row r="1977" ht="13.75" customHeight="1">
      <c r="A1977" s="833">
        <v>362</v>
      </c>
      <c r="B1977" t="s" s="834">
        <v>313</v>
      </c>
      <c r="C1977" t="s" s="834">
        <v>480</v>
      </c>
      <c r="D1977" s="835">
        <v>46053</v>
      </c>
      <c r="E1977" t="s" s="834">
        <v>478</v>
      </c>
      <c r="F1977" t="s" s="834">
        <v>478</v>
      </c>
      <c r="G1977" s="570"/>
      <c r="H1977" s="570"/>
      <c r="I1977" s="570"/>
      <c r="J1977" s="570"/>
      <c r="K1977" s="570"/>
    </row>
    <row r="1978" ht="13.75" customHeight="1">
      <c r="A1978" s="833">
        <v>362</v>
      </c>
      <c r="B1978" t="s" s="834">
        <v>313</v>
      </c>
      <c r="C1978" t="s" s="834">
        <v>480</v>
      </c>
      <c r="D1978" s="835">
        <v>46054</v>
      </c>
      <c r="E1978" t="s" s="834">
        <v>478</v>
      </c>
      <c r="F1978" t="s" s="834">
        <v>478</v>
      </c>
      <c r="G1978" s="570"/>
      <c r="H1978" s="570"/>
      <c r="I1978" s="570"/>
      <c r="J1978" s="570"/>
      <c r="K1978" s="570"/>
    </row>
    <row r="1979" ht="13.75" customHeight="1">
      <c r="A1979" s="833">
        <v>363</v>
      </c>
      <c r="B1979" t="s" s="834">
        <v>1481</v>
      </c>
      <c r="C1979" t="s" s="834">
        <v>1010</v>
      </c>
      <c r="D1979" s="835">
        <v>46023</v>
      </c>
      <c r="E1979" t="s" s="834">
        <v>478</v>
      </c>
      <c r="F1979" t="s" s="834">
        <v>478</v>
      </c>
      <c r="G1979" s="570"/>
      <c r="H1979" s="570"/>
      <c r="I1979" s="570"/>
      <c r="J1979" s="570"/>
      <c r="K1979" s="570"/>
    </row>
    <row r="1980" ht="13.75" customHeight="1">
      <c r="A1980" s="833">
        <v>363</v>
      </c>
      <c r="B1980" t="s" s="834">
        <v>1481</v>
      </c>
      <c r="C1980" t="s" s="834">
        <v>1010</v>
      </c>
      <c r="D1980" s="835">
        <v>46024</v>
      </c>
      <c r="E1980" t="s" s="834">
        <v>478</v>
      </c>
      <c r="F1980" t="s" s="834">
        <v>478</v>
      </c>
      <c r="G1980" s="570"/>
      <c r="H1980" s="570"/>
      <c r="I1980" s="570"/>
      <c r="J1980" s="570"/>
      <c r="K1980" s="570"/>
    </row>
    <row r="1981" ht="13.75" customHeight="1">
      <c r="A1981" s="833">
        <v>363</v>
      </c>
      <c r="B1981" t="s" s="834">
        <v>1481</v>
      </c>
      <c r="C1981" t="s" s="834">
        <v>1010</v>
      </c>
      <c r="D1981" s="835">
        <v>46025</v>
      </c>
      <c r="E1981" t="s" s="834">
        <v>478</v>
      </c>
      <c r="F1981" t="s" s="834">
        <v>478</v>
      </c>
      <c r="G1981" s="570"/>
      <c r="H1981" s="570"/>
      <c r="I1981" s="570"/>
      <c r="J1981" s="570"/>
      <c r="K1981" s="570"/>
    </row>
    <row r="1982" ht="13.75" customHeight="1">
      <c r="A1982" s="833">
        <v>363</v>
      </c>
      <c r="B1982" t="s" s="834">
        <v>1481</v>
      </c>
      <c r="C1982" t="s" s="834">
        <v>1010</v>
      </c>
      <c r="D1982" s="835">
        <v>46026</v>
      </c>
      <c r="E1982" t="s" s="834">
        <v>478</v>
      </c>
      <c r="F1982" t="s" s="834">
        <v>478</v>
      </c>
      <c r="G1982" s="570"/>
      <c r="H1982" s="570"/>
      <c r="I1982" s="570"/>
      <c r="J1982" s="570"/>
      <c r="K1982" s="570"/>
    </row>
    <row r="1983" ht="13.75" customHeight="1">
      <c r="A1983" s="833">
        <v>363</v>
      </c>
      <c r="B1983" t="s" s="834">
        <v>1481</v>
      </c>
      <c r="C1983" t="s" s="834">
        <v>1010</v>
      </c>
      <c r="D1983" s="835">
        <v>46027</v>
      </c>
      <c r="E1983" s="836">
        <v>1.35568287037037</v>
      </c>
      <c r="F1983" s="836">
        <v>1.759641203703704</v>
      </c>
      <c r="G1983" s="570"/>
      <c r="H1983" s="570"/>
      <c r="I1983" s="570"/>
      <c r="J1983" s="570"/>
      <c r="K1983" s="570"/>
    </row>
    <row r="1984" ht="13.75" customHeight="1">
      <c r="A1984" t="s" s="834">
        <v>1482</v>
      </c>
      <c r="B1984" t="s" s="834">
        <v>1483</v>
      </c>
      <c r="C1984" t="s" s="834">
        <v>493</v>
      </c>
      <c r="D1984" s="570"/>
      <c r="E1984" s="570"/>
      <c r="F1984" s="570"/>
      <c r="G1984" s="570"/>
      <c r="H1984" s="570"/>
      <c r="I1984" s="570"/>
      <c r="J1984" s="570"/>
      <c r="K1984" s="570"/>
    </row>
    <row r="1985" ht="13.75" customHeight="1">
      <c r="A1985" s="833">
        <v>363</v>
      </c>
      <c r="B1985" t="s" s="834">
        <v>1481</v>
      </c>
      <c r="C1985" t="s" s="834">
        <v>1010</v>
      </c>
      <c r="D1985" s="835">
        <v>46028</v>
      </c>
      <c r="E1985" s="836">
        <v>1.365787037037037</v>
      </c>
      <c r="F1985" s="836">
        <v>1.773726851851852</v>
      </c>
      <c r="G1985" s="570"/>
      <c r="H1985" s="570"/>
      <c r="I1985" s="570"/>
      <c r="J1985" s="570"/>
      <c r="K1985" s="570"/>
    </row>
    <row r="1986" ht="13.75" customHeight="1">
      <c r="A1986" t="s" s="834">
        <v>1484</v>
      </c>
      <c r="B1986" t="s" s="834">
        <v>1485</v>
      </c>
      <c r="C1986" t="s" s="834">
        <v>882</v>
      </c>
      <c r="D1986" s="570"/>
      <c r="E1986" s="570"/>
      <c r="F1986" s="570"/>
      <c r="G1986" s="570"/>
      <c r="H1986" s="570"/>
      <c r="I1986" s="570"/>
      <c r="J1986" s="570"/>
      <c r="K1986" s="570"/>
    </row>
    <row r="1987" ht="13.75" customHeight="1">
      <c r="A1987" s="833">
        <v>363</v>
      </c>
      <c r="B1987" t="s" s="834">
        <v>1481</v>
      </c>
      <c r="C1987" t="s" s="834">
        <v>1010</v>
      </c>
      <c r="D1987" s="835">
        <v>46029</v>
      </c>
      <c r="E1987" s="836">
        <v>1.360428240740741</v>
      </c>
      <c r="F1987" s="836">
        <v>1.774791666666667</v>
      </c>
      <c r="G1987" s="570"/>
      <c r="H1987" s="570"/>
      <c r="I1987" s="570"/>
      <c r="J1987" s="570"/>
      <c r="K1987" s="570"/>
    </row>
    <row r="1988" ht="13.75" customHeight="1">
      <c r="A1988" t="s" s="834">
        <v>1486</v>
      </c>
      <c r="B1988" t="s" s="834">
        <v>1487</v>
      </c>
      <c r="C1988" t="s" s="834">
        <v>1259</v>
      </c>
      <c r="D1988" s="570"/>
      <c r="E1988" s="570"/>
      <c r="F1988" s="570"/>
      <c r="G1988" s="570"/>
      <c r="H1988" s="570"/>
      <c r="I1988" s="570"/>
      <c r="J1988" s="570"/>
      <c r="K1988" s="570"/>
    </row>
    <row r="1989" ht="13.75" customHeight="1">
      <c r="A1989" s="833">
        <v>363</v>
      </c>
      <c r="B1989" t="s" s="834">
        <v>1481</v>
      </c>
      <c r="C1989" t="s" s="834">
        <v>1010</v>
      </c>
      <c r="D1989" s="835">
        <v>46030</v>
      </c>
      <c r="E1989" s="836">
        <v>1.369907407407407</v>
      </c>
      <c r="F1989" s="836">
        <v>1.758587962962963</v>
      </c>
      <c r="G1989" s="570"/>
      <c r="H1989" s="570"/>
      <c r="I1989" s="570"/>
      <c r="J1989" s="570"/>
      <c r="K1989" s="570"/>
    </row>
    <row r="1990" ht="13.75" customHeight="1">
      <c r="A1990" t="s" s="834">
        <v>1488</v>
      </c>
      <c r="B1990" t="s" s="834">
        <v>1489</v>
      </c>
      <c r="C1990" t="s" s="834">
        <v>1490</v>
      </c>
      <c r="D1990" s="570"/>
      <c r="E1990" s="570"/>
      <c r="F1990" s="570"/>
      <c r="G1990" s="570"/>
      <c r="H1990" s="570"/>
      <c r="I1990" s="570"/>
      <c r="J1990" s="570"/>
      <c r="K1990" s="570"/>
    </row>
    <row r="1991" ht="13.75" customHeight="1">
      <c r="A1991" s="833">
        <v>363</v>
      </c>
      <c r="B1991" t="s" s="834">
        <v>1481</v>
      </c>
      <c r="C1991" t="s" s="834">
        <v>1010</v>
      </c>
      <c r="D1991" s="835">
        <v>46031</v>
      </c>
      <c r="E1991" s="836">
        <v>1.357476851851852</v>
      </c>
      <c r="F1991" s="836">
        <v>1.776678240740741</v>
      </c>
      <c r="G1991" s="570"/>
      <c r="H1991" s="570"/>
      <c r="I1991" s="570"/>
      <c r="J1991" s="570"/>
      <c r="K1991" s="570"/>
    </row>
    <row r="1992" ht="13.75" customHeight="1">
      <c r="A1992" t="s" s="834">
        <v>1491</v>
      </c>
      <c r="B1992" t="s" s="834">
        <v>1492</v>
      </c>
      <c r="C1992" t="s" s="834">
        <v>1016</v>
      </c>
      <c r="D1992" s="570"/>
      <c r="E1992" s="570"/>
      <c r="F1992" s="570"/>
      <c r="G1992" s="570"/>
      <c r="H1992" s="570"/>
      <c r="I1992" s="570"/>
      <c r="J1992" s="570"/>
      <c r="K1992" s="570"/>
    </row>
    <row r="1993" ht="13.75" customHeight="1">
      <c r="A1993" s="833">
        <v>363</v>
      </c>
      <c r="B1993" t="s" s="834">
        <v>1481</v>
      </c>
      <c r="C1993" t="s" s="834">
        <v>1010</v>
      </c>
      <c r="D1993" s="835">
        <v>46032</v>
      </c>
      <c r="E1993" s="836">
        <v>1.359872685185185</v>
      </c>
      <c r="F1993" s="836">
        <v>1.77287037037037</v>
      </c>
      <c r="G1993" s="570"/>
      <c r="H1993" s="570"/>
      <c r="I1993" s="570"/>
      <c r="J1993" s="570"/>
      <c r="K1993" s="570"/>
    </row>
    <row r="1994" ht="13.75" customHeight="1">
      <c r="A1994" t="s" s="834">
        <v>1493</v>
      </c>
      <c r="B1994" t="s" s="834">
        <v>1494</v>
      </c>
      <c r="C1994" t="s" s="834">
        <v>586</v>
      </c>
      <c r="D1994" s="570"/>
      <c r="E1994" s="570"/>
      <c r="F1994" s="570"/>
      <c r="G1994" s="570"/>
      <c r="H1994" s="570"/>
      <c r="I1994" s="570"/>
      <c r="J1994" s="570"/>
      <c r="K1994" s="570"/>
    </row>
    <row r="1995" ht="13.75" customHeight="1">
      <c r="A1995" s="833">
        <v>363</v>
      </c>
      <c r="B1995" t="s" s="834">
        <v>1481</v>
      </c>
      <c r="C1995" t="s" s="834">
        <v>1010</v>
      </c>
      <c r="D1995" s="835">
        <v>46033</v>
      </c>
      <c r="E1995" t="s" s="834">
        <v>478</v>
      </c>
      <c r="F1995" t="s" s="834">
        <v>478</v>
      </c>
      <c r="G1995" s="570"/>
      <c r="H1995" s="570"/>
      <c r="I1995" s="570"/>
      <c r="J1995" s="570"/>
      <c r="K1995" s="570"/>
    </row>
    <row r="1996" ht="13.75" customHeight="1">
      <c r="A1996" s="833">
        <v>363</v>
      </c>
      <c r="B1996" t="s" s="834">
        <v>1481</v>
      </c>
      <c r="C1996" t="s" s="834">
        <v>1010</v>
      </c>
      <c r="D1996" s="835">
        <v>46034</v>
      </c>
      <c r="E1996" s="836">
        <v>1.359537037037037</v>
      </c>
      <c r="F1996" s="836">
        <v>1.760543981481482</v>
      </c>
      <c r="G1996" s="570"/>
      <c r="H1996" s="570"/>
      <c r="I1996" s="570"/>
      <c r="J1996" s="570"/>
      <c r="K1996" s="570"/>
    </row>
    <row r="1997" ht="13.75" customHeight="1">
      <c r="A1997" t="s" s="834">
        <v>1495</v>
      </c>
      <c r="B1997" t="s" s="834">
        <v>1496</v>
      </c>
      <c r="C1997" t="s" s="834">
        <v>606</v>
      </c>
      <c r="D1997" s="570"/>
      <c r="E1997" s="570"/>
      <c r="F1997" s="570"/>
      <c r="G1997" s="570"/>
      <c r="H1997" s="570"/>
      <c r="I1997" s="570"/>
      <c r="J1997" s="570"/>
      <c r="K1997" s="570"/>
    </row>
    <row r="1998" ht="13.75" customHeight="1">
      <c r="A1998" s="833">
        <v>363</v>
      </c>
      <c r="B1998" t="s" s="834">
        <v>1481</v>
      </c>
      <c r="C1998" t="s" s="834">
        <v>1010</v>
      </c>
      <c r="D1998" s="835">
        <v>46035</v>
      </c>
      <c r="E1998" s="836">
        <v>1.37130787037037</v>
      </c>
      <c r="F1998" s="836">
        <v>1.765590277777778</v>
      </c>
      <c r="G1998" s="570"/>
      <c r="H1998" s="570"/>
      <c r="I1998" s="570"/>
      <c r="J1998" s="570"/>
      <c r="K1998" s="570"/>
    </row>
    <row r="1999" ht="13.75" customHeight="1">
      <c r="A1999" t="s" s="834">
        <v>1497</v>
      </c>
      <c r="B1999" t="s" s="834">
        <v>1498</v>
      </c>
      <c r="C1999" t="s" s="834">
        <v>512</v>
      </c>
      <c r="D1999" s="570"/>
      <c r="E1999" s="570"/>
      <c r="F1999" s="570"/>
      <c r="G1999" s="570"/>
      <c r="H1999" s="570"/>
      <c r="I1999" s="570"/>
      <c r="J1999" s="570"/>
      <c r="K1999" s="570"/>
    </row>
    <row r="2000" ht="13.75" customHeight="1">
      <c r="A2000" s="833">
        <v>363</v>
      </c>
      <c r="B2000" t="s" s="834">
        <v>1481</v>
      </c>
      <c r="C2000" t="s" s="834">
        <v>1010</v>
      </c>
      <c r="D2000" s="835">
        <v>46036</v>
      </c>
      <c r="E2000" s="836">
        <v>1.357777777777778</v>
      </c>
      <c r="F2000" s="836">
        <v>1.756446759259259</v>
      </c>
      <c r="G2000" s="570"/>
      <c r="H2000" s="570"/>
      <c r="I2000" s="570"/>
      <c r="J2000" s="570"/>
      <c r="K2000" s="570"/>
    </row>
    <row r="2001" ht="13.75" customHeight="1">
      <c r="A2001" t="s" s="834">
        <v>1499</v>
      </c>
      <c r="B2001" t="s" s="834">
        <v>1500</v>
      </c>
      <c r="C2001" t="s" s="834">
        <v>611</v>
      </c>
      <c r="D2001" s="570"/>
      <c r="E2001" s="570"/>
      <c r="F2001" s="570"/>
      <c r="G2001" s="570"/>
      <c r="H2001" s="570"/>
      <c r="I2001" s="570"/>
      <c r="J2001" s="570"/>
      <c r="K2001" s="570"/>
    </row>
    <row r="2002" ht="13.75" customHeight="1">
      <c r="A2002" s="833">
        <v>363</v>
      </c>
      <c r="B2002" t="s" s="834">
        <v>1481</v>
      </c>
      <c r="C2002" t="s" s="834">
        <v>1010</v>
      </c>
      <c r="D2002" s="835">
        <v>46037</v>
      </c>
      <c r="E2002" s="836">
        <v>1.364097222222222</v>
      </c>
      <c r="F2002" s="836">
        <v>1.763055555555556</v>
      </c>
      <c r="G2002" s="570"/>
      <c r="H2002" s="570"/>
      <c r="I2002" s="570"/>
      <c r="J2002" s="570"/>
      <c r="K2002" s="570"/>
    </row>
    <row r="2003" ht="13.75" customHeight="1">
      <c r="A2003" t="s" s="834">
        <v>1501</v>
      </c>
      <c r="B2003" t="s" s="834">
        <v>1502</v>
      </c>
      <c r="C2003" t="s" s="834">
        <v>515</v>
      </c>
      <c r="D2003" s="570"/>
      <c r="E2003" s="570"/>
      <c r="F2003" s="570"/>
      <c r="G2003" s="570"/>
      <c r="H2003" s="570"/>
      <c r="I2003" s="570"/>
      <c r="J2003" s="570"/>
      <c r="K2003" s="570"/>
    </row>
    <row r="2004" ht="13.75" customHeight="1">
      <c r="A2004" s="833">
        <v>363</v>
      </c>
      <c r="B2004" t="s" s="834">
        <v>1481</v>
      </c>
      <c r="C2004" t="s" s="834">
        <v>1010</v>
      </c>
      <c r="D2004" s="835">
        <v>46038</v>
      </c>
      <c r="E2004" s="836">
        <v>1.361481481481482</v>
      </c>
      <c r="F2004" s="836">
        <v>1.781145833333333</v>
      </c>
      <c r="G2004" s="570"/>
      <c r="H2004" s="570"/>
      <c r="I2004" s="570"/>
      <c r="J2004" s="570"/>
      <c r="K2004" s="570"/>
    </row>
    <row r="2005" ht="13.75" customHeight="1">
      <c r="A2005" t="s" s="834">
        <v>1503</v>
      </c>
      <c r="B2005" t="s" s="834">
        <v>1504</v>
      </c>
      <c r="C2005" t="s" s="834">
        <v>1016</v>
      </c>
      <c r="D2005" s="570"/>
      <c r="E2005" s="570"/>
      <c r="F2005" s="570"/>
      <c r="G2005" s="570"/>
      <c r="H2005" s="570"/>
      <c r="I2005" s="570"/>
      <c r="J2005" s="570"/>
      <c r="K2005" s="570"/>
    </row>
    <row r="2006" ht="13.75" customHeight="1">
      <c r="A2006" s="833">
        <v>363</v>
      </c>
      <c r="B2006" t="s" s="834">
        <v>1481</v>
      </c>
      <c r="C2006" t="s" s="834">
        <v>1010</v>
      </c>
      <c r="D2006" s="835">
        <v>46039</v>
      </c>
      <c r="E2006" t="s" s="834">
        <v>478</v>
      </c>
      <c r="F2006" t="s" s="834">
        <v>478</v>
      </c>
      <c r="G2006" s="570"/>
      <c r="H2006" s="570"/>
      <c r="I2006" s="570"/>
      <c r="J2006" s="570"/>
      <c r="K2006" s="570"/>
    </row>
    <row r="2007" ht="13.75" customHeight="1">
      <c r="A2007" s="833">
        <v>363</v>
      </c>
      <c r="B2007" t="s" s="834">
        <v>1481</v>
      </c>
      <c r="C2007" t="s" s="834">
        <v>1010</v>
      </c>
      <c r="D2007" s="835">
        <v>46040</v>
      </c>
      <c r="E2007" t="s" s="834">
        <v>478</v>
      </c>
      <c r="F2007" t="s" s="834">
        <v>478</v>
      </c>
      <c r="G2007" s="570"/>
      <c r="H2007" s="570"/>
      <c r="I2007" s="570"/>
      <c r="J2007" s="570"/>
      <c r="K2007" s="570"/>
    </row>
    <row r="2008" ht="13.75" customHeight="1">
      <c r="A2008" s="833">
        <v>363</v>
      </c>
      <c r="B2008" t="s" s="834">
        <v>1481</v>
      </c>
      <c r="C2008" t="s" s="834">
        <v>1010</v>
      </c>
      <c r="D2008" s="835">
        <v>46041</v>
      </c>
      <c r="E2008" s="836">
        <v>1.361747685185185</v>
      </c>
      <c r="F2008" s="836">
        <v>1.761851851851852</v>
      </c>
      <c r="G2008" s="570"/>
      <c r="H2008" s="570"/>
      <c r="I2008" s="570"/>
      <c r="J2008" s="570"/>
      <c r="K2008" s="570"/>
    </row>
    <row r="2009" ht="13.75" customHeight="1">
      <c r="A2009" t="s" s="834">
        <v>1505</v>
      </c>
      <c r="B2009" t="s" s="834">
        <v>1506</v>
      </c>
      <c r="C2009" t="s" s="834">
        <v>759</v>
      </c>
      <c r="D2009" s="570"/>
      <c r="E2009" s="570"/>
      <c r="F2009" s="570"/>
      <c r="G2009" s="570"/>
      <c r="H2009" s="570"/>
      <c r="I2009" s="570"/>
      <c r="J2009" s="570"/>
      <c r="K2009" s="570"/>
    </row>
    <row r="2010" ht="13.75" customHeight="1">
      <c r="A2010" s="833">
        <v>363</v>
      </c>
      <c r="B2010" t="s" s="834">
        <v>1481</v>
      </c>
      <c r="C2010" t="s" s="834">
        <v>1010</v>
      </c>
      <c r="D2010" s="835">
        <v>46042</v>
      </c>
      <c r="E2010" s="836">
        <v>1.355625</v>
      </c>
      <c r="F2010" s="836">
        <v>1.756678240740741</v>
      </c>
      <c r="G2010" s="570"/>
      <c r="H2010" s="570"/>
      <c r="I2010" s="570"/>
      <c r="J2010" s="570"/>
      <c r="K2010" s="570"/>
    </row>
    <row r="2011" ht="13.75" customHeight="1">
      <c r="A2011" t="s" s="834">
        <v>1507</v>
      </c>
      <c r="B2011" t="s" s="834">
        <v>1508</v>
      </c>
      <c r="C2011" t="s" s="834">
        <v>697</v>
      </c>
      <c r="D2011" s="570"/>
      <c r="E2011" s="570"/>
      <c r="F2011" s="570"/>
      <c r="G2011" s="570"/>
      <c r="H2011" s="570"/>
      <c r="I2011" s="570"/>
      <c r="J2011" s="570"/>
      <c r="K2011" s="570"/>
    </row>
    <row r="2012" ht="13.75" customHeight="1">
      <c r="A2012" s="833">
        <v>363</v>
      </c>
      <c r="B2012" t="s" s="834">
        <v>1481</v>
      </c>
      <c r="C2012" t="s" s="834">
        <v>1010</v>
      </c>
      <c r="D2012" s="835">
        <v>46043</v>
      </c>
      <c r="E2012" s="836">
        <v>1.362951388888889</v>
      </c>
      <c r="F2012" s="836">
        <v>1.763263888888889</v>
      </c>
      <c r="G2012" s="570"/>
      <c r="H2012" s="570"/>
      <c r="I2012" s="570"/>
      <c r="J2012" s="570"/>
      <c r="K2012" s="570"/>
    </row>
    <row r="2013" ht="13.75" customHeight="1">
      <c r="A2013" t="s" s="834">
        <v>1509</v>
      </c>
      <c r="B2013" t="s" s="834">
        <v>1510</v>
      </c>
      <c r="C2013" t="s" s="834">
        <v>759</v>
      </c>
      <c r="D2013" s="570"/>
      <c r="E2013" s="570"/>
      <c r="F2013" s="570"/>
      <c r="G2013" s="570"/>
      <c r="H2013" s="570"/>
      <c r="I2013" s="570"/>
      <c r="J2013" s="570"/>
      <c r="K2013" s="570"/>
    </row>
    <row r="2014" ht="13.75" customHeight="1">
      <c r="A2014" s="833">
        <v>363</v>
      </c>
      <c r="B2014" t="s" s="834">
        <v>1481</v>
      </c>
      <c r="C2014" t="s" s="834">
        <v>1010</v>
      </c>
      <c r="D2014" s="835">
        <v>46044</v>
      </c>
      <c r="E2014" s="836">
        <v>1.354976851851852</v>
      </c>
      <c r="F2014" s="836">
        <v>1.757152777777778</v>
      </c>
      <c r="G2014" s="570"/>
      <c r="H2014" s="570"/>
      <c r="I2014" s="570"/>
      <c r="J2014" s="570"/>
      <c r="K2014" s="570"/>
    </row>
    <row r="2015" ht="13.75" customHeight="1">
      <c r="A2015" t="s" s="834">
        <v>1511</v>
      </c>
      <c r="B2015" t="s" s="834">
        <v>1512</v>
      </c>
      <c r="C2015" t="s" s="834">
        <v>772</v>
      </c>
      <c r="D2015" s="570"/>
      <c r="E2015" s="570"/>
      <c r="F2015" s="570"/>
      <c r="G2015" s="570"/>
      <c r="H2015" s="570"/>
      <c r="I2015" s="570"/>
      <c r="J2015" s="570"/>
      <c r="K2015" s="570"/>
    </row>
    <row r="2016" ht="13.75" customHeight="1">
      <c r="A2016" s="833">
        <v>363</v>
      </c>
      <c r="B2016" t="s" s="834">
        <v>1481</v>
      </c>
      <c r="C2016" t="s" s="834">
        <v>1010</v>
      </c>
      <c r="D2016" s="835">
        <v>46045</v>
      </c>
      <c r="E2016" s="836">
        <v>1.358923611111111</v>
      </c>
      <c r="F2016" s="836">
        <v>1.783402777777778</v>
      </c>
      <c r="G2016" s="570"/>
      <c r="H2016" s="570"/>
      <c r="I2016" s="570"/>
      <c r="J2016" s="570"/>
      <c r="K2016" s="570"/>
    </row>
    <row r="2017" ht="13.75" customHeight="1">
      <c r="A2017" t="s" s="834">
        <v>1513</v>
      </c>
      <c r="B2017" t="s" s="834">
        <v>1514</v>
      </c>
      <c r="C2017" t="s" s="834">
        <v>623</v>
      </c>
      <c r="D2017" s="570"/>
      <c r="E2017" s="570"/>
      <c r="F2017" s="570"/>
      <c r="G2017" s="570"/>
      <c r="H2017" s="570"/>
      <c r="I2017" s="570"/>
      <c r="J2017" s="570"/>
      <c r="K2017" s="570"/>
    </row>
    <row r="2018" ht="13.75" customHeight="1">
      <c r="A2018" s="833">
        <v>363</v>
      </c>
      <c r="B2018" t="s" s="834">
        <v>1481</v>
      </c>
      <c r="C2018" t="s" s="834">
        <v>1010</v>
      </c>
      <c r="D2018" s="835">
        <v>46046</v>
      </c>
      <c r="E2018" t="s" s="834">
        <v>478</v>
      </c>
      <c r="F2018" t="s" s="834">
        <v>478</v>
      </c>
      <c r="G2018" s="570"/>
      <c r="H2018" s="570"/>
      <c r="I2018" s="570"/>
      <c r="J2018" s="570"/>
      <c r="K2018" s="570"/>
    </row>
    <row r="2019" ht="13.75" customHeight="1">
      <c r="A2019" s="833">
        <v>363</v>
      </c>
      <c r="B2019" t="s" s="834">
        <v>1481</v>
      </c>
      <c r="C2019" t="s" s="834">
        <v>1010</v>
      </c>
      <c r="D2019" s="835">
        <v>46047</v>
      </c>
      <c r="E2019" t="s" s="834">
        <v>478</v>
      </c>
      <c r="F2019" t="s" s="834">
        <v>478</v>
      </c>
      <c r="G2019" s="570"/>
      <c r="H2019" s="570"/>
      <c r="I2019" s="570"/>
      <c r="J2019" s="570"/>
      <c r="K2019" s="570"/>
    </row>
    <row r="2020" ht="13.75" customHeight="1">
      <c r="A2020" s="833">
        <v>363</v>
      </c>
      <c r="B2020" t="s" s="834">
        <v>1481</v>
      </c>
      <c r="C2020" t="s" s="834">
        <v>1010</v>
      </c>
      <c r="D2020" s="835">
        <v>46048</v>
      </c>
      <c r="E2020" s="836">
        <v>1.356898148148148</v>
      </c>
      <c r="F2020" s="836">
        <v>1.764826388888889</v>
      </c>
      <c r="G2020" s="570"/>
      <c r="H2020" s="570"/>
      <c r="I2020" s="570"/>
      <c r="J2020" s="570"/>
      <c r="K2020" s="570"/>
    </row>
    <row r="2021" ht="13.75" customHeight="1">
      <c r="A2021" t="s" s="834">
        <v>1515</v>
      </c>
      <c r="B2021" t="s" s="834">
        <v>1516</v>
      </c>
      <c r="C2021" t="s" s="834">
        <v>882</v>
      </c>
      <c r="D2021" s="570"/>
      <c r="E2021" s="570"/>
      <c r="F2021" s="570"/>
      <c r="G2021" s="570"/>
      <c r="H2021" s="570"/>
      <c r="I2021" s="570"/>
      <c r="J2021" s="570"/>
      <c r="K2021" s="570"/>
    </row>
    <row r="2022" ht="13.75" customHeight="1">
      <c r="A2022" s="833">
        <v>363</v>
      </c>
      <c r="B2022" t="s" s="834">
        <v>1481</v>
      </c>
      <c r="C2022" t="s" s="834">
        <v>1010</v>
      </c>
      <c r="D2022" s="835">
        <v>46049</v>
      </c>
      <c r="E2022" s="836">
        <v>1.361967592592593</v>
      </c>
      <c r="F2022" s="836">
        <v>1.809976851851852</v>
      </c>
      <c r="G2022" s="570"/>
      <c r="H2022" s="570"/>
      <c r="I2022" s="570"/>
      <c r="J2022" s="570"/>
      <c r="K2022" s="570"/>
    </row>
    <row r="2023" ht="13.75" customHeight="1">
      <c r="A2023" t="s" s="834">
        <v>1517</v>
      </c>
      <c r="B2023" t="s" s="834">
        <v>1518</v>
      </c>
      <c r="C2023" t="s" s="834">
        <v>1519</v>
      </c>
      <c r="D2023" s="570"/>
      <c r="E2023" s="570"/>
      <c r="F2023" s="570"/>
      <c r="G2023" s="570"/>
      <c r="H2023" s="570"/>
      <c r="I2023" s="570"/>
      <c r="J2023" s="570"/>
      <c r="K2023" s="570"/>
    </row>
    <row r="2024" ht="13.75" customHeight="1">
      <c r="A2024" s="833">
        <v>363</v>
      </c>
      <c r="B2024" t="s" s="834">
        <v>1481</v>
      </c>
      <c r="C2024" t="s" s="834">
        <v>1010</v>
      </c>
      <c r="D2024" s="835">
        <v>46050</v>
      </c>
      <c r="E2024" s="836">
        <v>1.357407407407407</v>
      </c>
      <c r="F2024" s="836">
        <v>1.757615740740741</v>
      </c>
      <c r="G2024" s="570"/>
      <c r="H2024" s="570"/>
      <c r="I2024" s="570"/>
      <c r="J2024" s="570"/>
      <c r="K2024" s="570"/>
    </row>
    <row r="2025" ht="13.75" customHeight="1">
      <c r="A2025" t="s" s="834">
        <v>1520</v>
      </c>
      <c r="B2025" t="s" s="834">
        <v>1521</v>
      </c>
      <c r="C2025" t="s" s="834">
        <v>759</v>
      </c>
      <c r="D2025" s="570"/>
      <c r="E2025" s="570"/>
      <c r="F2025" s="570"/>
      <c r="G2025" s="570"/>
      <c r="H2025" s="570"/>
      <c r="I2025" s="570"/>
      <c r="J2025" s="570"/>
      <c r="K2025" s="570"/>
    </row>
    <row r="2026" ht="13.75" customHeight="1">
      <c r="A2026" s="833">
        <v>363</v>
      </c>
      <c r="B2026" t="s" s="834">
        <v>1481</v>
      </c>
      <c r="C2026" t="s" s="834">
        <v>1010</v>
      </c>
      <c r="D2026" s="835">
        <v>46051</v>
      </c>
      <c r="E2026" s="836">
        <v>1.363402777777778</v>
      </c>
      <c r="F2026" s="836">
        <v>1.77556712962963</v>
      </c>
      <c r="G2026" s="570"/>
      <c r="H2026" s="570"/>
      <c r="I2026" s="570"/>
      <c r="J2026" s="570"/>
      <c r="K2026" s="570"/>
    </row>
    <row r="2027" ht="13.75" customHeight="1">
      <c r="A2027" t="s" s="834">
        <v>1522</v>
      </c>
      <c r="B2027" t="s" s="834">
        <v>1523</v>
      </c>
      <c r="C2027" t="s" s="834">
        <v>1059</v>
      </c>
      <c r="D2027" s="570"/>
      <c r="E2027" s="570"/>
      <c r="F2027" s="570"/>
      <c r="G2027" s="570"/>
      <c r="H2027" s="570"/>
      <c r="I2027" s="570"/>
      <c r="J2027" s="570"/>
      <c r="K2027" s="570"/>
    </row>
    <row r="2028" ht="13.75" customHeight="1">
      <c r="A2028" s="833">
        <v>363</v>
      </c>
      <c r="B2028" t="s" s="834">
        <v>1481</v>
      </c>
      <c r="C2028" t="s" s="834">
        <v>1010</v>
      </c>
      <c r="D2028" s="835">
        <v>46052</v>
      </c>
      <c r="E2028" s="836">
        <v>1.359293981481482</v>
      </c>
      <c r="F2028" s="836">
        <v>1.795289351851852</v>
      </c>
      <c r="G2028" s="570"/>
      <c r="H2028" s="570"/>
      <c r="I2028" s="570"/>
      <c r="J2028" s="570"/>
      <c r="K2028" s="570"/>
    </row>
    <row r="2029" ht="13.75" customHeight="1">
      <c r="A2029" t="s" s="834">
        <v>1524</v>
      </c>
      <c r="B2029" t="s" s="834">
        <v>1525</v>
      </c>
      <c r="C2029" t="s" s="834">
        <v>1526</v>
      </c>
      <c r="D2029" s="570"/>
      <c r="E2029" s="570"/>
      <c r="F2029" s="570"/>
      <c r="G2029" s="570"/>
      <c r="H2029" s="570"/>
      <c r="I2029" s="570"/>
      <c r="J2029" s="570"/>
      <c r="K2029" s="570"/>
    </row>
    <row r="2030" ht="13.75" customHeight="1">
      <c r="A2030" s="833">
        <v>363</v>
      </c>
      <c r="B2030" t="s" s="834">
        <v>1481</v>
      </c>
      <c r="C2030" t="s" s="834">
        <v>1010</v>
      </c>
      <c r="D2030" s="835">
        <v>46053</v>
      </c>
      <c r="E2030" t="s" s="834">
        <v>478</v>
      </c>
      <c r="F2030" t="s" s="834">
        <v>478</v>
      </c>
      <c r="G2030" s="570"/>
      <c r="H2030" s="570"/>
      <c r="I2030" s="570"/>
      <c r="J2030" s="570"/>
      <c r="K2030" s="570"/>
    </row>
    <row r="2031" ht="13.75" customHeight="1">
      <c r="A2031" s="833">
        <v>363</v>
      </c>
      <c r="B2031" t="s" s="834">
        <v>1481</v>
      </c>
      <c r="C2031" t="s" s="834">
        <v>1010</v>
      </c>
      <c r="D2031" s="835">
        <v>46054</v>
      </c>
      <c r="E2031" t="s" s="834">
        <v>478</v>
      </c>
      <c r="F2031" t="s" s="834">
        <v>478</v>
      </c>
      <c r="G2031" s="570"/>
      <c r="H2031" s="570"/>
      <c r="I2031" s="570"/>
      <c r="J2031" s="570"/>
      <c r="K2031" s="570"/>
    </row>
    <row r="2032" ht="13.75" customHeight="1">
      <c r="A2032" s="833">
        <v>364</v>
      </c>
      <c r="B2032" t="s" s="834">
        <v>1527</v>
      </c>
      <c r="C2032" t="s" s="834">
        <v>1528</v>
      </c>
      <c r="D2032" s="835">
        <v>46023</v>
      </c>
      <c r="E2032" t="s" s="834">
        <v>478</v>
      </c>
      <c r="F2032" t="s" s="834">
        <v>478</v>
      </c>
      <c r="G2032" s="570"/>
      <c r="H2032" s="570"/>
      <c r="I2032" s="570"/>
      <c r="J2032" s="570"/>
      <c r="K2032" s="570"/>
    </row>
    <row r="2033" ht="13.75" customHeight="1">
      <c r="A2033" s="833">
        <v>364</v>
      </c>
      <c r="B2033" t="s" s="834">
        <v>1527</v>
      </c>
      <c r="C2033" t="s" s="834">
        <v>1528</v>
      </c>
      <c r="D2033" s="835">
        <v>46024</v>
      </c>
      <c r="E2033" t="s" s="834">
        <v>478</v>
      </c>
      <c r="F2033" t="s" s="834">
        <v>478</v>
      </c>
      <c r="G2033" s="570"/>
      <c r="H2033" s="570"/>
      <c r="I2033" s="570"/>
      <c r="J2033" s="570"/>
      <c r="K2033" s="570"/>
    </row>
    <row r="2034" ht="13.75" customHeight="1">
      <c r="A2034" s="833">
        <v>364</v>
      </c>
      <c r="B2034" t="s" s="834">
        <v>1527</v>
      </c>
      <c r="C2034" t="s" s="834">
        <v>1528</v>
      </c>
      <c r="D2034" s="835">
        <v>46025</v>
      </c>
      <c r="E2034" t="s" s="834">
        <v>478</v>
      </c>
      <c r="F2034" t="s" s="834">
        <v>478</v>
      </c>
      <c r="G2034" s="570"/>
      <c r="H2034" s="570"/>
      <c r="I2034" s="570"/>
      <c r="J2034" s="570"/>
      <c r="K2034" s="570"/>
    </row>
    <row r="2035" ht="13.75" customHeight="1">
      <c r="A2035" s="833">
        <v>364</v>
      </c>
      <c r="B2035" t="s" s="834">
        <v>1527</v>
      </c>
      <c r="C2035" t="s" s="834">
        <v>1528</v>
      </c>
      <c r="D2035" s="835">
        <v>46026</v>
      </c>
      <c r="E2035" t="s" s="834">
        <v>478</v>
      </c>
      <c r="F2035" t="s" s="834">
        <v>478</v>
      </c>
      <c r="G2035" s="570"/>
      <c r="H2035" s="570"/>
      <c r="I2035" s="570"/>
      <c r="J2035" s="570"/>
      <c r="K2035" s="570"/>
    </row>
    <row r="2036" ht="13.75" customHeight="1">
      <c r="A2036" s="833">
        <v>364</v>
      </c>
      <c r="B2036" t="s" s="834">
        <v>1527</v>
      </c>
      <c r="C2036" t="s" s="834">
        <v>1528</v>
      </c>
      <c r="D2036" s="835">
        <v>46027</v>
      </c>
      <c r="E2036" t="s" s="834">
        <v>478</v>
      </c>
      <c r="F2036" t="s" s="834">
        <v>478</v>
      </c>
      <c r="G2036" s="570"/>
      <c r="H2036" s="570"/>
      <c r="I2036" s="570"/>
      <c r="J2036" s="570"/>
      <c r="K2036" s="570"/>
    </row>
    <row r="2037" ht="13.75" customHeight="1">
      <c r="A2037" s="833">
        <v>364</v>
      </c>
      <c r="B2037" t="s" s="834">
        <v>1527</v>
      </c>
      <c r="C2037" t="s" s="834">
        <v>1528</v>
      </c>
      <c r="D2037" s="835">
        <v>46028</v>
      </c>
      <c r="E2037" t="s" s="834">
        <v>478</v>
      </c>
      <c r="F2037" t="s" s="834">
        <v>478</v>
      </c>
      <c r="G2037" s="570"/>
      <c r="H2037" s="570"/>
      <c r="I2037" s="570"/>
      <c r="J2037" s="570"/>
      <c r="K2037" s="570"/>
    </row>
    <row r="2038" ht="13.75" customHeight="1">
      <c r="A2038" s="833">
        <v>364</v>
      </c>
      <c r="B2038" t="s" s="834">
        <v>1527</v>
      </c>
      <c r="C2038" t="s" s="834">
        <v>1528</v>
      </c>
      <c r="D2038" s="835">
        <v>46029</v>
      </c>
      <c r="E2038" t="s" s="834">
        <v>478</v>
      </c>
      <c r="F2038" t="s" s="834">
        <v>478</v>
      </c>
      <c r="G2038" s="570"/>
      <c r="H2038" s="570"/>
      <c r="I2038" s="570"/>
      <c r="J2038" s="570"/>
      <c r="K2038" s="570"/>
    </row>
    <row r="2039" ht="13.75" customHeight="1">
      <c r="A2039" s="833">
        <v>364</v>
      </c>
      <c r="B2039" t="s" s="834">
        <v>1527</v>
      </c>
      <c r="C2039" t="s" s="834">
        <v>1528</v>
      </c>
      <c r="D2039" s="835">
        <v>46030</v>
      </c>
      <c r="E2039" t="s" s="834">
        <v>478</v>
      </c>
      <c r="F2039" t="s" s="834">
        <v>478</v>
      </c>
      <c r="G2039" s="570"/>
      <c r="H2039" s="570"/>
      <c r="I2039" s="570"/>
      <c r="J2039" s="570"/>
      <c r="K2039" s="570"/>
    </row>
    <row r="2040" ht="13.75" customHeight="1">
      <c r="A2040" s="833">
        <v>364</v>
      </c>
      <c r="B2040" t="s" s="834">
        <v>1527</v>
      </c>
      <c r="C2040" t="s" s="834">
        <v>1528</v>
      </c>
      <c r="D2040" s="835">
        <v>46031</v>
      </c>
      <c r="E2040" t="s" s="834">
        <v>478</v>
      </c>
      <c r="F2040" t="s" s="834">
        <v>478</v>
      </c>
      <c r="G2040" s="570"/>
      <c r="H2040" s="570"/>
      <c r="I2040" s="570"/>
      <c r="J2040" s="570"/>
      <c r="K2040" s="570"/>
    </row>
    <row r="2041" ht="13.75" customHeight="1">
      <c r="A2041" s="833">
        <v>364</v>
      </c>
      <c r="B2041" t="s" s="834">
        <v>1527</v>
      </c>
      <c r="C2041" t="s" s="834">
        <v>1528</v>
      </c>
      <c r="D2041" s="835">
        <v>46032</v>
      </c>
      <c r="E2041" t="s" s="834">
        <v>478</v>
      </c>
      <c r="F2041" t="s" s="834">
        <v>478</v>
      </c>
      <c r="G2041" s="570"/>
      <c r="H2041" s="570"/>
      <c r="I2041" s="570"/>
      <c r="J2041" s="570"/>
      <c r="K2041" s="570"/>
    </row>
    <row r="2042" ht="13.75" customHeight="1">
      <c r="A2042" s="833">
        <v>364</v>
      </c>
      <c r="B2042" t="s" s="834">
        <v>1527</v>
      </c>
      <c r="C2042" t="s" s="834">
        <v>1528</v>
      </c>
      <c r="D2042" s="835">
        <v>46033</v>
      </c>
      <c r="E2042" t="s" s="834">
        <v>478</v>
      </c>
      <c r="F2042" t="s" s="834">
        <v>478</v>
      </c>
      <c r="G2042" s="570"/>
      <c r="H2042" s="570"/>
      <c r="I2042" s="570"/>
      <c r="J2042" s="570"/>
      <c r="K2042" s="570"/>
    </row>
    <row r="2043" ht="13.75" customHeight="1">
      <c r="A2043" s="833">
        <v>364</v>
      </c>
      <c r="B2043" t="s" s="834">
        <v>1527</v>
      </c>
      <c r="C2043" t="s" s="834">
        <v>1528</v>
      </c>
      <c r="D2043" s="835">
        <v>46034</v>
      </c>
      <c r="E2043" t="s" s="834">
        <v>478</v>
      </c>
      <c r="F2043" t="s" s="834">
        <v>478</v>
      </c>
      <c r="G2043" s="570"/>
      <c r="H2043" s="570"/>
      <c r="I2043" s="570"/>
      <c r="J2043" s="570"/>
      <c r="K2043" s="570"/>
    </row>
    <row r="2044" ht="13.75" customHeight="1">
      <c r="A2044" s="833">
        <v>364</v>
      </c>
      <c r="B2044" t="s" s="834">
        <v>1527</v>
      </c>
      <c r="C2044" t="s" s="834">
        <v>1528</v>
      </c>
      <c r="D2044" s="835">
        <v>46035</v>
      </c>
      <c r="E2044" t="s" s="834">
        <v>478</v>
      </c>
      <c r="F2044" t="s" s="834">
        <v>478</v>
      </c>
      <c r="G2044" s="570"/>
      <c r="H2044" s="570"/>
      <c r="I2044" s="570"/>
      <c r="J2044" s="570"/>
      <c r="K2044" s="570"/>
    </row>
    <row r="2045" ht="13.75" customHeight="1">
      <c r="A2045" s="833">
        <v>364</v>
      </c>
      <c r="B2045" t="s" s="834">
        <v>1527</v>
      </c>
      <c r="C2045" t="s" s="834">
        <v>1528</v>
      </c>
      <c r="D2045" s="835">
        <v>46036</v>
      </c>
      <c r="E2045" t="s" s="834">
        <v>478</v>
      </c>
      <c r="F2045" t="s" s="834">
        <v>478</v>
      </c>
      <c r="G2045" s="570"/>
      <c r="H2045" s="570"/>
      <c r="I2045" s="570"/>
      <c r="J2045" s="570"/>
      <c r="K2045" s="570"/>
    </row>
    <row r="2046" ht="13.75" customHeight="1">
      <c r="A2046" s="833">
        <v>364</v>
      </c>
      <c r="B2046" t="s" s="834">
        <v>1527</v>
      </c>
      <c r="C2046" t="s" s="834">
        <v>1528</v>
      </c>
      <c r="D2046" s="835">
        <v>46037</v>
      </c>
      <c r="E2046" t="s" s="834">
        <v>478</v>
      </c>
      <c r="F2046" t="s" s="834">
        <v>478</v>
      </c>
      <c r="G2046" s="570"/>
      <c r="H2046" s="570"/>
      <c r="I2046" s="570"/>
      <c r="J2046" s="570"/>
      <c r="K2046" s="570"/>
    </row>
    <row r="2047" ht="13.75" customHeight="1">
      <c r="A2047" s="833">
        <v>364</v>
      </c>
      <c r="B2047" t="s" s="834">
        <v>1527</v>
      </c>
      <c r="C2047" t="s" s="834">
        <v>1528</v>
      </c>
      <c r="D2047" s="835">
        <v>46038</v>
      </c>
      <c r="E2047" t="s" s="834">
        <v>478</v>
      </c>
      <c r="F2047" t="s" s="834">
        <v>478</v>
      </c>
      <c r="G2047" s="570"/>
      <c r="H2047" s="570"/>
      <c r="I2047" s="570"/>
      <c r="J2047" s="570"/>
      <c r="K2047" s="570"/>
    </row>
    <row r="2048" ht="13.75" customHeight="1">
      <c r="A2048" s="833">
        <v>364</v>
      </c>
      <c r="B2048" t="s" s="834">
        <v>1527</v>
      </c>
      <c r="C2048" t="s" s="834">
        <v>1528</v>
      </c>
      <c r="D2048" s="835">
        <v>46039</v>
      </c>
      <c r="E2048" t="s" s="834">
        <v>478</v>
      </c>
      <c r="F2048" t="s" s="834">
        <v>478</v>
      </c>
      <c r="G2048" s="570"/>
      <c r="H2048" s="570"/>
      <c r="I2048" s="570"/>
      <c r="J2048" s="570"/>
      <c r="K2048" s="570"/>
    </row>
    <row r="2049" ht="13.75" customHeight="1">
      <c r="A2049" s="833">
        <v>364</v>
      </c>
      <c r="B2049" t="s" s="834">
        <v>1527</v>
      </c>
      <c r="C2049" t="s" s="834">
        <v>1528</v>
      </c>
      <c r="D2049" s="835">
        <v>46040</v>
      </c>
      <c r="E2049" t="s" s="834">
        <v>478</v>
      </c>
      <c r="F2049" t="s" s="834">
        <v>478</v>
      </c>
      <c r="G2049" s="570"/>
      <c r="H2049" s="570"/>
      <c r="I2049" s="570"/>
      <c r="J2049" s="570"/>
      <c r="K2049" s="570"/>
    </row>
    <row r="2050" ht="13.75" customHeight="1">
      <c r="A2050" s="833">
        <v>364</v>
      </c>
      <c r="B2050" t="s" s="834">
        <v>1527</v>
      </c>
      <c r="C2050" t="s" s="834">
        <v>1528</v>
      </c>
      <c r="D2050" s="835">
        <v>46041</v>
      </c>
      <c r="E2050" t="s" s="834">
        <v>478</v>
      </c>
      <c r="F2050" t="s" s="834">
        <v>478</v>
      </c>
      <c r="G2050" s="570"/>
      <c r="H2050" s="570"/>
      <c r="I2050" s="570"/>
      <c r="J2050" s="570"/>
      <c r="K2050" s="570"/>
    </row>
    <row r="2051" ht="13.75" customHeight="1">
      <c r="A2051" s="833">
        <v>364</v>
      </c>
      <c r="B2051" t="s" s="834">
        <v>1527</v>
      </c>
      <c r="C2051" t="s" s="834">
        <v>1528</v>
      </c>
      <c r="D2051" s="835">
        <v>46042</v>
      </c>
      <c r="E2051" t="s" s="834">
        <v>478</v>
      </c>
      <c r="F2051" t="s" s="834">
        <v>478</v>
      </c>
      <c r="G2051" s="570"/>
      <c r="H2051" s="570"/>
      <c r="I2051" s="570"/>
      <c r="J2051" s="570"/>
      <c r="K2051" s="570"/>
    </row>
    <row r="2052" ht="13.75" customHeight="1">
      <c r="A2052" s="833">
        <v>364</v>
      </c>
      <c r="B2052" t="s" s="834">
        <v>1527</v>
      </c>
      <c r="C2052" t="s" s="834">
        <v>1528</v>
      </c>
      <c r="D2052" s="835">
        <v>46043</v>
      </c>
      <c r="E2052" t="s" s="834">
        <v>478</v>
      </c>
      <c r="F2052" t="s" s="834">
        <v>478</v>
      </c>
      <c r="G2052" s="570"/>
      <c r="H2052" s="570"/>
      <c r="I2052" s="570"/>
      <c r="J2052" s="570"/>
      <c r="K2052" s="570"/>
    </row>
    <row r="2053" ht="13.75" customHeight="1">
      <c r="A2053" s="833">
        <v>364</v>
      </c>
      <c r="B2053" t="s" s="834">
        <v>1527</v>
      </c>
      <c r="C2053" t="s" s="834">
        <v>1528</v>
      </c>
      <c r="D2053" s="835">
        <v>46044</v>
      </c>
      <c r="E2053" t="s" s="834">
        <v>478</v>
      </c>
      <c r="F2053" t="s" s="834">
        <v>478</v>
      </c>
      <c r="G2053" s="570"/>
      <c r="H2053" s="570"/>
      <c r="I2053" s="570"/>
      <c r="J2053" s="570"/>
      <c r="K2053" s="570"/>
    </row>
    <row r="2054" ht="13.75" customHeight="1">
      <c r="A2054" s="833">
        <v>364</v>
      </c>
      <c r="B2054" t="s" s="834">
        <v>1527</v>
      </c>
      <c r="C2054" t="s" s="834">
        <v>1528</v>
      </c>
      <c r="D2054" s="835">
        <v>46045</v>
      </c>
      <c r="E2054" t="s" s="834">
        <v>478</v>
      </c>
      <c r="F2054" t="s" s="834">
        <v>478</v>
      </c>
      <c r="G2054" s="570"/>
      <c r="H2054" s="570"/>
      <c r="I2054" s="570"/>
      <c r="J2054" s="570"/>
      <c r="K2054" s="570"/>
    </row>
    <row r="2055" ht="13.75" customHeight="1">
      <c r="A2055" s="833">
        <v>364</v>
      </c>
      <c r="B2055" t="s" s="834">
        <v>1527</v>
      </c>
      <c r="C2055" t="s" s="834">
        <v>1528</v>
      </c>
      <c r="D2055" s="835">
        <v>46046</v>
      </c>
      <c r="E2055" t="s" s="834">
        <v>478</v>
      </c>
      <c r="F2055" t="s" s="834">
        <v>478</v>
      </c>
      <c r="G2055" s="570"/>
      <c r="H2055" s="570"/>
      <c r="I2055" s="570"/>
      <c r="J2055" s="570"/>
      <c r="K2055" s="570"/>
    </row>
    <row r="2056" ht="13.75" customHeight="1">
      <c r="A2056" s="833">
        <v>364</v>
      </c>
      <c r="B2056" t="s" s="834">
        <v>1527</v>
      </c>
      <c r="C2056" t="s" s="834">
        <v>1528</v>
      </c>
      <c r="D2056" s="835">
        <v>46047</v>
      </c>
      <c r="E2056" t="s" s="834">
        <v>478</v>
      </c>
      <c r="F2056" t="s" s="834">
        <v>478</v>
      </c>
      <c r="G2056" s="570"/>
      <c r="H2056" s="570"/>
      <c r="I2056" s="570"/>
      <c r="J2056" s="570"/>
      <c r="K2056" s="570"/>
    </row>
    <row r="2057" ht="13.75" customHeight="1">
      <c r="A2057" s="833">
        <v>364</v>
      </c>
      <c r="B2057" t="s" s="834">
        <v>1527</v>
      </c>
      <c r="C2057" t="s" s="834">
        <v>1528</v>
      </c>
      <c r="D2057" s="835">
        <v>46048</v>
      </c>
      <c r="E2057" t="s" s="834">
        <v>478</v>
      </c>
      <c r="F2057" t="s" s="834">
        <v>478</v>
      </c>
      <c r="G2057" s="570"/>
      <c r="H2057" s="570"/>
      <c r="I2057" s="570"/>
      <c r="J2057" s="570"/>
      <c r="K2057" s="570"/>
    </row>
    <row r="2058" ht="13.75" customHeight="1">
      <c r="A2058" s="833">
        <v>364</v>
      </c>
      <c r="B2058" t="s" s="834">
        <v>1527</v>
      </c>
      <c r="C2058" t="s" s="834">
        <v>1528</v>
      </c>
      <c r="D2058" s="835">
        <v>46049</v>
      </c>
      <c r="E2058" t="s" s="834">
        <v>478</v>
      </c>
      <c r="F2058" t="s" s="834">
        <v>478</v>
      </c>
      <c r="G2058" s="570"/>
      <c r="H2058" s="570"/>
      <c r="I2058" s="570"/>
      <c r="J2058" s="570"/>
      <c r="K2058" s="570"/>
    </row>
    <row r="2059" ht="13.75" customHeight="1">
      <c r="A2059" s="833">
        <v>364</v>
      </c>
      <c r="B2059" t="s" s="834">
        <v>1527</v>
      </c>
      <c r="C2059" t="s" s="834">
        <v>1528</v>
      </c>
      <c r="D2059" s="835">
        <v>46050</v>
      </c>
      <c r="E2059" t="s" s="834">
        <v>478</v>
      </c>
      <c r="F2059" t="s" s="834">
        <v>478</v>
      </c>
      <c r="G2059" s="570"/>
      <c r="H2059" s="570"/>
      <c r="I2059" s="570"/>
      <c r="J2059" s="570"/>
      <c r="K2059" s="570"/>
    </row>
    <row r="2060" ht="13.75" customHeight="1">
      <c r="A2060" s="833">
        <v>364</v>
      </c>
      <c r="B2060" t="s" s="834">
        <v>1527</v>
      </c>
      <c r="C2060" t="s" s="834">
        <v>1528</v>
      </c>
      <c r="D2060" s="835">
        <v>46051</v>
      </c>
      <c r="E2060" t="s" s="834">
        <v>478</v>
      </c>
      <c r="F2060" t="s" s="834">
        <v>478</v>
      </c>
      <c r="G2060" s="570"/>
      <c r="H2060" s="570"/>
      <c r="I2060" s="570"/>
      <c r="J2060" s="570"/>
      <c r="K2060" s="570"/>
    </row>
    <row r="2061" ht="13.75" customHeight="1">
      <c r="A2061" s="833">
        <v>364</v>
      </c>
      <c r="B2061" t="s" s="834">
        <v>1527</v>
      </c>
      <c r="C2061" t="s" s="834">
        <v>1528</v>
      </c>
      <c r="D2061" s="835">
        <v>46052</v>
      </c>
      <c r="E2061" t="s" s="834">
        <v>478</v>
      </c>
      <c r="F2061" t="s" s="834">
        <v>478</v>
      </c>
      <c r="G2061" s="570"/>
      <c r="H2061" s="570"/>
      <c r="I2061" s="570"/>
      <c r="J2061" s="570"/>
      <c r="K2061" s="570"/>
    </row>
    <row r="2062" ht="13.75" customHeight="1">
      <c r="A2062" s="833">
        <v>364</v>
      </c>
      <c r="B2062" t="s" s="834">
        <v>1527</v>
      </c>
      <c r="C2062" t="s" s="834">
        <v>1528</v>
      </c>
      <c r="D2062" s="835">
        <v>46053</v>
      </c>
      <c r="E2062" t="s" s="834">
        <v>478</v>
      </c>
      <c r="F2062" t="s" s="834">
        <v>478</v>
      </c>
      <c r="G2062" s="570"/>
      <c r="H2062" s="570"/>
      <c r="I2062" s="570"/>
      <c r="J2062" s="570"/>
      <c r="K2062" s="570"/>
    </row>
    <row r="2063" ht="13.75" customHeight="1">
      <c r="A2063" s="833">
        <v>364</v>
      </c>
      <c r="B2063" t="s" s="834">
        <v>1527</v>
      </c>
      <c r="C2063" t="s" s="834">
        <v>1528</v>
      </c>
      <c r="D2063" s="835">
        <v>46054</v>
      </c>
      <c r="E2063" t="s" s="834">
        <v>478</v>
      </c>
      <c r="F2063" t="s" s="834">
        <v>478</v>
      </c>
      <c r="G2063" s="570"/>
      <c r="H2063" s="570"/>
      <c r="I2063" s="570"/>
      <c r="J2063" s="570"/>
      <c r="K2063" s="570"/>
    </row>
    <row r="2064" ht="13.75" customHeight="1">
      <c r="A2064" s="833">
        <v>365</v>
      </c>
      <c r="B2064" t="s" s="834">
        <v>1529</v>
      </c>
      <c r="C2064" t="s" s="834">
        <v>1528</v>
      </c>
      <c r="D2064" s="835">
        <v>46023</v>
      </c>
      <c r="E2064" t="s" s="834">
        <v>478</v>
      </c>
      <c r="F2064" t="s" s="834">
        <v>478</v>
      </c>
      <c r="G2064" s="570"/>
      <c r="H2064" s="570"/>
      <c r="I2064" s="570"/>
      <c r="J2064" s="570"/>
      <c r="K2064" s="570"/>
    </row>
    <row r="2065" ht="13.75" customHeight="1">
      <c r="A2065" s="833">
        <v>365</v>
      </c>
      <c r="B2065" t="s" s="834">
        <v>1529</v>
      </c>
      <c r="C2065" t="s" s="834">
        <v>1528</v>
      </c>
      <c r="D2065" s="835">
        <v>46024</v>
      </c>
      <c r="E2065" t="s" s="834">
        <v>478</v>
      </c>
      <c r="F2065" t="s" s="834">
        <v>478</v>
      </c>
      <c r="G2065" s="570"/>
      <c r="H2065" s="570"/>
      <c r="I2065" s="570"/>
      <c r="J2065" s="570"/>
      <c r="K2065" s="570"/>
    </row>
    <row r="2066" ht="13.75" customHeight="1">
      <c r="A2066" s="833">
        <v>365</v>
      </c>
      <c r="B2066" t="s" s="834">
        <v>1529</v>
      </c>
      <c r="C2066" t="s" s="834">
        <v>1528</v>
      </c>
      <c r="D2066" s="835">
        <v>46025</v>
      </c>
      <c r="E2066" t="s" s="834">
        <v>478</v>
      </c>
      <c r="F2066" t="s" s="834">
        <v>478</v>
      </c>
      <c r="G2066" s="570"/>
      <c r="H2066" s="570"/>
      <c r="I2066" s="570"/>
      <c r="J2066" s="570"/>
      <c r="K2066" s="570"/>
    </row>
    <row r="2067" ht="13.75" customHeight="1">
      <c r="A2067" s="833">
        <v>365</v>
      </c>
      <c r="B2067" t="s" s="834">
        <v>1529</v>
      </c>
      <c r="C2067" t="s" s="834">
        <v>1528</v>
      </c>
      <c r="D2067" s="835">
        <v>46026</v>
      </c>
      <c r="E2067" t="s" s="834">
        <v>478</v>
      </c>
      <c r="F2067" t="s" s="834">
        <v>478</v>
      </c>
      <c r="G2067" s="570"/>
      <c r="H2067" s="570"/>
      <c r="I2067" s="570"/>
      <c r="J2067" s="570"/>
      <c r="K2067" s="570"/>
    </row>
    <row r="2068" ht="13.75" customHeight="1">
      <c r="A2068" s="833">
        <v>365</v>
      </c>
      <c r="B2068" t="s" s="834">
        <v>1529</v>
      </c>
      <c r="C2068" t="s" s="834">
        <v>1528</v>
      </c>
      <c r="D2068" s="835">
        <v>46027</v>
      </c>
      <c r="E2068" t="s" s="834">
        <v>478</v>
      </c>
      <c r="F2068" t="s" s="834">
        <v>478</v>
      </c>
      <c r="G2068" s="570"/>
      <c r="H2068" s="570"/>
      <c r="I2068" s="570"/>
      <c r="J2068" s="570"/>
      <c r="K2068" s="570"/>
    </row>
    <row r="2069" ht="13.75" customHeight="1">
      <c r="A2069" s="833">
        <v>365</v>
      </c>
      <c r="B2069" t="s" s="834">
        <v>1529</v>
      </c>
      <c r="C2069" t="s" s="834">
        <v>1528</v>
      </c>
      <c r="D2069" s="835">
        <v>46028</v>
      </c>
      <c r="E2069" t="s" s="834">
        <v>478</v>
      </c>
      <c r="F2069" t="s" s="834">
        <v>478</v>
      </c>
      <c r="G2069" s="570"/>
      <c r="H2069" s="570"/>
      <c r="I2069" s="570"/>
      <c r="J2069" s="570"/>
      <c r="K2069" s="570"/>
    </row>
    <row r="2070" ht="13.75" customHeight="1">
      <c r="A2070" s="833">
        <v>365</v>
      </c>
      <c r="B2070" t="s" s="834">
        <v>1529</v>
      </c>
      <c r="C2070" t="s" s="834">
        <v>1528</v>
      </c>
      <c r="D2070" s="835">
        <v>46029</v>
      </c>
      <c r="E2070" t="s" s="834">
        <v>478</v>
      </c>
      <c r="F2070" t="s" s="834">
        <v>478</v>
      </c>
      <c r="G2070" s="570"/>
      <c r="H2070" s="570"/>
      <c r="I2070" s="570"/>
      <c r="J2070" s="570"/>
      <c r="K2070" s="570"/>
    </row>
    <row r="2071" ht="13.75" customHeight="1">
      <c r="A2071" s="833">
        <v>365</v>
      </c>
      <c r="B2071" t="s" s="834">
        <v>1529</v>
      </c>
      <c r="C2071" t="s" s="834">
        <v>1528</v>
      </c>
      <c r="D2071" s="835">
        <v>46030</v>
      </c>
      <c r="E2071" t="s" s="834">
        <v>478</v>
      </c>
      <c r="F2071" t="s" s="834">
        <v>478</v>
      </c>
      <c r="G2071" s="570"/>
      <c r="H2071" s="570"/>
      <c r="I2071" s="570"/>
      <c r="J2071" s="570"/>
      <c r="K2071" s="570"/>
    </row>
    <row r="2072" ht="13.75" customHeight="1">
      <c r="A2072" s="833">
        <v>365</v>
      </c>
      <c r="B2072" t="s" s="834">
        <v>1529</v>
      </c>
      <c r="C2072" t="s" s="834">
        <v>1528</v>
      </c>
      <c r="D2072" s="835">
        <v>46031</v>
      </c>
      <c r="E2072" t="s" s="834">
        <v>478</v>
      </c>
      <c r="F2072" t="s" s="834">
        <v>478</v>
      </c>
      <c r="G2072" s="570"/>
      <c r="H2072" s="570"/>
      <c r="I2072" s="570"/>
      <c r="J2072" s="570"/>
      <c r="K2072" s="570"/>
    </row>
    <row r="2073" ht="13.75" customHeight="1">
      <c r="A2073" s="833">
        <v>365</v>
      </c>
      <c r="B2073" t="s" s="834">
        <v>1529</v>
      </c>
      <c r="C2073" t="s" s="834">
        <v>1528</v>
      </c>
      <c r="D2073" s="835">
        <v>46032</v>
      </c>
      <c r="E2073" t="s" s="834">
        <v>478</v>
      </c>
      <c r="F2073" t="s" s="834">
        <v>478</v>
      </c>
      <c r="G2073" s="570"/>
      <c r="H2073" s="570"/>
      <c r="I2073" s="570"/>
      <c r="J2073" s="570"/>
      <c r="K2073" s="570"/>
    </row>
    <row r="2074" ht="13.75" customHeight="1">
      <c r="A2074" s="833">
        <v>365</v>
      </c>
      <c r="B2074" t="s" s="834">
        <v>1529</v>
      </c>
      <c r="C2074" t="s" s="834">
        <v>1528</v>
      </c>
      <c r="D2074" s="835">
        <v>46033</v>
      </c>
      <c r="E2074" t="s" s="834">
        <v>478</v>
      </c>
      <c r="F2074" t="s" s="834">
        <v>478</v>
      </c>
      <c r="G2074" s="570"/>
      <c r="H2074" s="570"/>
      <c r="I2074" s="570"/>
      <c r="J2074" s="570"/>
      <c r="K2074" s="570"/>
    </row>
    <row r="2075" ht="13.75" customHeight="1">
      <c r="A2075" s="833">
        <v>365</v>
      </c>
      <c r="B2075" t="s" s="834">
        <v>1529</v>
      </c>
      <c r="C2075" t="s" s="834">
        <v>1528</v>
      </c>
      <c r="D2075" s="835">
        <v>46034</v>
      </c>
      <c r="E2075" t="s" s="834">
        <v>478</v>
      </c>
      <c r="F2075" t="s" s="834">
        <v>478</v>
      </c>
      <c r="G2075" s="570"/>
      <c r="H2075" s="570"/>
      <c r="I2075" s="570"/>
      <c r="J2075" s="570"/>
      <c r="K2075" s="570"/>
    </row>
    <row r="2076" ht="13.75" customHeight="1">
      <c r="A2076" s="833">
        <v>365</v>
      </c>
      <c r="B2076" t="s" s="834">
        <v>1529</v>
      </c>
      <c r="C2076" t="s" s="834">
        <v>1528</v>
      </c>
      <c r="D2076" s="835">
        <v>46035</v>
      </c>
      <c r="E2076" t="s" s="834">
        <v>478</v>
      </c>
      <c r="F2076" t="s" s="834">
        <v>478</v>
      </c>
      <c r="G2076" s="570"/>
      <c r="H2076" s="570"/>
      <c r="I2076" s="570"/>
      <c r="J2076" s="570"/>
      <c r="K2076" s="570"/>
    </row>
    <row r="2077" ht="13.75" customHeight="1">
      <c r="A2077" s="833">
        <v>365</v>
      </c>
      <c r="B2077" t="s" s="834">
        <v>1529</v>
      </c>
      <c r="C2077" t="s" s="834">
        <v>1528</v>
      </c>
      <c r="D2077" s="835">
        <v>46036</v>
      </c>
      <c r="E2077" t="s" s="834">
        <v>478</v>
      </c>
      <c r="F2077" t="s" s="834">
        <v>478</v>
      </c>
      <c r="G2077" s="570"/>
      <c r="H2077" s="570"/>
      <c r="I2077" s="570"/>
      <c r="J2077" s="570"/>
      <c r="K2077" s="570"/>
    </row>
    <row r="2078" ht="13.75" customHeight="1">
      <c r="A2078" s="833">
        <v>365</v>
      </c>
      <c r="B2078" t="s" s="834">
        <v>1529</v>
      </c>
      <c r="C2078" t="s" s="834">
        <v>1528</v>
      </c>
      <c r="D2078" s="835">
        <v>46037</v>
      </c>
      <c r="E2078" t="s" s="834">
        <v>478</v>
      </c>
      <c r="F2078" t="s" s="834">
        <v>478</v>
      </c>
      <c r="G2078" s="570"/>
      <c r="H2078" s="570"/>
      <c r="I2078" s="570"/>
      <c r="J2078" s="570"/>
      <c r="K2078" s="570"/>
    </row>
    <row r="2079" ht="13.75" customHeight="1">
      <c r="A2079" s="833">
        <v>365</v>
      </c>
      <c r="B2079" t="s" s="834">
        <v>1529</v>
      </c>
      <c r="C2079" t="s" s="834">
        <v>1528</v>
      </c>
      <c r="D2079" s="835">
        <v>46038</v>
      </c>
      <c r="E2079" t="s" s="834">
        <v>478</v>
      </c>
      <c r="F2079" t="s" s="834">
        <v>478</v>
      </c>
      <c r="G2079" s="570"/>
      <c r="H2079" s="570"/>
      <c r="I2079" s="570"/>
      <c r="J2079" s="570"/>
      <c r="K2079" s="570"/>
    </row>
    <row r="2080" ht="13.75" customHeight="1">
      <c r="A2080" s="833">
        <v>365</v>
      </c>
      <c r="B2080" t="s" s="834">
        <v>1529</v>
      </c>
      <c r="C2080" t="s" s="834">
        <v>1528</v>
      </c>
      <c r="D2080" s="835">
        <v>46039</v>
      </c>
      <c r="E2080" t="s" s="834">
        <v>478</v>
      </c>
      <c r="F2080" t="s" s="834">
        <v>478</v>
      </c>
      <c r="G2080" s="570"/>
      <c r="H2080" s="570"/>
      <c r="I2080" s="570"/>
      <c r="J2080" s="570"/>
      <c r="K2080" s="570"/>
    </row>
    <row r="2081" ht="13.75" customHeight="1">
      <c r="A2081" s="833">
        <v>365</v>
      </c>
      <c r="B2081" t="s" s="834">
        <v>1529</v>
      </c>
      <c r="C2081" t="s" s="834">
        <v>1528</v>
      </c>
      <c r="D2081" s="835">
        <v>46040</v>
      </c>
      <c r="E2081" t="s" s="834">
        <v>478</v>
      </c>
      <c r="F2081" t="s" s="834">
        <v>478</v>
      </c>
      <c r="G2081" s="570"/>
      <c r="H2081" s="570"/>
      <c r="I2081" s="570"/>
      <c r="J2081" s="570"/>
      <c r="K2081" s="570"/>
    </row>
    <row r="2082" ht="13.75" customHeight="1">
      <c r="A2082" s="833">
        <v>365</v>
      </c>
      <c r="B2082" t="s" s="834">
        <v>1529</v>
      </c>
      <c r="C2082" t="s" s="834">
        <v>1528</v>
      </c>
      <c r="D2082" s="835">
        <v>46041</v>
      </c>
      <c r="E2082" t="s" s="834">
        <v>478</v>
      </c>
      <c r="F2082" t="s" s="834">
        <v>478</v>
      </c>
      <c r="G2082" s="570"/>
      <c r="H2082" s="570"/>
      <c r="I2082" s="570"/>
      <c r="J2082" s="570"/>
      <c r="K2082" s="570"/>
    </row>
    <row r="2083" ht="13.75" customHeight="1">
      <c r="A2083" s="833">
        <v>365</v>
      </c>
      <c r="B2083" t="s" s="834">
        <v>1529</v>
      </c>
      <c r="C2083" t="s" s="834">
        <v>1528</v>
      </c>
      <c r="D2083" s="835">
        <v>46042</v>
      </c>
      <c r="E2083" t="s" s="834">
        <v>478</v>
      </c>
      <c r="F2083" t="s" s="834">
        <v>478</v>
      </c>
      <c r="G2083" s="570"/>
      <c r="H2083" s="570"/>
      <c r="I2083" s="570"/>
      <c r="J2083" s="570"/>
      <c r="K2083" s="570"/>
    </row>
    <row r="2084" ht="13.75" customHeight="1">
      <c r="A2084" s="833">
        <v>365</v>
      </c>
      <c r="B2084" t="s" s="834">
        <v>1529</v>
      </c>
      <c r="C2084" t="s" s="834">
        <v>1528</v>
      </c>
      <c r="D2084" s="835">
        <v>46043</v>
      </c>
      <c r="E2084" t="s" s="834">
        <v>478</v>
      </c>
      <c r="F2084" t="s" s="834">
        <v>478</v>
      </c>
      <c r="G2084" s="570"/>
      <c r="H2084" s="570"/>
      <c r="I2084" s="570"/>
      <c r="J2084" s="570"/>
      <c r="K2084" s="570"/>
    </row>
    <row r="2085" ht="13.75" customHeight="1">
      <c r="A2085" s="833">
        <v>365</v>
      </c>
      <c r="B2085" t="s" s="834">
        <v>1529</v>
      </c>
      <c r="C2085" t="s" s="834">
        <v>1528</v>
      </c>
      <c r="D2085" s="835">
        <v>46044</v>
      </c>
      <c r="E2085" t="s" s="834">
        <v>478</v>
      </c>
      <c r="F2085" t="s" s="834">
        <v>478</v>
      </c>
      <c r="G2085" s="570"/>
      <c r="H2085" s="570"/>
      <c r="I2085" s="570"/>
      <c r="J2085" s="570"/>
      <c r="K2085" s="570"/>
    </row>
    <row r="2086" ht="13.75" customHeight="1">
      <c r="A2086" s="833">
        <v>365</v>
      </c>
      <c r="B2086" t="s" s="834">
        <v>1529</v>
      </c>
      <c r="C2086" t="s" s="834">
        <v>1528</v>
      </c>
      <c r="D2086" s="835">
        <v>46045</v>
      </c>
      <c r="E2086" t="s" s="834">
        <v>478</v>
      </c>
      <c r="F2086" t="s" s="834">
        <v>478</v>
      </c>
      <c r="G2086" s="570"/>
      <c r="H2086" s="570"/>
      <c r="I2086" s="570"/>
      <c r="J2086" s="570"/>
      <c r="K2086" s="570"/>
    </row>
    <row r="2087" ht="13.75" customHeight="1">
      <c r="A2087" s="833">
        <v>365</v>
      </c>
      <c r="B2087" t="s" s="834">
        <v>1529</v>
      </c>
      <c r="C2087" t="s" s="834">
        <v>1528</v>
      </c>
      <c r="D2087" s="835">
        <v>46046</v>
      </c>
      <c r="E2087" t="s" s="834">
        <v>478</v>
      </c>
      <c r="F2087" t="s" s="834">
        <v>478</v>
      </c>
      <c r="G2087" s="570"/>
      <c r="H2087" s="570"/>
      <c r="I2087" s="570"/>
      <c r="J2087" s="570"/>
      <c r="K2087" s="570"/>
    </row>
    <row r="2088" ht="13.75" customHeight="1">
      <c r="A2088" s="833">
        <v>365</v>
      </c>
      <c r="B2088" t="s" s="834">
        <v>1529</v>
      </c>
      <c r="C2088" t="s" s="834">
        <v>1528</v>
      </c>
      <c r="D2088" s="835">
        <v>46047</v>
      </c>
      <c r="E2088" t="s" s="834">
        <v>478</v>
      </c>
      <c r="F2088" t="s" s="834">
        <v>478</v>
      </c>
      <c r="G2088" s="570"/>
      <c r="H2088" s="570"/>
      <c r="I2088" s="570"/>
      <c r="J2088" s="570"/>
      <c r="K2088" s="570"/>
    </row>
    <row r="2089" ht="13.75" customHeight="1">
      <c r="A2089" s="833">
        <v>365</v>
      </c>
      <c r="B2089" t="s" s="834">
        <v>1529</v>
      </c>
      <c r="C2089" t="s" s="834">
        <v>1528</v>
      </c>
      <c r="D2089" s="835">
        <v>46048</v>
      </c>
      <c r="E2089" t="s" s="834">
        <v>478</v>
      </c>
      <c r="F2089" t="s" s="834">
        <v>478</v>
      </c>
      <c r="G2089" s="570"/>
      <c r="H2089" s="570"/>
      <c r="I2089" s="570"/>
      <c r="J2089" s="570"/>
      <c r="K2089" s="570"/>
    </row>
    <row r="2090" ht="13.75" customHeight="1">
      <c r="A2090" s="833">
        <v>365</v>
      </c>
      <c r="B2090" t="s" s="834">
        <v>1529</v>
      </c>
      <c r="C2090" t="s" s="834">
        <v>1528</v>
      </c>
      <c r="D2090" s="835">
        <v>46049</v>
      </c>
      <c r="E2090" t="s" s="834">
        <v>478</v>
      </c>
      <c r="F2090" t="s" s="834">
        <v>478</v>
      </c>
      <c r="G2090" s="570"/>
      <c r="H2090" s="570"/>
      <c r="I2090" s="570"/>
      <c r="J2090" s="570"/>
      <c r="K2090" s="570"/>
    </row>
    <row r="2091" ht="13.75" customHeight="1">
      <c r="A2091" s="833">
        <v>365</v>
      </c>
      <c r="B2091" t="s" s="834">
        <v>1529</v>
      </c>
      <c r="C2091" t="s" s="834">
        <v>1528</v>
      </c>
      <c r="D2091" s="835">
        <v>46050</v>
      </c>
      <c r="E2091" t="s" s="834">
        <v>478</v>
      </c>
      <c r="F2091" t="s" s="834">
        <v>478</v>
      </c>
      <c r="G2091" s="570"/>
      <c r="H2091" s="570"/>
      <c r="I2091" s="570"/>
      <c r="J2091" s="570"/>
      <c r="K2091" s="570"/>
    </row>
    <row r="2092" ht="13.75" customHeight="1">
      <c r="A2092" s="833">
        <v>365</v>
      </c>
      <c r="B2092" t="s" s="834">
        <v>1529</v>
      </c>
      <c r="C2092" t="s" s="834">
        <v>1528</v>
      </c>
      <c r="D2092" s="835">
        <v>46051</v>
      </c>
      <c r="E2092" t="s" s="834">
        <v>478</v>
      </c>
      <c r="F2092" t="s" s="834">
        <v>478</v>
      </c>
      <c r="G2092" s="570"/>
      <c r="H2092" s="570"/>
      <c r="I2092" s="570"/>
      <c r="J2092" s="570"/>
      <c r="K2092" s="570"/>
    </row>
    <row r="2093" ht="13.75" customHeight="1">
      <c r="A2093" s="833">
        <v>365</v>
      </c>
      <c r="B2093" t="s" s="834">
        <v>1529</v>
      </c>
      <c r="C2093" t="s" s="834">
        <v>1528</v>
      </c>
      <c r="D2093" s="835">
        <v>46052</v>
      </c>
      <c r="E2093" t="s" s="834">
        <v>478</v>
      </c>
      <c r="F2093" t="s" s="834">
        <v>478</v>
      </c>
      <c r="G2093" s="570"/>
      <c r="H2093" s="570"/>
      <c r="I2093" s="570"/>
      <c r="J2093" s="570"/>
      <c r="K2093" s="570"/>
    </row>
    <row r="2094" ht="13.75" customHeight="1">
      <c r="A2094" s="833">
        <v>365</v>
      </c>
      <c r="B2094" t="s" s="834">
        <v>1529</v>
      </c>
      <c r="C2094" t="s" s="834">
        <v>1528</v>
      </c>
      <c r="D2094" s="835">
        <v>46053</v>
      </c>
      <c r="E2094" t="s" s="834">
        <v>478</v>
      </c>
      <c r="F2094" t="s" s="834">
        <v>478</v>
      </c>
      <c r="G2094" s="570"/>
      <c r="H2094" s="570"/>
      <c r="I2094" s="570"/>
      <c r="J2094" s="570"/>
      <c r="K2094" s="570"/>
    </row>
    <row r="2095" ht="13.75" customHeight="1">
      <c r="A2095" s="833">
        <v>365</v>
      </c>
      <c r="B2095" t="s" s="834">
        <v>1529</v>
      </c>
      <c r="C2095" t="s" s="834">
        <v>1528</v>
      </c>
      <c r="D2095" s="835">
        <v>46054</v>
      </c>
      <c r="E2095" t="s" s="834">
        <v>478</v>
      </c>
      <c r="F2095" t="s" s="834">
        <v>478</v>
      </c>
      <c r="G2095" s="570"/>
      <c r="H2095" s="570"/>
      <c r="I2095" s="570"/>
      <c r="J2095" s="570"/>
      <c r="K2095" s="570"/>
    </row>
    <row r="2096" ht="13.75" customHeight="1">
      <c r="A2096" s="833">
        <v>370</v>
      </c>
      <c r="B2096" t="s" s="834">
        <v>1530</v>
      </c>
      <c r="C2096" t="s" s="834">
        <v>1528</v>
      </c>
      <c r="D2096" s="835">
        <v>46023</v>
      </c>
      <c r="E2096" t="s" s="834">
        <v>478</v>
      </c>
      <c r="F2096" t="s" s="834">
        <v>478</v>
      </c>
      <c r="G2096" s="570"/>
      <c r="H2096" s="570"/>
      <c r="I2096" s="570"/>
      <c r="J2096" s="570"/>
      <c r="K2096" s="570"/>
    </row>
    <row r="2097" ht="13.75" customHeight="1">
      <c r="A2097" s="833">
        <v>370</v>
      </c>
      <c r="B2097" t="s" s="834">
        <v>1530</v>
      </c>
      <c r="C2097" t="s" s="834">
        <v>1528</v>
      </c>
      <c r="D2097" s="835">
        <v>46024</v>
      </c>
      <c r="E2097" t="s" s="834">
        <v>478</v>
      </c>
      <c r="F2097" t="s" s="834">
        <v>478</v>
      </c>
      <c r="G2097" s="570"/>
      <c r="H2097" s="570"/>
      <c r="I2097" s="570"/>
      <c r="J2097" s="570"/>
      <c r="K2097" s="570"/>
    </row>
    <row r="2098" ht="13.75" customHeight="1">
      <c r="A2098" s="833">
        <v>370</v>
      </c>
      <c r="B2098" t="s" s="834">
        <v>1530</v>
      </c>
      <c r="C2098" t="s" s="834">
        <v>1528</v>
      </c>
      <c r="D2098" s="835">
        <v>46025</v>
      </c>
      <c r="E2098" t="s" s="834">
        <v>478</v>
      </c>
      <c r="F2098" t="s" s="834">
        <v>478</v>
      </c>
      <c r="G2098" s="570"/>
      <c r="H2098" s="570"/>
      <c r="I2098" s="570"/>
      <c r="J2098" s="570"/>
      <c r="K2098" s="570"/>
    </row>
    <row r="2099" ht="13.75" customHeight="1">
      <c r="A2099" s="833">
        <v>370</v>
      </c>
      <c r="B2099" t="s" s="834">
        <v>1530</v>
      </c>
      <c r="C2099" t="s" s="834">
        <v>1528</v>
      </c>
      <c r="D2099" s="835">
        <v>46026</v>
      </c>
      <c r="E2099" t="s" s="834">
        <v>478</v>
      </c>
      <c r="F2099" t="s" s="834">
        <v>478</v>
      </c>
      <c r="G2099" s="570"/>
      <c r="H2099" s="570"/>
      <c r="I2099" s="570"/>
      <c r="J2099" s="570"/>
      <c r="K2099" s="570"/>
    </row>
    <row r="2100" ht="13.75" customHeight="1">
      <c r="A2100" s="833">
        <v>370</v>
      </c>
      <c r="B2100" t="s" s="834">
        <v>1530</v>
      </c>
      <c r="C2100" t="s" s="834">
        <v>1528</v>
      </c>
      <c r="D2100" s="835">
        <v>46027</v>
      </c>
      <c r="E2100" t="s" s="834">
        <v>478</v>
      </c>
      <c r="F2100" t="s" s="834">
        <v>478</v>
      </c>
      <c r="G2100" s="570"/>
      <c r="H2100" s="570"/>
      <c r="I2100" s="570"/>
      <c r="J2100" s="570"/>
      <c r="K2100" s="570"/>
    </row>
    <row r="2101" ht="13.75" customHeight="1">
      <c r="A2101" s="833">
        <v>370</v>
      </c>
      <c r="B2101" t="s" s="834">
        <v>1530</v>
      </c>
      <c r="C2101" t="s" s="834">
        <v>1528</v>
      </c>
      <c r="D2101" s="835">
        <v>46028</v>
      </c>
      <c r="E2101" t="s" s="834">
        <v>478</v>
      </c>
      <c r="F2101" t="s" s="834">
        <v>478</v>
      </c>
      <c r="G2101" s="570"/>
      <c r="H2101" s="570"/>
      <c r="I2101" s="570"/>
      <c r="J2101" s="570"/>
      <c r="K2101" s="570"/>
    </row>
    <row r="2102" ht="13.75" customHeight="1">
      <c r="A2102" s="833">
        <v>370</v>
      </c>
      <c r="B2102" t="s" s="834">
        <v>1530</v>
      </c>
      <c r="C2102" t="s" s="834">
        <v>1528</v>
      </c>
      <c r="D2102" s="835">
        <v>46029</v>
      </c>
      <c r="E2102" t="s" s="834">
        <v>478</v>
      </c>
      <c r="F2102" t="s" s="834">
        <v>478</v>
      </c>
      <c r="G2102" s="570"/>
      <c r="H2102" s="570"/>
      <c r="I2102" s="570"/>
      <c r="J2102" s="570"/>
      <c r="K2102" s="570"/>
    </row>
    <row r="2103" ht="13.75" customHeight="1">
      <c r="A2103" s="833">
        <v>370</v>
      </c>
      <c r="B2103" t="s" s="834">
        <v>1530</v>
      </c>
      <c r="C2103" t="s" s="834">
        <v>1528</v>
      </c>
      <c r="D2103" s="835">
        <v>46030</v>
      </c>
      <c r="E2103" t="s" s="834">
        <v>478</v>
      </c>
      <c r="F2103" t="s" s="834">
        <v>478</v>
      </c>
      <c r="G2103" s="570"/>
      <c r="H2103" s="570"/>
      <c r="I2103" s="570"/>
      <c r="J2103" s="570"/>
      <c r="K2103" s="570"/>
    </row>
    <row r="2104" ht="13.75" customHeight="1">
      <c r="A2104" s="833">
        <v>370</v>
      </c>
      <c r="B2104" t="s" s="834">
        <v>1530</v>
      </c>
      <c r="C2104" t="s" s="834">
        <v>1528</v>
      </c>
      <c r="D2104" s="835">
        <v>46031</v>
      </c>
      <c r="E2104" t="s" s="834">
        <v>478</v>
      </c>
      <c r="F2104" t="s" s="834">
        <v>478</v>
      </c>
      <c r="G2104" s="570"/>
      <c r="H2104" s="570"/>
      <c r="I2104" s="570"/>
      <c r="J2104" s="570"/>
      <c r="K2104" s="570"/>
    </row>
    <row r="2105" ht="13.75" customHeight="1">
      <c r="A2105" s="833">
        <v>370</v>
      </c>
      <c r="B2105" t="s" s="834">
        <v>1530</v>
      </c>
      <c r="C2105" t="s" s="834">
        <v>1528</v>
      </c>
      <c r="D2105" s="835">
        <v>46032</v>
      </c>
      <c r="E2105" t="s" s="834">
        <v>478</v>
      </c>
      <c r="F2105" t="s" s="834">
        <v>478</v>
      </c>
      <c r="G2105" s="570"/>
      <c r="H2105" s="570"/>
      <c r="I2105" s="570"/>
      <c r="J2105" s="570"/>
      <c r="K2105" s="570"/>
    </row>
    <row r="2106" ht="13.75" customHeight="1">
      <c r="A2106" s="833">
        <v>370</v>
      </c>
      <c r="B2106" t="s" s="834">
        <v>1530</v>
      </c>
      <c r="C2106" t="s" s="834">
        <v>1528</v>
      </c>
      <c r="D2106" s="835">
        <v>46033</v>
      </c>
      <c r="E2106" t="s" s="834">
        <v>478</v>
      </c>
      <c r="F2106" t="s" s="834">
        <v>478</v>
      </c>
      <c r="G2106" s="570"/>
      <c r="H2106" s="570"/>
      <c r="I2106" s="570"/>
      <c r="J2106" s="570"/>
      <c r="K2106" s="570"/>
    </row>
    <row r="2107" ht="13.75" customHeight="1">
      <c r="A2107" s="833">
        <v>370</v>
      </c>
      <c r="B2107" t="s" s="834">
        <v>1530</v>
      </c>
      <c r="C2107" t="s" s="834">
        <v>1528</v>
      </c>
      <c r="D2107" s="835">
        <v>46034</v>
      </c>
      <c r="E2107" t="s" s="834">
        <v>478</v>
      </c>
      <c r="F2107" t="s" s="834">
        <v>478</v>
      </c>
      <c r="G2107" s="570"/>
      <c r="H2107" s="570"/>
      <c r="I2107" s="570"/>
      <c r="J2107" s="570"/>
      <c r="K2107" s="570"/>
    </row>
    <row r="2108" ht="13.75" customHeight="1">
      <c r="A2108" s="833">
        <v>370</v>
      </c>
      <c r="B2108" t="s" s="834">
        <v>1530</v>
      </c>
      <c r="C2108" t="s" s="834">
        <v>1528</v>
      </c>
      <c r="D2108" s="835">
        <v>46035</v>
      </c>
      <c r="E2108" t="s" s="834">
        <v>478</v>
      </c>
      <c r="F2108" t="s" s="834">
        <v>478</v>
      </c>
      <c r="G2108" s="570"/>
      <c r="H2108" s="570"/>
      <c r="I2108" s="570"/>
      <c r="J2108" s="570"/>
      <c r="K2108" s="570"/>
    </row>
    <row r="2109" ht="13.75" customHeight="1">
      <c r="A2109" s="833">
        <v>370</v>
      </c>
      <c r="B2109" t="s" s="834">
        <v>1530</v>
      </c>
      <c r="C2109" t="s" s="834">
        <v>1528</v>
      </c>
      <c r="D2109" s="835">
        <v>46036</v>
      </c>
      <c r="E2109" t="s" s="834">
        <v>478</v>
      </c>
      <c r="F2109" t="s" s="834">
        <v>478</v>
      </c>
      <c r="G2109" s="570"/>
      <c r="H2109" s="570"/>
      <c r="I2109" s="570"/>
      <c r="J2109" s="570"/>
      <c r="K2109" s="570"/>
    </row>
    <row r="2110" ht="13.75" customHeight="1">
      <c r="A2110" s="833">
        <v>370</v>
      </c>
      <c r="B2110" t="s" s="834">
        <v>1530</v>
      </c>
      <c r="C2110" t="s" s="834">
        <v>1528</v>
      </c>
      <c r="D2110" s="835">
        <v>46037</v>
      </c>
      <c r="E2110" t="s" s="834">
        <v>478</v>
      </c>
      <c r="F2110" t="s" s="834">
        <v>478</v>
      </c>
      <c r="G2110" s="570"/>
      <c r="H2110" s="570"/>
      <c r="I2110" s="570"/>
      <c r="J2110" s="570"/>
      <c r="K2110" s="570"/>
    </row>
    <row r="2111" ht="13.75" customHeight="1">
      <c r="A2111" s="833">
        <v>370</v>
      </c>
      <c r="B2111" t="s" s="834">
        <v>1530</v>
      </c>
      <c r="C2111" t="s" s="834">
        <v>1528</v>
      </c>
      <c r="D2111" s="835">
        <v>46038</v>
      </c>
      <c r="E2111" t="s" s="834">
        <v>478</v>
      </c>
      <c r="F2111" t="s" s="834">
        <v>478</v>
      </c>
      <c r="G2111" s="570"/>
      <c r="H2111" s="570"/>
      <c r="I2111" s="570"/>
      <c r="J2111" s="570"/>
      <c r="K2111" s="570"/>
    </row>
    <row r="2112" ht="13.75" customHeight="1">
      <c r="A2112" s="833">
        <v>370</v>
      </c>
      <c r="B2112" t="s" s="834">
        <v>1530</v>
      </c>
      <c r="C2112" t="s" s="834">
        <v>1528</v>
      </c>
      <c r="D2112" s="835">
        <v>46039</v>
      </c>
      <c r="E2112" t="s" s="834">
        <v>478</v>
      </c>
      <c r="F2112" t="s" s="834">
        <v>478</v>
      </c>
      <c r="G2112" s="570"/>
      <c r="H2112" s="570"/>
      <c r="I2112" s="570"/>
      <c r="J2112" s="570"/>
      <c r="K2112" s="570"/>
    </row>
    <row r="2113" ht="13.75" customHeight="1">
      <c r="A2113" s="833">
        <v>370</v>
      </c>
      <c r="B2113" t="s" s="834">
        <v>1530</v>
      </c>
      <c r="C2113" t="s" s="834">
        <v>1528</v>
      </c>
      <c r="D2113" s="835">
        <v>46040</v>
      </c>
      <c r="E2113" t="s" s="834">
        <v>478</v>
      </c>
      <c r="F2113" t="s" s="834">
        <v>478</v>
      </c>
      <c r="G2113" s="570"/>
      <c r="H2113" s="570"/>
      <c r="I2113" s="570"/>
      <c r="J2113" s="570"/>
      <c r="K2113" s="570"/>
    </row>
    <row r="2114" ht="13.75" customHeight="1">
      <c r="A2114" s="833">
        <v>370</v>
      </c>
      <c r="B2114" t="s" s="834">
        <v>1530</v>
      </c>
      <c r="C2114" t="s" s="834">
        <v>1528</v>
      </c>
      <c r="D2114" s="835">
        <v>46041</v>
      </c>
      <c r="E2114" t="s" s="834">
        <v>478</v>
      </c>
      <c r="F2114" t="s" s="834">
        <v>478</v>
      </c>
      <c r="G2114" s="570"/>
      <c r="H2114" s="570"/>
      <c r="I2114" s="570"/>
      <c r="J2114" s="570"/>
      <c r="K2114" s="570"/>
    </row>
    <row r="2115" ht="13.75" customHeight="1">
      <c r="A2115" s="833">
        <v>370</v>
      </c>
      <c r="B2115" t="s" s="834">
        <v>1530</v>
      </c>
      <c r="C2115" t="s" s="834">
        <v>1528</v>
      </c>
      <c r="D2115" s="835">
        <v>46042</v>
      </c>
      <c r="E2115" t="s" s="834">
        <v>478</v>
      </c>
      <c r="F2115" t="s" s="834">
        <v>478</v>
      </c>
      <c r="G2115" s="570"/>
      <c r="H2115" s="570"/>
      <c r="I2115" s="570"/>
      <c r="J2115" s="570"/>
      <c r="K2115" s="570"/>
    </row>
    <row r="2116" ht="13.75" customHeight="1">
      <c r="A2116" s="833">
        <v>370</v>
      </c>
      <c r="B2116" t="s" s="834">
        <v>1530</v>
      </c>
      <c r="C2116" t="s" s="834">
        <v>1528</v>
      </c>
      <c r="D2116" s="835">
        <v>46043</v>
      </c>
      <c r="E2116" t="s" s="834">
        <v>478</v>
      </c>
      <c r="F2116" t="s" s="834">
        <v>478</v>
      </c>
      <c r="G2116" s="570"/>
      <c r="H2116" s="570"/>
      <c r="I2116" s="570"/>
      <c r="J2116" s="570"/>
      <c r="K2116" s="570"/>
    </row>
    <row r="2117" ht="13.75" customHeight="1">
      <c r="A2117" s="833">
        <v>370</v>
      </c>
      <c r="B2117" t="s" s="834">
        <v>1530</v>
      </c>
      <c r="C2117" t="s" s="834">
        <v>1528</v>
      </c>
      <c r="D2117" s="835">
        <v>46044</v>
      </c>
      <c r="E2117" t="s" s="834">
        <v>478</v>
      </c>
      <c r="F2117" t="s" s="834">
        <v>478</v>
      </c>
      <c r="G2117" s="570"/>
      <c r="H2117" s="570"/>
      <c r="I2117" s="570"/>
      <c r="J2117" s="570"/>
      <c r="K2117" s="570"/>
    </row>
    <row r="2118" ht="13.75" customHeight="1">
      <c r="A2118" s="833">
        <v>370</v>
      </c>
      <c r="B2118" t="s" s="834">
        <v>1530</v>
      </c>
      <c r="C2118" t="s" s="834">
        <v>1528</v>
      </c>
      <c r="D2118" s="835">
        <v>46045</v>
      </c>
      <c r="E2118" t="s" s="834">
        <v>478</v>
      </c>
      <c r="F2118" t="s" s="834">
        <v>478</v>
      </c>
      <c r="G2118" s="570"/>
      <c r="H2118" s="570"/>
      <c r="I2118" s="570"/>
      <c r="J2118" s="570"/>
      <c r="K2118" s="570"/>
    </row>
    <row r="2119" ht="13.75" customHeight="1">
      <c r="A2119" s="833">
        <v>370</v>
      </c>
      <c r="B2119" t="s" s="834">
        <v>1530</v>
      </c>
      <c r="C2119" t="s" s="834">
        <v>1528</v>
      </c>
      <c r="D2119" s="835">
        <v>46046</v>
      </c>
      <c r="E2119" t="s" s="834">
        <v>478</v>
      </c>
      <c r="F2119" t="s" s="834">
        <v>478</v>
      </c>
      <c r="G2119" s="570"/>
      <c r="H2119" s="570"/>
      <c r="I2119" s="570"/>
      <c r="J2119" s="570"/>
      <c r="K2119" s="570"/>
    </row>
    <row r="2120" ht="13.75" customHeight="1">
      <c r="A2120" s="833">
        <v>370</v>
      </c>
      <c r="B2120" t="s" s="834">
        <v>1530</v>
      </c>
      <c r="C2120" t="s" s="834">
        <v>1528</v>
      </c>
      <c r="D2120" s="835">
        <v>46047</v>
      </c>
      <c r="E2120" t="s" s="834">
        <v>478</v>
      </c>
      <c r="F2120" t="s" s="834">
        <v>478</v>
      </c>
      <c r="G2120" s="570"/>
      <c r="H2120" s="570"/>
      <c r="I2120" s="570"/>
      <c r="J2120" s="570"/>
      <c r="K2120" s="570"/>
    </row>
    <row r="2121" ht="13.75" customHeight="1">
      <c r="A2121" s="833">
        <v>370</v>
      </c>
      <c r="B2121" t="s" s="834">
        <v>1530</v>
      </c>
      <c r="C2121" t="s" s="834">
        <v>1528</v>
      </c>
      <c r="D2121" s="835">
        <v>46048</v>
      </c>
      <c r="E2121" t="s" s="834">
        <v>478</v>
      </c>
      <c r="F2121" t="s" s="834">
        <v>478</v>
      </c>
      <c r="G2121" s="570"/>
      <c r="H2121" s="570"/>
      <c r="I2121" s="570"/>
      <c r="J2121" s="570"/>
      <c r="K2121" s="570"/>
    </row>
    <row r="2122" ht="13.75" customHeight="1">
      <c r="A2122" s="833">
        <v>370</v>
      </c>
      <c r="B2122" t="s" s="834">
        <v>1530</v>
      </c>
      <c r="C2122" t="s" s="834">
        <v>1528</v>
      </c>
      <c r="D2122" s="835">
        <v>46049</v>
      </c>
      <c r="E2122" t="s" s="834">
        <v>478</v>
      </c>
      <c r="F2122" t="s" s="834">
        <v>478</v>
      </c>
      <c r="G2122" s="570"/>
      <c r="H2122" s="570"/>
      <c r="I2122" s="570"/>
      <c r="J2122" s="570"/>
      <c r="K2122" s="570"/>
    </row>
    <row r="2123" ht="13.75" customHeight="1">
      <c r="A2123" s="833">
        <v>370</v>
      </c>
      <c r="B2123" t="s" s="834">
        <v>1530</v>
      </c>
      <c r="C2123" t="s" s="834">
        <v>1528</v>
      </c>
      <c r="D2123" s="835">
        <v>46050</v>
      </c>
      <c r="E2123" t="s" s="834">
        <v>478</v>
      </c>
      <c r="F2123" t="s" s="834">
        <v>478</v>
      </c>
      <c r="G2123" s="570"/>
      <c r="H2123" s="570"/>
      <c r="I2123" s="570"/>
      <c r="J2123" s="570"/>
      <c r="K2123" s="570"/>
    </row>
    <row r="2124" ht="13.75" customHeight="1">
      <c r="A2124" s="833">
        <v>370</v>
      </c>
      <c r="B2124" t="s" s="834">
        <v>1530</v>
      </c>
      <c r="C2124" t="s" s="834">
        <v>1528</v>
      </c>
      <c r="D2124" s="835">
        <v>46051</v>
      </c>
      <c r="E2124" t="s" s="834">
        <v>478</v>
      </c>
      <c r="F2124" t="s" s="834">
        <v>478</v>
      </c>
      <c r="G2124" s="570"/>
      <c r="H2124" s="570"/>
      <c r="I2124" s="570"/>
      <c r="J2124" s="570"/>
      <c r="K2124" s="570"/>
    </row>
    <row r="2125" ht="13.75" customHeight="1">
      <c r="A2125" s="833">
        <v>370</v>
      </c>
      <c r="B2125" t="s" s="834">
        <v>1530</v>
      </c>
      <c r="C2125" t="s" s="834">
        <v>1528</v>
      </c>
      <c r="D2125" s="835">
        <v>46052</v>
      </c>
      <c r="E2125" t="s" s="834">
        <v>478</v>
      </c>
      <c r="F2125" t="s" s="834">
        <v>478</v>
      </c>
      <c r="G2125" s="570"/>
      <c r="H2125" s="570"/>
      <c r="I2125" s="570"/>
      <c r="J2125" s="570"/>
      <c r="K2125" s="570"/>
    </row>
    <row r="2126" ht="13.75" customHeight="1">
      <c r="A2126" s="833">
        <v>370</v>
      </c>
      <c r="B2126" t="s" s="834">
        <v>1530</v>
      </c>
      <c r="C2126" t="s" s="834">
        <v>1528</v>
      </c>
      <c r="D2126" s="835">
        <v>46053</v>
      </c>
      <c r="E2126" t="s" s="834">
        <v>478</v>
      </c>
      <c r="F2126" t="s" s="834">
        <v>478</v>
      </c>
      <c r="G2126" s="570"/>
      <c r="H2126" s="570"/>
      <c r="I2126" s="570"/>
      <c r="J2126" s="570"/>
      <c r="K2126" s="570"/>
    </row>
    <row r="2127" ht="13.75" customHeight="1">
      <c r="A2127" s="833">
        <v>370</v>
      </c>
      <c r="B2127" t="s" s="834">
        <v>1530</v>
      </c>
      <c r="C2127" t="s" s="834">
        <v>1528</v>
      </c>
      <c r="D2127" s="835">
        <v>46054</v>
      </c>
      <c r="E2127" t="s" s="834">
        <v>478</v>
      </c>
      <c r="F2127" t="s" s="834">
        <v>478</v>
      </c>
      <c r="G2127" s="570"/>
      <c r="H2127" s="570"/>
      <c r="I2127" s="570"/>
      <c r="J2127" s="570"/>
      <c r="K2127" s="570"/>
    </row>
    <row r="2128" ht="13.75" customHeight="1">
      <c r="A2128" s="833">
        <v>564</v>
      </c>
      <c r="B2128" t="s" s="834">
        <v>1531</v>
      </c>
      <c r="C2128" t="s" s="834">
        <v>1010</v>
      </c>
      <c r="D2128" s="835">
        <v>46023</v>
      </c>
      <c r="E2128" t="s" s="834">
        <v>478</v>
      </c>
      <c r="F2128" t="s" s="834">
        <v>478</v>
      </c>
      <c r="G2128" s="570"/>
      <c r="H2128" s="570"/>
      <c r="I2128" s="570"/>
      <c r="J2128" s="570"/>
      <c r="K2128" s="570"/>
    </row>
    <row r="2129" ht="13.75" customHeight="1">
      <c r="A2129" s="833">
        <v>564</v>
      </c>
      <c r="B2129" t="s" s="834">
        <v>1531</v>
      </c>
      <c r="C2129" t="s" s="834">
        <v>1010</v>
      </c>
      <c r="D2129" s="835">
        <v>46024</v>
      </c>
      <c r="E2129" t="s" s="834">
        <v>478</v>
      </c>
      <c r="F2129" t="s" s="834">
        <v>478</v>
      </c>
      <c r="G2129" s="570"/>
      <c r="H2129" s="570"/>
      <c r="I2129" s="570"/>
      <c r="J2129" s="570"/>
      <c r="K2129" s="570"/>
    </row>
    <row r="2130" ht="13.75" customHeight="1">
      <c r="A2130" s="833">
        <v>564</v>
      </c>
      <c r="B2130" t="s" s="834">
        <v>1531</v>
      </c>
      <c r="C2130" t="s" s="834">
        <v>1010</v>
      </c>
      <c r="D2130" s="835">
        <v>46025</v>
      </c>
      <c r="E2130" t="s" s="834">
        <v>478</v>
      </c>
      <c r="F2130" t="s" s="834">
        <v>478</v>
      </c>
      <c r="G2130" s="570"/>
      <c r="H2130" s="570"/>
      <c r="I2130" s="570"/>
      <c r="J2130" s="570"/>
      <c r="K2130" s="570"/>
    </row>
    <row r="2131" ht="13.75" customHeight="1">
      <c r="A2131" s="833">
        <v>564</v>
      </c>
      <c r="B2131" t="s" s="834">
        <v>1531</v>
      </c>
      <c r="C2131" t="s" s="834">
        <v>1010</v>
      </c>
      <c r="D2131" s="835">
        <v>46026</v>
      </c>
      <c r="E2131" t="s" s="834">
        <v>478</v>
      </c>
      <c r="F2131" t="s" s="834">
        <v>478</v>
      </c>
      <c r="G2131" s="570"/>
      <c r="H2131" s="570"/>
      <c r="I2131" s="570"/>
      <c r="J2131" s="570"/>
      <c r="K2131" s="570"/>
    </row>
    <row r="2132" ht="13.75" customHeight="1">
      <c r="A2132" s="833">
        <v>564</v>
      </c>
      <c r="B2132" t="s" s="834">
        <v>1531</v>
      </c>
      <c r="C2132" t="s" s="834">
        <v>1010</v>
      </c>
      <c r="D2132" s="835">
        <v>46027</v>
      </c>
      <c r="E2132" t="s" s="834">
        <v>478</v>
      </c>
      <c r="F2132" t="s" s="834">
        <v>478</v>
      </c>
      <c r="G2132" s="570"/>
      <c r="H2132" s="570"/>
      <c r="I2132" s="570"/>
      <c r="J2132" s="570"/>
      <c r="K2132" s="570"/>
    </row>
    <row r="2133" ht="13.75" customHeight="1">
      <c r="A2133" s="833">
        <v>564</v>
      </c>
      <c r="B2133" t="s" s="834">
        <v>1531</v>
      </c>
      <c r="C2133" t="s" s="834">
        <v>1010</v>
      </c>
      <c r="D2133" s="835">
        <v>46028</v>
      </c>
      <c r="E2133" t="s" s="834">
        <v>478</v>
      </c>
      <c r="F2133" t="s" s="834">
        <v>478</v>
      </c>
      <c r="G2133" s="570"/>
      <c r="H2133" s="570"/>
      <c r="I2133" s="570"/>
      <c r="J2133" s="570"/>
      <c r="K2133" s="570"/>
    </row>
    <row r="2134" ht="13.75" customHeight="1">
      <c r="A2134" s="833">
        <v>564</v>
      </c>
      <c r="B2134" t="s" s="834">
        <v>1531</v>
      </c>
      <c r="C2134" t="s" s="834">
        <v>1010</v>
      </c>
      <c r="D2134" s="835">
        <v>46029</v>
      </c>
      <c r="E2134" t="s" s="834">
        <v>478</v>
      </c>
      <c r="F2134" t="s" s="834">
        <v>478</v>
      </c>
      <c r="G2134" s="570"/>
      <c r="H2134" s="570"/>
      <c r="I2134" s="570"/>
      <c r="J2134" s="570"/>
      <c r="K2134" s="570"/>
    </row>
    <row r="2135" ht="13.75" customHeight="1">
      <c r="A2135" s="833">
        <v>564</v>
      </c>
      <c r="B2135" t="s" s="834">
        <v>1531</v>
      </c>
      <c r="C2135" t="s" s="834">
        <v>1010</v>
      </c>
      <c r="D2135" s="835">
        <v>46030</v>
      </c>
      <c r="E2135" s="836">
        <v>1.737962962962963</v>
      </c>
      <c r="F2135" s="836">
        <v>1.808773148148148</v>
      </c>
      <c r="G2135" s="570"/>
      <c r="H2135" s="570"/>
      <c r="I2135" s="570"/>
      <c r="J2135" s="570"/>
      <c r="K2135" s="570"/>
    </row>
    <row r="2136" ht="13.75" customHeight="1">
      <c r="A2136" t="s" s="834">
        <v>1532</v>
      </c>
      <c r="B2136" t="s" s="834">
        <v>1533</v>
      </c>
      <c r="C2136" t="s" s="834">
        <v>1534</v>
      </c>
      <c r="D2136" s="570"/>
      <c r="E2136" s="570"/>
      <c r="F2136" s="570"/>
      <c r="G2136" s="570"/>
      <c r="H2136" s="570"/>
      <c r="I2136" s="570"/>
      <c r="J2136" s="570"/>
      <c r="K2136" s="570"/>
    </row>
    <row r="2137" ht="13.75" customHeight="1">
      <c r="A2137" s="833">
        <v>564</v>
      </c>
      <c r="B2137" t="s" s="834">
        <v>1531</v>
      </c>
      <c r="C2137" t="s" s="834">
        <v>1010</v>
      </c>
      <c r="D2137" s="835">
        <v>46031</v>
      </c>
      <c r="E2137" s="836">
        <v>1.307789351851852</v>
      </c>
      <c r="F2137" s="836">
        <v>1.800810185185185</v>
      </c>
      <c r="G2137" s="570"/>
      <c r="H2137" s="570"/>
      <c r="I2137" s="570"/>
      <c r="J2137" s="570"/>
      <c r="K2137" s="570"/>
    </row>
    <row r="2138" ht="13.75" customHeight="1">
      <c r="A2138" t="s" s="834">
        <v>1535</v>
      </c>
      <c r="B2138" t="s" s="834">
        <v>1536</v>
      </c>
      <c r="C2138" t="s" s="834">
        <v>1537</v>
      </c>
      <c r="D2138" s="570"/>
      <c r="E2138" s="570"/>
      <c r="F2138" s="570"/>
      <c r="G2138" s="570"/>
      <c r="H2138" s="570"/>
      <c r="I2138" s="570"/>
      <c r="J2138" s="570"/>
      <c r="K2138" s="570"/>
    </row>
    <row r="2139" ht="13.75" customHeight="1">
      <c r="A2139" s="833">
        <v>564</v>
      </c>
      <c r="B2139" t="s" s="834">
        <v>1531</v>
      </c>
      <c r="C2139" t="s" s="834">
        <v>1010</v>
      </c>
      <c r="D2139" s="835">
        <v>46032</v>
      </c>
      <c r="E2139" s="836">
        <v>1.371006944444444</v>
      </c>
      <c r="F2139" s="836">
        <v>1.790069444444444</v>
      </c>
      <c r="G2139" s="570"/>
      <c r="H2139" s="570"/>
      <c r="I2139" s="570"/>
      <c r="J2139" s="570"/>
      <c r="K2139" s="570"/>
    </row>
    <row r="2140" ht="13.75" customHeight="1">
      <c r="A2140" t="s" s="834">
        <v>1538</v>
      </c>
      <c r="B2140" t="s" s="834">
        <v>1539</v>
      </c>
      <c r="C2140" t="s" s="834">
        <v>1280</v>
      </c>
      <c r="D2140" s="570"/>
      <c r="E2140" s="570"/>
      <c r="F2140" s="570"/>
      <c r="G2140" s="570"/>
      <c r="H2140" s="570"/>
      <c r="I2140" s="570"/>
      <c r="J2140" s="570"/>
      <c r="K2140" s="570"/>
    </row>
    <row r="2141" ht="13.75" customHeight="1">
      <c r="A2141" s="833">
        <v>564</v>
      </c>
      <c r="B2141" t="s" s="834">
        <v>1531</v>
      </c>
      <c r="C2141" t="s" s="834">
        <v>1010</v>
      </c>
      <c r="D2141" s="835">
        <v>46033</v>
      </c>
      <c r="E2141" t="s" s="834">
        <v>478</v>
      </c>
      <c r="F2141" t="s" s="834">
        <v>478</v>
      </c>
      <c r="G2141" s="570"/>
      <c r="H2141" s="570"/>
      <c r="I2141" s="570"/>
      <c r="J2141" s="570"/>
      <c r="K2141" s="570"/>
    </row>
    <row r="2142" ht="13.75" customHeight="1">
      <c r="A2142" s="833">
        <v>564</v>
      </c>
      <c r="B2142" t="s" s="834">
        <v>1531</v>
      </c>
      <c r="C2142" t="s" s="834">
        <v>1010</v>
      </c>
      <c r="D2142" s="835">
        <v>46034</v>
      </c>
      <c r="E2142" s="836">
        <v>1.373946759259259</v>
      </c>
      <c r="F2142" s="836">
        <v>1.819803240740741</v>
      </c>
      <c r="G2142" s="570"/>
      <c r="H2142" s="570"/>
      <c r="I2142" s="570"/>
      <c r="J2142" s="570"/>
      <c r="K2142" s="570"/>
    </row>
    <row r="2143" ht="13.75" customHeight="1">
      <c r="A2143" t="s" s="834">
        <v>1540</v>
      </c>
      <c r="B2143" t="s" s="834">
        <v>1541</v>
      </c>
      <c r="C2143" t="s" s="834">
        <v>1542</v>
      </c>
      <c r="D2143" s="570"/>
      <c r="E2143" s="570"/>
      <c r="F2143" s="570"/>
      <c r="G2143" s="570"/>
      <c r="H2143" s="570"/>
      <c r="I2143" s="570"/>
      <c r="J2143" s="570"/>
      <c r="K2143" s="570"/>
    </row>
    <row r="2144" ht="13.75" customHeight="1">
      <c r="A2144" s="833">
        <v>564</v>
      </c>
      <c r="B2144" t="s" s="834">
        <v>1531</v>
      </c>
      <c r="C2144" t="s" s="834">
        <v>1010</v>
      </c>
      <c r="D2144" s="835">
        <v>46035</v>
      </c>
      <c r="E2144" s="836">
        <v>1.363113425925926</v>
      </c>
      <c r="F2144" s="836">
        <v>1.787731481481482</v>
      </c>
      <c r="G2144" s="570"/>
      <c r="H2144" s="570"/>
      <c r="I2144" s="570"/>
      <c r="J2144" s="570"/>
      <c r="K2144" s="570"/>
    </row>
    <row r="2145" ht="13.75" customHeight="1">
      <c r="A2145" t="s" s="834">
        <v>1543</v>
      </c>
      <c r="B2145" t="s" s="834">
        <v>1544</v>
      </c>
      <c r="C2145" t="s" s="834">
        <v>623</v>
      </c>
      <c r="D2145" s="570"/>
      <c r="E2145" s="570"/>
      <c r="F2145" s="570"/>
      <c r="G2145" s="570"/>
      <c r="H2145" s="570"/>
      <c r="I2145" s="570"/>
      <c r="J2145" s="570"/>
      <c r="K2145" s="570"/>
    </row>
    <row r="2146" ht="13.75" customHeight="1">
      <c r="A2146" s="833">
        <v>564</v>
      </c>
      <c r="B2146" t="s" s="834">
        <v>1531</v>
      </c>
      <c r="C2146" t="s" s="834">
        <v>1010</v>
      </c>
      <c r="D2146" s="835">
        <v>46036</v>
      </c>
      <c r="E2146" s="836">
        <v>1.366412037037037</v>
      </c>
      <c r="F2146" s="836">
        <v>1.780034722222222</v>
      </c>
      <c r="G2146" s="570"/>
      <c r="H2146" s="570"/>
      <c r="I2146" s="570"/>
      <c r="J2146" s="570"/>
      <c r="K2146" s="570"/>
    </row>
    <row r="2147" ht="13.75" customHeight="1">
      <c r="A2147" t="s" s="834">
        <v>1545</v>
      </c>
      <c r="B2147" t="s" s="834">
        <v>1546</v>
      </c>
      <c r="C2147" t="s" s="834">
        <v>637</v>
      </c>
      <c r="D2147" s="570"/>
      <c r="E2147" s="570"/>
      <c r="F2147" s="570"/>
      <c r="G2147" s="570"/>
      <c r="H2147" s="570"/>
      <c r="I2147" s="570"/>
      <c r="J2147" s="570"/>
      <c r="K2147" s="570"/>
    </row>
    <row r="2148" ht="13.75" customHeight="1">
      <c r="A2148" s="833">
        <v>564</v>
      </c>
      <c r="B2148" t="s" s="834">
        <v>1531</v>
      </c>
      <c r="C2148" t="s" s="834">
        <v>1010</v>
      </c>
      <c r="D2148" s="835">
        <v>46037</v>
      </c>
      <c r="E2148" s="836">
        <v>1.368321759259259</v>
      </c>
      <c r="F2148" s="836">
        <v>1.794513888888889</v>
      </c>
      <c r="G2148" s="570"/>
      <c r="H2148" s="570"/>
      <c r="I2148" s="570"/>
      <c r="J2148" s="570"/>
      <c r="K2148" s="570"/>
    </row>
    <row r="2149" ht="13.75" customHeight="1">
      <c r="A2149" t="s" s="834">
        <v>1547</v>
      </c>
      <c r="B2149" t="s" s="834">
        <v>1548</v>
      </c>
      <c r="C2149" t="s" s="834">
        <v>1549</v>
      </c>
      <c r="D2149" s="570"/>
      <c r="E2149" s="570"/>
      <c r="F2149" s="570"/>
      <c r="G2149" s="570"/>
      <c r="H2149" s="570"/>
      <c r="I2149" s="570"/>
      <c r="J2149" s="570"/>
      <c r="K2149" s="570"/>
    </row>
    <row r="2150" ht="13.75" customHeight="1">
      <c r="A2150" s="833">
        <v>564</v>
      </c>
      <c r="B2150" t="s" s="834">
        <v>1531</v>
      </c>
      <c r="C2150" t="s" s="834">
        <v>1010</v>
      </c>
      <c r="D2150" s="835">
        <v>46038</v>
      </c>
      <c r="E2150" s="836">
        <v>1.569618055555555</v>
      </c>
      <c r="F2150" s="836">
        <v>1.760277777777778</v>
      </c>
      <c r="G2150" s="570"/>
      <c r="H2150" s="570"/>
      <c r="I2150" s="570"/>
      <c r="J2150" s="570"/>
      <c r="K2150" s="570"/>
    </row>
    <row r="2151" ht="13.75" customHeight="1">
      <c r="A2151" t="s" s="834">
        <v>1550</v>
      </c>
      <c r="B2151" t="s" s="834">
        <v>1551</v>
      </c>
      <c r="C2151" t="s" s="834">
        <v>1078</v>
      </c>
      <c r="D2151" s="570"/>
      <c r="E2151" s="570"/>
      <c r="F2151" s="570"/>
      <c r="G2151" s="570"/>
      <c r="H2151" s="570"/>
      <c r="I2151" s="570"/>
      <c r="J2151" s="570"/>
      <c r="K2151" s="570"/>
    </row>
    <row r="2152" ht="13.75" customHeight="1">
      <c r="A2152" s="833">
        <v>564</v>
      </c>
      <c r="B2152" t="s" s="834">
        <v>1531</v>
      </c>
      <c r="C2152" t="s" s="834">
        <v>1010</v>
      </c>
      <c r="D2152" s="835">
        <v>46039</v>
      </c>
      <c r="E2152" t="s" s="834">
        <v>478</v>
      </c>
      <c r="F2152" t="s" s="834">
        <v>478</v>
      </c>
      <c r="G2152" s="570"/>
      <c r="H2152" s="570"/>
      <c r="I2152" s="570"/>
      <c r="J2152" s="570"/>
      <c r="K2152" s="570"/>
    </row>
    <row r="2153" ht="13.75" customHeight="1">
      <c r="A2153" s="833">
        <v>564</v>
      </c>
      <c r="B2153" t="s" s="834">
        <v>1531</v>
      </c>
      <c r="C2153" t="s" s="834">
        <v>1010</v>
      </c>
      <c r="D2153" s="835">
        <v>46040</v>
      </c>
      <c r="E2153" t="s" s="834">
        <v>478</v>
      </c>
      <c r="F2153" t="s" s="834">
        <v>478</v>
      </c>
      <c r="G2153" s="570"/>
      <c r="H2153" s="570"/>
      <c r="I2153" s="570"/>
      <c r="J2153" s="570"/>
      <c r="K2153" s="570"/>
    </row>
    <row r="2154" ht="13.75" customHeight="1">
      <c r="A2154" s="833">
        <v>564</v>
      </c>
      <c r="B2154" t="s" s="834">
        <v>1531</v>
      </c>
      <c r="C2154" t="s" s="834">
        <v>1010</v>
      </c>
      <c r="D2154" s="835">
        <v>46041</v>
      </c>
      <c r="E2154" s="836">
        <v>1.364930555555556</v>
      </c>
      <c r="F2154" s="836">
        <v>1.528645833333333</v>
      </c>
      <c r="G2154" s="570"/>
      <c r="H2154" s="570"/>
      <c r="I2154" s="570"/>
      <c r="J2154" s="570"/>
      <c r="K2154" s="570"/>
    </row>
    <row r="2155" ht="13.75" customHeight="1">
      <c r="A2155" t="s" s="834">
        <v>1552</v>
      </c>
      <c r="B2155" t="s" s="834">
        <v>1553</v>
      </c>
      <c r="C2155" t="s" s="834">
        <v>1554</v>
      </c>
      <c r="D2155" s="570"/>
      <c r="E2155" s="570"/>
      <c r="F2155" s="570"/>
      <c r="G2155" s="570"/>
      <c r="H2155" s="570"/>
      <c r="I2155" s="570"/>
      <c r="J2155" s="570"/>
      <c r="K2155" s="570"/>
    </row>
    <row r="2156" ht="13.75" customHeight="1">
      <c r="A2156" s="833">
        <v>564</v>
      </c>
      <c r="B2156" t="s" s="834">
        <v>1531</v>
      </c>
      <c r="C2156" t="s" s="834">
        <v>1010</v>
      </c>
      <c r="D2156" s="835">
        <v>46042</v>
      </c>
      <c r="E2156" s="836">
        <v>1.365717592592593</v>
      </c>
      <c r="F2156" s="836">
        <v>1.829131944444444</v>
      </c>
      <c r="G2156" s="570"/>
      <c r="H2156" s="570"/>
      <c r="I2156" s="570"/>
      <c r="J2156" s="570"/>
      <c r="K2156" s="570"/>
    </row>
    <row r="2157" ht="13.75" customHeight="1">
      <c r="A2157" t="s" s="834">
        <v>1555</v>
      </c>
      <c r="B2157" t="s" s="834">
        <v>1556</v>
      </c>
      <c r="C2157" t="s" s="834">
        <v>935</v>
      </c>
      <c r="D2157" s="570"/>
      <c r="E2157" s="570"/>
      <c r="F2157" s="570"/>
      <c r="G2157" s="570"/>
      <c r="H2157" s="570"/>
      <c r="I2157" s="570"/>
      <c r="J2157" s="570"/>
      <c r="K2157" s="570"/>
    </row>
    <row r="2158" ht="13.75" customHeight="1">
      <c r="A2158" s="833">
        <v>564</v>
      </c>
      <c r="B2158" t="s" s="834">
        <v>1531</v>
      </c>
      <c r="C2158" t="s" s="834">
        <v>1010</v>
      </c>
      <c r="D2158" s="835">
        <v>46043</v>
      </c>
      <c r="E2158" s="836">
        <v>1.36474537037037</v>
      </c>
      <c r="F2158" s="836">
        <v>1.803136574074074</v>
      </c>
      <c r="G2158" s="570"/>
      <c r="H2158" s="570"/>
      <c r="I2158" s="570"/>
      <c r="J2158" s="570"/>
      <c r="K2158" s="570"/>
    </row>
    <row r="2159" ht="13.75" customHeight="1">
      <c r="A2159" t="s" s="834">
        <v>1557</v>
      </c>
      <c r="B2159" t="s" s="834">
        <v>1558</v>
      </c>
      <c r="C2159" t="s" s="834">
        <v>1030</v>
      </c>
      <c r="D2159" s="570"/>
      <c r="E2159" s="570"/>
      <c r="F2159" s="570"/>
      <c r="G2159" s="570"/>
      <c r="H2159" s="570"/>
      <c r="I2159" s="570"/>
      <c r="J2159" s="570"/>
      <c r="K2159" s="570"/>
    </row>
    <row r="2160" ht="13.75" customHeight="1">
      <c r="A2160" s="833">
        <v>564</v>
      </c>
      <c r="B2160" t="s" s="834">
        <v>1531</v>
      </c>
      <c r="C2160" t="s" s="834">
        <v>1010</v>
      </c>
      <c r="D2160" s="835">
        <v>46044</v>
      </c>
      <c r="E2160" t="s" s="834">
        <v>478</v>
      </c>
      <c r="F2160" t="s" s="834">
        <v>478</v>
      </c>
      <c r="G2160" s="570"/>
      <c r="H2160" s="570"/>
      <c r="I2160" s="570"/>
      <c r="J2160" s="570"/>
      <c r="K2160" s="570"/>
    </row>
    <row r="2161" ht="13.75" customHeight="1">
      <c r="A2161" s="833">
        <v>564</v>
      </c>
      <c r="B2161" t="s" s="834">
        <v>1531</v>
      </c>
      <c r="C2161" t="s" s="834">
        <v>1010</v>
      </c>
      <c r="D2161" s="835">
        <v>46045</v>
      </c>
      <c r="E2161" t="s" s="834">
        <v>478</v>
      </c>
      <c r="F2161" t="s" s="834">
        <v>478</v>
      </c>
      <c r="G2161" s="570"/>
      <c r="H2161" s="570"/>
      <c r="I2161" s="570"/>
      <c r="J2161" s="570"/>
      <c r="K2161" s="570"/>
    </row>
    <row r="2162" ht="13.75" customHeight="1">
      <c r="A2162" s="833">
        <v>564</v>
      </c>
      <c r="B2162" t="s" s="834">
        <v>1531</v>
      </c>
      <c r="C2162" t="s" s="834">
        <v>1010</v>
      </c>
      <c r="D2162" s="835">
        <v>46046</v>
      </c>
      <c r="E2162" t="s" s="834">
        <v>478</v>
      </c>
      <c r="F2162" t="s" s="834">
        <v>478</v>
      </c>
      <c r="G2162" s="570"/>
      <c r="H2162" s="570"/>
      <c r="I2162" s="570"/>
      <c r="J2162" s="570"/>
      <c r="K2162" s="570"/>
    </row>
    <row r="2163" ht="13.75" customHeight="1">
      <c r="A2163" s="833">
        <v>564</v>
      </c>
      <c r="B2163" t="s" s="834">
        <v>1531</v>
      </c>
      <c r="C2163" t="s" s="834">
        <v>1010</v>
      </c>
      <c r="D2163" s="835">
        <v>46047</v>
      </c>
      <c r="E2163" t="s" s="834">
        <v>478</v>
      </c>
      <c r="F2163" t="s" s="834">
        <v>478</v>
      </c>
      <c r="G2163" s="570"/>
      <c r="H2163" s="570"/>
      <c r="I2163" s="570"/>
      <c r="J2163" s="570"/>
      <c r="K2163" s="570"/>
    </row>
    <row r="2164" ht="13.75" customHeight="1">
      <c r="A2164" s="833">
        <v>564</v>
      </c>
      <c r="B2164" t="s" s="834">
        <v>1531</v>
      </c>
      <c r="C2164" t="s" s="834">
        <v>1010</v>
      </c>
      <c r="D2164" s="835">
        <v>46048</v>
      </c>
      <c r="E2164" s="836">
        <v>1.366365740740741</v>
      </c>
      <c r="F2164" s="836">
        <v>1.772974537037037</v>
      </c>
      <c r="G2164" s="570"/>
      <c r="H2164" s="570"/>
      <c r="I2164" s="570"/>
      <c r="J2164" s="570"/>
      <c r="K2164" s="570"/>
    </row>
    <row r="2165" ht="13.75" customHeight="1">
      <c r="A2165" t="s" s="834">
        <v>1559</v>
      </c>
      <c r="B2165" t="s" s="834">
        <v>1560</v>
      </c>
      <c r="C2165" t="s" s="834">
        <v>1113</v>
      </c>
      <c r="D2165" s="570"/>
      <c r="E2165" s="570"/>
      <c r="F2165" s="570"/>
      <c r="G2165" s="570"/>
      <c r="H2165" s="570"/>
      <c r="I2165" s="570"/>
      <c r="J2165" s="570"/>
      <c r="K2165" s="570"/>
    </row>
    <row r="2166" ht="13.75" customHeight="1">
      <c r="A2166" s="833">
        <v>564</v>
      </c>
      <c r="B2166" t="s" s="834">
        <v>1531</v>
      </c>
      <c r="C2166" t="s" s="834">
        <v>1010</v>
      </c>
      <c r="D2166" s="835">
        <v>46049</v>
      </c>
      <c r="E2166" s="836">
        <v>1.370543981481481</v>
      </c>
      <c r="F2166" s="836">
        <v>1.861365740740741</v>
      </c>
      <c r="G2166" s="570"/>
      <c r="H2166" s="570"/>
      <c r="I2166" s="570"/>
      <c r="J2166" s="570"/>
      <c r="K2166" s="570"/>
    </row>
    <row r="2167" ht="13.75" customHeight="1">
      <c r="A2167" t="s" s="834">
        <v>1561</v>
      </c>
      <c r="B2167" t="s" s="834">
        <v>1562</v>
      </c>
      <c r="C2167" t="s" s="834">
        <v>1563</v>
      </c>
      <c r="D2167" s="570"/>
      <c r="E2167" s="570"/>
      <c r="F2167" s="570"/>
      <c r="G2167" s="570"/>
      <c r="H2167" s="570"/>
      <c r="I2167" s="570"/>
      <c r="J2167" s="570"/>
      <c r="K2167" s="570"/>
    </row>
    <row r="2168" ht="13.75" customHeight="1">
      <c r="A2168" s="833">
        <v>564</v>
      </c>
      <c r="B2168" t="s" s="834">
        <v>1531</v>
      </c>
      <c r="C2168" t="s" s="834">
        <v>1010</v>
      </c>
      <c r="D2168" s="835">
        <v>46050</v>
      </c>
      <c r="E2168" s="836">
        <v>1.372256944444445</v>
      </c>
      <c r="F2168" s="836">
        <v>1.765219907407408</v>
      </c>
      <c r="G2168" s="570"/>
      <c r="H2168" s="570"/>
      <c r="I2168" s="570"/>
      <c r="J2168" s="570"/>
      <c r="K2168" s="570"/>
    </row>
    <row r="2169" ht="13.75" customHeight="1">
      <c r="A2169" t="s" s="834">
        <v>1564</v>
      </c>
      <c r="B2169" t="s" s="834">
        <v>1565</v>
      </c>
      <c r="C2169" t="s" s="834">
        <v>1019</v>
      </c>
      <c r="D2169" s="570"/>
      <c r="E2169" s="570"/>
      <c r="F2169" s="570"/>
      <c r="G2169" s="570"/>
      <c r="H2169" s="570"/>
      <c r="I2169" s="570"/>
      <c r="J2169" s="570"/>
      <c r="K2169" s="570"/>
    </row>
    <row r="2170" ht="13.75" customHeight="1">
      <c r="A2170" s="833">
        <v>564</v>
      </c>
      <c r="B2170" t="s" s="834">
        <v>1531</v>
      </c>
      <c r="C2170" t="s" s="834">
        <v>1010</v>
      </c>
      <c r="D2170" s="835">
        <v>46051</v>
      </c>
      <c r="E2170" s="836">
        <v>1.372569444444445</v>
      </c>
      <c r="F2170" s="836">
        <v>1.786261574074074</v>
      </c>
      <c r="G2170" s="570"/>
      <c r="H2170" s="570"/>
      <c r="I2170" s="570"/>
      <c r="J2170" s="570"/>
      <c r="K2170" s="570"/>
    </row>
    <row r="2171" ht="13.75" customHeight="1">
      <c r="A2171" t="s" s="834">
        <v>1566</v>
      </c>
      <c r="B2171" t="s" s="834">
        <v>1567</v>
      </c>
      <c r="C2171" t="s" s="834">
        <v>637</v>
      </c>
      <c r="D2171" s="570"/>
      <c r="E2171" s="570"/>
      <c r="F2171" s="570"/>
      <c r="G2171" s="570"/>
      <c r="H2171" s="570"/>
      <c r="I2171" s="570"/>
      <c r="J2171" s="570"/>
      <c r="K2171" s="570"/>
    </row>
    <row r="2172" ht="13.75" customHeight="1">
      <c r="A2172" s="833">
        <v>564</v>
      </c>
      <c r="B2172" t="s" s="834">
        <v>1531</v>
      </c>
      <c r="C2172" t="s" s="834">
        <v>1010</v>
      </c>
      <c r="D2172" s="835">
        <v>46052</v>
      </c>
      <c r="E2172" s="836">
        <v>1.372638888888889</v>
      </c>
      <c r="F2172" s="836">
        <v>1.797083333333333</v>
      </c>
      <c r="G2172" s="570"/>
      <c r="H2172" s="570"/>
      <c r="I2172" s="570"/>
      <c r="J2172" s="570"/>
      <c r="K2172" s="570"/>
    </row>
    <row r="2173" ht="13.75" customHeight="1">
      <c r="A2173" t="s" s="834">
        <v>1568</v>
      </c>
      <c r="B2173" t="s" s="834">
        <v>1569</v>
      </c>
      <c r="C2173" t="s" s="834">
        <v>623</v>
      </c>
      <c r="D2173" s="570"/>
      <c r="E2173" s="570"/>
      <c r="F2173" s="570"/>
      <c r="G2173" s="570"/>
      <c r="H2173" s="570"/>
      <c r="I2173" s="570"/>
      <c r="J2173" s="570"/>
      <c r="K2173" s="570"/>
    </row>
    <row r="2174" ht="13.75" customHeight="1">
      <c r="A2174" s="833">
        <v>564</v>
      </c>
      <c r="B2174" t="s" s="834">
        <v>1531</v>
      </c>
      <c r="C2174" t="s" s="834">
        <v>1010</v>
      </c>
      <c r="D2174" s="835">
        <v>46053</v>
      </c>
      <c r="E2174" t="s" s="834">
        <v>478</v>
      </c>
      <c r="F2174" t="s" s="834">
        <v>478</v>
      </c>
      <c r="G2174" s="570"/>
      <c r="H2174" s="570"/>
      <c r="I2174" s="570"/>
      <c r="J2174" s="570"/>
      <c r="K2174" s="570"/>
    </row>
    <row r="2175" ht="13.75" customHeight="1">
      <c r="A2175" s="833">
        <v>564</v>
      </c>
      <c r="B2175" t="s" s="834">
        <v>1531</v>
      </c>
      <c r="C2175" t="s" s="834">
        <v>1010</v>
      </c>
      <c r="D2175" s="835">
        <v>46054</v>
      </c>
      <c r="E2175" t="s" s="834">
        <v>478</v>
      </c>
      <c r="F2175" t="s" s="834">
        <v>478</v>
      </c>
      <c r="G2175" s="570"/>
      <c r="H2175" s="570"/>
      <c r="I2175" s="570"/>
      <c r="J2175" s="570"/>
      <c r="K2175" s="570"/>
    </row>
    <row r="2176" ht="13.75" customHeight="1">
      <c r="A2176" s="833">
        <v>604</v>
      </c>
      <c r="B2176" t="s" s="834">
        <v>1570</v>
      </c>
      <c r="C2176" t="s" s="834">
        <v>1571</v>
      </c>
      <c r="D2176" s="835">
        <v>46023</v>
      </c>
      <c r="E2176" t="s" s="834">
        <v>478</v>
      </c>
      <c r="F2176" t="s" s="834">
        <v>478</v>
      </c>
      <c r="G2176" s="570"/>
      <c r="H2176" s="570"/>
      <c r="I2176" s="570"/>
      <c r="J2176" s="570"/>
      <c r="K2176" s="570"/>
    </row>
    <row r="2177" ht="13.75" customHeight="1">
      <c r="A2177" s="833">
        <v>604</v>
      </c>
      <c r="B2177" t="s" s="834">
        <v>1570</v>
      </c>
      <c r="C2177" t="s" s="834">
        <v>1571</v>
      </c>
      <c r="D2177" s="835">
        <v>46024</v>
      </c>
      <c r="E2177" t="s" s="834">
        <v>478</v>
      </c>
      <c r="F2177" t="s" s="834">
        <v>478</v>
      </c>
      <c r="G2177" s="570"/>
      <c r="H2177" s="570"/>
      <c r="I2177" s="570"/>
      <c r="J2177" s="570"/>
      <c r="K2177" s="570"/>
    </row>
    <row r="2178" ht="13.75" customHeight="1">
      <c r="A2178" s="833">
        <v>604</v>
      </c>
      <c r="B2178" t="s" s="834">
        <v>1570</v>
      </c>
      <c r="C2178" t="s" s="834">
        <v>1571</v>
      </c>
      <c r="D2178" s="835">
        <v>46025</v>
      </c>
      <c r="E2178" t="s" s="834">
        <v>478</v>
      </c>
      <c r="F2178" t="s" s="834">
        <v>478</v>
      </c>
      <c r="G2178" s="570"/>
      <c r="H2178" s="570"/>
      <c r="I2178" s="570"/>
      <c r="J2178" s="570"/>
      <c r="K2178" s="570"/>
    </row>
    <row r="2179" ht="13.75" customHeight="1">
      <c r="A2179" s="833">
        <v>604</v>
      </c>
      <c r="B2179" t="s" s="834">
        <v>1570</v>
      </c>
      <c r="C2179" t="s" s="834">
        <v>1571</v>
      </c>
      <c r="D2179" s="835">
        <v>46026</v>
      </c>
      <c r="E2179" t="s" s="834">
        <v>478</v>
      </c>
      <c r="F2179" t="s" s="834">
        <v>478</v>
      </c>
      <c r="G2179" s="570"/>
      <c r="H2179" s="570"/>
      <c r="I2179" s="570"/>
      <c r="J2179" s="570"/>
      <c r="K2179" s="570"/>
    </row>
    <row r="2180" ht="13.75" customHeight="1">
      <c r="A2180" s="833">
        <v>604</v>
      </c>
      <c r="B2180" t="s" s="834">
        <v>1570</v>
      </c>
      <c r="C2180" t="s" s="834">
        <v>1571</v>
      </c>
      <c r="D2180" s="835">
        <v>46027</v>
      </c>
      <c r="E2180" t="s" s="834">
        <v>478</v>
      </c>
      <c r="F2180" t="s" s="834">
        <v>478</v>
      </c>
      <c r="G2180" s="570"/>
      <c r="H2180" s="570"/>
      <c r="I2180" s="570"/>
      <c r="J2180" s="570"/>
      <c r="K2180" s="570"/>
    </row>
    <row r="2181" ht="13.75" customHeight="1">
      <c r="A2181" s="833">
        <v>604</v>
      </c>
      <c r="B2181" t="s" s="834">
        <v>1570</v>
      </c>
      <c r="C2181" t="s" s="834">
        <v>1571</v>
      </c>
      <c r="D2181" s="835">
        <v>46028</v>
      </c>
      <c r="E2181" t="s" s="834">
        <v>478</v>
      </c>
      <c r="F2181" t="s" s="834">
        <v>478</v>
      </c>
      <c r="G2181" s="570"/>
      <c r="H2181" s="570"/>
      <c r="I2181" s="570"/>
      <c r="J2181" s="570"/>
      <c r="K2181" s="570"/>
    </row>
    <row r="2182" ht="13.75" customHeight="1">
      <c r="A2182" s="833">
        <v>604</v>
      </c>
      <c r="B2182" t="s" s="834">
        <v>1570</v>
      </c>
      <c r="C2182" t="s" s="834">
        <v>1571</v>
      </c>
      <c r="D2182" s="835">
        <v>46029</v>
      </c>
      <c r="E2182" t="s" s="834">
        <v>478</v>
      </c>
      <c r="F2182" t="s" s="834">
        <v>478</v>
      </c>
      <c r="G2182" s="570"/>
      <c r="H2182" s="570"/>
      <c r="I2182" s="570"/>
      <c r="J2182" s="570"/>
      <c r="K2182" s="570"/>
    </row>
    <row r="2183" ht="13.75" customHeight="1">
      <c r="A2183" s="833">
        <v>604</v>
      </c>
      <c r="B2183" t="s" s="834">
        <v>1570</v>
      </c>
      <c r="C2183" t="s" s="834">
        <v>1571</v>
      </c>
      <c r="D2183" s="835">
        <v>46030</v>
      </c>
      <c r="E2183" s="836">
        <v>1.681053240740741</v>
      </c>
      <c r="F2183" t="s" s="834">
        <v>478</v>
      </c>
      <c r="G2183" s="570"/>
      <c r="H2183" s="570"/>
      <c r="I2183" s="570"/>
      <c r="J2183" s="570"/>
      <c r="K2183" s="570"/>
    </row>
    <row r="2184" ht="13.75" customHeight="1">
      <c r="A2184" t="s" s="834">
        <v>1572</v>
      </c>
      <c r="B2184" t="s" s="834">
        <v>485</v>
      </c>
      <c r="C2184" t="s" s="834">
        <v>486</v>
      </c>
      <c r="D2184" s="570"/>
      <c r="E2184" s="570"/>
      <c r="F2184" s="570"/>
      <c r="G2184" s="570"/>
      <c r="H2184" s="570"/>
      <c r="I2184" s="570"/>
      <c r="J2184" s="570"/>
      <c r="K2184" s="570"/>
    </row>
    <row r="2185" ht="13.75" customHeight="1">
      <c r="A2185" s="833">
        <v>604</v>
      </c>
      <c r="B2185" t="s" s="834">
        <v>1570</v>
      </c>
      <c r="C2185" t="s" s="834">
        <v>1571</v>
      </c>
      <c r="D2185" s="835">
        <v>46031</v>
      </c>
      <c r="E2185" s="836">
        <v>1.353136574074074</v>
      </c>
      <c r="F2185" s="836">
        <v>1.870428240740741</v>
      </c>
      <c r="G2185" s="570"/>
      <c r="H2185" s="570"/>
      <c r="I2185" s="570"/>
      <c r="J2185" s="570"/>
      <c r="K2185" s="570"/>
    </row>
    <row r="2186" ht="13.75" customHeight="1">
      <c r="A2186" t="s" s="834">
        <v>1573</v>
      </c>
      <c r="B2186" t="s" s="834">
        <v>1574</v>
      </c>
      <c r="C2186" t="s" s="834">
        <v>1575</v>
      </c>
      <c r="D2186" s="570"/>
      <c r="E2186" s="570"/>
      <c r="F2186" s="570"/>
      <c r="G2186" s="570"/>
      <c r="H2186" s="570"/>
      <c r="I2186" s="570"/>
      <c r="J2186" s="570"/>
      <c r="K2186" s="570"/>
    </row>
    <row r="2187" ht="13.75" customHeight="1">
      <c r="A2187" s="833">
        <v>604</v>
      </c>
      <c r="B2187" t="s" s="834">
        <v>1570</v>
      </c>
      <c r="C2187" t="s" s="834">
        <v>1571</v>
      </c>
      <c r="D2187" s="835">
        <v>46032</v>
      </c>
      <c r="E2187" t="s" s="834">
        <v>478</v>
      </c>
      <c r="F2187" t="s" s="834">
        <v>478</v>
      </c>
      <c r="G2187" s="570"/>
      <c r="H2187" s="570"/>
      <c r="I2187" s="570"/>
      <c r="J2187" s="570"/>
      <c r="K2187" s="570"/>
    </row>
    <row r="2188" ht="13.75" customHeight="1">
      <c r="A2188" s="833">
        <v>604</v>
      </c>
      <c r="B2188" t="s" s="834">
        <v>1570</v>
      </c>
      <c r="C2188" t="s" s="834">
        <v>1571</v>
      </c>
      <c r="D2188" s="835">
        <v>46033</v>
      </c>
      <c r="E2188" t="s" s="834">
        <v>478</v>
      </c>
      <c r="F2188" t="s" s="834">
        <v>478</v>
      </c>
      <c r="G2188" s="570"/>
      <c r="H2188" s="570"/>
      <c r="I2188" s="570"/>
      <c r="J2188" s="570"/>
      <c r="K2188" s="570"/>
    </row>
    <row r="2189" ht="13.75" customHeight="1">
      <c r="A2189" s="833">
        <v>604</v>
      </c>
      <c r="B2189" t="s" s="834">
        <v>1570</v>
      </c>
      <c r="C2189" t="s" s="834">
        <v>1571</v>
      </c>
      <c r="D2189" s="835">
        <v>46034</v>
      </c>
      <c r="E2189" s="836">
        <v>1.352465277777778</v>
      </c>
      <c r="F2189" s="836">
        <v>1.789375</v>
      </c>
      <c r="G2189" s="570"/>
      <c r="H2189" s="570"/>
      <c r="I2189" s="570"/>
      <c r="J2189" s="570"/>
      <c r="K2189" s="570"/>
    </row>
    <row r="2190" ht="13.75" customHeight="1">
      <c r="A2190" t="s" s="834">
        <v>1576</v>
      </c>
      <c r="B2190" t="s" s="834">
        <v>1577</v>
      </c>
      <c r="C2190" t="s" s="834">
        <v>500</v>
      </c>
      <c r="D2190" s="570"/>
      <c r="E2190" s="570"/>
      <c r="F2190" s="570"/>
      <c r="G2190" s="570"/>
      <c r="H2190" s="570"/>
      <c r="I2190" s="570"/>
      <c r="J2190" s="570"/>
      <c r="K2190" s="570"/>
    </row>
    <row r="2191" ht="13.75" customHeight="1">
      <c r="A2191" s="833">
        <v>604</v>
      </c>
      <c r="B2191" t="s" s="834">
        <v>1570</v>
      </c>
      <c r="C2191" t="s" s="834">
        <v>1571</v>
      </c>
      <c r="D2191" s="835">
        <v>46035</v>
      </c>
      <c r="E2191" s="836">
        <v>1.354733796296296</v>
      </c>
      <c r="F2191" s="836">
        <v>1.783229166666667</v>
      </c>
      <c r="G2191" s="570"/>
      <c r="H2191" s="570"/>
      <c r="I2191" s="570"/>
      <c r="J2191" s="570"/>
      <c r="K2191" s="570"/>
    </row>
    <row r="2192" ht="13.75" customHeight="1">
      <c r="A2192" t="s" s="834">
        <v>1578</v>
      </c>
      <c r="B2192" t="s" s="834">
        <v>1579</v>
      </c>
      <c r="C2192" t="s" s="834">
        <v>1580</v>
      </c>
      <c r="D2192" s="570"/>
      <c r="E2192" s="570"/>
      <c r="F2192" s="570"/>
      <c r="G2192" s="570"/>
      <c r="H2192" s="570"/>
      <c r="I2192" s="570"/>
      <c r="J2192" s="570"/>
      <c r="K2192" s="570"/>
    </row>
    <row r="2193" ht="13.75" customHeight="1">
      <c r="A2193" s="833">
        <v>604</v>
      </c>
      <c r="B2193" t="s" s="834">
        <v>1570</v>
      </c>
      <c r="C2193" t="s" s="834">
        <v>1571</v>
      </c>
      <c r="D2193" s="835">
        <v>46036</v>
      </c>
      <c r="E2193" s="836">
        <v>1.35318287037037</v>
      </c>
      <c r="F2193" s="836">
        <v>1.816122685185185</v>
      </c>
      <c r="G2193" s="570"/>
      <c r="H2193" s="570"/>
      <c r="I2193" s="570"/>
      <c r="J2193" s="570"/>
      <c r="K2193" s="570"/>
    </row>
    <row r="2194" ht="13.75" customHeight="1">
      <c r="A2194" t="s" s="834">
        <v>1581</v>
      </c>
      <c r="B2194" t="s" s="834">
        <v>1582</v>
      </c>
      <c r="C2194" t="s" s="834">
        <v>935</v>
      </c>
      <c r="D2194" s="570"/>
      <c r="E2194" s="570"/>
      <c r="F2194" s="570"/>
      <c r="G2194" s="570"/>
      <c r="H2194" s="570"/>
      <c r="I2194" s="570"/>
      <c r="J2194" s="570"/>
      <c r="K2194" s="570"/>
    </row>
    <row r="2195" ht="13.75" customHeight="1">
      <c r="A2195" s="833">
        <v>604</v>
      </c>
      <c r="B2195" t="s" s="834">
        <v>1570</v>
      </c>
      <c r="C2195" t="s" s="834">
        <v>1571</v>
      </c>
      <c r="D2195" s="835">
        <v>46037</v>
      </c>
      <c r="E2195" s="836">
        <v>1.358298611111111</v>
      </c>
      <c r="F2195" s="836">
        <v>1.911597222222222</v>
      </c>
      <c r="G2195" s="570"/>
      <c r="H2195" s="570"/>
      <c r="I2195" s="570"/>
      <c r="J2195" s="570"/>
      <c r="K2195" s="570"/>
    </row>
    <row r="2196" ht="13.75" customHeight="1">
      <c r="A2196" t="s" s="834">
        <v>1583</v>
      </c>
      <c r="B2196" t="s" s="834">
        <v>1584</v>
      </c>
      <c r="C2196" t="s" s="834">
        <v>1585</v>
      </c>
      <c r="D2196" s="570"/>
      <c r="E2196" s="570"/>
      <c r="F2196" s="570"/>
      <c r="G2196" s="570"/>
      <c r="H2196" s="570"/>
      <c r="I2196" s="570"/>
      <c r="J2196" s="570"/>
      <c r="K2196" s="570"/>
    </row>
    <row r="2197" ht="13.75" customHeight="1">
      <c r="A2197" s="833">
        <v>604</v>
      </c>
      <c r="B2197" t="s" s="834">
        <v>1570</v>
      </c>
      <c r="C2197" t="s" s="834">
        <v>1571</v>
      </c>
      <c r="D2197" s="835">
        <v>46038</v>
      </c>
      <c r="E2197" s="836">
        <v>1.352152777777778</v>
      </c>
      <c r="F2197" s="836">
        <v>1.524722222222222</v>
      </c>
      <c r="G2197" s="570"/>
      <c r="H2197" s="570"/>
      <c r="I2197" s="570"/>
      <c r="J2197" s="570"/>
      <c r="K2197" s="570"/>
    </row>
    <row r="2198" ht="13.75" customHeight="1">
      <c r="A2198" t="s" s="834">
        <v>1586</v>
      </c>
      <c r="B2198" t="s" s="834">
        <v>1587</v>
      </c>
      <c r="C2198" t="s" s="834">
        <v>1588</v>
      </c>
      <c r="D2198" s="570"/>
      <c r="E2198" s="570"/>
      <c r="F2198" s="570"/>
      <c r="G2198" s="570"/>
      <c r="H2198" s="570"/>
      <c r="I2198" s="570"/>
      <c r="J2198" s="570"/>
      <c r="K2198" s="570"/>
    </row>
    <row r="2199" ht="13.75" customHeight="1">
      <c r="A2199" s="833">
        <v>604</v>
      </c>
      <c r="B2199" t="s" s="834">
        <v>1570</v>
      </c>
      <c r="C2199" t="s" s="834">
        <v>1571</v>
      </c>
      <c r="D2199" s="835">
        <v>46039</v>
      </c>
      <c r="E2199" t="s" s="834">
        <v>478</v>
      </c>
      <c r="F2199" t="s" s="834">
        <v>478</v>
      </c>
      <c r="G2199" s="570"/>
      <c r="H2199" s="570"/>
      <c r="I2199" s="570"/>
      <c r="J2199" s="570"/>
      <c r="K2199" s="570"/>
    </row>
    <row r="2200" ht="13.75" customHeight="1">
      <c r="A2200" s="833">
        <v>604</v>
      </c>
      <c r="B2200" t="s" s="834">
        <v>1570</v>
      </c>
      <c r="C2200" t="s" s="834">
        <v>1571</v>
      </c>
      <c r="D2200" s="835">
        <v>46040</v>
      </c>
      <c r="E2200" t="s" s="834">
        <v>478</v>
      </c>
      <c r="F2200" t="s" s="834">
        <v>478</v>
      </c>
      <c r="G2200" s="570"/>
      <c r="H2200" s="570"/>
      <c r="I2200" s="570"/>
      <c r="J2200" s="570"/>
      <c r="K2200" s="570"/>
    </row>
    <row r="2201" ht="13.75" customHeight="1">
      <c r="A2201" s="833">
        <v>604</v>
      </c>
      <c r="B2201" t="s" s="834">
        <v>1570</v>
      </c>
      <c r="C2201" t="s" s="834">
        <v>1571</v>
      </c>
      <c r="D2201" s="835">
        <v>46041</v>
      </c>
      <c r="E2201" s="836">
        <v>1.3634375</v>
      </c>
      <c r="F2201" s="836">
        <v>1.76056712962963</v>
      </c>
      <c r="G2201" s="570"/>
      <c r="H2201" s="570"/>
      <c r="I2201" s="570"/>
      <c r="J2201" s="570"/>
      <c r="K2201" s="570"/>
    </row>
    <row r="2202" ht="13.75" customHeight="1">
      <c r="A2202" t="s" s="834">
        <v>1589</v>
      </c>
      <c r="B2202" t="s" s="834">
        <v>1590</v>
      </c>
      <c r="C2202" t="s" s="834">
        <v>747</v>
      </c>
      <c r="D2202" s="570"/>
      <c r="E2202" s="570"/>
      <c r="F2202" s="570"/>
      <c r="G2202" s="570"/>
      <c r="H2202" s="570"/>
      <c r="I2202" s="570"/>
      <c r="J2202" s="570"/>
      <c r="K2202" s="570"/>
    </row>
    <row r="2203" ht="13.75" customHeight="1">
      <c r="A2203" s="833">
        <v>604</v>
      </c>
      <c r="B2203" t="s" s="834">
        <v>1570</v>
      </c>
      <c r="C2203" t="s" s="834">
        <v>1571</v>
      </c>
      <c r="D2203" s="835">
        <v>46042</v>
      </c>
      <c r="E2203" s="836">
        <v>1.353275462962963</v>
      </c>
      <c r="F2203" s="836">
        <v>1.755636574074074</v>
      </c>
      <c r="G2203" s="570"/>
      <c r="H2203" s="570"/>
      <c r="I2203" s="570"/>
      <c r="J2203" s="570"/>
      <c r="K2203" s="570"/>
    </row>
    <row r="2204" ht="13.75" customHeight="1">
      <c r="A2204" t="s" s="834">
        <v>1591</v>
      </c>
      <c r="B2204" t="s" s="834">
        <v>1592</v>
      </c>
      <c r="C2204" t="s" s="834">
        <v>772</v>
      </c>
      <c r="D2204" s="570"/>
      <c r="E2204" s="570"/>
      <c r="F2204" s="570"/>
      <c r="G2204" s="570"/>
      <c r="H2204" s="570"/>
      <c r="I2204" s="570"/>
      <c r="J2204" s="570"/>
      <c r="K2204" s="570"/>
    </row>
    <row r="2205" ht="13.75" customHeight="1">
      <c r="A2205" s="833">
        <v>604</v>
      </c>
      <c r="B2205" t="s" s="834">
        <v>1570</v>
      </c>
      <c r="C2205" t="s" s="834">
        <v>1571</v>
      </c>
      <c r="D2205" s="835">
        <v>46043</v>
      </c>
      <c r="E2205" s="836">
        <v>1.353252314814815</v>
      </c>
      <c r="F2205" s="836">
        <v>1.75431712962963</v>
      </c>
      <c r="G2205" s="570"/>
      <c r="H2205" s="570"/>
      <c r="I2205" s="570"/>
      <c r="J2205" s="570"/>
      <c r="K2205" s="570"/>
    </row>
    <row r="2206" ht="13.75" customHeight="1">
      <c r="A2206" t="s" s="834">
        <v>1593</v>
      </c>
      <c r="B2206" t="s" s="834">
        <v>1594</v>
      </c>
      <c r="C2206" t="s" s="834">
        <v>697</v>
      </c>
      <c r="D2206" s="570"/>
      <c r="E2206" s="570"/>
      <c r="F2206" s="570"/>
      <c r="G2206" s="570"/>
      <c r="H2206" s="570"/>
      <c r="I2206" s="570"/>
      <c r="J2206" s="570"/>
      <c r="K2206" s="570"/>
    </row>
    <row r="2207" ht="13.75" customHeight="1">
      <c r="A2207" s="833">
        <v>604</v>
      </c>
      <c r="B2207" t="s" s="834">
        <v>1570</v>
      </c>
      <c r="C2207" t="s" s="834">
        <v>1571</v>
      </c>
      <c r="D2207" s="835">
        <v>46044</v>
      </c>
      <c r="E2207" s="836">
        <v>1.355069444444444</v>
      </c>
      <c r="F2207" s="836">
        <v>1.756388888888889</v>
      </c>
      <c r="G2207" s="570"/>
      <c r="H2207" s="570"/>
      <c r="I2207" s="570"/>
      <c r="J2207" s="570"/>
      <c r="K2207" s="570"/>
    </row>
    <row r="2208" ht="13.75" customHeight="1">
      <c r="A2208" t="s" s="834">
        <v>1595</v>
      </c>
      <c r="B2208" t="s" s="834">
        <v>1596</v>
      </c>
      <c r="C2208" t="s" s="834">
        <v>697</v>
      </c>
      <c r="D2208" s="570"/>
      <c r="E2208" s="570"/>
      <c r="F2208" s="570"/>
      <c r="G2208" s="570"/>
      <c r="H2208" s="570"/>
      <c r="I2208" s="570"/>
      <c r="J2208" s="570"/>
      <c r="K2208" s="570"/>
    </row>
    <row r="2209" ht="13.75" customHeight="1">
      <c r="A2209" s="833">
        <v>604</v>
      </c>
      <c r="B2209" t="s" s="834">
        <v>1570</v>
      </c>
      <c r="C2209" t="s" s="834">
        <v>1571</v>
      </c>
      <c r="D2209" s="835">
        <v>46045</v>
      </c>
      <c r="E2209" s="836">
        <v>1.351458333333333</v>
      </c>
      <c r="F2209" s="836">
        <v>1.753703703703704</v>
      </c>
      <c r="G2209" s="570"/>
      <c r="H2209" s="570"/>
      <c r="I2209" s="570"/>
      <c r="J2209" s="570"/>
      <c r="K2209" s="570"/>
    </row>
    <row r="2210" ht="13.75" customHeight="1">
      <c r="A2210" t="s" s="834">
        <v>1597</v>
      </c>
      <c r="B2210" t="s" s="834">
        <v>1598</v>
      </c>
      <c r="C2210" t="s" s="834">
        <v>772</v>
      </c>
      <c r="D2210" s="570"/>
      <c r="E2210" s="570"/>
      <c r="F2210" s="570"/>
      <c r="G2210" s="570"/>
      <c r="H2210" s="570"/>
      <c r="I2210" s="570"/>
      <c r="J2210" s="570"/>
      <c r="K2210" s="570"/>
    </row>
    <row r="2211" ht="13.75" customHeight="1">
      <c r="A2211" s="833">
        <v>604</v>
      </c>
      <c r="B2211" t="s" s="834">
        <v>1570</v>
      </c>
      <c r="C2211" t="s" s="834">
        <v>1571</v>
      </c>
      <c r="D2211" s="835">
        <v>46046</v>
      </c>
      <c r="E2211" t="s" s="834">
        <v>478</v>
      </c>
      <c r="F2211" t="s" s="834">
        <v>478</v>
      </c>
      <c r="G2211" s="570"/>
      <c r="H2211" s="570"/>
      <c r="I2211" s="570"/>
      <c r="J2211" s="570"/>
      <c r="K2211" s="570"/>
    </row>
    <row r="2212" ht="13.75" customHeight="1">
      <c r="A2212" s="833">
        <v>604</v>
      </c>
      <c r="B2212" t="s" s="834">
        <v>1570</v>
      </c>
      <c r="C2212" t="s" s="834">
        <v>1571</v>
      </c>
      <c r="D2212" s="835">
        <v>46047</v>
      </c>
      <c r="E2212" t="s" s="834">
        <v>478</v>
      </c>
      <c r="F2212" t="s" s="834">
        <v>478</v>
      </c>
      <c r="G2212" s="570"/>
      <c r="H2212" s="570"/>
      <c r="I2212" s="570"/>
      <c r="J2212" s="570"/>
      <c r="K2212" s="570"/>
    </row>
    <row r="2213" ht="13.75" customHeight="1">
      <c r="A2213" s="833">
        <v>604</v>
      </c>
      <c r="B2213" t="s" s="834">
        <v>1570</v>
      </c>
      <c r="C2213" t="s" s="834">
        <v>1571</v>
      </c>
      <c r="D2213" s="835">
        <v>46048</v>
      </c>
      <c r="E2213" s="836">
        <v>1.357233796296296</v>
      </c>
      <c r="F2213" s="836">
        <v>1.763078703703704</v>
      </c>
      <c r="G2213" s="570"/>
      <c r="H2213" s="570"/>
      <c r="I2213" s="570"/>
      <c r="J2213" s="570"/>
      <c r="K2213" s="570"/>
    </row>
    <row r="2214" ht="13.75" customHeight="1">
      <c r="A2214" t="s" s="834">
        <v>1599</v>
      </c>
      <c r="B2214" t="s" s="834">
        <v>1600</v>
      </c>
      <c r="C2214" t="s" s="834">
        <v>1601</v>
      </c>
      <c r="D2214" s="570"/>
      <c r="E2214" s="570"/>
      <c r="F2214" s="570"/>
      <c r="G2214" s="570"/>
      <c r="H2214" s="570"/>
      <c r="I2214" s="570"/>
      <c r="J2214" s="570"/>
      <c r="K2214" s="570"/>
    </row>
    <row r="2215" ht="13.75" customHeight="1">
      <c r="A2215" s="833">
        <v>604</v>
      </c>
      <c r="B2215" t="s" s="834">
        <v>1570</v>
      </c>
      <c r="C2215" t="s" s="834">
        <v>1571</v>
      </c>
      <c r="D2215" s="835">
        <v>46049</v>
      </c>
      <c r="E2215" s="836">
        <v>1.354363425925926</v>
      </c>
      <c r="F2215" s="836">
        <v>1.733796296296296</v>
      </c>
      <c r="G2215" s="570"/>
      <c r="H2215" s="570"/>
      <c r="I2215" s="570"/>
      <c r="J2215" s="570"/>
      <c r="K2215" s="570"/>
    </row>
    <row r="2216" ht="13.75" customHeight="1">
      <c r="A2216" t="s" s="834">
        <v>1602</v>
      </c>
      <c r="B2216" t="s" s="834">
        <v>1603</v>
      </c>
      <c r="C2216" t="s" s="834">
        <v>549</v>
      </c>
      <c r="D2216" s="570"/>
      <c r="E2216" s="570"/>
      <c r="F2216" s="570"/>
      <c r="G2216" s="570"/>
      <c r="H2216" s="570"/>
      <c r="I2216" s="570"/>
      <c r="J2216" s="570"/>
      <c r="K2216" s="570"/>
    </row>
    <row r="2217" ht="13.75" customHeight="1">
      <c r="A2217" s="833">
        <v>604</v>
      </c>
      <c r="B2217" t="s" s="834">
        <v>1570</v>
      </c>
      <c r="C2217" t="s" s="834">
        <v>1571</v>
      </c>
      <c r="D2217" s="835">
        <v>46050</v>
      </c>
      <c r="E2217" s="836">
        <v>1.353194444444444</v>
      </c>
      <c r="F2217" s="836">
        <v>1.739386574074074</v>
      </c>
      <c r="G2217" s="570"/>
      <c r="H2217" s="570"/>
      <c r="I2217" s="570"/>
      <c r="J2217" s="570"/>
      <c r="K2217" s="570"/>
    </row>
    <row r="2218" ht="13.75" customHeight="1">
      <c r="A2218" t="s" s="834">
        <v>1604</v>
      </c>
      <c r="B2218" t="s" s="834">
        <v>1605</v>
      </c>
      <c r="C2218" t="s" s="834">
        <v>834</v>
      </c>
      <c r="D2218" s="570"/>
      <c r="E2218" s="570"/>
      <c r="F2218" s="570"/>
      <c r="G2218" s="570"/>
      <c r="H2218" s="570"/>
      <c r="I2218" s="570"/>
      <c r="J2218" s="570"/>
      <c r="K2218" s="570"/>
    </row>
    <row r="2219" ht="13.75" customHeight="1">
      <c r="A2219" s="833">
        <v>604</v>
      </c>
      <c r="B2219" t="s" s="834">
        <v>1570</v>
      </c>
      <c r="C2219" t="s" s="834">
        <v>1571</v>
      </c>
      <c r="D2219" s="835">
        <v>46051</v>
      </c>
      <c r="E2219" s="836">
        <v>1.351087962962963</v>
      </c>
      <c r="F2219" s="836">
        <v>1.740868055555556</v>
      </c>
      <c r="G2219" s="570"/>
      <c r="H2219" s="570"/>
      <c r="I2219" s="570"/>
      <c r="J2219" s="570"/>
      <c r="K2219" s="570"/>
    </row>
    <row r="2220" ht="13.75" customHeight="1">
      <c r="A2220" t="s" s="834">
        <v>1606</v>
      </c>
      <c r="B2220" t="s" s="834">
        <v>1607</v>
      </c>
      <c r="C2220" t="s" s="834">
        <v>979</v>
      </c>
      <c r="D2220" s="570"/>
      <c r="E2220" s="570"/>
      <c r="F2220" s="570"/>
      <c r="G2220" s="570"/>
      <c r="H2220" s="570"/>
      <c r="I2220" s="570"/>
      <c r="J2220" s="570"/>
      <c r="K2220" s="570"/>
    </row>
    <row r="2221" ht="13.75" customHeight="1">
      <c r="A2221" s="833">
        <v>604</v>
      </c>
      <c r="B2221" t="s" s="834">
        <v>1570</v>
      </c>
      <c r="C2221" t="s" s="834">
        <v>1571</v>
      </c>
      <c r="D2221" s="835">
        <v>46052</v>
      </c>
      <c r="E2221" s="836">
        <v>1.354606481481482</v>
      </c>
      <c r="F2221" s="836">
        <v>1.770347222222222</v>
      </c>
      <c r="G2221" s="570"/>
      <c r="H2221" s="570"/>
      <c r="I2221" s="570"/>
      <c r="J2221" s="570"/>
      <c r="K2221" s="570"/>
    </row>
    <row r="2222" ht="13.75" customHeight="1">
      <c r="A2222" t="s" s="834">
        <v>1608</v>
      </c>
      <c r="B2222" t="s" s="834">
        <v>1609</v>
      </c>
      <c r="C2222" t="s" s="834">
        <v>652</v>
      </c>
      <c r="D2222" s="570"/>
      <c r="E2222" s="570"/>
      <c r="F2222" s="570"/>
      <c r="G2222" s="570"/>
      <c r="H2222" s="570"/>
      <c r="I2222" s="570"/>
      <c r="J2222" s="570"/>
      <c r="K2222" s="570"/>
    </row>
    <row r="2223" ht="13.75" customHeight="1">
      <c r="A2223" s="833">
        <v>604</v>
      </c>
      <c r="B2223" t="s" s="834">
        <v>1570</v>
      </c>
      <c r="C2223" t="s" s="834">
        <v>1571</v>
      </c>
      <c r="D2223" s="835">
        <v>46053</v>
      </c>
      <c r="E2223" t="s" s="834">
        <v>478</v>
      </c>
      <c r="F2223" t="s" s="834">
        <v>478</v>
      </c>
      <c r="G2223" s="570"/>
      <c r="H2223" s="570"/>
      <c r="I2223" s="570"/>
      <c r="J2223" s="570"/>
      <c r="K2223" s="570"/>
    </row>
    <row r="2224" ht="13.75" customHeight="1">
      <c r="A2224" s="833">
        <v>604</v>
      </c>
      <c r="B2224" t="s" s="834">
        <v>1570</v>
      </c>
      <c r="C2224" t="s" s="834">
        <v>1571</v>
      </c>
      <c r="D2224" s="835">
        <v>46054</v>
      </c>
      <c r="E2224" t="s" s="834">
        <v>478</v>
      </c>
      <c r="F2224" t="s" s="834">
        <v>478</v>
      </c>
      <c r="G2224" s="570"/>
      <c r="H2224" s="570"/>
      <c r="I2224" s="570"/>
      <c r="J2224" s="570"/>
      <c r="K2224" s="570"/>
    </row>
    <row r="2225" ht="13.75" customHeight="1">
      <c r="A2225" s="833">
        <v>605</v>
      </c>
      <c r="B2225" t="s" s="834">
        <v>1610</v>
      </c>
      <c r="C2225" t="s" s="834">
        <v>1010</v>
      </c>
      <c r="D2225" s="835">
        <v>46023</v>
      </c>
      <c r="E2225" t="s" s="834">
        <v>478</v>
      </c>
      <c r="F2225" t="s" s="834">
        <v>478</v>
      </c>
      <c r="G2225" s="570"/>
      <c r="H2225" s="570"/>
      <c r="I2225" s="570"/>
      <c r="J2225" s="570"/>
      <c r="K2225" s="570"/>
    </row>
    <row r="2226" ht="13.75" customHeight="1">
      <c r="A2226" s="833">
        <v>605</v>
      </c>
      <c r="B2226" t="s" s="834">
        <v>1610</v>
      </c>
      <c r="C2226" t="s" s="834">
        <v>1010</v>
      </c>
      <c r="D2226" s="835">
        <v>46024</v>
      </c>
      <c r="E2226" t="s" s="834">
        <v>478</v>
      </c>
      <c r="F2226" t="s" s="834">
        <v>478</v>
      </c>
      <c r="G2226" s="570"/>
      <c r="H2226" s="570"/>
      <c r="I2226" s="570"/>
      <c r="J2226" s="570"/>
      <c r="K2226" s="570"/>
    </row>
    <row r="2227" ht="13.75" customHeight="1">
      <c r="A2227" s="833">
        <v>605</v>
      </c>
      <c r="B2227" t="s" s="834">
        <v>1610</v>
      </c>
      <c r="C2227" t="s" s="834">
        <v>1010</v>
      </c>
      <c r="D2227" s="835">
        <v>46025</v>
      </c>
      <c r="E2227" t="s" s="834">
        <v>478</v>
      </c>
      <c r="F2227" t="s" s="834">
        <v>478</v>
      </c>
      <c r="G2227" s="570"/>
      <c r="H2227" s="570"/>
      <c r="I2227" s="570"/>
      <c r="J2227" s="570"/>
      <c r="K2227" s="570"/>
    </row>
    <row r="2228" ht="13.75" customHeight="1">
      <c r="A2228" s="833">
        <v>605</v>
      </c>
      <c r="B2228" t="s" s="834">
        <v>1610</v>
      </c>
      <c r="C2228" t="s" s="834">
        <v>1010</v>
      </c>
      <c r="D2228" s="835">
        <v>46026</v>
      </c>
      <c r="E2228" t="s" s="834">
        <v>478</v>
      </c>
      <c r="F2228" t="s" s="834">
        <v>478</v>
      </c>
      <c r="G2228" s="570"/>
      <c r="H2228" s="570"/>
      <c r="I2228" s="570"/>
      <c r="J2228" s="570"/>
      <c r="K2228" s="570"/>
    </row>
    <row r="2229" ht="13.75" customHeight="1">
      <c r="A2229" s="833">
        <v>605</v>
      </c>
      <c r="B2229" t="s" s="834">
        <v>1610</v>
      </c>
      <c r="C2229" t="s" s="834">
        <v>1010</v>
      </c>
      <c r="D2229" s="835">
        <v>46027</v>
      </c>
      <c r="E2229" t="s" s="834">
        <v>478</v>
      </c>
      <c r="F2229" t="s" s="834">
        <v>478</v>
      </c>
      <c r="G2229" s="570"/>
      <c r="H2229" s="570"/>
      <c r="I2229" s="570"/>
      <c r="J2229" s="570"/>
      <c r="K2229" s="570"/>
    </row>
    <row r="2230" ht="13.75" customHeight="1">
      <c r="A2230" s="833">
        <v>605</v>
      </c>
      <c r="B2230" t="s" s="834">
        <v>1610</v>
      </c>
      <c r="C2230" t="s" s="834">
        <v>1010</v>
      </c>
      <c r="D2230" s="835">
        <v>46028</v>
      </c>
      <c r="E2230" t="s" s="834">
        <v>478</v>
      </c>
      <c r="F2230" t="s" s="834">
        <v>478</v>
      </c>
      <c r="G2230" s="570"/>
      <c r="H2230" s="570"/>
      <c r="I2230" s="570"/>
      <c r="J2230" s="570"/>
      <c r="K2230" s="570"/>
    </row>
    <row r="2231" ht="13.75" customHeight="1">
      <c r="A2231" s="833">
        <v>605</v>
      </c>
      <c r="B2231" t="s" s="834">
        <v>1610</v>
      </c>
      <c r="C2231" t="s" s="834">
        <v>1010</v>
      </c>
      <c r="D2231" s="835">
        <v>46029</v>
      </c>
      <c r="E2231" t="s" s="834">
        <v>478</v>
      </c>
      <c r="F2231" t="s" s="834">
        <v>478</v>
      </c>
      <c r="G2231" s="570"/>
      <c r="H2231" s="570"/>
      <c r="I2231" s="570"/>
      <c r="J2231" s="570"/>
      <c r="K2231" s="570"/>
    </row>
    <row r="2232" ht="13.75" customHeight="1">
      <c r="A2232" s="833">
        <v>605</v>
      </c>
      <c r="B2232" t="s" s="834">
        <v>1610</v>
      </c>
      <c r="C2232" t="s" s="834">
        <v>1010</v>
      </c>
      <c r="D2232" s="835">
        <v>46030</v>
      </c>
      <c r="E2232" s="836">
        <v>1.677858796296296</v>
      </c>
      <c r="F2232" s="836">
        <v>1.808854166666667</v>
      </c>
      <c r="G2232" s="570"/>
      <c r="H2232" s="570"/>
      <c r="I2232" s="570"/>
      <c r="J2232" s="570"/>
      <c r="K2232" s="570"/>
    </row>
    <row r="2233" ht="13.75" customHeight="1">
      <c r="A2233" t="s" s="834">
        <v>1611</v>
      </c>
      <c r="B2233" t="s" s="834">
        <v>1612</v>
      </c>
      <c r="C2233" t="s" s="834">
        <v>1613</v>
      </c>
      <c r="D2233" s="570"/>
      <c r="E2233" s="570"/>
      <c r="F2233" s="570"/>
      <c r="G2233" s="570"/>
      <c r="H2233" s="570"/>
      <c r="I2233" s="570"/>
      <c r="J2233" s="570"/>
      <c r="K2233" s="570"/>
    </row>
    <row r="2234" ht="13.75" customHeight="1">
      <c r="A2234" s="833">
        <v>605</v>
      </c>
      <c r="B2234" t="s" s="834">
        <v>1610</v>
      </c>
      <c r="C2234" t="s" s="834">
        <v>1010</v>
      </c>
      <c r="D2234" s="835">
        <v>46031</v>
      </c>
      <c r="E2234" s="836">
        <v>1.387407407407407</v>
      </c>
      <c r="F2234" s="836">
        <v>1.804050925925926</v>
      </c>
      <c r="G2234" s="570"/>
      <c r="H2234" s="570"/>
      <c r="I2234" s="570"/>
      <c r="J2234" s="570"/>
      <c r="K2234" s="570"/>
    </row>
    <row r="2235" ht="13.75" customHeight="1">
      <c r="A2235" t="s" s="834">
        <v>1614</v>
      </c>
      <c r="B2235" t="s" s="834">
        <v>1615</v>
      </c>
      <c r="C2235" t="s" s="834">
        <v>530</v>
      </c>
      <c r="D2235" s="570"/>
      <c r="E2235" s="570"/>
      <c r="F2235" s="570"/>
      <c r="G2235" s="570"/>
      <c r="H2235" s="570"/>
      <c r="I2235" s="570"/>
      <c r="J2235" s="570"/>
      <c r="K2235" s="570"/>
    </row>
    <row r="2236" ht="13.75" customHeight="1">
      <c r="A2236" s="833">
        <v>605</v>
      </c>
      <c r="B2236" t="s" s="834">
        <v>1610</v>
      </c>
      <c r="C2236" t="s" s="834">
        <v>1010</v>
      </c>
      <c r="D2236" s="835">
        <v>46032</v>
      </c>
      <c r="E2236" s="836">
        <v>1.36712962962963</v>
      </c>
      <c r="F2236" s="836">
        <v>1.827048611111111</v>
      </c>
      <c r="G2236" s="570"/>
      <c r="H2236" s="570"/>
      <c r="I2236" s="570"/>
      <c r="J2236" s="570"/>
      <c r="K2236" s="570"/>
    </row>
    <row r="2237" ht="13.75" customHeight="1">
      <c r="A2237" t="s" s="834">
        <v>1616</v>
      </c>
      <c r="B2237" t="s" s="834">
        <v>1617</v>
      </c>
      <c r="C2237" t="s" s="834">
        <v>1618</v>
      </c>
      <c r="D2237" s="570"/>
      <c r="E2237" s="570"/>
      <c r="F2237" s="570"/>
      <c r="G2237" s="570"/>
      <c r="H2237" s="570"/>
      <c r="I2237" s="570"/>
      <c r="J2237" s="570"/>
      <c r="K2237" s="570"/>
    </row>
    <row r="2238" ht="13.75" customHeight="1">
      <c r="A2238" s="833">
        <v>605</v>
      </c>
      <c r="B2238" t="s" s="834">
        <v>1610</v>
      </c>
      <c r="C2238" t="s" s="834">
        <v>1010</v>
      </c>
      <c r="D2238" s="835">
        <v>46033</v>
      </c>
      <c r="E2238" t="s" s="834">
        <v>478</v>
      </c>
      <c r="F2238" t="s" s="834">
        <v>478</v>
      </c>
      <c r="G2238" s="570"/>
      <c r="H2238" s="570"/>
      <c r="I2238" s="570"/>
      <c r="J2238" s="570"/>
      <c r="K2238" s="570"/>
    </row>
    <row r="2239" ht="13.75" customHeight="1">
      <c r="A2239" s="833">
        <v>605</v>
      </c>
      <c r="B2239" t="s" s="834">
        <v>1610</v>
      </c>
      <c r="C2239" t="s" s="834">
        <v>1010</v>
      </c>
      <c r="D2239" s="835">
        <v>46034</v>
      </c>
      <c r="E2239" s="836">
        <v>1.372291666666667</v>
      </c>
      <c r="F2239" s="836">
        <v>1.816585648148148</v>
      </c>
      <c r="G2239" s="570"/>
      <c r="H2239" s="570"/>
      <c r="I2239" s="570"/>
      <c r="J2239" s="570"/>
      <c r="K2239" s="570"/>
    </row>
    <row r="2240" ht="13.75" customHeight="1">
      <c r="A2240" t="s" s="834">
        <v>1619</v>
      </c>
      <c r="B2240" t="s" s="834">
        <v>1620</v>
      </c>
      <c r="C2240" t="s" s="834">
        <v>1203</v>
      </c>
      <c r="D2240" s="570"/>
      <c r="E2240" s="570"/>
      <c r="F2240" s="570"/>
      <c r="G2240" s="570"/>
      <c r="H2240" s="570"/>
      <c r="I2240" s="570"/>
      <c r="J2240" s="570"/>
      <c r="K2240" s="570"/>
    </row>
    <row r="2241" ht="13.75" customHeight="1">
      <c r="A2241" s="833">
        <v>605</v>
      </c>
      <c r="B2241" t="s" s="834">
        <v>1610</v>
      </c>
      <c r="C2241" t="s" s="834">
        <v>1010</v>
      </c>
      <c r="D2241" s="835">
        <v>46035</v>
      </c>
      <c r="E2241" s="836">
        <v>1.380902777777778</v>
      </c>
      <c r="F2241" s="836">
        <v>1.786238425925926</v>
      </c>
      <c r="G2241" s="570"/>
      <c r="H2241" s="570"/>
      <c r="I2241" s="570"/>
      <c r="J2241" s="570"/>
      <c r="K2241" s="570"/>
    </row>
    <row r="2242" ht="13.75" customHeight="1">
      <c r="A2242" t="s" s="834">
        <v>1621</v>
      </c>
      <c r="B2242" t="s" s="834">
        <v>1622</v>
      </c>
      <c r="C2242" t="s" s="834">
        <v>1601</v>
      </c>
      <c r="D2242" s="570"/>
      <c r="E2242" s="570"/>
      <c r="F2242" s="570"/>
      <c r="G2242" s="570"/>
      <c r="H2242" s="570"/>
      <c r="I2242" s="570"/>
      <c r="J2242" s="570"/>
      <c r="K2242" s="570"/>
    </row>
    <row r="2243" ht="13.75" customHeight="1">
      <c r="A2243" s="833">
        <v>605</v>
      </c>
      <c r="B2243" t="s" s="834">
        <v>1610</v>
      </c>
      <c r="C2243" t="s" s="834">
        <v>1010</v>
      </c>
      <c r="D2243" s="835">
        <v>46036</v>
      </c>
      <c r="E2243" t="s" s="834">
        <v>478</v>
      </c>
      <c r="F2243" t="s" s="834">
        <v>478</v>
      </c>
      <c r="G2243" s="570"/>
      <c r="H2243" s="570"/>
      <c r="I2243" s="570"/>
      <c r="J2243" s="570"/>
      <c r="K2243" s="570"/>
    </row>
    <row r="2244" ht="13.75" customHeight="1">
      <c r="A2244" s="833">
        <v>605</v>
      </c>
      <c r="B2244" t="s" s="834">
        <v>1610</v>
      </c>
      <c r="C2244" t="s" s="834">
        <v>1010</v>
      </c>
      <c r="D2244" s="835">
        <v>46037</v>
      </c>
      <c r="E2244" s="836">
        <v>1.369467592592593</v>
      </c>
      <c r="F2244" s="836">
        <v>1.78849537037037</v>
      </c>
      <c r="G2244" s="570"/>
      <c r="H2244" s="570"/>
      <c r="I2244" s="570"/>
      <c r="J2244" s="570"/>
      <c r="K2244" s="570"/>
    </row>
    <row r="2245" ht="13.75" customHeight="1">
      <c r="A2245" t="s" s="834">
        <v>1623</v>
      </c>
      <c r="B2245" t="s" s="834">
        <v>1624</v>
      </c>
      <c r="C2245" t="s" s="834">
        <v>1280</v>
      </c>
      <c r="D2245" s="570"/>
      <c r="E2245" s="570"/>
      <c r="F2245" s="570"/>
      <c r="G2245" s="570"/>
      <c r="H2245" s="570"/>
      <c r="I2245" s="570"/>
      <c r="J2245" s="570"/>
      <c r="K2245" s="570"/>
    </row>
    <row r="2246" ht="13.75" customHeight="1">
      <c r="A2246" s="833">
        <v>605</v>
      </c>
      <c r="B2246" t="s" s="834">
        <v>1610</v>
      </c>
      <c r="C2246" t="s" s="834">
        <v>1010</v>
      </c>
      <c r="D2246" s="835">
        <v>46038</v>
      </c>
      <c r="E2246" s="836">
        <v>1.607986111111111</v>
      </c>
      <c r="F2246" s="836">
        <v>1.763703703703704</v>
      </c>
      <c r="G2246" s="570"/>
      <c r="H2246" s="570"/>
      <c r="I2246" s="570"/>
      <c r="J2246" s="570"/>
      <c r="K2246" s="570"/>
    </row>
    <row r="2247" ht="13.75" customHeight="1">
      <c r="A2247" t="s" s="834">
        <v>1625</v>
      </c>
      <c r="B2247" t="s" s="834">
        <v>1626</v>
      </c>
      <c r="C2247" t="s" s="834">
        <v>1627</v>
      </c>
      <c r="D2247" s="570"/>
      <c r="E2247" s="570"/>
      <c r="F2247" s="570"/>
      <c r="G2247" s="570"/>
      <c r="H2247" s="570"/>
      <c r="I2247" s="570"/>
      <c r="J2247" s="570"/>
      <c r="K2247" s="570"/>
    </row>
    <row r="2248" ht="13.75" customHeight="1">
      <c r="A2248" s="833">
        <v>605</v>
      </c>
      <c r="B2248" t="s" s="834">
        <v>1610</v>
      </c>
      <c r="C2248" t="s" s="834">
        <v>1010</v>
      </c>
      <c r="D2248" s="835">
        <v>46039</v>
      </c>
      <c r="E2248" t="s" s="834">
        <v>478</v>
      </c>
      <c r="F2248" t="s" s="834">
        <v>478</v>
      </c>
      <c r="G2248" s="570"/>
      <c r="H2248" s="570"/>
      <c r="I2248" s="570"/>
      <c r="J2248" s="570"/>
      <c r="K2248" s="570"/>
    </row>
    <row r="2249" ht="13.75" customHeight="1">
      <c r="A2249" s="833">
        <v>605</v>
      </c>
      <c r="B2249" t="s" s="834">
        <v>1610</v>
      </c>
      <c r="C2249" t="s" s="834">
        <v>1010</v>
      </c>
      <c r="D2249" s="835">
        <v>46040</v>
      </c>
      <c r="E2249" t="s" s="834">
        <v>478</v>
      </c>
      <c r="F2249" t="s" s="834">
        <v>478</v>
      </c>
      <c r="G2249" s="570"/>
      <c r="H2249" s="570"/>
      <c r="I2249" s="570"/>
      <c r="J2249" s="570"/>
      <c r="K2249" s="570"/>
    </row>
    <row r="2250" ht="13.75" customHeight="1">
      <c r="A2250" s="833">
        <v>605</v>
      </c>
      <c r="B2250" t="s" s="834">
        <v>1610</v>
      </c>
      <c r="C2250" t="s" s="834">
        <v>1010</v>
      </c>
      <c r="D2250" s="835">
        <v>46041</v>
      </c>
      <c r="E2250" s="836">
        <v>1.37494212962963</v>
      </c>
      <c r="F2250" s="836">
        <v>1.772152777777778</v>
      </c>
      <c r="G2250" s="570"/>
      <c r="H2250" s="570"/>
      <c r="I2250" s="570"/>
      <c r="J2250" s="570"/>
      <c r="K2250" s="570"/>
    </row>
    <row r="2251" ht="13.75" customHeight="1">
      <c r="A2251" t="s" s="834">
        <v>1628</v>
      </c>
      <c r="B2251" t="s" s="834">
        <v>1629</v>
      </c>
      <c r="C2251" t="s" s="834">
        <v>747</v>
      </c>
      <c r="D2251" s="570"/>
      <c r="E2251" s="570"/>
      <c r="F2251" s="570"/>
      <c r="G2251" s="570"/>
      <c r="H2251" s="570"/>
      <c r="I2251" s="570"/>
      <c r="J2251" s="570"/>
      <c r="K2251" s="570"/>
    </row>
    <row r="2252" ht="13.75" customHeight="1">
      <c r="A2252" s="833">
        <v>605</v>
      </c>
      <c r="B2252" t="s" s="834">
        <v>1610</v>
      </c>
      <c r="C2252" t="s" s="834">
        <v>1010</v>
      </c>
      <c r="D2252" s="835">
        <v>46042</v>
      </c>
      <c r="E2252" s="836">
        <v>1.366331018518518</v>
      </c>
      <c r="F2252" s="836">
        <v>1.769930555555556</v>
      </c>
      <c r="G2252" s="570"/>
      <c r="H2252" s="570"/>
      <c r="I2252" s="570"/>
      <c r="J2252" s="570"/>
      <c r="K2252" s="570"/>
    </row>
    <row r="2253" ht="13.75" customHeight="1">
      <c r="A2253" t="s" s="834">
        <v>1630</v>
      </c>
      <c r="B2253" t="s" s="834">
        <v>1631</v>
      </c>
      <c r="C2253" t="s" s="834">
        <v>590</v>
      </c>
      <c r="D2253" s="570"/>
      <c r="E2253" s="570"/>
      <c r="F2253" s="570"/>
      <c r="G2253" s="570"/>
      <c r="H2253" s="570"/>
      <c r="I2253" s="570"/>
      <c r="J2253" s="570"/>
      <c r="K2253" s="570"/>
    </row>
    <row r="2254" ht="13.75" customHeight="1">
      <c r="A2254" s="833">
        <v>605</v>
      </c>
      <c r="B2254" t="s" s="834">
        <v>1610</v>
      </c>
      <c r="C2254" t="s" s="834">
        <v>1010</v>
      </c>
      <c r="D2254" s="835">
        <v>46043</v>
      </c>
      <c r="E2254" s="836">
        <v>1.370520833333333</v>
      </c>
      <c r="F2254" s="836">
        <v>1.752731481481482</v>
      </c>
      <c r="G2254" s="570"/>
      <c r="H2254" s="570"/>
      <c r="I2254" s="570"/>
      <c r="J2254" s="570"/>
      <c r="K2254" s="570"/>
    </row>
    <row r="2255" ht="13.75" customHeight="1">
      <c r="A2255" t="s" s="834">
        <v>1632</v>
      </c>
      <c r="B2255" t="s" s="834">
        <v>1633</v>
      </c>
      <c r="C2255" t="s" s="834">
        <v>816</v>
      </c>
      <c r="D2255" s="570"/>
      <c r="E2255" s="570"/>
      <c r="F2255" s="570"/>
      <c r="G2255" s="570"/>
      <c r="H2255" s="570"/>
      <c r="I2255" s="570"/>
      <c r="J2255" s="570"/>
      <c r="K2255" s="570"/>
    </row>
    <row r="2256" ht="13.75" customHeight="1">
      <c r="A2256" s="833">
        <v>605</v>
      </c>
      <c r="B2256" t="s" s="834">
        <v>1610</v>
      </c>
      <c r="C2256" t="s" s="834">
        <v>1010</v>
      </c>
      <c r="D2256" s="835">
        <v>46044</v>
      </c>
      <c r="E2256" s="836">
        <v>1.371458333333333</v>
      </c>
      <c r="F2256" s="836">
        <v>1.754641203703704</v>
      </c>
      <c r="G2256" s="570"/>
      <c r="H2256" s="570"/>
      <c r="I2256" s="570"/>
      <c r="J2256" s="570"/>
      <c r="K2256" s="570"/>
    </row>
    <row r="2257" ht="13.75" customHeight="1">
      <c r="A2257" t="s" s="834">
        <v>1634</v>
      </c>
      <c r="B2257" t="s" s="834">
        <v>1635</v>
      </c>
      <c r="C2257" t="s" s="834">
        <v>812</v>
      </c>
      <c r="D2257" s="570"/>
      <c r="E2257" s="570"/>
      <c r="F2257" s="570"/>
      <c r="G2257" s="570"/>
      <c r="H2257" s="570"/>
      <c r="I2257" s="570"/>
      <c r="J2257" s="570"/>
      <c r="K2257" s="570"/>
    </row>
    <row r="2258" ht="13.75" customHeight="1">
      <c r="A2258" s="833">
        <v>605</v>
      </c>
      <c r="B2258" t="s" s="834">
        <v>1610</v>
      </c>
      <c r="C2258" t="s" s="834">
        <v>1010</v>
      </c>
      <c r="D2258" s="835">
        <v>46045</v>
      </c>
      <c r="E2258" s="836">
        <v>1.372708333333333</v>
      </c>
      <c r="F2258" s="836">
        <v>1.786122685185185</v>
      </c>
      <c r="G2258" s="570"/>
      <c r="H2258" s="570"/>
      <c r="I2258" s="570"/>
      <c r="J2258" s="570"/>
      <c r="K2258" s="570"/>
    </row>
    <row r="2259" ht="13.75" customHeight="1">
      <c r="A2259" t="s" s="834">
        <v>1636</v>
      </c>
      <c r="B2259" t="s" s="834">
        <v>1637</v>
      </c>
      <c r="C2259" t="s" s="834">
        <v>586</v>
      </c>
      <c r="D2259" s="570"/>
      <c r="E2259" s="570"/>
      <c r="F2259" s="570"/>
      <c r="G2259" s="570"/>
      <c r="H2259" s="570"/>
      <c r="I2259" s="570"/>
      <c r="J2259" s="570"/>
      <c r="K2259" s="570"/>
    </row>
    <row r="2260" ht="13.75" customHeight="1">
      <c r="A2260" s="833">
        <v>605</v>
      </c>
      <c r="B2260" t="s" s="834">
        <v>1610</v>
      </c>
      <c r="C2260" t="s" s="834">
        <v>1010</v>
      </c>
      <c r="D2260" s="835">
        <v>46046</v>
      </c>
      <c r="E2260" t="s" s="834">
        <v>478</v>
      </c>
      <c r="F2260" t="s" s="834">
        <v>478</v>
      </c>
      <c r="G2260" s="570"/>
      <c r="H2260" s="570"/>
      <c r="I2260" s="570"/>
      <c r="J2260" s="570"/>
      <c r="K2260" s="570"/>
    </row>
    <row r="2261" ht="13.75" customHeight="1">
      <c r="A2261" s="833">
        <v>605</v>
      </c>
      <c r="B2261" t="s" s="834">
        <v>1610</v>
      </c>
      <c r="C2261" t="s" s="834">
        <v>1010</v>
      </c>
      <c r="D2261" s="835">
        <v>46047</v>
      </c>
      <c r="E2261" t="s" s="834">
        <v>478</v>
      </c>
      <c r="F2261" t="s" s="834">
        <v>478</v>
      </c>
      <c r="G2261" s="570"/>
      <c r="H2261" s="570"/>
      <c r="I2261" s="570"/>
      <c r="J2261" s="570"/>
      <c r="K2261" s="570"/>
    </row>
    <row r="2262" ht="13.75" customHeight="1">
      <c r="A2262" s="833">
        <v>605</v>
      </c>
      <c r="B2262" t="s" s="834">
        <v>1610</v>
      </c>
      <c r="C2262" t="s" s="834">
        <v>1010</v>
      </c>
      <c r="D2262" s="835">
        <v>46048</v>
      </c>
      <c r="E2262" s="836">
        <v>1.374953703703704</v>
      </c>
      <c r="F2262" s="836">
        <v>1.757083333333333</v>
      </c>
      <c r="G2262" s="570"/>
      <c r="H2262" s="570"/>
      <c r="I2262" s="570"/>
      <c r="J2262" s="570"/>
      <c r="K2262" s="570"/>
    </row>
    <row r="2263" ht="13.75" customHeight="1">
      <c r="A2263" t="s" s="834">
        <v>1638</v>
      </c>
      <c r="B2263" t="s" s="834">
        <v>1639</v>
      </c>
      <c r="C2263" t="s" s="834">
        <v>816</v>
      </c>
      <c r="D2263" s="570"/>
      <c r="E2263" s="570"/>
      <c r="F2263" s="570"/>
      <c r="G2263" s="570"/>
      <c r="H2263" s="570"/>
      <c r="I2263" s="570"/>
      <c r="J2263" s="570"/>
      <c r="K2263" s="570"/>
    </row>
    <row r="2264" ht="13.75" customHeight="1">
      <c r="A2264" s="833">
        <v>605</v>
      </c>
      <c r="B2264" t="s" s="834">
        <v>1610</v>
      </c>
      <c r="C2264" t="s" s="834">
        <v>1010</v>
      </c>
      <c r="D2264" s="835">
        <v>46049</v>
      </c>
      <c r="E2264" s="836">
        <v>1.373993055555556</v>
      </c>
      <c r="F2264" s="836">
        <v>1.757476851851852</v>
      </c>
      <c r="G2264" s="570"/>
      <c r="H2264" s="570"/>
      <c r="I2264" s="570"/>
      <c r="J2264" s="570"/>
      <c r="K2264" s="570"/>
    </row>
    <row r="2265" ht="13.75" customHeight="1">
      <c r="A2265" t="s" s="834">
        <v>1640</v>
      </c>
      <c r="B2265" t="s" s="834">
        <v>1641</v>
      </c>
      <c r="C2265" t="s" s="834">
        <v>812</v>
      </c>
      <c r="D2265" s="570"/>
      <c r="E2265" s="570"/>
      <c r="F2265" s="570"/>
      <c r="G2265" s="570"/>
      <c r="H2265" s="570"/>
      <c r="I2265" s="570"/>
      <c r="J2265" s="570"/>
      <c r="K2265" s="570"/>
    </row>
    <row r="2266" ht="13.75" customHeight="1">
      <c r="A2266" s="833">
        <v>605</v>
      </c>
      <c r="B2266" t="s" s="834">
        <v>1610</v>
      </c>
      <c r="C2266" t="s" s="834">
        <v>1010</v>
      </c>
      <c r="D2266" s="835">
        <v>46050</v>
      </c>
      <c r="E2266" s="836">
        <v>1.37568287037037</v>
      </c>
      <c r="F2266" s="836">
        <v>1.764490740740741</v>
      </c>
      <c r="G2266" s="570"/>
      <c r="H2266" s="570"/>
      <c r="I2266" s="570"/>
      <c r="J2266" s="570"/>
      <c r="K2266" s="570"/>
    </row>
    <row r="2267" ht="13.75" customHeight="1">
      <c r="A2267" t="s" s="834">
        <v>1642</v>
      </c>
      <c r="B2267" t="s" s="834">
        <v>1643</v>
      </c>
      <c r="C2267" t="s" s="834">
        <v>1490</v>
      </c>
      <c r="D2267" s="570"/>
      <c r="E2267" s="570"/>
      <c r="F2267" s="570"/>
      <c r="G2267" s="570"/>
      <c r="H2267" s="570"/>
      <c r="I2267" s="570"/>
      <c r="J2267" s="570"/>
      <c r="K2267" s="570"/>
    </row>
    <row r="2268" ht="13.75" customHeight="1">
      <c r="A2268" s="833">
        <v>605</v>
      </c>
      <c r="B2268" t="s" s="834">
        <v>1610</v>
      </c>
      <c r="C2268" t="s" s="834">
        <v>1010</v>
      </c>
      <c r="D2268" s="835">
        <v>46051</v>
      </c>
      <c r="E2268" t="s" s="834">
        <v>478</v>
      </c>
      <c r="F2268" t="s" s="834">
        <v>478</v>
      </c>
      <c r="G2268" s="570"/>
      <c r="H2268" s="570"/>
      <c r="I2268" s="570"/>
      <c r="J2268" s="570"/>
      <c r="K2268" s="570"/>
    </row>
    <row r="2269" ht="13.75" customHeight="1">
      <c r="A2269" s="833">
        <v>605</v>
      </c>
      <c r="B2269" t="s" s="834">
        <v>1610</v>
      </c>
      <c r="C2269" t="s" s="834">
        <v>1010</v>
      </c>
      <c r="D2269" s="835">
        <v>46052</v>
      </c>
      <c r="E2269" s="836">
        <v>1.375532407407407</v>
      </c>
      <c r="F2269" s="836">
        <v>1.751689814814815</v>
      </c>
      <c r="G2269" s="570"/>
      <c r="H2269" s="570"/>
      <c r="I2269" s="570"/>
      <c r="J2269" s="570"/>
      <c r="K2269" s="570"/>
    </row>
    <row r="2270" ht="13.75" customHeight="1">
      <c r="A2270" t="s" s="834">
        <v>1644</v>
      </c>
      <c r="B2270" t="s" s="834">
        <v>1645</v>
      </c>
      <c r="C2270" t="s" s="834">
        <v>534</v>
      </c>
      <c r="D2270" s="570"/>
      <c r="E2270" s="570"/>
      <c r="F2270" s="570"/>
      <c r="G2270" s="570"/>
      <c r="H2270" s="570"/>
      <c r="I2270" s="570"/>
      <c r="J2270" s="570"/>
      <c r="K2270" s="570"/>
    </row>
    <row r="2271" ht="13.75" customHeight="1">
      <c r="A2271" s="833">
        <v>605</v>
      </c>
      <c r="B2271" t="s" s="834">
        <v>1610</v>
      </c>
      <c r="C2271" t="s" s="834">
        <v>1010</v>
      </c>
      <c r="D2271" s="835">
        <v>46053</v>
      </c>
      <c r="E2271" t="s" s="834">
        <v>478</v>
      </c>
      <c r="F2271" t="s" s="834">
        <v>478</v>
      </c>
      <c r="G2271" s="570"/>
      <c r="H2271" s="570"/>
      <c r="I2271" s="570"/>
      <c r="J2271" s="570"/>
      <c r="K2271" s="570"/>
    </row>
    <row r="2272" ht="13.75" customHeight="1">
      <c r="A2272" s="833">
        <v>605</v>
      </c>
      <c r="B2272" t="s" s="834">
        <v>1610</v>
      </c>
      <c r="C2272" t="s" s="834">
        <v>1010</v>
      </c>
      <c r="D2272" s="835">
        <v>46054</v>
      </c>
      <c r="E2272" t="s" s="834">
        <v>478</v>
      </c>
      <c r="F2272" t="s" s="834">
        <v>478</v>
      </c>
      <c r="G2272" s="570"/>
      <c r="H2272" s="570"/>
      <c r="I2272" s="570"/>
      <c r="J2272" s="570"/>
      <c r="K2272" s="570"/>
    </row>
    <row r="2273" ht="13.75" customHeight="1">
      <c r="A2273" s="833">
        <v>606</v>
      </c>
      <c r="B2273" t="s" s="834">
        <v>1646</v>
      </c>
      <c r="C2273" t="s" s="834">
        <v>1571</v>
      </c>
      <c r="D2273" s="835">
        <v>46023</v>
      </c>
      <c r="E2273" t="s" s="834">
        <v>478</v>
      </c>
      <c r="F2273" t="s" s="834">
        <v>478</v>
      </c>
      <c r="G2273" s="570"/>
      <c r="H2273" s="570"/>
      <c r="I2273" s="570"/>
      <c r="J2273" s="570"/>
      <c r="K2273" s="570"/>
    </row>
    <row r="2274" ht="13.75" customHeight="1">
      <c r="A2274" s="833">
        <v>606</v>
      </c>
      <c r="B2274" t="s" s="834">
        <v>1646</v>
      </c>
      <c r="C2274" t="s" s="834">
        <v>1571</v>
      </c>
      <c r="D2274" s="835">
        <v>46024</v>
      </c>
      <c r="E2274" t="s" s="834">
        <v>478</v>
      </c>
      <c r="F2274" t="s" s="834">
        <v>478</v>
      </c>
      <c r="G2274" s="570"/>
      <c r="H2274" s="570"/>
      <c r="I2274" s="570"/>
      <c r="J2274" s="570"/>
      <c r="K2274" s="570"/>
    </row>
    <row r="2275" ht="13.75" customHeight="1">
      <c r="A2275" s="833">
        <v>606</v>
      </c>
      <c r="B2275" t="s" s="834">
        <v>1646</v>
      </c>
      <c r="C2275" t="s" s="834">
        <v>1571</v>
      </c>
      <c r="D2275" s="835">
        <v>46025</v>
      </c>
      <c r="E2275" t="s" s="834">
        <v>478</v>
      </c>
      <c r="F2275" t="s" s="834">
        <v>478</v>
      </c>
      <c r="G2275" s="570"/>
      <c r="H2275" s="570"/>
      <c r="I2275" s="570"/>
      <c r="J2275" s="570"/>
      <c r="K2275" s="570"/>
    </row>
    <row r="2276" ht="13.75" customHeight="1">
      <c r="A2276" s="833">
        <v>606</v>
      </c>
      <c r="B2276" t="s" s="834">
        <v>1646</v>
      </c>
      <c r="C2276" t="s" s="834">
        <v>1571</v>
      </c>
      <c r="D2276" s="835">
        <v>46026</v>
      </c>
      <c r="E2276" t="s" s="834">
        <v>478</v>
      </c>
      <c r="F2276" t="s" s="834">
        <v>478</v>
      </c>
      <c r="G2276" s="570"/>
      <c r="H2276" s="570"/>
      <c r="I2276" s="570"/>
      <c r="J2276" s="570"/>
      <c r="K2276" s="570"/>
    </row>
    <row r="2277" ht="13.75" customHeight="1">
      <c r="A2277" s="833">
        <v>606</v>
      </c>
      <c r="B2277" t="s" s="834">
        <v>1646</v>
      </c>
      <c r="C2277" t="s" s="834">
        <v>1571</v>
      </c>
      <c r="D2277" s="835">
        <v>46027</v>
      </c>
      <c r="E2277" t="s" s="834">
        <v>478</v>
      </c>
      <c r="F2277" t="s" s="834">
        <v>478</v>
      </c>
      <c r="G2277" s="570"/>
      <c r="H2277" s="570"/>
      <c r="I2277" s="570"/>
      <c r="J2277" s="570"/>
      <c r="K2277" s="570"/>
    </row>
    <row r="2278" ht="13.75" customHeight="1">
      <c r="A2278" s="833">
        <v>606</v>
      </c>
      <c r="B2278" t="s" s="834">
        <v>1646</v>
      </c>
      <c r="C2278" t="s" s="834">
        <v>1571</v>
      </c>
      <c r="D2278" s="835">
        <v>46028</v>
      </c>
      <c r="E2278" t="s" s="834">
        <v>478</v>
      </c>
      <c r="F2278" t="s" s="834">
        <v>478</v>
      </c>
      <c r="G2278" s="570"/>
      <c r="H2278" s="570"/>
      <c r="I2278" s="570"/>
      <c r="J2278" s="570"/>
      <c r="K2278" s="570"/>
    </row>
    <row r="2279" ht="13.75" customHeight="1">
      <c r="A2279" s="833">
        <v>606</v>
      </c>
      <c r="B2279" t="s" s="834">
        <v>1646</v>
      </c>
      <c r="C2279" t="s" s="834">
        <v>1571</v>
      </c>
      <c r="D2279" s="835">
        <v>46029</v>
      </c>
      <c r="E2279" t="s" s="834">
        <v>478</v>
      </c>
      <c r="F2279" t="s" s="834">
        <v>478</v>
      </c>
      <c r="G2279" s="570"/>
      <c r="H2279" s="570"/>
      <c r="I2279" s="570"/>
      <c r="J2279" s="570"/>
      <c r="K2279" s="570"/>
    </row>
    <row r="2280" ht="13.75" customHeight="1">
      <c r="A2280" s="833">
        <v>606</v>
      </c>
      <c r="B2280" t="s" s="834">
        <v>1646</v>
      </c>
      <c r="C2280" t="s" s="834">
        <v>1571</v>
      </c>
      <c r="D2280" s="835">
        <v>46030</v>
      </c>
      <c r="E2280" s="836">
        <v>1.685856481481482</v>
      </c>
      <c r="F2280" s="836">
        <v>1.764548611111111</v>
      </c>
      <c r="G2280" s="570"/>
      <c r="H2280" s="570"/>
      <c r="I2280" s="570"/>
      <c r="J2280" s="570"/>
      <c r="K2280" s="570"/>
    </row>
    <row r="2281" ht="13.75" customHeight="1">
      <c r="A2281" t="s" s="834">
        <v>1647</v>
      </c>
      <c r="B2281" t="s" s="834">
        <v>1648</v>
      </c>
      <c r="C2281" t="s" s="834">
        <v>1649</v>
      </c>
      <c r="D2281" s="570"/>
      <c r="E2281" s="570"/>
      <c r="F2281" s="570"/>
      <c r="G2281" s="570"/>
      <c r="H2281" s="570"/>
      <c r="I2281" s="570"/>
      <c r="J2281" s="570"/>
      <c r="K2281" s="570"/>
    </row>
    <row r="2282" ht="13.75" customHeight="1">
      <c r="A2282" s="833">
        <v>606</v>
      </c>
      <c r="B2282" t="s" s="834">
        <v>1646</v>
      </c>
      <c r="C2282" t="s" s="834">
        <v>1571</v>
      </c>
      <c r="D2282" s="835">
        <v>46031</v>
      </c>
      <c r="E2282" s="836">
        <v>1.353703703703704</v>
      </c>
      <c r="F2282" s="836">
        <v>1.757071759259259</v>
      </c>
      <c r="G2282" s="570"/>
      <c r="H2282" s="570"/>
      <c r="I2282" s="570"/>
      <c r="J2282" s="570"/>
      <c r="K2282" s="570"/>
    </row>
    <row r="2283" ht="13.75" customHeight="1">
      <c r="A2283" t="s" s="834">
        <v>1650</v>
      </c>
      <c r="B2283" t="s" s="834">
        <v>1651</v>
      </c>
      <c r="C2283" t="s" s="834">
        <v>590</v>
      </c>
      <c r="D2283" s="570"/>
      <c r="E2283" s="570"/>
      <c r="F2283" s="570"/>
      <c r="G2283" s="570"/>
      <c r="H2283" s="570"/>
      <c r="I2283" s="570"/>
      <c r="J2283" s="570"/>
      <c r="K2283" s="570"/>
    </row>
    <row r="2284" ht="13.75" customHeight="1">
      <c r="A2284" s="833">
        <v>606</v>
      </c>
      <c r="B2284" t="s" s="834">
        <v>1646</v>
      </c>
      <c r="C2284" t="s" s="834">
        <v>1571</v>
      </c>
      <c r="D2284" s="835">
        <v>46032</v>
      </c>
      <c r="E2284" t="s" s="834">
        <v>478</v>
      </c>
      <c r="F2284" t="s" s="834">
        <v>478</v>
      </c>
      <c r="G2284" s="570"/>
      <c r="H2284" s="570"/>
      <c r="I2284" s="570"/>
      <c r="J2284" s="570"/>
      <c r="K2284" s="570"/>
    </row>
    <row r="2285" ht="13.75" customHeight="1">
      <c r="A2285" s="833">
        <v>606</v>
      </c>
      <c r="B2285" t="s" s="834">
        <v>1646</v>
      </c>
      <c r="C2285" t="s" s="834">
        <v>1571</v>
      </c>
      <c r="D2285" s="835">
        <v>46033</v>
      </c>
      <c r="E2285" t="s" s="834">
        <v>478</v>
      </c>
      <c r="F2285" t="s" s="834">
        <v>478</v>
      </c>
      <c r="G2285" s="570"/>
      <c r="H2285" s="570"/>
      <c r="I2285" s="570"/>
      <c r="J2285" s="570"/>
      <c r="K2285" s="570"/>
    </row>
    <row r="2286" ht="13.75" customHeight="1">
      <c r="A2286" s="833">
        <v>606</v>
      </c>
      <c r="B2286" t="s" s="834">
        <v>1646</v>
      </c>
      <c r="C2286" t="s" s="834">
        <v>1571</v>
      </c>
      <c r="D2286" s="835">
        <v>46034</v>
      </c>
      <c r="E2286" s="836">
        <v>1.352025462962963</v>
      </c>
      <c r="F2286" s="836">
        <v>1.753449074074074</v>
      </c>
      <c r="G2286" s="570"/>
      <c r="H2286" s="570"/>
      <c r="I2286" s="570"/>
      <c r="J2286" s="570"/>
      <c r="K2286" s="570"/>
    </row>
    <row r="2287" ht="13.75" customHeight="1">
      <c r="A2287" t="s" s="834">
        <v>1652</v>
      </c>
      <c r="B2287" t="s" s="834">
        <v>1653</v>
      </c>
      <c r="C2287" t="s" s="834">
        <v>697</v>
      </c>
      <c r="D2287" s="570"/>
      <c r="E2287" s="570"/>
      <c r="F2287" s="570"/>
      <c r="G2287" s="570"/>
      <c r="H2287" s="570"/>
      <c r="I2287" s="570"/>
      <c r="J2287" s="570"/>
      <c r="K2287" s="570"/>
    </row>
    <row r="2288" ht="13.75" customHeight="1">
      <c r="A2288" s="833">
        <v>606</v>
      </c>
      <c r="B2288" t="s" s="834">
        <v>1646</v>
      </c>
      <c r="C2288" t="s" s="834">
        <v>1571</v>
      </c>
      <c r="D2288" s="835">
        <v>46035</v>
      </c>
      <c r="E2288" s="836">
        <v>1.35181712962963</v>
      </c>
      <c r="F2288" s="836">
        <v>1.753715277777778</v>
      </c>
      <c r="G2288" s="570"/>
      <c r="H2288" s="570"/>
      <c r="I2288" s="570"/>
      <c r="J2288" s="570"/>
      <c r="K2288" s="570"/>
    </row>
    <row r="2289" ht="13.75" customHeight="1">
      <c r="A2289" t="s" s="834">
        <v>1654</v>
      </c>
      <c r="B2289" t="s" s="834">
        <v>1655</v>
      </c>
      <c r="C2289" t="s" s="834">
        <v>772</v>
      </c>
      <c r="D2289" s="570"/>
      <c r="E2289" s="570"/>
      <c r="F2289" s="570"/>
      <c r="G2289" s="570"/>
      <c r="H2289" s="570"/>
      <c r="I2289" s="570"/>
      <c r="J2289" s="570"/>
      <c r="K2289" s="570"/>
    </row>
    <row r="2290" ht="13.75" customHeight="1">
      <c r="A2290" s="833">
        <v>606</v>
      </c>
      <c r="B2290" t="s" s="834">
        <v>1646</v>
      </c>
      <c r="C2290" t="s" s="834">
        <v>1571</v>
      </c>
      <c r="D2290" s="835">
        <v>46036</v>
      </c>
      <c r="E2290" s="836">
        <v>1.540011574074074</v>
      </c>
      <c r="F2290" s="836">
        <v>1.923680555555555</v>
      </c>
      <c r="G2290" s="570"/>
      <c r="H2290" s="570"/>
      <c r="I2290" s="570"/>
      <c r="J2290" s="570"/>
      <c r="K2290" s="570"/>
    </row>
    <row r="2291" ht="13.75" customHeight="1">
      <c r="A2291" t="s" s="834">
        <v>1656</v>
      </c>
      <c r="B2291" t="s" s="834">
        <v>1657</v>
      </c>
      <c r="C2291" t="s" s="834">
        <v>812</v>
      </c>
      <c r="D2291" s="570"/>
      <c r="E2291" s="570"/>
      <c r="F2291" s="570"/>
      <c r="G2291" s="570"/>
      <c r="H2291" s="570"/>
      <c r="I2291" s="570"/>
      <c r="J2291" s="570"/>
      <c r="K2291" s="570"/>
    </row>
    <row r="2292" ht="13.75" customHeight="1">
      <c r="A2292" s="833">
        <v>606</v>
      </c>
      <c r="B2292" t="s" s="834">
        <v>1646</v>
      </c>
      <c r="C2292" t="s" s="834">
        <v>1571</v>
      </c>
      <c r="D2292" s="835">
        <v>46037</v>
      </c>
      <c r="E2292" s="836">
        <v>1.355891203703704</v>
      </c>
      <c r="F2292" s="836">
        <v>1.520034722222222</v>
      </c>
      <c r="G2292" s="570"/>
      <c r="H2292" s="570"/>
      <c r="I2292" s="570"/>
      <c r="J2292" s="570"/>
      <c r="K2292" s="570"/>
    </row>
    <row r="2293" ht="13.75" customHeight="1">
      <c r="A2293" t="s" s="834">
        <v>1658</v>
      </c>
      <c r="B2293" t="s" s="834">
        <v>1659</v>
      </c>
      <c r="C2293" t="s" s="834">
        <v>1554</v>
      </c>
      <c r="D2293" s="570"/>
      <c r="E2293" s="570"/>
      <c r="F2293" s="570"/>
      <c r="G2293" s="570"/>
      <c r="H2293" s="570"/>
      <c r="I2293" s="570"/>
      <c r="J2293" s="570"/>
      <c r="K2293" s="570"/>
    </row>
    <row r="2294" ht="13.75" customHeight="1">
      <c r="A2294" s="833">
        <v>606</v>
      </c>
      <c r="B2294" t="s" s="834">
        <v>1646</v>
      </c>
      <c r="C2294" t="s" s="834">
        <v>1571</v>
      </c>
      <c r="D2294" s="835">
        <v>46038</v>
      </c>
      <c r="E2294" s="836">
        <v>1.011296296296296</v>
      </c>
      <c r="F2294" s="836">
        <v>1.691631944444445</v>
      </c>
      <c r="G2294" s="570"/>
      <c r="H2294" s="570"/>
      <c r="I2294" s="570"/>
      <c r="J2294" s="570"/>
      <c r="K2294" s="570"/>
    </row>
    <row r="2295" ht="13.75" customHeight="1">
      <c r="A2295" t="s" s="834">
        <v>1660</v>
      </c>
      <c r="B2295" t="s" s="834">
        <v>1661</v>
      </c>
      <c r="C2295" t="s" s="834">
        <v>1662</v>
      </c>
      <c r="D2295" s="570"/>
      <c r="E2295" s="570"/>
      <c r="F2295" s="570"/>
      <c r="G2295" s="570"/>
      <c r="H2295" s="570"/>
      <c r="I2295" s="570"/>
      <c r="J2295" s="570"/>
      <c r="K2295" s="570"/>
    </row>
    <row r="2296" ht="13.75" customHeight="1">
      <c r="A2296" s="833">
        <v>606</v>
      </c>
      <c r="B2296" t="s" s="834">
        <v>1646</v>
      </c>
      <c r="C2296" t="s" s="834">
        <v>1571</v>
      </c>
      <c r="D2296" s="835">
        <v>46039</v>
      </c>
      <c r="E2296" t="s" s="834">
        <v>478</v>
      </c>
      <c r="F2296" t="s" s="834">
        <v>478</v>
      </c>
      <c r="G2296" s="570"/>
      <c r="H2296" s="570"/>
      <c r="I2296" s="570"/>
      <c r="J2296" s="570"/>
      <c r="K2296" s="570"/>
    </row>
    <row r="2297" ht="13.75" customHeight="1">
      <c r="A2297" s="833">
        <v>606</v>
      </c>
      <c r="B2297" t="s" s="834">
        <v>1646</v>
      </c>
      <c r="C2297" t="s" s="834">
        <v>1571</v>
      </c>
      <c r="D2297" s="835">
        <v>46040</v>
      </c>
      <c r="E2297" t="s" s="834">
        <v>478</v>
      </c>
      <c r="F2297" t="s" s="834">
        <v>478</v>
      </c>
      <c r="G2297" s="570"/>
      <c r="H2297" s="570"/>
      <c r="I2297" s="570"/>
      <c r="J2297" s="570"/>
      <c r="K2297" s="570"/>
    </row>
    <row r="2298" ht="13.75" customHeight="1">
      <c r="A2298" s="833">
        <v>606</v>
      </c>
      <c r="B2298" t="s" s="834">
        <v>1646</v>
      </c>
      <c r="C2298" t="s" s="834">
        <v>1571</v>
      </c>
      <c r="D2298" s="835">
        <v>46041</v>
      </c>
      <c r="E2298" s="836">
        <v>1.353773148148148</v>
      </c>
      <c r="F2298" s="836">
        <v>1.752118055555556</v>
      </c>
      <c r="G2298" s="570"/>
      <c r="H2298" s="570"/>
      <c r="I2298" s="570"/>
      <c r="J2298" s="570"/>
      <c r="K2298" s="570"/>
    </row>
    <row r="2299" ht="13.75" customHeight="1">
      <c r="A2299" t="s" s="834">
        <v>1663</v>
      </c>
      <c r="B2299" t="s" s="834">
        <v>1664</v>
      </c>
      <c r="C2299" t="s" s="834">
        <v>611</v>
      </c>
      <c r="D2299" s="570"/>
      <c r="E2299" s="570"/>
      <c r="F2299" s="570"/>
      <c r="G2299" s="570"/>
      <c r="H2299" s="570"/>
      <c r="I2299" s="570"/>
      <c r="J2299" s="570"/>
      <c r="K2299" s="570"/>
    </row>
    <row r="2300" ht="13.75" customHeight="1">
      <c r="A2300" s="833">
        <v>606</v>
      </c>
      <c r="B2300" t="s" s="834">
        <v>1646</v>
      </c>
      <c r="C2300" t="s" s="834">
        <v>1571</v>
      </c>
      <c r="D2300" s="835">
        <v>46042</v>
      </c>
      <c r="E2300" s="836">
        <v>1.351574074074074</v>
      </c>
      <c r="F2300" s="836">
        <v>1.752962962962963</v>
      </c>
      <c r="G2300" s="570"/>
      <c r="H2300" s="570"/>
      <c r="I2300" s="570"/>
      <c r="J2300" s="570"/>
      <c r="K2300" s="570"/>
    </row>
    <row r="2301" ht="13.75" customHeight="1">
      <c r="A2301" t="s" s="834">
        <v>1665</v>
      </c>
      <c r="B2301" t="s" s="834">
        <v>1666</v>
      </c>
      <c r="C2301" t="s" s="834">
        <v>697</v>
      </c>
      <c r="D2301" s="570"/>
      <c r="E2301" s="570"/>
      <c r="F2301" s="570"/>
      <c r="G2301" s="570"/>
      <c r="H2301" s="570"/>
      <c r="I2301" s="570"/>
      <c r="J2301" s="570"/>
      <c r="K2301" s="570"/>
    </row>
    <row r="2302" ht="13.75" customHeight="1">
      <c r="A2302" s="833">
        <v>606</v>
      </c>
      <c r="B2302" t="s" s="834">
        <v>1646</v>
      </c>
      <c r="C2302" t="s" s="834">
        <v>1571</v>
      </c>
      <c r="D2302" s="835">
        <v>46043</v>
      </c>
      <c r="E2302" s="836">
        <v>1.349016203703704</v>
      </c>
      <c r="F2302" t="s" s="834">
        <v>478</v>
      </c>
      <c r="G2302" s="570"/>
      <c r="H2302" s="570"/>
      <c r="I2302" s="570"/>
      <c r="J2302" s="570"/>
      <c r="K2302" s="570"/>
    </row>
    <row r="2303" ht="13.75" customHeight="1">
      <c r="A2303" t="s" s="834">
        <v>1667</v>
      </c>
      <c r="B2303" t="s" s="834">
        <v>485</v>
      </c>
      <c r="C2303" t="s" s="834">
        <v>486</v>
      </c>
      <c r="D2303" s="570"/>
      <c r="E2303" s="570"/>
      <c r="F2303" s="570"/>
      <c r="G2303" s="570"/>
      <c r="H2303" s="570"/>
      <c r="I2303" s="570"/>
      <c r="J2303" s="570"/>
      <c r="K2303" s="570"/>
    </row>
    <row r="2304" ht="13.75" customHeight="1">
      <c r="A2304" s="833">
        <v>606</v>
      </c>
      <c r="B2304" t="s" s="834">
        <v>1646</v>
      </c>
      <c r="C2304" t="s" s="834">
        <v>1571</v>
      </c>
      <c r="D2304" s="835">
        <v>46044</v>
      </c>
      <c r="E2304" s="836">
        <v>1.353530092592593</v>
      </c>
      <c r="F2304" s="836">
        <v>1.752592592592593</v>
      </c>
      <c r="G2304" s="570"/>
      <c r="H2304" s="570"/>
      <c r="I2304" s="570"/>
      <c r="J2304" s="570"/>
      <c r="K2304" s="570"/>
    </row>
    <row r="2305" ht="13.75" customHeight="1">
      <c r="A2305" t="s" s="834">
        <v>1668</v>
      </c>
      <c r="B2305" t="s" s="834">
        <v>1669</v>
      </c>
      <c r="C2305" t="s" s="834">
        <v>515</v>
      </c>
      <c r="D2305" s="570"/>
      <c r="E2305" s="570"/>
      <c r="F2305" s="570"/>
      <c r="G2305" s="570"/>
      <c r="H2305" s="570"/>
      <c r="I2305" s="570"/>
      <c r="J2305" s="570"/>
      <c r="K2305" s="570"/>
    </row>
    <row r="2306" ht="13.75" customHeight="1">
      <c r="A2306" s="833">
        <v>606</v>
      </c>
      <c r="B2306" t="s" s="834">
        <v>1646</v>
      </c>
      <c r="C2306" t="s" s="834">
        <v>1571</v>
      </c>
      <c r="D2306" s="835">
        <v>46045</v>
      </c>
      <c r="E2306" s="836">
        <v>1.35375</v>
      </c>
      <c r="F2306" s="836">
        <v>1.874479166666667</v>
      </c>
      <c r="G2306" s="570"/>
      <c r="H2306" s="570"/>
      <c r="I2306" s="570"/>
      <c r="J2306" s="570"/>
      <c r="K2306" s="570"/>
    </row>
    <row r="2307" ht="13.75" customHeight="1">
      <c r="A2307" t="s" s="834">
        <v>1670</v>
      </c>
      <c r="B2307" t="s" s="834">
        <v>1671</v>
      </c>
      <c r="C2307" t="s" s="834">
        <v>1672</v>
      </c>
      <c r="D2307" s="570"/>
      <c r="E2307" s="570"/>
      <c r="F2307" s="570"/>
      <c r="G2307" s="570"/>
      <c r="H2307" s="570"/>
      <c r="I2307" s="570"/>
      <c r="J2307" s="570"/>
      <c r="K2307" s="570"/>
    </row>
    <row r="2308" ht="13.75" customHeight="1">
      <c r="A2308" s="833">
        <v>606</v>
      </c>
      <c r="B2308" t="s" s="834">
        <v>1646</v>
      </c>
      <c r="C2308" t="s" s="834">
        <v>1571</v>
      </c>
      <c r="D2308" s="835">
        <v>46046</v>
      </c>
      <c r="E2308" t="s" s="834">
        <v>478</v>
      </c>
      <c r="F2308" t="s" s="834">
        <v>478</v>
      </c>
      <c r="G2308" s="570"/>
      <c r="H2308" s="570"/>
      <c r="I2308" s="570"/>
      <c r="J2308" s="570"/>
      <c r="K2308" s="570"/>
    </row>
    <row r="2309" ht="13.75" customHeight="1">
      <c r="A2309" s="833">
        <v>606</v>
      </c>
      <c r="B2309" t="s" s="834">
        <v>1646</v>
      </c>
      <c r="C2309" t="s" s="834">
        <v>1571</v>
      </c>
      <c r="D2309" s="835">
        <v>46047</v>
      </c>
      <c r="E2309" t="s" s="834">
        <v>478</v>
      </c>
      <c r="F2309" t="s" s="834">
        <v>478</v>
      </c>
      <c r="G2309" s="570"/>
      <c r="H2309" s="570"/>
      <c r="I2309" s="570"/>
      <c r="J2309" s="570"/>
      <c r="K2309" s="570"/>
    </row>
    <row r="2310" ht="13.75" customHeight="1">
      <c r="A2310" s="833">
        <v>606</v>
      </c>
      <c r="B2310" t="s" s="834">
        <v>1646</v>
      </c>
      <c r="C2310" t="s" s="834">
        <v>1571</v>
      </c>
      <c r="D2310" s="835">
        <v>46048</v>
      </c>
      <c r="E2310" s="836">
        <v>1.555532407407407</v>
      </c>
      <c r="F2310" s="836">
        <v>1.790902777777778</v>
      </c>
      <c r="G2310" s="570"/>
      <c r="H2310" s="570"/>
      <c r="I2310" s="570"/>
      <c r="J2310" s="570"/>
      <c r="K2310" s="570"/>
    </row>
    <row r="2311" ht="13.75" customHeight="1">
      <c r="A2311" t="s" s="834">
        <v>1673</v>
      </c>
      <c r="B2311" t="s" s="834">
        <v>1674</v>
      </c>
      <c r="C2311" t="s" s="834">
        <v>1675</v>
      </c>
      <c r="D2311" s="570"/>
      <c r="E2311" s="570"/>
      <c r="F2311" s="570"/>
      <c r="G2311" s="570"/>
      <c r="H2311" s="570"/>
      <c r="I2311" s="570"/>
      <c r="J2311" s="570"/>
      <c r="K2311" s="570"/>
    </row>
    <row r="2312" ht="13.75" customHeight="1">
      <c r="A2312" s="833">
        <v>606</v>
      </c>
      <c r="B2312" t="s" s="834">
        <v>1646</v>
      </c>
      <c r="C2312" t="s" s="834">
        <v>1571</v>
      </c>
      <c r="D2312" s="835">
        <v>46049</v>
      </c>
      <c r="E2312" s="836">
        <v>1.359884259259259</v>
      </c>
      <c r="F2312" t="s" s="834">
        <v>478</v>
      </c>
      <c r="G2312" s="570"/>
      <c r="H2312" s="570"/>
      <c r="I2312" s="570"/>
      <c r="J2312" s="570"/>
      <c r="K2312" s="570"/>
    </row>
    <row r="2313" ht="13.75" customHeight="1">
      <c r="A2313" t="s" s="834">
        <v>1676</v>
      </c>
      <c r="B2313" t="s" s="834">
        <v>485</v>
      </c>
      <c r="C2313" t="s" s="834">
        <v>486</v>
      </c>
      <c r="D2313" s="570"/>
      <c r="E2313" s="570"/>
      <c r="F2313" s="570"/>
      <c r="G2313" s="570"/>
      <c r="H2313" s="570"/>
      <c r="I2313" s="570"/>
      <c r="J2313" s="570"/>
      <c r="K2313" s="570"/>
    </row>
    <row r="2314" ht="13.75" customHeight="1">
      <c r="A2314" s="833">
        <v>606</v>
      </c>
      <c r="B2314" t="s" s="834">
        <v>1646</v>
      </c>
      <c r="C2314" t="s" s="834">
        <v>1571</v>
      </c>
      <c r="D2314" s="835">
        <v>46050</v>
      </c>
      <c r="E2314" s="836">
        <v>1.440451388888889</v>
      </c>
      <c r="F2314" s="836">
        <v>1.784699074074074</v>
      </c>
      <c r="G2314" s="570"/>
      <c r="H2314" s="570"/>
      <c r="I2314" s="570"/>
      <c r="J2314" s="570"/>
      <c r="K2314" s="570"/>
    </row>
    <row r="2315" ht="13.75" customHeight="1">
      <c r="A2315" t="s" s="834">
        <v>1677</v>
      </c>
      <c r="B2315" t="s" s="834">
        <v>1678</v>
      </c>
      <c r="C2315" t="s" s="834">
        <v>1679</v>
      </c>
      <c r="D2315" s="570"/>
      <c r="E2315" s="570"/>
      <c r="F2315" s="570"/>
      <c r="G2315" s="570"/>
      <c r="H2315" s="570"/>
      <c r="I2315" s="570"/>
      <c r="J2315" s="570"/>
      <c r="K2315" s="570"/>
    </row>
    <row r="2316" ht="13.75" customHeight="1">
      <c r="A2316" s="833">
        <v>606</v>
      </c>
      <c r="B2316" t="s" s="834">
        <v>1646</v>
      </c>
      <c r="C2316" t="s" s="834">
        <v>1571</v>
      </c>
      <c r="D2316" s="835">
        <v>46051</v>
      </c>
      <c r="E2316" s="836">
        <v>1.352731481481481</v>
      </c>
      <c r="F2316" s="836">
        <v>1.759699074074074</v>
      </c>
      <c r="G2316" s="570"/>
      <c r="H2316" s="570"/>
      <c r="I2316" s="570"/>
      <c r="J2316" s="570"/>
      <c r="K2316" s="570"/>
    </row>
    <row r="2317" ht="13.75" customHeight="1">
      <c r="A2317" t="s" s="834">
        <v>1680</v>
      </c>
      <c r="B2317" t="s" s="834">
        <v>1681</v>
      </c>
      <c r="C2317" t="s" s="834">
        <v>1113</v>
      </c>
      <c r="D2317" s="570"/>
      <c r="E2317" s="570"/>
      <c r="F2317" s="570"/>
      <c r="G2317" s="570"/>
      <c r="H2317" s="570"/>
      <c r="I2317" s="570"/>
      <c r="J2317" s="570"/>
      <c r="K2317" s="570"/>
    </row>
    <row r="2318" ht="13.75" customHeight="1">
      <c r="A2318" s="833">
        <v>606</v>
      </c>
      <c r="B2318" t="s" s="834">
        <v>1646</v>
      </c>
      <c r="C2318" t="s" s="834">
        <v>1571</v>
      </c>
      <c r="D2318" s="835">
        <v>46052</v>
      </c>
      <c r="E2318" s="836">
        <v>1.351030092592593</v>
      </c>
      <c r="F2318" s="836">
        <v>1.786064814814815</v>
      </c>
      <c r="G2318" s="570"/>
      <c r="H2318" s="570"/>
      <c r="I2318" s="570"/>
      <c r="J2318" s="570"/>
      <c r="K2318" s="570"/>
    </row>
    <row r="2319" ht="13.75" customHeight="1">
      <c r="A2319" t="s" s="834">
        <v>1682</v>
      </c>
      <c r="B2319" t="s" s="834">
        <v>1683</v>
      </c>
      <c r="C2319" t="s" s="834">
        <v>1141</v>
      </c>
      <c r="D2319" s="570"/>
      <c r="E2319" s="570"/>
      <c r="F2319" s="570"/>
      <c r="G2319" s="570"/>
      <c r="H2319" s="570"/>
      <c r="I2319" s="570"/>
      <c r="J2319" s="570"/>
      <c r="K2319" s="570"/>
    </row>
    <row r="2320" ht="13.75" customHeight="1">
      <c r="A2320" s="833">
        <v>606</v>
      </c>
      <c r="B2320" t="s" s="834">
        <v>1646</v>
      </c>
      <c r="C2320" t="s" s="834">
        <v>1571</v>
      </c>
      <c r="D2320" s="835">
        <v>46053</v>
      </c>
      <c r="E2320" t="s" s="834">
        <v>478</v>
      </c>
      <c r="F2320" t="s" s="834">
        <v>478</v>
      </c>
      <c r="G2320" s="570"/>
      <c r="H2320" s="570"/>
      <c r="I2320" s="570"/>
      <c r="J2320" s="570"/>
      <c r="K2320" s="570"/>
    </row>
    <row r="2321" ht="13.75" customHeight="1">
      <c r="A2321" s="833">
        <v>606</v>
      </c>
      <c r="B2321" t="s" s="834">
        <v>1646</v>
      </c>
      <c r="C2321" t="s" s="834">
        <v>1571</v>
      </c>
      <c r="D2321" s="835">
        <v>46054</v>
      </c>
      <c r="E2321" s="836">
        <v>1.588541666666667</v>
      </c>
      <c r="F2321" t="s" s="834">
        <v>478</v>
      </c>
      <c r="G2321" s="570"/>
      <c r="H2321" s="570"/>
      <c r="I2321" s="570"/>
      <c r="J2321" s="570"/>
      <c r="K2321" s="570"/>
    </row>
    <row r="2322" ht="13.75" customHeight="1">
      <c r="A2322" t="s" s="834">
        <v>1684</v>
      </c>
      <c r="B2322" t="s" s="834">
        <v>485</v>
      </c>
      <c r="C2322" t="s" s="834">
        <v>486</v>
      </c>
      <c r="D2322" s="570"/>
      <c r="E2322" s="570"/>
      <c r="F2322" s="570"/>
      <c r="G2322" s="570"/>
      <c r="H2322" s="570"/>
      <c r="I2322" s="570"/>
      <c r="J2322" s="570"/>
      <c r="K2322" s="570"/>
    </row>
    <row r="2323" ht="13.75" customHeight="1">
      <c r="A2323" s="833">
        <v>608</v>
      </c>
      <c r="B2323" t="s" s="834">
        <v>1685</v>
      </c>
      <c r="C2323" t="s" s="834">
        <v>1571</v>
      </c>
      <c r="D2323" s="835">
        <v>46023</v>
      </c>
      <c r="E2323" t="s" s="834">
        <v>478</v>
      </c>
      <c r="F2323" t="s" s="834">
        <v>478</v>
      </c>
      <c r="G2323" s="570"/>
      <c r="H2323" s="570"/>
      <c r="I2323" s="570"/>
      <c r="J2323" s="570"/>
      <c r="K2323" s="570"/>
    </row>
    <row r="2324" ht="13.75" customHeight="1">
      <c r="A2324" s="833">
        <v>608</v>
      </c>
      <c r="B2324" t="s" s="834">
        <v>1685</v>
      </c>
      <c r="C2324" t="s" s="834">
        <v>1571</v>
      </c>
      <c r="D2324" s="835">
        <v>46024</v>
      </c>
      <c r="E2324" t="s" s="834">
        <v>478</v>
      </c>
      <c r="F2324" t="s" s="834">
        <v>478</v>
      </c>
      <c r="G2324" s="570"/>
      <c r="H2324" s="570"/>
      <c r="I2324" s="570"/>
      <c r="J2324" s="570"/>
      <c r="K2324" s="570"/>
    </row>
    <row r="2325" ht="13.75" customHeight="1">
      <c r="A2325" s="833">
        <v>608</v>
      </c>
      <c r="B2325" t="s" s="834">
        <v>1685</v>
      </c>
      <c r="C2325" t="s" s="834">
        <v>1571</v>
      </c>
      <c r="D2325" s="835">
        <v>46025</v>
      </c>
      <c r="E2325" t="s" s="834">
        <v>478</v>
      </c>
      <c r="F2325" t="s" s="834">
        <v>478</v>
      </c>
      <c r="G2325" s="570"/>
      <c r="H2325" s="570"/>
      <c r="I2325" s="570"/>
      <c r="J2325" s="570"/>
      <c r="K2325" s="570"/>
    </row>
    <row r="2326" ht="13.75" customHeight="1">
      <c r="A2326" s="833">
        <v>608</v>
      </c>
      <c r="B2326" t="s" s="834">
        <v>1685</v>
      </c>
      <c r="C2326" t="s" s="834">
        <v>1571</v>
      </c>
      <c r="D2326" s="835">
        <v>46026</v>
      </c>
      <c r="E2326" t="s" s="834">
        <v>478</v>
      </c>
      <c r="F2326" t="s" s="834">
        <v>478</v>
      </c>
      <c r="G2326" s="570"/>
      <c r="H2326" s="570"/>
      <c r="I2326" s="570"/>
      <c r="J2326" s="570"/>
      <c r="K2326" s="570"/>
    </row>
    <row r="2327" ht="13.75" customHeight="1">
      <c r="A2327" s="833">
        <v>608</v>
      </c>
      <c r="B2327" t="s" s="834">
        <v>1685</v>
      </c>
      <c r="C2327" t="s" s="834">
        <v>1571</v>
      </c>
      <c r="D2327" s="835">
        <v>46027</v>
      </c>
      <c r="E2327" t="s" s="834">
        <v>478</v>
      </c>
      <c r="F2327" t="s" s="834">
        <v>478</v>
      </c>
      <c r="G2327" s="570"/>
      <c r="H2327" s="570"/>
      <c r="I2327" s="570"/>
      <c r="J2327" s="570"/>
      <c r="K2327" s="570"/>
    </row>
    <row r="2328" ht="13.75" customHeight="1">
      <c r="A2328" s="833">
        <v>608</v>
      </c>
      <c r="B2328" t="s" s="834">
        <v>1685</v>
      </c>
      <c r="C2328" t="s" s="834">
        <v>1571</v>
      </c>
      <c r="D2328" s="835">
        <v>46028</v>
      </c>
      <c r="E2328" t="s" s="834">
        <v>478</v>
      </c>
      <c r="F2328" t="s" s="834">
        <v>478</v>
      </c>
      <c r="G2328" s="570"/>
      <c r="H2328" s="570"/>
      <c r="I2328" s="570"/>
      <c r="J2328" s="570"/>
      <c r="K2328" s="570"/>
    </row>
    <row r="2329" ht="13.75" customHeight="1">
      <c r="A2329" s="833">
        <v>608</v>
      </c>
      <c r="B2329" t="s" s="834">
        <v>1685</v>
      </c>
      <c r="C2329" t="s" s="834">
        <v>1571</v>
      </c>
      <c r="D2329" s="835">
        <v>46029</v>
      </c>
      <c r="E2329" t="s" s="834">
        <v>478</v>
      </c>
      <c r="F2329" t="s" s="834">
        <v>478</v>
      </c>
      <c r="G2329" s="570"/>
      <c r="H2329" s="570"/>
      <c r="I2329" s="570"/>
      <c r="J2329" s="570"/>
      <c r="K2329" s="570"/>
    </row>
    <row r="2330" ht="13.75" customHeight="1">
      <c r="A2330" s="833">
        <v>608</v>
      </c>
      <c r="B2330" t="s" s="834">
        <v>1685</v>
      </c>
      <c r="C2330" t="s" s="834">
        <v>1571</v>
      </c>
      <c r="D2330" s="835">
        <v>46030</v>
      </c>
      <c r="E2330" t="s" s="834">
        <v>478</v>
      </c>
      <c r="F2330" t="s" s="834">
        <v>478</v>
      </c>
      <c r="G2330" s="570"/>
      <c r="H2330" s="570"/>
      <c r="I2330" s="570"/>
      <c r="J2330" s="570"/>
      <c r="K2330" s="570"/>
    </row>
    <row r="2331" ht="13.75" customHeight="1">
      <c r="A2331" s="833">
        <v>608</v>
      </c>
      <c r="B2331" t="s" s="834">
        <v>1685</v>
      </c>
      <c r="C2331" t="s" s="834">
        <v>1571</v>
      </c>
      <c r="D2331" s="835">
        <v>46031</v>
      </c>
      <c r="E2331" t="s" s="834">
        <v>478</v>
      </c>
      <c r="F2331" t="s" s="834">
        <v>478</v>
      </c>
      <c r="G2331" s="570"/>
      <c r="H2331" s="570"/>
      <c r="I2331" s="570"/>
      <c r="J2331" s="570"/>
      <c r="K2331" s="570"/>
    </row>
    <row r="2332" ht="13.75" customHeight="1">
      <c r="A2332" s="833">
        <v>608</v>
      </c>
      <c r="B2332" t="s" s="834">
        <v>1685</v>
      </c>
      <c r="C2332" t="s" s="834">
        <v>1571</v>
      </c>
      <c r="D2332" s="835">
        <v>46032</v>
      </c>
      <c r="E2332" t="s" s="834">
        <v>478</v>
      </c>
      <c r="F2332" t="s" s="834">
        <v>478</v>
      </c>
      <c r="G2332" s="570"/>
      <c r="H2332" s="570"/>
      <c r="I2332" s="570"/>
      <c r="J2332" s="570"/>
      <c r="K2332" s="570"/>
    </row>
    <row r="2333" ht="13.75" customHeight="1">
      <c r="A2333" s="833">
        <v>608</v>
      </c>
      <c r="B2333" t="s" s="834">
        <v>1685</v>
      </c>
      <c r="C2333" t="s" s="834">
        <v>1571</v>
      </c>
      <c r="D2333" s="835">
        <v>46033</v>
      </c>
      <c r="E2333" t="s" s="834">
        <v>478</v>
      </c>
      <c r="F2333" t="s" s="834">
        <v>478</v>
      </c>
      <c r="G2333" s="570"/>
      <c r="H2333" s="570"/>
      <c r="I2333" s="570"/>
      <c r="J2333" s="570"/>
      <c r="K2333" s="570"/>
    </row>
    <row r="2334" ht="13.75" customHeight="1">
      <c r="A2334" s="833">
        <v>608</v>
      </c>
      <c r="B2334" t="s" s="834">
        <v>1685</v>
      </c>
      <c r="C2334" t="s" s="834">
        <v>1571</v>
      </c>
      <c r="D2334" s="835">
        <v>46034</v>
      </c>
      <c r="E2334" t="s" s="834">
        <v>478</v>
      </c>
      <c r="F2334" t="s" s="834">
        <v>478</v>
      </c>
      <c r="G2334" s="570"/>
      <c r="H2334" s="570"/>
      <c r="I2334" s="570"/>
      <c r="J2334" s="570"/>
      <c r="K2334" s="570"/>
    </row>
    <row r="2335" ht="13.75" customHeight="1">
      <c r="A2335" s="833">
        <v>608</v>
      </c>
      <c r="B2335" t="s" s="834">
        <v>1685</v>
      </c>
      <c r="C2335" t="s" s="834">
        <v>1571</v>
      </c>
      <c r="D2335" s="835">
        <v>46035</v>
      </c>
      <c r="E2335" t="s" s="834">
        <v>478</v>
      </c>
      <c r="F2335" t="s" s="834">
        <v>478</v>
      </c>
      <c r="G2335" s="570"/>
      <c r="H2335" s="570"/>
      <c r="I2335" s="570"/>
      <c r="J2335" s="570"/>
      <c r="K2335" s="570"/>
    </row>
    <row r="2336" ht="13.75" customHeight="1">
      <c r="A2336" s="833">
        <v>608</v>
      </c>
      <c r="B2336" t="s" s="834">
        <v>1685</v>
      </c>
      <c r="C2336" t="s" s="834">
        <v>1571</v>
      </c>
      <c r="D2336" s="835">
        <v>46036</v>
      </c>
      <c r="E2336" t="s" s="834">
        <v>478</v>
      </c>
      <c r="F2336" t="s" s="834">
        <v>478</v>
      </c>
      <c r="G2336" s="570"/>
      <c r="H2336" s="570"/>
      <c r="I2336" s="570"/>
      <c r="J2336" s="570"/>
      <c r="K2336" s="570"/>
    </row>
    <row r="2337" ht="13.75" customHeight="1">
      <c r="A2337" s="833">
        <v>608</v>
      </c>
      <c r="B2337" t="s" s="834">
        <v>1685</v>
      </c>
      <c r="C2337" t="s" s="834">
        <v>1571</v>
      </c>
      <c r="D2337" s="835">
        <v>46037</v>
      </c>
      <c r="E2337" t="s" s="834">
        <v>478</v>
      </c>
      <c r="F2337" t="s" s="834">
        <v>478</v>
      </c>
      <c r="G2337" s="570"/>
      <c r="H2337" s="570"/>
      <c r="I2337" s="570"/>
      <c r="J2337" s="570"/>
      <c r="K2337" s="570"/>
    </row>
    <row r="2338" ht="13.75" customHeight="1">
      <c r="A2338" s="833">
        <v>608</v>
      </c>
      <c r="B2338" t="s" s="834">
        <v>1685</v>
      </c>
      <c r="C2338" t="s" s="834">
        <v>1571</v>
      </c>
      <c r="D2338" s="835">
        <v>46038</v>
      </c>
      <c r="E2338" t="s" s="834">
        <v>478</v>
      </c>
      <c r="F2338" t="s" s="834">
        <v>478</v>
      </c>
      <c r="G2338" s="570"/>
      <c r="H2338" s="570"/>
      <c r="I2338" s="570"/>
      <c r="J2338" s="570"/>
      <c r="K2338" s="570"/>
    </row>
    <row r="2339" ht="13.75" customHeight="1">
      <c r="A2339" s="833">
        <v>608</v>
      </c>
      <c r="B2339" t="s" s="834">
        <v>1685</v>
      </c>
      <c r="C2339" t="s" s="834">
        <v>1571</v>
      </c>
      <c r="D2339" s="835">
        <v>46039</v>
      </c>
      <c r="E2339" t="s" s="834">
        <v>478</v>
      </c>
      <c r="F2339" t="s" s="834">
        <v>478</v>
      </c>
      <c r="G2339" s="570"/>
      <c r="H2339" s="570"/>
      <c r="I2339" s="570"/>
      <c r="J2339" s="570"/>
      <c r="K2339" s="570"/>
    </row>
    <row r="2340" ht="13.75" customHeight="1">
      <c r="A2340" s="833">
        <v>608</v>
      </c>
      <c r="B2340" t="s" s="834">
        <v>1685</v>
      </c>
      <c r="C2340" t="s" s="834">
        <v>1571</v>
      </c>
      <c r="D2340" s="835">
        <v>46040</v>
      </c>
      <c r="E2340" t="s" s="834">
        <v>478</v>
      </c>
      <c r="F2340" t="s" s="834">
        <v>478</v>
      </c>
      <c r="G2340" s="570"/>
      <c r="H2340" s="570"/>
      <c r="I2340" s="570"/>
      <c r="J2340" s="570"/>
      <c r="K2340" s="570"/>
    </row>
    <row r="2341" ht="13.75" customHeight="1">
      <c r="A2341" s="833">
        <v>608</v>
      </c>
      <c r="B2341" t="s" s="834">
        <v>1685</v>
      </c>
      <c r="C2341" t="s" s="834">
        <v>1571</v>
      </c>
      <c r="D2341" s="835">
        <v>46041</v>
      </c>
      <c r="E2341" t="s" s="834">
        <v>478</v>
      </c>
      <c r="F2341" t="s" s="834">
        <v>478</v>
      </c>
      <c r="G2341" s="570"/>
      <c r="H2341" s="570"/>
      <c r="I2341" s="570"/>
      <c r="J2341" s="570"/>
      <c r="K2341" s="570"/>
    </row>
    <row r="2342" ht="13.75" customHeight="1">
      <c r="A2342" s="833">
        <v>608</v>
      </c>
      <c r="B2342" t="s" s="834">
        <v>1685</v>
      </c>
      <c r="C2342" t="s" s="834">
        <v>1571</v>
      </c>
      <c r="D2342" s="835">
        <v>46042</v>
      </c>
      <c r="E2342" t="s" s="834">
        <v>478</v>
      </c>
      <c r="F2342" t="s" s="834">
        <v>478</v>
      </c>
      <c r="G2342" s="570"/>
      <c r="H2342" s="570"/>
      <c r="I2342" s="570"/>
      <c r="J2342" s="570"/>
      <c r="K2342" s="570"/>
    </row>
    <row r="2343" ht="13.75" customHeight="1">
      <c r="A2343" s="833">
        <v>608</v>
      </c>
      <c r="B2343" t="s" s="834">
        <v>1685</v>
      </c>
      <c r="C2343" t="s" s="834">
        <v>1571</v>
      </c>
      <c r="D2343" s="835">
        <v>46043</v>
      </c>
      <c r="E2343" t="s" s="834">
        <v>478</v>
      </c>
      <c r="F2343" t="s" s="834">
        <v>478</v>
      </c>
      <c r="G2343" s="570"/>
      <c r="H2343" s="570"/>
      <c r="I2343" s="570"/>
      <c r="J2343" s="570"/>
      <c r="K2343" s="570"/>
    </row>
    <row r="2344" ht="13.75" customHeight="1">
      <c r="A2344" s="833">
        <v>608</v>
      </c>
      <c r="B2344" t="s" s="834">
        <v>1685</v>
      </c>
      <c r="C2344" t="s" s="834">
        <v>1571</v>
      </c>
      <c r="D2344" s="835">
        <v>46044</v>
      </c>
      <c r="E2344" t="s" s="834">
        <v>478</v>
      </c>
      <c r="F2344" t="s" s="834">
        <v>478</v>
      </c>
      <c r="G2344" s="570"/>
      <c r="H2344" s="570"/>
      <c r="I2344" s="570"/>
      <c r="J2344" s="570"/>
      <c r="K2344" s="570"/>
    </row>
    <row r="2345" ht="13.75" customHeight="1">
      <c r="A2345" s="833">
        <v>608</v>
      </c>
      <c r="B2345" t="s" s="834">
        <v>1685</v>
      </c>
      <c r="C2345" t="s" s="834">
        <v>1571</v>
      </c>
      <c r="D2345" s="835">
        <v>46045</v>
      </c>
      <c r="E2345" t="s" s="834">
        <v>478</v>
      </c>
      <c r="F2345" t="s" s="834">
        <v>478</v>
      </c>
      <c r="G2345" s="570"/>
      <c r="H2345" s="570"/>
      <c r="I2345" s="570"/>
      <c r="J2345" s="570"/>
      <c r="K2345" s="570"/>
    </row>
    <row r="2346" ht="13.75" customHeight="1">
      <c r="A2346" s="833">
        <v>608</v>
      </c>
      <c r="B2346" t="s" s="834">
        <v>1685</v>
      </c>
      <c r="C2346" t="s" s="834">
        <v>1571</v>
      </c>
      <c r="D2346" s="835">
        <v>46046</v>
      </c>
      <c r="E2346" t="s" s="834">
        <v>478</v>
      </c>
      <c r="F2346" t="s" s="834">
        <v>478</v>
      </c>
      <c r="G2346" s="570"/>
      <c r="H2346" s="570"/>
      <c r="I2346" s="570"/>
      <c r="J2346" s="570"/>
      <c r="K2346" s="570"/>
    </row>
    <row r="2347" ht="13.75" customHeight="1">
      <c r="A2347" s="833">
        <v>608</v>
      </c>
      <c r="B2347" t="s" s="834">
        <v>1685</v>
      </c>
      <c r="C2347" t="s" s="834">
        <v>1571</v>
      </c>
      <c r="D2347" s="835">
        <v>46047</v>
      </c>
      <c r="E2347" t="s" s="834">
        <v>478</v>
      </c>
      <c r="F2347" t="s" s="834">
        <v>478</v>
      </c>
      <c r="G2347" s="570"/>
      <c r="H2347" s="570"/>
      <c r="I2347" s="570"/>
      <c r="J2347" s="570"/>
      <c r="K2347" s="570"/>
    </row>
    <row r="2348" ht="13.75" customHeight="1">
      <c r="A2348" s="833">
        <v>608</v>
      </c>
      <c r="B2348" t="s" s="834">
        <v>1685</v>
      </c>
      <c r="C2348" t="s" s="834">
        <v>1571</v>
      </c>
      <c r="D2348" s="835">
        <v>46048</v>
      </c>
      <c r="E2348" s="836">
        <v>1.738310185185185</v>
      </c>
      <c r="F2348" s="836">
        <v>1.774386574074074</v>
      </c>
      <c r="G2348" s="570"/>
      <c r="H2348" s="570"/>
      <c r="I2348" s="570"/>
      <c r="J2348" s="570"/>
      <c r="K2348" s="570"/>
    </row>
    <row r="2349" ht="13.75" customHeight="1">
      <c r="A2349" t="s" s="834">
        <v>1686</v>
      </c>
      <c r="B2349" t="s" s="834">
        <v>1687</v>
      </c>
      <c r="C2349" t="s" s="834">
        <v>1688</v>
      </c>
      <c r="D2349" s="570"/>
      <c r="E2349" s="570"/>
      <c r="F2349" s="570"/>
      <c r="G2349" s="570"/>
      <c r="H2349" s="570"/>
      <c r="I2349" s="570"/>
      <c r="J2349" s="570"/>
      <c r="K2349" s="570"/>
    </row>
    <row r="2350" ht="13.75" customHeight="1">
      <c r="A2350" s="833">
        <v>608</v>
      </c>
      <c r="B2350" t="s" s="834">
        <v>1685</v>
      </c>
      <c r="C2350" t="s" s="834">
        <v>1571</v>
      </c>
      <c r="D2350" s="835">
        <v>46049</v>
      </c>
      <c r="E2350" s="836">
        <v>1.357233796296296</v>
      </c>
      <c r="F2350" s="836">
        <v>1.7715625</v>
      </c>
      <c r="G2350" s="570"/>
      <c r="H2350" s="570"/>
      <c r="I2350" s="570"/>
      <c r="J2350" s="570"/>
      <c r="K2350" s="570"/>
    </row>
    <row r="2351" ht="13.75" customHeight="1">
      <c r="A2351" t="s" s="834">
        <v>1689</v>
      </c>
      <c r="B2351" t="s" s="834">
        <v>1690</v>
      </c>
      <c r="C2351" t="s" s="834">
        <v>1259</v>
      </c>
      <c r="D2351" s="570"/>
      <c r="E2351" s="570"/>
      <c r="F2351" s="570"/>
      <c r="G2351" s="570"/>
      <c r="H2351" s="570"/>
      <c r="I2351" s="570"/>
      <c r="J2351" s="570"/>
      <c r="K2351" s="570"/>
    </row>
    <row r="2352" ht="13.75" customHeight="1">
      <c r="A2352" s="833">
        <v>608</v>
      </c>
      <c r="B2352" t="s" s="834">
        <v>1685</v>
      </c>
      <c r="C2352" t="s" s="834">
        <v>1571</v>
      </c>
      <c r="D2352" s="835">
        <v>46050</v>
      </c>
      <c r="E2352" s="836">
        <v>1.355069444444444</v>
      </c>
      <c r="F2352" s="836">
        <v>1.937951388888889</v>
      </c>
      <c r="G2352" s="570"/>
      <c r="H2352" s="570"/>
      <c r="I2352" s="570"/>
      <c r="J2352" s="570"/>
      <c r="K2352" s="570"/>
    </row>
    <row r="2353" ht="13.75" customHeight="1">
      <c r="A2353" t="s" s="834">
        <v>1691</v>
      </c>
      <c r="B2353" t="s" s="834">
        <v>1692</v>
      </c>
      <c r="C2353" t="s" s="834">
        <v>1693</v>
      </c>
      <c r="D2353" s="570"/>
      <c r="E2353" s="570"/>
      <c r="F2353" s="570"/>
      <c r="G2353" s="570"/>
      <c r="H2353" s="570"/>
      <c r="I2353" s="570"/>
      <c r="J2353" s="570"/>
      <c r="K2353" s="570"/>
    </row>
    <row r="2354" ht="13.75" customHeight="1">
      <c r="A2354" s="833">
        <v>608</v>
      </c>
      <c r="B2354" t="s" s="834">
        <v>1685</v>
      </c>
      <c r="C2354" t="s" s="834">
        <v>1571</v>
      </c>
      <c r="D2354" s="835">
        <v>46051</v>
      </c>
      <c r="E2354" s="836">
        <v>1.379097222222222</v>
      </c>
      <c r="F2354" s="836">
        <v>1.933414351851852</v>
      </c>
      <c r="G2354" s="570"/>
      <c r="H2354" s="570"/>
      <c r="I2354" s="570"/>
      <c r="J2354" s="570"/>
      <c r="K2354" s="570"/>
    </row>
    <row r="2355" ht="13.75" customHeight="1">
      <c r="A2355" t="s" s="834">
        <v>1694</v>
      </c>
      <c r="B2355" t="s" s="834">
        <v>1695</v>
      </c>
      <c r="C2355" t="s" s="834">
        <v>1696</v>
      </c>
      <c r="D2355" s="570"/>
      <c r="E2355" s="570"/>
      <c r="F2355" s="570"/>
      <c r="G2355" s="570"/>
      <c r="H2355" s="570"/>
      <c r="I2355" s="570"/>
      <c r="J2355" s="570"/>
      <c r="K2355" s="570"/>
    </row>
    <row r="2356" ht="13.75" customHeight="1">
      <c r="A2356" s="833">
        <v>608</v>
      </c>
      <c r="B2356" t="s" s="834">
        <v>1685</v>
      </c>
      <c r="C2356" t="s" s="834">
        <v>1571</v>
      </c>
      <c r="D2356" s="835">
        <v>46052</v>
      </c>
      <c r="E2356" s="836">
        <v>1.408923611111111</v>
      </c>
      <c r="F2356" s="836">
        <v>1.829571759259259</v>
      </c>
      <c r="G2356" s="570"/>
      <c r="H2356" s="570"/>
      <c r="I2356" s="570"/>
      <c r="J2356" s="570"/>
      <c r="K2356" s="570"/>
    </row>
    <row r="2357" ht="13.75" customHeight="1">
      <c r="A2357" t="s" s="834">
        <v>1697</v>
      </c>
      <c r="B2357" t="s" s="834">
        <v>1698</v>
      </c>
      <c r="C2357" t="s" s="834">
        <v>1116</v>
      </c>
      <c r="D2357" s="570"/>
      <c r="E2357" s="570"/>
      <c r="F2357" s="570"/>
      <c r="G2357" s="570"/>
      <c r="H2357" s="570"/>
      <c r="I2357" s="570"/>
      <c r="J2357" s="570"/>
      <c r="K2357" s="570"/>
    </row>
    <row r="2358" ht="13.75" customHeight="1">
      <c r="A2358" s="833">
        <v>608</v>
      </c>
      <c r="B2358" t="s" s="834">
        <v>1685</v>
      </c>
      <c r="C2358" t="s" s="834">
        <v>1571</v>
      </c>
      <c r="D2358" s="835">
        <v>46053</v>
      </c>
      <c r="E2358" t="s" s="834">
        <v>478</v>
      </c>
      <c r="F2358" t="s" s="834">
        <v>478</v>
      </c>
      <c r="G2358" s="570"/>
      <c r="H2358" s="570"/>
      <c r="I2358" s="570"/>
      <c r="J2358" s="570"/>
      <c r="K2358" s="570"/>
    </row>
    <row r="2359" ht="13.75" customHeight="1">
      <c r="A2359" s="833">
        <v>608</v>
      </c>
      <c r="B2359" t="s" s="834">
        <v>1685</v>
      </c>
      <c r="C2359" t="s" s="834">
        <v>1571</v>
      </c>
      <c r="D2359" s="835">
        <v>46054</v>
      </c>
      <c r="E2359" s="836">
        <v>1.450277777777778</v>
      </c>
      <c r="F2359" s="836">
        <v>1.450324074074074</v>
      </c>
      <c r="G2359" s="570"/>
      <c r="H2359" s="570"/>
      <c r="I2359" s="570"/>
      <c r="J2359" s="570"/>
      <c r="K2359" s="570"/>
    </row>
    <row r="2360" ht="13.75" customHeight="1">
      <c r="A2360" t="s" s="834">
        <v>1699</v>
      </c>
      <c r="B2360" t="s" s="834">
        <v>1700</v>
      </c>
      <c r="C2360" t="s" s="834">
        <v>486</v>
      </c>
      <c r="D2360" s="570"/>
      <c r="E2360" s="570"/>
      <c r="F2360" s="570"/>
      <c r="G2360" s="570"/>
      <c r="H2360" s="570"/>
      <c r="I2360" s="570"/>
      <c r="J2360" s="570"/>
      <c r="K2360" s="570"/>
    </row>
    <row r="2361" ht="13.75" customHeight="1">
      <c r="A2361" s="833">
        <v>611</v>
      </c>
      <c r="B2361" t="s" s="834">
        <v>1701</v>
      </c>
      <c r="C2361" t="s" s="834">
        <v>1702</v>
      </c>
      <c r="D2361" s="835">
        <v>46023</v>
      </c>
      <c r="E2361" t="s" s="834">
        <v>478</v>
      </c>
      <c r="F2361" t="s" s="834">
        <v>478</v>
      </c>
      <c r="G2361" s="570"/>
      <c r="H2361" s="570"/>
      <c r="I2361" s="570"/>
      <c r="J2361" s="570"/>
      <c r="K2361" s="570"/>
    </row>
    <row r="2362" ht="13.75" customHeight="1">
      <c r="A2362" s="833">
        <v>611</v>
      </c>
      <c r="B2362" t="s" s="834">
        <v>1701</v>
      </c>
      <c r="C2362" t="s" s="834">
        <v>1702</v>
      </c>
      <c r="D2362" s="835">
        <v>46024</v>
      </c>
      <c r="E2362" t="s" s="834">
        <v>478</v>
      </c>
      <c r="F2362" t="s" s="834">
        <v>478</v>
      </c>
      <c r="G2362" s="570"/>
      <c r="H2362" s="570"/>
      <c r="I2362" s="570"/>
      <c r="J2362" s="570"/>
      <c r="K2362" s="570"/>
    </row>
    <row r="2363" ht="13.75" customHeight="1">
      <c r="A2363" s="833">
        <v>611</v>
      </c>
      <c r="B2363" t="s" s="834">
        <v>1701</v>
      </c>
      <c r="C2363" t="s" s="834">
        <v>1702</v>
      </c>
      <c r="D2363" s="835">
        <v>46025</v>
      </c>
      <c r="E2363" t="s" s="834">
        <v>478</v>
      </c>
      <c r="F2363" t="s" s="834">
        <v>478</v>
      </c>
      <c r="G2363" s="570"/>
      <c r="H2363" s="570"/>
      <c r="I2363" s="570"/>
      <c r="J2363" s="570"/>
      <c r="K2363" s="570"/>
    </row>
    <row r="2364" ht="13.75" customHeight="1">
      <c r="A2364" s="833">
        <v>611</v>
      </c>
      <c r="B2364" t="s" s="834">
        <v>1701</v>
      </c>
      <c r="C2364" t="s" s="834">
        <v>1702</v>
      </c>
      <c r="D2364" s="835">
        <v>46026</v>
      </c>
      <c r="E2364" t="s" s="834">
        <v>478</v>
      </c>
      <c r="F2364" t="s" s="834">
        <v>478</v>
      </c>
      <c r="G2364" s="570"/>
      <c r="H2364" s="570"/>
      <c r="I2364" s="570"/>
      <c r="J2364" s="570"/>
      <c r="K2364" s="570"/>
    </row>
    <row r="2365" ht="13.75" customHeight="1">
      <c r="A2365" s="833">
        <v>611</v>
      </c>
      <c r="B2365" t="s" s="834">
        <v>1701</v>
      </c>
      <c r="C2365" t="s" s="834">
        <v>1702</v>
      </c>
      <c r="D2365" s="835">
        <v>46027</v>
      </c>
      <c r="E2365" t="s" s="834">
        <v>478</v>
      </c>
      <c r="F2365" t="s" s="834">
        <v>478</v>
      </c>
      <c r="G2365" s="570"/>
      <c r="H2365" s="570"/>
      <c r="I2365" s="570"/>
      <c r="J2365" s="570"/>
      <c r="K2365" s="570"/>
    </row>
    <row r="2366" ht="13.75" customHeight="1">
      <c r="A2366" s="833">
        <v>611</v>
      </c>
      <c r="B2366" t="s" s="834">
        <v>1701</v>
      </c>
      <c r="C2366" t="s" s="834">
        <v>1702</v>
      </c>
      <c r="D2366" s="835">
        <v>46028</v>
      </c>
      <c r="E2366" t="s" s="834">
        <v>478</v>
      </c>
      <c r="F2366" t="s" s="834">
        <v>478</v>
      </c>
      <c r="G2366" s="570"/>
      <c r="H2366" s="570"/>
      <c r="I2366" s="570"/>
      <c r="J2366" s="570"/>
      <c r="K2366" s="570"/>
    </row>
    <row r="2367" ht="13.75" customHeight="1">
      <c r="A2367" s="833">
        <v>611</v>
      </c>
      <c r="B2367" t="s" s="834">
        <v>1701</v>
      </c>
      <c r="C2367" t="s" s="834">
        <v>1702</v>
      </c>
      <c r="D2367" s="835">
        <v>46029</v>
      </c>
      <c r="E2367" t="s" s="834">
        <v>478</v>
      </c>
      <c r="F2367" t="s" s="834">
        <v>478</v>
      </c>
      <c r="G2367" s="570"/>
      <c r="H2367" s="570"/>
      <c r="I2367" s="570"/>
      <c r="J2367" s="570"/>
      <c r="K2367" s="570"/>
    </row>
    <row r="2368" ht="13.75" customHeight="1">
      <c r="A2368" s="833">
        <v>611</v>
      </c>
      <c r="B2368" t="s" s="834">
        <v>1701</v>
      </c>
      <c r="C2368" t="s" s="834">
        <v>1702</v>
      </c>
      <c r="D2368" s="835">
        <v>46030</v>
      </c>
      <c r="E2368" t="s" s="834">
        <v>478</v>
      </c>
      <c r="F2368" t="s" s="834">
        <v>478</v>
      </c>
      <c r="G2368" s="570"/>
      <c r="H2368" s="570"/>
      <c r="I2368" s="570"/>
      <c r="J2368" s="570"/>
      <c r="K2368" s="570"/>
    </row>
    <row r="2369" ht="13.75" customHeight="1">
      <c r="A2369" s="833">
        <v>611</v>
      </c>
      <c r="B2369" t="s" s="834">
        <v>1701</v>
      </c>
      <c r="C2369" t="s" s="834">
        <v>1702</v>
      </c>
      <c r="D2369" s="835">
        <v>46031</v>
      </c>
      <c r="E2369" t="s" s="834">
        <v>478</v>
      </c>
      <c r="F2369" t="s" s="834">
        <v>478</v>
      </c>
      <c r="G2369" s="570"/>
      <c r="H2369" s="570"/>
      <c r="I2369" s="570"/>
      <c r="J2369" s="570"/>
      <c r="K2369" s="570"/>
    </row>
    <row r="2370" ht="13.75" customHeight="1">
      <c r="A2370" s="833">
        <v>611</v>
      </c>
      <c r="B2370" t="s" s="834">
        <v>1701</v>
      </c>
      <c r="C2370" t="s" s="834">
        <v>1702</v>
      </c>
      <c r="D2370" s="835">
        <v>46032</v>
      </c>
      <c r="E2370" t="s" s="834">
        <v>478</v>
      </c>
      <c r="F2370" t="s" s="834">
        <v>478</v>
      </c>
      <c r="G2370" s="570"/>
      <c r="H2370" s="570"/>
      <c r="I2370" s="570"/>
      <c r="J2370" s="570"/>
      <c r="K2370" s="570"/>
    </row>
    <row r="2371" ht="13.75" customHeight="1">
      <c r="A2371" s="833">
        <v>611</v>
      </c>
      <c r="B2371" t="s" s="834">
        <v>1701</v>
      </c>
      <c r="C2371" t="s" s="834">
        <v>1702</v>
      </c>
      <c r="D2371" s="835">
        <v>46033</v>
      </c>
      <c r="E2371" t="s" s="834">
        <v>478</v>
      </c>
      <c r="F2371" t="s" s="834">
        <v>478</v>
      </c>
      <c r="G2371" s="570"/>
      <c r="H2371" s="570"/>
      <c r="I2371" s="570"/>
      <c r="J2371" s="570"/>
      <c r="K2371" s="570"/>
    </row>
    <row r="2372" ht="13.75" customHeight="1">
      <c r="A2372" s="833">
        <v>611</v>
      </c>
      <c r="B2372" t="s" s="834">
        <v>1701</v>
      </c>
      <c r="C2372" t="s" s="834">
        <v>1702</v>
      </c>
      <c r="D2372" s="835">
        <v>46034</v>
      </c>
      <c r="E2372" t="s" s="834">
        <v>478</v>
      </c>
      <c r="F2372" t="s" s="834">
        <v>478</v>
      </c>
      <c r="G2372" s="570"/>
      <c r="H2372" s="570"/>
      <c r="I2372" s="570"/>
      <c r="J2372" s="570"/>
      <c r="K2372" s="570"/>
    </row>
    <row r="2373" ht="13.75" customHeight="1">
      <c r="A2373" s="833">
        <v>611</v>
      </c>
      <c r="B2373" t="s" s="834">
        <v>1701</v>
      </c>
      <c r="C2373" t="s" s="834">
        <v>1702</v>
      </c>
      <c r="D2373" s="835">
        <v>46035</v>
      </c>
      <c r="E2373" t="s" s="834">
        <v>478</v>
      </c>
      <c r="F2373" t="s" s="834">
        <v>478</v>
      </c>
      <c r="G2373" s="570"/>
      <c r="H2373" s="570"/>
      <c r="I2373" s="570"/>
      <c r="J2373" s="570"/>
      <c r="K2373" s="570"/>
    </row>
    <row r="2374" ht="13.75" customHeight="1">
      <c r="A2374" s="833">
        <v>611</v>
      </c>
      <c r="B2374" t="s" s="834">
        <v>1701</v>
      </c>
      <c r="C2374" t="s" s="834">
        <v>1702</v>
      </c>
      <c r="D2374" s="835">
        <v>46036</v>
      </c>
      <c r="E2374" t="s" s="834">
        <v>478</v>
      </c>
      <c r="F2374" t="s" s="834">
        <v>478</v>
      </c>
      <c r="G2374" s="570"/>
      <c r="H2374" s="570"/>
      <c r="I2374" s="570"/>
      <c r="J2374" s="570"/>
      <c r="K2374" s="570"/>
    </row>
    <row r="2375" ht="13.75" customHeight="1">
      <c r="A2375" s="833">
        <v>611</v>
      </c>
      <c r="B2375" t="s" s="834">
        <v>1701</v>
      </c>
      <c r="C2375" t="s" s="834">
        <v>1702</v>
      </c>
      <c r="D2375" s="835">
        <v>46037</v>
      </c>
      <c r="E2375" t="s" s="834">
        <v>478</v>
      </c>
      <c r="F2375" t="s" s="834">
        <v>478</v>
      </c>
      <c r="G2375" s="570"/>
      <c r="H2375" s="570"/>
      <c r="I2375" s="570"/>
      <c r="J2375" s="570"/>
      <c r="K2375" s="570"/>
    </row>
    <row r="2376" ht="13.75" customHeight="1">
      <c r="A2376" s="833">
        <v>611</v>
      </c>
      <c r="B2376" t="s" s="834">
        <v>1701</v>
      </c>
      <c r="C2376" t="s" s="834">
        <v>1702</v>
      </c>
      <c r="D2376" s="835">
        <v>46038</v>
      </c>
      <c r="E2376" t="s" s="834">
        <v>478</v>
      </c>
      <c r="F2376" t="s" s="834">
        <v>478</v>
      </c>
      <c r="G2376" s="570"/>
      <c r="H2376" s="570"/>
      <c r="I2376" s="570"/>
      <c r="J2376" s="570"/>
      <c r="K2376" s="570"/>
    </row>
    <row r="2377" ht="13.75" customHeight="1">
      <c r="A2377" s="833">
        <v>611</v>
      </c>
      <c r="B2377" t="s" s="834">
        <v>1701</v>
      </c>
      <c r="C2377" t="s" s="834">
        <v>1702</v>
      </c>
      <c r="D2377" s="835">
        <v>46039</v>
      </c>
      <c r="E2377" t="s" s="834">
        <v>478</v>
      </c>
      <c r="F2377" t="s" s="834">
        <v>478</v>
      </c>
      <c r="G2377" s="570"/>
      <c r="H2377" s="570"/>
      <c r="I2377" s="570"/>
      <c r="J2377" s="570"/>
      <c r="K2377" s="570"/>
    </row>
    <row r="2378" ht="13.75" customHeight="1">
      <c r="A2378" s="833">
        <v>611</v>
      </c>
      <c r="B2378" t="s" s="834">
        <v>1701</v>
      </c>
      <c r="C2378" t="s" s="834">
        <v>1702</v>
      </c>
      <c r="D2378" s="835">
        <v>46040</v>
      </c>
      <c r="E2378" t="s" s="834">
        <v>478</v>
      </c>
      <c r="F2378" t="s" s="834">
        <v>478</v>
      </c>
      <c r="G2378" s="570"/>
      <c r="H2378" s="570"/>
      <c r="I2378" s="570"/>
      <c r="J2378" s="570"/>
      <c r="K2378" s="570"/>
    </row>
    <row r="2379" ht="13.75" customHeight="1">
      <c r="A2379" s="833">
        <v>611</v>
      </c>
      <c r="B2379" t="s" s="834">
        <v>1701</v>
      </c>
      <c r="C2379" t="s" s="834">
        <v>1702</v>
      </c>
      <c r="D2379" s="835">
        <v>46041</v>
      </c>
      <c r="E2379" t="s" s="834">
        <v>478</v>
      </c>
      <c r="F2379" t="s" s="834">
        <v>478</v>
      </c>
      <c r="G2379" s="570"/>
      <c r="H2379" s="570"/>
      <c r="I2379" s="570"/>
      <c r="J2379" s="570"/>
      <c r="K2379" s="570"/>
    </row>
    <row r="2380" ht="13.75" customHeight="1">
      <c r="A2380" s="833">
        <v>611</v>
      </c>
      <c r="B2380" t="s" s="834">
        <v>1701</v>
      </c>
      <c r="C2380" t="s" s="834">
        <v>1702</v>
      </c>
      <c r="D2380" s="835">
        <v>46042</v>
      </c>
      <c r="E2380" t="s" s="834">
        <v>478</v>
      </c>
      <c r="F2380" t="s" s="834">
        <v>478</v>
      </c>
      <c r="G2380" s="570"/>
      <c r="H2380" s="570"/>
      <c r="I2380" s="570"/>
      <c r="J2380" s="570"/>
      <c r="K2380" s="570"/>
    </row>
    <row r="2381" ht="13.75" customHeight="1">
      <c r="A2381" s="833">
        <v>611</v>
      </c>
      <c r="B2381" t="s" s="834">
        <v>1701</v>
      </c>
      <c r="C2381" t="s" s="834">
        <v>1702</v>
      </c>
      <c r="D2381" s="835">
        <v>46043</v>
      </c>
      <c r="E2381" t="s" s="834">
        <v>478</v>
      </c>
      <c r="F2381" t="s" s="834">
        <v>478</v>
      </c>
      <c r="G2381" s="570"/>
      <c r="H2381" s="570"/>
      <c r="I2381" s="570"/>
      <c r="J2381" s="570"/>
      <c r="K2381" s="570"/>
    </row>
    <row r="2382" ht="13.75" customHeight="1">
      <c r="A2382" s="833">
        <v>611</v>
      </c>
      <c r="B2382" t="s" s="834">
        <v>1701</v>
      </c>
      <c r="C2382" t="s" s="834">
        <v>1702</v>
      </c>
      <c r="D2382" s="835">
        <v>46044</v>
      </c>
      <c r="E2382" t="s" s="834">
        <v>478</v>
      </c>
      <c r="F2382" t="s" s="834">
        <v>478</v>
      </c>
      <c r="G2382" s="570"/>
      <c r="H2382" s="570"/>
      <c r="I2382" s="570"/>
      <c r="J2382" s="570"/>
      <c r="K2382" s="570"/>
    </row>
    <row r="2383" ht="13.75" customHeight="1">
      <c r="A2383" s="833">
        <v>611</v>
      </c>
      <c r="B2383" t="s" s="834">
        <v>1701</v>
      </c>
      <c r="C2383" t="s" s="834">
        <v>1702</v>
      </c>
      <c r="D2383" s="835">
        <v>46045</v>
      </c>
      <c r="E2383" t="s" s="834">
        <v>478</v>
      </c>
      <c r="F2383" t="s" s="834">
        <v>478</v>
      </c>
      <c r="G2383" s="570"/>
      <c r="H2383" s="570"/>
      <c r="I2383" s="570"/>
      <c r="J2383" s="570"/>
      <c r="K2383" s="570"/>
    </row>
    <row r="2384" ht="13.75" customHeight="1">
      <c r="A2384" s="833">
        <v>611</v>
      </c>
      <c r="B2384" t="s" s="834">
        <v>1701</v>
      </c>
      <c r="C2384" t="s" s="834">
        <v>1702</v>
      </c>
      <c r="D2384" s="835">
        <v>46046</v>
      </c>
      <c r="E2384" t="s" s="834">
        <v>478</v>
      </c>
      <c r="F2384" t="s" s="834">
        <v>478</v>
      </c>
      <c r="G2384" s="570"/>
      <c r="H2384" s="570"/>
      <c r="I2384" s="570"/>
      <c r="J2384" s="570"/>
      <c r="K2384" s="570"/>
    </row>
    <row r="2385" ht="13.75" customHeight="1">
      <c r="A2385" s="833">
        <v>611</v>
      </c>
      <c r="B2385" t="s" s="834">
        <v>1701</v>
      </c>
      <c r="C2385" t="s" s="834">
        <v>1702</v>
      </c>
      <c r="D2385" s="835">
        <v>46047</v>
      </c>
      <c r="E2385" t="s" s="834">
        <v>478</v>
      </c>
      <c r="F2385" t="s" s="834">
        <v>478</v>
      </c>
      <c r="G2385" s="570"/>
      <c r="H2385" s="570"/>
      <c r="I2385" s="570"/>
      <c r="J2385" s="570"/>
      <c r="K2385" s="570"/>
    </row>
    <row r="2386" ht="13.75" customHeight="1">
      <c r="A2386" s="833">
        <v>611</v>
      </c>
      <c r="B2386" t="s" s="834">
        <v>1701</v>
      </c>
      <c r="C2386" t="s" s="834">
        <v>1702</v>
      </c>
      <c r="D2386" s="835">
        <v>46048</v>
      </c>
      <c r="E2386" t="s" s="834">
        <v>478</v>
      </c>
      <c r="F2386" t="s" s="834">
        <v>478</v>
      </c>
      <c r="G2386" s="570"/>
      <c r="H2386" s="570"/>
      <c r="I2386" s="570"/>
      <c r="J2386" s="570"/>
      <c r="K2386" s="570"/>
    </row>
    <row r="2387" ht="13.75" customHeight="1">
      <c r="A2387" s="833">
        <v>611</v>
      </c>
      <c r="B2387" t="s" s="834">
        <v>1701</v>
      </c>
      <c r="C2387" t="s" s="834">
        <v>1702</v>
      </c>
      <c r="D2387" s="835">
        <v>46049</v>
      </c>
      <c r="E2387" t="s" s="834">
        <v>478</v>
      </c>
      <c r="F2387" t="s" s="834">
        <v>478</v>
      </c>
      <c r="G2387" s="570"/>
      <c r="H2387" s="570"/>
      <c r="I2387" s="570"/>
      <c r="J2387" s="570"/>
      <c r="K2387" s="570"/>
    </row>
    <row r="2388" ht="13.75" customHeight="1">
      <c r="A2388" s="833">
        <v>611</v>
      </c>
      <c r="B2388" t="s" s="834">
        <v>1701</v>
      </c>
      <c r="C2388" t="s" s="834">
        <v>1702</v>
      </c>
      <c r="D2388" s="835">
        <v>46050</v>
      </c>
      <c r="E2388" t="s" s="834">
        <v>478</v>
      </c>
      <c r="F2388" t="s" s="834">
        <v>478</v>
      </c>
      <c r="G2388" s="570"/>
      <c r="H2388" s="570"/>
      <c r="I2388" s="570"/>
      <c r="J2388" s="570"/>
      <c r="K2388" s="570"/>
    </row>
    <row r="2389" ht="13.75" customHeight="1">
      <c r="A2389" s="833">
        <v>611</v>
      </c>
      <c r="B2389" t="s" s="834">
        <v>1701</v>
      </c>
      <c r="C2389" t="s" s="834">
        <v>1702</v>
      </c>
      <c r="D2389" s="835">
        <v>46051</v>
      </c>
      <c r="E2389" s="836">
        <v>1.658090277777778</v>
      </c>
      <c r="F2389" s="836">
        <v>1.765081018518519</v>
      </c>
      <c r="G2389" s="570"/>
      <c r="H2389" s="570"/>
      <c r="I2389" s="570"/>
      <c r="J2389" s="570"/>
      <c r="K2389" s="570"/>
    </row>
    <row r="2390" ht="13.75" customHeight="1">
      <c r="A2390" t="s" s="834">
        <v>1703</v>
      </c>
      <c r="B2390" t="s" s="834">
        <v>1704</v>
      </c>
      <c r="C2390" t="s" s="834">
        <v>1705</v>
      </c>
      <c r="D2390" s="570"/>
      <c r="E2390" s="570"/>
      <c r="F2390" s="570"/>
      <c r="G2390" s="570"/>
      <c r="H2390" s="570"/>
      <c r="I2390" s="570"/>
      <c r="J2390" s="570"/>
      <c r="K2390" s="570"/>
    </row>
    <row r="2391" ht="13.75" customHeight="1">
      <c r="A2391" s="833">
        <v>611</v>
      </c>
      <c r="B2391" t="s" s="834">
        <v>1701</v>
      </c>
      <c r="C2391" t="s" s="834">
        <v>1702</v>
      </c>
      <c r="D2391" s="835">
        <v>46052</v>
      </c>
      <c r="E2391" s="836">
        <v>1.347199074074074</v>
      </c>
      <c r="F2391" s="836">
        <v>1.765763888888889</v>
      </c>
      <c r="G2391" s="570"/>
      <c r="H2391" s="570"/>
      <c r="I2391" s="570"/>
      <c r="J2391" s="570"/>
      <c r="K2391" s="570"/>
    </row>
    <row r="2392" ht="13.75" customHeight="1">
      <c r="A2392" t="s" s="834">
        <v>1706</v>
      </c>
      <c r="B2392" t="s" s="834">
        <v>1707</v>
      </c>
      <c r="C2392" t="s" s="834">
        <v>1280</v>
      </c>
      <c r="D2392" s="570"/>
      <c r="E2392" s="570"/>
      <c r="F2392" s="570"/>
      <c r="G2392" s="570"/>
      <c r="H2392" s="570"/>
      <c r="I2392" s="570"/>
      <c r="J2392" s="570"/>
      <c r="K2392" s="570"/>
    </row>
    <row r="2393" ht="13.75" customHeight="1">
      <c r="A2393" s="833">
        <v>611</v>
      </c>
      <c r="B2393" t="s" s="834">
        <v>1701</v>
      </c>
      <c r="C2393" t="s" s="834">
        <v>1702</v>
      </c>
      <c r="D2393" s="835">
        <v>46053</v>
      </c>
      <c r="E2393" t="s" s="834">
        <v>478</v>
      </c>
      <c r="F2393" t="s" s="834">
        <v>478</v>
      </c>
      <c r="G2393" s="570"/>
      <c r="H2393" s="570"/>
      <c r="I2393" s="570"/>
      <c r="J2393" s="570"/>
      <c r="K2393" s="570"/>
    </row>
    <row r="2394" ht="13.75" customHeight="1">
      <c r="A2394" s="833">
        <v>611</v>
      </c>
      <c r="B2394" t="s" s="834">
        <v>1701</v>
      </c>
      <c r="C2394" t="s" s="834">
        <v>1702</v>
      </c>
      <c r="D2394" s="835">
        <v>46054</v>
      </c>
      <c r="E2394" t="s" s="834">
        <v>478</v>
      </c>
      <c r="F2394" t="s" s="834">
        <v>478</v>
      </c>
      <c r="G2394" s="570"/>
      <c r="H2394" s="570"/>
      <c r="I2394" s="570"/>
      <c r="J2394" s="570"/>
      <c r="K2394" s="570"/>
    </row>
    <row r="2395" ht="13.75" customHeight="1">
      <c r="A2395" s="833">
        <v>1</v>
      </c>
      <c r="B2395" t="s" s="834">
        <v>1708</v>
      </c>
      <c r="C2395" t="s" s="834">
        <v>1571</v>
      </c>
      <c r="D2395" s="835">
        <v>46023</v>
      </c>
      <c r="E2395" t="s" s="834">
        <v>478</v>
      </c>
      <c r="F2395" t="s" s="834">
        <v>478</v>
      </c>
      <c r="G2395" s="570"/>
      <c r="H2395" s="570"/>
      <c r="I2395" s="570"/>
      <c r="J2395" s="570"/>
      <c r="K2395" s="570"/>
    </row>
    <row r="2396" ht="13.75" customHeight="1">
      <c r="A2396" s="833">
        <v>1</v>
      </c>
      <c r="B2396" t="s" s="834">
        <v>1708</v>
      </c>
      <c r="C2396" t="s" s="834">
        <v>1571</v>
      </c>
      <c r="D2396" s="835">
        <v>46024</v>
      </c>
      <c r="E2396" t="s" s="834">
        <v>478</v>
      </c>
      <c r="F2396" t="s" s="834">
        <v>478</v>
      </c>
      <c r="G2396" s="570"/>
      <c r="H2396" s="570"/>
      <c r="I2396" s="570"/>
      <c r="J2396" s="570"/>
      <c r="K2396" s="570"/>
    </row>
    <row r="2397" ht="13.75" customHeight="1">
      <c r="A2397" s="833">
        <v>1</v>
      </c>
      <c r="B2397" t="s" s="834">
        <v>1708</v>
      </c>
      <c r="C2397" t="s" s="834">
        <v>1571</v>
      </c>
      <c r="D2397" s="835">
        <v>46025</v>
      </c>
      <c r="E2397" t="s" s="834">
        <v>478</v>
      </c>
      <c r="F2397" t="s" s="834">
        <v>478</v>
      </c>
      <c r="G2397" s="570"/>
      <c r="H2397" s="570"/>
      <c r="I2397" s="570"/>
      <c r="J2397" s="570"/>
      <c r="K2397" s="570"/>
    </row>
    <row r="2398" ht="13.75" customHeight="1">
      <c r="A2398" s="833">
        <v>1</v>
      </c>
      <c r="B2398" t="s" s="834">
        <v>1708</v>
      </c>
      <c r="C2398" t="s" s="834">
        <v>1571</v>
      </c>
      <c r="D2398" s="835">
        <v>46026</v>
      </c>
      <c r="E2398" t="s" s="834">
        <v>478</v>
      </c>
      <c r="F2398" t="s" s="834">
        <v>478</v>
      </c>
      <c r="G2398" s="570"/>
      <c r="H2398" s="570"/>
      <c r="I2398" s="570"/>
      <c r="J2398" s="570"/>
      <c r="K2398" s="570"/>
    </row>
    <row r="2399" ht="13.75" customHeight="1">
      <c r="A2399" s="833">
        <v>1</v>
      </c>
      <c r="B2399" t="s" s="834">
        <v>1708</v>
      </c>
      <c r="C2399" t="s" s="834">
        <v>1571</v>
      </c>
      <c r="D2399" s="835">
        <v>46027</v>
      </c>
      <c r="E2399" t="s" s="834">
        <v>478</v>
      </c>
      <c r="F2399" t="s" s="834">
        <v>478</v>
      </c>
      <c r="G2399" s="570"/>
      <c r="H2399" s="570"/>
      <c r="I2399" s="570"/>
      <c r="J2399" s="570"/>
      <c r="K2399" s="570"/>
    </row>
    <row r="2400" ht="13.75" customHeight="1">
      <c r="A2400" s="833">
        <v>1</v>
      </c>
      <c r="B2400" t="s" s="834">
        <v>1708</v>
      </c>
      <c r="C2400" t="s" s="834">
        <v>1571</v>
      </c>
      <c r="D2400" s="835">
        <v>46028</v>
      </c>
      <c r="E2400" t="s" s="834">
        <v>478</v>
      </c>
      <c r="F2400" t="s" s="834">
        <v>478</v>
      </c>
      <c r="G2400" s="570"/>
      <c r="H2400" s="570"/>
      <c r="I2400" s="570"/>
      <c r="J2400" s="570"/>
      <c r="K2400" s="570"/>
    </row>
    <row r="2401" ht="13.75" customHeight="1">
      <c r="A2401" s="833">
        <v>1</v>
      </c>
      <c r="B2401" t="s" s="834">
        <v>1708</v>
      </c>
      <c r="C2401" t="s" s="834">
        <v>1571</v>
      </c>
      <c r="D2401" s="835">
        <v>46029</v>
      </c>
      <c r="E2401" t="s" s="834">
        <v>478</v>
      </c>
      <c r="F2401" t="s" s="834">
        <v>478</v>
      </c>
      <c r="G2401" s="570"/>
      <c r="H2401" s="570"/>
      <c r="I2401" s="570"/>
      <c r="J2401" s="570"/>
      <c r="K2401" s="570"/>
    </row>
    <row r="2402" ht="13.75" customHeight="1">
      <c r="A2402" s="833">
        <v>1</v>
      </c>
      <c r="B2402" t="s" s="834">
        <v>1708</v>
      </c>
      <c r="C2402" t="s" s="834">
        <v>1571</v>
      </c>
      <c r="D2402" s="835">
        <v>46030</v>
      </c>
      <c r="E2402" t="s" s="834">
        <v>478</v>
      </c>
      <c r="F2402" t="s" s="834">
        <v>478</v>
      </c>
      <c r="G2402" s="570"/>
      <c r="H2402" s="570"/>
      <c r="I2402" s="570"/>
      <c r="J2402" s="570"/>
      <c r="K2402" s="570"/>
    </row>
    <row r="2403" ht="13.75" customHeight="1">
      <c r="A2403" s="833">
        <v>1</v>
      </c>
      <c r="B2403" t="s" s="834">
        <v>1708</v>
      </c>
      <c r="C2403" t="s" s="834">
        <v>1571</v>
      </c>
      <c r="D2403" s="835">
        <v>46031</v>
      </c>
      <c r="E2403" t="s" s="834">
        <v>478</v>
      </c>
      <c r="F2403" t="s" s="834">
        <v>478</v>
      </c>
      <c r="G2403" s="570"/>
      <c r="H2403" s="570"/>
      <c r="I2403" s="570"/>
      <c r="J2403" s="570"/>
      <c r="K2403" s="570"/>
    </row>
    <row r="2404" ht="13.75" customHeight="1">
      <c r="A2404" s="833">
        <v>1</v>
      </c>
      <c r="B2404" t="s" s="834">
        <v>1708</v>
      </c>
      <c r="C2404" t="s" s="834">
        <v>1571</v>
      </c>
      <c r="D2404" s="835">
        <v>46032</v>
      </c>
      <c r="E2404" t="s" s="834">
        <v>478</v>
      </c>
      <c r="F2404" t="s" s="834">
        <v>478</v>
      </c>
      <c r="G2404" s="570"/>
      <c r="H2404" s="570"/>
      <c r="I2404" s="570"/>
      <c r="J2404" s="570"/>
      <c r="K2404" s="570"/>
    </row>
    <row r="2405" ht="13.75" customHeight="1">
      <c r="A2405" s="833">
        <v>1</v>
      </c>
      <c r="B2405" t="s" s="834">
        <v>1708</v>
      </c>
      <c r="C2405" t="s" s="834">
        <v>1571</v>
      </c>
      <c r="D2405" s="835">
        <v>46033</v>
      </c>
      <c r="E2405" t="s" s="834">
        <v>478</v>
      </c>
      <c r="F2405" t="s" s="834">
        <v>478</v>
      </c>
      <c r="G2405" s="570"/>
      <c r="H2405" s="570"/>
      <c r="I2405" s="570"/>
      <c r="J2405" s="570"/>
      <c r="K2405" s="570"/>
    </row>
    <row r="2406" ht="13.75" customHeight="1">
      <c r="A2406" s="833">
        <v>1</v>
      </c>
      <c r="B2406" t="s" s="834">
        <v>1708</v>
      </c>
      <c r="C2406" t="s" s="834">
        <v>1571</v>
      </c>
      <c r="D2406" s="835">
        <v>46034</v>
      </c>
      <c r="E2406" t="s" s="834">
        <v>478</v>
      </c>
      <c r="F2406" t="s" s="834">
        <v>478</v>
      </c>
      <c r="G2406" s="570"/>
      <c r="H2406" s="570"/>
      <c r="I2406" s="570"/>
      <c r="J2406" s="570"/>
      <c r="K2406" s="570"/>
    </row>
    <row r="2407" ht="13.75" customHeight="1">
      <c r="A2407" s="833">
        <v>1</v>
      </c>
      <c r="B2407" t="s" s="834">
        <v>1708</v>
      </c>
      <c r="C2407" t="s" s="834">
        <v>1571</v>
      </c>
      <c r="D2407" s="835">
        <v>46035</v>
      </c>
      <c r="E2407" t="s" s="834">
        <v>478</v>
      </c>
      <c r="F2407" t="s" s="834">
        <v>478</v>
      </c>
      <c r="G2407" s="570"/>
      <c r="H2407" s="570"/>
      <c r="I2407" s="570"/>
      <c r="J2407" s="570"/>
      <c r="K2407" s="570"/>
    </row>
    <row r="2408" ht="13.75" customHeight="1">
      <c r="A2408" s="833">
        <v>1</v>
      </c>
      <c r="B2408" t="s" s="834">
        <v>1708</v>
      </c>
      <c r="C2408" t="s" s="834">
        <v>1571</v>
      </c>
      <c r="D2408" s="835">
        <v>46036</v>
      </c>
      <c r="E2408" t="s" s="834">
        <v>478</v>
      </c>
      <c r="F2408" t="s" s="834">
        <v>478</v>
      </c>
      <c r="G2408" s="570"/>
      <c r="H2408" s="570"/>
      <c r="I2408" s="570"/>
      <c r="J2408" s="570"/>
      <c r="K2408" s="570"/>
    </row>
    <row r="2409" ht="13.75" customHeight="1">
      <c r="A2409" s="833">
        <v>1</v>
      </c>
      <c r="B2409" t="s" s="834">
        <v>1708</v>
      </c>
      <c r="C2409" t="s" s="834">
        <v>1571</v>
      </c>
      <c r="D2409" s="835">
        <v>46037</v>
      </c>
      <c r="E2409" t="s" s="834">
        <v>478</v>
      </c>
      <c r="F2409" t="s" s="834">
        <v>478</v>
      </c>
      <c r="G2409" s="570"/>
      <c r="H2409" s="570"/>
      <c r="I2409" s="570"/>
      <c r="J2409" s="570"/>
      <c r="K2409" s="570"/>
    </row>
    <row r="2410" ht="13.75" customHeight="1">
      <c r="A2410" s="833">
        <v>1</v>
      </c>
      <c r="B2410" t="s" s="834">
        <v>1708</v>
      </c>
      <c r="C2410" t="s" s="834">
        <v>1571</v>
      </c>
      <c r="D2410" s="835">
        <v>46038</v>
      </c>
      <c r="E2410" t="s" s="834">
        <v>478</v>
      </c>
      <c r="F2410" t="s" s="834">
        <v>478</v>
      </c>
      <c r="G2410" s="570"/>
      <c r="H2410" s="570"/>
      <c r="I2410" s="570"/>
      <c r="J2410" s="570"/>
      <c r="K2410" s="570"/>
    </row>
    <row r="2411" ht="13.75" customHeight="1">
      <c r="A2411" s="833">
        <v>1</v>
      </c>
      <c r="B2411" t="s" s="834">
        <v>1708</v>
      </c>
      <c r="C2411" t="s" s="834">
        <v>1571</v>
      </c>
      <c r="D2411" s="835">
        <v>46039</v>
      </c>
      <c r="E2411" t="s" s="834">
        <v>478</v>
      </c>
      <c r="F2411" t="s" s="834">
        <v>478</v>
      </c>
      <c r="G2411" s="570"/>
      <c r="H2411" s="570"/>
      <c r="I2411" s="570"/>
      <c r="J2411" s="570"/>
      <c r="K2411" s="570"/>
    </row>
    <row r="2412" ht="13.75" customHeight="1">
      <c r="A2412" s="833">
        <v>1</v>
      </c>
      <c r="B2412" t="s" s="834">
        <v>1708</v>
      </c>
      <c r="C2412" t="s" s="834">
        <v>1571</v>
      </c>
      <c r="D2412" s="835">
        <v>46040</v>
      </c>
      <c r="E2412" t="s" s="834">
        <v>478</v>
      </c>
      <c r="F2412" t="s" s="834">
        <v>478</v>
      </c>
      <c r="G2412" s="570"/>
      <c r="H2412" s="570"/>
      <c r="I2412" s="570"/>
      <c r="J2412" s="570"/>
      <c r="K2412" s="570"/>
    </row>
    <row r="2413" ht="13.75" customHeight="1">
      <c r="A2413" s="833">
        <v>1</v>
      </c>
      <c r="B2413" t="s" s="834">
        <v>1708</v>
      </c>
      <c r="C2413" t="s" s="834">
        <v>1571</v>
      </c>
      <c r="D2413" s="835">
        <v>46041</v>
      </c>
      <c r="E2413" t="s" s="834">
        <v>478</v>
      </c>
      <c r="F2413" t="s" s="834">
        <v>478</v>
      </c>
      <c r="G2413" s="570"/>
      <c r="H2413" s="570"/>
      <c r="I2413" s="570"/>
      <c r="J2413" s="570"/>
      <c r="K2413" s="570"/>
    </row>
    <row r="2414" ht="13.75" customHeight="1">
      <c r="A2414" s="833">
        <v>1</v>
      </c>
      <c r="B2414" t="s" s="834">
        <v>1708</v>
      </c>
      <c r="C2414" t="s" s="834">
        <v>1571</v>
      </c>
      <c r="D2414" s="835">
        <v>46042</v>
      </c>
      <c r="E2414" t="s" s="834">
        <v>478</v>
      </c>
      <c r="F2414" t="s" s="834">
        <v>478</v>
      </c>
      <c r="G2414" s="570"/>
      <c r="H2414" s="570"/>
      <c r="I2414" s="570"/>
      <c r="J2414" s="570"/>
      <c r="K2414" s="570"/>
    </row>
    <row r="2415" ht="13.75" customHeight="1">
      <c r="A2415" s="833">
        <v>1</v>
      </c>
      <c r="B2415" t="s" s="834">
        <v>1708</v>
      </c>
      <c r="C2415" t="s" s="834">
        <v>1571</v>
      </c>
      <c r="D2415" s="835">
        <v>46043</v>
      </c>
      <c r="E2415" t="s" s="834">
        <v>478</v>
      </c>
      <c r="F2415" t="s" s="834">
        <v>478</v>
      </c>
      <c r="G2415" s="570"/>
      <c r="H2415" s="570"/>
      <c r="I2415" s="570"/>
      <c r="J2415" s="570"/>
      <c r="K2415" s="570"/>
    </row>
    <row r="2416" ht="13.75" customHeight="1">
      <c r="A2416" s="833">
        <v>1</v>
      </c>
      <c r="B2416" t="s" s="834">
        <v>1708</v>
      </c>
      <c r="C2416" t="s" s="834">
        <v>1571</v>
      </c>
      <c r="D2416" s="835">
        <v>46044</v>
      </c>
      <c r="E2416" t="s" s="834">
        <v>478</v>
      </c>
      <c r="F2416" t="s" s="834">
        <v>478</v>
      </c>
      <c r="G2416" s="570"/>
      <c r="H2416" s="570"/>
      <c r="I2416" s="570"/>
      <c r="J2416" s="570"/>
      <c r="K2416" s="570"/>
    </row>
    <row r="2417" ht="13.75" customHeight="1">
      <c r="A2417" s="833">
        <v>1</v>
      </c>
      <c r="B2417" t="s" s="834">
        <v>1708</v>
      </c>
      <c r="C2417" t="s" s="834">
        <v>1571</v>
      </c>
      <c r="D2417" s="835">
        <v>46045</v>
      </c>
      <c r="E2417" t="s" s="834">
        <v>478</v>
      </c>
      <c r="F2417" t="s" s="834">
        <v>478</v>
      </c>
      <c r="G2417" s="570"/>
      <c r="H2417" s="570"/>
      <c r="I2417" s="570"/>
      <c r="J2417" s="570"/>
      <c r="K2417" s="570"/>
    </row>
    <row r="2418" ht="13.75" customHeight="1">
      <c r="A2418" s="833">
        <v>1</v>
      </c>
      <c r="B2418" t="s" s="834">
        <v>1708</v>
      </c>
      <c r="C2418" t="s" s="834">
        <v>1571</v>
      </c>
      <c r="D2418" s="835">
        <v>46046</v>
      </c>
      <c r="E2418" t="s" s="834">
        <v>478</v>
      </c>
      <c r="F2418" t="s" s="834">
        <v>478</v>
      </c>
      <c r="G2418" s="570"/>
      <c r="H2418" s="570"/>
      <c r="I2418" s="570"/>
      <c r="J2418" s="570"/>
      <c r="K2418" s="570"/>
    </row>
    <row r="2419" ht="13.75" customHeight="1">
      <c r="A2419" s="833">
        <v>1</v>
      </c>
      <c r="B2419" t="s" s="834">
        <v>1708</v>
      </c>
      <c r="C2419" t="s" s="834">
        <v>1571</v>
      </c>
      <c r="D2419" s="835">
        <v>46047</v>
      </c>
      <c r="E2419" t="s" s="834">
        <v>478</v>
      </c>
      <c r="F2419" t="s" s="834">
        <v>478</v>
      </c>
      <c r="G2419" s="570"/>
      <c r="H2419" s="570"/>
      <c r="I2419" s="570"/>
      <c r="J2419" s="570"/>
      <c r="K2419" s="570"/>
    </row>
    <row r="2420" ht="13.75" customHeight="1">
      <c r="A2420" s="833">
        <v>1</v>
      </c>
      <c r="B2420" t="s" s="834">
        <v>1708</v>
      </c>
      <c r="C2420" t="s" s="834">
        <v>1571</v>
      </c>
      <c r="D2420" s="835">
        <v>46048</v>
      </c>
      <c r="E2420" t="s" s="834">
        <v>478</v>
      </c>
      <c r="F2420" t="s" s="834">
        <v>478</v>
      </c>
      <c r="G2420" s="570"/>
      <c r="H2420" s="570"/>
      <c r="I2420" s="570"/>
      <c r="J2420" s="570"/>
      <c r="K2420" s="570"/>
    </row>
    <row r="2421" ht="13.75" customHeight="1">
      <c r="A2421" s="833">
        <v>1</v>
      </c>
      <c r="B2421" t="s" s="834">
        <v>1708</v>
      </c>
      <c r="C2421" t="s" s="834">
        <v>1571</v>
      </c>
      <c r="D2421" s="835">
        <v>46049</v>
      </c>
      <c r="E2421" t="s" s="834">
        <v>478</v>
      </c>
      <c r="F2421" t="s" s="834">
        <v>478</v>
      </c>
      <c r="G2421" s="570"/>
      <c r="H2421" s="570"/>
      <c r="I2421" s="570"/>
      <c r="J2421" s="570"/>
      <c r="K2421" s="570"/>
    </row>
    <row r="2422" ht="13.75" customHeight="1">
      <c r="A2422" s="833">
        <v>1</v>
      </c>
      <c r="B2422" t="s" s="834">
        <v>1708</v>
      </c>
      <c r="C2422" t="s" s="834">
        <v>1571</v>
      </c>
      <c r="D2422" s="835">
        <v>46050</v>
      </c>
      <c r="E2422" t="s" s="834">
        <v>478</v>
      </c>
      <c r="F2422" t="s" s="834">
        <v>478</v>
      </c>
      <c r="G2422" s="570"/>
      <c r="H2422" s="570"/>
      <c r="I2422" s="570"/>
      <c r="J2422" s="570"/>
      <c r="K2422" s="570"/>
    </row>
    <row r="2423" ht="13.75" customHeight="1">
      <c r="A2423" s="833">
        <v>1</v>
      </c>
      <c r="B2423" t="s" s="834">
        <v>1708</v>
      </c>
      <c r="C2423" t="s" s="834">
        <v>1571</v>
      </c>
      <c r="D2423" s="835">
        <v>46051</v>
      </c>
      <c r="E2423" t="s" s="834">
        <v>478</v>
      </c>
      <c r="F2423" t="s" s="834">
        <v>478</v>
      </c>
      <c r="G2423" s="570"/>
      <c r="H2423" s="570"/>
      <c r="I2423" s="570"/>
      <c r="J2423" s="570"/>
      <c r="K2423" s="570"/>
    </row>
    <row r="2424" ht="13.75" customHeight="1">
      <c r="A2424" s="833">
        <v>1</v>
      </c>
      <c r="B2424" t="s" s="834">
        <v>1708</v>
      </c>
      <c r="C2424" t="s" s="834">
        <v>1571</v>
      </c>
      <c r="D2424" s="835">
        <v>46052</v>
      </c>
      <c r="E2424" t="s" s="834">
        <v>478</v>
      </c>
      <c r="F2424" t="s" s="834">
        <v>478</v>
      </c>
      <c r="G2424" s="570"/>
      <c r="H2424" s="570"/>
      <c r="I2424" s="570"/>
      <c r="J2424" s="570"/>
      <c r="K2424" s="570"/>
    </row>
    <row r="2425" ht="13.75" customHeight="1">
      <c r="A2425" s="833">
        <v>1</v>
      </c>
      <c r="B2425" t="s" s="834">
        <v>1708</v>
      </c>
      <c r="C2425" t="s" s="834">
        <v>1571</v>
      </c>
      <c r="D2425" s="835">
        <v>46053</v>
      </c>
      <c r="E2425" t="s" s="834">
        <v>478</v>
      </c>
      <c r="F2425" t="s" s="834">
        <v>478</v>
      </c>
      <c r="G2425" s="570"/>
      <c r="H2425" s="570"/>
      <c r="I2425" s="570"/>
      <c r="J2425" s="570"/>
      <c r="K2425" s="570"/>
    </row>
    <row r="2426" ht="13.75" customHeight="1">
      <c r="A2426" s="833">
        <v>1</v>
      </c>
      <c r="B2426" t="s" s="834">
        <v>1708</v>
      </c>
      <c r="C2426" t="s" s="834">
        <v>1571</v>
      </c>
      <c r="D2426" s="835">
        <v>46054</v>
      </c>
      <c r="E2426" t="s" s="834">
        <v>478</v>
      </c>
      <c r="F2426" t="s" s="834">
        <v>478</v>
      </c>
      <c r="G2426" s="570"/>
      <c r="H2426" s="570"/>
      <c r="I2426" s="570"/>
      <c r="J2426" s="570"/>
      <c r="K2426" s="570"/>
    </row>
    <row r="2427" ht="13.75" customHeight="1">
      <c r="A2427" s="833">
        <v>10</v>
      </c>
      <c r="B2427" t="s" s="834">
        <v>1709</v>
      </c>
      <c r="C2427" t="s" s="834">
        <v>1571</v>
      </c>
      <c r="D2427" s="835">
        <v>46023</v>
      </c>
      <c r="E2427" t="s" s="834">
        <v>478</v>
      </c>
      <c r="F2427" t="s" s="834">
        <v>478</v>
      </c>
      <c r="G2427" s="570"/>
      <c r="H2427" s="570"/>
      <c r="I2427" s="570"/>
      <c r="J2427" s="570"/>
      <c r="K2427" s="570"/>
    </row>
    <row r="2428" ht="13.75" customHeight="1">
      <c r="A2428" s="833">
        <v>10</v>
      </c>
      <c r="B2428" t="s" s="834">
        <v>1709</v>
      </c>
      <c r="C2428" t="s" s="834">
        <v>1571</v>
      </c>
      <c r="D2428" s="835">
        <v>46024</v>
      </c>
      <c r="E2428" t="s" s="834">
        <v>478</v>
      </c>
      <c r="F2428" t="s" s="834">
        <v>478</v>
      </c>
      <c r="G2428" s="570"/>
      <c r="H2428" s="570"/>
      <c r="I2428" s="570"/>
      <c r="J2428" s="570"/>
      <c r="K2428" s="570"/>
    </row>
    <row r="2429" ht="13.75" customHeight="1">
      <c r="A2429" s="833">
        <v>10</v>
      </c>
      <c r="B2429" t="s" s="834">
        <v>1709</v>
      </c>
      <c r="C2429" t="s" s="834">
        <v>1571</v>
      </c>
      <c r="D2429" s="835">
        <v>46025</v>
      </c>
      <c r="E2429" t="s" s="834">
        <v>478</v>
      </c>
      <c r="F2429" t="s" s="834">
        <v>478</v>
      </c>
      <c r="G2429" s="570"/>
      <c r="H2429" s="570"/>
      <c r="I2429" s="570"/>
      <c r="J2429" s="570"/>
      <c r="K2429" s="570"/>
    </row>
    <row r="2430" ht="13.75" customHeight="1">
      <c r="A2430" s="833">
        <v>10</v>
      </c>
      <c r="B2430" t="s" s="834">
        <v>1709</v>
      </c>
      <c r="C2430" t="s" s="834">
        <v>1571</v>
      </c>
      <c r="D2430" s="835">
        <v>46026</v>
      </c>
      <c r="E2430" t="s" s="834">
        <v>478</v>
      </c>
      <c r="F2430" t="s" s="834">
        <v>478</v>
      </c>
      <c r="G2430" s="570"/>
      <c r="H2430" s="570"/>
      <c r="I2430" s="570"/>
      <c r="J2430" s="570"/>
      <c r="K2430" s="570"/>
    </row>
    <row r="2431" ht="13.75" customHeight="1">
      <c r="A2431" s="833">
        <v>10</v>
      </c>
      <c r="B2431" t="s" s="834">
        <v>1709</v>
      </c>
      <c r="C2431" t="s" s="834">
        <v>1571</v>
      </c>
      <c r="D2431" s="835">
        <v>46027</v>
      </c>
      <c r="E2431" t="s" s="834">
        <v>478</v>
      </c>
      <c r="F2431" t="s" s="834">
        <v>478</v>
      </c>
      <c r="G2431" s="570"/>
      <c r="H2431" s="570"/>
      <c r="I2431" s="570"/>
      <c r="J2431" s="570"/>
      <c r="K2431" s="570"/>
    </row>
    <row r="2432" ht="13.75" customHeight="1">
      <c r="A2432" s="833">
        <v>10</v>
      </c>
      <c r="B2432" t="s" s="834">
        <v>1709</v>
      </c>
      <c r="C2432" t="s" s="834">
        <v>1571</v>
      </c>
      <c r="D2432" s="835">
        <v>46028</v>
      </c>
      <c r="E2432" t="s" s="834">
        <v>478</v>
      </c>
      <c r="F2432" t="s" s="834">
        <v>478</v>
      </c>
      <c r="G2432" s="570"/>
      <c r="H2432" s="570"/>
      <c r="I2432" s="570"/>
      <c r="J2432" s="570"/>
      <c r="K2432" s="570"/>
    </row>
    <row r="2433" ht="13.75" customHeight="1">
      <c r="A2433" s="833">
        <v>10</v>
      </c>
      <c r="B2433" t="s" s="834">
        <v>1709</v>
      </c>
      <c r="C2433" t="s" s="834">
        <v>1571</v>
      </c>
      <c r="D2433" s="835">
        <v>46029</v>
      </c>
      <c r="E2433" t="s" s="834">
        <v>478</v>
      </c>
      <c r="F2433" t="s" s="834">
        <v>478</v>
      </c>
      <c r="G2433" s="570"/>
      <c r="H2433" s="570"/>
      <c r="I2433" s="570"/>
      <c r="J2433" s="570"/>
      <c r="K2433" s="570"/>
    </row>
    <row r="2434" ht="13.75" customHeight="1">
      <c r="A2434" s="833">
        <v>10</v>
      </c>
      <c r="B2434" t="s" s="834">
        <v>1709</v>
      </c>
      <c r="C2434" t="s" s="834">
        <v>1571</v>
      </c>
      <c r="D2434" s="835">
        <v>46030</v>
      </c>
      <c r="E2434" t="s" s="834">
        <v>478</v>
      </c>
      <c r="F2434" t="s" s="834">
        <v>478</v>
      </c>
      <c r="G2434" s="570"/>
      <c r="H2434" s="570"/>
      <c r="I2434" s="570"/>
      <c r="J2434" s="570"/>
      <c r="K2434" s="570"/>
    </row>
    <row r="2435" ht="13.75" customHeight="1">
      <c r="A2435" s="833">
        <v>10</v>
      </c>
      <c r="B2435" t="s" s="834">
        <v>1709</v>
      </c>
      <c r="C2435" t="s" s="834">
        <v>1571</v>
      </c>
      <c r="D2435" s="835">
        <v>46031</v>
      </c>
      <c r="E2435" t="s" s="834">
        <v>478</v>
      </c>
      <c r="F2435" t="s" s="834">
        <v>478</v>
      </c>
      <c r="G2435" s="570"/>
      <c r="H2435" s="570"/>
      <c r="I2435" s="570"/>
      <c r="J2435" s="570"/>
      <c r="K2435" s="570"/>
    </row>
    <row r="2436" ht="13.75" customHeight="1">
      <c r="A2436" s="833">
        <v>10</v>
      </c>
      <c r="B2436" t="s" s="834">
        <v>1709</v>
      </c>
      <c r="C2436" t="s" s="834">
        <v>1571</v>
      </c>
      <c r="D2436" s="835">
        <v>46032</v>
      </c>
      <c r="E2436" t="s" s="834">
        <v>478</v>
      </c>
      <c r="F2436" t="s" s="834">
        <v>478</v>
      </c>
      <c r="G2436" s="570"/>
      <c r="H2436" s="570"/>
      <c r="I2436" s="570"/>
      <c r="J2436" s="570"/>
      <c r="K2436" s="570"/>
    </row>
    <row r="2437" ht="13.75" customHeight="1">
      <c r="A2437" s="833">
        <v>10</v>
      </c>
      <c r="B2437" t="s" s="834">
        <v>1709</v>
      </c>
      <c r="C2437" t="s" s="834">
        <v>1571</v>
      </c>
      <c r="D2437" s="835">
        <v>46033</v>
      </c>
      <c r="E2437" t="s" s="834">
        <v>478</v>
      </c>
      <c r="F2437" t="s" s="834">
        <v>478</v>
      </c>
      <c r="G2437" s="570"/>
      <c r="H2437" s="570"/>
      <c r="I2437" s="570"/>
      <c r="J2437" s="570"/>
      <c r="K2437" s="570"/>
    </row>
    <row r="2438" ht="13.75" customHeight="1">
      <c r="A2438" s="833">
        <v>10</v>
      </c>
      <c r="B2438" t="s" s="834">
        <v>1709</v>
      </c>
      <c r="C2438" t="s" s="834">
        <v>1571</v>
      </c>
      <c r="D2438" s="835">
        <v>46034</v>
      </c>
      <c r="E2438" t="s" s="834">
        <v>478</v>
      </c>
      <c r="F2438" t="s" s="834">
        <v>478</v>
      </c>
      <c r="G2438" s="570"/>
      <c r="H2438" s="570"/>
      <c r="I2438" s="570"/>
      <c r="J2438" s="570"/>
      <c r="K2438" s="570"/>
    </row>
    <row r="2439" ht="13.75" customHeight="1">
      <c r="A2439" s="833">
        <v>10</v>
      </c>
      <c r="B2439" t="s" s="834">
        <v>1709</v>
      </c>
      <c r="C2439" t="s" s="834">
        <v>1571</v>
      </c>
      <c r="D2439" s="835">
        <v>46035</v>
      </c>
      <c r="E2439" t="s" s="834">
        <v>478</v>
      </c>
      <c r="F2439" t="s" s="834">
        <v>478</v>
      </c>
      <c r="G2439" s="570"/>
      <c r="H2439" s="570"/>
      <c r="I2439" s="570"/>
      <c r="J2439" s="570"/>
      <c r="K2439" s="570"/>
    </row>
    <row r="2440" ht="13.75" customHeight="1">
      <c r="A2440" s="833">
        <v>10</v>
      </c>
      <c r="B2440" t="s" s="834">
        <v>1709</v>
      </c>
      <c r="C2440" t="s" s="834">
        <v>1571</v>
      </c>
      <c r="D2440" s="835">
        <v>46036</v>
      </c>
      <c r="E2440" t="s" s="834">
        <v>478</v>
      </c>
      <c r="F2440" t="s" s="834">
        <v>478</v>
      </c>
      <c r="G2440" s="570"/>
      <c r="H2440" s="570"/>
      <c r="I2440" s="570"/>
      <c r="J2440" s="570"/>
      <c r="K2440" s="570"/>
    </row>
    <row r="2441" ht="13.75" customHeight="1">
      <c r="A2441" s="833">
        <v>10</v>
      </c>
      <c r="B2441" t="s" s="834">
        <v>1709</v>
      </c>
      <c r="C2441" t="s" s="834">
        <v>1571</v>
      </c>
      <c r="D2441" s="835">
        <v>46037</v>
      </c>
      <c r="E2441" t="s" s="834">
        <v>478</v>
      </c>
      <c r="F2441" t="s" s="834">
        <v>478</v>
      </c>
      <c r="G2441" s="570"/>
      <c r="H2441" s="570"/>
      <c r="I2441" s="570"/>
      <c r="J2441" s="570"/>
      <c r="K2441" s="570"/>
    </row>
    <row r="2442" ht="13.75" customHeight="1">
      <c r="A2442" s="833">
        <v>10</v>
      </c>
      <c r="B2442" t="s" s="834">
        <v>1709</v>
      </c>
      <c r="C2442" t="s" s="834">
        <v>1571</v>
      </c>
      <c r="D2442" s="835">
        <v>46038</v>
      </c>
      <c r="E2442" t="s" s="834">
        <v>478</v>
      </c>
      <c r="F2442" t="s" s="834">
        <v>478</v>
      </c>
      <c r="G2442" s="570"/>
      <c r="H2442" s="570"/>
      <c r="I2442" s="570"/>
      <c r="J2442" s="570"/>
      <c r="K2442" s="570"/>
    </row>
    <row r="2443" ht="13.75" customHeight="1">
      <c r="A2443" s="833">
        <v>10</v>
      </c>
      <c r="B2443" t="s" s="834">
        <v>1709</v>
      </c>
      <c r="C2443" t="s" s="834">
        <v>1571</v>
      </c>
      <c r="D2443" s="835">
        <v>46039</v>
      </c>
      <c r="E2443" t="s" s="834">
        <v>478</v>
      </c>
      <c r="F2443" t="s" s="834">
        <v>478</v>
      </c>
      <c r="G2443" s="570"/>
      <c r="H2443" s="570"/>
      <c r="I2443" s="570"/>
      <c r="J2443" s="570"/>
      <c r="K2443" s="570"/>
    </row>
    <row r="2444" ht="13.75" customHeight="1">
      <c r="A2444" s="833">
        <v>10</v>
      </c>
      <c r="B2444" t="s" s="834">
        <v>1709</v>
      </c>
      <c r="C2444" t="s" s="834">
        <v>1571</v>
      </c>
      <c r="D2444" s="835">
        <v>46040</v>
      </c>
      <c r="E2444" t="s" s="834">
        <v>478</v>
      </c>
      <c r="F2444" t="s" s="834">
        <v>478</v>
      </c>
      <c r="G2444" s="570"/>
      <c r="H2444" s="570"/>
      <c r="I2444" s="570"/>
      <c r="J2444" s="570"/>
      <c r="K2444" s="570"/>
    </row>
    <row r="2445" ht="13.75" customHeight="1">
      <c r="A2445" s="833">
        <v>10</v>
      </c>
      <c r="B2445" t="s" s="834">
        <v>1709</v>
      </c>
      <c r="C2445" t="s" s="834">
        <v>1571</v>
      </c>
      <c r="D2445" s="835">
        <v>46041</v>
      </c>
      <c r="E2445" t="s" s="834">
        <v>478</v>
      </c>
      <c r="F2445" t="s" s="834">
        <v>478</v>
      </c>
      <c r="G2445" s="570"/>
      <c r="H2445" s="570"/>
      <c r="I2445" s="570"/>
      <c r="J2445" s="570"/>
      <c r="K2445" s="570"/>
    </row>
    <row r="2446" ht="13.75" customHeight="1">
      <c r="A2446" s="833">
        <v>10</v>
      </c>
      <c r="B2446" t="s" s="834">
        <v>1709</v>
      </c>
      <c r="C2446" t="s" s="834">
        <v>1571</v>
      </c>
      <c r="D2446" s="835">
        <v>46042</v>
      </c>
      <c r="E2446" t="s" s="834">
        <v>478</v>
      </c>
      <c r="F2446" t="s" s="834">
        <v>478</v>
      </c>
      <c r="G2446" s="570"/>
      <c r="H2446" s="570"/>
      <c r="I2446" s="570"/>
      <c r="J2446" s="570"/>
      <c r="K2446" s="570"/>
    </row>
    <row r="2447" ht="13.75" customHeight="1">
      <c r="A2447" s="833">
        <v>10</v>
      </c>
      <c r="B2447" t="s" s="834">
        <v>1709</v>
      </c>
      <c r="C2447" t="s" s="834">
        <v>1571</v>
      </c>
      <c r="D2447" s="835">
        <v>46043</v>
      </c>
      <c r="E2447" t="s" s="834">
        <v>478</v>
      </c>
      <c r="F2447" t="s" s="834">
        <v>478</v>
      </c>
      <c r="G2447" s="570"/>
      <c r="H2447" s="570"/>
      <c r="I2447" s="570"/>
      <c r="J2447" s="570"/>
      <c r="K2447" s="570"/>
    </row>
    <row r="2448" ht="13.75" customHeight="1">
      <c r="A2448" s="833">
        <v>10</v>
      </c>
      <c r="B2448" t="s" s="834">
        <v>1709</v>
      </c>
      <c r="C2448" t="s" s="834">
        <v>1571</v>
      </c>
      <c r="D2448" s="835">
        <v>46044</v>
      </c>
      <c r="E2448" t="s" s="834">
        <v>478</v>
      </c>
      <c r="F2448" t="s" s="834">
        <v>478</v>
      </c>
      <c r="G2448" s="570"/>
      <c r="H2448" s="570"/>
      <c r="I2448" s="570"/>
      <c r="J2448" s="570"/>
      <c r="K2448" s="570"/>
    </row>
    <row r="2449" ht="13.75" customHeight="1">
      <c r="A2449" s="833">
        <v>10</v>
      </c>
      <c r="B2449" t="s" s="834">
        <v>1709</v>
      </c>
      <c r="C2449" t="s" s="834">
        <v>1571</v>
      </c>
      <c r="D2449" s="835">
        <v>46045</v>
      </c>
      <c r="E2449" t="s" s="834">
        <v>478</v>
      </c>
      <c r="F2449" t="s" s="834">
        <v>478</v>
      </c>
      <c r="G2449" s="570"/>
      <c r="H2449" s="570"/>
      <c r="I2449" s="570"/>
      <c r="J2449" s="570"/>
      <c r="K2449" s="570"/>
    </row>
    <row r="2450" ht="13.75" customHeight="1">
      <c r="A2450" s="833">
        <v>10</v>
      </c>
      <c r="B2450" t="s" s="834">
        <v>1709</v>
      </c>
      <c r="C2450" t="s" s="834">
        <v>1571</v>
      </c>
      <c r="D2450" s="835">
        <v>46046</v>
      </c>
      <c r="E2450" t="s" s="834">
        <v>478</v>
      </c>
      <c r="F2450" t="s" s="834">
        <v>478</v>
      </c>
      <c r="G2450" s="570"/>
      <c r="H2450" s="570"/>
      <c r="I2450" s="570"/>
      <c r="J2450" s="570"/>
      <c r="K2450" s="570"/>
    </row>
    <row r="2451" ht="13.75" customHeight="1">
      <c r="A2451" s="833">
        <v>10</v>
      </c>
      <c r="B2451" t="s" s="834">
        <v>1709</v>
      </c>
      <c r="C2451" t="s" s="834">
        <v>1571</v>
      </c>
      <c r="D2451" s="835">
        <v>46047</v>
      </c>
      <c r="E2451" t="s" s="834">
        <v>478</v>
      </c>
      <c r="F2451" t="s" s="834">
        <v>478</v>
      </c>
      <c r="G2451" s="570"/>
      <c r="H2451" s="570"/>
      <c r="I2451" s="570"/>
      <c r="J2451" s="570"/>
      <c r="K2451" s="570"/>
    </row>
    <row r="2452" ht="13.75" customHeight="1">
      <c r="A2452" s="833">
        <v>10</v>
      </c>
      <c r="B2452" t="s" s="834">
        <v>1709</v>
      </c>
      <c r="C2452" t="s" s="834">
        <v>1571</v>
      </c>
      <c r="D2452" s="835">
        <v>46048</v>
      </c>
      <c r="E2452" t="s" s="834">
        <v>478</v>
      </c>
      <c r="F2452" t="s" s="834">
        <v>478</v>
      </c>
      <c r="G2452" s="570"/>
      <c r="H2452" s="570"/>
      <c r="I2452" s="570"/>
      <c r="J2452" s="570"/>
      <c r="K2452" s="570"/>
    </row>
    <row r="2453" ht="13.75" customHeight="1">
      <c r="A2453" s="833">
        <v>10</v>
      </c>
      <c r="B2453" t="s" s="834">
        <v>1709</v>
      </c>
      <c r="C2453" t="s" s="834">
        <v>1571</v>
      </c>
      <c r="D2453" s="835">
        <v>46049</v>
      </c>
      <c r="E2453" t="s" s="834">
        <v>478</v>
      </c>
      <c r="F2453" t="s" s="834">
        <v>478</v>
      </c>
      <c r="G2453" s="570"/>
      <c r="H2453" s="570"/>
      <c r="I2453" s="570"/>
      <c r="J2453" s="570"/>
      <c r="K2453" s="570"/>
    </row>
    <row r="2454" ht="13.75" customHeight="1">
      <c r="A2454" s="833">
        <v>10</v>
      </c>
      <c r="B2454" t="s" s="834">
        <v>1709</v>
      </c>
      <c r="C2454" t="s" s="834">
        <v>1571</v>
      </c>
      <c r="D2454" s="835">
        <v>46050</v>
      </c>
      <c r="E2454" t="s" s="834">
        <v>478</v>
      </c>
      <c r="F2454" t="s" s="834">
        <v>478</v>
      </c>
      <c r="G2454" s="570"/>
      <c r="H2454" s="570"/>
      <c r="I2454" s="570"/>
      <c r="J2454" s="570"/>
      <c r="K2454" s="570"/>
    </row>
    <row r="2455" ht="13.75" customHeight="1">
      <c r="A2455" s="833">
        <v>10</v>
      </c>
      <c r="B2455" t="s" s="834">
        <v>1709</v>
      </c>
      <c r="C2455" t="s" s="834">
        <v>1571</v>
      </c>
      <c r="D2455" s="835">
        <v>46051</v>
      </c>
      <c r="E2455" t="s" s="834">
        <v>478</v>
      </c>
      <c r="F2455" t="s" s="834">
        <v>478</v>
      </c>
      <c r="G2455" s="570"/>
      <c r="H2455" s="570"/>
      <c r="I2455" s="570"/>
      <c r="J2455" s="570"/>
      <c r="K2455" s="570"/>
    </row>
    <row r="2456" ht="13.75" customHeight="1">
      <c r="A2456" s="833">
        <v>10</v>
      </c>
      <c r="B2456" t="s" s="834">
        <v>1709</v>
      </c>
      <c r="C2456" t="s" s="834">
        <v>1571</v>
      </c>
      <c r="D2456" s="835">
        <v>46052</v>
      </c>
      <c r="E2456" t="s" s="834">
        <v>478</v>
      </c>
      <c r="F2456" t="s" s="834">
        <v>478</v>
      </c>
      <c r="G2456" s="570"/>
      <c r="H2456" s="570"/>
      <c r="I2456" s="570"/>
      <c r="J2456" s="570"/>
      <c r="K2456" s="570"/>
    </row>
    <row r="2457" ht="13.75" customHeight="1">
      <c r="A2457" s="833">
        <v>10</v>
      </c>
      <c r="B2457" t="s" s="834">
        <v>1709</v>
      </c>
      <c r="C2457" t="s" s="834">
        <v>1571</v>
      </c>
      <c r="D2457" s="835">
        <v>46053</v>
      </c>
      <c r="E2457" t="s" s="834">
        <v>478</v>
      </c>
      <c r="F2457" t="s" s="834">
        <v>478</v>
      </c>
      <c r="G2457" s="570"/>
      <c r="H2457" s="570"/>
      <c r="I2457" s="570"/>
      <c r="J2457" s="570"/>
      <c r="K2457" s="570"/>
    </row>
    <row r="2458" ht="13.75" customHeight="1">
      <c r="A2458" s="833">
        <v>10</v>
      </c>
      <c r="B2458" t="s" s="834">
        <v>1709</v>
      </c>
      <c r="C2458" t="s" s="834">
        <v>1571</v>
      </c>
      <c r="D2458" s="835">
        <v>46054</v>
      </c>
      <c r="E2458" t="s" s="834">
        <v>478</v>
      </c>
      <c r="F2458" t="s" s="834">
        <v>478</v>
      </c>
      <c r="G2458" s="570"/>
      <c r="H2458" s="570"/>
      <c r="I2458" s="570"/>
      <c r="J2458" s="570"/>
      <c r="K2458" s="570"/>
    </row>
    <row r="2459" ht="13.75" customHeight="1">
      <c r="A2459" s="833">
        <v>11</v>
      </c>
      <c r="B2459" t="s" s="834">
        <v>462</v>
      </c>
      <c r="C2459" t="s" s="834">
        <v>480</v>
      </c>
      <c r="D2459" s="835">
        <v>46023</v>
      </c>
      <c r="E2459" t="s" s="834">
        <v>478</v>
      </c>
      <c r="F2459" t="s" s="834">
        <v>478</v>
      </c>
      <c r="G2459" t="s" s="837">
        <v>1710</v>
      </c>
      <c r="H2459" t="s" s="837">
        <v>1711</v>
      </c>
      <c r="I2459" t="s" s="837">
        <v>1710</v>
      </c>
      <c r="J2459" t="s" s="837">
        <v>1711</v>
      </c>
      <c r="K2459" s="570"/>
    </row>
    <row r="2460" ht="13.75" customHeight="1">
      <c r="A2460" s="833">
        <v>11</v>
      </c>
      <c r="B2460" t="s" s="834">
        <v>462</v>
      </c>
      <c r="C2460" t="s" s="834">
        <v>480</v>
      </c>
      <c r="D2460" s="835">
        <v>46024</v>
      </c>
      <c r="E2460" t="s" s="834">
        <v>478</v>
      </c>
      <c r="F2460" t="s" s="834">
        <v>478</v>
      </c>
      <c r="G2460" t="s" s="837">
        <v>1710</v>
      </c>
      <c r="H2460" t="s" s="837">
        <v>1712</v>
      </c>
      <c r="I2460" t="s" s="837">
        <v>1710</v>
      </c>
      <c r="J2460" t="s" s="837">
        <v>1712</v>
      </c>
      <c r="K2460" s="570"/>
    </row>
    <row r="2461" ht="13.75" customHeight="1">
      <c r="A2461" s="833">
        <v>11</v>
      </c>
      <c r="B2461" t="s" s="834">
        <v>462</v>
      </c>
      <c r="C2461" t="s" s="834">
        <v>480</v>
      </c>
      <c r="D2461" s="835">
        <v>46025</v>
      </c>
      <c r="E2461" t="s" s="834">
        <v>478</v>
      </c>
      <c r="F2461" t="s" s="834">
        <v>478</v>
      </c>
      <c r="G2461" t="s" s="837">
        <v>1710</v>
      </c>
      <c r="H2461" t="s" s="837">
        <v>1713</v>
      </c>
      <c r="I2461" t="s" s="837">
        <v>1710</v>
      </c>
      <c r="J2461" t="s" s="837">
        <v>1713</v>
      </c>
      <c r="K2461" s="570"/>
    </row>
    <row r="2462" ht="13.75" customHeight="1">
      <c r="A2462" s="833">
        <v>11</v>
      </c>
      <c r="B2462" t="s" s="834">
        <v>462</v>
      </c>
      <c r="C2462" t="s" s="834">
        <v>480</v>
      </c>
      <c r="D2462" s="835">
        <v>46026</v>
      </c>
      <c r="E2462" t="s" s="834">
        <v>478</v>
      </c>
      <c r="F2462" t="s" s="834">
        <v>478</v>
      </c>
      <c r="G2462" t="s" s="837">
        <v>1710</v>
      </c>
      <c r="H2462" t="s" s="837">
        <v>1713</v>
      </c>
      <c r="I2462" t="s" s="837">
        <v>1710</v>
      </c>
      <c r="J2462" t="s" s="837">
        <v>1713</v>
      </c>
      <c r="K2462" s="570"/>
    </row>
    <row r="2463" ht="13.75" customHeight="1">
      <c r="A2463" s="833">
        <v>11</v>
      </c>
      <c r="B2463" t="s" s="834">
        <v>462</v>
      </c>
      <c r="C2463" t="s" s="834">
        <v>480</v>
      </c>
      <c r="D2463" s="835">
        <v>46027</v>
      </c>
      <c r="E2463" s="836">
        <v>1.352314814814815</v>
      </c>
      <c r="F2463" s="836">
        <v>1.769039351851852</v>
      </c>
      <c r="G2463" s="570"/>
      <c r="H2463" s="570"/>
      <c r="I2463" s="570"/>
      <c r="J2463" s="570"/>
      <c r="K2463" s="570"/>
    </row>
    <row r="2464" ht="13.75" customHeight="1">
      <c r="A2464" t="s" s="834">
        <v>1714</v>
      </c>
      <c r="B2464" t="s" s="834">
        <v>1715</v>
      </c>
      <c r="C2464" t="s" s="834">
        <v>530</v>
      </c>
      <c r="D2464" s="570"/>
      <c r="E2464" s="570"/>
      <c r="F2464" s="570"/>
      <c r="G2464" s="570"/>
      <c r="H2464" s="570"/>
      <c r="I2464" s="570"/>
      <c r="J2464" s="570"/>
      <c r="K2464" s="570"/>
    </row>
    <row r="2465" ht="27.6" customHeight="1">
      <c r="A2465" s="833">
        <v>11</v>
      </c>
      <c r="B2465" t="s" s="834">
        <v>462</v>
      </c>
      <c r="C2465" t="s" s="834">
        <v>480</v>
      </c>
      <c r="D2465" s="835">
        <v>46028</v>
      </c>
      <c r="E2465" s="836">
        <v>1.765625</v>
      </c>
      <c r="F2465" t="s" s="834">
        <v>478</v>
      </c>
      <c r="G2465" t="s" s="837">
        <v>1710</v>
      </c>
      <c r="H2465" t="s" s="850">
        <v>1716</v>
      </c>
      <c r="I2465" s="570"/>
      <c r="J2465" s="570"/>
      <c r="K2465" s="570"/>
    </row>
    <row r="2466" ht="13.75" customHeight="1">
      <c r="A2466" t="s" s="834">
        <v>1717</v>
      </c>
      <c r="B2466" t="s" s="834">
        <v>485</v>
      </c>
      <c r="C2466" t="s" s="834">
        <v>486</v>
      </c>
      <c r="D2466" s="570"/>
      <c r="E2466" s="570"/>
      <c r="F2466" s="570"/>
      <c r="G2466" s="570"/>
      <c r="H2466" s="570"/>
      <c r="I2466" s="570"/>
      <c r="J2466" s="570"/>
      <c r="K2466" s="570"/>
    </row>
    <row r="2467" ht="13.75" customHeight="1">
      <c r="A2467" s="833">
        <v>11</v>
      </c>
      <c r="B2467" t="s" s="834">
        <v>462</v>
      </c>
      <c r="C2467" t="s" s="834">
        <v>480</v>
      </c>
      <c r="D2467" s="835">
        <v>46029</v>
      </c>
      <c r="E2467" s="836">
        <v>1.339537037037037</v>
      </c>
      <c r="F2467" s="836">
        <v>1.751388888888889</v>
      </c>
      <c r="G2467" s="570"/>
      <c r="H2467" s="570"/>
      <c r="I2467" s="570"/>
      <c r="J2467" s="570"/>
      <c r="K2467" s="570"/>
    </row>
    <row r="2468" ht="13.75" customHeight="1">
      <c r="A2468" t="s" s="834">
        <v>1718</v>
      </c>
      <c r="B2468" t="s" s="834">
        <v>1719</v>
      </c>
      <c r="C2468" t="s" s="834">
        <v>597</v>
      </c>
      <c r="D2468" s="570"/>
      <c r="E2468" s="570"/>
      <c r="F2468" s="570"/>
      <c r="G2468" s="570"/>
      <c r="H2468" s="570"/>
      <c r="I2468" s="570"/>
      <c r="J2468" s="570"/>
      <c r="K2468" s="570"/>
    </row>
    <row r="2469" ht="13.75" customHeight="1">
      <c r="A2469" s="833">
        <v>11</v>
      </c>
      <c r="B2469" t="s" s="834">
        <v>462</v>
      </c>
      <c r="C2469" t="s" s="834">
        <v>480</v>
      </c>
      <c r="D2469" s="835">
        <v>46030</v>
      </c>
      <c r="E2469" s="836">
        <v>1.349050925925926</v>
      </c>
      <c r="F2469" s="836">
        <v>1.770636574074074</v>
      </c>
      <c r="G2469" s="570"/>
      <c r="H2469" s="570"/>
      <c r="I2469" s="570"/>
      <c r="J2469" s="570"/>
      <c r="K2469" s="570"/>
    </row>
    <row r="2470" ht="13.75" customHeight="1">
      <c r="A2470" t="s" s="834">
        <v>1720</v>
      </c>
      <c r="B2470" t="s" s="834">
        <v>1721</v>
      </c>
      <c r="C2470" t="s" s="834">
        <v>620</v>
      </c>
      <c r="D2470" s="570"/>
      <c r="E2470" s="570"/>
      <c r="F2470" s="570"/>
      <c r="G2470" s="570"/>
      <c r="H2470" s="570"/>
      <c r="I2470" s="570"/>
      <c r="J2470" s="570"/>
      <c r="K2470" s="570"/>
    </row>
    <row r="2471" ht="13.75" customHeight="1">
      <c r="A2471" s="833">
        <v>11</v>
      </c>
      <c r="B2471" t="s" s="834">
        <v>462</v>
      </c>
      <c r="C2471" t="s" s="834">
        <v>480</v>
      </c>
      <c r="D2471" s="835">
        <v>46031</v>
      </c>
      <c r="E2471" s="836">
        <v>1.350462962962963</v>
      </c>
      <c r="F2471" s="836">
        <v>1.513773148148148</v>
      </c>
      <c r="G2471" s="570"/>
      <c r="H2471" s="570"/>
      <c r="I2471" t="s" s="837">
        <v>1710</v>
      </c>
      <c r="J2471" t="s" s="837">
        <v>1722</v>
      </c>
      <c r="K2471" s="570"/>
    </row>
    <row r="2472" ht="13.75" customHeight="1">
      <c r="A2472" t="s" s="834">
        <v>1723</v>
      </c>
      <c r="B2472" t="s" s="834">
        <v>1724</v>
      </c>
      <c r="C2472" t="s" s="834">
        <v>725</v>
      </c>
      <c r="D2472" s="570"/>
      <c r="E2472" s="570"/>
      <c r="F2472" s="570"/>
      <c r="G2472" s="570"/>
      <c r="H2472" s="570"/>
      <c r="I2472" s="570"/>
      <c r="J2472" s="570"/>
      <c r="K2472" s="570"/>
    </row>
    <row r="2473" ht="13.75" customHeight="1">
      <c r="A2473" s="833">
        <v>11</v>
      </c>
      <c r="B2473" t="s" s="834">
        <v>462</v>
      </c>
      <c r="C2473" t="s" s="834">
        <v>480</v>
      </c>
      <c r="D2473" s="835">
        <v>46032</v>
      </c>
      <c r="E2473" t="s" s="834">
        <v>478</v>
      </c>
      <c r="F2473" t="s" s="834">
        <v>478</v>
      </c>
      <c r="G2473" t="s" s="837">
        <v>1710</v>
      </c>
      <c r="H2473" t="s" s="837">
        <v>1713</v>
      </c>
      <c r="I2473" t="s" s="837">
        <v>1710</v>
      </c>
      <c r="J2473" t="s" s="837">
        <v>1713</v>
      </c>
      <c r="K2473" s="570"/>
    </row>
    <row r="2474" ht="13.75" customHeight="1">
      <c r="A2474" s="851">
        <v>11</v>
      </c>
      <c r="B2474" t="s" s="838">
        <v>462</v>
      </c>
      <c r="C2474" t="s" s="838">
        <v>480</v>
      </c>
      <c r="D2474" s="852">
        <v>46033</v>
      </c>
      <c r="E2474" t="s" s="838">
        <v>478</v>
      </c>
      <c r="F2474" t="s" s="838">
        <v>478</v>
      </c>
      <c r="G2474" t="s" s="853">
        <v>1710</v>
      </c>
      <c r="H2474" t="s" s="853">
        <v>1713</v>
      </c>
      <c r="I2474" t="s" s="853">
        <v>1710</v>
      </c>
      <c r="J2474" t="s" s="853">
        <v>1713</v>
      </c>
      <c r="K2474" s="570"/>
    </row>
    <row r="2475" ht="13.75" customHeight="1">
      <c r="A2475" s="854">
        <v>11</v>
      </c>
      <c r="B2475" t="s" s="855">
        <v>462</v>
      </c>
      <c r="C2475" t="s" s="855">
        <v>480</v>
      </c>
      <c r="D2475" s="856">
        <v>46034</v>
      </c>
      <c r="E2475" t="s" s="855">
        <v>478</v>
      </c>
      <c r="F2475" t="s" s="855">
        <v>478</v>
      </c>
      <c r="G2475" t="s" s="857">
        <v>1710</v>
      </c>
      <c r="H2475" t="s" s="857">
        <v>1725</v>
      </c>
      <c r="I2475" t="s" s="857">
        <v>1710</v>
      </c>
      <c r="J2475" t="s" s="857">
        <v>1725</v>
      </c>
      <c r="K2475" s="858"/>
    </row>
    <row r="2476" ht="13.75" customHeight="1">
      <c r="A2476" s="854">
        <v>11</v>
      </c>
      <c r="B2476" t="s" s="855">
        <v>462</v>
      </c>
      <c r="C2476" t="s" s="855">
        <v>480</v>
      </c>
      <c r="D2476" s="856">
        <v>46035</v>
      </c>
      <c r="E2476" s="859">
        <v>1.346354166666667</v>
      </c>
      <c r="F2476" t="s" s="855">
        <v>478</v>
      </c>
      <c r="G2476" s="415"/>
      <c r="H2476" s="415"/>
      <c r="I2476" t="s" s="857">
        <v>1710</v>
      </c>
      <c r="J2476" t="s" s="857">
        <v>1726</v>
      </c>
      <c r="K2476" s="858"/>
    </row>
    <row r="2477" ht="13.75" customHeight="1">
      <c r="A2477" t="s" s="849">
        <v>1727</v>
      </c>
      <c r="B2477" t="s" s="849">
        <v>485</v>
      </c>
      <c r="C2477" t="s" s="849">
        <v>486</v>
      </c>
      <c r="D2477" s="633"/>
      <c r="E2477" s="633"/>
      <c r="F2477" s="633"/>
      <c r="G2477" s="633"/>
      <c r="H2477" s="633"/>
      <c r="I2477" s="633"/>
      <c r="J2477" s="633"/>
      <c r="K2477" s="570"/>
    </row>
    <row r="2478" ht="13.75" customHeight="1">
      <c r="A2478" s="833">
        <v>11</v>
      </c>
      <c r="B2478" t="s" s="834">
        <v>462</v>
      </c>
      <c r="C2478" t="s" s="834">
        <v>480</v>
      </c>
      <c r="D2478" s="835">
        <v>46036</v>
      </c>
      <c r="E2478" s="836">
        <v>1.346481481481482</v>
      </c>
      <c r="F2478" s="836">
        <v>1.760601851851852</v>
      </c>
      <c r="G2478" s="570"/>
      <c r="H2478" s="570"/>
      <c r="I2478" s="570"/>
      <c r="J2478" s="570"/>
      <c r="K2478" s="570"/>
    </row>
    <row r="2479" ht="13.75" customHeight="1">
      <c r="A2479" t="s" s="834">
        <v>1728</v>
      </c>
      <c r="B2479" t="s" s="834">
        <v>1729</v>
      </c>
      <c r="C2479" t="s" s="834">
        <v>637</v>
      </c>
      <c r="D2479" s="570"/>
      <c r="E2479" s="570"/>
      <c r="F2479" s="570"/>
      <c r="G2479" s="570"/>
      <c r="H2479" s="570"/>
      <c r="I2479" s="839"/>
      <c r="J2479" s="839"/>
      <c r="K2479" s="570"/>
    </row>
    <row r="2480" ht="13.75" customHeight="1">
      <c r="A2480" s="833">
        <v>11</v>
      </c>
      <c r="B2480" t="s" s="834">
        <v>462</v>
      </c>
      <c r="C2480" t="s" s="834">
        <v>480</v>
      </c>
      <c r="D2480" s="835">
        <v>46037</v>
      </c>
      <c r="E2480" s="836">
        <v>1.764143518518519</v>
      </c>
      <c r="F2480" t="s" s="834">
        <v>478</v>
      </c>
      <c r="G2480" s="570"/>
      <c r="H2480" s="600"/>
      <c r="I2480" t="s" s="857">
        <v>1710</v>
      </c>
      <c r="J2480" t="s" s="857">
        <v>1726</v>
      </c>
      <c r="K2480" s="858"/>
    </row>
    <row r="2481" ht="13.75" customHeight="1">
      <c r="A2481" t="s" s="834">
        <v>1730</v>
      </c>
      <c r="B2481" t="s" s="834">
        <v>485</v>
      </c>
      <c r="C2481" t="s" s="834">
        <v>486</v>
      </c>
      <c r="D2481" s="570"/>
      <c r="E2481" s="570"/>
      <c r="F2481" s="570"/>
      <c r="G2481" s="570"/>
      <c r="H2481" s="570"/>
      <c r="I2481" s="633"/>
      <c r="J2481" s="633"/>
      <c r="K2481" s="570"/>
    </row>
    <row r="2482" ht="13.75" customHeight="1">
      <c r="A2482" s="833">
        <v>11</v>
      </c>
      <c r="B2482" t="s" s="834">
        <v>462</v>
      </c>
      <c r="C2482" t="s" s="834">
        <v>480</v>
      </c>
      <c r="D2482" s="835">
        <v>46038</v>
      </c>
      <c r="E2482" s="836">
        <v>1.345717592592593</v>
      </c>
      <c r="F2482" s="836">
        <v>1.530092592592593</v>
      </c>
      <c r="G2482" s="570"/>
      <c r="H2482" s="570"/>
      <c r="I2482" t="s" s="837">
        <v>1710</v>
      </c>
      <c r="J2482" t="s" s="837">
        <v>1731</v>
      </c>
      <c r="K2482" s="570"/>
    </row>
    <row r="2483" ht="13.75" customHeight="1">
      <c r="A2483" t="s" s="834">
        <v>1732</v>
      </c>
      <c r="B2483" t="s" s="834">
        <v>1733</v>
      </c>
      <c r="C2483" t="s" s="834">
        <v>1734</v>
      </c>
      <c r="D2483" s="570"/>
      <c r="E2483" s="570"/>
      <c r="F2483" s="570"/>
      <c r="G2483" s="570"/>
      <c r="H2483" s="570"/>
      <c r="I2483" s="570"/>
      <c r="J2483" s="570"/>
      <c r="K2483" s="570"/>
    </row>
    <row r="2484" ht="13.75" customHeight="1">
      <c r="A2484" s="833">
        <v>11</v>
      </c>
      <c r="B2484" t="s" s="834">
        <v>462</v>
      </c>
      <c r="C2484" t="s" s="834">
        <v>480</v>
      </c>
      <c r="D2484" s="835">
        <v>46039</v>
      </c>
      <c r="E2484" t="s" s="834">
        <v>478</v>
      </c>
      <c r="F2484" t="s" s="834">
        <v>478</v>
      </c>
      <c r="G2484" t="s" s="837">
        <v>1710</v>
      </c>
      <c r="H2484" t="s" s="837">
        <v>1713</v>
      </c>
      <c r="I2484" t="s" s="837">
        <v>1710</v>
      </c>
      <c r="J2484" t="s" s="837">
        <v>1713</v>
      </c>
      <c r="K2484" s="570"/>
    </row>
    <row r="2485" ht="13.75" customHeight="1">
      <c r="A2485" s="833">
        <v>11</v>
      </c>
      <c r="B2485" t="s" s="834">
        <v>462</v>
      </c>
      <c r="C2485" t="s" s="834">
        <v>480</v>
      </c>
      <c r="D2485" s="835">
        <v>46040</v>
      </c>
      <c r="E2485" t="s" s="834">
        <v>478</v>
      </c>
      <c r="F2485" t="s" s="834">
        <v>478</v>
      </c>
      <c r="G2485" t="s" s="837">
        <v>1710</v>
      </c>
      <c r="H2485" t="s" s="837">
        <v>1713</v>
      </c>
      <c r="I2485" t="s" s="837">
        <v>1710</v>
      </c>
      <c r="J2485" t="s" s="837">
        <v>1713</v>
      </c>
      <c r="K2485" s="570"/>
    </row>
    <row r="2486" ht="13.75" customHeight="1">
      <c r="A2486" s="833">
        <v>11</v>
      </c>
      <c r="B2486" t="s" s="834">
        <v>462</v>
      </c>
      <c r="C2486" t="s" s="834">
        <v>480</v>
      </c>
      <c r="D2486" s="835">
        <v>46041</v>
      </c>
      <c r="E2486" s="836">
        <v>1.352592592592593</v>
      </c>
      <c r="F2486" s="836">
        <v>1.704236111111111</v>
      </c>
      <c r="G2486" s="570"/>
      <c r="H2486" s="570"/>
      <c r="I2486" s="570"/>
      <c r="J2486" s="570"/>
      <c r="K2486" s="570"/>
    </row>
    <row r="2487" ht="13.75" customHeight="1">
      <c r="A2487" t="s" s="834">
        <v>1735</v>
      </c>
      <c r="B2487" t="s" s="834">
        <v>1736</v>
      </c>
      <c r="C2487" t="s" s="834">
        <v>764</v>
      </c>
      <c r="D2487" s="570"/>
      <c r="E2487" s="570"/>
      <c r="F2487" s="570"/>
      <c r="G2487" s="570"/>
      <c r="H2487" s="570"/>
      <c r="I2487" s="570"/>
      <c r="J2487" s="570"/>
      <c r="K2487" s="570"/>
    </row>
    <row r="2488" ht="13.75" customHeight="1">
      <c r="A2488" s="833">
        <v>11</v>
      </c>
      <c r="B2488" t="s" s="834">
        <v>462</v>
      </c>
      <c r="C2488" t="s" s="834">
        <v>480</v>
      </c>
      <c r="D2488" s="835">
        <v>46042</v>
      </c>
      <c r="E2488" s="836">
        <v>1.764664351851852</v>
      </c>
      <c r="F2488" t="s" s="834">
        <v>478</v>
      </c>
      <c r="G2488" t="s" s="837">
        <v>1710</v>
      </c>
      <c r="H2488" t="s" s="837">
        <v>1737</v>
      </c>
      <c r="I2488" s="570"/>
      <c r="J2488" s="570"/>
      <c r="K2488" s="570"/>
    </row>
    <row r="2489" ht="13.75" customHeight="1">
      <c r="A2489" t="s" s="834">
        <v>1738</v>
      </c>
      <c r="B2489" t="s" s="834">
        <v>485</v>
      </c>
      <c r="C2489" t="s" s="834">
        <v>486</v>
      </c>
      <c r="D2489" s="570"/>
      <c r="E2489" s="570"/>
      <c r="F2489" s="570"/>
      <c r="G2489" s="570"/>
      <c r="H2489" s="570"/>
      <c r="I2489" s="570"/>
      <c r="J2489" s="570"/>
      <c r="K2489" s="570"/>
    </row>
    <row r="2490" ht="13.75" customHeight="1">
      <c r="A2490" s="833">
        <v>11</v>
      </c>
      <c r="B2490" t="s" s="834">
        <v>462</v>
      </c>
      <c r="C2490" t="s" s="834">
        <v>480</v>
      </c>
      <c r="D2490" s="835">
        <v>46043</v>
      </c>
      <c r="E2490" s="836">
        <v>1.350613425925926</v>
      </c>
      <c r="F2490" s="836">
        <v>1.763576388888889</v>
      </c>
      <c r="G2490" s="570"/>
      <c r="H2490" s="570"/>
      <c r="I2490" s="570"/>
      <c r="J2490" s="570"/>
      <c r="K2490" s="570"/>
    </row>
    <row r="2491" ht="13.75" customHeight="1">
      <c r="A2491" t="s" s="834">
        <v>1739</v>
      </c>
      <c r="B2491" t="s" s="834">
        <v>1740</v>
      </c>
      <c r="C2491" t="s" s="834">
        <v>586</v>
      </c>
      <c r="D2491" s="570"/>
      <c r="E2491" s="570"/>
      <c r="F2491" s="570"/>
      <c r="G2491" s="839"/>
      <c r="H2491" s="839"/>
      <c r="I2491" s="839"/>
      <c r="J2491" s="839"/>
      <c r="K2491" s="570"/>
    </row>
    <row r="2492" ht="13.75" customHeight="1">
      <c r="A2492" s="833">
        <v>11</v>
      </c>
      <c r="B2492" t="s" s="834">
        <v>462</v>
      </c>
      <c r="C2492" t="s" s="834">
        <v>480</v>
      </c>
      <c r="D2492" s="835">
        <v>46044</v>
      </c>
      <c r="E2492" t="s" s="834">
        <v>478</v>
      </c>
      <c r="F2492" t="s" s="860">
        <v>478</v>
      </c>
      <c r="G2492" t="s" s="857">
        <v>1710</v>
      </c>
      <c r="H2492" t="s" s="857">
        <v>1725</v>
      </c>
      <c r="I2492" t="s" s="857">
        <v>1710</v>
      </c>
      <c r="J2492" t="s" s="857">
        <v>1725</v>
      </c>
      <c r="K2492" s="858"/>
    </row>
    <row r="2493" ht="13.75" customHeight="1">
      <c r="A2493" s="833">
        <v>11</v>
      </c>
      <c r="B2493" t="s" s="834">
        <v>462</v>
      </c>
      <c r="C2493" t="s" s="834">
        <v>480</v>
      </c>
      <c r="D2493" s="835">
        <v>46045</v>
      </c>
      <c r="E2493" s="836">
        <v>1.351585648148148</v>
      </c>
      <c r="F2493" s="836">
        <v>1.564826388888889</v>
      </c>
      <c r="G2493" s="633"/>
      <c r="H2493" s="633"/>
      <c r="I2493" t="s" s="861">
        <v>1741</v>
      </c>
      <c r="J2493" t="s" s="861">
        <v>1742</v>
      </c>
      <c r="K2493" s="570"/>
    </row>
    <row r="2494" ht="13.75" customHeight="1">
      <c r="A2494" t="s" s="834">
        <v>1743</v>
      </c>
      <c r="B2494" t="s" s="834">
        <v>1744</v>
      </c>
      <c r="C2494" t="s" s="834">
        <v>1745</v>
      </c>
      <c r="D2494" s="570"/>
      <c r="E2494" s="570"/>
      <c r="F2494" s="570"/>
      <c r="G2494" s="570"/>
      <c r="H2494" s="570"/>
      <c r="I2494" s="570"/>
      <c r="J2494" s="570"/>
      <c r="K2494" s="570"/>
    </row>
    <row r="2495" ht="13.75" customHeight="1">
      <c r="A2495" s="833">
        <v>11</v>
      </c>
      <c r="B2495" t="s" s="834">
        <v>462</v>
      </c>
      <c r="C2495" t="s" s="834">
        <v>480</v>
      </c>
      <c r="D2495" s="835">
        <v>46046</v>
      </c>
      <c r="E2495" t="s" s="834">
        <v>478</v>
      </c>
      <c r="F2495" t="s" s="834">
        <v>478</v>
      </c>
      <c r="G2495" t="s" s="837">
        <v>1710</v>
      </c>
      <c r="H2495" t="s" s="837">
        <v>1713</v>
      </c>
      <c r="I2495" t="s" s="837">
        <v>1710</v>
      </c>
      <c r="J2495" t="s" s="837">
        <v>1713</v>
      </c>
      <c r="K2495" s="570"/>
    </row>
    <row r="2496" ht="13.75" customHeight="1">
      <c r="A2496" s="833">
        <v>11</v>
      </c>
      <c r="B2496" t="s" s="834">
        <v>462</v>
      </c>
      <c r="C2496" t="s" s="834">
        <v>480</v>
      </c>
      <c r="D2496" s="835">
        <v>46047</v>
      </c>
      <c r="E2496" t="s" s="834">
        <v>478</v>
      </c>
      <c r="F2496" t="s" s="834">
        <v>478</v>
      </c>
      <c r="G2496" t="s" s="837">
        <v>1710</v>
      </c>
      <c r="H2496" t="s" s="837">
        <v>1713</v>
      </c>
      <c r="I2496" t="s" s="853">
        <v>1710</v>
      </c>
      <c r="J2496" t="s" s="853">
        <v>1713</v>
      </c>
      <c r="K2496" s="570"/>
    </row>
    <row r="2497" ht="13.75" customHeight="1">
      <c r="A2497" s="833">
        <v>11</v>
      </c>
      <c r="B2497" t="s" s="834">
        <v>462</v>
      </c>
      <c r="C2497" t="s" s="834">
        <v>480</v>
      </c>
      <c r="D2497" s="835">
        <v>46048</v>
      </c>
      <c r="E2497" s="836">
        <v>1.352696759259259</v>
      </c>
      <c r="F2497" t="s" s="834">
        <v>478</v>
      </c>
      <c r="G2497" s="570"/>
      <c r="H2497" s="600"/>
      <c r="I2497" t="s" s="857">
        <v>1710</v>
      </c>
      <c r="J2497" t="s" s="857">
        <v>1725</v>
      </c>
      <c r="K2497" s="858"/>
    </row>
    <row r="2498" ht="13.75" customHeight="1">
      <c r="A2498" t="s" s="834">
        <v>1746</v>
      </c>
      <c r="B2498" t="s" s="834">
        <v>485</v>
      </c>
      <c r="C2498" t="s" s="834">
        <v>486</v>
      </c>
      <c r="D2498" s="570"/>
      <c r="E2498" s="570"/>
      <c r="F2498" s="570"/>
      <c r="G2498" s="839"/>
      <c r="H2498" s="839"/>
      <c r="I2498" s="848"/>
      <c r="J2498" s="848"/>
      <c r="K2498" s="570"/>
    </row>
    <row r="2499" ht="13.75" customHeight="1">
      <c r="A2499" s="833">
        <v>11</v>
      </c>
      <c r="B2499" t="s" s="834">
        <v>462</v>
      </c>
      <c r="C2499" t="s" s="834">
        <v>480</v>
      </c>
      <c r="D2499" s="835">
        <v>46049</v>
      </c>
      <c r="E2499" t="s" s="834">
        <v>478</v>
      </c>
      <c r="F2499" t="s" s="860">
        <v>478</v>
      </c>
      <c r="G2499" t="s" s="857">
        <v>1710</v>
      </c>
      <c r="H2499" t="s" s="857">
        <v>1725</v>
      </c>
      <c r="I2499" t="s" s="857">
        <v>1710</v>
      </c>
      <c r="J2499" t="s" s="857">
        <v>1725</v>
      </c>
      <c r="K2499" s="858"/>
    </row>
    <row r="2500" ht="13.75" customHeight="1">
      <c r="A2500" s="833">
        <v>11</v>
      </c>
      <c r="B2500" t="s" s="834">
        <v>462</v>
      </c>
      <c r="C2500" t="s" s="834">
        <v>480</v>
      </c>
      <c r="D2500" s="835">
        <v>46050</v>
      </c>
      <c r="E2500" s="836">
        <v>1.35150462962963</v>
      </c>
      <c r="F2500" t="s" s="834">
        <v>478</v>
      </c>
      <c r="G2500" s="633"/>
      <c r="H2500" s="862"/>
      <c r="I2500" t="s" s="857">
        <v>1710</v>
      </c>
      <c r="J2500" t="s" s="857">
        <v>1725</v>
      </c>
      <c r="K2500" s="858"/>
    </row>
    <row r="2501" ht="13.75" customHeight="1">
      <c r="A2501" t="s" s="834">
        <v>1747</v>
      </c>
      <c r="B2501" t="s" s="834">
        <v>485</v>
      </c>
      <c r="C2501" t="s" s="834">
        <v>486</v>
      </c>
      <c r="D2501" s="570"/>
      <c r="E2501" s="570"/>
      <c r="F2501" s="570"/>
      <c r="G2501" s="570"/>
      <c r="H2501" s="570"/>
      <c r="I2501" s="848"/>
      <c r="J2501" s="848"/>
      <c r="K2501" s="570"/>
    </row>
    <row r="2502" ht="13.75" customHeight="1">
      <c r="A2502" s="833">
        <v>11</v>
      </c>
      <c r="B2502" t="s" s="834">
        <v>462</v>
      </c>
      <c r="C2502" t="s" s="834">
        <v>480</v>
      </c>
      <c r="D2502" s="835">
        <v>46051</v>
      </c>
      <c r="E2502" s="836">
        <v>1.349143518518519</v>
      </c>
      <c r="F2502" t="s" s="834">
        <v>478</v>
      </c>
      <c r="G2502" s="570"/>
      <c r="H2502" s="600"/>
      <c r="I2502" t="s" s="857">
        <v>1710</v>
      </c>
      <c r="J2502" t="s" s="857">
        <v>1725</v>
      </c>
      <c r="K2502" s="858"/>
    </row>
    <row r="2503" ht="13.75" customHeight="1">
      <c r="A2503" t="s" s="834">
        <v>1748</v>
      </c>
      <c r="B2503" t="s" s="834">
        <v>485</v>
      </c>
      <c r="C2503" t="s" s="834">
        <v>486</v>
      </c>
      <c r="D2503" s="570"/>
      <c r="E2503" s="570"/>
      <c r="F2503" s="570"/>
      <c r="G2503" s="570"/>
      <c r="H2503" s="570"/>
      <c r="I2503" s="633"/>
      <c r="J2503" s="633"/>
      <c r="K2503" s="570"/>
    </row>
    <row r="2504" ht="13.75" customHeight="1">
      <c r="A2504" s="833">
        <v>11</v>
      </c>
      <c r="B2504" t="s" s="834">
        <v>462</v>
      </c>
      <c r="C2504" t="s" s="834">
        <v>480</v>
      </c>
      <c r="D2504" s="835">
        <v>46052</v>
      </c>
      <c r="E2504" s="836">
        <v>1.354918981481481</v>
      </c>
      <c r="F2504" s="836">
        <v>1.735659722222222</v>
      </c>
      <c r="G2504" s="570"/>
      <c r="H2504" s="570"/>
      <c r="I2504" s="570"/>
      <c r="J2504" s="570"/>
      <c r="K2504" s="570"/>
    </row>
    <row r="2505" ht="13.75" customHeight="1">
      <c r="A2505" t="s" s="834">
        <v>1749</v>
      </c>
      <c r="B2505" t="s" s="834">
        <v>1750</v>
      </c>
      <c r="C2505" t="s" s="834">
        <v>537</v>
      </c>
      <c r="D2505" s="570"/>
      <c r="E2505" s="570"/>
      <c r="F2505" s="570"/>
      <c r="G2505" s="570"/>
      <c r="H2505" s="570"/>
      <c r="I2505" s="570"/>
      <c r="J2505" s="570"/>
      <c r="K2505" s="570"/>
    </row>
    <row r="2506" ht="13.75" customHeight="1">
      <c r="A2506" s="833">
        <v>11</v>
      </c>
      <c r="B2506" t="s" s="834">
        <v>462</v>
      </c>
      <c r="C2506" t="s" s="834">
        <v>480</v>
      </c>
      <c r="D2506" s="835">
        <v>46053</v>
      </c>
      <c r="E2506" t="s" s="834">
        <v>478</v>
      </c>
      <c r="F2506" t="s" s="834">
        <v>478</v>
      </c>
      <c r="G2506" t="s" s="837">
        <v>1710</v>
      </c>
      <c r="H2506" t="s" s="837">
        <v>1713</v>
      </c>
      <c r="I2506" t="s" s="837">
        <v>1710</v>
      </c>
      <c r="J2506" t="s" s="837">
        <v>1713</v>
      </c>
      <c r="K2506" s="570"/>
    </row>
    <row r="2507" ht="13.75" customHeight="1">
      <c r="A2507" s="833">
        <v>121</v>
      </c>
      <c r="B2507" t="s" s="834">
        <v>1751</v>
      </c>
      <c r="C2507" t="s" s="834">
        <v>1752</v>
      </c>
      <c r="D2507" s="835">
        <v>46023</v>
      </c>
      <c r="E2507" t="s" s="834">
        <v>478</v>
      </c>
      <c r="F2507" t="s" s="834">
        <v>478</v>
      </c>
      <c r="G2507" s="570"/>
      <c r="H2507" s="570"/>
      <c r="I2507" s="570"/>
      <c r="J2507" s="570"/>
      <c r="K2507" s="570"/>
    </row>
    <row r="2508" ht="13.75" customHeight="1">
      <c r="A2508" s="833">
        <v>121</v>
      </c>
      <c r="B2508" t="s" s="834">
        <v>1751</v>
      </c>
      <c r="C2508" t="s" s="834">
        <v>1752</v>
      </c>
      <c r="D2508" s="835">
        <v>46024</v>
      </c>
      <c r="E2508" t="s" s="834">
        <v>478</v>
      </c>
      <c r="F2508" t="s" s="834">
        <v>478</v>
      </c>
      <c r="G2508" s="570"/>
      <c r="H2508" s="570"/>
      <c r="I2508" s="570"/>
      <c r="J2508" s="570"/>
      <c r="K2508" s="570"/>
    </row>
    <row r="2509" ht="13.75" customHeight="1">
      <c r="A2509" s="833">
        <v>121</v>
      </c>
      <c r="B2509" t="s" s="834">
        <v>1751</v>
      </c>
      <c r="C2509" t="s" s="834">
        <v>1752</v>
      </c>
      <c r="D2509" s="835">
        <v>46025</v>
      </c>
      <c r="E2509" t="s" s="834">
        <v>478</v>
      </c>
      <c r="F2509" t="s" s="834">
        <v>478</v>
      </c>
      <c r="G2509" s="570"/>
      <c r="H2509" s="570"/>
      <c r="I2509" s="570"/>
      <c r="J2509" s="570"/>
      <c r="K2509" s="570"/>
    </row>
    <row r="2510" ht="13.75" customHeight="1">
      <c r="A2510" s="833">
        <v>121</v>
      </c>
      <c r="B2510" t="s" s="834">
        <v>1751</v>
      </c>
      <c r="C2510" t="s" s="834">
        <v>1752</v>
      </c>
      <c r="D2510" s="835">
        <v>46026</v>
      </c>
      <c r="E2510" t="s" s="834">
        <v>478</v>
      </c>
      <c r="F2510" t="s" s="834">
        <v>478</v>
      </c>
      <c r="G2510" s="570"/>
      <c r="H2510" s="570"/>
      <c r="I2510" s="570"/>
      <c r="J2510" s="570"/>
      <c r="K2510" s="570"/>
    </row>
    <row r="2511" ht="13.75" customHeight="1">
      <c r="A2511" s="833">
        <v>121</v>
      </c>
      <c r="B2511" t="s" s="834">
        <v>1751</v>
      </c>
      <c r="C2511" t="s" s="834">
        <v>1752</v>
      </c>
      <c r="D2511" s="835">
        <v>46027</v>
      </c>
      <c r="E2511" s="836">
        <v>1.358275462962963</v>
      </c>
      <c r="F2511" s="836">
        <v>1.761261574074074</v>
      </c>
      <c r="G2511" s="570"/>
      <c r="H2511" s="570"/>
      <c r="I2511" s="570"/>
      <c r="J2511" s="570"/>
      <c r="K2511" s="570"/>
    </row>
    <row r="2512" ht="13.75" customHeight="1">
      <c r="A2512" t="s" s="834">
        <v>1753</v>
      </c>
      <c r="B2512" t="s" s="834">
        <v>1754</v>
      </c>
      <c r="C2512" t="s" s="834">
        <v>861</v>
      </c>
      <c r="D2512" s="570"/>
      <c r="E2512" s="570"/>
      <c r="F2512" s="570"/>
      <c r="G2512" s="570"/>
      <c r="H2512" s="570"/>
      <c r="I2512" s="570"/>
      <c r="J2512" s="570"/>
      <c r="K2512" s="570"/>
    </row>
    <row r="2513" ht="13.75" customHeight="1">
      <c r="A2513" s="833">
        <v>121</v>
      </c>
      <c r="B2513" t="s" s="834">
        <v>1751</v>
      </c>
      <c r="C2513" t="s" s="834">
        <v>1752</v>
      </c>
      <c r="D2513" s="835">
        <v>46028</v>
      </c>
      <c r="E2513" s="836">
        <v>1.364722222222222</v>
      </c>
      <c r="F2513" s="836">
        <v>1.764282407407407</v>
      </c>
      <c r="G2513" s="570"/>
      <c r="H2513" s="570"/>
      <c r="I2513" s="570"/>
      <c r="J2513" s="570"/>
      <c r="K2513" s="570"/>
    </row>
    <row r="2514" ht="13.75" customHeight="1">
      <c r="A2514" t="s" s="834">
        <v>1755</v>
      </c>
      <c r="B2514" t="s" s="834">
        <v>1756</v>
      </c>
      <c r="C2514" t="s" s="834">
        <v>515</v>
      </c>
      <c r="D2514" s="570"/>
      <c r="E2514" s="570"/>
      <c r="F2514" s="570"/>
      <c r="G2514" s="570"/>
      <c r="H2514" s="570"/>
      <c r="I2514" s="570"/>
      <c r="J2514" s="570"/>
      <c r="K2514" s="570"/>
    </row>
    <row r="2515" ht="13.75" customHeight="1">
      <c r="A2515" s="833">
        <v>121</v>
      </c>
      <c r="B2515" t="s" s="834">
        <v>1751</v>
      </c>
      <c r="C2515" t="s" s="834">
        <v>1752</v>
      </c>
      <c r="D2515" s="835">
        <v>46029</v>
      </c>
      <c r="E2515" s="836">
        <v>1.368831018518518</v>
      </c>
      <c r="F2515" s="836">
        <v>1.770497685185185</v>
      </c>
      <c r="G2515" s="570"/>
      <c r="H2515" s="570"/>
      <c r="I2515" s="570"/>
      <c r="J2515" s="570"/>
      <c r="K2515" s="570"/>
    </row>
    <row r="2516" ht="13.75" customHeight="1">
      <c r="A2516" t="s" s="834">
        <v>1757</v>
      </c>
      <c r="B2516" t="s" s="834">
        <v>1758</v>
      </c>
      <c r="C2516" t="s" s="834">
        <v>697</v>
      </c>
      <c r="D2516" s="570"/>
      <c r="E2516" s="570"/>
      <c r="F2516" s="570"/>
      <c r="G2516" s="570"/>
      <c r="H2516" s="570"/>
      <c r="I2516" s="570"/>
      <c r="J2516" s="570"/>
      <c r="K2516" s="570"/>
    </row>
    <row r="2517" ht="13.75" customHeight="1">
      <c r="A2517" s="833">
        <v>121</v>
      </c>
      <c r="B2517" t="s" s="834">
        <v>1751</v>
      </c>
      <c r="C2517" t="s" s="834">
        <v>1752</v>
      </c>
      <c r="D2517" s="835">
        <v>46030</v>
      </c>
      <c r="E2517" s="836">
        <v>1.447291666666667</v>
      </c>
      <c r="F2517" s="836">
        <v>1.782696759259259</v>
      </c>
      <c r="G2517" s="570"/>
      <c r="H2517" s="570"/>
      <c r="I2517" s="570"/>
      <c r="J2517" s="570"/>
      <c r="K2517" s="570"/>
    </row>
    <row r="2518" ht="13.75" customHeight="1">
      <c r="A2518" t="s" s="834">
        <v>1759</v>
      </c>
      <c r="B2518" t="s" s="834">
        <v>1760</v>
      </c>
      <c r="C2518" t="s" s="834">
        <v>1761</v>
      </c>
      <c r="D2518" s="570"/>
      <c r="E2518" s="570"/>
      <c r="F2518" s="570"/>
      <c r="G2518" s="570"/>
      <c r="H2518" s="570"/>
      <c r="I2518" s="570"/>
      <c r="J2518" s="570"/>
      <c r="K2518" s="570"/>
    </row>
    <row r="2519" ht="13.75" customHeight="1">
      <c r="A2519" s="833">
        <v>121</v>
      </c>
      <c r="B2519" t="s" s="834">
        <v>1751</v>
      </c>
      <c r="C2519" t="s" s="834">
        <v>1752</v>
      </c>
      <c r="D2519" s="835">
        <v>46031</v>
      </c>
      <c r="E2519" s="836">
        <v>1.372581018518519</v>
      </c>
      <c r="F2519" s="836">
        <v>1.715532407407407</v>
      </c>
      <c r="G2519" s="570"/>
      <c r="H2519" s="570"/>
      <c r="I2519" s="570"/>
      <c r="J2519" s="570"/>
      <c r="K2519" s="570"/>
    </row>
    <row r="2520" ht="13.75" customHeight="1">
      <c r="A2520" t="s" s="834">
        <v>1762</v>
      </c>
      <c r="B2520" t="s" s="834">
        <v>1763</v>
      </c>
      <c r="C2520" t="s" s="834">
        <v>974</v>
      </c>
      <c r="D2520" s="570"/>
      <c r="E2520" s="570"/>
      <c r="F2520" s="570"/>
      <c r="G2520" s="570"/>
      <c r="H2520" s="570"/>
      <c r="I2520" s="570"/>
      <c r="J2520" s="570"/>
      <c r="K2520" s="570"/>
    </row>
    <row r="2521" ht="13.75" customHeight="1">
      <c r="A2521" s="833">
        <v>121</v>
      </c>
      <c r="B2521" t="s" s="834">
        <v>1751</v>
      </c>
      <c r="C2521" t="s" s="834">
        <v>1752</v>
      </c>
      <c r="D2521" s="835">
        <v>46032</v>
      </c>
      <c r="E2521" s="836">
        <v>1.363055555555555</v>
      </c>
      <c r="F2521" s="836">
        <v>1.754143518518518</v>
      </c>
      <c r="G2521" s="570"/>
      <c r="H2521" s="570"/>
      <c r="I2521" s="570"/>
      <c r="J2521" s="570"/>
      <c r="K2521" s="570"/>
    </row>
    <row r="2522" ht="13.75" customHeight="1">
      <c r="A2522" t="s" s="834">
        <v>1764</v>
      </c>
      <c r="B2522" t="s" s="834">
        <v>1765</v>
      </c>
      <c r="C2522" t="s" s="834">
        <v>668</v>
      </c>
      <c r="D2522" s="570"/>
      <c r="E2522" s="570"/>
      <c r="F2522" s="570"/>
      <c r="G2522" s="570"/>
      <c r="H2522" s="570"/>
      <c r="I2522" s="570"/>
      <c r="J2522" s="570"/>
      <c r="K2522" s="570"/>
    </row>
    <row r="2523" ht="13.75" customHeight="1">
      <c r="A2523" s="833">
        <v>121</v>
      </c>
      <c r="B2523" t="s" s="834">
        <v>1751</v>
      </c>
      <c r="C2523" t="s" s="834">
        <v>1752</v>
      </c>
      <c r="D2523" s="835">
        <v>46033</v>
      </c>
      <c r="E2523" t="s" s="834">
        <v>478</v>
      </c>
      <c r="F2523" t="s" s="834">
        <v>478</v>
      </c>
      <c r="G2523" s="570"/>
      <c r="H2523" s="570"/>
      <c r="I2523" s="570"/>
      <c r="J2523" s="570"/>
      <c r="K2523" s="570"/>
    </row>
    <row r="2524" ht="13.75" customHeight="1">
      <c r="A2524" s="833">
        <v>121</v>
      </c>
      <c r="B2524" t="s" s="834">
        <v>1751</v>
      </c>
      <c r="C2524" t="s" s="834">
        <v>1752</v>
      </c>
      <c r="D2524" s="835">
        <v>46034</v>
      </c>
      <c r="E2524" t="s" s="834">
        <v>478</v>
      </c>
      <c r="F2524" t="s" s="834">
        <v>478</v>
      </c>
      <c r="G2524" s="570"/>
      <c r="H2524" s="570"/>
      <c r="I2524" s="570"/>
      <c r="J2524" s="570"/>
      <c r="K2524" s="570"/>
    </row>
    <row r="2525" ht="13.75" customHeight="1">
      <c r="A2525" s="833">
        <v>121</v>
      </c>
      <c r="B2525" t="s" s="834">
        <v>1751</v>
      </c>
      <c r="C2525" t="s" s="834">
        <v>1752</v>
      </c>
      <c r="D2525" s="835">
        <v>46035</v>
      </c>
      <c r="E2525" s="836">
        <v>1.366273148148148</v>
      </c>
      <c r="F2525" s="836">
        <v>1.758680555555556</v>
      </c>
      <c r="G2525" s="570"/>
      <c r="H2525" s="570"/>
      <c r="I2525" s="570"/>
      <c r="J2525" s="570"/>
      <c r="K2525" s="570"/>
    </row>
    <row r="2526" ht="13.75" customHeight="1">
      <c r="A2526" t="s" s="834">
        <v>1766</v>
      </c>
      <c r="B2526" t="s" s="834">
        <v>1767</v>
      </c>
      <c r="C2526" t="s" s="834">
        <v>966</v>
      </c>
      <c r="D2526" s="570"/>
      <c r="E2526" s="570"/>
      <c r="F2526" s="570"/>
      <c r="G2526" s="570"/>
      <c r="H2526" s="570"/>
      <c r="I2526" s="570"/>
      <c r="J2526" s="570"/>
      <c r="K2526" s="570"/>
    </row>
    <row r="2527" ht="13.75" customHeight="1">
      <c r="A2527" s="833">
        <v>121</v>
      </c>
      <c r="B2527" t="s" s="834">
        <v>1751</v>
      </c>
      <c r="C2527" t="s" s="834">
        <v>1752</v>
      </c>
      <c r="D2527" s="835">
        <v>46036</v>
      </c>
      <c r="E2527" s="836">
        <v>1.569016203703704</v>
      </c>
      <c r="F2527" s="836">
        <v>1.56912037037037</v>
      </c>
      <c r="G2527" s="570"/>
      <c r="H2527" s="570"/>
      <c r="I2527" s="570"/>
      <c r="J2527" s="570"/>
      <c r="K2527" s="570"/>
    </row>
    <row r="2528" ht="13.75" customHeight="1">
      <c r="A2528" t="s" s="834">
        <v>1768</v>
      </c>
      <c r="B2528" t="s" s="834">
        <v>1769</v>
      </c>
      <c r="C2528" t="s" s="834">
        <v>486</v>
      </c>
      <c r="D2528" s="570"/>
      <c r="E2528" s="570"/>
      <c r="F2528" s="570"/>
      <c r="G2528" s="570"/>
      <c r="H2528" s="570"/>
      <c r="I2528" s="570"/>
      <c r="J2528" s="570"/>
      <c r="K2528" s="570"/>
    </row>
    <row r="2529" ht="13.75" customHeight="1">
      <c r="A2529" s="833">
        <v>121</v>
      </c>
      <c r="B2529" t="s" s="834">
        <v>1751</v>
      </c>
      <c r="C2529" t="s" s="834">
        <v>1752</v>
      </c>
      <c r="D2529" s="835">
        <v>46037</v>
      </c>
      <c r="E2529" t="s" s="834">
        <v>478</v>
      </c>
      <c r="F2529" t="s" s="834">
        <v>478</v>
      </c>
      <c r="G2529" s="570"/>
      <c r="H2529" s="570"/>
      <c r="I2529" s="570"/>
      <c r="J2529" s="570"/>
      <c r="K2529" s="570"/>
    </row>
    <row r="2530" ht="13.75" customHeight="1">
      <c r="A2530" s="833">
        <v>121</v>
      </c>
      <c r="B2530" t="s" s="834">
        <v>1751</v>
      </c>
      <c r="C2530" t="s" s="834">
        <v>1752</v>
      </c>
      <c r="D2530" s="835">
        <v>46038</v>
      </c>
      <c r="E2530" s="836">
        <v>1.413148148148148</v>
      </c>
      <c r="F2530" s="836">
        <v>1.779652777777778</v>
      </c>
      <c r="G2530" s="570"/>
      <c r="H2530" s="570"/>
      <c r="I2530" s="570"/>
      <c r="J2530" s="570"/>
      <c r="K2530" s="570"/>
    </row>
    <row r="2531" ht="13.75" customHeight="1">
      <c r="A2531" t="s" s="834">
        <v>1770</v>
      </c>
      <c r="B2531" t="s" s="834">
        <v>1771</v>
      </c>
      <c r="C2531" t="s" s="834">
        <v>1772</v>
      </c>
      <c r="D2531" s="570"/>
      <c r="E2531" s="570"/>
      <c r="F2531" s="570"/>
      <c r="G2531" s="570"/>
      <c r="H2531" s="570"/>
      <c r="I2531" s="570"/>
      <c r="J2531" s="570"/>
      <c r="K2531" s="570"/>
    </row>
    <row r="2532" ht="13.75" customHeight="1">
      <c r="A2532" s="833">
        <v>121</v>
      </c>
      <c r="B2532" t="s" s="834">
        <v>1751</v>
      </c>
      <c r="C2532" t="s" s="834">
        <v>1752</v>
      </c>
      <c r="D2532" s="835">
        <v>46039</v>
      </c>
      <c r="E2532" t="s" s="834">
        <v>478</v>
      </c>
      <c r="F2532" t="s" s="834">
        <v>478</v>
      </c>
      <c r="G2532" s="570"/>
      <c r="H2532" s="570"/>
      <c r="I2532" s="570"/>
      <c r="J2532" s="570"/>
      <c r="K2532" s="570"/>
    </row>
    <row r="2533" ht="13.75" customHeight="1">
      <c r="A2533" s="833">
        <v>121</v>
      </c>
      <c r="B2533" t="s" s="834">
        <v>1751</v>
      </c>
      <c r="C2533" t="s" s="834">
        <v>1752</v>
      </c>
      <c r="D2533" s="835">
        <v>46040</v>
      </c>
      <c r="E2533" t="s" s="834">
        <v>478</v>
      </c>
      <c r="F2533" t="s" s="834">
        <v>478</v>
      </c>
      <c r="G2533" s="570"/>
      <c r="H2533" s="570"/>
      <c r="I2533" s="570"/>
      <c r="J2533" s="570"/>
      <c r="K2533" s="570"/>
    </row>
    <row r="2534" ht="13.75" customHeight="1">
      <c r="A2534" s="833">
        <v>121</v>
      </c>
      <c r="B2534" t="s" s="834">
        <v>1751</v>
      </c>
      <c r="C2534" t="s" s="834">
        <v>1752</v>
      </c>
      <c r="D2534" s="835">
        <v>46041</v>
      </c>
      <c r="E2534" s="836">
        <v>1.359872685185185</v>
      </c>
      <c r="F2534" s="836">
        <v>1.760219907407407</v>
      </c>
      <c r="G2534" s="570"/>
      <c r="H2534" s="570"/>
      <c r="I2534" s="570"/>
      <c r="J2534" s="570"/>
      <c r="K2534" s="570"/>
    </row>
    <row r="2535" ht="13.75" customHeight="1">
      <c r="A2535" t="s" s="834">
        <v>1773</v>
      </c>
      <c r="B2535" t="s" s="834">
        <v>1774</v>
      </c>
      <c r="C2535" t="s" s="834">
        <v>606</v>
      </c>
      <c r="D2535" s="570"/>
      <c r="E2535" s="570"/>
      <c r="F2535" s="570"/>
      <c r="G2535" s="570"/>
      <c r="H2535" s="570"/>
      <c r="I2535" s="570"/>
      <c r="J2535" s="570"/>
      <c r="K2535" s="570"/>
    </row>
    <row r="2536" ht="13.75" customHeight="1">
      <c r="A2536" s="833">
        <v>121</v>
      </c>
      <c r="B2536" t="s" s="834">
        <v>1751</v>
      </c>
      <c r="C2536" t="s" s="834">
        <v>1752</v>
      </c>
      <c r="D2536" s="835">
        <v>46042</v>
      </c>
      <c r="E2536" s="836">
        <v>1.340381944444444</v>
      </c>
      <c r="F2536" s="836">
        <v>1.755300925925926</v>
      </c>
      <c r="G2536" s="570"/>
      <c r="H2536" s="570"/>
      <c r="I2536" s="570"/>
      <c r="J2536" s="570"/>
      <c r="K2536" s="570"/>
    </row>
    <row r="2537" ht="13.75" customHeight="1">
      <c r="A2537" t="s" s="834">
        <v>1775</v>
      </c>
      <c r="B2537" t="s" s="834">
        <v>1776</v>
      </c>
      <c r="C2537" t="s" s="834">
        <v>1259</v>
      </c>
      <c r="D2537" s="570"/>
      <c r="E2537" s="570"/>
      <c r="F2537" s="570"/>
      <c r="G2537" s="570"/>
      <c r="H2537" s="570"/>
      <c r="I2537" s="570"/>
      <c r="J2537" s="570"/>
      <c r="K2537" s="570"/>
    </row>
    <row r="2538" ht="13.75" customHeight="1">
      <c r="A2538" s="833">
        <v>121</v>
      </c>
      <c r="B2538" t="s" s="834">
        <v>1751</v>
      </c>
      <c r="C2538" t="s" s="834">
        <v>1752</v>
      </c>
      <c r="D2538" s="835">
        <v>46043</v>
      </c>
      <c r="E2538" s="836">
        <v>1.360960648148148</v>
      </c>
      <c r="F2538" s="836">
        <v>1.757939814814815</v>
      </c>
      <c r="G2538" s="570"/>
      <c r="H2538" s="570"/>
      <c r="I2538" s="570"/>
      <c r="J2538" s="570"/>
      <c r="K2538" s="570"/>
    </row>
    <row r="2539" ht="13.75" customHeight="1">
      <c r="A2539" t="s" s="834">
        <v>1777</v>
      </c>
      <c r="B2539" t="s" s="834">
        <v>1778</v>
      </c>
      <c r="C2539" t="s" s="834">
        <v>747</v>
      </c>
      <c r="D2539" s="570"/>
      <c r="E2539" s="570"/>
      <c r="F2539" s="570"/>
      <c r="G2539" s="570"/>
      <c r="H2539" s="570"/>
      <c r="I2539" s="570"/>
      <c r="J2539" s="570"/>
      <c r="K2539" s="570"/>
    </row>
    <row r="2540" ht="13.75" customHeight="1">
      <c r="A2540" s="833">
        <v>121</v>
      </c>
      <c r="B2540" t="s" s="834">
        <v>1751</v>
      </c>
      <c r="C2540" t="s" s="834">
        <v>1752</v>
      </c>
      <c r="D2540" s="835">
        <v>46044</v>
      </c>
      <c r="E2540" s="836">
        <v>1.353472222222222</v>
      </c>
      <c r="F2540" s="836">
        <v>1.777986111111111</v>
      </c>
      <c r="G2540" s="570"/>
      <c r="H2540" s="570"/>
      <c r="I2540" s="570"/>
      <c r="J2540" s="570"/>
      <c r="K2540" s="570"/>
    </row>
    <row r="2541" ht="13.75" customHeight="1">
      <c r="A2541" t="s" s="834">
        <v>1779</v>
      </c>
      <c r="B2541" t="s" s="834">
        <v>1780</v>
      </c>
      <c r="C2541" t="s" s="834">
        <v>623</v>
      </c>
      <c r="D2541" s="570"/>
      <c r="E2541" s="570"/>
      <c r="F2541" s="570"/>
      <c r="G2541" s="570"/>
      <c r="H2541" s="570"/>
      <c r="I2541" s="570"/>
      <c r="J2541" s="570"/>
      <c r="K2541" s="570"/>
    </row>
    <row r="2542" ht="13.75" customHeight="1">
      <c r="A2542" s="833">
        <v>121</v>
      </c>
      <c r="B2542" t="s" s="834">
        <v>1751</v>
      </c>
      <c r="C2542" t="s" s="834">
        <v>1752</v>
      </c>
      <c r="D2542" s="835">
        <v>46045</v>
      </c>
      <c r="E2542" t="s" s="834">
        <v>478</v>
      </c>
      <c r="F2542" t="s" s="834">
        <v>478</v>
      </c>
      <c r="G2542" s="570"/>
      <c r="H2542" s="570"/>
      <c r="I2542" s="570"/>
      <c r="J2542" s="570"/>
      <c r="K2542" s="570"/>
    </row>
    <row r="2543" ht="13.75" customHeight="1">
      <c r="A2543" s="833">
        <v>121</v>
      </c>
      <c r="B2543" t="s" s="834">
        <v>1751</v>
      </c>
      <c r="C2543" t="s" s="834">
        <v>1752</v>
      </c>
      <c r="D2543" s="835">
        <v>46046</v>
      </c>
      <c r="E2543" t="s" s="834">
        <v>478</v>
      </c>
      <c r="F2543" t="s" s="834">
        <v>478</v>
      </c>
      <c r="G2543" s="570"/>
      <c r="H2543" s="570"/>
      <c r="I2543" s="570"/>
      <c r="J2543" s="570"/>
      <c r="K2543" s="570"/>
    </row>
    <row r="2544" ht="13.75" customHeight="1">
      <c r="A2544" s="833">
        <v>121</v>
      </c>
      <c r="B2544" t="s" s="834">
        <v>1751</v>
      </c>
      <c r="C2544" t="s" s="834">
        <v>1752</v>
      </c>
      <c r="D2544" s="835">
        <v>46047</v>
      </c>
      <c r="E2544" t="s" s="834">
        <v>478</v>
      </c>
      <c r="F2544" t="s" s="834">
        <v>478</v>
      </c>
      <c r="G2544" s="570"/>
      <c r="H2544" s="570"/>
      <c r="I2544" s="570"/>
      <c r="J2544" s="570"/>
      <c r="K2544" s="570"/>
    </row>
    <row r="2545" ht="13.75" customHeight="1">
      <c r="A2545" s="833">
        <v>121</v>
      </c>
      <c r="B2545" t="s" s="834">
        <v>1751</v>
      </c>
      <c r="C2545" t="s" s="834">
        <v>1752</v>
      </c>
      <c r="D2545" s="835">
        <v>46048</v>
      </c>
      <c r="E2545" s="836">
        <v>1.379502314814815</v>
      </c>
      <c r="F2545" s="836">
        <v>1.594398148148148</v>
      </c>
      <c r="G2545" s="570"/>
      <c r="H2545" s="570"/>
      <c r="I2545" s="570"/>
      <c r="J2545" s="570"/>
      <c r="K2545" s="570"/>
    </row>
    <row r="2546" ht="13.75" customHeight="1">
      <c r="A2546" t="s" s="834">
        <v>1781</v>
      </c>
      <c r="B2546" t="s" s="834">
        <v>1782</v>
      </c>
      <c r="C2546" t="s" s="834">
        <v>1783</v>
      </c>
      <c r="D2546" s="570"/>
      <c r="E2546" s="570"/>
      <c r="F2546" s="570"/>
      <c r="G2546" s="570"/>
      <c r="H2546" s="570"/>
      <c r="I2546" s="570"/>
      <c r="J2546" s="570"/>
      <c r="K2546" s="570"/>
    </row>
    <row r="2547" ht="13.75" customHeight="1">
      <c r="A2547" s="833">
        <v>121</v>
      </c>
      <c r="B2547" t="s" s="834">
        <v>1751</v>
      </c>
      <c r="C2547" t="s" s="834">
        <v>1752</v>
      </c>
      <c r="D2547" s="835">
        <v>46049</v>
      </c>
      <c r="E2547" s="836">
        <v>1.361168981481482</v>
      </c>
      <c r="F2547" s="836">
        <v>1.757280092592592</v>
      </c>
      <c r="G2547" s="570"/>
      <c r="H2547" s="570"/>
      <c r="I2547" s="570"/>
      <c r="J2547" s="570"/>
      <c r="K2547" s="570"/>
    </row>
    <row r="2548" ht="13.75" customHeight="1">
      <c r="A2548" t="s" s="834">
        <v>1784</v>
      </c>
      <c r="B2548" t="s" s="834">
        <v>1785</v>
      </c>
      <c r="C2548" t="s" s="834">
        <v>634</v>
      </c>
      <c r="D2548" s="570"/>
      <c r="E2548" s="570"/>
      <c r="F2548" s="570"/>
      <c r="G2548" s="570"/>
      <c r="H2548" s="570"/>
      <c r="I2548" s="570"/>
      <c r="J2548" s="570"/>
      <c r="K2548" s="570"/>
    </row>
    <row r="2549" ht="13.75" customHeight="1">
      <c r="A2549" s="833">
        <v>121</v>
      </c>
      <c r="B2549" t="s" s="834">
        <v>1751</v>
      </c>
      <c r="C2549" t="s" s="834">
        <v>1752</v>
      </c>
      <c r="D2549" s="835">
        <v>46050</v>
      </c>
      <c r="E2549" t="s" s="834">
        <v>478</v>
      </c>
      <c r="F2549" t="s" s="834">
        <v>478</v>
      </c>
      <c r="G2549" s="570"/>
      <c r="H2549" s="570"/>
      <c r="I2549" s="570"/>
      <c r="J2549" s="570"/>
      <c r="K2549" s="570"/>
    </row>
    <row r="2550" ht="13.75" customHeight="1">
      <c r="A2550" s="833">
        <v>121</v>
      </c>
      <c r="B2550" t="s" s="834">
        <v>1751</v>
      </c>
      <c r="C2550" t="s" s="834">
        <v>1752</v>
      </c>
      <c r="D2550" s="835">
        <v>46051</v>
      </c>
      <c r="E2550" t="s" s="834">
        <v>478</v>
      </c>
      <c r="F2550" t="s" s="834">
        <v>478</v>
      </c>
      <c r="G2550" s="570"/>
      <c r="H2550" s="570"/>
      <c r="I2550" s="570"/>
      <c r="J2550" s="570"/>
      <c r="K2550" s="570"/>
    </row>
    <row r="2551" ht="13.75" customHeight="1">
      <c r="A2551" s="833">
        <v>121</v>
      </c>
      <c r="B2551" t="s" s="834">
        <v>1751</v>
      </c>
      <c r="C2551" t="s" s="834">
        <v>1752</v>
      </c>
      <c r="D2551" s="835">
        <v>46052</v>
      </c>
      <c r="E2551" t="s" s="834">
        <v>478</v>
      </c>
      <c r="F2551" t="s" s="834">
        <v>478</v>
      </c>
      <c r="G2551" s="570"/>
      <c r="H2551" s="570"/>
      <c r="I2551" s="570"/>
      <c r="J2551" s="570"/>
      <c r="K2551" s="570"/>
    </row>
    <row r="2552" ht="13.75" customHeight="1">
      <c r="A2552" s="833">
        <v>121</v>
      </c>
      <c r="B2552" t="s" s="834">
        <v>1751</v>
      </c>
      <c r="C2552" t="s" s="834">
        <v>1752</v>
      </c>
      <c r="D2552" s="835">
        <v>46053</v>
      </c>
      <c r="E2552" t="s" s="834">
        <v>478</v>
      </c>
      <c r="F2552" t="s" s="834">
        <v>478</v>
      </c>
      <c r="G2552" s="570"/>
      <c r="H2552" s="570"/>
      <c r="I2552" s="570"/>
      <c r="J2552" s="570"/>
      <c r="K2552" s="570"/>
    </row>
    <row r="2553" ht="13.75" customHeight="1">
      <c r="A2553" s="833">
        <v>121</v>
      </c>
      <c r="B2553" t="s" s="834">
        <v>1751</v>
      </c>
      <c r="C2553" t="s" s="834">
        <v>1752</v>
      </c>
      <c r="D2553" s="835">
        <v>46054</v>
      </c>
      <c r="E2553" t="s" s="834">
        <v>478</v>
      </c>
      <c r="F2553" t="s" s="834">
        <v>478</v>
      </c>
      <c r="G2553" s="570"/>
      <c r="H2553" s="570"/>
      <c r="I2553" s="570"/>
      <c r="J2553" s="570"/>
      <c r="K2553" s="570"/>
    </row>
    <row r="2554" ht="13.75" customHeight="1">
      <c r="A2554" s="833">
        <v>122</v>
      </c>
      <c r="B2554" t="s" s="834">
        <v>1786</v>
      </c>
      <c r="C2554" t="s" s="834">
        <v>617</v>
      </c>
      <c r="D2554" s="835">
        <v>46023</v>
      </c>
      <c r="E2554" t="s" s="834">
        <v>478</v>
      </c>
      <c r="F2554" t="s" s="834">
        <v>478</v>
      </c>
      <c r="G2554" s="570"/>
      <c r="H2554" s="570"/>
      <c r="I2554" s="570"/>
      <c r="J2554" s="570"/>
      <c r="K2554" s="570"/>
    </row>
    <row r="2555" ht="13.75" customHeight="1">
      <c r="A2555" s="833">
        <v>122</v>
      </c>
      <c r="B2555" t="s" s="834">
        <v>1786</v>
      </c>
      <c r="C2555" t="s" s="834">
        <v>617</v>
      </c>
      <c r="D2555" s="835">
        <v>46024</v>
      </c>
      <c r="E2555" t="s" s="834">
        <v>478</v>
      </c>
      <c r="F2555" t="s" s="834">
        <v>478</v>
      </c>
      <c r="G2555" s="570"/>
      <c r="H2555" s="570"/>
      <c r="I2555" s="570"/>
      <c r="J2555" s="570"/>
      <c r="K2555" s="570"/>
    </row>
    <row r="2556" ht="13.75" customHeight="1">
      <c r="A2556" s="833">
        <v>122</v>
      </c>
      <c r="B2556" t="s" s="834">
        <v>1786</v>
      </c>
      <c r="C2556" t="s" s="834">
        <v>617</v>
      </c>
      <c r="D2556" s="835">
        <v>46025</v>
      </c>
      <c r="E2556" t="s" s="834">
        <v>478</v>
      </c>
      <c r="F2556" t="s" s="834">
        <v>478</v>
      </c>
      <c r="G2556" s="570"/>
      <c r="H2556" s="570"/>
      <c r="I2556" s="570"/>
      <c r="J2556" s="570"/>
      <c r="K2556" s="570"/>
    </row>
    <row r="2557" ht="13.75" customHeight="1">
      <c r="A2557" s="833">
        <v>122</v>
      </c>
      <c r="B2557" t="s" s="834">
        <v>1786</v>
      </c>
      <c r="C2557" t="s" s="834">
        <v>617</v>
      </c>
      <c r="D2557" s="835">
        <v>46026</v>
      </c>
      <c r="E2557" t="s" s="834">
        <v>478</v>
      </c>
      <c r="F2557" t="s" s="834">
        <v>478</v>
      </c>
      <c r="G2557" s="570"/>
      <c r="H2557" s="570"/>
      <c r="I2557" s="570"/>
      <c r="J2557" s="570"/>
      <c r="K2557" s="570"/>
    </row>
    <row r="2558" ht="13.75" customHeight="1">
      <c r="A2558" s="833">
        <v>122</v>
      </c>
      <c r="B2558" t="s" s="834">
        <v>1786</v>
      </c>
      <c r="C2558" t="s" s="834">
        <v>617</v>
      </c>
      <c r="D2558" s="835">
        <v>46027</v>
      </c>
      <c r="E2558" t="s" s="834">
        <v>478</v>
      </c>
      <c r="F2558" t="s" s="834">
        <v>478</v>
      </c>
      <c r="G2558" s="570"/>
      <c r="H2558" s="570"/>
      <c r="I2558" s="570"/>
      <c r="J2558" s="570"/>
      <c r="K2558" s="570"/>
    </row>
    <row r="2559" ht="13.75" customHeight="1">
      <c r="A2559" s="833">
        <v>122</v>
      </c>
      <c r="B2559" t="s" s="834">
        <v>1786</v>
      </c>
      <c r="C2559" t="s" s="834">
        <v>617</v>
      </c>
      <c r="D2559" s="835">
        <v>46028</v>
      </c>
      <c r="E2559" t="s" s="834">
        <v>478</v>
      </c>
      <c r="F2559" t="s" s="834">
        <v>478</v>
      </c>
      <c r="G2559" s="570"/>
      <c r="H2559" s="570"/>
      <c r="I2559" s="570"/>
      <c r="J2559" s="570"/>
      <c r="K2559" s="570"/>
    </row>
    <row r="2560" ht="13.75" customHeight="1">
      <c r="A2560" s="833">
        <v>122</v>
      </c>
      <c r="B2560" t="s" s="834">
        <v>1786</v>
      </c>
      <c r="C2560" t="s" s="834">
        <v>617</v>
      </c>
      <c r="D2560" s="835">
        <v>46029</v>
      </c>
      <c r="E2560" t="s" s="834">
        <v>478</v>
      </c>
      <c r="F2560" t="s" s="834">
        <v>478</v>
      </c>
      <c r="G2560" s="570"/>
      <c r="H2560" s="570"/>
      <c r="I2560" s="570"/>
      <c r="J2560" s="570"/>
      <c r="K2560" s="570"/>
    </row>
    <row r="2561" ht="13.75" customHeight="1">
      <c r="A2561" s="833">
        <v>122</v>
      </c>
      <c r="B2561" t="s" s="834">
        <v>1786</v>
      </c>
      <c r="C2561" t="s" s="834">
        <v>617</v>
      </c>
      <c r="D2561" s="835">
        <v>46030</v>
      </c>
      <c r="E2561" t="s" s="834">
        <v>478</v>
      </c>
      <c r="F2561" t="s" s="834">
        <v>478</v>
      </c>
      <c r="G2561" s="570"/>
      <c r="H2561" s="570"/>
      <c r="I2561" s="570"/>
      <c r="J2561" s="570"/>
      <c r="K2561" s="570"/>
    </row>
    <row r="2562" ht="13.75" customHeight="1">
      <c r="A2562" s="833">
        <v>122</v>
      </c>
      <c r="B2562" t="s" s="834">
        <v>1786</v>
      </c>
      <c r="C2562" t="s" s="834">
        <v>617</v>
      </c>
      <c r="D2562" s="835">
        <v>46031</v>
      </c>
      <c r="E2562" t="s" s="834">
        <v>478</v>
      </c>
      <c r="F2562" t="s" s="834">
        <v>478</v>
      </c>
      <c r="G2562" s="570"/>
      <c r="H2562" s="570"/>
      <c r="I2562" s="570"/>
      <c r="J2562" s="570"/>
      <c r="K2562" s="570"/>
    </row>
    <row r="2563" ht="13.75" customHeight="1">
      <c r="A2563" s="833">
        <v>122</v>
      </c>
      <c r="B2563" t="s" s="834">
        <v>1786</v>
      </c>
      <c r="C2563" t="s" s="834">
        <v>617</v>
      </c>
      <c r="D2563" s="835">
        <v>46032</v>
      </c>
      <c r="E2563" t="s" s="834">
        <v>478</v>
      </c>
      <c r="F2563" t="s" s="834">
        <v>478</v>
      </c>
      <c r="G2563" s="570"/>
      <c r="H2563" s="570"/>
      <c r="I2563" s="570"/>
      <c r="J2563" s="570"/>
      <c r="K2563" s="570"/>
    </row>
    <row r="2564" ht="13.75" customHeight="1">
      <c r="A2564" s="833">
        <v>122</v>
      </c>
      <c r="B2564" t="s" s="834">
        <v>1786</v>
      </c>
      <c r="C2564" t="s" s="834">
        <v>617</v>
      </c>
      <c r="D2564" s="835">
        <v>46033</v>
      </c>
      <c r="E2564" t="s" s="834">
        <v>478</v>
      </c>
      <c r="F2564" t="s" s="834">
        <v>478</v>
      </c>
      <c r="G2564" s="570"/>
      <c r="H2564" s="570"/>
      <c r="I2564" s="570"/>
      <c r="J2564" s="570"/>
      <c r="K2564" s="570"/>
    </row>
    <row r="2565" ht="13.75" customHeight="1">
      <c r="A2565" s="833">
        <v>122</v>
      </c>
      <c r="B2565" t="s" s="834">
        <v>1786</v>
      </c>
      <c r="C2565" t="s" s="834">
        <v>617</v>
      </c>
      <c r="D2565" s="835">
        <v>46034</v>
      </c>
      <c r="E2565" t="s" s="834">
        <v>478</v>
      </c>
      <c r="F2565" t="s" s="834">
        <v>478</v>
      </c>
      <c r="G2565" s="570"/>
      <c r="H2565" s="570"/>
      <c r="I2565" s="570"/>
      <c r="J2565" s="570"/>
      <c r="K2565" s="570"/>
    </row>
    <row r="2566" ht="13.75" customHeight="1">
      <c r="A2566" s="833">
        <v>122</v>
      </c>
      <c r="B2566" t="s" s="834">
        <v>1786</v>
      </c>
      <c r="C2566" t="s" s="834">
        <v>617</v>
      </c>
      <c r="D2566" s="835">
        <v>46035</v>
      </c>
      <c r="E2566" t="s" s="834">
        <v>478</v>
      </c>
      <c r="F2566" t="s" s="834">
        <v>478</v>
      </c>
      <c r="G2566" s="570"/>
      <c r="H2566" s="570"/>
      <c r="I2566" s="570"/>
      <c r="J2566" s="570"/>
      <c r="K2566" s="570"/>
    </row>
    <row r="2567" ht="13.75" customHeight="1">
      <c r="A2567" s="833">
        <v>122</v>
      </c>
      <c r="B2567" t="s" s="834">
        <v>1786</v>
      </c>
      <c r="C2567" t="s" s="834">
        <v>617</v>
      </c>
      <c r="D2567" s="835">
        <v>46036</v>
      </c>
      <c r="E2567" t="s" s="834">
        <v>478</v>
      </c>
      <c r="F2567" t="s" s="834">
        <v>478</v>
      </c>
      <c r="G2567" s="570"/>
      <c r="H2567" s="570"/>
      <c r="I2567" s="570"/>
      <c r="J2567" s="570"/>
      <c r="K2567" s="570"/>
    </row>
    <row r="2568" ht="13.75" customHeight="1">
      <c r="A2568" s="833">
        <v>122</v>
      </c>
      <c r="B2568" t="s" s="834">
        <v>1786</v>
      </c>
      <c r="C2568" t="s" s="834">
        <v>617</v>
      </c>
      <c r="D2568" s="835">
        <v>46037</v>
      </c>
      <c r="E2568" t="s" s="834">
        <v>478</v>
      </c>
      <c r="F2568" t="s" s="834">
        <v>478</v>
      </c>
      <c r="G2568" s="570"/>
      <c r="H2568" s="570"/>
      <c r="I2568" s="570"/>
      <c r="J2568" s="570"/>
      <c r="K2568" s="570"/>
    </row>
    <row r="2569" ht="13.75" customHeight="1">
      <c r="A2569" s="833">
        <v>122</v>
      </c>
      <c r="B2569" t="s" s="834">
        <v>1786</v>
      </c>
      <c r="C2569" t="s" s="834">
        <v>617</v>
      </c>
      <c r="D2569" s="835">
        <v>46038</v>
      </c>
      <c r="E2569" t="s" s="834">
        <v>478</v>
      </c>
      <c r="F2569" t="s" s="834">
        <v>478</v>
      </c>
      <c r="G2569" s="570"/>
      <c r="H2569" s="570"/>
      <c r="I2569" s="570"/>
      <c r="J2569" s="570"/>
      <c r="K2569" s="570"/>
    </row>
    <row r="2570" ht="13.75" customHeight="1">
      <c r="A2570" s="833">
        <v>122</v>
      </c>
      <c r="B2570" t="s" s="834">
        <v>1786</v>
      </c>
      <c r="C2570" t="s" s="834">
        <v>617</v>
      </c>
      <c r="D2570" s="835">
        <v>46039</v>
      </c>
      <c r="E2570" t="s" s="834">
        <v>478</v>
      </c>
      <c r="F2570" t="s" s="834">
        <v>478</v>
      </c>
      <c r="G2570" s="570"/>
      <c r="H2570" s="570"/>
      <c r="I2570" s="570"/>
      <c r="J2570" s="570"/>
      <c r="K2570" s="570"/>
    </row>
    <row r="2571" ht="13.75" customHeight="1">
      <c r="A2571" s="833">
        <v>122</v>
      </c>
      <c r="B2571" t="s" s="834">
        <v>1786</v>
      </c>
      <c r="C2571" t="s" s="834">
        <v>617</v>
      </c>
      <c r="D2571" s="835">
        <v>46040</v>
      </c>
      <c r="E2571" t="s" s="834">
        <v>478</v>
      </c>
      <c r="F2571" t="s" s="834">
        <v>478</v>
      </c>
      <c r="G2571" s="570"/>
      <c r="H2571" s="570"/>
      <c r="I2571" s="570"/>
      <c r="J2571" s="570"/>
      <c r="K2571" s="570"/>
    </row>
    <row r="2572" ht="13.75" customHeight="1">
      <c r="A2572" s="833">
        <v>122</v>
      </c>
      <c r="B2572" t="s" s="834">
        <v>1786</v>
      </c>
      <c r="C2572" t="s" s="834">
        <v>617</v>
      </c>
      <c r="D2572" s="835">
        <v>46041</v>
      </c>
      <c r="E2572" t="s" s="834">
        <v>478</v>
      </c>
      <c r="F2572" t="s" s="834">
        <v>478</v>
      </c>
      <c r="G2572" s="570"/>
      <c r="H2572" s="570"/>
      <c r="I2572" s="570"/>
      <c r="J2572" s="570"/>
      <c r="K2572" s="570"/>
    </row>
    <row r="2573" ht="13.75" customHeight="1">
      <c r="A2573" s="833">
        <v>122</v>
      </c>
      <c r="B2573" t="s" s="834">
        <v>1786</v>
      </c>
      <c r="C2573" t="s" s="834">
        <v>617</v>
      </c>
      <c r="D2573" s="835">
        <v>46042</v>
      </c>
      <c r="E2573" t="s" s="834">
        <v>478</v>
      </c>
      <c r="F2573" t="s" s="834">
        <v>478</v>
      </c>
      <c r="G2573" s="570"/>
      <c r="H2573" s="570"/>
      <c r="I2573" s="570"/>
      <c r="J2573" s="570"/>
      <c r="K2573" s="570"/>
    </row>
    <row r="2574" ht="13.75" customHeight="1">
      <c r="A2574" s="833">
        <v>122</v>
      </c>
      <c r="B2574" t="s" s="834">
        <v>1786</v>
      </c>
      <c r="C2574" t="s" s="834">
        <v>617</v>
      </c>
      <c r="D2574" s="835">
        <v>46043</v>
      </c>
      <c r="E2574" t="s" s="834">
        <v>478</v>
      </c>
      <c r="F2574" t="s" s="834">
        <v>478</v>
      </c>
      <c r="G2574" s="570"/>
      <c r="H2574" s="570"/>
      <c r="I2574" s="570"/>
      <c r="J2574" s="570"/>
      <c r="K2574" s="570"/>
    </row>
    <row r="2575" ht="13.75" customHeight="1">
      <c r="A2575" s="833">
        <v>122</v>
      </c>
      <c r="B2575" t="s" s="834">
        <v>1786</v>
      </c>
      <c r="C2575" t="s" s="834">
        <v>617</v>
      </c>
      <c r="D2575" s="835">
        <v>46044</v>
      </c>
      <c r="E2575" t="s" s="834">
        <v>478</v>
      </c>
      <c r="F2575" t="s" s="834">
        <v>478</v>
      </c>
      <c r="G2575" s="570"/>
      <c r="H2575" s="570"/>
      <c r="I2575" s="570"/>
      <c r="J2575" s="570"/>
      <c r="K2575" s="570"/>
    </row>
    <row r="2576" ht="13.75" customHeight="1">
      <c r="A2576" s="833">
        <v>122</v>
      </c>
      <c r="B2576" t="s" s="834">
        <v>1786</v>
      </c>
      <c r="C2576" t="s" s="834">
        <v>617</v>
      </c>
      <c r="D2576" s="835">
        <v>46045</v>
      </c>
      <c r="E2576" t="s" s="834">
        <v>478</v>
      </c>
      <c r="F2576" t="s" s="834">
        <v>478</v>
      </c>
      <c r="G2576" s="570"/>
      <c r="H2576" s="570"/>
      <c r="I2576" s="570"/>
      <c r="J2576" s="570"/>
      <c r="K2576" s="570"/>
    </row>
    <row r="2577" ht="13.75" customHeight="1">
      <c r="A2577" s="833">
        <v>122</v>
      </c>
      <c r="B2577" t="s" s="834">
        <v>1786</v>
      </c>
      <c r="C2577" t="s" s="834">
        <v>617</v>
      </c>
      <c r="D2577" s="835">
        <v>46046</v>
      </c>
      <c r="E2577" t="s" s="834">
        <v>478</v>
      </c>
      <c r="F2577" t="s" s="834">
        <v>478</v>
      </c>
      <c r="G2577" s="570"/>
      <c r="H2577" s="570"/>
      <c r="I2577" s="570"/>
      <c r="J2577" s="570"/>
      <c r="K2577" s="570"/>
    </row>
    <row r="2578" ht="13.75" customHeight="1">
      <c r="A2578" s="833">
        <v>122</v>
      </c>
      <c r="B2578" t="s" s="834">
        <v>1786</v>
      </c>
      <c r="C2578" t="s" s="834">
        <v>617</v>
      </c>
      <c r="D2578" s="835">
        <v>46047</v>
      </c>
      <c r="E2578" t="s" s="834">
        <v>478</v>
      </c>
      <c r="F2578" t="s" s="834">
        <v>478</v>
      </c>
      <c r="G2578" s="570"/>
      <c r="H2578" s="570"/>
      <c r="I2578" s="570"/>
      <c r="J2578" s="570"/>
      <c r="K2578" s="570"/>
    </row>
    <row r="2579" ht="13.75" customHeight="1">
      <c r="A2579" s="833">
        <v>122</v>
      </c>
      <c r="B2579" t="s" s="834">
        <v>1786</v>
      </c>
      <c r="C2579" t="s" s="834">
        <v>617</v>
      </c>
      <c r="D2579" s="835">
        <v>46048</v>
      </c>
      <c r="E2579" t="s" s="834">
        <v>478</v>
      </c>
      <c r="F2579" t="s" s="834">
        <v>478</v>
      </c>
      <c r="G2579" s="570"/>
      <c r="H2579" s="570"/>
      <c r="I2579" s="570"/>
      <c r="J2579" s="570"/>
      <c r="K2579" s="570"/>
    </row>
    <row r="2580" ht="13.75" customHeight="1">
      <c r="A2580" s="833">
        <v>122</v>
      </c>
      <c r="B2580" t="s" s="834">
        <v>1786</v>
      </c>
      <c r="C2580" t="s" s="834">
        <v>617</v>
      </c>
      <c r="D2580" s="835">
        <v>46049</v>
      </c>
      <c r="E2580" t="s" s="834">
        <v>478</v>
      </c>
      <c r="F2580" t="s" s="834">
        <v>478</v>
      </c>
      <c r="G2580" s="570"/>
      <c r="H2580" s="570"/>
      <c r="I2580" s="570"/>
      <c r="J2580" s="570"/>
      <c r="K2580" s="570"/>
    </row>
    <row r="2581" ht="13.75" customHeight="1">
      <c r="A2581" s="833">
        <v>122</v>
      </c>
      <c r="B2581" t="s" s="834">
        <v>1786</v>
      </c>
      <c r="C2581" t="s" s="834">
        <v>617</v>
      </c>
      <c r="D2581" s="835">
        <v>46050</v>
      </c>
      <c r="E2581" t="s" s="834">
        <v>478</v>
      </c>
      <c r="F2581" t="s" s="834">
        <v>478</v>
      </c>
      <c r="G2581" s="570"/>
      <c r="H2581" s="570"/>
      <c r="I2581" s="570"/>
      <c r="J2581" s="570"/>
      <c r="K2581" s="570"/>
    </row>
    <row r="2582" ht="13.75" customHeight="1">
      <c r="A2582" s="833">
        <v>122</v>
      </c>
      <c r="B2582" t="s" s="834">
        <v>1786</v>
      </c>
      <c r="C2582" t="s" s="834">
        <v>617</v>
      </c>
      <c r="D2582" s="835">
        <v>46051</v>
      </c>
      <c r="E2582" t="s" s="834">
        <v>478</v>
      </c>
      <c r="F2582" t="s" s="834">
        <v>478</v>
      </c>
      <c r="G2582" s="570"/>
      <c r="H2582" s="570"/>
      <c r="I2582" s="570"/>
      <c r="J2582" s="570"/>
      <c r="K2582" s="570"/>
    </row>
    <row r="2583" ht="13.75" customHeight="1">
      <c r="A2583" s="833">
        <v>122</v>
      </c>
      <c r="B2583" t="s" s="834">
        <v>1786</v>
      </c>
      <c r="C2583" t="s" s="834">
        <v>617</v>
      </c>
      <c r="D2583" s="835">
        <v>46052</v>
      </c>
      <c r="E2583" t="s" s="834">
        <v>478</v>
      </c>
      <c r="F2583" t="s" s="834">
        <v>478</v>
      </c>
      <c r="G2583" s="570"/>
      <c r="H2583" s="570"/>
      <c r="I2583" s="570"/>
      <c r="J2583" s="570"/>
      <c r="K2583" s="570"/>
    </row>
    <row r="2584" ht="13.75" customHeight="1">
      <c r="A2584" s="833">
        <v>122</v>
      </c>
      <c r="B2584" t="s" s="834">
        <v>1786</v>
      </c>
      <c r="C2584" t="s" s="834">
        <v>617</v>
      </c>
      <c r="D2584" s="835">
        <v>46053</v>
      </c>
      <c r="E2584" t="s" s="834">
        <v>478</v>
      </c>
      <c r="F2584" t="s" s="834">
        <v>478</v>
      </c>
      <c r="G2584" s="570"/>
      <c r="H2584" s="570"/>
      <c r="I2584" s="570"/>
      <c r="J2584" s="570"/>
      <c r="K2584" s="570"/>
    </row>
    <row r="2585" ht="13.75" customHeight="1">
      <c r="A2585" s="833">
        <v>122</v>
      </c>
      <c r="B2585" t="s" s="834">
        <v>1786</v>
      </c>
      <c r="C2585" t="s" s="834">
        <v>617</v>
      </c>
      <c r="D2585" s="835">
        <v>46054</v>
      </c>
      <c r="E2585" t="s" s="834">
        <v>478</v>
      </c>
      <c r="F2585" t="s" s="834">
        <v>478</v>
      </c>
      <c r="G2585" s="570"/>
      <c r="H2585" s="570"/>
      <c r="I2585" s="570"/>
      <c r="J2585" s="570"/>
      <c r="K2585" s="570"/>
    </row>
    <row r="2586" ht="13.75" customHeight="1">
      <c r="A2586" s="833">
        <v>128</v>
      </c>
      <c r="B2586" t="s" s="834">
        <v>1787</v>
      </c>
      <c r="C2586" t="s" s="834">
        <v>800</v>
      </c>
      <c r="D2586" s="835">
        <v>46023</v>
      </c>
      <c r="E2586" t="s" s="834">
        <v>478</v>
      </c>
      <c r="F2586" t="s" s="834">
        <v>478</v>
      </c>
      <c r="G2586" s="570"/>
      <c r="H2586" s="570"/>
      <c r="I2586" s="570"/>
      <c r="J2586" s="570"/>
      <c r="K2586" s="570"/>
    </row>
    <row r="2587" ht="13.75" customHeight="1">
      <c r="A2587" s="833">
        <v>128</v>
      </c>
      <c r="B2587" t="s" s="834">
        <v>1787</v>
      </c>
      <c r="C2587" t="s" s="834">
        <v>800</v>
      </c>
      <c r="D2587" s="835">
        <v>46024</v>
      </c>
      <c r="E2587" t="s" s="834">
        <v>478</v>
      </c>
      <c r="F2587" t="s" s="834">
        <v>478</v>
      </c>
      <c r="G2587" s="570"/>
      <c r="H2587" s="570"/>
      <c r="I2587" s="570"/>
      <c r="J2587" s="570"/>
      <c r="K2587" s="570"/>
    </row>
    <row r="2588" ht="13.75" customHeight="1">
      <c r="A2588" s="833">
        <v>128</v>
      </c>
      <c r="B2588" t="s" s="834">
        <v>1787</v>
      </c>
      <c r="C2588" t="s" s="834">
        <v>800</v>
      </c>
      <c r="D2588" s="835">
        <v>46025</v>
      </c>
      <c r="E2588" t="s" s="834">
        <v>478</v>
      </c>
      <c r="F2588" t="s" s="834">
        <v>478</v>
      </c>
      <c r="G2588" s="570"/>
      <c r="H2588" s="570"/>
      <c r="I2588" s="570"/>
      <c r="J2588" s="570"/>
      <c r="K2588" s="570"/>
    </row>
    <row r="2589" ht="13.75" customHeight="1">
      <c r="A2589" s="833">
        <v>128</v>
      </c>
      <c r="B2589" t="s" s="834">
        <v>1787</v>
      </c>
      <c r="C2589" t="s" s="834">
        <v>800</v>
      </c>
      <c r="D2589" s="835">
        <v>46026</v>
      </c>
      <c r="E2589" t="s" s="834">
        <v>478</v>
      </c>
      <c r="F2589" t="s" s="834">
        <v>478</v>
      </c>
      <c r="G2589" s="570"/>
      <c r="H2589" s="570"/>
      <c r="I2589" s="570"/>
      <c r="J2589" s="570"/>
      <c r="K2589" s="570"/>
    </row>
    <row r="2590" ht="13.75" customHeight="1">
      <c r="A2590" s="833">
        <v>128</v>
      </c>
      <c r="B2590" t="s" s="834">
        <v>1787</v>
      </c>
      <c r="C2590" t="s" s="834">
        <v>800</v>
      </c>
      <c r="D2590" s="835">
        <v>46027</v>
      </c>
      <c r="E2590" s="836">
        <v>1.350381944444444</v>
      </c>
      <c r="F2590" s="836">
        <v>1.758726851851852</v>
      </c>
      <c r="G2590" s="570"/>
      <c r="H2590" s="570"/>
      <c r="I2590" s="570"/>
      <c r="J2590" s="570"/>
      <c r="K2590" s="570"/>
    </row>
    <row r="2591" ht="13.75" customHeight="1">
      <c r="A2591" t="s" s="834">
        <v>1788</v>
      </c>
      <c r="B2591" t="s" s="834">
        <v>1789</v>
      </c>
      <c r="C2591" t="s" s="834">
        <v>1330</v>
      </c>
      <c r="D2591" s="570"/>
      <c r="E2591" s="570"/>
      <c r="F2591" s="570"/>
      <c r="G2591" s="570"/>
      <c r="H2591" s="570"/>
      <c r="I2591" s="570"/>
      <c r="J2591" s="570"/>
      <c r="K2591" s="570"/>
    </row>
    <row r="2592" ht="13.75" customHeight="1">
      <c r="A2592" s="833">
        <v>128</v>
      </c>
      <c r="B2592" t="s" s="834">
        <v>1787</v>
      </c>
      <c r="C2592" t="s" s="834">
        <v>800</v>
      </c>
      <c r="D2592" s="835">
        <v>46028</v>
      </c>
      <c r="E2592" s="836">
        <v>1.358611111111111</v>
      </c>
      <c r="F2592" s="836">
        <v>1.774942129629629</v>
      </c>
      <c r="G2592" s="570"/>
      <c r="H2592" s="570"/>
      <c r="I2592" s="570"/>
      <c r="J2592" s="570"/>
      <c r="K2592" s="570"/>
    </row>
    <row r="2593" ht="13.75" customHeight="1">
      <c r="A2593" t="s" s="834">
        <v>1790</v>
      </c>
      <c r="B2593" t="s" s="834">
        <v>1791</v>
      </c>
      <c r="C2593" t="s" s="834">
        <v>530</v>
      </c>
      <c r="D2593" s="570"/>
      <c r="E2593" s="570"/>
      <c r="F2593" s="570"/>
      <c r="G2593" s="570"/>
      <c r="H2593" s="570"/>
      <c r="I2593" s="570"/>
      <c r="J2593" s="570"/>
      <c r="K2593" s="570"/>
    </row>
    <row r="2594" ht="13.75" customHeight="1">
      <c r="A2594" s="833">
        <v>128</v>
      </c>
      <c r="B2594" t="s" s="834">
        <v>1787</v>
      </c>
      <c r="C2594" t="s" s="834">
        <v>800</v>
      </c>
      <c r="D2594" s="835">
        <v>46029</v>
      </c>
      <c r="E2594" s="836">
        <v>1.359768518518519</v>
      </c>
      <c r="F2594" s="836">
        <v>1.780324074074074</v>
      </c>
      <c r="G2594" s="570"/>
      <c r="H2594" s="570"/>
      <c r="I2594" s="570"/>
      <c r="J2594" s="570"/>
      <c r="K2594" s="570"/>
    </row>
    <row r="2595" ht="13.75" customHeight="1">
      <c r="A2595" t="s" s="834">
        <v>1792</v>
      </c>
      <c r="B2595" t="s" s="834">
        <v>1793</v>
      </c>
      <c r="C2595" t="s" s="834">
        <v>1116</v>
      </c>
      <c r="D2595" s="570"/>
      <c r="E2595" s="570"/>
      <c r="F2595" s="570"/>
      <c r="G2595" s="570"/>
      <c r="H2595" s="570"/>
      <c r="I2595" s="570"/>
      <c r="J2595" s="570"/>
      <c r="K2595" s="570"/>
    </row>
    <row r="2596" ht="13.75" customHeight="1">
      <c r="A2596" s="833">
        <v>128</v>
      </c>
      <c r="B2596" t="s" s="834">
        <v>1787</v>
      </c>
      <c r="C2596" t="s" s="834">
        <v>800</v>
      </c>
      <c r="D2596" s="835">
        <v>46030</v>
      </c>
      <c r="E2596" s="836">
        <v>1.392025462962963</v>
      </c>
      <c r="F2596" s="836">
        <v>1.790393518518518</v>
      </c>
      <c r="G2596" s="570"/>
      <c r="H2596" s="570"/>
      <c r="I2596" s="570"/>
      <c r="J2596" s="570"/>
      <c r="K2596" s="570"/>
    </row>
    <row r="2597" ht="13.75" customHeight="1">
      <c r="A2597" t="s" s="834">
        <v>1794</v>
      </c>
      <c r="B2597" t="s" s="834">
        <v>1795</v>
      </c>
      <c r="C2597" t="s" s="834">
        <v>611</v>
      </c>
      <c r="D2597" s="570"/>
      <c r="E2597" s="570"/>
      <c r="F2597" s="570"/>
      <c r="G2597" s="570"/>
      <c r="H2597" s="570"/>
      <c r="I2597" s="570"/>
      <c r="J2597" s="570"/>
      <c r="K2597" s="570"/>
    </row>
    <row r="2598" ht="13.75" customHeight="1">
      <c r="A2598" s="833">
        <v>128</v>
      </c>
      <c r="B2598" t="s" s="834">
        <v>1787</v>
      </c>
      <c r="C2598" t="s" s="834">
        <v>800</v>
      </c>
      <c r="D2598" s="835">
        <v>46031</v>
      </c>
      <c r="E2598" s="836">
        <v>1.523009259259259</v>
      </c>
      <c r="F2598" t="s" s="834">
        <v>478</v>
      </c>
      <c r="G2598" s="570"/>
      <c r="H2598" s="570"/>
      <c r="I2598" s="570"/>
      <c r="J2598" s="570"/>
      <c r="K2598" s="570"/>
    </row>
    <row r="2599" ht="13.75" customHeight="1">
      <c r="A2599" t="s" s="834">
        <v>1796</v>
      </c>
      <c r="B2599" t="s" s="834">
        <v>485</v>
      </c>
      <c r="C2599" t="s" s="834">
        <v>486</v>
      </c>
      <c r="D2599" s="570"/>
      <c r="E2599" s="570"/>
      <c r="F2599" s="570"/>
      <c r="G2599" s="570"/>
      <c r="H2599" s="570"/>
      <c r="I2599" s="570"/>
      <c r="J2599" s="570"/>
      <c r="K2599" s="570"/>
    </row>
    <row r="2600" ht="13.75" customHeight="1">
      <c r="A2600" s="833">
        <v>128</v>
      </c>
      <c r="B2600" t="s" s="834">
        <v>1787</v>
      </c>
      <c r="C2600" t="s" s="834">
        <v>800</v>
      </c>
      <c r="D2600" s="835">
        <v>46032</v>
      </c>
      <c r="E2600" t="s" s="834">
        <v>478</v>
      </c>
      <c r="F2600" t="s" s="834">
        <v>478</v>
      </c>
      <c r="G2600" s="570"/>
      <c r="H2600" s="570"/>
      <c r="I2600" s="570"/>
      <c r="J2600" s="570"/>
      <c r="K2600" s="570"/>
    </row>
    <row r="2601" ht="13.75" customHeight="1">
      <c r="A2601" s="833">
        <v>128</v>
      </c>
      <c r="B2601" t="s" s="834">
        <v>1787</v>
      </c>
      <c r="C2601" t="s" s="834">
        <v>800</v>
      </c>
      <c r="D2601" s="835">
        <v>46033</v>
      </c>
      <c r="E2601" t="s" s="834">
        <v>478</v>
      </c>
      <c r="F2601" t="s" s="834">
        <v>478</v>
      </c>
      <c r="G2601" s="570"/>
      <c r="H2601" s="570"/>
      <c r="I2601" s="570"/>
      <c r="J2601" s="570"/>
      <c r="K2601" s="570"/>
    </row>
    <row r="2602" ht="13.75" customHeight="1">
      <c r="A2602" s="833">
        <v>128</v>
      </c>
      <c r="B2602" t="s" s="834">
        <v>1787</v>
      </c>
      <c r="C2602" t="s" s="834">
        <v>800</v>
      </c>
      <c r="D2602" s="835">
        <v>46034</v>
      </c>
      <c r="E2602" s="836">
        <v>1.35806712962963</v>
      </c>
      <c r="F2602" s="836">
        <v>1.777592592592593</v>
      </c>
      <c r="G2602" s="570"/>
      <c r="H2602" s="570"/>
      <c r="I2602" s="570"/>
      <c r="J2602" s="570"/>
      <c r="K2602" s="570"/>
    </row>
    <row r="2603" ht="13.75" customHeight="1">
      <c r="A2603" t="s" s="834">
        <v>1797</v>
      </c>
      <c r="B2603" t="s" s="834">
        <v>1798</v>
      </c>
      <c r="C2603" t="s" s="834">
        <v>1016</v>
      </c>
      <c r="D2603" s="570"/>
      <c r="E2603" s="570"/>
      <c r="F2603" s="570"/>
      <c r="G2603" s="570"/>
      <c r="H2603" s="570"/>
      <c r="I2603" s="570"/>
      <c r="J2603" s="570"/>
      <c r="K2603" s="570"/>
    </row>
    <row r="2604" ht="13.75" customHeight="1">
      <c r="A2604" s="833">
        <v>128</v>
      </c>
      <c r="B2604" t="s" s="834">
        <v>1787</v>
      </c>
      <c r="C2604" t="s" s="834">
        <v>800</v>
      </c>
      <c r="D2604" s="835">
        <v>46035</v>
      </c>
      <c r="E2604" s="836">
        <v>1.362951388888889</v>
      </c>
      <c r="F2604" s="836">
        <v>1.772233796296296</v>
      </c>
      <c r="G2604" s="570"/>
      <c r="H2604" s="570"/>
      <c r="I2604" s="570"/>
      <c r="J2604" s="570"/>
      <c r="K2604" s="570"/>
    </row>
    <row r="2605" ht="13.75" customHeight="1">
      <c r="A2605" t="s" s="834">
        <v>1799</v>
      </c>
      <c r="B2605" t="s" s="834">
        <v>1800</v>
      </c>
      <c r="C2605" t="s" s="834">
        <v>600</v>
      </c>
      <c r="D2605" s="570"/>
      <c r="E2605" s="570"/>
      <c r="F2605" s="570"/>
      <c r="G2605" s="570"/>
      <c r="H2605" s="570"/>
      <c r="I2605" s="570"/>
      <c r="J2605" s="570"/>
      <c r="K2605" s="570"/>
    </row>
    <row r="2606" ht="13.75" customHeight="1">
      <c r="A2606" s="833">
        <v>128</v>
      </c>
      <c r="B2606" t="s" s="834">
        <v>1787</v>
      </c>
      <c r="C2606" t="s" s="834">
        <v>800</v>
      </c>
      <c r="D2606" s="835">
        <v>46036</v>
      </c>
      <c r="E2606" s="836">
        <v>1.364826388888889</v>
      </c>
      <c r="F2606" s="836">
        <v>1.819270833333333</v>
      </c>
      <c r="G2606" s="570"/>
      <c r="H2606" s="570"/>
      <c r="I2606" s="570"/>
      <c r="J2606" s="570"/>
      <c r="K2606" s="570"/>
    </row>
    <row r="2607" ht="13.75" customHeight="1">
      <c r="A2607" t="s" s="834">
        <v>1801</v>
      </c>
      <c r="B2607" t="s" s="834">
        <v>1802</v>
      </c>
      <c r="C2607" t="s" s="834">
        <v>1317</v>
      </c>
      <c r="D2607" s="570"/>
      <c r="E2607" s="570"/>
      <c r="F2607" s="570"/>
      <c r="G2607" s="570"/>
      <c r="H2607" s="570"/>
      <c r="I2607" s="570"/>
      <c r="J2607" s="570"/>
      <c r="K2607" s="570"/>
    </row>
    <row r="2608" ht="13.75" customHeight="1">
      <c r="A2608" s="833">
        <v>128</v>
      </c>
      <c r="B2608" t="s" s="834">
        <v>1787</v>
      </c>
      <c r="C2608" t="s" s="834">
        <v>800</v>
      </c>
      <c r="D2608" s="835">
        <v>46037</v>
      </c>
      <c r="E2608" s="836">
        <v>1.361203703703704</v>
      </c>
      <c r="F2608" s="836">
        <v>1.788541666666667</v>
      </c>
      <c r="G2608" s="570"/>
      <c r="H2608" s="570"/>
      <c r="I2608" s="570"/>
      <c r="J2608" s="570"/>
      <c r="K2608" s="570"/>
    </row>
    <row r="2609" ht="13.75" customHeight="1">
      <c r="A2609" t="s" s="834">
        <v>1803</v>
      </c>
      <c r="B2609" t="s" s="834">
        <v>1804</v>
      </c>
      <c r="C2609" t="s" s="834">
        <v>655</v>
      </c>
      <c r="D2609" s="570"/>
      <c r="E2609" s="570"/>
      <c r="F2609" s="570"/>
      <c r="G2609" s="570"/>
      <c r="H2609" s="570"/>
      <c r="I2609" s="570"/>
      <c r="J2609" s="570"/>
      <c r="K2609" s="570"/>
    </row>
    <row r="2610" ht="13.75" customHeight="1">
      <c r="A2610" s="833">
        <v>128</v>
      </c>
      <c r="B2610" t="s" s="834">
        <v>1787</v>
      </c>
      <c r="C2610" t="s" s="834">
        <v>800</v>
      </c>
      <c r="D2610" s="835">
        <v>46038</v>
      </c>
      <c r="E2610" s="836">
        <v>1.77037037037037</v>
      </c>
      <c r="F2610" t="s" s="834">
        <v>478</v>
      </c>
      <c r="G2610" s="570"/>
      <c r="H2610" s="570"/>
      <c r="I2610" s="570"/>
      <c r="J2610" s="570"/>
      <c r="K2610" s="570"/>
    </row>
    <row r="2611" ht="13.75" customHeight="1">
      <c r="A2611" t="s" s="834">
        <v>1805</v>
      </c>
      <c r="B2611" t="s" s="834">
        <v>485</v>
      </c>
      <c r="C2611" t="s" s="834">
        <v>486</v>
      </c>
      <c r="D2611" s="570"/>
      <c r="E2611" s="570"/>
      <c r="F2611" s="570"/>
      <c r="G2611" s="570"/>
      <c r="H2611" s="570"/>
      <c r="I2611" s="570"/>
      <c r="J2611" s="570"/>
      <c r="K2611" s="570"/>
    </row>
    <row r="2612" ht="13.75" customHeight="1">
      <c r="A2612" s="833">
        <v>128</v>
      </c>
      <c r="B2612" t="s" s="834">
        <v>1787</v>
      </c>
      <c r="C2612" t="s" s="834">
        <v>800</v>
      </c>
      <c r="D2612" s="835">
        <v>46039</v>
      </c>
      <c r="E2612" t="s" s="834">
        <v>478</v>
      </c>
      <c r="F2612" t="s" s="834">
        <v>478</v>
      </c>
      <c r="G2612" s="570"/>
      <c r="H2612" s="570"/>
      <c r="I2612" s="570"/>
      <c r="J2612" s="570"/>
      <c r="K2612" s="570"/>
    </row>
    <row r="2613" ht="13.75" customHeight="1">
      <c r="A2613" s="833">
        <v>128</v>
      </c>
      <c r="B2613" t="s" s="834">
        <v>1787</v>
      </c>
      <c r="C2613" t="s" s="834">
        <v>800</v>
      </c>
      <c r="D2613" s="835">
        <v>46040</v>
      </c>
      <c r="E2613" t="s" s="834">
        <v>478</v>
      </c>
      <c r="F2613" t="s" s="834">
        <v>478</v>
      </c>
      <c r="G2613" s="570"/>
      <c r="H2613" s="570"/>
      <c r="I2613" s="570"/>
      <c r="J2613" s="570"/>
      <c r="K2613" s="570"/>
    </row>
    <row r="2614" ht="13.75" customHeight="1">
      <c r="A2614" s="833">
        <v>128</v>
      </c>
      <c r="B2614" t="s" s="834">
        <v>1787</v>
      </c>
      <c r="C2614" t="s" s="834">
        <v>800</v>
      </c>
      <c r="D2614" s="835">
        <v>46041</v>
      </c>
      <c r="E2614" s="836">
        <v>1.374606481481481</v>
      </c>
      <c r="F2614" s="836">
        <v>1.811134259259259</v>
      </c>
      <c r="G2614" s="570"/>
      <c r="H2614" s="570"/>
      <c r="I2614" s="570"/>
      <c r="J2614" s="570"/>
      <c r="K2614" s="570"/>
    </row>
    <row r="2615" ht="13.75" customHeight="1">
      <c r="A2615" t="s" s="834">
        <v>1806</v>
      </c>
      <c r="B2615" t="s" s="834">
        <v>1807</v>
      </c>
      <c r="C2615" t="s" s="834">
        <v>500</v>
      </c>
      <c r="D2615" s="570"/>
      <c r="E2615" s="570"/>
      <c r="F2615" s="570"/>
      <c r="G2615" s="570"/>
      <c r="H2615" s="570"/>
      <c r="I2615" s="570"/>
      <c r="J2615" s="570"/>
      <c r="K2615" s="570"/>
    </row>
    <row r="2616" ht="13.75" customHeight="1">
      <c r="A2616" s="833">
        <v>128</v>
      </c>
      <c r="B2616" t="s" s="834">
        <v>1787</v>
      </c>
      <c r="C2616" t="s" s="834">
        <v>800</v>
      </c>
      <c r="D2616" s="835">
        <v>46042</v>
      </c>
      <c r="E2616" s="836">
        <v>1.357268518518518</v>
      </c>
      <c r="F2616" s="836">
        <v>1.760451388888889</v>
      </c>
      <c r="G2616" s="570"/>
      <c r="H2616" s="570"/>
      <c r="I2616" s="570"/>
      <c r="J2616" s="570"/>
      <c r="K2616" s="570"/>
    </row>
    <row r="2617" ht="13.75" customHeight="1">
      <c r="A2617" t="s" s="834">
        <v>1808</v>
      </c>
      <c r="B2617" t="s" s="834">
        <v>1809</v>
      </c>
      <c r="C2617" t="s" s="834">
        <v>590</v>
      </c>
      <c r="D2617" s="570"/>
      <c r="E2617" s="570"/>
      <c r="F2617" s="570"/>
      <c r="G2617" s="570"/>
      <c r="H2617" s="570"/>
      <c r="I2617" s="570"/>
      <c r="J2617" s="570"/>
      <c r="K2617" s="570"/>
    </row>
    <row r="2618" ht="13.75" customHeight="1">
      <c r="A2618" s="833">
        <v>128</v>
      </c>
      <c r="B2618" t="s" s="834">
        <v>1787</v>
      </c>
      <c r="C2618" t="s" s="834">
        <v>800</v>
      </c>
      <c r="D2618" s="835">
        <v>46043</v>
      </c>
      <c r="E2618" s="836">
        <v>1.363414351851852</v>
      </c>
      <c r="F2618" s="836">
        <v>1.786053240740741</v>
      </c>
      <c r="G2618" s="570"/>
      <c r="H2618" s="570"/>
      <c r="I2618" s="570"/>
      <c r="J2618" s="570"/>
      <c r="K2618" s="570"/>
    </row>
    <row r="2619" ht="13.75" customHeight="1">
      <c r="A2619" t="s" s="834">
        <v>1810</v>
      </c>
      <c r="B2619" t="s" s="834">
        <v>1811</v>
      </c>
      <c r="C2619" t="s" s="834">
        <v>971</v>
      </c>
      <c r="D2619" s="570"/>
      <c r="E2619" s="570"/>
      <c r="F2619" s="570"/>
      <c r="G2619" s="570"/>
      <c r="H2619" s="570"/>
      <c r="I2619" s="570"/>
      <c r="J2619" s="570"/>
      <c r="K2619" s="570"/>
    </row>
    <row r="2620" ht="13.75" customHeight="1">
      <c r="A2620" s="833">
        <v>128</v>
      </c>
      <c r="B2620" t="s" s="834">
        <v>1787</v>
      </c>
      <c r="C2620" t="s" s="834">
        <v>800</v>
      </c>
      <c r="D2620" s="835">
        <v>46044</v>
      </c>
      <c r="E2620" s="836">
        <v>1.361157407407407</v>
      </c>
      <c r="F2620" s="836">
        <v>1.790925925925926</v>
      </c>
      <c r="G2620" s="570"/>
      <c r="H2620" s="570"/>
      <c r="I2620" s="570"/>
      <c r="J2620" s="570"/>
      <c r="K2620" s="570"/>
    </row>
    <row r="2621" ht="13.75" customHeight="1">
      <c r="A2621" t="s" s="834">
        <v>1812</v>
      </c>
      <c r="B2621" t="s" s="834">
        <v>1813</v>
      </c>
      <c r="C2621" t="s" s="834">
        <v>509</v>
      </c>
      <c r="D2621" s="570"/>
      <c r="E2621" s="570"/>
      <c r="F2621" s="570"/>
      <c r="G2621" s="570"/>
      <c r="H2621" s="570"/>
      <c r="I2621" s="570"/>
      <c r="J2621" s="570"/>
      <c r="K2621" s="570"/>
    </row>
    <row r="2622" ht="13.75" customHeight="1">
      <c r="A2622" s="833">
        <v>128</v>
      </c>
      <c r="B2622" t="s" s="834">
        <v>1787</v>
      </c>
      <c r="C2622" t="s" s="834">
        <v>800</v>
      </c>
      <c r="D2622" s="835">
        <v>46045</v>
      </c>
      <c r="E2622" t="s" s="834">
        <v>478</v>
      </c>
      <c r="F2622" t="s" s="834">
        <v>478</v>
      </c>
      <c r="G2622" s="570"/>
      <c r="H2622" s="570"/>
      <c r="I2622" s="570"/>
      <c r="J2622" s="570"/>
      <c r="K2622" s="570"/>
    </row>
    <row r="2623" ht="13.75" customHeight="1">
      <c r="A2623" s="833">
        <v>128</v>
      </c>
      <c r="B2623" t="s" s="834">
        <v>1787</v>
      </c>
      <c r="C2623" t="s" s="834">
        <v>800</v>
      </c>
      <c r="D2623" s="835">
        <v>46046</v>
      </c>
      <c r="E2623" t="s" s="834">
        <v>478</v>
      </c>
      <c r="F2623" t="s" s="834">
        <v>478</v>
      </c>
      <c r="G2623" s="570"/>
      <c r="H2623" s="570"/>
      <c r="I2623" s="570"/>
      <c r="J2623" s="570"/>
      <c r="K2623" s="570"/>
    </row>
    <row r="2624" ht="13.75" customHeight="1">
      <c r="A2624" s="833">
        <v>128</v>
      </c>
      <c r="B2624" t="s" s="834">
        <v>1787</v>
      </c>
      <c r="C2624" t="s" s="834">
        <v>800</v>
      </c>
      <c r="D2624" s="835">
        <v>46047</v>
      </c>
      <c r="E2624" t="s" s="834">
        <v>478</v>
      </c>
      <c r="F2624" t="s" s="834">
        <v>478</v>
      </c>
      <c r="G2624" s="570"/>
      <c r="H2624" s="570"/>
      <c r="I2624" s="570"/>
      <c r="J2624" s="570"/>
      <c r="K2624" s="570"/>
    </row>
    <row r="2625" ht="13.75" customHeight="1">
      <c r="A2625" s="833">
        <v>128</v>
      </c>
      <c r="B2625" t="s" s="834">
        <v>1787</v>
      </c>
      <c r="C2625" t="s" s="834">
        <v>800</v>
      </c>
      <c r="D2625" s="835">
        <v>46048</v>
      </c>
      <c r="E2625" s="836">
        <v>1.360810185185185</v>
      </c>
      <c r="F2625" s="836">
        <v>1.776875</v>
      </c>
      <c r="G2625" s="570"/>
      <c r="H2625" s="570"/>
      <c r="I2625" s="570"/>
      <c r="J2625" s="570"/>
      <c r="K2625" s="570"/>
    </row>
    <row r="2626" ht="13.75" customHeight="1">
      <c r="A2626" t="s" s="834">
        <v>1814</v>
      </c>
      <c r="B2626" t="s" s="834">
        <v>1815</v>
      </c>
      <c r="C2626" t="s" s="834">
        <v>652</v>
      </c>
      <c r="D2626" s="570"/>
      <c r="E2626" s="570"/>
      <c r="F2626" s="570"/>
      <c r="G2626" s="570"/>
      <c r="H2626" s="570"/>
      <c r="I2626" s="570"/>
      <c r="J2626" s="570"/>
      <c r="K2626" s="570"/>
    </row>
    <row r="2627" ht="13.75" customHeight="1">
      <c r="A2627" s="833">
        <v>128</v>
      </c>
      <c r="B2627" t="s" s="834">
        <v>1787</v>
      </c>
      <c r="C2627" t="s" s="834">
        <v>800</v>
      </c>
      <c r="D2627" s="835">
        <v>46049</v>
      </c>
      <c r="E2627" s="836">
        <v>1.360740740740741</v>
      </c>
      <c r="F2627" s="836">
        <v>1.838599537037037</v>
      </c>
      <c r="G2627" s="570"/>
      <c r="H2627" s="570"/>
      <c r="I2627" s="570"/>
      <c r="J2627" s="570"/>
      <c r="K2627" s="570"/>
    </row>
    <row r="2628" ht="13.75" customHeight="1">
      <c r="A2628" t="s" s="834">
        <v>1816</v>
      </c>
      <c r="B2628" t="s" s="834">
        <v>1817</v>
      </c>
      <c r="C2628" t="s" s="834">
        <v>1818</v>
      </c>
      <c r="D2628" s="570"/>
      <c r="E2628" s="570"/>
      <c r="F2628" s="570"/>
      <c r="G2628" s="570"/>
      <c r="H2628" s="570"/>
      <c r="I2628" s="570"/>
      <c r="J2628" s="570"/>
      <c r="K2628" s="570"/>
    </row>
    <row r="2629" ht="13.75" customHeight="1">
      <c r="A2629" s="833">
        <v>128</v>
      </c>
      <c r="B2629" t="s" s="834">
        <v>1787</v>
      </c>
      <c r="C2629" t="s" s="834">
        <v>800</v>
      </c>
      <c r="D2629" s="835">
        <v>46050</v>
      </c>
      <c r="E2629" s="836">
        <v>1.36337962962963</v>
      </c>
      <c r="F2629" s="836">
        <v>1.807986111111111</v>
      </c>
      <c r="G2629" s="570"/>
      <c r="H2629" s="570"/>
      <c r="I2629" s="570"/>
      <c r="J2629" s="570"/>
      <c r="K2629" s="570"/>
    </row>
    <row r="2630" ht="13.75" customHeight="1">
      <c r="A2630" t="s" s="834">
        <v>1819</v>
      </c>
      <c r="B2630" t="s" s="834">
        <v>1820</v>
      </c>
      <c r="C2630" t="s" s="834">
        <v>1203</v>
      </c>
      <c r="D2630" s="570"/>
      <c r="E2630" s="570"/>
      <c r="F2630" s="570"/>
      <c r="G2630" s="570"/>
      <c r="H2630" s="570"/>
      <c r="I2630" s="570"/>
      <c r="J2630" s="570"/>
      <c r="K2630" s="570"/>
    </row>
    <row r="2631" ht="13.75" customHeight="1">
      <c r="A2631" s="833">
        <v>128</v>
      </c>
      <c r="B2631" t="s" s="834">
        <v>1787</v>
      </c>
      <c r="C2631" t="s" s="834">
        <v>800</v>
      </c>
      <c r="D2631" s="835">
        <v>46051</v>
      </c>
      <c r="E2631" s="836">
        <v>1.355729166666667</v>
      </c>
      <c r="F2631" s="836">
        <v>1.806041666666667</v>
      </c>
      <c r="G2631" s="570"/>
      <c r="H2631" s="570"/>
      <c r="I2631" s="570"/>
      <c r="J2631" s="570"/>
      <c r="K2631" s="570"/>
    </row>
    <row r="2632" ht="13.75" customHeight="1">
      <c r="A2632" t="s" s="834">
        <v>1821</v>
      </c>
      <c r="B2632" t="s" s="834">
        <v>1822</v>
      </c>
      <c r="C2632" t="s" s="834">
        <v>1823</v>
      </c>
      <c r="D2632" s="570"/>
      <c r="E2632" s="570"/>
      <c r="F2632" s="570"/>
      <c r="G2632" s="570"/>
      <c r="H2632" s="570"/>
      <c r="I2632" s="570"/>
      <c r="J2632" s="570"/>
      <c r="K2632" s="570"/>
    </row>
    <row r="2633" ht="13.75" customHeight="1">
      <c r="A2633" s="833">
        <v>128</v>
      </c>
      <c r="B2633" t="s" s="834">
        <v>1787</v>
      </c>
      <c r="C2633" t="s" s="834">
        <v>800</v>
      </c>
      <c r="D2633" s="835">
        <v>46052</v>
      </c>
      <c r="E2633" s="836">
        <v>1.766423611111111</v>
      </c>
      <c r="F2633" t="s" s="834">
        <v>478</v>
      </c>
      <c r="G2633" s="570"/>
      <c r="H2633" s="570"/>
      <c r="I2633" s="570"/>
      <c r="J2633" s="570"/>
      <c r="K2633" s="570"/>
    </row>
    <row r="2634" ht="13.75" customHeight="1">
      <c r="A2634" t="s" s="834">
        <v>1824</v>
      </c>
      <c r="B2634" t="s" s="834">
        <v>485</v>
      </c>
      <c r="C2634" t="s" s="834">
        <v>486</v>
      </c>
      <c r="D2634" s="570"/>
      <c r="E2634" s="570"/>
      <c r="F2634" s="570"/>
      <c r="G2634" s="570"/>
      <c r="H2634" s="570"/>
      <c r="I2634" s="570"/>
      <c r="J2634" s="570"/>
      <c r="K2634" s="570"/>
    </row>
    <row r="2635" ht="13.75" customHeight="1">
      <c r="A2635" s="833">
        <v>128</v>
      </c>
      <c r="B2635" t="s" s="834">
        <v>1787</v>
      </c>
      <c r="C2635" t="s" s="834">
        <v>800</v>
      </c>
      <c r="D2635" s="835">
        <v>46053</v>
      </c>
      <c r="E2635" t="s" s="834">
        <v>478</v>
      </c>
      <c r="F2635" t="s" s="834">
        <v>478</v>
      </c>
      <c r="G2635" s="570"/>
      <c r="H2635" s="570"/>
      <c r="I2635" s="570"/>
      <c r="J2635" s="570"/>
      <c r="K2635" s="570"/>
    </row>
    <row r="2636" ht="13.75" customHeight="1">
      <c r="A2636" s="833">
        <v>128</v>
      </c>
      <c r="B2636" t="s" s="834">
        <v>1787</v>
      </c>
      <c r="C2636" t="s" s="834">
        <v>800</v>
      </c>
      <c r="D2636" s="835">
        <v>46054</v>
      </c>
      <c r="E2636" t="s" s="834">
        <v>478</v>
      </c>
      <c r="F2636" t="s" s="834">
        <v>478</v>
      </c>
      <c r="G2636" s="570"/>
      <c r="H2636" s="570"/>
      <c r="I2636" s="570"/>
      <c r="J2636" s="570"/>
      <c r="K2636" s="570"/>
    </row>
    <row r="2637" ht="13.75" customHeight="1">
      <c r="A2637" s="833">
        <v>13</v>
      </c>
      <c r="B2637" t="s" s="834">
        <v>1825</v>
      </c>
      <c r="C2637" t="s" s="834">
        <v>617</v>
      </c>
      <c r="D2637" s="835">
        <v>46023</v>
      </c>
      <c r="E2637" t="s" s="834">
        <v>478</v>
      </c>
      <c r="F2637" t="s" s="834">
        <v>478</v>
      </c>
      <c r="G2637" s="570"/>
      <c r="H2637" s="570"/>
      <c r="I2637" s="570"/>
      <c r="J2637" s="570"/>
      <c r="K2637" s="570"/>
    </row>
    <row r="2638" ht="13.75" customHeight="1">
      <c r="A2638" s="833">
        <v>13</v>
      </c>
      <c r="B2638" t="s" s="834">
        <v>1825</v>
      </c>
      <c r="C2638" t="s" s="834">
        <v>617</v>
      </c>
      <c r="D2638" s="835">
        <v>46024</v>
      </c>
      <c r="E2638" t="s" s="834">
        <v>478</v>
      </c>
      <c r="F2638" t="s" s="834">
        <v>478</v>
      </c>
      <c r="G2638" s="570"/>
      <c r="H2638" s="570"/>
      <c r="I2638" s="570"/>
      <c r="J2638" s="570"/>
      <c r="K2638" s="570"/>
    </row>
    <row r="2639" ht="13.75" customHeight="1">
      <c r="A2639" s="833">
        <v>13</v>
      </c>
      <c r="B2639" t="s" s="834">
        <v>1825</v>
      </c>
      <c r="C2639" t="s" s="834">
        <v>617</v>
      </c>
      <c r="D2639" s="835">
        <v>46025</v>
      </c>
      <c r="E2639" t="s" s="834">
        <v>478</v>
      </c>
      <c r="F2639" t="s" s="834">
        <v>478</v>
      </c>
      <c r="G2639" s="570"/>
      <c r="H2639" s="570"/>
      <c r="I2639" s="570"/>
      <c r="J2639" s="570"/>
      <c r="K2639" s="570"/>
    </row>
    <row r="2640" ht="13.75" customHeight="1">
      <c r="A2640" s="833">
        <v>13</v>
      </c>
      <c r="B2640" t="s" s="834">
        <v>1825</v>
      </c>
      <c r="C2640" t="s" s="834">
        <v>617</v>
      </c>
      <c r="D2640" s="835">
        <v>46026</v>
      </c>
      <c r="E2640" t="s" s="834">
        <v>478</v>
      </c>
      <c r="F2640" t="s" s="834">
        <v>478</v>
      </c>
      <c r="G2640" s="570"/>
      <c r="H2640" s="570"/>
      <c r="I2640" s="570"/>
      <c r="J2640" s="570"/>
      <c r="K2640" s="570"/>
    </row>
    <row r="2641" ht="13.75" customHeight="1">
      <c r="A2641" s="833">
        <v>13</v>
      </c>
      <c r="B2641" t="s" s="834">
        <v>1825</v>
      </c>
      <c r="C2641" t="s" s="834">
        <v>617</v>
      </c>
      <c r="D2641" s="835">
        <v>46027</v>
      </c>
      <c r="E2641" t="s" s="834">
        <v>478</v>
      </c>
      <c r="F2641" t="s" s="834">
        <v>478</v>
      </c>
      <c r="G2641" s="570"/>
      <c r="H2641" s="570"/>
      <c r="I2641" s="570"/>
      <c r="J2641" s="570"/>
      <c r="K2641" s="570"/>
    </row>
    <row r="2642" ht="13.75" customHeight="1">
      <c r="A2642" s="833">
        <v>13</v>
      </c>
      <c r="B2642" t="s" s="834">
        <v>1825</v>
      </c>
      <c r="C2642" t="s" s="834">
        <v>617</v>
      </c>
      <c r="D2642" s="835">
        <v>46028</v>
      </c>
      <c r="E2642" t="s" s="834">
        <v>478</v>
      </c>
      <c r="F2642" t="s" s="834">
        <v>478</v>
      </c>
      <c r="G2642" s="570"/>
      <c r="H2642" s="570"/>
      <c r="I2642" s="570"/>
      <c r="J2642" s="570"/>
      <c r="K2642" s="570"/>
    </row>
    <row r="2643" ht="13.75" customHeight="1">
      <c r="A2643" s="833">
        <v>13</v>
      </c>
      <c r="B2643" t="s" s="834">
        <v>1825</v>
      </c>
      <c r="C2643" t="s" s="834">
        <v>617</v>
      </c>
      <c r="D2643" s="835">
        <v>46029</v>
      </c>
      <c r="E2643" t="s" s="834">
        <v>478</v>
      </c>
      <c r="F2643" t="s" s="834">
        <v>478</v>
      </c>
      <c r="G2643" s="570"/>
      <c r="H2643" s="570"/>
      <c r="I2643" s="570"/>
      <c r="J2643" s="570"/>
      <c r="K2643" s="570"/>
    </row>
    <row r="2644" ht="13.75" customHeight="1">
      <c r="A2644" s="833">
        <v>13</v>
      </c>
      <c r="B2644" t="s" s="834">
        <v>1825</v>
      </c>
      <c r="C2644" t="s" s="834">
        <v>617</v>
      </c>
      <c r="D2644" s="835">
        <v>46030</v>
      </c>
      <c r="E2644" t="s" s="834">
        <v>478</v>
      </c>
      <c r="F2644" t="s" s="834">
        <v>478</v>
      </c>
      <c r="G2644" s="570"/>
      <c r="H2644" s="570"/>
      <c r="I2644" s="570"/>
      <c r="J2644" s="570"/>
      <c r="K2644" s="570"/>
    </row>
    <row r="2645" ht="13.75" customHeight="1">
      <c r="A2645" s="833">
        <v>13</v>
      </c>
      <c r="B2645" t="s" s="834">
        <v>1825</v>
      </c>
      <c r="C2645" t="s" s="834">
        <v>617</v>
      </c>
      <c r="D2645" s="835">
        <v>46031</v>
      </c>
      <c r="E2645" t="s" s="834">
        <v>478</v>
      </c>
      <c r="F2645" t="s" s="834">
        <v>478</v>
      </c>
      <c r="G2645" s="570"/>
      <c r="H2645" s="570"/>
      <c r="I2645" s="570"/>
      <c r="J2645" s="570"/>
      <c r="K2645" s="570"/>
    </row>
    <row r="2646" ht="13.75" customHeight="1">
      <c r="A2646" s="833">
        <v>13</v>
      </c>
      <c r="B2646" t="s" s="834">
        <v>1825</v>
      </c>
      <c r="C2646" t="s" s="834">
        <v>617</v>
      </c>
      <c r="D2646" s="835">
        <v>46032</v>
      </c>
      <c r="E2646" t="s" s="834">
        <v>478</v>
      </c>
      <c r="F2646" t="s" s="834">
        <v>478</v>
      </c>
      <c r="G2646" s="570"/>
      <c r="H2646" s="570"/>
      <c r="I2646" s="570"/>
      <c r="J2646" s="570"/>
      <c r="K2646" s="570"/>
    </row>
    <row r="2647" ht="13.75" customHeight="1">
      <c r="A2647" s="833">
        <v>13</v>
      </c>
      <c r="B2647" t="s" s="834">
        <v>1825</v>
      </c>
      <c r="C2647" t="s" s="834">
        <v>617</v>
      </c>
      <c r="D2647" s="835">
        <v>46033</v>
      </c>
      <c r="E2647" t="s" s="834">
        <v>478</v>
      </c>
      <c r="F2647" t="s" s="834">
        <v>478</v>
      </c>
      <c r="G2647" s="570"/>
      <c r="H2647" s="570"/>
      <c r="I2647" s="570"/>
      <c r="J2647" s="570"/>
      <c r="K2647" s="570"/>
    </row>
    <row r="2648" ht="13.75" customHeight="1">
      <c r="A2648" s="833">
        <v>13</v>
      </c>
      <c r="B2648" t="s" s="834">
        <v>1825</v>
      </c>
      <c r="C2648" t="s" s="834">
        <v>617</v>
      </c>
      <c r="D2648" s="835">
        <v>46034</v>
      </c>
      <c r="E2648" t="s" s="834">
        <v>478</v>
      </c>
      <c r="F2648" t="s" s="834">
        <v>478</v>
      </c>
      <c r="G2648" s="570"/>
      <c r="H2648" s="570"/>
      <c r="I2648" s="570"/>
      <c r="J2648" s="570"/>
      <c r="K2648" s="570"/>
    </row>
    <row r="2649" ht="13.75" customHeight="1">
      <c r="A2649" s="833">
        <v>13</v>
      </c>
      <c r="B2649" t="s" s="834">
        <v>1825</v>
      </c>
      <c r="C2649" t="s" s="834">
        <v>617</v>
      </c>
      <c r="D2649" s="835">
        <v>46035</v>
      </c>
      <c r="E2649" t="s" s="834">
        <v>478</v>
      </c>
      <c r="F2649" t="s" s="834">
        <v>478</v>
      </c>
      <c r="G2649" s="570"/>
      <c r="H2649" s="570"/>
      <c r="I2649" s="570"/>
      <c r="J2649" s="570"/>
      <c r="K2649" s="570"/>
    </row>
    <row r="2650" ht="13.75" customHeight="1">
      <c r="A2650" s="833">
        <v>13</v>
      </c>
      <c r="B2650" t="s" s="834">
        <v>1825</v>
      </c>
      <c r="C2650" t="s" s="834">
        <v>617</v>
      </c>
      <c r="D2650" s="835">
        <v>46036</v>
      </c>
      <c r="E2650" t="s" s="834">
        <v>478</v>
      </c>
      <c r="F2650" t="s" s="834">
        <v>478</v>
      </c>
      <c r="G2650" s="570"/>
      <c r="H2650" s="570"/>
      <c r="I2650" s="570"/>
      <c r="J2650" s="570"/>
      <c r="K2650" s="570"/>
    </row>
    <row r="2651" ht="13.75" customHeight="1">
      <c r="A2651" s="833">
        <v>13</v>
      </c>
      <c r="B2651" t="s" s="834">
        <v>1825</v>
      </c>
      <c r="C2651" t="s" s="834">
        <v>617</v>
      </c>
      <c r="D2651" s="835">
        <v>46037</v>
      </c>
      <c r="E2651" t="s" s="834">
        <v>478</v>
      </c>
      <c r="F2651" t="s" s="834">
        <v>478</v>
      </c>
      <c r="G2651" s="570"/>
      <c r="H2651" s="570"/>
      <c r="I2651" s="570"/>
      <c r="J2651" s="570"/>
      <c r="K2651" s="570"/>
    </row>
    <row r="2652" ht="13.75" customHeight="1">
      <c r="A2652" s="833">
        <v>13</v>
      </c>
      <c r="B2652" t="s" s="834">
        <v>1825</v>
      </c>
      <c r="C2652" t="s" s="834">
        <v>617</v>
      </c>
      <c r="D2652" s="835">
        <v>46038</v>
      </c>
      <c r="E2652" t="s" s="834">
        <v>478</v>
      </c>
      <c r="F2652" t="s" s="834">
        <v>478</v>
      </c>
      <c r="G2652" s="570"/>
      <c r="H2652" s="570"/>
      <c r="I2652" s="570"/>
      <c r="J2652" s="570"/>
      <c r="K2652" s="570"/>
    </row>
    <row r="2653" ht="13.75" customHeight="1">
      <c r="A2653" s="833">
        <v>13</v>
      </c>
      <c r="B2653" t="s" s="834">
        <v>1825</v>
      </c>
      <c r="C2653" t="s" s="834">
        <v>617</v>
      </c>
      <c r="D2653" s="835">
        <v>46039</v>
      </c>
      <c r="E2653" t="s" s="834">
        <v>478</v>
      </c>
      <c r="F2653" t="s" s="834">
        <v>478</v>
      </c>
      <c r="G2653" s="570"/>
      <c r="H2653" s="570"/>
      <c r="I2653" s="570"/>
      <c r="J2653" s="570"/>
      <c r="K2653" s="570"/>
    </row>
    <row r="2654" ht="13.75" customHeight="1">
      <c r="A2654" s="833">
        <v>13</v>
      </c>
      <c r="B2654" t="s" s="834">
        <v>1825</v>
      </c>
      <c r="C2654" t="s" s="834">
        <v>617</v>
      </c>
      <c r="D2654" s="835">
        <v>46040</v>
      </c>
      <c r="E2654" t="s" s="834">
        <v>478</v>
      </c>
      <c r="F2654" t="s" s="834">
        <v>478</v>
      </c>
      <c r="G2654" s="570"/>
      <c r="H2654" s="570"/>
      <c r="I2654" s="570"/>
      <c r="J2654" s="570"/>
      <c r="K2654" s="570"/>
    </row>
    <row r="2655" ht="13.75" customHeight="1">
      <c r="A2655" s="833">
        <v>13</v>
      </c>
      <c r="B2655" t="s" s="834">
        <v>1825</v>
      </c>
      <c r="C2655" t="s" s="834">
        <v>617</v>
      </c>
      <c r="D2655" s="835">
        <v>46041</v>
      </c>
      <c r="E2655" t="s" s="834">
        <v>478</v>
      </c>
      <c r="F2655" t="s" s="834">
        <v>478</v>
      </c>
      <c r="G2655" s="570"/>
      <c r="H2655" s="570"/>
      <c r="I2655" s="570"/>
      <c r="J2655" s="570"/>
      <c r="K2655" s="570"/>
    </row>
    <row r="2656" ht="13.75" customHeight="1">
      <c r="A2656" s="833">
        <v>13</v>
      </c>
      <c r="B2656" t="s" s="834">
        <v>1825</v>
      </c>
      <c r="C2656" t="s" s="834">
        <v>617</v>
      </c>
      <c r="D2656" s="835">
        <v>46042</v>
      </c>
      <c r="E2656" t="s" s="834">
        <v>478</v>
      </c>
      <c r="F2656" t="s" s="834">
        <v>478</v>
      </c>
      <c r="G2656" s="570"/>
      <c r="H2656" s="570"/>
      <c r="I2656" s="570"/>
      <c r="J2656" s="570"/>
      <c r="K2656" s="570"/>
    </row>
    <row r="2657" ht="13.75" customHeight="1">
      <c r="A2657" s="833">
        <v>13</v>
      </c>
      <c r="B2657" t="s" s="834">
        <v>1825</v>
      </c>
      <c r="C2657" t="s" s="834">
        <v>617</v>
      </c>
      <c r="D2657" s="835">
        <v>46043</v>
      </c>
      <c r="E2657" t="s" s="834">
        <v>478</v>
      </c>
      <c r="F2657" t="s" s="834">
        <v>478</v>
      </c>
      <c r="G2657" s="570"/>
      <c r="H2657" s="570"/>
      <c r="I2657" s="570"/>
      <c r="J2657" s="570"/>
      <c r="K2657" s="570"/>
    </row>
    <row r="2658" ht="13.75" customHeight="1">
      <c r="A2658" s="833">
        <v>13</v>
      </c>
      <c r="B2658" t="s" s="834">
        <v>1825</v>
      </c>
      <c r="C2658" t="s" s="834">
        <v>617</v>
      </c>
      <c r="D2658" s="835">
        <v>46044</v>
      </c>
      <c r="E2658" t="s" s="834">
        <v>478</v>
      </c>
      <c r="F2658" t="s" s="834">
        <v>478</v>
      </c>
      <c r="G2658" s="570"/>
      <c r="H2658" s="570"/>
      <c r="I2658" s="570"/>
      <c r="J2658" s="570"/>
      <c r="K2658" s="570"/>
    </row>
    <row r="2659" ht="13.75" customHeight="1">
      <c r="A2659" s="833">
        <v>13</v>
      </c>
      <c r="B2659" t="s" s="834">
        <v>1825</v>
      </c>
      <c r="C2659" t="s" s="834">
        <v>617</v>
      </c>
      <c r="D2659" s="835">
        <v>46045</v>
      </c>
      <c r="E2659" t="s" s="834">
        <v>478</v>
      </c>
      <c r="F2659" t="s" s="834">
        <v>478</v>
      </c>
      <c r="G2659" s="570"/>
      <c r="H2659" s="570"/>
      <c r="I2659" s="570"/>
      <c r="J2659" s="570"/>
      <c r="K2659" s="570"/>
    </row>
    <row r="2660" ht="13.75" customHeight="1">
      <c r="A2660" s="833">
        <v>13</v>
      </c>
      <c r="B2660" t="s" s="834">
        <v>1825</v>
      </c>
      <c r="C2660" t="s" s="834">
        <v>617</v>
      </c>
      <c r="D2660" s="835">
        <v>46046</v>
      </c>
      <c r="E2660" t="s" s="834">
        <v>478</v>
      </c>
      <c r="F2660" t="s" s="834">
        <v>478</v>
      </c>
      <c r="G2660" s="570"/>
      <c r="H2660" s="570"/>
      <c r="I2660" s="570"/>
      <c r="J2660" s="570"/>
      <c r="K2660" s="570"/>
    </row>
    <row r="2661" ht="13.75" customHeight="1">
      <c r="A2661" s="833">
        <v>13</v>
      </c>
      <c r="B2661" t="s" s="834">
        <v>1825</v>
      </c>
      <c r="C2661" t="s" s="834">
        <v>617</v>
      </c>
      <c r="D2661" s="835">
        <v>46047</v>
      </c>
      <c r="E2661" t="s" s="834">
        <v>478</v>
      </c>
      <c r="F2661" t="s" s="834">
        <v>478</v>
      </c>
      <c r="G2661" s="570"/>
      <c r="H2661" s="570"/>
      <c r="I2661" s="570"/>
      <c r="J2661" s="570"/>
      <c r="K2661" s="570"/>
    </row>
    <row r="2662" ht="13.75" customHeight="1">
      <c r="A2662" s="833">
        <v>13</v>
      </c>
      <c r="B2662" t="s" s="834">
        <v>1825</v>
      </c>
      <c r="C2662" t="s" s="834">
        <v>617</v>
      </c>
      <c r="D2662" s="835">
        <v>46048</v>
      </c>
      <c r="E2662" t="s" s="834">
        <v>478</v>
      </c>
      <c r="F2662" t="s" s="834">
        <v>478</v>
      </c>
      <c r="G2662" s="570"/>
      <c r="H2662" s="570"/>
      <c r="I2662" s="570"/>
      <c r="J2662" s="570"/>
      <c r="K2662" s="570"/>
    </row>
    <row r="2663" ht="13.75" customHeight="1">
      <c r="A2663" s="833">
        <v>13</v>
      </c>
      <c r="B2663" t="s" s="834">
        <v>1825</v>
      </c>
      <c r="C2663" t="s" s="834">
        <v>617</v>
      </c>
      <c r="D2663" s="835">
        <v>46049</v>
      </c>
      <c r="E2663" t="s" s="834">
        <v>478</v>
      </c>
      <c r="F2663" t="s" s="834">
        <v>478</v>
      </c>
      <c r="G2663" s="570"/>
      <c r="H2663" s="570"/>
      <c r="I2663" s="570"/>
      <c r="J2663" s="570"/>
      <c r="K2663" s="570"/>
    </row>
    <row r="2664" ht="13.75" customHeight="1">
      <c r="A2664" s="833">
        <v>13</v>
      </c>
      <c r="B2664" t="s" s="834">
        <v>1825</v>
      </c>
      <c r="C2664" t="s" s="834">
        <v>617</v>
      </c>
      <c r="D2664" s="835">
        <v>46050</v>
      </c>
      <c r="E2664" t="s" s="834">
        <v>478</v>
      </c>
      <c r="F2664" t="s" s="834">
        <v>478</v>
      </c>
      <c r="G2664" s="570"/>
      <c r="H2664" s="570"/>
      <c r="I2664" s="570"/>
      <c r="J2664" s="570"/>
      <c r="K2664" s="570"/>
    </row>
    <row r="2665" ht="13.75" customHeight="1">
      <c r="A2665" s="833">
        <v>13</v>
      </c>
      <c r="B2665" t="s" s="834">
        <v>1825</v>
      </c>
      <c r="C2665" t="s" s="834">
        <v>617</v>
      </c>
      <c r="D2665" s="835">
        <v>46051</v>
      </c>
      <c r="E2665" t="s" s="834">
        <v>478</v>
      </c>
      <c r="F2665" t="s" s="834">
        <v>478</v>
      </c>
      <c r="G2665" s="570"/>
      <c r="H2665" s="570"/>
      <c r="I2665" s="570"/>
      <c r="J2665" s="570"/>
      <c r="K2665" s="570"/>
    </row>
    <row r="2666" ht="13.75" customHeight="1">
      <c r="A2666" s="833">
        <v>13</v>
      </c>
      <c r="B2666" t="s" s="834">
        <v>1825</v>
      </c>
      <c r="C2666" t="s" s="834">
        <v>617</v>
      </c>
      <c r="D2666" s="835">
        <v>46052</v>
      </c>
      <c r="E2666" t="s" s="834">
        <v>478</v>
      </c>
      <c r="F2666" t="s" s="834">
        <v>478</v>
      </c>
      <c r="G2666" s="570"/>
      <c r="H2666" s="570"/>
      <c r="I2666" s="570"/>
      <c r="J2666" s="570"/>
      <c r="K2666" s="570"/>
    </row>
    <row r="2667" ht="13.75" customHeight="1">
      <c r="A2667" s="833">
        <v>13</v>
      </c>
      <c r="B2667" t="s" s="834">
        <v>1825</v>
      </c>
      <c r="C2667" t="s" s="834">
        <v>617</v>
      </c>
      <c r="D2667" s="835">
        <v>46053</v>
      </c>
      <c r="E2667" t="s" s="834">
        <v>478</v>
      </c>
      <c r="F2667" t="s" s="834">
        <v>478</v>
      </c>
      <c r="G2667" s="570"/>
      <c r="H2667" s="570"/>
      <c r="I2667" s="570"/>
      <c r="J2667" s="570"/>
      <c r="K2667" s="570"/>
    </row>
    <row r="2668" ht="13.75" customHeight="1">
      <c r="A2668" s="833">
        <v>13</v>
      </c>
      <c r="B2668" t="s" s="834">
        <v>1825</v>
      </c>
      <c r="C2668" t="s" s="834">
        <v>617</v>
      </c>
      <c r="D2668" s="835">
        <v>46054</v>
      </c>
      <c r="E2668" t="s" s="834">
        <v>478</v>
      </c>
      <c r="F2668" t="s" s="834">
        <v>478</v>
      </c>
      <c r="G2668" s="570"/>
      <c r="H2668" s="570"/>
      <c r="I2668" s="570"/>
      <c r="J2668" s="570"/>
      <c r="K2668" s="570"/>
    </row>
    <row r="2669" ht="13.75" customHeight="1">
      <c r="A2669" s="833">
        <v>131</v>
      </c>
      <c r="B2669" t="s" s="834">
        <v>1527</v>
      </c>
      <c r="C2669" t="s" s="834">
        <v>1010</v>
      </c>
      <c r="D2669" s="835">
        <v>46023</v>
      </c>
      <c r="E2669" t="s" s="834">
        <v>478</v>
      </c>
      <c r="F2669" t="s" s="834">
        <v>478</v>
      </c>
      <c r="G2669" s="570"/>
      <c r="H2669" s="570"/>
      <c r="I2669" s="570"/>
      <c r="J2669" s="570"/>
      <c r="K2669" s="570"/>
    </row>
    <row r="2670" ht="13.75" customHeight="1">
      <c r="A2670" s="833">
        <v>131</v>
      </c>
      <c r="B2670" t="s" s="834">
        <v>1527</v>
      </c>
      <c r="C2670" t="s" s="834">
        <v>1010</v>
      </c>
      <c r="D2670" s="835">
        <v>46024</v>
      </c>
      <c r="E2670" t="s" s="834">
        <v>478</v>
      </c>
      <c r="F2670" t="s" s="834">
        <v>478</v>
      </c>
      <c r="G2670" s="570"/>
      <c r="H2670" s="570"/>
      <c r="I2670" s="570"/>
      <c r="J2670" s="570"/>
      <c r="K2670" s="570"/>
    </row>
    <row r="2671" ht="13.75" customHeight="1">
      <c r="A2671" s="833">
        <v>131</v>
      </c>
      <c r="B2671" t="s" s="834">
        <v>1527</v>
      </c>
      <c r="C2671" t="s" s="834">
        <v>1010</v>
      </c>
      <c r="D2671" s="835">
        <v>46025</v>
      </c>
      <c r="E2671" t="s" s="834">
        <v>478</v>
      </c>
      <c r="F2671" t="s" s="834">
        <v>478</v>
      </c>
      <c r="G2671" s="570"/>
      <c r="H2671" s="570"/>
      <c r="I2671" s="570"/>
      <c r="J2671" s="570"/>
      <c r="K2671" s="570"/>
    </row>
    <row r="2672" ht="13.75" customHeight="1">
      <c r="A2672" s="833">
        <v>131</v>
      </c>
      <c r="B2672" t="s" s="834">
        <v>1527</v>
      </c>
      <c r="C2672" t="s" s="834">
        <v>1010</v>
      </c>
      <c r="D2672" s="835">
        <v>46026</v>
      </c>
      <c r="E2672" t="s" s="834">
        <v>478</v>
      </c>
      <c r="F2672" t="s" s="834">
        <v>478</v>
      </c>
      <c r="G2672" s="570"/>
      <c r="H2672" s="570"/>
      <c r="I2672" s="570"/>
      <c r="J2672" s="570"/>
      <c r="K2672" s="570"/>
    </row>
    <row r="2673" ht="13.75" customHeight="1">
      <c r="A2673" s="833">
        <v>131</v>
      </c>
      <c r="B2673" t="s" s="834">
        <v>1527</v>
      </c>
      <c r="C2673" t="s" s="834">
        <v>1010</v>
      </c>
      <c r="D2673" s="835">
        <v>46027</v>
      </c>
      <c r="E2673" s="836">
        <v>1.378310185185185</v>
      </c>
      <c r="F2673" s="836">
        <v>1.810162037037037</v>
      </c>
      <c r="G2673" s="570"/>
      <c r="H2673" s="570"/>
      <c r="I2673" s="570"/>
      <c r="J2673" s="570"/>
      <c r="K2673" s="570"/>
    </row>
    <row r="2674" ht="13.75" customHeight="1">
      <c r="A2674" t="s" s="834">
        <v>1826</v>
      </c>
      <c r="B2674" t="s" s="834">
        <v>1827</v>
      </c>
      <c r="C2674" t="s" s="834">
        <v>1828</v>
      </c>
      <c r="D2674" s="570"/>
      <c r="E2674" s="570"/>
      <c r="F2674" s="570"/>
      <c r="G2674" s="570"/>
      <c r="H2674" s="570"/>
      <c r="I2674" s="570"/>
      <c r="J2674" s="570"/>
      <c r="K2674" s="570"/>
    </row>
    <row r="2675" ht="13.75" customHeight="1">
      <c r="A2675" s="833">
        <v>131</v>
      </c>
      <c r="B2675" t="s" s="834">
        <v>1527</v>
      </c>
      <c r="C2675" t="s" s="834">
        <v>1010</v>
      </c>
      <c r="D2675" s="835">
        <v>46028</v>
      </c>
      <c r="E2675" s="836">
        <v>1.541168981481482</v>
      </c>
      <c r="F2675" s="836">
        <v>1.865833333333333</v>
      </c>
      <c r="G2675" s="570"/>
      <c r="H2675" s="570"/>
      <c r="I2675" s="570"/>
      <c r="J2675" s="570"/>
      <c r="K2675" s="570"/>
    </row>
    <row r="2676" ht="13.75" customHeight="1">
      <c r="A2676" t="s" s="834">
        <v>1829</v>
      </c>
      <c r="B2676" t="s" s="834">
        <v>1830</v>
      </c>
      <c r="C2676" t="s" s="834">
        <v>1831</v>
      </c>
      <c r="D2676" s="570"/>
      <c r="E2676" s="570"/>
      <c r="F2676" s="570"/>
      <c r="G2676" s="570"/>
      <c r="H2676" s="570"/>
      <c r="I2676" s="570"/>
      <c r="J2676" s="570"/>
      <c r="K2676" s="570"/>
    </row>
    <row r="2677" ht="13.75" customHeight="1">
      <c r="A2677" s="833">
        <v>131</v>
      </c>
      <c r="B2677" t="s" s="834">
        <v>1527</v>
      </c>
      <c r="C2677" t="s" s="834">
        <v>1010</v>
      </c>
      <c r="D2677" s="835">
        <v>46029</v>
      </c>
      <c r="E2677" s="836">
        <v>1.390520833333333</v>
      </c>
      <c r="F2677" s="836">
        <v>1.831527777777778</v>
      </c>
      <c r="G2677" s="570"/>
      <c r="H2677" s="570"/>
      <c r="I2677" s="570"/>
      <c r="J2677" s="570"/>
      <c r="K2677" s="570"/>
    </row>
    <row r="2678" ht="13.75" customHeight="1">
      <c r="A2678" t="s" s="834">
        <v>1832</v>
      </c>
      <c r="B2678" t="s" s="834">
        <v>1833</v>
      </c>
      <c r="C2678" t="s" s="834">
        <v>1834</v>
      </c>
      <c r="D2678" s="570"/>
      <c r="E2678" s="570"/>
      <c r="F2678" s="570"/>
      <c r="G2678" s="570"/>
      <c r="H2678" s="570"/>
      <c r="I2678" s="570"/>
      <c r="J2678" s="570"/>
      <c r="K2678" s="570"/>
    </row>
    <row r="2679" ht="13.75" customHeight="1">
      <c r="A2679" s="833">
        <v>131</v>
      </c>
      <c r="B2679" t="s" s="834">
        <v>1527</v>
      </c>
      <c r="C2679" t="s" s="834">
        <v>1010</v>
      </c>
      <c r="D2679" s="835">
        <v>46030</v>
      </c>
      <c r="E2679" s="836">
        <v>1.398310185185185</v>
      </c>
      <c r="F2679" s="836">
        <v>1.772372685185185</v>
      </c>
      <c r="G2679" s="570"/>
      <c r="H2679" s="570"/>
      <c r="I2679" s="570"/>
      <c r="J2679" s="570"/>
      <c r="K2679" s="570"/>
    </row>
    <row r="2680" ht="13.75" customHeight="1">
      <c r="A2680" t="s" s="834">
        <v>1835</v>
      </c>
      <c r="B2680" t="s" s="834">
        <v>1836</v>
      </c>
      <c r="C2680" t="s" s="834">
        <v>559</v>
      </c>
      <c r="D2680" s="570"/>
      <c r="E2680" s="570"/>
      <c r="F2680" s="570"/>
      <c r="G2680" s="570"/>
      <c r="H2680" s="570"/>
      <c r="I2680" s="570"/>
      <c r="J2680" s="570"/>
      <c r="K2680" s="570"/>
    </row>
    <row r="2681" ht="13.75" customHeight="1">
      <c r="A2681" s="833">
        <v>131</v>
      </c>
      <c r="B2681" t="s" s="834">
        <v>1527</v>
      </c>
      <c r="C2681" t="s" s="834">
        <v>1010</v>
      </c>
      <c r="D2681" s="835">
        <v>46031</v>
      </c>
      <c r="E2681" s="836">
        <v>1.803958333333333</v>
      </c>
      <c r="F2681" t="s" s="834">
        <v>478</v>
      </c>
      <c r="G2681" s="570"/>
      <c r="H2681" s="570"/>
      <c r="I2681" s="570"/>
      <c r="J2681" s="570"/>
      <c r="K2681" s="570"/>
    </row>
    <row r="2682" ht="13.75" customHeight="1">
      <c r="A2682" t="s" s="834">
        <v>1837</v>
      </c>
      <c r="B2682" t="s" s="834">
        <v>485</v>
      </c>
      <c r="C2682" t="s" s="834">
        <v>486</v>
      </c>
      <c r="D2682" s="570"/>
      <c r="E2682" s="570"/>
      <c r="F2682" s="570"/>
      <c r="G2682" s="570"/>
      <c r="H2682" s="570"/>
      <c r="I2682" s="570"/>
      <c r="J2682" s="570"/>
      <c r="K2682" s="570"/>
    </row>
    <row r="2683" ht="13.75" customHeight="1">
      <c r="A2683" s="833">
        <v>131</v>
      </c>
      <c r="B2683" t="s" s="834">
        <v>1527</v>
      </c>
      <c r="C2683" t="s" s="834">
        <v>1010</v>
      </c>
      <c r="D2683" s="835">
        <v>46032</v>
      </c>
      <c r="E2683" s="836">
        <v>1.389513888888889</v>
      </c>
      <c r="F2683" s="836">
        <v>1.806087962962963</v>
      </c>
      <c r="G2683" s="570"/>
      <c r="H2683" s="570"/>
      <c r="I2683" s="570"/>
      <c r="J2683" s="570"/>
      <c r="K2683" s="570"/>
    </row>
    <row r="2684" ht="13.75" customHeight="1">
      <c r="A2684" t="s" s="834">
        <v>1838</v>
      </c>
      <c r="B2684" t="s" s="834">
        <v>1839</v>
      </c>
      <c r="C2684" t="s" s="834">
        <v>530</v>
      </c>
      <c r="D2684" s="570"/>
      <c r="E2684" s="570"/>
      <c r="F2684" s="570"/>
      <c r="G2684" s="570"/>
      <c r="H2684" s="570"/>
      <c r="I2684" s="570"/>
      <c r="J2684" s="570"/>
      <c r="K2684" s="570"/>
    </row>
    <row r="2685" ht="13.75" customHeight="1">
      <c r="A2685" s="833">
        <v>131</v>
      </c>
      <c r="B2685" t="s" s="834">
        <v>1527</v>
      </c>
      <c r="C2685" t="s" s="834">
        <v>1010</v>
      </c>
      <c r="D2685" s="835">
        <v>46033</v>
      </c>
      <c r="E2685" t="s" s="834">
        <v>478</v>
      </c>
      <c r="F2685" t="s" s="834">
        <v>478</v>
      </c>
      <c r="G2685" s="570"/>
      <c r="H2685" s="570"/>
      <c r="I2685" s="570"/>
      <c r="J2685" s="570"/>
      <c r="K2685" s="570"/>
    </row>
    <row r="2686" ht="13.75" customHeight="1">
      <c r="A2686" s="833">
        <v>131</v>
      </c>
      <c r="B2686" t="s" s="834">
        <v>1527</v>
      </c>
      <c r="C2686" t="s" s="834">
        <v>1010</v>
      </c>
      <c r="D2686" s="835">
        <v>46034</v>
      </c>
      <c r="E2686" s="836">
        <v>1.373113425925926</v>
      </c>
      <c r="F2686" s="836">
        <v>1.808680555555556</v>
      </c>
      <c r="G2686" s="570"/>
      <c r="H2686" s="570"/>
      <c r="I2686" s="570"/>
      <c r="J2686" s="570"/>
      <c r="K2686" s="570"/>
    </row>
    <row r="2687" ht="13.75" customHeight="1">
      <c r="A2687" t="s" s="834">
        <v>1840</v>
      </c>
      <c r="B2687" t="s" s="834">
        <v>1841</v>
      </c>
      <c r="C2687" t="s" s="834">
        <v>1212</v>
      </c>
      <c r="D2687" s="570"/>
      <c r="E2687" s="570"/>
      <c r="F2687" s="570"/>
      <c r="G2687" s="570"/>
      <c r="H2687" s="570"/>
      <c r="I2687" s="570"/>
      <c r="J2687" s="570"/>
      <c r="K2687" s="570"/>
    </row>
    <row r="2688" ht="13.75" customHeight="1">
      <c r="A2688" s="833">
        <v>131</v>
      </c>
      <c r="B2688" t="s" s="834">
        <v>1527</v>
      </c>
      <c r="C2688" t="s" s="834">
        <v>1010</v>
      </c>
      <c r="D2688" s="835">
        <v>46035</v>
      </c>
      <c r="E2688" s="836">
        <v>1.375613425925926</v>
      </c>
      <c r="F2688" s="836">
        <v>1.810902777777778</v>
      </c>
      <c r="G2688" s="570"/>
      <c r="H2688" s="570"/>
      <c r="I2688" s="570"/>
      <c r="J2688" s="570"/>
      <c r="K2688" s="570"/>
    </row>
    <row r="2689" ht="13.75" customHeight="1">
      <c r="A2689" t="s" s="834">
        <v>1842</v>
      </c>
      <c r="B2689" t="s" s="834">
        <v>1843</v>
      </c>
      <c r="C2689" t="s" s="834">
        <v>1212</v>
      </c>
      <c r="D2689" s="570"/>
      <c r="E2689" s="570"/>
      <c r="F2689" s="570"/>
      <c r="G2689" s="570"/>
      <c r="H2689" s="570"/>
      <c r="I2689" s="570"/>
      <c r="J2689" s="570"/>
      <c r="K2689" s="570"/>
    </row>
    <row r="2690" ht="13.75" customHeight="1">
      <c r="A2690" s="833">
        <v>131</v>
      </c>
      <c r="B2690" t="s" s="834">
        <v>1527</v>
      </c>
      <c r="C2690" t="s" s="834">
        <v>1010</v>
      </c>
      <c r="D2690" s="835">
        <v>46036</v>
      </c>
      <c r="E2690" s="836">
        <v>1.38849537037037</v>
      </c>
      <c r="F2690" s="836">
        <v>1.814861111111111</v>
      </c>
      <c r="G2690" s="570"/>
      <c r="H2690" s="570"/>
      <c r="I2690" s="570"/>
      <c r="J2690" s="570"/>
      <c r="K2690" s="570"/>
    </row>
    <row r="2691" ht="13.75" customHeight="1">
      <c r="A2691" t="s" s="834">
        <v>1844</v>
      </c>
      <c r="B2691" t="s" s="834">
        <v>1845</v>
      </c>
      <c r="C2691" t="s" s="834">
        <v>1549</v>
      </c>
      <c r="D2691" s="570"/>
      <c r="E2691" s="570"/>
      <c r="F2691" s="570"/>
      <c r="G2691" s="570"/>
      <c r="H2691" s="570"/>
      <c r="I2691" s="570"/>
      <c r="J2691" s="570"/>
      <c r="K2691" s="570"/>
    </row>
    <row r="2692" ht="13.75" customHeight="1">
      <c r="A2692" s="833">
        <v>131</v>
      </c>
      <c r="B2692" t="s" s="834">
        <v>1527</v>
      </c>
      <c r="C2692" t="s" s="834">
        <v>1010</v>
      </c>
      <c r="D2692" s="835">
        <v>46037</v>
      </c>
      <c r="E2692" s="836">
        <v>1.39630787037037</v>
      </c>
      <c r="F2692" s="836">
        <v>1.795289351851852</v>
      </c>
      <c r="G2692" s="570"/>
      <c r="H2692" s="570"/>
      <c r="I2692" s="570"/>
      <c r="J2692" s="570"/>
      <c r="K2692" s="570"/>
    </row>
    <row r="2693" ht="13.75" customHeight="1">
      <c r="A2693" t="s" s="834">
        <v>1846</v>
      </c>
      <c r="B2693" t="s" s="834">
        <v>1847</v>
      </c>
      <c r="C2693" t="s" s="834">
        <v>515</v>
      </c>
      <c r="D2693" s="570"/>
      <c r="E2693" s="570"/>
      <c r="F2693" s="570"/>
      <c r="G2693" s="570"/>
      <c r="H2693" s="570"/>
      <c r="I2693" s="570"/>
      <c r="J2693" s="570"/>
      <c r="K2693" s="570"/>
    </row>
    <row r="2694" ht="13.75" customHeight="1">
      <c r="A2694" s="833">
        <v>131</v>
      </c>
      <c r="B2694" t="s" s="834">
        <v>1527</v>
      </c>
      <c r="C2694" t="s" s="834">
        <v>1010</v>
      </c>
      <c r="D2694" s="835">
        <v>46038</v>
      </c>
      <c r="E2694" s="836">
        <v>1.375127314814815</v>
      </c>
      <c r="F2694" s="836">
        <v>1.830474537037037</v>
      </c>
      <c r="G2694" s="570"/>
      <c r="H2694" s="570"/>
      <c r="I2694" s="570"/>
      <c r="J2694" s="570"/>
      <c r="K2694" s="570"/>
    </row>
    <row r="2695" ht="13.75" customHeight="1">
      <c r="A2695" t="s" s="834">
        <v>1848</v>
      </c>
      <c r="B2695" t="s" s="834">
        <v>1849</v>
      </c>
      <c r="C2695" t="s" s="834">
        <v>1062</v>
      </c>
      <c r="D2695" s="570"/>
      <c r="E2695" s="570"/>
      <c r="F2695" s="570"/>
      <c r="G2695" s="570"/>
      <c r="H2695" s="570"/>
      <c r="I2695" s="570"/>
      <c r="J2695" s="570"/>
      <c r="K2695" s="570"/>
    </row>
    <row r="2696" ht="13.75" customHeight="1">
      <c r="A2696" s="833">
        <v>131</v>
      </c>
      <c r="B2696" t="s" s="834">
        <v>1527</v>
      </c>
      <c r="C2696" t="s" s="834">
        <v>1010</v>
      </c>
      <c r="D2696" s="835">
        <v>46039</v>
      </c>
      <c r="E2696" t="s" s="834">
        <v>478</v>
      </c>
      <c r="F2696" t="s" s="834">
        <v>478</v>
      </c>
      <c r="G2696" s="570"/>
      <c r="H2696" s="570"/>
      <c r="I2696" s="570"/>
      <c r="J2696" s="570"/>
      <c r="K2696" s="570"/>
    </row>
    <row r="2697" ht="13.75" customHeight="1">
      <c r="A2697" s="833">
        <v>131</v>
      </c>
      <c r="B2697" t="s" s="834">
        <v>1527</v>
      </c>
      <c r="C2697" t="s" s="834">
        <v>1010</v>
      </c>
      <c r="D2697" s="835">
        <v>46040</v>
      </c>
      <c r="E2697" t="s" s="834">
        <v>478</v>
      </c>
      <c r="F2697" t="s" s="834">
        <v>478</v>
      </c>
      <c r="G2697" s="570"/>
      <c r="H2697" s="570"/>
      <c r="I2697" s="570"/>
      <c r="J2697" s="570"/>
      <c r="K2697" s="570"/>
    </row>
    <row r="2698" ht="13.75" customHeight="1">
      <c r="A2698" s="833">
        <v>131</v>
      </c>
      <c r="B2698" t="s" s="834">
        <v>1527</v>
      </c>
      <c r="C2698" t="s" s="834">
        <v>1010</v>
      </c>
      <c r="D2698" s="835">
        <v>46041</v>
      </c>
      <c r="E2698" s="836">
        <v>1.379756944444444</v>
      </c>
      <c r="F2698" s="836">
        <v>1.815636574074074</v>
      </c>
      <c r="G2698" s="570"/>
      <c r="H2698" s="570"/>
      <c r="I2698" s="570"/>
      <c r="J2698" s="570"/>
      <c r="K2698" s="570"/>
    </row>
    <row r="2699" ht="13.75" customHeight="1">
      <c r="A2699" t="s" s="834">
        <v>1850</v>
      </c>
      <c r="B2699" t="s" s="834">
        <v>1851</v>
      </c>
      <c r="C2699" t="s" s="834">
        <v>1526</v>
      </c>
      <c r="D2699" s="570"/>
      <c r="E2699" s="570"/>
      <c r="F2699" s="570"/>
      <c r="G2699" s="570"/>
      <c r="H2699" s="570"/>
      <c r="I2699" s="570"/>
      <c r="J2699" s="570"/>
      <c r="K2699" s="570"/>
    </row>
    <row r="2700" ht="13.75" customHeight="1">
      <c r="A2700" s="833">
        <v>131</v>
      </c>
      <c r="B2700" t="s" s="834">
        <v>1527</v>
      </c>
      <c r="C2700" t="s" s="834">
        <v>1010</v>
      </c>
      <c r="D2700" s="835">
        <v>46042</v>
      </c>
      <c r="E2700" s="836">
        <v>1.885613425925926</v>
      </c>
      <c r="F2700" s="836">
        <v>1.885625</v>
      </c>
      <c r="G2700" s="570"/>
      <c r="H2700" s="570"/>
      <c r="I2700" s="570"/>
      <c r="J2700" s="570"/>
      <c r="K2700" s="570"/>
    </row>
    <row r="2701" ht="13.75" customHeight="1">
      <c r="A2701" t="s" s="834">
        <v>1852</v>
      </c>
      <c r="B2701" t="s" s="834">
        <v>1853</v>
      </c>
      <c r="C2701" t="s" s="834">
        <v>486</v>
      </c>
      <c r="D2701" s="570"/>
      <c r="E2701" s="570"/>
      <c r="F2701" s="570"/>
      <c r="G2701" s="570"/>
      <c r="H2701" s="570"/>
      <c r="I2701" s="570"/>
      <c r="J2701" s="570"/>
      <c r="K2701" s="570"/>
    </row>
    <row r="2702" ht="13.75" customHeight="1">
      <c r="A2702" s="833">
        <v>131</v>
      </c>
      <c r="B2702" t="s" s="834">
        <v>1527</v>
      </c>
      <c r="C2702" t="s" s="834">
        <v>1010</v>
      </c>
      <c r="D2702" s="835">
        <v>46043</v>
      </c>
      <c r="E2702" s="836">
        <v>1.417256944444444</v>
      </c>
      <c r="F2702" s="836">
        <v>1.81349537037037</v>
      </c>
      <c r="G2702" s="570"/>
      <c r="H2702" s="570"/>
      <c r="I2702" s="570"/>
      <c r="J2702" s="570"/>
      <c r="K2702" s="570"/>
    </row>
    <row r="2703" ht="13.75" customHeight="1">
      <c r="A2703" t="s" s="834">
        <v>1854</v>
      </c>
      <c r="B2703" t="s" s="834">
        <v>1855</v>
      </c>
      <c r="C2703" t="s" s="834">
        <v>683</v>
      </c>
      <c r="D2703" s="570"/>
      <c r="E2703" s="570"/>
      <c r="F2703" s="570"/>
      <c r="G2703" s="570"/>
      <c r="H2703" s="570"/>
      <c r="I2703" s="570"/>
      <c r="J2703" s="570"/>
      <c r="K2703" s="570"/>
    </row>
    <row r="2704" ht="13.75" customHeight="1">
      <c r="A2704" s="833">
        <v>131</v>
      </c>
      <c r="B2704" t="s" s="834">
        <v>1527</v>
      </c>
      <c r="C2704" t="s" s="834">
        <v>1010</v>
      </c>
      <c r="D2704" s="835">
        <v>46044</v>
      </c>
      <c r="E2704" s="836">
        <v>1.398680555555555</v>
      </c>
      <c r="F2704" s="836">
        <v>1.858912037037037</v>
      </c>
      <c r="G2704" s="570"/>
      <c r="H2704" s="570"/>
      <c r="I2704" s="570"/>
      <c r="J2704" s="570"/>
      <c r="K2704" s="570"/>
    </row>
    <row r="2705" ht="13.75" customHeight="1">
      <c r="A2705" t="s" s="834">
        <v>1856</v>
      </c>
      <c r="B2705" t="s" s="834">
        <v>1857</v>
      </c>
      <c r="C2705" t="s" s="834">
        <v>1858</v>
      </c>
      <c r="D2705" s="570"/>
      <c r="E2705" s="570"/>
      <c r="F2705" s="570"/>
      <c r="G2705" s="570"/>
      <c r="H2705" s="570"/>
      <c r="I2705" s="570"/>
      <c r="J2705" s="570"/>
      <c r="K2705" s="570"/>
    </row>
    <row r="2706" ht="13.75" customHeight="1">
      <c r="A2706" s="833">
        <v>131</v>
      </c>
      <c r="B2706" t="s" s="834">
        <v>1527</v>
      </c>
      <c r="C2706" t="s" s="834">
        <v>1010</v>
      </c>
      <c r="D2706" s="835">
        <v>46045</v>
      </c>
      <c r="E2706" s="836">
        <v>1.581446759259259</v>
      </c>
      <c r="F2706" s="836">
        <v>1.909664351851852</v>
      </c>
      <c r="G2706" s="570"/>
      <c r="H2706" s="570"/>
      <c r="I2706" s="570"/>
      <c r="J2706" s="570"/>
      <c r="K2706" s="570"/>
    </row>
    <row r="2707" ht="13.75" customHeight="1">
      <c r="A2707" t="s" s="834">
        <v>1859</v>
      </c>
      <c r="B2707" t="s" s="834">
        <v>1860</v>
      </c>
      <c r="C2707" t="s" s="834">
        <v>1861</v>
      </c>
      <c r="D2707" s="570"/>
      <c r="E2707" s="570"/>
      <c r="F2707" s="570"/>
      <c r="G2707" s="570"/>
      <c r="H2707" s="570"/>
      <c r="I2707" s="570"/>
      <c r="J2707" s="570"/>
      <c r="K2707" s="570"/>
    </row>
    <row r="2708" ht="13.75" customHeight="1">
      <c r="A2708" s="833">
        <v>131</v>
      </c>
      <c r="B2708" t="s" s="834">
        <v>1527</v>
      </c>
      <c r="C2708" t="s" s="834">
        <v>1010</v>
      </c>
      <c r="D2708" s="835">
        <v>46046</v>
      </c>
      <c r="E2708" t="s" s="834">
        <v>478</v>
      </c>
      <c r="F2708" t="s" s="834">
        <v>478</v>
      </c>
      <c r="G2708" s="570"/>
      <c r="H2708" s="570"/>
      <c r="I2708" s="570"/>
      <c r="J2708" s="570"/>
      <c r="K2708" s="570"/>
    </row>
    <row r="2709" ht="13.75" customHeight="1">
      <c r="A2709" s="833">
        <v>131</v>
      </c>
      <c r="B2709" t="s" s="834">
        <v>1527</v>
      </c>
      <c r="C2709" t="s" s="834">
        <v>1010</v>
      </c>
      <c r="D2709" s="835">
        <v>46047</v>
      </c>
      <c r="E2709" t="s" s="834">
        <v>478</v>
      </c>
      <c r="F2709" t="s" s="834">
        <v>478</v>
      </c>
      <c r="G2709" s="570"/>
      <c r="H2709" s="570"/>
      <c r="I2709" s="570"/>
      <c r="J2709" s="570"/>
      <c r="K2709" s="570"/>
    </row>
    <row r="2710" ht="13.75" customHeight="1">
      <c r="A2710" s="833">
        <v>131</v>
      </c>
      <c r="B2710" t="s" s="834">
        <v>1527</v>
      </c>
      <c r="C2710" t="s" s="834">
        <v>1010</v>
      </c>
      <c r="D2710" s="835">
        <v>46048</v>
      </c>
      <c r="E2710" s="836">
        <v>1.388217592592593</v>
      </c>
      <c r="F2710" s="836">
        <v>1.770671296296296</v>
      </c>
      <c r="G2710" s="570"/>
      <c r="H2710" s="570"/>
      <c r="I2710" s="570"/>
      <c r="J2710" s="570"/>
      <c r="K2710" s="570"/>
    </row>
    <row r="2711" ht="13.75" customHeight="1">
      <c r="A2711" t="s" s="834">
        <v>1862</v>
      </c>
      <c r="B2711" t="s" s="834">
        <v>1863</v>
      </c>
      <c r="C2711" t="s" s="834">
        <v>540</v>
      </c>
      <c r="D2711" s="570"/>
      <c r="E2711" s="570"/>
      <c r="F2711" s="570"/>
      <c r="G2711" s="570"/>
      <c r="H2711" s="570"/>
      <c r="I2711" s="570"/>
      <c r="J2711" s="570"/>
      <c r="K2711" s="570"/>
    </row>
    <row r="2712" ht="13.75" customHeight="1">
      <c r="A2712" s="833">
        <v>131</v>
      </c>
      <c r="B2712" t="s" s="834">
        <v>1527</v>
      </c>
      <c r="C2712" t="s" s="834">
        <v>1010</v>
      </c>
      <c r="D2712" s="835">
        <v>46049</v>
      </c>
      <c r="E2712" s="836">
        <v>1.384652777777778</v>
      </c>
      <c r="F2712" s="836">
        <v>1.861354166666667</v>
      </c>
      <c r="G2712" s="570"/>
      <c r="H2712" s="570"/>
      <c r="I2712" s="570"/>
      <c r="J2712" s="570"/>
      <c r="K2712" s="570"/>
    </row>
    <row r="2713" ht="13.75" customHeight="1">
      <c r="A2713" t="s" s="834">
        <v>1864</v>
      </c>
      <c r="B2713" t="s" s="834">
        <v>1865</v>
      </c>
      <c r="C2713" t="s" s="834">
        <v>1866</v>
      </c>
      <c r="D2713" s="570"/>
      <c r="E2713" s="570"/>
      <c r="F2713" s="570"/>
      <c r="G2713" s="570"/>
      <c r="H2713" s="570"/>
      <c r="I2713" s="570"/>
      <c r="J2713" s="570"/>
      <c r="K2713" s="570"/>
    </row>
    <row r="2714" ht="13.75" customHeight="1">
      <c r="A2714" s="833">
        <v>131</v>
      </c>
      <c r="B2714" t="s" s="834">
        <v>1527</v>
      </c>
      <c r="C2714" t="s" s="834">
        <v>1010</v>
      </c>
      <c r="D2714" s="835">
        <v>46050</v>
      </c>
      <c r="E2714" s="836">
        <v>1.587766203703704</v>
      </c>
      <c r="F2714" s="836">
        <v>1.820474537037037</v>
      </c>
      <c r="G2714" s="570"/>
      <c r="H2714" s="570"/>
      <c r="I2714" s="570"/>
      <c r="J2714" s="570"/>
      <c r="K2714" s="570"/>
    </row>
    <row r="2715" ht="13.75" customHeight="1">
      <c r="A2715" t="s" s="834">
        <v>1867</v>
      </c>
      <c r="B2715" t="s" s="834">
        <v>1868</v>
      </c>
      <c r="C2715" t="s" s="834">
        <v>1869</v>
      </c>
      <c r="D2715" s="570"/>
      <c r="E2715" s="570"/>
      <c r="F2715" s="570"/>
      <c r="G2715" s="570"/>
      <c r="H2715" s="570"/>
      <c r="I2715" s="570"/>
      <c r="J2715" s="570"/>
      <c r="K2715" s="570"/>
    </row>
    <row r="2716" ht="13.75" customHeight="1">
      <c r="A2716" s="833">
        <v>131</v>
      </c>
      <c r="B2716" t="s" s="834">
        <v>1527</v>
      </c>
      <c r="C2716" t="s" s="834">
        <v>1010</v>
      </c>
      <c r="D2716" s="835">
        <v>46051</v>
      </c>
      <c r="E2716" s="836">
        <v>1.388217592592593</v>
      </c>
      <c r="F2716" s="836">
        <v>1.840983796296296</v>
      </c>
      <c r="G2716" s="570"/>
      <c r="H2716" s="570"/>
      <c r="I2716" s="570"/>
      <c r="J2716" s="570"/>
      <c r="K2716" s="570"/>
    </row>
    <row r="2717" ht="13.75" customHeight="1">
      <c r="A2717" t="s" s="834">
        <v>1870</v>
      </c>
      <c r="B2717" t="s" s="834">
        <v>1871</v>
      </c>
      <c r="C2717" t="s" s="834">
        <v>1133</v>
      </c>
      <c r="D2717" s="570"/>
      <c r="E2717" s="570"/>
      <c r="F2717" s="570"/>
      <c r="G2717" s="570"/>
      <c r="H2717" s="570"/>
      <c r="I2717" s="570"/>
      <c r="J2717" s="570"/>
      <c r="K2717" s="570"/>
    </row>
    <row r="2718" ht="13.75" customHeight="1">
      <c r="A2718" s="833">
        <v>131</v>
      </c>
      <c r="B2718" t="s" s="834">
        <v>1527</v>
      </c>
      <c r="C2718" t="s" s="834">
        <v>1010</v>
      </c>
      <c r="D2718" s="835">
        <v>46052</v>
      </c>
      <c r="E2718" s="836">
        <v>1.424467592592593</v>
      </c>
      <c r="F2718" s="836">
        <v>1.424502314814815</v>
      </c>
      <c r="G2718" s="570"/>
      <c r="H2718" s="570"/>
      <c r="I2718" s="570"/>
      <c r="J2718" s="570"/>
      <c r="K2718" s="570"/>
    </row>
    <row r="2719" ht="13.75" customHeight="1">
      <c r="A2719" t="s" s="834">
        <v>1872</v>
      </c>
      <c r="B2719" t="s" s="834">
        <v>1873</v>
      </c>
      <c r="C2719" t="s" s="834">
        <v>486</v>
      </c>
      <c r="D2719" s="570"/>
      <c r="E2719" s="570"/>
      <c r="F2719" s="570"/>
      <c r="G2719" s="570"/>
      <c r="H2719" s="570"/>
      <c r="I2719" s="570"/>
      <c r="J2719" s="570"/>
      <c r="K2719" s="570"/>
    </row>
    <row r="2720" ht="13.75" customHeight="1">
      <c r="A2720" s="833">
        <v>131</v>
      </c>
      <c r="B2720" t="s" s="834">
        <v>1527</v>
      </c>
      <c r="C2720" t="s" s="834">
        <v>1010</v>
      </c>
      <c r="D2720" s="835">
        <v>46053</v>
      </c>
      <c r="E2720" t="s" s="834">
        <v>478</v>
      </c>
      <c r="F2720" t="s" s="834">
        <v>478</v>
      </c>
      <c r="G2720" s="570"/>
      <c r="H2720" s="570"/>
      <c r="I2720" s="570"/>
      <c r="J2720" s="570"/>
      <c r="K2720" s="570"/>
    </row>
    <row r="2721" ht="13.75" customHeight="1">
      <c r="A2721" s="833">
        <v>131</v>
      </c>
      <c r="B2721" t="s" s="834">
        <v>1527</v>
      </c>
      <c r="C2721" t="s" s="834">
        <v>1010</v>
      </c>
      <c r="D2721" s="835">
        <v>46054</v>
      </c>
      <c r="E2721" t="s" s="834">
        <v>478</v>
      </c>
      <c r="F2721" t="s" s="834">
        <v>478</v>
      </c>
      <c r="G2721" s="570"/>
      <c r="H2721" s="570"/>
      <c r="I2721" s="570"/>
      <c r="J2721" s="570"/>
      <c r="K2721" s="570"/>
    </row>
    <row r="2722" ht="13.75" customHeight="1">
      <c r="A2722" s="833">
        <v>133</v>
      </c>
      <c r="B2722" t="s" s="834">
        <v>1874</v>
      </c>
      <c r="C2722" t="s" s="834">
        <v>700</v>
      </c>
      <c r="D2722" s="835">
        <v>46023</v>
      </c>
      <c r="E2722" t="s" s="834">
        <v>478</v>
      </c>
      <c r="F2722" t="s" s="834">
        <v>478</v>
      </c>
      <c r="G2722" s="570"/>
      <c r="H2722" s="570"/>
      <c r="I2722" s="570"/>
      <c r="J2722" s="570"/>
      <c r="K2722" s="570"/>
    </row>
    <row r="2723" ht="13.75" customHeight="1">
      <c r="A2723" s="833">
        <v>133</v>
      </c>
      <c r="B2723" t="s" s="834">
        <v>1874</v>
      </c>
      <c r="C2723" t="s" s="834">
        <v>700</v>
      </c>
      <c r="D2723" s="835">
        <v>46024</v>
      </c>
      <c r="E2723" t="s" s="834">
        <v>478</v>
      </c>
      <c r="F2723" t="s" s="834">
        <v>478</v>
      </c>
      <c r="G2723" s="570"/>
      <c r="H2723" s="570"/>
      <c r="I2723" s="570"/>
      <c r="J2723" s="570"/>
      <c r="K2723" s="570"/>
    </row>
    <row r="2724" ht="13.75" customHeight="1">
      <c r="A2724" s="833">
        <v>133</v>
      </c>
      <c r="B2724" t="s" s="834">
        <v>1874</v>
      </c>
      <c r="C2724" t="s" s="834">
        <v>700</v>
      </c>
      <c r="D2724" s="835">
        <v>46025</v>
      </c>
      <c r="E2724" t="s" s="834">
        <v>478</v>
      </c>
      <c r="F2724" t="s" s="834">
        <v>478</v>
      </c>
      <c r="G2724" s="570"/>
      <c r="H2724" s="570"/>
      <c r="I2724" s="570"/>
      <c r="J2724" s="570"/>
      <c r="K2724" s="570"/>
    </row>
    <row r="2725" ht="13.75" customHeight="1">
      <c r="A2725" s="833">
        <v>133</v>
      </c>
      <c r="B2725" t="s" s="834">
        <v>1874</v>
      </c>
      <c r="C2725" t="s" s="834">
        <v>700</v>
      </c>
      <c r="D2725" s="835">
        <v>46026</v>
      </c>
      <c r="E2725" t="s" s="834">
        <v>478</v>
      </c>
      <c r="F2725" t="s" s="834">
        <v>478</v>
      </c>
      <c r="G2725" s="570"/>
      <c r="H2725" s="570"/>
      <c r="I2725" s="570"/>
      <c r="J2725" s="570"/>
      <c r="K2725" s="570"/>
    </row>
    <row r="2726" ht="13.75" customHeight="1">
      <c r="A2726" s="833">
        <v>133</v>
      </c>
      <c r="B2726" t="s" s="834">
        <v>1874</v>
      </c>
      <c r="C2726" t="s" s="834">
        <v>700</v>
      </c>
      <c r="D2726" s="835">
        <v>46027</v>
      </c>
      <c r="E2726" s="836">
        <v>1.918263888888889</v>
      </c>
      <c r="F2726" t="s" s="834">
        <v>478</v>
      </c>
      <c r="G2726" s="570"/>
      <c r="H2726" s="570"/>
      <c r="I2726" s="570"/>
      <c r="J2726" s="570"/>
      <c r="K2726" s="570"/>
    </row>
    <row r="2727" ht="13.75" customHeight="1">
      <c r="A2727" t="s" s="834">
        <v>1875</v>
      </c>
      <c r="B2727" t="s" s="834">
        <v>485</v>
      </c>
      <c r="C2727" t="s" s="834">
        <v>486</v>
      </c>
      <c r="D2727" s="570"/>
      <c r="E2727" s="570"/>
      <c r="F2727" s="570"/>
      <c r="G2727" s="570"/>
      <c r="H2727" s="570"/>
      <c r="I2727" s="570"/>
      <c r="J2727" s="570"/>
      <c r="K2727" s="570"/>
    </row>
    <row r="2728" ht="13.75" customHeight="1">
      <c r="A2728" s="833">
        <v>133</v>
      </c>
      <c r="B2728" t="s" s="834">
        <v>1874</v>
      </c>
      <c r="C2728" t="s" s="834">
        <v>700</v>
      </c>
      <c r="D2728" s="835">
        <v>46028</v>
      </c>
      <c r="E2728" t="s" s="834">
        <v>478</v>
      </c>
      <c r="F2728" t="s" s="834">
        <v>478</v>
      </c>
      <c r="G2728" s="570"/>
      <c r="H2728" s="570"/>
      <c r="I2728" s="570"/>
      <c r="J2728" s="570"/>
      <c r="K2728" s="570"/>
    </row>
    <row r="2729" ht="13.75" customHeight="1">
      <c r="A2729" s="833">
        <v>133</v>
      </c>
      <c r="B2729" t="s" s="834">
        <v>1874</v>
      </c>
      <c r="C2729" t="s" s="834">
        <v>700</v>
      </c>
      <c r="D2729" s="835">
        <v>46029</v>
      </c>
      <c r="E2729" s="836">
        <v>1.593275462962963</v>
      </c>
      <c r="F2729" t="s" s="834">
        <v>478</v>
      </c>
      <c r="G2729" s="570"/>
      <c r="H2729" s="570"/>
      <c r="I2729" s="570"/>
      <c r="J2729" s="570"/>
      <c r="K2729" s="570"/>
    </row>
    <row r="2730" ht="13.75" customHeight="1">
      <c r="A2730" t="s" s="834">
        <v>1876</v>
      </c>
      <c r="B2730" t="s" s="834">
        <v>485</v>
      </c>
      <c r="C2730" t="s" s="834">
        <v>486</v>
      </c>
      <c r="D2730" s="570"/>
      <c r="E2730" s="570"/>
      <c r="F2730" s="570"/>
      <c r="G2730" s="570"/>
      <c r="H2730" s="570"/>
      <c r="I2730" s="570"/>
      <c r="J2730" s="570"/>
      <c r="K2730" s="570"/>
    </row>
    <row r="2731" ht="13.75" customHeight="1">
      <c r="A2731" s="833">
        <v>133</v>
      </c>
      <c r="B2731" t="s" s="834">
        <v>1874</v>
      </c>
      <c r="C2731" t="s" s="834">
        <v>700</v>
      </c>
      <c r="D2731" s="835">
        <v>46030</v>
      </c>
      <c r="E2731" t="s" s="834">
        <v>478</v>
      </c>
      <c r="F2731" t="s" s="834">
        <v>478</v>
      </c>
      <c r="G2731" s="570"/>
      <c r="H2731" s="570"/>
      <c r="I2731" s="570"/>
      <c r="J2731" s="570"/>
      <c r="K2731" s="570"/>
    </row>
    <row r="2732" ht="13.75" customHeight="1">
      <c r="A2732" s="833">
        <v>133</v>
      </c>
      <c r="B2732" t="s" s="834">
        <v>1874</v>
      </c>
      <c r="C2732" t="s" s="834">
        <v>700</v>
      </c>
      <c r="D2732" s="835">
        <v>46031</v>
      </c>
      <c r="E2732" t="s" s="834">
        <v>478</v>
      </c>
      <c r="F2732" t="s" s="834">
        <v>478</v>
      </c>
      <c r="G2732" s="570"/>
      <c r="H2732" s="570"/>
      <c r="I2732" s="570"/>
      <c r="J2732" s="570"/>
      <c r="K2732" s="570"/>
    </row>
    <row r="2733" ht="13.75" customHeight="1">
      <c r="A2733" s="833">
        <v>133</v>
      </c>
      <c r="B2733" t="s" s="834">
        <v>1874</v>
      </c>
      <c r="C2733" t="s" s="834">
        <v>700</v>
      </c>
      <c r="D2733" s="835">
        <v>46032</v>
      </c>
      <c r="E2733" t="s" s="834">
        <v>478</v>
      </c>
      <c r="F2733" t="s" s="834">
        <v>478</v>
      </c>
      <c r="G2733" s="570"/>
      <c r="H2733" s="570"/>
      <c r="I2733" s="570"/>
      <c r="J2733" s="570"/>
      <c r="K2733" s="570"/>
    </row>
    <row r="2734" ht="13.75" customHeight="1">
      <c r="A2734" s="833">
        <v>133</v>
      </c>
      <c r="B2734" t="s" s="834">
        <v>1874</v>
      </c>
      <c r="C2734" t="s" s="834">
        <v>700</v>
      </c>
      <c r="D2734" s="835">
        <v>46033</v>
      </c>
      <c r="E2734" t="s" s="834">
        <v>478</v>
      </c>
      <c r="F2734" t="s" s="834">
        <v>478</v>
      </c>
      <c r="G2734" s="570"/>
      <c r="H2734" s="570"/>
      <c r="I2734" s="570"/>
      <c r="J2734" s="570"/>
      <c r="K2734" s="570"/>
    </row>
    <row r="2735" ht="13.75" customHeight="1">
      <c r="A2735" s="833">
        <v>133</v>
      </c>
      <c r="B2735" t="s" s="834">
        <v>1874</v>
      </c>
      <c r="C2735" t="s" s="834">
        <v>700</v>
      </c>
      <c r="D2735" s="835">
        <v>46034</v>
      </c>
      <c r="E2735" s="836">
        <v>1.642847222222222</v>
      </c>
      <c r="F2735" s="836">
        <v>1.643136574074074</v>
      </c>
      <c r="G2735" s="570"/>
      <c r="H2735" s="570"/>
      <c r="I2735" s="570"/>
      <c r="J2735" s="570"/>
      <c r="K2735" s="570"/>
    </row>
    <row r="2736" ht="13.75" customHeight="1">
      <c r="A2736" t="s" s="834">
        <v>1877</v>
      </c>
      <c r="B2736" t="s" s="834">
        <v>1878</v>
      </c>
      <c r="C2736" t="s" s="834">
        <v>486</v>
      </c>
      <c r="D2736" s="570"/>
      <c r="E2736" s="570"/>
      <c r="F2736" s="570"/>
      <c r="G2736" s="570"/>
      <c r="H2736" s="570"/>
      <c r="I2736" s="570"/>
      <c r="J2736" s="570"/>
      <c r="K2736" s="570"/>
    </row>
    <row r="2737" ht="13.75" customHeight="1">
      <c r="A2737" s="833">
        <v>133</v>
      </c>
      <c r="B2737" t="s" s="834">
        <v>1874</v>
      </c>
      <c r="C2737" t="s" s="834">
        <v>700</v>
      </c>
      <c r="D2737" s="835">
        <v>46035</v>
      </c>
      <c r="E2737" t="s" s="834">
        <v>478</v>
      </c>
      <c r="F2737" t="s" s="834">
        <v>478</v>
      </c>
      <c r="G2737" s="570"/>
      <c r="H2737" s="570"/>
      <c r="I2737" s="570"/>
      <c r="J2737" s="570"/>
      <c r="K2737" s="570"/>
    </row>
    <row r="2738" ht="13.75" customHeight="1">
      <c r="A2738" s="833">
        <v>133</v>
      </c>
      <c r="B2738" t="s" s="834">
        <v>1874</v>
      </c>
      <c r="C2738" t="s" s="834">
        <v>700</v>
      </c>
      <c r="D2738" s="835">
        <v>46036</v>
      </c>
      <c r="E2738" s="836">
        <v>1.501967592592593</v>
      </c>
      <c r="F2738" t="s" s="834">
        <v>478</v>
      </c>
      <c r="G2738" s="570"/>
      <c r="H2738" s="570"/>
      <c r="I2738" s="570"/>
      <c r="J2738" s="570"/>
      <c r="K2738" s="570"/>
    </row>
    <row r="2739" ht="13.75" customHeight="1">
      <c r="A2739" t="s" s="834">
        <v>1879</v>
      </c>
      <c r="B2739" t="s" s="834">
        <v>485</v>
      </c>
      <c r="C2739" t="s" s="834">
        <v>486</v>
      </c>
      <c r="D2739" s="570"/>
      <c r="E2739" s="570"/>
      <c r="F2739" s="570"/>
      <c r="G2739" s="570"/>
      <c r="H2739" s="570"/>
      <c r="I2739" s="570"/>
      <c r="J2739" s="570"/>
      <c r="K2739" s="570"/>
    </row>
    <row r="2740" ht="13.75" customHeight="1">
      <c r="A2740" s="833">
        <v>133</v>
      </c>
      <c r="B2740" t="s" s="834">
        <v>1874</v>
      </c>
      <c r="C2740" t="s" s="834">
        <v>700</v>
      </c>
      <c r="D2740" s="835">
        <v>46037</v>
      </c>
      <c r="E2740" s="836">
        <v>1.794930555555556</v>
      </c>
      <c r="F2740" t="s" s="834">
        <v>478</v>
      </c>
      <c r="G2740" s="570"/>
      <c r="H2740" s="570"/>
      <c r="I2740" s="570"/>
      <c r="J2740" s="570"/>
      <c r="K2740" s="570"/>
    </row>
    <row r="2741" ht="13.75" customHeight="1">
      <c r="A2741" t="s" s="834">
        <v>1880</v>
      </c>
      <c r="B2741" t="s" s="834">
        <v>485</v>
      </c>
      <c r="C2741" t="s" s="834">
        <v>486</v>
      </c>
      <c r="D2741" s="570"/>
      <c r="E2741" s="570"/>
      <c r="F2741" s="570"/>
      <c r="G2741" s="570"/>
      <c r="H2741" s="570"/>
      <c r="I2741" s="570"/>
      <c r="J2741" s="570"/>
      <c r="K2741" s="570"/>
    </row>
    <row r="2742" ht="13.75" customHeight="1">
      <c r="A2742" s="833">
        <v>133</v>
      </c>
      <c r="B2742" t="s" s="834">
        <v>1874</v>
      </c>
      <c r="C2742" t="s" s="834">
        <v>700</v>
      </c>
      <c r="D2742" s="835">
        <v>46038</v>
      </c>
      <c r="E2742" s="836">
        <v>1.521932870370371</v>
      </c>
      <c r="F2742" s="836">
        <v>1.522627314814815</v>
      </c>
      <c r="G2742" s="570"/>
      <c r="H2742" s="570"/>
      <c r="I2742" s="570"/>
      <c r="J2742" s="570"/>
      <c r="K2742" s="570"/>
    </row>
    <row r="2743" ht="13.75" customHeight="1">
      <c r="A2743" t="s" s="834">
        <v>1881</v>
      </c>
      <c r="B2743" t="s" s="834">
        <v>1882</v>
      </c>
      <c r="C2743" t="s" s="834">
        <v>805</v>
      </c>
      <c r="D2743" s="570"/>
      <c r="E2743" s="570"/>
      <c r="F2743" s="570"/>
      <c r="G2743" s="570"/>
      <c r="H2743" s="570"/>
      <c r="I2743" s="570"/>
      <c r="J2743" s="570"/>
      <c r="K2743" s="570"/>
    </row>
    <row r="2744" ht="13.75" customHeight="1">
      <c r="A2744" s="833">
        <v>133</v>
      </c>
      <c r="B2744" t="s" s="834">
        <v>1874</v>
      </c>
      <c r="C2744" t="s" s="834">
        <v>700</v>
      </c>
      <c r="D2744" s="835">
        <v>46039</v>
      </c>
      <c r="E2744" t="s" s="834">
        <v>478</v>
      </c>
      <c r="F2744" t="s" s="834">
        <v>478</v>
      </c>
      <c r="G2744" s="570"/>
      <c r="H2744" s="570"/>
      <c r="I2744" s="570"/>
      <c r="J2744" s="570"/>
      <c r="K2744" s="570"/>
    </row>
    <row r="2745" ht="13.75" customHeight="1">
      <c r="A2745" s="833">
        <v>133</v>
      </c>
      <c r="B2745" t="s" s="834">
        <v>1874</v>
      </c>
      <c r="C2745" t="s" s="834">
        <v>700</v>
      </c>
      <c r="D2745" s="835">
        <v>46040</v>
      </c>
      <c r="E2745" t="s" s="834">
        <v>478</v>
      </c>
      <c r="F2745" t="s" s="834">
        <v>478</v>
      </c>
      <c r="G2745" s="570"/>
      <c r="H2745" s="570"/>
      <c r="I2745" s="570"/>
      <c r="J2745" s="570"/>
      <c r="K2745" s="570"/>
    </row>
    <row r="2746" ht="13.75" customHeight="1">
      <c r="A2746" s="833">
        <v>133</v>
      </c>
      <c r="B2746" t="s" s="834">
        <v>1874</v>
      </c>
      <c r="C2746" t="s" s="834">
        <v>700</v>
      </c>
      <c r="D2746" s="835">
        <v>46041</v>
      </c>
      <c r="E2746" t="s" s="834">
        <v>478</v>
      </c>
      <c r="F2746" t="s" s="834">
        <v>478</v>
      </c>
      <c r="G2746" s="570"/>
      <c r="H2746" s="570"/>
      <c r="I2746" s="570"/>
      <c r="J2746" s="570"/>
      <c r="K2746" s="570"/>
    </row>
    <row r="2747" ht="13.75" customHeight="1">
      <c r="A2747" s="833">
        <v>133</v>
      </c>
      <c r="B2747" t="s" s="834">
        <v>1874</v>
      </c>
      <c r="C2747" t="s" s="834">
        <v>700</v>
      </c>
      <c r="D2747" s="835">
        <v>46042</v>
      </c>
      <c r="E2747" t="s" s="834">
        <v>478</v>
      </c>
      <c r="F2747" t="s" s="834">
        <v>478</v>
      </c>
      <c r="G2747" s="570"/>
      <c r="H2747" s="570"/>
      <c r="I2747" s="570"/>
      <c r="J2747" s="570"/>
      <c r="K2747" s="570"/>
    </row>
    <row r="2748" ht="13.75" customHeight="1">
      <c r="A2748" s="833">
        <v>133</v>
      </c>
      <c r="B2748" t="s" s="834">
        <v>1874</v>
      </c>
      <c r="C2748" t="s" s="834">
        <v>700</v>
      </c>
      <c r="D2748" s="835">
        <v>46043</v>
      </c>
      <c r="E2748" t="s" s="834">
        <v>478</v>
      </c>
      <c r="F2748" t="s" s="834">
        <v>478</v>
      </c>
      <c r="G2748" s="570"/>
      <c r="H2748" s="570"/>
      <c r="I2748" s="570"/>
      <c r="J2748" s="570"/>
      <c r="K2748" s="570"/>
    </row>
    <row r="2749" ht="13.75" customHeight="1">
      <c r="A2749" s="833">
        <v>133</v>
      </c>
      <c r="B2749" t="s" s="834">
        <v>1874</v>
      </c>
      <c r="C2749" t="s" s="834">
        <v>700</v>
      </c>
      <c r="D2749" s="835">
        <v>46044</v>
      </c>
      <c r="E2749" t="s" s="834">
        <v>478</v>
      </c>
      <c r="F2749" t="s" s="834">
        <v>478</v>
      </c>
      <c r="G2749" s="570"/>
      <c r="H2749" s="570"/>
      <c r="I2749" s="570"/>
      <c r="J2749" s="570"/>
      <c r="K2749" s="570"/>
    </row>
    <row r="2750" ht="13.75" customHeight="1">
      <c r="A2750" s="833">
        <v>133</v>
      </c>
      <c r="B2750" t="s" s="834">
        <v>1874</v>
      </c>
      <c r="C2750" t="s" s="834">
        <v>700</v>
      </c>
      <c r="D2750" s="835">
        <v>46045</v>
      </c>
      <c r="E2750" t="s" s="834">
        <v>478</v>
      </c>
      <c r="F2750" t="s" s="834">
        <v>478</v>
      </c>
      <c r="G2750" s="570"/>
      <c r="H2750" s="570"/>
      <c r="I2750" s="570"/>
      <c r="J2750" s="570"/>
      <c r="K2750" s="570"/>
    </row>
    <row r="2751" ht="13.75" customHeight="1">
      <c r="A2751" s="833">
        <v>133</v>
      </c>
      <c r="B2751" t="s" s="834">
        <v>1874</v>
      </c>
      <c r="C2751" t="s" s="834">
        <v>700</v>
      </c>
      <c r="D2751" s="835">
        <v>46046</v>
      </c>
      <c r="E2751" t="s" s="834">
        <v>478</v>
      </c>
      <c r="F2751" t="s" s="834">
        <v>478</v>
      </c>
      <c r="G2751" s="570"/>
      <c r="H2751" s="570"/>
      <c r="I2751" s="570"/>
      <c r="J2751" s="570"/>
      <c r="K2751" s="570"/>
    </row>
    <row r="2752" ht="13.75" customHeight="1">
      <c r="A2752" s="833">
        <v>133</v>
      </c>
      <c r="B2752" t="s" s="834">
        <v>1874</v>
      </c>
      <c r="C2752" t="s" s="834">
        <v>700</v>
      </c>
      <c r="D2752" s="835">
        <v>46047</v>
      </c>
      <c r="E2752" t="s" s="834">
        <v>478</v>
      </c>
      <c r="F2752" t="s" s="834">
        <v>478</v>
      </c>
      <c r="G2752" s="570"/>
      <c r="H2752" s="570"/>
      <c r="I2752" s="570"/>
      <c r="J2752" s="570"/>
      <c r="K2752" s="570"/>
    </row>
    <row r="2753" ht="13.75" customHeight="1">
      <c r="A2753" s="833">
        <v>133</v>
      </c>
      <c r="B2753" t="s" s="834">
        <v>1874</v>
      </c>
      <c r="C2753" t="s" s="834">
        <v>700</v>
      </c>
      <c r="D2753" s="835">
        <v>46048</v>
      </c>
      <c r="E2753" s="836">
        <v>1.8771875</v>
      </c>
      <c r="F2753" t="s" s="834">
        <v>478</v>
      </c>
      <c r="G2753" s="570"/>
      <c r="H2753" s="570"/>
      <c r="I2753" s="570"/>
      <c r="J2753" s="570"/>
      <c r="K2753" s="570"/>
    </row>
    <row r="2754" ht="13.75" customHeight="1">
      <c r="A2754" t="s" s="834">
        <v>1883</v>
      </c>
      <c r="B2754" t="s" s="834">
        <v>485</v>
      </c>
      <c r="C2754" t="s" s="834">
        <v>486</v>
      </c>
      <c r="D2754" s="570"/>
      <c r="E2754" s="570"/>
      <c r="F2754" s="570"/>
      <c r="G2754" s="570"/>
      <c r="H2754" s="570"/>
      <c r="I2754" s="570"/>
      <c r="J2754" s="570"/>
      <c r="K2754" s="570"/>
    </row>
    <row r="2755" ht="13.75" customHeight="1">
      <c r="A2755" s="833">
        <v>133</v>
      </c>
      <c r="B2755" t="s" s="834">
        <v>1874</v>
      </c>
      <c r="C2755" t="s" s="834">
        <v>700</v>
      </c>
      <c r="D2755" s="835">
        <v>46049</v>
      </c>
      <c r="E2755" s="836">
        <v>1.462731481481482</v>
      </c>
      <c r="F2755" t="s" s="834">
        <v>478</v>
      </c>
      <c r="G2755" s="570"/>
      <c r="H2755" s="570"/>
      <c r="I2755" s="570"/>
      <c r="J2755" s="570"/>
      <c r="K2755" s="570"/>
    </row>
    <row r="2756" ht="13.75" customHeight="1">
      <c r="A2756" t="s" s="834">
        <v>1884</v>
      </c>
      <c r="B2756" t="s" s="834">
        <v>485</v>
      </c>
      <c r="C2756" t="s" s="834">
        <v>486</v>
      </c>
      <c r="D2756" s="570"/>
      <c r="E2756" s="570"/>
      <c r="F2756" s="570"/>
      <c r="G2756" s="570"/>
      <c r="H2756" s="570"/>
      <c r="I2756" s="570"/>
      <c r="J2756" s="570"/>
      <c r="K2756" s="570"/>
    </row>
    <row r="2757" ht="13.75" customHeight="1">
      <c r="A2757" s="833">
        <v>133</v>
      </c>
      <c r="B2757" t="s" s="834">
        <v>1874</v>
      </c>
      <c r="C2757" t="s" s="834">
        <v>700</v>
      </c>
      <c r="D2757" s="835">
        <v>46050</v>
      </c>
      <c r="E2757" t="s" s="834">
        <v>478</v>
      </c>
      <c r="F2757" t="s" s="834">
        <v>478</v>
      </c>
      <c r="G2757" s="570"/>
      <c r="H2757" s="570"/>
      <c r="I2757" s="570"/>
      <c r="J2757" s="570"/>
      <c r="K2757" s="570"/>
    </row>
    <row r="2758" ht="13.75" customHeight="1">
      <c r="A2758" s="833">
        <v>133</v>
      </c>
      <c r="B2758" t="s" s="834">
        <v>1874</v>
      </c>
      <c r="C2758" t="s" s="834">
        <v>700</v>
      </c>
      <c r="D2758" s="835">
        <v>46051</v>
      </c>
      <c r="E2758" s="836">
        <v>1.54212962962963</v>
      </c>
      <c r="F2758" s="836">
        <v>1.842245370370371</v>
      </c>
      <c r="G2758" s="570"/>
      <c r="H2758" s="570"/>
      <c r="I2758" s="570"/>
      <c r="J2758" s="570"/>
      <c r="K2758" s="570"/>
    </row>
    <row r="2759" ht="13.75" customHeight="1">
      <c r="A2759" t="s" s="834">
        <v>1885</v>
      </c>
      <c r="B2759" t="s" s="834">
        <v>1886</v>
      </c>
      <c r="C2759" t="s" s="834">
        <v>1887</v>
      </c>
      <c r="D2759" s="570"/>
      <c r="E2759" s="570"/>
      <c r="F2759" s="570"/>
      <c r="G2759" s="570"/>
      <c r="H2759" s="570"/>
      <c r="I2759" s="570"/>
      <c r="J2759" s="570"/>
      <c r="K2759" s="570"/>
    </row>
    <row r="2760" ht="13.75" customHeight="1">
      <c r="A2760" s="833">
        <v>133</v>
      </c>
      <c r="B2760" t="s" s="834">
        <v>1874</v>
      </c>
      <c r="C2760" t="s" s="834">
        <v>700</v>
      </c>
      <c r="D2760" s="835">
        <v>46052</v>
      </c>
      <c r="E2760" t="s" s="834">
        <v>478</v>
      </c>
      <c r="F2760" t="s" s="834">
        <v>478</v>
      </c>
      <c r="G2760" s="570"/>
      <c r="H2760" s="570"/>
      <c r="I2760" s="570"/>
      <c r="J2760" s="570"/>
      <c r="K2760" s="570"/>
    </row>
    <row r="2761" ht="13.75" customHeight="1">
      <c r="A2761" s="833">
        <v>133</v>
      </c>
      <c r="B2761" t="s" s="834">
        <v>1874</v>
      </c>
      <c r="C2761" t="s" s="834">
        <v>700</v>
      </c>
      <c r="D2761" s="835">
        <v>46053</v>
      </c>
      <c r="E2761" t="s" s="834">
        <v>478</v>
      </c>
      <c r="F2761" t="s" s="834">
        <v>478</v>
      </c>
      <c r="G2761" s="570"/>
      <c r="H2761" s="570"/>
      <c r="I2761" s="570"/>
      <c r="J2761" s="570"/>
      <c r="K2761" s="570"/>
    </row>
    <row r="2762" ht="13.75" customHeight="1">
      <c r="A2762" s="833">
        <v>133</v>
      </c>
      <c r="B2762" t="s" s="834">
        <v>1874</v>
      </c>
      <c r="C2762" t="s" s="834">
        <v>700</v>
      </c>
      <c r="D2762" s="835">
        <v>46054</v>
      </c>
      <c r="E2762" t="s" s="834">
        <v>478</v>
      </c>
      <c r="F2762" t="s" s="834">
        <v>478</v>
      </c>
      <c r="G2762" s="570"/>
      <c r="H2762" s="570"/>
      <c r="I2762" s="570"/>
      <c r="J2762" s="570"/>
      <c r="K2762" s="570"/>
    </row>
    <row r="2763" ht="13.75" customHeight="1">
      <c r="A2763" s="833">
        <v>136</v>
      </c>
      <c r="B2763" t="s" s="834">
        <v>1888</v>
      </c>
      <c r="C2763" t="s" s="834">
        <v>1010</v>
      </c>
      <c r="D2763" s="835">
        <v>46023</v>
      </c>
      <c r="E2763" t="s" s="834">
        <v>478</v>
      </c>
      <c r="F2763" t="s" s="834">
        <v>478</v>
      </c>
      <c r="G2763" s="570"/>
      <c r="H2763" s="570"/>
      <c r="I2763" s="570"/>
      <c r="J2763" s="570"/>
      <c r="K2763" s="570"/>
    </row>
    <row r="2764" ht="13.75" customHeight="1">
      <c r="A2764" s="833">
        <v>136</v>
      </c>
      <c r="B2764" t="s" s="834">
        <v>1888</v>
      </c>
      <c r="C2764" t="s" s="834">
        <v>1010</v>
      </c>
      <c r="D2764" s="835">
        <v>46024</v>
      </c>
      <c r="E2764" t="s" s="834">
        <v>478</v>
      </c>
      <c r="F2764" t="s" s="834">
        <v>478</v>
      </c>
      <c r="G2764" s="570"/>
      <c r="H2764" s="570"/>
      <c r="I2764" s="570"/>
      <c r="J2764" s="570"/>
      <c r="K2764" s="570"/>
    </row>
    <row r="2765" ht="13.75" customHeight="1">
      <c r="A2765" s="833">
        <v>136</v>
      </c>
      <c r="B2765" t="s" s="834">
        <v>1888</v>
      </c>
      <c r="C2765" t="s" s="834">
        <v>1010</v>
      </c>
      <c r="D2765" s="835">
        <v>46025</v>
      </c>
      <c r="E2765" t="s" s="834">
        <v>478</v>
      </c>
      <c r="F2765" t="s" s="834">
        <v>478</v>
      </c>
      <c r="G2765" s="570"/>
      <c r="H2765" s="570"/>
      <c r="I2765" s="570"/>
      <c r="J2765" s="570"/>
      <c r="K2765" s="570"/>
    </row>
    <row r="2766" ht="13.75" customHeight="1">
      <c r="A2766" s="833">
        <v>136</v>
      </c>
      <c r="B2766" t="s" s="834">
        <v>1888</v>
      </c>
      <c r="C2766" t="s" s="834">
        <v>1010</v>
      </c>
      <c r="D2766" s="835">
        <v>46026</v>
      </c>
      <c r="E2766" t="s" s="834">
        <v>478</v>
      </c>
      <c r="F2766" t="s" s="834">
        <v>478</v>
      </c>
      <c r="G2766" s="570"/>
      <c r="H2766" s="570"/>
      <c r="I2766" s="570"/>
      <c r="J2766" s="570"/>
      <c r="K2766" s="570"/>
    </row>
    <row r="2767" ht="13.75" customHeight="1">
      <c r="A2767" s="833">
        <v>136</v>
      </c>
      <c r="B2767" t="s" s="834">
        <v>1888</v>
      </c>
      <c r="C2767" t="s" s="834">
        <v>1010</v>
      </c>
      <c r="D2767" s="835">
        <v>46027</v>
      </c>
      <c r="E2767" s="836">
        <v>1.351793981481481</v>
      </c>
      <c r="F2767" s="836">
        <v>1.810104166666667</v>
      </c>
      <c r="G2767" s="570"/>
      <c r="H2767" s="570"/>
      <c r="I2767" s="570"/>
      <c r="J2767" s="570"/>
      <c r="K2767" s="570"/>
    </row>
    <row r="2768" ht="13.75" customHeight="1">
      <c r="A2768" t="s" s="834">
        <v>1889</v>
      </c>
      <c r="B2768" t="s" s="834">
        <v>1890</v>
      </c>
      <c r="C2768" t="s" s="834">
        <v>1891</v>
      </c>
      <c r="D2768" s="570"/>
      <c r="E2768" s="570"/>
      <c r="F2768" s="570"/>
      <c r="G2768" s="570"/>
      <c r="H2768" s="570"/>
      <c r="I2768" s="570"/>
      <c r="J2768" s="570"/>
      <c r="K2768" s="570"/>
    </row>
    <row r="2769" ht="13.75" customHeight="1">
      <c r="A2769" s="833">
        <v>136</v>
      </c>
      <c r="B2769" t="s" s="834">
        <v>1888</v>
      </c>
      <c r="C2769" t="s" s="834">
        <v>1010</v>
      </c>
      <c r="D2769" s="835">
        <v>46028</v>
      </c>
      <c r="E2769" s="836">
        <v>1.400914351851852</v>
      </c>
      <c r="F2769" s="836">
        <v>1.623263888888889</v>
      </c>
      <c r="G2769" s="570"/>
      <c r="H2769" s="570"/>
      <c r="I2769" s="570"/>
      <c r="J2769" s="570"/>
      <c r="K2769" s="570"/>
    </row>
    <row r="2770" ht="13.75" customHeight="1">
      <c r="A2770" t="s" s="834">
        <v>1892</v>
      </c>
      <c r="B2770" t="s" s="834">
        <v>1893</v>
      </c>
      <c r="C2770" t="s" s="834">
        <v>1894</v>
      </c>
      <c r="D2770" s="570"/>
      <c r="E2770" s="570"/>
      <c r="F2770" s="570"/>
      <c r="G2770" s="570"/>
      <c r="H2770" s="570"/>
      <c r="I2770" s="570"/>
      <c r="J2770" s="570"/>
      <c r="K2770" s="570"/>
    </row>
    <row r="2771" ht="13.75" customHeight="1">
      <c r="A2771" s="833">
        <v>136</v>
      </c>
      <c r="B2771" t="s" s="834">
        <v>1888</v>
      </c>
      <c r="C2771" t="s" s="834">
        <v>1010</v>
      </c>
      <c r="D2771" s="835">
        <v>46029</v>
      </c>
      <c r="E2771" s="836">
        <v>1.377847222222222</v>
      </c>
      <c r="F2771" s="836">
        <v>1.78931712962963</v>
      </c>
      <c r="G2771" s="570"/>
      <c r="H2771" s="570"/>
      <c r="I2771" s="570"/>
      <c r="J2771" s="570"/>
      <c r="K2771" s="570"/>
    </row>
    <row r="2772" ht="13.75" customHeight="1">
      <c r="A2772" t="s" s="834">
        <v>1895</v>
      </c>
      <c r="B2772" t="s" s="834">
        <v>1896</v>
      </c>
      <c r="C2772" t="s" s="834">
        <v>597</v>
      </c>
      <c r="D2772" s="570"/>
      <c r="E2772" s="570"/>
      <c r="F2772" s="570"/>
      <c r="G2772" s="570"/>
      <c r="H2772" s="570"/>
      <c r="I2772" s="570"/>
      <c r="J2772" s="570"/>
      <c r="K2772" s="570"/>
    </row>
    <row r="2773" ht="13.75" customHeight="1">
      <c r="A2773" s="833">
        <v>136</v>
      </c>
      <c r="B2773" t="s" s="834">
        <v>1888</v>
      </c>
      <c r="C2773" t="s" s="834">
        <v>1010</v>
      </c>
      <c r="D2773" s="835">
        <v>46030</v>
      </c>
      <c r="E2773" s="836">
        <v>1.393229166666667</v>
      </c>
      <c r="F2773" s="836">
        <v>1.801921296296296</v>
      </c>
      <c r="G2773" s="570"/>
      <c r="H2773" s="570"/>
      <c r="I2773" s="570"/>
      <c r="J2773" s="570"/>
      <c r="K2773" s="570"/>
    </row>
    <row r="2774" ht="13.75" customHeight="1">
      <c r="A2774" t="s" s="834">
        <v>1897</v>
      </c>
      <c r="B2774" t="s" s="834">
        <v>1898</v>
      </c>
      <c r="C2774" t="s" s="834">
        <v>600</v>
      </c>
      <c r="D2774" s="570"/>
      <c r="E2774" s="570"/>
      <c r="F2774" s="570"/>
      <c r="G2774" s="570"/>
      <c r="H2774" s="570"/>
      <c r="I2774" s="570"/>
      <c r="J2774" s="570"/>
      <c r="K2774" s="570"/>
    </row>
    <row r="2775" ht="13.75" customHeight="1">
      <c r="A2775" s="833">
        <v>136</v>
      </c>
      <c r="B2775" t="s" s="834">
        <v>1888</v>
      </c>
      <c r="C2775" t="s" s="834">
        <v>1010</v>
      </c>
      <c r="D2775" s="835">
        <v>46031</v>
      </c>
      <c r="E2775" s="836">
        <v>1.366655092592593</v>
      </c>
      <c r="F2775" s="836">
        <v>1.804027777777778</v>
      </c>
      <c r="G2775" s="570"/>
      <c r="H2775" s="570"/>
      <c r="I2775" s="570"/>
      <c r="J2775" s="570"/>
      <c r="K2775" s="570"/>
    </row>
    <row r="2776" ht="13.75" customHeight="1">
      <c r="A2776" t="s" s="834">
        <v>1899</v>
      </c>
      <c r="B2776" t="s" s="834">
        <v>1900</v>
      </c>
      <c r="C2776" t="s" s="834">
        <v>1901</v>
      </c>
      <c r="D2776" s="570"/>
      <c r="E2776" s="570"/>
      <c r="F2776" s="570"/>
      <c r="G2776" s="570"/>
      <c r="H2776" s="570"/>
      <c r="I2776" s="570"/>
      <c r="J2776" s="570"/>
      <c r="K2776" s="570"/>
    </row>
    <row r="2777" ht="13.75" customHeight="1">
      <c r="A2777" s="833">
        <v>136</v>
      </c>
      <c r="B2777" t="s" s="834">
        <v>1888</v>
      </c>
      <c r="C2777" t="s" s="834">
        <v>1010</v>
      </c>
      <c r="D2777" s="835">
        <v>46032</v>
      </c>
      <c r="E2777" s="836">
        <v>1.392731481481482</v>
      </c>
      <c r="F2777" s="836">
        <v>1.781828703703704</v>
      </c>
      <c r="G2777" s="570"/>
      <c r="H2777" s="570"/>
      <c r="I2777" s="570"/>
      <c r="J2777" s="570"/>
      <c r="K2777" s="570"/>
    </row>
    <row r="2778" ht="13.75" customHeight="1">
      <c r="A2778" t="s" s="834">
        <v>1902</v>
      </c>
      <c r="B2778" t="s" s="834">
        <v>1903</v>
      </c>
      <c r="C2778" t="s" s="834">
        <v>1490</v>
      </c>
      <c r="D2778" s="570"/>
      <c r="E2778" s="570"/>
      <c r="F2778" s="570"/>
      <c r="G2778" s="570"/>
      <c r="H2778" s="570"/>
      <c r="I2778" s="570"/>
      <c r="J2778" s="570"/>
      <c r="K2778" s="570"/>
    </row>
    <row r="2779" ht="13.75" customHeight="1">
      <c r="A2779" s="833">
        <v>136</v>
      </c>
      <c r="B2779" t="s" s="834">
        <v>1888</v>
      </c>
      <c r="C2779" t="s" s="834">
        <v>1010</v>
      </c>
      <c r="D2779" s="835">
        <v>46033</v>
      </c>
      <c r="E2779" t="s" s="834">
        <v>478</v>
      </c>
      <c r="F2779" t="s" s="834">
        <v>478</v>
      </c>
      <c r="G2779" s="570"/>
      <c r="H2779" s="570"/>
      <c r="I2779" s="570"/>
      <c r="J2779" s="570"/>
      <c r="K2779" s="570"/>
    </row>
    <row r="2780" ht="13.75" customHeight="1">
      <c r="A2780" s="833">
        <v>136</v>
      </c>
      <c r="B2780" t="s" s="834">
        <v>1888</v>
      </c>
      <c r="C2780" t="s" s="834">
        <v>1010</v>
      </c>
      <c r="D2780" s="835">
        <v>46034</v>
      </c>
      <c r="E2780" s="836">
        <v>1.388287037037037</v>
      </c>
      <c r="F2780" s="836">
        <v>1.808541666666667</v>
      </c>
      <c r="G2780" s="570"/>
      <c r="H2780" s="570"/>
      <c r="I2780" s="570"/>
      <c r="J2780" s="570"/>
      <c r="K2780" s="570"/>
    </row>
    <row r="2781" ht="13.75" customHeight="1">
      <c r="A2781" t="s" s="834">
        <v>1904</v>
      </c>
      <c r="B2781" t="s" s="834">
        <v>1905</v>
      </c>
      <c r="C2781" t="s" s="834">
        <v>1906</v>
      </c>
      <c r="D2781" s="570"/>
      <c r="E2781" s="570"/>
      <c r="F2781" s="570"/>
      <c r="G2781" s="570"/>
      <c r="H2781" s="570"/>
      <c r="I2781" s="570"/>
      <c r="J2781" s="570"/>
      <c r="K2781" s="570"/>
    </row>
    <row r="2782" ht="13.75" customHeight="1">
      <c r="A2782" s="833">
        <v>136</v>
      </c>
      <c r="B2782" t="s" s="834">
        <v>1888</v>
      </c>
      <c r="C2782" t="s" s="834">
        <v>1010</v>
      </c>
      <c r="D2782" s="835">
        <v>46035</v>
      </c>
      <c r="E2782" s="836">
        <v>1.352974537037037</v>
      </c>
      <c r="F2782" s="836">
        <v>1.773090277777778</v>
      </c>
      <c r="G2782" s="570"/>
      <c r="H2782" s="570"/>
      <c r="I2782" s="570"/>
      <c r="J2782" s="570"/>
      <c r="K2782" s="570"/>
    </row>
    <row r="2783" ht="13.75" customHeight="1">
      <c r="A2783" t="s" s="834">
        <v>1907</v>
      </c>
      <c r="B2783" t="s" s="834">
        <v>1908</v>
      </c>
      <c r="C2783" t="s" s="834">
        <v>1906</v>
      </c>
      <c r="D2783" s="570"/>
      <c r="E2783" s="570"/>
      <c r="F2783" s="570"/>
      <c r="G2783" s="570"/>
      <c r="H2783" s="570"/>
      <c r="I2783" s="570"/>
      <c r="J2783" s="570"/>
      <c r="K2783" s="570"/>
    </row>
    <row r="2784" ht="13.75" customHeight="1">
      <c r="A2784" s="833">
        <v>136</v>
      </c>
      <c r="B2784" t="s" s="834">
        <v>1888</v>
      </c>
      <c r="C2784" t="s" s="834">
        <v>1010</v>
      </c>
      <c r="D2784" s="835">
        <v>46036</v>
      </c>
      <c r="E2784" s="836">
        <v>1.383668981481482</v>
      </c>
      <c r="F2784" s="836">
        <v>1.755231481481482</v>
      </c>
      <c r="G2784" s="570"/>
      <c r="H2784" s="570"/>
      <c r="I2784" s="570"/>
      <c r="J2784" s="570"/>
      <c r="K2784" s="570"/>
    </row>
    <row r="2785" ht="13.75" customHeight="1">
      <c r="A2785" t="s" s="834">
        <v>1909</v>
      </c>
      <c r="B2785" t="s" s="834">
        <v>1910</v>
      </c>
      <c r="C2785" t="s" s="834">
        <v>1249</v>
      </c>
      <c r="D2785" s="570"/>
      <c r="E2785" s="570"/>
      <c r="F2785" s="570"/>
      <c r="G2785" s="570"/>
      <c r="H2785" s="570"/>
      <c r="I2785" s="570"/>
      <c r="J2785" s="570"/>
      <c r="K2785" s="570"/>
    </row>
    <row r="2786" ht="13.75" customHeight="1">
      <c r="A2786" s="833">
        <v>136</v>
      </c>
      <c r="B2786" t="s" s="834">
        <v>1888</v>
      </c>
      <c r="C2786" t="s" s="834">
        <v>1010</v>
      </c>
      <c r="D2786" s="835">
        <v>46037</v>
      </c>
      <c r="E2786" s="836">
        <v>1.573321759259259</v>
      </c>
      <c r="F2786" s="836">
        <v>1.795416666666667</v>
      </c>
      <c r="G2786" s="570"/>
      <c r="H2786" s="570"/>
      <c r="I2786" s="570"/>
      <c r="J2786" s="570"/>
      <c r="K2786" s="570"/>
    </row>
    <row r="2787" ht="13.75" customHeight="1">
      <c r="A2787" t="s" s="834">
        <v>1911</v>
      </c>
      <c r="B2787" t="s" s="834">
        <v>1912</v>
      </c>
      <c r="C2787" t="s" s="834">
        <v>1894</v>
      </c>
      <c r="D2787" s="570"/>
      <c r="E2787" s="570"/>
      <c r="F2787" s="570"/>
      <c r="G2787" s="570"/>
      <c r="H2787" s="570"/>
      <c r="I2787" s="570"/>
      <c r="J2787" s="570"/>
      <c r="K2787" s="570"/>
    </row>
    <row r="2788" ht="13.75" customHeight="1">
      <c r="A2788" s="833">
        <v>136</v>
      </c>
      <c r="B2788" t="s" s="834">
        <v>1888</v>
      </c>
      <c r="C2788" t="s" s="834">
        <v>1010</v>
      </c>
      <c r="D2788" s="835">
        <v>46038</v>
      </c>
      <c r="E2788" s="836">
        <v>1.372905092592593</v>
      </c>
      <c r="F2788" s="836">
        <v>1.761030092592593</v>
      </c>
      <c r="G2788" s="570"/>
      <c r="H2788" s="570"/>
      <c r="I2788" s="570"/>
      <c r="J2788" s="570"/>
      <c r="K2788" s="570"/>
    </row>
    <row r="2789" ht="13.75" customHeight="1">
      <c r="A2789" t="s" s="834">
        <v>1913</v>
      </c>
      <c r="B2789" t="s" s="834">
        <v>1914</v>
      </c>
      <c r="C2789" t="s" s="834">
        <v>716</v>
      </c>
      <c r="D2789" s="570"/>
      <c r="E2789" s="570"/>
      <c r="F2789" s="570"/>
      <c r="G2789" s="570"/>
      <c r="H2789" s="570"/>
      <c r="I2789" s="570"/>
      <c r="J2789" s="570"/>
      <c r="K2789" s="570"/>
    </row>
    <row r="2790" ht="13.75" customHeight="1">
      <c r="A2790" s="833">
        <v>136</v>
      </c>
      <c r="B2790" t="s" s="834">
        <v>1888</v>
      </c>
      <c r="C2790" t="s" s="834">
        <v>1010</v>
      </c>
      <c r="D2790" s="835">
        <v>46039</v>
      </c>
      <c r="E2790" t="s" s="834">
        <v>478</v>
      </c>
      <c r="F2790" t="s" s="834">
        <v>478</v>
      </c>
      <c r="G2790" s="570"/>
      <c r="H2790" s="570"/>
      <c r="I2790" s="570"/>
      <c r="J2790" s="570"/>
      <c r="K2790" s="570"/>
    </row>
    <row r="2791" ht="13.75" customHeight="1">
      <c r="A2791" s="833">
        <v>136</v>
      </c>
      <c r="B2791" t="s" s="834">
        <v>1888</v>
      </c>
      <c r="C2791" t="s" s="834">
        <v>1010</v>
      </c>
      <c r="D2791" s="835">
        <v>46040</v>
      </c>
      <c r="E2791" t="s" s="834">
        <v>478</v>
      </c>
      <c r="F2791" t="s" s="834">
        <v>478</v>
      </c>
      <c r="G2791" s="570"/>
      <c r="H2791" s="570"/>
      <c r="I2791" s="570"/>
      <c r="J2791" s="570"/>
      <c r="K2791" s="570"/>
    </row>
    <row r="2792" ht="13.75" customHeight="1">
      <c r="A2792" s="833">
        <v>136</v>
      </c>
      <c r="B2792" t="s" s="834">
        <v>1888</v>
      </c>
      <c r="C2792" t="s" s="834">
        <v>1010</v>
      </c>
      <c r="D2792" s="835">
        <v>46041</v>
      </c>
      <c r="E2792" s="836">
        <v>1.376493055555556</v>
      </c>
      <c r="F2792" s="836">
        <v>1.763923611111111</v>
      </c>
      <c r="G2792" s="570"/>
      <c r="H2792" s="570"/>
      <c r="I2792" s="570"/>
      <c r="J2792" s="570"/>
      <c r="K2792" s="570"/>
    </row>
    <row r="2793" ht="13.75" customHeight="1">
      <c r="A2793" t="s" s="834">
        <v>1915</v>
      </c>
      <c r="B2793" t="s" s="834">
        <v>1916</v>
      </c>
      <c r="C2793" t="s" s="834">
        <v>640</v>
      </c>
      <c r="D2793" s="570"/>
      <c r="E2793" s="570"/>
      <c r="F2793" s="570"/>
      <c r="G2793" s="570"/>
      <c r="H2793" s="570"/>
      <c r="I2793" s="570"/>
      <c r="J2793" s="570"/>
      <c r="K2793" s="570"/>
    </row>
    <row r="2794" ht="13.75" customHeight="1">
      <c r="A2794" s="833">
        <v>136</v>
      </c>
      <c r="B2794" t="s" s="834">
        <v>1888</v>
      </c>
      <c r="C2794" t="s" s="834">
        <v>1010</v>
      </c>
      <c r="D2794" s="835">
        <v>46042</v>
      </c>
      <c r="E2794" s="836">
        <v>1.382465277777778</v>
      </c>
      <c r="F2794" s="836">
        <v>1.756053240740741</v>
      </c>
      <c r="G2794" s="570"/>
      <c r="H2794" s="570"/>
      <c r="I2794" s="570"/>
      <c r="J2794" s="570"/>
      <c r="K2794" s="570"/>
    </row>
    <row r="2795" ht="13.75" customHeight="1">
      <c r="A2795" t="s" s="834">
        <v>1917</v>
      </c>
      <c r="B2795" t="s" s="834">
        <v>1918</v>
      </c>
      <c r="C2795" t="s" s="834">
        <v>552</v>
      </c>
      <c r="D2795" s="570"/>
      <c r="E2795" s="570"/>
      <c r="F2795" s="570"/>
      <c r="G2795" s="570"/>
      <c r="H2795" s="570"/>
      <c r="I2795" s="570"/>
      <c r="J2795" s="570"/>
      <c r="K2795" s="570"/>
    </row>
    <row r="2796" ht="13.75" customHeight="1">
      <c r="A2796" s="833">
        <v>136</v>
      </c>
      <c r="B2796" t="s" s="834">
        <v>1888</v>
      </c>
      <c r="C2796" t="s" s="834">
        <v>1010</v>
      </c>
      <c r="D2796" s="835">
        <v>46043</v>
      </c>
      <c r="E2796" s="836">
        <v>1.383541666666667</v>
      </c>
      <c r="F2796" s="836">
        <v>1.708877314814815</v>
      </c>
      <c r="G2796" s="570"/>
      <c r="H2796" s="570"/>
      <c r="I2796" s="570"/>
      <c r="J2796" s="570"/>
      <c r="K2796" s="570"/>
    </row>
    <row r="2797" ht="13.75" customHeight="1">
      <c r="A2797" t="s" s="834">
        <v>1919</v>
      </c>
      <c r="B2797" t="s" s="834">
        <v>1920</v>
      </c>
      <c r="C2797" t="s" s="834">
        <v>1831</v>
      </c>
      <c r="D2797" s="570"/>
      <c r="E2797" s="570"/>
      <c r="F2797" s="570"/>
      <c r="G2797" s="570"/>
      <c r="H2797" s="570"/>
      <c r="I2797" s="570"/>
      <c r="J2797" s="570"/>
      <c r="K2797" s="570"/>
    </row>
    <row r="2798" ht="13.75" customHeight="1">
      <c r="A2798" s="833">
        <v>136</v>
      </c>
      <c r="B2798" t="s" s="834">
        <v>1888</v>
      </c>
      <c r="C2798" t="s" s="834">
        <v>1010</v>
      </c>
      <c r="D2798" s="835">
        <v>46044</v>
      </c>
      <c r="E2798" s="836">
        <v>1.406516203703704</v>
      </c>
      <c r="F2798" s="836">
        <v>1.786851851851852</v>
      </c>
      <c r="G2798" s="570"/>
      <c r="H2798" s="570"/>
      <c r="I2798" s="570"/>
      <c r="J2798" s="570"/>
      <c r="K2798" s="570"/>
    </row>
    <row r="2799" ht="13.75" customHeight="1">
      <c r="A2799" t="s" s="834">
        <v>1921</v>
      </c>
      <c r="B2799" t="s" s="834">
        <v>1922</v>
      </c>
      <c r="C2799" t="s" s="834">
        <v>537</v>
      </c>
      <c r="D2799" s="570"/>
      <c r="E2799" s="570"/>
      <c r="F2799" s="570"/>
      <c r="G2799" s="570"/>
      <c r="H2799" s="570"/>
      <c r="I2799" s="570"/>
      <c r="J2799" s="570"/>
      <c r="K2799" s="570"/>
    </row>
    <row r="2800" ht="13.75" customHeight="1">
      <c r="A2800" s="833">
        <v>136</v>
      </c>
      <c r="B2800" t="s" s="834">
        <v>1888</v>
      </c>
      <c r="C2800" t="s" s="834">
        <v>1010</v>
      </c>
      <c r="D2800" s="835">
        <v>46045</v>
      </c>
      <c r="E2800" s="836">
        <v>1.391238425925926</v>
      </c>
      <c r="F2800" s="836">
        <v>1.718321759259259</v>
      </c>
      <c r="G2800" s="570"/>
      <c r="H2800" s="570"/>
      <c r="I2800" s="570"/>
      <c r="J2800" s="570"/>
      <c r="K2800" s="570"/>
    </row>
    <row r="2801" ht="13.75" customHeight="1">
      <c r="A2801" t="s" s="834">
        <v>1923</v>
      </c>
      <c r="B2801" t="s" s="834">
        <v>1924</v>
      </c>
      <c r="C2801" t="s" s="834">
        <v>1925</v>
      </c>
      <c r="D2801" s="570"/>
      <c r="E2801" s="570"/>
      <c r="F2801" s="570"/>
      <c r="G2801" s="570"/>
      <c r="H2801" s="570"/>
      <c r="I2801" s="570"/>
      <c r="J2801" s="570"/>
      <c r="K2801" s="570"/>
    </row>
    <row r="2802" ht="13.75" customHeight="1">
      <c r="A2802" s="833">
        <v>136</v>
      </c>
      <c r="B2802" t="s" s="834">
        <v>1888</v>
      </c>
      <c r="C2802" t="s" s="834">
        <v>1010</v>
      </c>
      <c r="D2802" s="835">
        <v>46046</v>
      </c>
      <c r="E2802" t="s" s="834">
        <v>478</v>
      </c>
      <c r="F2802" t="s" s="834">
        <v>478</v>
      </c>
      <c r="G2802" s="570"/>
      <c r="H2802" s="570"/>
      <c r="I2802" s="570"/>
      <c r="J2802" s="570"/>
      <c r="K2802" s="570"/>
    </row>
    <row r="2803" ht="13.75" customHeight="1">
      <c r="A2803" s="833">
        <v>136</v>
      </c>
      <c r="B2803" t="s" s="834">
        <v>1888</v>
      </c>
      <c r="C2803" t="s" s="834">
        <v>1010</v>
      </c>
      <c r="D2803" s="835">
        <v>46047</v>
      </c>
      <c r="E2803" t="s" s="834">
        <v>478</v>
      </c>
      <c r="F2803" t="s" s="834">
        <v>478</v>
      </c>
      <c r="G2803" s="570"/>
      <c r="H2803" s="570"/>
      <c r="I2803" s="570"/>
      <c r="J2803" s="570"/>
      <c r="K2803" s="570"/>
    </row>
    <row r="2804" ht="13.75" customHeight="1">
      <c r="A2804" s="833">
        <v>136</v>
      </c>
      <c r="B2804" t="s" s="834">
        <v>1888</v>
      </c>
      <c r="C2804" t="s" s="834">
        <v>1010</v>
      </c>
      <c r="D2804" s="835">
        <v>46048</v>
      </c>
      <c r="E2804" s="836">
        <v>1.391435185185185</v>
      </c>
      <c r="F2804" s="836">
        <v>1.764710648148148</v>
      </c>
      <c r="G2804" s="570"/>
      <c r="H2804" s="570"/>
      <c r="I2804" s="570"/>
      <c r="J2804" s="570"/>
      <c r="K2804" s="570"/>
    </row>
    <row r="2805" ht="13.75" customHeight="1">
      <c r="A2805" t="s" s="834">
        <v>1926</v>
      </c>
      <c r="B2805" t="s" s="834">
        <v>1927</v>
      </c>
      <c r="C2805" t="s" s="834">
        <v>552</v>
      </c>
      <c r="D2805" s="570"/>
      <c r="E2805" s="570"/>
      <c r="F2805" s="570"/>
      <c r="G2805" s="570"/>
      <c r="H2805" s="570"/>
      <c r="I2805" s="570"/>
      <c r="J2805" s="570"/>
      <c r="K2805" s="570"/>
    </row>
    <row r="2806" ht="13.75" customHeight="1">
      <c r="A2806" s="833">
        <v>136</v>
      </c>
      <c r="B2806" t="s" s="834">
        <v>1888</v>
      </c>
      <c r="C2806" t="s" s="834">
        <v>1010</v>
      </c>
      <c r="D2806" s="835">
        <v>46049</v>
      </c>
      <c r="E2806" s="836">
        <v>1.388414351851852</v>
      </c>
      <c r="F2806" s="836">
        <v>1.759664351851852</v>
      </c>
      <c r="G2806" s="570"/>
      <c r="H2806" s="570"/>
      <c r="I2806" s="570"/>
      <c r="J2806" s="570"/>
      <c r="K2806" s="570"/>
    </row>
    <row r="2807" ht="13.75" customHeight="1">
      <c r="A2807" t="s" s="834">
        <v>1928</v>
      </c>
      <c r="B2807" t="s" s="834">
        <v>1929</v>
      </c>
      <c r="C2807" t="s" s="834">
        <v>1249</v>
      </c>
      <c r="D2807" s="570"/>
      <c r="E2807" s="570"/>
      <c r="F2807" s="570"/>
      <c r="G2807" s="570"/>
      <c r="H2807" s="570"/>
      <c r="I2807" s="570"/>
      <c r="J2807" s="570"/>
      <c r="K2807" s="570"/>
    </row>
    <row r="2808" ht="13.75" customHeight="1">
      <c r="A2808" s="833">
        <v>136</v>
      </c>
      <c r="B2808" t="s" s="834">
        <v>1888</v>
      </c>
      <c r="C2808" t="s" s="834">
        <v>1010</v>
      </c>
      <c r="D2808" s="835">
        <v>46050</v>
      </c>
      <c r="E2808" s="836">
        <v>1.397881944444444</v>
      </c>
      <c r="F2808" s="836">
        <v>1.785763888888889</v>
      </c>
      <c r="G2808" s="570"/>
      <c r="H2808" s="570"/>
      <c r="I2808" s="570"/>
      <c r="J2808" s="570"/>
      <c r="K2808" s="570"/>
    </row>
    <row r="2809" ht="13.75" customHeight="1">
      <c r="A2809" t="s" s="834">
        <v>1930</v>
      </c>
      <c r="B2809" t="s" s="834">
        <v>1931</v>
      </c>
      <c r="C2809" t="s" s="834">
        <v>716</v>
      </c>
      <c r="D2809" s="570"/>
      <c r="E2809" s="570"/>
      <c r="F2809" s="570"/>
      <c r="G2809" s="570"/>
      <c r="H2809" s="570"/>
      <c r="I2809" s="570"/>
      <c r="J2809" s="570"/>
      <c r="K2809" s="570"/>
    </row>
    <row r="2810" ht="13.75" customHeight="1">
      <c r="A2810" s="833">
        <v>136</v>
      </c>
      <c r="B2810" t="s" s="834">
        <v>1888</v>
      </c>
      <c r="C2810" t="s" s="834">
        <v>1010</v>
      </c>
      <c r="D2810" s="835">
        <v>46051</v>
      </c>
      <c r="E2810" s="836">
        <v>1.375787037037037</v>
      </c>
      <c r="F2810" s="836">
        <v>1.764733796296296</v>
      </c>
      <c r="G2810" s="570"/>
      <c r="H2810" s="570"/>
      <c r="I2810" s="570"/>
      <c r="J2810" s="570"/>
      <c r="K2810" s="570"/>
    </row>
    <row r="2811" ht="13.75" customHeight="1">
      <c r="A2811" t="s" s="834">
        <v>1932</v>
      </c>
      <c r="B2811" t="s" s="834">
        <v>1933</v>
      </c>
      <c r="C2811" t="s" s="834">
        <v>1490</v>
      </c>
      <c r="D2811" s="570"/>
      <c r="E2811" s="570"/>
      <c r="F2811" s="570"/>
      <c r="G2811" s="570"/>
      <c r="H2811" s="570"/>
      <c r="I2811" s="570"/>
      <c r="J2811" s="570"/>
      <c r="K2811" s="570"/>
    </row>
    <row r="2812" ht="13.75" customHeight="1">
      <c r="A2812" s="833">
        <v>136</v>
      </c>
      <c r="B2812" t="s" s="834">
        <v>1888</v>
      </c>
      <c r="C2812" t="s" s="834">
        <v>1010</v>
      </c>
      <c r="D2812" s="835">
        <v>46052</v>
      </c>
      <c r="E2812" s="836">
        <v>1.393634259259259</v>
      </c>
      <c r="F2812" s="836">
        <v>1.761886574074074</v>
      </c>
      <c r="G2812" s="570"/>
      <c r="H2812" s="570"/>
      <c r="I2812" s="570"/>
      <c r="J2812" s="570"/>
      <c r="K2812" s="570"/>
    </row>
    <row r="2813" ht="13.75" customHeight="1">
      <c r="A2813" t="s" s="834">
        <v>1934</v>
      </c>
      <c r="B2813" t="s" s="834">
        <v>1935</v>
      </c>
      <c r="C2813" t="s" s="834">
        <v>1174</v>
      </c>
      <c r="D2813" s="570"/>
      <c r="E2813" s="570"/>
      <c r="F2813" s="570"/>
      <c r="G2813" s="570"/>
      <c r="H2813" s="570"/>
      <c r="I2813" s="570"/>
      <c r="J2813" s="570"/>
      <c r="K2813" s="570"/>
    </row>
    <row r="2814" ht="13.75" customHeight="1">
      <c r="A2814" s="833">
        <v>136</v>
      </c>
      <c r="B2814" t="s" s="834">
        <v>1888</v>
      </c>
      <c r="C2814" t="s" s="834">
        <v>1010</v>
      </c>
      <c r="D2814" s="835">
        <v>46053</v>
      </c>
      <c r="E2814" t="s" s="834">
        <v>478</v>
      </c>
      <c r="F2814" t="s" s="834">
        <v>478</v>
      </c>
      <c r="G2814" s="570"/>
      <c r="H2814" s="570"/>
      <c r="I2814" s="570"/>
      <c r="J2814" s="570"/>
      <c r="K2814" s="570"/>
    </row>
    <row r="2815" ht="13.75" customHeight="1">
      <c r="A2815" s="833">
        <v>136</v>
      </c>
      <c r="B2815" t="s" s="834">
        <v>1888</v>
      </c>
      <c r="C2815" t="s" s="834">
        <v>1010</v>
      </c>
      <c r="D2815" s="835">
        <v>46054</v>
      </c>
      <c r="E2815" t="s" s="834">
        <v>478</v>
      </c>
      <c r="F2815" t="s" s="834">
        <v>478</v>
      </c>
      <c r="G2815" s="570"/>
      <c r="H2815" s="570"/>
      <c r="I2815" s="570"/>
      <c r="J2815" s="570"/>
      <c r="K2815" s="570"/>
    </row>
    <row r="2816" ht="13.75" customHeight="1">
      <c r="A2816" s="833">
        <v>137</v>
      </c>
      <c r="B2816" t="s" s="834">
        <v>1936</v>
      </c>
      <c r="C2816" t="s" s="834">
        <v>147</v>
      </c>
      <c r="D2816" s="835">
        <v>46023</v>
      </c>
      <c r="E2816" t="s" s="834">
        <v>478</v>
      </c>
      <c r="F2816" t="s" s="834">
        <v>478</v>
      </c>
      <c r="G2816" s="570"/>
      <c r="H2816" s="570"/>
      <c r="I2816" s="570"/>
      <c r="J2816" s="570"/>
      <c r="K2816" s="570"/>
    </row>
    <row r="2817" ht="13.75" customHeight="1">
      <c r="A2817" s="833">
        <v>137</v>
      </c>
      <c r="B2817" t="s" s="834">
        <v>1936</v>
      </c>
      <c r="C2817" t="s" s="834">
        <v>147</v>
      </c>
      <c r="D2817" s="835">
        <v>46024</v>
      </c>
      <c r="E2817" t="s" s="834">
        <v>478</v>
      </c>
      <c r="F2817" t="s" s="834">
        <v>478</v>
      </c>
      <c r="G2817" s="570"/>
      <c r="H2817" s="570"/>
      <c r="I2817" s="570"/>
      <c r="J2817" s="570"/>
      <c r="K2817" s="570"/>
    </row>
    <row r="2818" ht="13.75" customHeight="1">
      <c r="A2818" s="833">
        <v>137</v>
      </c>
      <c r="B2818" t="s" s="834">
        <v>1936</v>
      </c>
      <c r="C2818" t="s" s="834">
        <v>147</v>
      </c>
      <c r="D2818" s="835">
        <v>46025</v>
      </c>
      <c r="E2818" t="s" s="834">
        <v>478</v>
      </c>
      <c r="F2818" t="s" s="834">
        <v>478</v>
      </c>
      <c r="G2818" s="570"/>
      <c r="H2818" s="570"/>
      <c r="I2818" s="570"/>
      <c r="J2818" s="570"/>
      <c r="K2818" s="570"/>
    </row>
    <row r="2819" ht="13.75" customHeight="1">
      <c r="A2819" s="833">
        <v>137</v>
      </c>
      <c r="B2819" t="s" s="834">
        <v>1936</v>
      </c>
      <c r="C2819" t="s" s="834">
        <v>147</v>
      </c>
      <c r="D2819" s="835">
        <v>46026</v>
      </c>
      <c r="E2819" t="s" s="834">
        <v>478</v>
      </c>
      <c r="F2819" t="s" s="834">
        <v>478</v>
      </c>
      <c r="G2819" s="570"/>
      <c r="H2819" s="570"/>
      <c r="I2819" s="570"/>
      <c r="J2819" s="570"/>
      <c r="K2819" s="570"/>
    </row>
    <row r="2820" ht="13.75" customHeight="1">
      <c r="A2820" s="833">
        <v>137</v>
      </c>
      <c r="B2820" t="s" s="834">
        <v>1936</v>
      </c>
      <c r="C2820" t="s" s="834">
        <v>147</v>
      </c>
      <c r="D2820" s="835">
        <v>46027</v>
      </c>
      <c r="E2820" s="836">
        <v>1.757951388888889</v>
      </c>
      <c r="F2820" t="s" s="834">
        <v>478</v>
      </c>
      <c r="G2820" s="570"/>
      <c r="H2820" s="570"/>
      <c r="I2820" s="570"/>
      <c r="J2820" s="570"/>
      <c r="K2820" s="570"/>
    </row>
    <row r="2821" ht="13.75" customHeight="1">
      <c r="A2821" t="s" s="834">
        <v>1937</v>
      </c>
      <c r="B2821" t="s" s="834">
        <v>485</v>
      </c>
      <c r="C2821" t="s" s="834">
        <v>486</v>
      </c>
      <c r="D2821" s="570"/>
      <c r="E2821" s="570"/>
      <c r="F2821" s="570"/>
      <c r="G2821" s="570"/>
      <c r="H2821" s="570"/>
      <c r="I2821" s="570"/>
      <c r="J2821" s="570"/>
      <c r="K2821" s="570"/>
    </row>
    <row r="2822" ht="13.75" customHeight="1">
      <c r="A2822" s="833">
        <v>137</v>
      </c>
      <c r="B2822" t="s" s="834">
        <v>1936</v>
      </c>
      <c r="C2822" t="s" s="834">
        <v>147</v>
      </c>
      <c r="D2822" s="835">
        <v>46028</v>
      </c>
      <c r="E2822" s="836">
        <v>1.591863425925926</v>
      </c>
      <c r="F2822" s="836">
        <v>1.76099537037037</v>
      </c>
      <c r="G2822" s="570"/>
      <c r="H2822" s="570"/>
      <c r="I2822" s="570"/>
      <c r="J2822" s="570"/>
      <c r="K2822" s="570"/>
    </row>
    <row r="2823" ht="13.75" customHeight="1">
      <c r="A2823" t="s" s="834">
        <v>1938</v>
      </c>
      <c r="B2823" t="s" s="834">
        <v>1939</v>
      </c>
      <c r="C2823" t="s" s="834">
        <v>1940</v>
      </c>
      <c r="D2823" s="570"/>
      <c r="E2823" s="570"/>
      <c r="F2823" s="570"/>
      <c r="G2823" s="570"/>
      <c r="H2823" s="570"/>
      <c r="I2823" s="570"/>
      <c r="J2823" s="570"/>
      <c r="K2823" s="570"/>
    </row>
    <row r="2824" ht="13.75" customHeight="1">
      <c r="A2824" s="833">
        <v>137</v>
      </c>
      <c r="B2824" t="s" s="834">
        <v>1936</v>
      </c>
      <c r="C2824" t="s" s="834">
        <v>147</v>
      </c>
      <c r="D2824" s="835">
        <v>46029</v>
      </c>
      <c r="E2824" s="836">
        <v>1.375023148148148</v>
      </c>
      <c r="F2824" s="836">
        <v>1.777766203703704</v>
      </c>
      <c r="G2824" s="570"/>
      <c r="H2824" s="570"/>
      <c r="I2824" s="570"/>
      <c r="J2824" s="570"/>
      <c r="K2824" s="570"/>
    </row>
    <row r="2825" ht="13.75" customHeight="1">
      <c r="A2825" t="s" s="834">
        <v>1941</v>
      </c>
      <c r="B2825" t="s" s="834">
        <v>1942</v>
      </c>
      <c r="C2825" t="s" s="834">
        <v>861</v>
      </c>
      <c r="D2825" s="570"/>
      <c r="E2825" s="570"/>
      <c r="F2825" s="570"/>
      <c r="G2825" s="570"/>
      <c r="H2825" s="570"/>
      <c r="I2825" s="570"/>
      <c r="J2825" s="570"/>
      <c r="K2825" s="570"/>
    </row>
    <row r="2826" ht="13.75" customHeight="1">
      <c r="A2826" s="833">
        <v>137</v>
      </c>
      <c r="B2826" t="s" s="834">
        <v>1936</v>
      </c>
      <c r="C2826" t="s" s="834">
        <v>147</v>
      </c>
      <c r="D2826" s="835">
        <v>46030</v>
      </c>
      <c r="E2826" t="s" s="834">
        <v>478</v>
      </c>
      <c r="F2826" t="s" s="834">
        <v>478</v>
      </c>
      <c r="G2826" s="570"/>
      <c r="H2826" s="570"/>
      <c r="I2826" s="570"/>
      <c r="J2826" s="570"/>
      <c r="K2826" s="570"/>
    </row>
    <row r="2827" ht="13.75" customHeight="1">
      <c r="A2827" s="833">
        <v>137</v>
      </c>
      <c r="B2827" t="s" s="834">
        <v>1936</v>
      </c>
      <c r="C2827" t="s" s="834">
        <v>147</v>
      </c>
      <c r="D2827" s="835">
        <v>46031</v>
      </c>
      <c r="E2827" s="836">
        <v>1.350601851851852</v>
      </c>
      <c r="F2827" s="836">
        <v>1.760046296296296</v>
      </c>
      <c r="G2827" s="570"/>
      <c r="H2827" s="570"/>
      <c r="I2827" s="570"/>
      <c r="J2827" s="570"/>
      <c r="K2827" s="570"/>
    </row>
    <row r="2828" ht="13.75" customHeight="1">
      <c r="A2828" t="s" s="834">
        <v>1943</v>
      </c>
      <c r="B2828" t="s" s="834">
        <v>1944</v>
      </c>
      <c r="C2828" t="s" s="834">
        <v>1119</v>
      </c>
      <c r="D2828" s="570"/>
      <c r="E2828" s="570"/>
      <c r="F2828" s="570"/>
      <c r="G2828" s="570"/>
      <c r="H2828" s="570"/>
      <c r="I2828" s="570"/>
      <c r="J2828" s="570"/>
      <c r="K2828" s="570"/>
    </row>
    <row r="2829" ht="13.75" customHeight="1">
      <c r="A2829" s="833">
        <v>137</v>
      </c>
      <c r="B2829" t="s" s="834">
        <v>1936</v>
      </c>
      <c r="C2829" t="s" s="834">
        <v>147</v>
      </c>
      <c r="D2829" s="835">
        <v>46032</v>
      </c>
      <c r="E2829" t="s" s="834">
        <v>478</v>
      </c>
      <c r="F2829" t="s" s="834">
        <v>478</v>
      </c>
      <c r="G2829" s="570"/>
      <c r="H2829" s="570"/>
      <c r="I2829" s="570"/>
      <c r="J2829" s="570"/>
      <c r="K2829" s="570"/>
    </row>
    <row r="2830" ht="13.75" customHeight="1">
      <c r="A2830" s="833">
        <v>137</v>
      </c>
      <c r="B2830" t="s" s="834">
        <v>1936</v>
      </c>
      <c r="C2830" t="s" s="834">
        <v>147</v>
      </c>
      <c r="D2830" s="835">
        <v>46033</v>
      </c>
      <c r="E2830" t="s" s="834">
        <v>478</v>
      </c>
      <c r="F2830" t="s" s="834">
        <v>478</v>
      </c>
      <c r="G2830" s="570"/>
      <c r="H2830" s="570"/>
      <c r="I2830" s="570"/>
      <c r="J2830" s="570"/>
      <c r="K2830" s="570"/>
    </row>
    <row r="2831" ht="13.75" customHeight="1">
      <c r="A2831" s="833">
        <v>137</v>
      </c>
      <c r="B2831" t="s" s="834">
        <v>1936</v>
      </c>
      <c r="C2831" t="s" s="834">
        <v>147</v>
      </c>
      <c r="D2831" s="835">
        <v>46034</v>
      </c>
      <c r="E2831" s="836">
        <v>1.350185185185185</v>
      </c>
      <c r="F2831" s="836">
        <v>1.758553240740741</v>
      </c>
      <c r="G2831" s="570"/>
      <c r="H2831" s="570"/>
      <c r="I2831" s="570"/>
      <c r="J2831" s="570"/>
      <c r="K2831" s="570"/>
    </row>
    <row r="2832" ht="13.75" customHeight="1">
      <c r="A2832" t="s" s="834">
        <v>1945</v>
      </c>
      <c r="B2832" t="s" s="834">
        <v>1946</v>
      </c>
      <c r="C2832" t="s" s="834">
        <v>1330</v>
      </c>
      <c r="D2832" s="570"/>
      <c r="E2832" s="570"/>
      <c r="F2832" s="570"/>
      <c r="G2832" s="570"/>
      <c r="H2832" s="570"/>
      <c r="I2832" s="570"/>
      <c r="J2832" s="570"/>
      <c r="K2832" s="570"/>
    </row>
    <row r="2833" ht="13.75" customHeight="1">
      <c r="A2833" s="833">
        <v>137</v>
      </c>
      <c r="B2833" t="s" s="834">
        <v>1936</v>
      </c>
      <c r="C2833" t="s" s="834">
        <v>147</v>
      </c>
      <c r="D2833" s="835">
        <v>46035</v>
      </c>
      <c r="E2833" t="s" s="834">
        <v>478</v>
      </c>
      <c r="F2833" t="s" s="834">
        <v>478</v>
      </c>
      <c r="G2833" s="570"/>
      <c r="H2833" s="570"/>
      <c r="I2833" s="570"/>
      <c r="J2833" s="570"/>
      <c r="K2833" s="570"/>
    </row>
    <row r="2834" ht="13.75" customHeight="1">
      <c r="A2834" s="833">
        <v>137</v>
      </c>
      <c r="B2834" t="s" s="834">
        <v>1936</v>
      </c>
      <c r="C2834" t="s" s="834">
        <v>147</v>
      </c>
      <c r="D2834" s="835">
        <v>46036</v>
      </c>
      <c r="E2834" s="836">
        <v>1.361099537037037</v>
      </c>
      <c r="F2834" s="836">
        <v>1.751585648148148</v>
      </c>
      <c r="G2834" s="570"/>
      <c r="H2834" s="570"/>
      <c r="I2834" s="570"/>
      <c r="J2834" s="570"/>
      <c r="K2834" s="570"/>
    </row>
    <row r="2835" ht="13.75" customHeight="1">
      <c r="A2835" t="s" s="834">
        <v>1947</v>
      </c>
      <c r="B2835" t="s" s="834">
        <v>1948</v>
      </c>
      <c r="C2835" t="s" s="834">
        <v>901</v>
      </c>
      <c r="D2835" s="570"/>
      <c r="E2835" s="570"/>
      <c r="F2835" s="570"/>
      <c r="G2835" s="570"/>
      <c r="H2835" s="570"/>
      <c r="I2835" s="570"/>
      <c r="J2835" s="570"/>
      <c r="K2835" s="570"/>
    </row>
    <row r="2836" ht="13.75" customHeight="1">
      <c r="A2836" s="833">
        <v>137</v>
      </c>
      <c r="B2836" t="s" s="834">
        <v>1936</v>
      </c>
      <c r="C2836" t="s" s="834">
        <v>147</v>
      </c>
      <c r="D2836" s="835">
        <v>46037</v>
      </c>
      <c r="E2836" s="836">
        <v>1.349189814814815</v>
      </c>
      <c r="F2836" s="836">
        <v>1.790902777777778</v>
      </c>
      <c r="G2836" s="570"/>
      <c r="H2836" s="570"/>
      <c r="I2836" s="570"/>
      <c r="J2836" s="570"/>
      <c r="K2836" s="570"/>
    </row>
    <row r="2837" ht="13.75" customHeight="1">
      <c r="A2837" t="s" s="834">
        <v>1949</v>
      </c>
      <c r="B2837" t="s" s="834">
        <v>1950</v>
      </c>
      <c r="C2837" t="s" s="834">
        <v>1951</v>
      </c>
      <c r="D2837" s="570"/>
      <c r="E2837" s="570"/>
      <c r="F2837" s="570"/>
      <c r="G2837" s="570"/>
      <c r="H2837" s="570"/>
      <c r="I2837" s="570"/>
      <c r="J2837" s="570"/>
      <c r="K2837" s="570"/>
    </row>
    <row r="2838" ht="13.75" customHeight="1">
      <c r="A2838" s="833">
        <v>137</v>
      </c>
      <c r="B2838" t="s" s="834">
        <v>1936</v>
      </c>
      <c r="C2838" t="s" s="834">
        <v>147</v>
      </c>
      <c r="D2838" s="835">
        <v>46038</v>
      </c>
      <c r="E2838" s="836">
        <v>1.788981481481482</v>
      </c>
      <c r="F2838" t="s" s="834">
        <v>478</v>
      </c>
      <c r="G2838" s="570"/>
      <c r="H2838" s="570"/>
      <c r="I2838" s="570"/>
      <c r="J2838" s="570"/>
      <c r="K2838" s="570"/>
    </row>
    <row r="2839" ht="13.75" customHeight="1">
      <c r="A2839" t="s" s="834">
        <v>1952</v>
      </c>
      <c r="B2839" t="s" s="834">
        <v>485</v>
      </c>
      <c r="C2839" t="s" s="834">
        <v>486</v>
      </c>
      <c r="D2839" s="570"/>
      <c r="E2839" s="570"/>
      <c r="F2839" s="570"/>
      <c r="G2839" s="570"/>
      <c r="H2839" s="570"/>
      <c r="I2839" s="570"/>
      <c r="J2839" s="570"/>
      <c r="K2839" s="570"/>
    </row>
    <row r="2840" ht="13.75" customHeight="1">
      <c r="A2840" s="833">
        <v>137</v>
      </c>
      <c r="B2840" t="s" s="834">
        <v>1936</v>
      </c>
      <c r="C2840" t="s" s="834">
        <v>147</v>
      </c>
      <c r="D2840" s="835">
        <v>46039</v>
      </c>
      <c r="E2840" t="s" s="834">
        <v>478</v>
      </c>
      <c r="F2840" t="s" s="834">
        <v>478</v>
      </c>
      <c r="G2840" s="570"/>
      <c r="H2840" s="570"/>
      <c r="I2840" s="570"/>
      <c r="J2840" s="570"/>
      <c r="K2840" s="570"/>
    </row>
    <row r="2841" ht="13.75" customHeight="1">
      <c r="A2841" s="833">
        <v>137</v>
      </c>
      <c r="B2841" t="s" s="834">
        <v>1936</v>
      </c>
      <c r="C2841" t="s" s="834">
        <v>147</v>
      </c>
      <c r="D2841" s="835">
        <v>46040</v>
      </c>
      <c r="E2841" t="s" s="834">
        <v>478</v>
      </c>
      <c r="F2841" t="s" s="834">
        <v>478</v>
      </c>
      <c r="G2841" s="570"/>
      <c r="H2841" s="570"/>
      <c r="I2841" s="570"/>
      <c r="J2841" s="570"/>
      <c r="K2841" s="570"/>
    </row>
    <row r="2842" ht="13.75" customHeight="1">
      <c r="A2842" s="833">
        <v>137</v>
      </c>
      <c r="B2842" t="s" s="834">
        <v>1936</v>
      </c>
      <c r="C2842" t="s" s="834">
        <v>147</v>
      </c>
      <c r="D2842" s="835">
        <v>46041</v>
      </c>
      <c r="E2842" s="836">
        <v>1.356087962962963</v>
      </c>
      <c r="F2842" s="836">
        <v>1.758564814814815</v>
      </c>
      <c r="G2842" s="570"/>
      <c r="H2842" s="570"/>
      <c r="I2842" s="570"/>
      <c r="J2842" s="570"/>
      <c r="K2842" s="570"/>
    </row>
    <row r="2843" ht="13.75" customHeight="1">
      <c r="A2843" t="s" s="834">
        <v>1953</v>
      </c>
      <c r="B2843" t="s" s="834">
        <v>1954</v>
      </c>
      <c r="C2843" t="s" s="834">
        <v>861</v>
      </c>
      <c r="D2843" s="570"/>
      <c r="E2843" s="570"/>
      <c r="F2843" s="570"/>
      <c r="G2843" s="570"/>
      <c r="H2843" s="570"/>
      <c r="I2843" s="570"/>
      <c r="J2843" s="570"/>
      <c r="K2843" s="570"/>
    </row>
    <row r="2844" ht="13.75" customHeight="1">
      <c r="A2844" s="833">
        <v>137</v>
      </c>
      <c r="B2844" t="s" s="834">
        <v>1936</v>
      </c>
      <c r="C2844" t="s" s="834">
        <v>147</v>
      </c>
      <c r="D2844" s="835">
        <v>46042</v>
      </c>
      <c r="E2844" s="836">
        <v>1.575520833333333</v>
      </c>
      <c r="F2844" s="836">
        <v>1.762013888888889</v>
      </c>
      <c r="G2844" s="570"/>
      <c r="H2844" s="570"/>
      <c r="I2844" s="570"/>
      <c r="J2844" s="570"/>
      <c r="K2844" s="570"/>
    </row>
    <row r="2845" ht="13.75" customHeight="1">
      <c r="A2845" t="s" s="834">
        <v>1955</v>
      </c>
      <c r="B2845" t="s" s="834">
        <v>1956</v>
      </c>
      <c r="C2845" t="s" s="834">
        <v>1957</v>
      </c>
      <c r="D2845" s="570"/>
      <c r="E2845" s="570"/>
      <c r="F2845" s="570"/>
      <c r="G2845" s="570"/>
      <c r="H2845" s="570"/>
      <c r="I2845" s="570"/>
      <c r="J2845" s="570"/>
      <c r="K2845" s="570"/>
    </row>
    <row r="2846" ht="13.75" customHeight="1">
      <c r="A2846" s="833">
        <v>137</v>
      </c>
      <c r="B2846" t="s" s="834">
        <v>1936</v>
      </c>
      <c r="C2846" t="s" s="834">
        <v>147</v>
      </c>
      <c r="D2846" s="835">
        <v>46043</v>
      </c>
      <c r="E2846" t="s" s="834">
        <v>478</v>
      </c>
      <c r="F2846" t="s" s="834">
        <v>478</v>
      </c>
      <c r="G2846" s="570"/>
      <c r="H2846" s="570"/>
      <c r="I2846" s="570"/>
      <c r="J2846" s="570"/>
      <c r="K2846" s="570"/>
    </row>
    <row r="2847" ht="13.75" customHeight="1">
      <c r="A2847" s="833">
        <v>137</v>
      </c>
      <c r="B2847" t="s" s="834">
        <v>1936</v>
      </c>
      <c r="C2847" t="s" s="834">
        <v>147</v>
      </c>
      <c r="D2847" s="835">
        <v>46044</v>
      </c>
      <c r="E2847" s="836">
        <v>1.354351851851852</v>
      </c>
      <c r="F2847" s="836">
        <v>1.761701388888889</v>
      </c>
      <c r="G2847" s="570"/>
      <c r="H2847" s="570"/>
      <c r="I2847" s="570"/>
      <c r="J2847" s="570"/>
      <c r="K2847" s="570"/>
    </row>
    <row r="2848" ht="13.75" customHeight="1">
      <c r="A2848" t="s" s="834">
        <v>1958</v>
      </c>
      <c r="B2848" t="s" s="834">
        <v>1959</v>
      </c>
      <c r="C2848" t="s" s="834">
        <v>882</v>
      </c>
      <c r="D2848" s="570"/>
      <c r="E2848" s="570"/>
      <c r="F2848" s="570"/>
      <c r="G2848" s="570"/>
      <c r="H2848" s="570"/>
      <c r="I2848" s="570"/>
      <c r="J2848" s="570"/>
      <c r="K2848" s="570"/>
    </row>
    <row r="2849" ht="13.75" customHeight="1">
      <c r="A2849" s="833">
        <v>137</v>
      </c>
      <c r="B2849" t="s" s="834">
        <v>1936</v>
      </c>
      <c r="C2849" t="s" s="834">
        <v>147</v>
      </c>
      <c r="D2849" s="835">
        <v>46045</v>
      </c>
      <c r="E2849" t="s" s="834">
        <v>478</v>
      </c>
      <c r="F2849" t="s" s="834">
        <v>478</v>
      </c>
      <c r="G2849" s="570"/>
      <c r="H2849" s="570"/>
      <c r="I2849" s="570"/>
      <c r="J2849" s="570"/>
      <c r="K2849" s="570"/>
    </row>
    <row r="2850" ht="13.75" customHeight="1">
      <c r="A2850" s="833">
        <v>137</v>
      </c>
      <c r="B2850" t="s" s="834">
        <v>1936</v>
      </c>
      <c r="C2850" t="s" s="834">
        <v>147</v>
      </c>
      <c r="D2850" s="835">
        <v>46046</v>
      </c>
      <c r="E2850" t="s" s="834">
        <v>478</v>
      </c>
      <c r="F2850" t="s" s="834">
        <v>478</v>
      </c>
      <c r="G2850" s="570"/>
      <c r="H2850" s="570"/>
      <c r="I2850" s="570"/>
      <c r="J2850" s="570"/>
      <c r="K2850" s="570"/>
    </row>
    <row r="2851" ht="13.75" customHeight="1">
      <c r="A2851" s="833">
        <v>137</v>
      </c>
      <c r="B2851" t="s" s="834">
        <v>1936</v>
      </c>
      <c r="C2851" t="s" s="834">
        <v>147</v>
      </c>
      <c r="D2851" s="835">
        <v>46047</v>
      </c>
      <c r="E2851" t="s" s="834">
        <v>478</v>
      </c>
      <c r="F2851" t="s" s="834">
        <v>478</v>
      </c>
      <c r="G2851" s="570"/>
      <c r="H2851" s="570"/>
      <c r="I2851" s="570"/>
      <c r="J2851" s="570"/>
      <c r="K2851" s="570"/>
    </row>
    <row r="2852" ht="13.75" customHeight="1">
      <c r="A2852" s="833">
        <v>137</v>
      </c>
      <c r="B2852" t="s" s="834">
        <v>1936</v>
      </c>
      <c r="C2852" t="s" s="834">
        <v>147</v>
      </c>
      <c r="D2852" s="835">
        <v>46048</v>
      </c>
      <c r="E2852" s="836">
        <v>1.353796296296296</v>
      </c>
      <c r="F2852" s="836">
        <v>1.409675925925926</v>
      </c>
      <c r="G2852" s="570"/>
      <c r="H2852" s="570"/>
      <c r="I2852" s="570"/>
      <c r="J2852" s="570"/>
      <c r="K2852" s="570"/>
    </row>
    <row r="2853" ht="13.75" customHeight="1">
      <c r="A2853" t="s" s="834">
        <v>1960</v>
      </c>
      <c r="B2853" t="s" s="834">
        <v>1961</v>
      </c>
      <c r="C2853" t="s" s="834">
        <v>1962</v>
      </c>
      <c r="D2853" s="570"/>
      <c r="E2853" s="570"/>
      <c r="F2853" s="570"/>
      <c r="G2853" s="570"/>
      <c r="H2853" s="570"/>
      <c r="I2853" s="570"/>
      <c r="J2853" s="570"/>
      <c r="K2853" s="570"/>
    </row>
    <row r="2854" ht="13.75" customHeight="1">
      <c r="A2854" s="833">
        <v>137</v>
      </c>
      <c r="B2854" t="s" s="834">
        <v>1936</v>
      </c>
      <c r="C2854" t="s" s="834">
        <v>147</v>
      </c>
      <c r="D2854" s="835">
        <v>46049</v>
      </c>
      <c r="E2854" s="836">
        <v>1.759513888888889</v>
      </c>
      <c r="F2854" s="836">
        <v>1.759548611111111</v>
      </c>
      <c r="G2854" s="570"/>
      <c r="H2854" s="570"/>
      <c r="I2854" s="570"/>
      <c r="J2854" s="570"/>
      <c r="K2854" s="570"/>
    </row>
    <row r="2855" ht="13.75" customHeight="1">
      <c r="A2855" t="s" s="834">
        <v>1963</v>
      </c>
      <c r="B2855" t="s" s="834">
        <v>1964</v>
      </c>
      <c r="C2855" t="s" s="834">
        <v>486</v>
      </c>
      <c r="D2855" s="570"/>
      <c r="E2855" s="570"/>
      <c r="F2855" s="570"/>
      <c r="G2855" s="570"/>
      <c r="H2855" s="570"/>
      <c r="I2855" s="570"/>
      <c r="J2855" s="570"/>
      <c r="K2855" s="570"/>
    </row>
    <row r="2856" ht="13.75" customHeight="1">
      <c r="A2856" s="833">
        <v>137</v>
      </c>
      <c r="B2856" t="s" s="834">
        <v>1936</v>
      </c>
      <c r="C2856" t="s" s="834">
        <v>147</v>
      </c>
      <c r="D2856" s="835">
        <v>46050</v>
      </c>
      <c r="E2856" s="836">
        <v>1.352789351851852</v>
      </c>
      <c r="F2856" s="836">
        <v>1.817604166666667</v>
      </c>
      <c r="G2856" s="570"/>
      <c r="H2856" s="570"/>
      <c r="I2856" s="570"/>
      <c r="J2856" s="570"/>
      <c r="K2856" s="570"/>
    </row>
    <row r="2857" ht="13.75" customHeight="1">
      <c r="A2857" t="s" s="834">
        <v>1965</v>
      </c>
      <c r="B2857" t="s" s="834">
        <v>1966</v>
      </c>
      <c r="C2857" t="s" s="834">
        <v>1967</v>
      </c>
      <c r="D2857" s="570"/>
      <c r="E2857" s="570"/>
      <c r="F2857" s="570"/>
      <c r="G2857" s="570"/>
      <c r="H2857" s="570"/>
      <c r="I2857" s="570"/>
      <c r="J2857" s="570"/>
      <c r="K2857" s="570"/>
    </row>
    <row r="2858" ht="13.75" customHeight="1">
      <c r="A2858" s="833">
        <v>137</v>
      </c>
      <c r="B2858" t="s" s="834">
        <v>1936</v>
      </c>
      <c r="C2858" t="s" s="834">
        <v>147</v>
      </c>
      <c r="D2858" s="835">
        <v>46051</v>
      </c>
      <c r="E2858" s="836">
        <v>1.352060185185185</v>
      </c>
      <c r="F2858" s="836">
        <v>1.758576388888889</v>
      </c>
      <c r="G2858" s="570"/>
      <c r="H2858" s="570"/>
      <c r="I2858" s="570"/>
      <c r="J2858" s="570"/>
      <c r="K2858" s="570"/>
    </row>
    <row r="2859" ht="13.75" customHeight="1">
      <c r="A2859" t="s" s="834">
        <v>1968</v>
      </c>
      <c r="B2859" t="s" s="834">
        <v>1969</v>
      </c>
      <c r="C2859" t="s" s="834">
        <v>603</v>
      </c>
      <c r="D2859" s="570"/>
      <c r="E2859" s="570"/>
      <c r="F2859" s="570"/>
      <c r="G2859" s="570"/>
      <c r="H2859" s="570"/>
      <c r="I2859" s="570"/>
      <c r="J2859" s="570"/>
      <c r="K2859" s="570"/>
    </row>
    <row r="2860" ht="13.75" customHeight="1">
      <c r="A2860" s="833">
        <v>137</v>
      </c>
      <c r="B2860" t="s" s="834">
        <v>1936</v>
      </c>
      <c r="C2860" t="s" s="834">
        <v>147</v>
      </c>
      <c r="D2860" s="835">
        <v>46052</v>
      </c>
      <c r="E2860" s="836">
        <v>1.346597222222222</v>
      </c>
      <c r="F2860" s="836">
        <v>1.347523148148148</v>
      </c>
      <c r="G2860" s="570"/>
      <c r="H2860" s="570"/>
      <c r="I2860" s="570"/>
      <c r="J2860" s="570"/>
      <c r="K2860" s="570"/>
    </row>
    <row r="2861" ht="13.75" customHeight="1">
      <c r="A2861" t="s" s="834">
        <v>1970</v>
      </c>
      <c r="B2861" t="s" s="834">
        <v>1971</v>
      </c>
      <c r="C2861" t="s" s="834">
        <v>805</v>
      </c>
      <c r="D2861" s="570"/>
      <c r="E2861" s="570"/>
      <c r="F2861" s="570"/>
      <c r="G2861" s="570"/>
      <c r="H2861" s="570"/>
      <c r="I2861" s="570"/>
      <c r="J2861" s="570"/>
      <c r="K2861" s="570"/>
    </row>
    <row r="2862" ht="13.75" customHeight="1">
      <c r="A2862" s="833">
        <v>137</v>
      </c>
      <c r="B2862" t="s" s="834">
        <v>1936</v>
      </c>
      <c r="C2862" t="s" s="834">
        <v>147</v>
      </c>
      <c r="D2862" s="835">
        <v>46053</v>
      </c>
      <c r="E2862" t="s" s="834">
        <v>478</v>
      </c>
      <c r="F2862" t="s" s="834">
        <v>478</v>
      </c>
      <c r="G2862" s="570"/>
      <c r="H2862" s="570"/>
      <c r="I2862" s="570"/>
      <c r="J2862" s="570"/>
      <c r="K2862" s="570"/>
    </row>
    <row r="2863" ht="13.75" customHeight="1">
      <c r="A2863" s="833">
        <v>137</v>
      </c>
      <c r="B2863" t="s" s="834">
        <v>1936</v>
      </c>
      <c r="C2863" t="s" s="834">
        <v>147</v>
      </c>
      <c r="D2863" s="835">
        <v>46054</v>
      </c>
      <c r="E2863" t="s" s="834">
        <v>478</v>
      </c>
      <c r="F2863" t="s" s="834">
        <v>478</v>
      </c>
      <c r="G2863" s="570"/>
      <c r="H2863" s="570"/>
      <c r="I2863" s="570"/>
      <c r="J2863" s="570"/>
      <c r="K2863" s="570"/>
    </row>
    <row r="2864" ht="13.75" customHeight="1">
      <c r="A2864" s="833">
        <v>138</v>
      </c>
      <c r="B2864" t="s" s="834">
        <v>1972</v>
      </c>
      <c r="C2864" t="s" s="834">
        <v>1752</v>
      </c>
      <c r="D2864" s="835">
        <v>46023</v>
      </c>
      <c r="E2864" t="s" s="834">
        <v>478</v>
      </c>
      <c r="F2864" t="s" s="834">
        <v>478</v>
      </c>
      <c r="G2864" s="570"/>
      <c r="H2864" s="570"/>
      <c r="I2864" s="570"/>
      <c r="J2864" s="570"/>
      <c r="K2864" s="570"/>
    </row>
    <row r="2865" ht="13.75" customHeight="1">
      <c r="A2865" s="833">
        <v>138</v>
      </c>
      <c r="B2865" t="s" s="834">
        <v>1972</v>
      </c>
      <c r="C2865" t="s" s="834">
        <v>1752</v>
      </c>
      <c r="D2865" s="835">
        <v>46024</v>
      </c>
      <c r="E2865" t="s" s="834">
        <v>478</v>
      </c>
      <c r="F2865" t="s" s="834">
        <v>478</v>
      </c>
      <c r="G2865" s="570"/>
      <c r="H2865" s="570"/>
      <c r="I2865" s="570"/>
      <c r="J2865" s="570"/>
      <c r="K2865" s="570"/>
    </row>
    <row r="2866" ht="13.75" customHeight="1">
      <c r="A2866" s="833">
        <v>138</v>
      </c>
      <c r="B2866" t="s" s="834">
        <v>1972</v>
      </c>
      <c r="C2866" t="s" s="834">
        <v>1752</v>
      </c>
      <c r="D2866" s="835">
        <v>46025</v>
      </c>
      <c r="E2866" t="s" s="834">
        <v>478</v>
      </c>
      <c r="F2866" t="s" s="834">
        <v>478</v>
      </c>
      <c r="G2866" s="570"/>
      <c r="H2866" s="570"/>
      <c r="I2866" s="570"/>
      <c r="J2866" s="570"/>
      <c r="K2866" s="570"/>
    </row>
    <row r="2867" ht="13.75" customHeight="1">
      <c r="A2867" s="833">
        <v>138</v>
      </c>
      <c r="B2867" t="s" s="834">
        <v>1972</v>
      </c>
      <c r="C2867" t="s" s="834">
        <v>1752</v>
      </c>
      <c r="D2867" s="835">
        <v>46026</v>
      </c>
      <c r="E2867" t="s" s="834">
        <v>478</v>
      </c>
      <c r="F2867" t="s" s="834">
        <v>478</v>
      </c>
      <c r="G2867" s="570"/>
      <c r="H2867" s="570"/>
      <c r="I2867" s="570"/>
      <c r="J2867" s="570"/>
      <c r="K2867" s="570"/>
    </row>
    <row r="2868" ht="13.75" customHeight="1">
      <c r="A2868" s="833">
        <v>138</v>
      </c>
      <c r="B2868" t="s" s="834">
        <v>1972</v>
      </c>
      <c r="C2868" t="s" s="834">
        <v>1752</v>
      </c>
      <c r="D2868" s="835">
        <v>46027</v>
      </c>
      <c r="E2868" s="836">
        <v>1.390509259259259</v>
      </c>
      <c r="F2868" s="836">
        <v>1.761828703703704</v>
      </c>
      <c r="G2868" s="570"/>
      <c r="H2868" s="570"/>
      <c r="I2868" s="570"/>
      <c r="J2868" s="570"/>
      <c r="K2868" s="570"/>
    </row>
    <row r="2869" ht="13.75" customHeight="1">
      <c r="A2869" t="s" s="834">
        <v>1973</v>
      </c>
      <c r="B2869" t="s" s="834">
        <v>1974</v>
      </c>
      <c r="C2869" t="s" s="834">
        <v>1249</v>
      </c>
      <c r="D2869" s="570"/>
      <c r="E2869" s="570"/>
      <c r="F2869" s="570"/>
      <c r="G2869" s="570"/>
      <c r="H2869" s="570"/>
      <c r="I2869" s="570"/>
      <c r="J2869" s="570"/>
      <c r="K2869" s="570"/>
    </row>
    <row r="2870" ht="13.75" customHeight="1">
      <c r="A2870" s="833">
        <v>138</v>
      </c>
      <c r="B2870" t="s" s="834">
        <v>1972</v>
      </c>
      <c r="C2870" t="s" s="834">
        <v>1752</v>
      </c>
      <c r="D2870" s="835">
        <v>46028</v>
      </c>
      <c r="E2870" s="836">
        <v>1.767905092592593</v>
      </c>
      <c r="F2870" s="836">
        <v>1.767951388888889</v>
      </c>
      <c r="G2870" s="570"/>
      <c r="H2870" s="570"/>
      <c r="I2870" s="570"/>
      <c r="J2870" s="570"/>
      <c r="K2870" s="570"/>
    </row>
    <row r="2871" ht="13.75" customHeight="1">
      <c r="A2871" t="s" s="834">
        <v>1975</v>
      </c>
      <c r="B2871" t="s" s="834">
        <v>1976</v>
      </c>
      <c r="C2871" t="s" s="834">
        <v>486</v>
      </c>
      <c r="D2871" s="570"/>
      <c r="E2871" s="570"/>
      <c r="F2871" s="570"/>
      <c r="G2871" s="570"/>
      <c r="H2871" s="570"/>
      <c r="I2871" s="570"/>
      <c r="J2871" s="570"/>
      <c r="K2871" s="570"/>
    </row>
    <row r="2872" ht="13.75" customHeight="1">
      <c r="A2872" s="833">
        <v>138</v>
      </c>
      <c r="B2872" t="s" s="834">
        <v>1972</v>
      </c>
      <c r="C2872" t="s" s="834">
        <v>1752</v>
      </c>
      <c r="D2872" s="835">
        <v>46029</v>
      </c>
      <c r="E2872" s="836">
        <v>1.396840277777778</v>
      </c>
      <c r="F2872" s="836">
        <v>1.772465277777778</v>
      </c>
      <c r="G2872" s="570"/>
      <c r="H2872" s="570"/>
      <c r="I2872" s="570"/>
      <c r="J2872" s="570"/>
      <c r="K2872" s="570"/>
    </row>
    <row r="2873" ht="13.75" customHeight="1">
      <c r="A2873" t="s" s="834">
        <v>1977</v>
      </c>
      <c r="B2873" t="s" s="834">
        <v>1978</v>
      </c>
      <c r="C2873" t="s" s="834">
        <v>556</v>
      </c>
      <c r="D2873" s="570"/>
      <c r="E2873" s="570"/>
      <c r="F2873" s="570"/>
      <c r="G2873" s="570"/>
      <c r="H2873" s="570"/>
      <c r="I2873" s="570"/>
      <c r="J2873" s="570"/>
      <c r="K2873" s="570"/>
    </row>
    <row r="2874" ht="13.75" customHeight="1">
      <c r="A2874" s="833">
        <v>138</v>
      </c>
      <c r="B2874" t="s" s="834">
        <v>1972</v>
      </c>
      <c r="C2874" t="s" s="834">
        <v>1752</v>
      </c>
      <c r="D2874" s="835">
        <v>46030</v>
      </c>
      <c r="E2874" s="836">
        <v>1.462256944444444</v>
      </c>
      <c r="F2874" s="836">
        <v>1.784733796296296</v>
      </c>
      <c r="G2874" s="570"/>
      <c r="H2874" s="570"/>
      <c r="I2874" s="570"/>
      <c r="J2874" s="570"/>
      <c r="K2874" s="570"/>
    </row>
    <row r="2875" ht="13.75" customHeight="1">
      <c r="A2875" t="s" s="834">
        <v>1979</v>
      </c>
      <c r="B2875" t="s" s="834">
        <v>1980</v>
      </c>
      <c r="C2875" t="s" s="834">
        <v>1981</v>
      </c>
      <c r="D2875" s="570"/>
      <c r="E2875" s="570"/>
      <c r="F2875" s="570"/>
      <c r="G2875" s="570"/>
      <c r="H2875" s="570"/>
      <c r="I2875" s="570"/>
      <c r="J2875" s="570"/>
      <c r="K2875" s="570"/>
    </row>
    <row r="2876" ht="13.75" customHeight="1">
      <c r="A2876" s="833">
        <v>138</v>
      </c>
      <c r="B2876" t="s" s="834">
        <v>1972</v>
      </c>
      <c r="C2876" t="s" s="834">
        <v>1752</v>
      </c>
      <c r="D2876" s="835">
        <v>46031</v>
      </c>
      <c r="E2876" t="s" s="834">
        <v>478</v>
      </c>
      <c r="F2876" t="s" s="834">
        <v>478</v>
      </c>
      <c r="G2876" s="570"/>
      <c r="H2876" s="570"/>
      <c r="I2876" s="570"/>
      <c r="J2876" s="570"/>
      <c r="K2876" s="570"/>
    </row>
    <row r="2877" ht="13.75" customHeight="1">
      <c r="A2877" s="833">
        <v>138</v>
      </c>
      <c r="B2877" t="s" s="834">
        <v>1972</v>
      </c>
      <c r="C2877" t="s" s="834">
        <v>1752</v>
      </c>
      <c r="D2877" s="835">
        <v>46032</v>
      </c>
      <c r="E2877" t="s" s="834">
        <v>478</v>
      </c>
      <c r="F2877" t="s" s="834">
        <v>478</v>
      </c>
      <c r="G2877" s="570"/>
      <c r="H2877" s="570"/>
      <c r="I2877" s="570"/>
      <c r="J2877" s="570"/>
      <c r="K2877" s="570"/>
    </row>
    <row r="2878" ht="13.75" customHeight="1">
      <c r="A2878" s="833">
        <v>138</v>
      </c>
      <c r="B2878" t="s" s="834">
        <v>1972</v>
      </c>
      <c r="C2878" t="s" s="834">
        <v>1752</v>
      </c>
      <c r="D2878" s="835">
        <v>46033</v>
      </c>
      <c r="E2878" t="s" s="834">
        <v>478</v>
      </c>
      <c r="F2878" t="s" s="834">
        <v>478</v>
      </c>
      <c r="G2878" s="570"/>
      <c r="H2878" s="570"/>
      <c r="I2878" s="570"/>
      <c r="J2878" s="570"/>
      <c r="K2878" s="570"/>
    </row>
    <row r="2879" ht="13.75" customHeight="1">
      <c r="A2879" s="833">
        <v>138</v>
      </c>
      <c r="B2879" t="s" s="834">
        <v>1972</v>
      </c>
      <c r="C2879" t="s" s="834">
        <v>1752</v>
      </c>
      <c r="D2879" s="835">
        <v>46034</v>
      </c>
      <c r="E2879" s="836">
        <v>1.370208333333333</v>
      </c>
      <c r="F2879" s="836">
        <v>1.760856481481481</v>
      </c>
      <c r="G2879" s="570"/>
      <c r="H2879" s="570"/>
      <c r="I2879" s="570"/>
      <c r="J2879" s="570"/>
      <c r="K2879" s="570"/>
    </row>
    <row r="2880" ht="13.75" customHeight="1">
      <c r="A2880" t="s" s="834">
        <v>1982</v>
      </c>
      <c r="B2880" t="s" s="834">
        <v>1983</v>
      </c>
      <c r="C2880" t="s" s="834">
        <v>668</v>
      </c>
      <c r="D2880" s="570"/>
      <c r="E2880" s="570"/>
      <c r="F2880" s="570"/>
      <c r="G2880" s="570"/>
      <c r="H2880" s="570"/>
      <c r="I2880" s="570"/>
      <c r="J2880" s="570"/>
      <c r="K2880" s="570"/>
    </row>
    <row r="2881" ht="13.75" customHeight="1">
      <c r="A2881" s="833">
        <v>138</v>
      </c>
      <c r="B2881" t="s" s="834">
        <v>1972</v>
      </c>
      <c r="C2881" t="s" s="834">
        <v>1752</v>
      </c>
      <c r="D2881" s="835">
        <v>46035</v>
      </c>
      <c r="E2881" s="836">
        <v>1.763344907407407</v>
      </c>
      <c r="F2881" s="836">
        <v>1.76337962962963</v>
      </c>
      <c r="G2881" s="570"/>
      <c r="H2881" s="570"/>
      <c r="I2881" s="570"/>
      <c r="J2881" s="570"/>
      <c r="K2881" s="570"/>
    </row>
    <row r="2882" ht="13.75" customHeight="1">
      <c r="A2882" t="s" s="834">
        <v>1984</v>
      </c>
      <c r="B2882" t="s" s="834">
        <v>1985</v>
      </c>
      <c r="C2882" t="s" s="834">
        <v>486</v>
      </c>
      <c r="D2882" s="570"/>
      <c r="E2882" s="570"/>
      <c r="F2882" s="570"/>
      <c r="G2882" s="570"/>
      <c r="H2882" s="570"/>
      <c r="I2882" s="570"/>
      <c r="J2882" s="570"/>
      <c r="K2882" s="570"/>
    </row>
    <row r="2883" ht="13.75" customHeight="1">
      <c r="A2883" s="833">
        <v>138</v>
      </c>
      <c r="B2883" t="s" s="834">
        <v>1972</v>
      </c>
      <c r="C2883" t="s" s="834">
        <v>1752</v>
      </c>
      <c r="D2883" s="835">
        <v>46036</v>
      </c>
      <c r="E2883" s="836">
        <v>1.693009259259259</v>
      </c>
      <c r="F2883" s="836">
        <v>1.776701388888889</v>
      </c>
      <c r="G2883" s="570"/>
      <c r="H2883" s="570"/>
      <c r="I2883" s="570"/>
      <c r="J2883" s="570"/>
      <c r="K2883" s="570"/>
    </row>
    <row r="2884" ht="13.75" customHeight="1">
      <c r="A2884" t="s" s="834">
        <v>1986</v>
      </c>
      <c r="B2884" t="s" s="834">
        <v>1987</v>
      </c>
      <c r="C2884" t="s" s="834">
        <v>1988</v>
      </c>
      <c r="D2884" s="570"/>
      <c r="E2884" s="570"/>
      <c r="F2884" s="570"/>
      <c r="G2884" s="570"/>
      <c r="H2884" s="570"/>
      <c r="I2884" s="570"/>
      <c r="J2884" s="570"/>
      <c r="K2884" s="570"/>
    </row>
    <row r="2885" ht="13.75" customHeight="1">
      <c r="A2885" s="833">
        <v>138</v>
      </c>
      <c r="B2885" t="s" s="834">
        <v>1972</v>
      </c>
      <c r="C2885" t="s" s="834">
        <v>1752</v>
      </c>
      <c r="D2885" s="835">
        <v>46037</v>
      </c>
      <c r="E2885" s="836">
        <v>1.771481481481481</v>
      </c>
      <c r="F2885" s="836">
        <v>1.771863425925926</v>
      </c>
      <c r="G2885" s="570"/>
      <c r="H2885" s="570"/>
      <c r="I2885" s="570"/>
      <c r="J2885" s="570"/>
      <c r="K2885" s="570"/>
    </row>
    <row r="2886" ht="13.75" customHeight="1">
      <c r="A2886" t="s" s="834">
        <v>1989</v>
      </c>
      <c r="B2886" t="s" s="834">
        <v>1990</v>
      </c>
      <c r="C2886" t="s" s="834">
        <v>805</v>
      </c>
      <c r="D2886" s="570"/>
      <c r="E2886" s="570"/>
      <c r="F2886" s="570"/>
      <c r="G2886" s="570"/>
      <c r="H2886" s="570"/>
      <c r="I2886" s="570"/>
      <c r="J2886" s="570"/>
      <c r="K2886" s="570"/>
    </row>
    <row r="2887" ht="13.75" customHeight="1">
      <c r="A2887" s="833">
        <v>138</v>
      </c>
      <c r="B2887" t="s" s="834">
        <v>1972</v>
      </c>
      <c r="C2887" t="s" s="834">
        <v>1752</v>
      </c>
      <c r="D2887" s="835">
        <v>46038</v>
      </c>
      <c r="E2887" s="836">
        <v>1.638842592592593</v>
      </c>
      <c r="F2887" s="836">
        <v>1.783321759259259</v>
      </c>
      <c r="G2887" s="570"/>
      <c r="H2887" s="570"/>
      <c r="I2887" s="570"/>
      <c r="J2887" s="570"/>
      <c r="K2887" s="570"/>
    </row>
    <row r="2888" ht="13.75" customHeight="1">
      <c r="A2888" t="s" s="834">
        <v>1991</v>
      </c>
      <c r="B2888" t="s" s="834">
        <v>1992</v>
      </c>
      <c r="C2888" t="s" s="834">
        <v>1993</v>
      </c>
      <c r="D2888" s="570"/>
      <c r="E2888" s="570"/>
      <c r="F2888" s="570"/>
      <c r="G2888" s="570"/>
      <c r="H2888" s="570"/>
      <c r="I2888" s="570"/>
      <c r="J2888" s="570"/>
      <c r="K2888" s="570"/>
    </row>
    <row r="2889" ht="13.75" customHeight="1">
      <c r="A2889" s="833">
        <v>138</v>
      </c>
      <c r="B2889" t="s" s="834">
        <v>1972</v>
      </c>
      <c r="C2889" t="s" s="834">
        <v>1752</v>
      </c>
      <c r="D2889" s="835">
        <v>46039</v>
      </c>
      <c r="E2889" t="s" s="834">
        <v>478</v>
      </c>
      <c r="F2889" t="s" s="834">
        <v>478</v>
      </c>
      <c r="G2889" s="570"/>
      <c r="H2889" s="570"/>
      <c r="I2889" s="570"/>
      <c r="J2889" s="570"/>
      <c r="K2889" s="570"/>
    </row>
    <row r="2890" ht="13.75" customHeight="1">
      <c r="A2890" s="833">
        <v>138</v>
      </c>
      <c r="B2890" t="s" s="834">
        <v>1972</v>
      </c>
      <c r="C2890" t="s" s="834">
        <v>1752</v>
      </c>
      <c r="D2890" s="835">
        <v>46040</v>
      </c>
      <c r="E2890" t="s" s="834">
        <v>478</v>
      </c>
      <c r="F2890" t="s" s="834">
        <v>478</v>
      </c>
      <c r="G2890" s="570"/>
      <c r="H2890" s="570"/>
      <c r="I2890" s="570"/>
      <c r="J2890" s="570"/>
      <c r="K2890" s="570"/>
    </row>
    <row r="2891" ht="13.75" customHeight="1">
      <c r="A2891" s="833">
        <v>138</v>
      </c>
      <c r="B2891" t="s" s="834">
        <v>1972</v>
      </c>
      <c r="C2891" t="s" s="834">
        <v>1752</v>
      </c>
      <c r="D2891" s="835">
        <v>46041</v>
      </c>
      <c r="E2891" s="836">
        <v>1.391354166666667</v>
      </c>
      <c r="F2891" s="836">
        <v>1.784351851851852</v>
      </c>
      <c r="G2891" s="570"/>
      <c r="H2891" s="570"/>
      <c r="I2891" s="570"/>
      <c r="J2891" s="570"/>
      <c r="K2891" s="570"/>
    </row>
    <row r="2892" ht="13.75" customHeight="1">
      <c r="A2892" t="s" s="834">
        <v>1994</v>
      </c>
      <c r="B2892" t="s" s="834">
        <v>1995</v>
      </c>
      <c r="C2892" t="s" s="834">
        <v>1019</v>
      </c>
      <c r="D2892" s="570"/>
      <c r="E2892" s="570"/>
      <c r="F2892" s="570"/>
      <c r="G2892" s="570"/>
      <c r="H2892" s="570"/>
      <c r="I2892" s="570"/>
      <c r="J2892" s="570"/>
      <c r="K2892" s="570"/>
    </row>
    <row r="2893" ht="13.75" customHeight="1">
      <c r="A2893" s="833">
        <v>138</v>
      </c>
      <c r="B2893" t="s" s="834">
        <v>1972</v>
      </c>
      <c r="C2893" t="s" s="834">
        <v>1752</v>
      </c>
      <c r="D2893" s="835">
        <v>46042</v>
      </c>
      <c r="E2893" s="836">
        <v>1.76162037037037</v>
      </c>
      <c r="F2893" s="836">
        <v>1.761631944444444</v>
      </c>
      <c r="G2893" s="570"/>
      <c r="H2893" s="570"/>
      <c r="I2893" s="570"/>
      <c r="J2893" s="570"/>
      <c r="K2893" s="570"/>
    </row>
    <row r="2894" ht="13.75" customHeight="1">
      <c r="A2894" t="s" s="834">
        <v>1996</v>
      </c>
      <c r="B2894" t="s" s="834">
        <v>1997</v>
      </c>
      <c r="C2894" t="s" s="834">
        <v>486</v>
      </c>
      <c r="D2894" s="570"/>
      <c r="E2894" s="570"/>
      <c r="F2894" s="570"/>
      <c r="G2894" s="570"/>
      <c r="H2894" s="570"/>
      <c r="I2894" s="570"/>
      <c r="J2894" s="570"/>
      <c r="K2894" s="570"/>
    </row>
    <row r="2895" ht="13.75" customHeight="1">
      <c r="A2895" s="833">
        <v>138</v>
      </c>
      <c r="B2895" t="s" s="834">
        <v>1972</v>
      </c>
      <c r="C2895" t="s" s="834">
        <v>1752</v>
      </c>
      <c r="D2895" s="835">
        <v>46043</v>
      </c>
      <c r="E2895" s="836">
        <v>1.407175925925926</v>
      </c>
      <c r="F2895" s="836">
        <v>1.770856481481482</v>
      </c>
      <c r="G2895" s="570"/>
      <c r="H2895" s="570"/>
      <c r="I2895" s="570"/>
      <c r="J2895" s="570"/>
      <c r="K2895" s="570"/>
    </row>
    <row r="2896" ht="13.75" customHeight="1">
      <c r="A2896" t="s" s="834">
        <v>1998</v>
      </c>
      <c r="B2896" t="s" s="834">
        <v>1999</v>
      </c>
      <c r="C2896" t="s" s="834">
        <v>2000</v>
      </c>
      <c r="D2896" s="570"/>
      <c r="E2896" s="570"/>
      <c r="F2896" s="570"/>
      <c r="G2896" s="570"/>
      <c r="H2896" s="570"/>
      <c r="I2896" s="570"/>
      <c r="J2896" s="570"/>
      <c r="K2896" s="570"/>
    </row>
    <row r="2897" ht="13.75" customHeight="1">
      <c r="A2897" s="833">
        <v>138</v>
      </c>
      <c r="B2897" t="s" s="834">
        <v>1972</v>
      </c>
      <c r="C2897" t="s" s="834">
        <v>1752</v>
      </c>
      <c r="D2897" s="835">
        <v>46044</v>
      </c>
      <c r="E2897" s="836">
        <v>1.369618055555555</v>
      </c>
      <c r="F2897" s="836">
        <v>1.773935185185185</v>
      </c>
      <c r="G2897" s="570"/>
      <c r="H2897" s="570"/>
      <c r="I2897" s="570"/>
      <c r="J2897" s="570"/>
      <c r="K2897" s="570"/>
    </row>
    <row r="2898" ht="13.75" customHeight="1">
      <c r="A2898" t="s" s="834">
        <v>2001</v>
      </c>
      <c r="B2898" t="s" s="834">
        <v>2002</v>
      </c>
      <c r="C2898" t="s" s="834">
        <v>493</v>
      </c>
      <c r="D2898" s="570"/>
      <c r="E2898" s="570"/>
      <c r="F2898" s="570"/>
      <c r="G2898" s="570"/>
      <c r="H2898" s="570"/>
      <c r="I2898" s="570"/>
      <c r="J2898" s="570"/>
      <c r="K2898" s="570"/>
    </row>
    <row r="2899" ht="13.75" customHeight="1">
      <c r="A2899" s="833">
        <v>138</v>
      </c>
      <c r="B2899" t="s" s="834">
        <v>1972</v>
      </c>
      <c r="C2899" t="s" s="834">
        <v>1752</v>
      </c>
      <c r="D2899" s="835">
        <v>46045</v>
      </c>
      <c r="E2899" s="836">
        <v>1.438090277777778</v>
      </c>
      <c r="F2899" s="836">
        <v>1.780648148148148</v>
      </c>
      <c r="G2899" s="570"/>
      <c r="H2899" s="570"/>
      <c r="I2899" s="570"/>
      <c r="J2899" s="570"/>
      <c r="K2899" s="570"/>
    </row>
    <row r="2900" ht="13.75" customHeight="1">
      <c r="A2900" t="s" s="834">
        <v>2003</v>
      </c>
      <c r="B2900" t="s" s="834">
        <v>2004</v>
      </c>
      <c r="C2900" t="s" s="834">
        <v>2005</v>
      </c>
      <c r="D2900" s="570"/>
      <c r="E2900" s="570"/>
      <c r="F2900" s="570"/>
      <c r="G2900" s="570"/>
      <c r="H2900" s="570"/>
      <c r="I2900" s="570"/>
      <c r="J2900" s="570"/>
      <c r="K2900" s="570"/>
    </row>
    <row r="2901" ht="13.75" customHeight="1">
      <c r="A2901" s="833">
        <v>138</v>
      </c>
      <c r="B2901" t="s" s="834">
        <v>1972</v>
      </c>
      <c r="C2901" t="s" s="834">
        <v>1752</v>
      </c>
      <c r="D2901" s="835">
        <v>46046</v>
      </c>
      <c r="E2901" t="s" s="834">
        <v>478</v>
      </c>
      <c r="F2901" t="s" s="834">
        <v>478</v>
      </c>
      <c r="G2901" s="570"/>
      <c r="H2901" s="570"/>
      <c r="I2901" s="570"/>
      <c r="J2901" s="570"/>
      <c r="K2901" s="570"/>
    </row>
    <row r="2902" ht="13.75" customHeight="1">
      <c r="A2902" s="833">
        <v>138</v>
      </c>
      <c r="B2902" t="s" s="834">
        <v>1972</v>
      </c>
      <c r="C2902" t="s" s="834">
        <v>1752</v>
      </c>
      <c r="D2902" s="835">
        <v>46047</v>
      </c>
      <c r="E2902" t="s" s="834">
        <v>478</v>
      </c>
      <c r="F2902" t="s" s="834">
        <v>478</v>
      </c>
      <c r="G2902" s="570"/>
      <c r="H2902" s="570"/>
      <c r="I2902" s="570"/>
      <c r="J2902" s="570"/>
      <c r="K2902" s="570"/>
    </row>
    <row r="2903" ht="13.75" customHeight="1">
      <c r="A2903" s="833">
        <v>138</v>
      </c>
      <c r="B2903" t="s" s="834">
        <v>1972</v>
      </c>
      <c r="C2903" t="s" s="834">
        <v>1752</v>
      </c>
      <c r="D2903" s="835">
        <v>46048</v>
      </c>
      <c r="E2903" s="836">
        <v>1.38994212962963</v>
      </c>
      <c r="F2903" s="836">
        <v>1.770416666666667</v>
      </c>
      <c r="G2903" s="570"/>
      <c r="H2903" s="570"/>
      <c r="I2903" s="570"/>
      <c r="J2903" s="570"/>
      <c r="K2903" s="570"/>
    </row>
    <row r="2904" ht="13.75" customHeight="1">
      <c r="A2904" t="s" s="834">
        <v>2006</v>
      </c>
      <c r="B2904" t="s" s="834">
        <v>2007</v>
      </c>
      <c r="C2904" t="s" s="834">
        <v>537</v>
      </c>
      <c r="D2904" s="570"/>
      <c r="E2904" s="570"/>
      <c r="F2904" s="570"/>
      <c r="G2904" s="570"/>
      <c r="H2904" s="570"/>
      <c r="I2904" s="570"/>
      <c r="J2904" s="570"/>
      <c r="K2904" s="570"/>
    </row>
    <row r="2905" ht="13.75" customHeight="1">
      <c r="A2905" s="833">
        <v>138</v>
      </c>
      <c r="B2905" t="s" s="834">
        <v>1972</v>
      </c>
      <c r="C2905" t="s" s="834">
        <v>1752</v>
      </c>
      <c r="D2905" s="835">
        <v>46049</v>
      </c>
      <c r="E2905" s="836">
        <v>1.462569444444444</v>
      </c>
      <c r="F2905" s="836">
        <v>1.766793981481481</v>
      </c>
      <c r="G2905" s="570"/>
      <c r="H2905" s="570"/>
      <c r="I2905" s="570"/>
      <c r="J2905" s="570"/>
      <c r="K2905" s="570"/>
    </row>
    <row r="2906" ht="13.75" customHeight="1">
      <c r="A2906" t="s" s="834">
        <v>2008</v>
      </c>
      <c r="B2906" t="s" s="834">
        <v>2009</v>
      </c>
      <c r="C2906" t="s" s="834">
        <v>2010</v>
      </c>
      <c r="D2906" s="570"/>
      <c r="E2906" s="570"/>
      <c r="F2906" s="570"/>
      <c r="G2906" s="570"/>
      <c r="H2906" s="570"/>
      <c r="I2906" s="570"/>
      <c r="J2906" s="570"/>
      <c r="K2906" s="570"/>
    </row>
    <row r="2907" ht="13.75" customHeight="1">
      <c r="A2907" s="833">
        <v>138</v>
      </c>
      <c r="B2907" t="s" s="834">
        <v>1972</v>
      </c>
      <c r="C2907" t="s" s="834">
        <v>1752</v>
      </c>
      <c r="D2907" s="835">
        <v>46050</v>
      </c>
      <c r="E2907" s="836">
        <v>1.426921296296296</v>
      </c>
      <c r="F2907" t="s" s="834">
        <v>478</v>
      </c>
      <c r="G2907" s="570"/>
      <c r="H2907" s="570"/>
      <c r="I2907" s="570"/>
      <c r="J2907" s="570"/>
      <c r="K2907" s="570"/>
    </row>
    <row r="2908" ht="13.75" customHeight="1">
      <c r="A2908" t="s" s="834">
        <v>2011</v>
      </c>
      <c r="B2908" t="s" s="834">
        <v>485</v>
      </c>
      <c r="C2908" t="s" s="834">
        <v>486</v>
      </c>
      <c r="D2908" s="570"/>
      <c r="E2908" s="570"/>
      <c r="F2908" s="570"/>
      <c r="G2908" s="570"/>
      <c r="H2908" s="570"/>
      <c r="I2908" s="570"/>
      <c r="J2908" s="570"/>
      <c r="K2908" s="570"/>
    </row>
    <row r="2909" ht="13.75" customHeight="1">
      <c r="A2909" s="833">
        <v>138</v>
      </c>
      <c r="B2909" t="s" s="834">
        <v>1972</v>
      </c>
      <c r="C2909" t="s" s="834">
        <v>1752</v>
      </c>
      <c r="D2909" s="835">
        <v>46051</v>
      </c>
      <c r="E2909" s="836">
        <v>1.376909722222222</v>
      </c>
      <c r="F2909" s="836">
        <v>1.782511574074074</v>
      </c>
      <c r="G2909" s="570"/>
      <c r="H2909" s="570"/>
      <c r="I2909" s="570"/>
      <c r="J2909" s="570"/>
      <c r="K2909" s="570"/>
    </row>
    <row r="2910" ht="13.75" customHeight="1">
      <c r="A2910" t="s" s="834">
        <v>2012</v>
      </c>
      <c r="B2910" t="s" s="834">
        <v>2013</v>
      </c>
      <c r="C2910" t="s" s="834">
        <v>1601</v>
      </c>
      <c r="D2910" s="570"/>
      <c r="E2910" s="570"/>
      <c r="F2910" s="570"/>
      <c r="G2910" s="570"/>
      <c r="H2910" s="570"/>
      <c r="I2910" s="570"/>
      <c r="J2910" s="570"/>
      <c r="K2910" s="570"/>
    </row>
    <row r="2911" ht="13.75" customHeight="1">
      <c r="A2911" s="833">
        <v>138</v>
      </c>
      <c r="B2911" t="s" s="834">
        <v>1972</v>
      </c>
      <c r="C2911" t="s" s="834">
        <v>1752</v>
      </c>
      <c r="D2911" s="835">
        <v>46052</v>
      </c>
      <c r="E2911" s="836">
        <v>1.673842592592593</v>
      </c>
      <c r="F2911" s="836">
        <v>1.763923611111111</v>
      </c>
      <c r="G2911" s="570"/>
      <c r="H2911" s="570"/>
      <c r="I2911" s="570"/>
      <c r="J2911" s="570"/>
      <c r="K2911" s="570"/>
    </row>
    <row r="2912" ht="13.75" customHeight="1">
      <c r="A2912" t="s" s="834">
        <v>2014</v>
      </c>
      <c r="B2912" t="s" s="834">
        <v>2015</v>
      </c>
      <c r="C2912" t="s" s="834">
        <v>2016</v>
      </c>
      <c r="D2912" s="570"/>
      <c r="E2912" s="570"/>
      <c r="F2912" s="570"/>
      <c r="G2912" s="570"/>
      <c r="H2912" s="570"/>
      <c r="I2912" s="570"/>
      <c r="J2912" s="570"/>
      <c r="K2912" s="570"/>
    </row>
    <row r="2913" ht="13.75" customHeight="1">
      <c r="A2913" s="833">
        <v>138</v>
      </c>
      <c r="B2913" t="s" s="834">
        <v>1972</v>
      </c>
      <c r="C2913" t="s" s="834">
        <v>1752</v>
      </c>
      <c r="D2913" s="835">
        <v>46053</v>
      </c>
      <c r="E2913" t="s" s="834">
        <v>478</v>
      </c>
      <c r="F2913" t="s" s="834">
        <v>478</v>
      </c>
      <c r="G2913" s="570"/>
      <c r="H2913" s="570"/>
      <c r="I2913" s="570"/>
      <c r="J2913" s="570"/>
      <c r="K2913" s="570"/>
    </row>
    <row r="2914" ht="13.75" customHeight="1">
      <c r="A2914" s="833">
        <v>138</v>
      </c>
      <c r="B2914" t="s" s="834">
        <v>1972</v>
      </c>
      <c r="C2914" t="s" s="834">
        <v>1752</v>
      </c>
      <c r="D2914" s="835">
        <v>46054</v>
      </c>
      <c r="E2914" t="s" s="834">
        <v>478</v>
      </c>
      <c r="F2914" t="s" s="834">
        <v>478</v>
      </c>
      <c r="G2914" s="570"/>
      <c r="H2914" s="570"/>
      <c r="I2914" s="570"/>
      <c r="J2914" s="570"/>
      <c r="K2914" s="570"/>
    </row>
    <row r="2915" ht="13.75" customHeight="1">
      <c r="A2915" s="833">
        <v>139</v>
      </c>
      <c r="B2915" t="s" s="834">
        <v>2017</v>
      </c>
      <c r="C2915" t="s" s="834">
        <v>892</v>
      </c>
      <c r="D2915" s="835">
        <v>46023</v>
      </c>
      <c r="E2915" t="s" s="834">
        <v>478</v>
      </c>
      <c r="F2915" t="s" s="834">
        <v>478</v>
      </c>
      <c r="G2915" s="570"/>
      <c r="H2915" s="570"/>
      <c r="I2915" s="570"/>
      <c r="J2915" s="570"/>
      <c r="K2915" s="570"/>
    </row>
    <row r="2916" ht="13.75" customHeight="1">
      <c r="A2916" s="833">
        <v>139</v>
      </c>
      <c r="B2916" t="s" s="834">
        <v>2017</v>
      </c>
      <c r="C2916" t="s" s="834">
        <v>892</v>
      </c>
      <c r="D2916" s="835">
        <v>46024</v>
      </c>
      <c r="E2916" t="s" s="834">
        <v>478</v>
      </c>
      <c r="F2916" t="s" s="834">
        <v>478</v>
      </c>
      <c r="G2916" s="570"/>
      <c r="H2916" s="570"/>
      <c r="I2916" s="570"/>
      <c r="J2916" s="570"/>
      <c r="K2916" s="570"/>
    </row>
    <row r="2917" ht="13.75" customHeight="1">
      <c r="A2917" s="833">
        <v>139</v>
      </c>
      <c r="B2917" t="s" s="834">
        <v>2017</v>
      </c>
      <c r="C2917" t="s" s="834">
        <v>892</v>
      </c>
      <c r="D2917" s="835">
        <v>46025</v>
      </c>
      <c r="E2917" t="s" s="834">
        <v>478</v>
      </c>
      <c r="F2917" t="s" s="834">
        <v>478</v>
      </c>
      <c r="G2917" s="570"/>
      <c r="H2917" s="570"/>
      <c r="I2917" s="570"/>
      <c r="J2917" s="570"/>
      <c r="K2917" s="570"/>
    </row>
    <row r="2918" ht="13.75" customHeight="1">
      <c r="A2918" s="833">
        <v>139</v>
      </c>
      <c r="B2918" t="s" s="834">
        <v>2017</v>
      </c>
      <c r="C2918" t="s" s="834">
        <v>892</v>
      </c>
      <c r="D2918" s="835">
        <v>46026</v>
      </c>
      <c r="E2918" t="s" s="834">
        <v>478</v>
      </c>
      <c r="F2918" t="s" s="834">
        <v>478</v>
      </c>
      <c r="G2918" s="570"/>
      <c r="H2918" s="570"/>
      <c r="I2918" s="570"/>
      <c r="J2918" s="570"/>
      <c r="K2918" s="570"/>
    </row>
    <row r="2919" ht="13.75" customHeight="1">
      <c r="A2919" s="833">
        <v>139</v>
      </c>
      <c r="B2919" t="s" s="834">
        <v>2017</v>
      </c>
      <c r="C2919" t="s" s="834">
        <v>892</v>
      </c>
      <c r="D2919" s="835">
        <v>46027</v>
      </c>
      <c r="E2919" s="836">
        <v>1.394837962962963</v>
      </c>
      <c r="F2919" s="836">
        <v>1.774479166666667</v>
      </c>
      <c r="G2919" s="570"/>
      <c r="H2919" s="570"/>
      <c r="I2919" s="570"/>
      <c r="J2919" s="570"/>
      <c r="K2919" s="570"/>
    </row>
    <row r="2920" ht="13.75" customHeight="1">
      <c r="A2920" t="s" s="834">
        <v>2018</v>
      </c>
      <c r="B2920" t="s" s="834">
        <v>2019</v>
      </c>
      <c r="C2920" t="s" s="834">
        <v>821</v>
      </c>
      <c r="D2920" s="570"/>
      <c r="E2920" s="570"/>
      <c r="F2920" s="570"/>
      <c r="G2920" s="570"/>
      <c r="H2920" s="570"/>
      <c r="I2920" s="570"/>
      <c r="J2920" s="570"/>
      <c r="K2920" s="570"/>
    </row>
    <row r="2921" ht="13.75" customHeight="1">
      <c r="A2921" s="833">
        <v>139</v>
      </c>
      <c r="B2921" t="s" s="834">
        <v>2017</v>
      </c>
      <c r="C2921" t="s" s="834">
        <v>892</v>
      </c>
      <c r="D2921" s="835">
        <v>46028</v>
      </c>
      <c r="E2921" s="836">
        <v>1.395902777777778</v>
      </c>
      <c r="F2921" s="836">
        <v>1.767974537037037</v>
      </c>
      <c r="G2921" s="570"/>
      <c r="H2921" s="570"/>
      <c r="I2921" s="570"/>
      <c r="J2921" s="570"/>
      <c r="K2921" s="570"/>
    </row>
    <row r="2922" ht="13.75" customHeight="1">
      <c r="A2922" t="s" s="834">
        <v>2020</v>
      </c>
      <c r="B2922" t="s" s="834">
        <v>2021</v>
      </c>
      <c r="C2922" t="s" s="834">
        <v>1185</v>
      </c>
      <c r="D2922" s="570"/>
      <c r="E2922" s="570"/>
      <c r="F2922" s="570"/>
      <c r="G2922" s="570"/>
      <c r="H2922" s="570"/>
      <c r="I2922" s="570"/>
      <c r="J2922" s="570"/>
      <c r="K2922" s="570"/>
    </row>
    <row r="2923" ht="13.75" customHeight="1">
      <c r="A2923" s="833">
        <v>139</v>
      </c>
      <c r="B2923" t="s" s="834">
        <v>2017</v>
      </c>
      <c r="C2923" t="s" s="834">
        <v>892</v>
      </c>
      <c r="D2923" s="835">
        <v>46029</v>
      </c>
      <c r="E2923" s="836">
        <v>1.401747685185185</v>
      </c>
      <c r="F2923" s="836">
        <v>1.780231481481481</v>
      </c>
      <c r="G2923" s="570"/>
      <c r="H2923" s="570"/>
      <c r="I2923" s="570"/>
      <c r="J2923" s="570"/>
      <c r="K2923" s="570"/>
    </row>
    <row r="2924" ht="13.75" customHeight="1">
      <c r="A2924" t="s" s="834">
        <v>2022</v>
      </c>
      <c r="B2924" t="s" s="834">
        <v>2023</v>
      </c>
      <c r="C2924" t="s" s="834">
        <v>562</v>
      </c>
      <c r="D2924" s="570"/>
      <c r="E2924" s="570"/>
      <c r="F2924" s="570"/>
      <c r="G2924" s="570"/>
      <c r="H2924" s="570"/>
      <c r="I2924" s="570"/>
      <c r="J2924" s="570"/>
      <c r="K2924" s="570"/>
    </row>
    <row r="2925" ht="13.75" customHeight="1">
      <c r="A2925" s="833">
        <v>139</v>
      </c>
      <c r="B2925" t="s" s="834">
        <v>2017</v>
      </c>
      <c r="C2925" t="s" s="834">
        <v>892</v>
      </c>
      <c r="D2925" s="835">
        <v>46030</v>
      </c>
      <c r="E2925" s="836">
        <v>1.399918981481481</v>
      </c>
      <c r="F2925" s="836">
        <v>1.786261574074074</v>
      </c>
      <c r="G2925" s="570"/>
      <c r="H2925" s="570"/>
      <c r="I2925" s="570"/>
      <c r="J2925" s="570"/>
      <c r="K2925" s="570"/>
    </row>
    <row r="2926" ht="13.75" customHeight="1">
      <c r="A2926" t="s" s="834">
        <v>2024</v>
      </c>
      <c r="B2926" t="s" s="834">
        <v>2025</v>
      </c>
      <c r="C2926" t="s" s="834">
        <v>834</v>
      </c>
      <c r="D2926" s="570"/>
      <c r="E2926" s="570"/>
      <c r="F2926" s="570"/>
      <c r="G2926" s="570"/>
      <c r="H2926" s="570"/>
      <c r="I2926" s="570"/>
      <c r="J2926" s="570"/>
      <c r="K2926" s="570"/>
    </row>
    <row r="2927" ht="13.75" customHeight="1">
      <c r="A2927" s="833">
        <v>139</v>
      </c>
      <c r="B2927" t="s" s="834">
        <v>2017</v>
      </c>
      <c r="C2927" t="s" s="834">
        <v>892</v>
      </c>
      <c r="D2927" s="835">
        <v>46031</v>
      </c>
      <c r="E2927" s="836">
        <v>1.384212962962963</v>
      </c>
      <c r="F2927" s="836">
        <v>1.81005787037037</v>
      </c>
      <c r="G2927" s="570"/>
      <c r="H2927" s="570"/>
      <c r="I2927" s="570"/>
      <c r="J2927" s="570"/>
      <c r="K2927" s="570"/>
    </row>
    <row r="2928" ht="13.75" customHeight="1">
      <c r="A2928" t="s" s="834">
        <v>2026</v>
      </c>
      <c r="B2928" t="s" s="834">
        <v>2027</v>
      </c>
      <c r="C2928" t="s" s="834">
        <v>2028</v>
      </c>
      <c r="D2928" s="570"/>
      <c r="E2928" s="570"/>
      <c r="F2928" s="570"/>
      <c r="G2928" s="570"/>
      <c r="H2928" s="570"/>
      <c r="I2928" s="570"/>
      <c r="J2928" s="570"/>
      <c r="K2928" s="570"/>
    </row>
    <row r="2929" ht="13.75" customHeight="1">
      <c r="A2929" s="833">
        <v>139</v>
      </c>
      <c r="B2929" t="s" s="834">
        <v>2017</v>
      </c>
      <c r="C2929" t="s" s="834">
        <v>892</v>
      </c>
      <c r="D2929" s="835">
        <v>46032</v>
      </c>
      <c r="E2929" s="836">
        <v>1.406678240740741</v>
      </c>
      <c r="F2929" s="836">
        <v>1.741458333333333</v>
      </c>
      <c r="G2929" s="570"/>
      <c r="H2929" s="570"/>
      <c r="I2929" s="570"/>
      <c r="J2929" s="570"/>
      <c r="K2929" s="570"/>
    </row>
    <row r="2930" ht="13.75" customHeight="1">
      <c r="A2930" t="s" s="834">
        <v>2029</v>
      </c>
      <c r="B2930" t="s" s="834">
        <v>2030</v>
      </c>
      <c r="C2930" t="s" s="834">
        <v>2031</v>
      </c>
      <c r="D2930" s="570"/>
      <c r="E2930" s="570"/>
      <c r="F2930" s="570"/>
      <c r="G2930" s="570"/>
      <c r="H2930" s="570"/>
      <c r="I2930" s="570"/>
      <c r="J2930" s="570"/>
      <c r="K2930" s="570"/>
    </row>
    <row r="2931" ht="13.75" customHeight="1">
      <c r="A2931" s="833">
        <v>139</v>
      </c>
      <c r="B2931" t="s" s="834">
        <v>2017</v>
      </c>
      <c r="C2931" t="s" s="834">
        <v>892</v>
      </c>
      <c r="D2931" s="835">
        <v>46033</v>
      </c>
      <c r="E2931" t="s" s="834">
        <v>478</v>
      </c>
      <c r="F2931" t="s" s="834">
        <v>478</v>
      </c>
      <c r="G2931" s="570"/>
      <c r="H2931" s="570"/>
      <c r="I2931" s="570"/>
      <c r="J2931" s="570"/>
      <c r="K2931" s="570"/>
    </row>
    <row r="2932" ht="13.75" customHeight="1">
      <c r="A2932" s="833">
        <v>139</v>
      </c>
      <c r="B2932" t="s" s="834">
        <v>2017</v>
      </c>
      <c r="C2932" t="s" s="834">
        <v>892</v>
      </c>
      <c r="D2932" s="835">
        <v>46034</v>
      </c>
      <c r="E2932" s="836">
        <v>1.760763888888889</v>
      </c>
      <c r="F2932" t="s" s="834">
        <v>478</v>
      </c>
      <c r="G2932" s="570"/>
      <c r="H2932" s="570"/>
      <c r="I2932" s="570"/>
      <c r="J2932" s="570"/>
      <c r="K2932" s="570"/>
    </row>
    <row r="2933" ht="13.75" customHeight="1">
      <c r="A2933" t="s" s="834">
        <v>2032</v>
      </c>
      <c r="B2933" t="s" s="834">
        <v>485</v>
      </c>
      <c r="C2933" t="s" s="834">
        <v>486</v>
      </c>
      <c r="D2933" s="570"/>
      <c r="E2933" s="570"/>
      <c r="F2933" s="570"/>
      <c r="G2933" s="570"/>
      <c r="H2933" s="570"/>
      <c r="I2933" s="570"/>
      <c r="J2933" s="570"/>
      <c r="K2933" s="570"/>
    </row>
    <row r="2934" ht="13.75" customHeight="1">
      <c r="A2934" s="833">
        <v>139</v>
      </c>
      <c r="B2934" t="s" s="834">
        <v>2017</v>
      </c>
      <c r="C2934" t="s" s="834">
        <v>892</v>
      </c>
      <c r="D2934" s="835">
        <v>46035</v>
      </c>
      <c r="E2934" s="836">
        <v>1.37849537037037</v>
      </c>
      <c r="F2934" s="836">
        <v>1.76787037037037</v>
      </c>
      <c r="G2934" s="570"/>
      <c r="H2934" s="570"/>
      <c r="I2934" s="570"/>
      <c r="J2934" s="570"/>
      <c r="K2934" s="570"/>
    </row>
    <row r="2935" ht="13.75" customHeight="1">
      <c r="A2935" t="s" s="834">
        <v>2033</v>
      </c>
      <c r="B2935" t="s" s="834">
        <v>2034</v>
      </c>
      <c r="C2935" t="s" s="834">
        <v>979</v>
      </c>
      <c r="D2935" s="570"/>
      <c r="E2935" s="570"/>
      <c r="F2935" s="570"/>
      <c r="G2935" s="570"/>
      <c r="H2935" s="570"/>
      <c r="I2935" s="570"/>
      <c r="J2935" s="570"/>
      <c r="K2935" s="570"/>
    </row>
    <row r="2936" ht="13.75" customHeight="1">
      <c r="A2936" s="833">
        <v>139</v>
      </c>
      <c r="B2936" t="s" s="834">
        <v>2017</v>
      </c>
      <c r="C2936" t="s" s="834">
        <v>892</v>
      </c>
      <c r="D2936" s="835">
        <v>46036</v>
      </c>
      <c r="E2936" s="836">
        <v>1.380601851851852</v>
      </c>
      <c r="F2936" s="836">
        <v>1.776608796296296</v>
      </c>
      <c r="G2936" s="570"/>
      <c r="H2936" s="570"/>
      <c r="I2936" s="570"/>
      <c r="J2936" s="570"/>
      <c r="K2936" s="570"/>
    </row>
    <row r="2937" ht="13.75" customHeight="1">
      <c r="A2937" t="s" s="834">
        <v>2035</v>
      </c>
      <c r="B2937" t="s" s="834">
        <v>2036</v>
      </c>
      <c r="C2937" t="s" s="834">
        <v>634</v>
      </c>
      <c r="D2937" s="570"/>
      <c r="E2937" s="570"/>
      <c r="F2937" s="570"/>
      <c r="G2937" s="570"/>
      <c r="H2937" s="570"/>
      <c r="I2937" s="570"/>
      <c r="J2937" s="570"/>
      <c r="K2937" s="570"/>
    </row>
    <row r="2938" ht="13.75" customHeight="1">
      <c r="A2938" s="833">
        <v>139</v>
      </c>
      <c r="B2938" t="s" s="834">
        <v>2017</v>
      </c>
      <c r="C2938" t="s" s="834">
        <v>892</v>
      </c>
      <c r="D2938" s="835">
        <v>46037</v>
      </c>
      <c r="E2938" s="836">
        <v>1.391770833333333</v>
      </c>
      <c r="F2938" s="836">
        <v>1.780671296296296</v>
      </c>
      <c r="G2938" s="570"/>
      <c r="H2938" s="570"/>
      <c r="I2938" s="570"/>
      <c r="J2938" s="570"/>
      <c r="K2938" s="570"/>
    </row>
    <row r="2939" ht="13.75" customHeight="1">
      <c r="A2939" t="s" s="834">
        <v>2037</v>
      </c>
      <c r="B2939" t="s" s="834">
        <v>2038</v>
      </c>
      <c r="C2939" t="s" s="834">
        <v>1490</v>
      </c>
      <c r="D2939" s="570"/>
      <c r="E2939" s="570"/>
      <c r="F2939" s="570"/>
      <c r="G2939" s="570"/>
      <c r="H2939" s="570"/>
      <c r="I2939" s="570"/>
      <c r="J2939" s="570"/>
      <c r="K2939" s="570"/>
    </row>
    <row r="2940" ht="13.75" customHeight="1">
      <c r="A2940" s="833">
        <v>139</v>
      </c>
      <c r="B2940" t="s" s="834">
        <v>2017</v>
      </c>
      <c r="C2940" t="s" s="834">
        <v>892</v>
      </c>
      <c r="D2940" s="835">
        <v>46038</v>
      </c>
      <c r="E2940" s="836">
        <v>1.390798611111111</v>
      </c>
      <c r="F2940" s="836">
        <v>1.783506944444444</v>
      </c>
      <c r="G2940" s="570"/>
      <c r="H2940" s="570"/>
      <c r="I2940" s="570"/>
      <c r="J2940" s="570"/>
      <c r="K2940" s="570"/>
    </row>
    <row r="2941" ht="13.75" customHeight="1">
      <c r="A2941" t="s" s="834">
        <v>2039</v>
      </c>
      <c r="B2941" t="s" s="834">
        <v>2040</v>
      </c>
      <c r="C2941" t="s" s="834">
        <v>1019</v>
      </c>
      <c r="D2941" s="570"/>
      <c r="E2941" s="570"/>
      <c r="F2941" s="570"/>
      <c r="G2941" s="570"/>
      <c r="H2941" s="570"/>
      <c r="I2941" s="570"/>
      <c r="J2941" s="570"/>
      <c r="K2941" s="570"/>
    </row>
    <row r="2942" ht="13.75" customHeight="1">
      <c r="A2942" s="833">
        <v>139</v>
      </c>
      <c r="B2942" t="s" s="834">
        <v>2017</v>
      </c>
      <c r="C2942" t="s" s="834">
        <v>892</v>
      </c>
      <c r="D2942" s="835">
        <v>46039</v>
      </c>
      <c r="E2942" t="s" s="834">
        <v>478</v>
      </c>
      <c r="F2942" t="s" s="834">
        <v>478</v>
      </c>
      <c r="G2942" s="570"/>
      <c r="H2942" s="570"/>
      <c r="I2942" s="570"/>
      <c r="J2942" s="570"/>
      <c r="K2942" s="570"/>
    </row>
    <row r="2943" ht="13.75" customHeight="1">
      <c r="A2943" s="833">
        <v>139</v>
      </c>
      <c r="B2943" t="s" s="834">
        <v>2017</v>
      </c>
      <c r="C2943" t="s" s="834">
        <v>892</v>
      </c>
      <c r="D2943" s="835">
        <v>46040</v>
      </c>
      <c r="E2943" t="s" s="834">
        <v>478</v>
      </c>
      <c r="F2943" t="s" s="834">
        <v>478</v>
      </c>
      <c r="G2943" s="570"/>
      <c r="H2943" s="570"/>
      <c r="I2943" s="570"/>
      <c r="J2943" s="570"/>
      <c r="K2943" s="570"/>
    </row>
    <row r="2944" ht="13.75" customHeight="1">
      <c r="A2944" s="833">
        <v>139</v>
      </c>
      <c r="B2944" t="s" s="834">
        <v>2017</v>
      </c>
      <c r="C2944" t="s" s="834">
        <v>892</v>
      </c>
      <c r="D2944" s="835">
        <v>46041</v>
      </c>
      <c r="E2944" s="836">
        <v>1.378402777777778</v>
      </c>
      <c r="F2944" s="836">
        <v>1.784328703703704</v>
      </c>
      <c r="G2944" s="570"/>
      <c r="H2944" s="570"/>
      <c r="I2944" s="570"/>
      <c r="J2944" s="570"/>
      <c r="K2944" s="570"/>
    </row>
    <row r="2945" ht="13.75" customHeight="1">
      <c r="A2945" t="s" s="834">
        <v>2041</v>
      </c>
      <c r="B2945" t="s" s="834">
        <v>2042</v>
      </c>
      <c r="C2945" t="s" s="834">
        <v>603</v>
      </c>
      <c r="D2945" s="570"/>
      <c r="E2945" s="570"/>
      <c r="F2945" s="570"/>
      <c r="G2945" s="570"/>
      <c r="H2945" s="570"/>
      <c r="I2945" s="570"/>
      <c r="J2945" s="570"/>
      <c r="K2945" s="570"/>
    </row>
    <row r="2946" ht="13.75" customHeight="1">
      <c r="A2946" s="833">
        <v>139</v>
      </c>
      <c r="B2946" t="s" s="834">
        <v>2017</v>
      </c>
      <c r="C2946" t="s" s="834">
        <v>892</v>
      </c>
      <c r="D2946" s="835">
        <v>46042</v>
      </c>
      <c r="E2946" s="836">
        <v>1.390763888888889</v>
      </c>
      <c r="F2946" s="836">
        <v>1.789791666666667</v>
      </c>
      <c r="G2946" s="570"/>
      <c r="H2946" s="570"/>
      <c r="I2946" s="570"/>
      <c r="J2946" s="570"/>
      <c r="K2946" s="570"/>
    </row>
    <row r="2947" ht="13.75" customHeight="1">
      <c r="A2947" t="s" s="834">
        <v>2043</v>
      </c>
      <c r="B2947" t="s" s="834">
        <v>2044</v>
      </c>
      <c r="C2947" t="s" s="834">
        <v>515</v>
      </c>
      <c r="D2947" s="570"/>
      <c r="E2947" s="570"/>
      <c r="F2947" s="570"/>
      <c r="G2947" s="570"/>
      <c r="H2947" s="570"/>
      <c r="I2947" s="570"/>
      <c r="J2947" s="570"/>
      <c r="K2947" s="570"/>
    </row>
    <row r="2948" ht="13.75" customHeight="1">
      <c r="A2948" s="833">
        <v>139</v>
      </c>
      <c r="B2948" t="s" s="834">
        <v>2017</v>
      </c>
      <c r="C2948" t="s" s="834">
        <v>892</v>
      </c>
      <c r="D2948" s="835">
        <v>46043</v>
      </c>
      <c r="E2948" s="836">
        <v>1.395763888888889</v>
      </c>
      <c r="F2948" s="836">
        <v>1.788009259259259</v>
      </c>
      <c r="G2948" s="570"/>
      <c r="H2948" s="570"/>
      <c r="I2948" s="570"/>
      <c r="J2948" s="570"/>
      <c r="K2948" s="570"/>
    </row>
    <row r="2949" ht="13.75" customHeight="1">
      <c r="A2949" t="s" s="834">
        <v>2045</v>
      </c>
      <c r="B2949" t="s" s="834">
        <v>2046</v>
      </c>
      <c r="C2949" t="s" s="834">
        <v>966</v>
      </c>
      <c r="D2949" s="570"/>
      <c r="E2949" s="570"/>
      <c r="F2949" s="570"/>
      <c r="G2949" s="570"/>
      <c r="H2949" s="570"/>
      <c r="I2949" s="570"/>
      <c r="J2949" s="570"/>
      <c r="K2949" s="570"/>
    </row>
    <row r="2950" ht="13.75" customHeight="1">
      <c r="A2950" s="833">
        <v>139</v>
      </c>
      <c r="B2950" t="s" s="834">
        <v>2017</v>
      </c>
      <c r="C2950" t="s" s="834">
        <v>892</v>
      </c>
      <c r="D2950" s="835">
        <v>46044</v>
      </c>
      <c r="E2950" s="836">
        <v>1.4059375</v>
      </c>
      <c r="F2950" s="836">
        <v>1.783043981481482</v>
      </c>
      <c r="G2950" s="570"/>
      <c r="H2950" s="570"/>
      <c r="I2950" s="570"/>
      <c r="J2950" s="570"/>
      <c r="K2950" s="570"/>
    </row>
    <row r="2951" ht="13.75" customHeight="1">
      <c r="A2951" t="s" s="834">
        <v>2047</v>
      </c>
      <c r="B2951" t="s" s="834">
        <v>2048</v>
      </c>
      <c r="C2951" t="s" s="834">
        <v>846</v>
      </c>
      <c r="D2951" s="570"/>
      <c r="E2951" s="570"/>
      <c r="F2951" s="570"/>
      <c r="G2951" s="570"/>
      <c r="H2951" s="570"/>
      <c r="I2951" s="570"/>
      <c r="J2951" s="570"/>
      <c r="K2951" s="570"/>
    </row>
    <row r="2952" ht="13.75" customHeight="1">
      <c r="A2952" s="833">
        <v>139</v>
      </c>
      <c r="B2952" t="s" s="834">
        <v>2017</v>
      </c>
      <c r="C2952" t="s" s="834">
        <v>892</v>
      </c>
      <c r="D2952" s="835">
        <v>46045</v>
      </c>
      <c r="E2952" s="836">
        <v>1.399259259259259</v>
      </c>
      <c r="F2952" s="836">
        <v>1.780671296296296</v>
      </c>
      <c r="G2952" s="570"/>
      <c r="H2952" s="570"/>
      <c r="I2952" s="570"/>
      <c r="J2952" s="570"/>
      <c r="K2952" s="570"/>
    </row>
    <row r="2953" ht="13.75" customHeight="1">
      <c r="A2953" t="s" s="834">
        <v>2049</v>
      </c>
      <c r="B2953" t="s" s="834">
        <v>2050</v>
      </c>
      <c r="C2953" t="s" s="834">
        <v>843</v>
      </c>
      <c r="D2953" s="570"/>
      <c r="E2953" s="570"/>
      <c r="F2953" s="570"/>
      <c r="G2953" s="570"/>
      <c r="H2953" s="570"/>
      <c r="I2953" s="570"/>
      <c r="J2953" s="570"/>
      <c r="K2953" s="570"/>
    </row>
    <row r="2954" ht="13.75" customHeight="1">
      <c r="A2954" s="833">
        <v>139</v>
      </c>
      <c r="B2954" t="s" s="834">
        <v>2017</v>
      </c>
      <c r="C2954" t="s" s="834">
        <v>892</v>
      </c>
      <c r="D2954" s="835">
        <v>46046</v>
      </c>
      <c r="E2954" t="s" s="834">
        <v>478</v>
      </c>
      <c r="F2954" t="s" s="834">
        <v>478</v>
      </c>
      <c r="G2954" s="570"/>
      <c r="H2954" s="570"/>
      <c r="I2954" s="570"/>
      <c r="J2954" s="570"/>
      <c r="K2954" s="570"/>
    </row>
    <row r="2955" ht="13.75" customHeight="1">
      <c r="A2955" s="833">
        <v>139</v>
      </c>
      <c r="B2955" t="s" s="834">
        <v>2017</v>
      </c>
      <c r="C2955" t="s" s="834">
        <v>892</v>
      </c>
      <c r="D2955" s="835">
        <v>46047</v>
      </c>
      <c r="E2955" t="s" s="834">
        <v>478</v>
      </c>
      <c r="F2955" t="s" s="834">
        <v>478</v>
      </c>
      <c r="G2955" s="570"/>
      <c r="H2955" s="570"/>
      <c r="I2955" s="570"/>
      <c r="J2955" s="570"/>
      <c r="K2955" s="570"/>
    </row>
    <row r="2956" ht="13.75" customHeight="1">
      <c r="A2956" s="833">
        <v>139</v>
      </c>
      <c r="B2956" t="s" s="834">
        <v>2017</v>
      </c>
      <c r="C2956" t="s" s="834">
        <v>892</v>
      </c>
      <c r="D2956" s="835">
        <v>46048</v>
      </c>
      <c r="E2956" t="s" s="834">
        <v>478</v>
      </c>
      <c r="F2956" t="s" s="834">
        <v>478</v>
      </c>
      <c r="G2956" s="570"/>
      <c r="H2956" s="570"/>
      <c r="I2956" s="570"/>
      <c r="J2956" s="570"/>
      <c r="K2956" s="570"/>
    </row>
    <row r="2957" ht="13.75" customHeight="1">
      <c r="A2957" s="833">
        <v>139</v>
      </c>
      <c r="B2957" t="s" s="834">
        <v>2017</v>
      </c>
      <c r="C2957" t="s" s="834">
        <v>892</v>
      </c>
      <c r="D2957" s="835">
        <v>46049</v>
      </c>
      <c r="E2957" s="836">
        <v>1.390023148148148</v>
      </c>
      <c r="F2957" s="836">
        <v>1.766736111111111</v>
      </c>
      <c r="G2957" s="570"/>
      <c r="H2957" s="570"/>
      <c r="I2957" s="570"/>
      <c r="J2957" s="570"/>
      <c r="K2957" s="570"/>
    </row>
    <row r="2958" ht="13.75" customHeight="1">
      <c r="A2958" t="s" s="834">
        <v>2051</v>
      </c>
      <c r="B2958" t="s" s="834">
        <v>2052</v>
      </c>
      <c r="C2958" t="s" s="834">
        <v>534</v>
      </c>
      <c r="D2958" s="570"/>
      <c r="E2958" s="570"/>
      <c r="F2958" s="570"/>
      <c r="G2958" s="570"/>
      <c r="H2958" s="570"/>
      <c r="I2958" s="570"/>
      <c r="J2958" s="570"/>
      <c r="K2958" s="570"/>
    </row>
    <row r="2959" ht="13.75" customHeight="1">
      <c r="A2959" s="833">
        <v>139</v>
      </c>
      <c r="B2959" t="s" s="834">
        <v>2017</v>
      </c>
      <c r="C2959" t="s" s="834">
        <v>892</v>
      </c>
      <c r="D2959" s="835">
        <v>46050</v>
      </c>
      <c r="E2959" s="836">
        <v>1.403888888888889</v>
      </c>
      <c r="F2959" s="836">
        <v>1.773009259259259</v>
      </c>
      <c r="G2959" s="570"/>
      <c r="H2959" s="570"/>
      <c r="I2959" s="570"/>
      <c r="J2959" s="570"/>
      <c r="K2959" s="570"/>
    </row>
    <row r="2960" ht="13.75" customHeight="1">
      <c r="A2960" t="s" s="834">
        <v>2053</v>
      </c>
      <c r="B2960" t="s" s="834">
        <v>2054</v>
      </c>
      <c r="C2960" t="s" s="834">
        <v>1206</v>
      </c>
      <c r="D2960" s="570"/>
      <c r="E2960" s="570"/>
      <c r="F2960" s="570"/>
      <c r="G2960" s="570"/>
      <c r="H2960" s="570"/>
      <c r="I2960" s="570"/>
      <c r="J2960" s="570"/>
      <c r="K2960" s="570"/>
    </row>
    <row r="2961" ht="13.75" customHeight="1">
      <c r="A2961" s="833">
        <v>139</v>
      </c>
      <c r="B2961" t="s" s="834">
        <v>2017</v>
      </c>
      <c r="C2961" t="s" s="834">
        <v>892</v>
      </c>
      <c r="D2961" s="835">
        <v>46051</v>
      </c>
      <c r="E2961" s="836">
        <v>1.408148148148148</v>
      </c>
      <c r="F2961" s="836">
        <v>1.780532407407407</v>
      </c>
      <c r="G2961" s="570"/>
      <c r="H2961" s="570"/>
      <c r="I2961" s="570"/>
      <c r="J2961" s="570"/>
      <c r="K2961" s="570"/>
    </row>
    <row r="2962" ht="13.75" customHeight="1">
      <c r="A2962" t="s" s="834">
        <v>2055</v>
      </c>
      <c r="B2962" t="s" s="834">
        <v>2056</v>
      </c>
      <c r="C2962" t="s" s="834">
        <v>1185</v>
      </c>
      <c r="D2962" s="570"/>
      <c r="E2962" s="570"/>
      <c r="F2962" s="570"/>
      <c r="G2962" s="570"/>
      <c r="H2962" s="570"/>
      <c r="I2962" s="570"/>
      <c r="J2962" s="570"/>
      <c r="K2962" s="570"/>
    </row>
    <row r="2963" ht="13.75" customHeight="1">
      <c r="A2963" s="833">
        <v>139</v>
      </c>
      <c r="B2963" t="s" s="834">
        <v>2017</v>
      </c>
      <c r="C2963" t="s" s="834">
        <v>892</v>
      </c>
      <c r="D2963" s="835">
        <v>46052</v>
      </c>
      <c r="E2963" s="836">
        <v>1.405497685185185</v>
      </c>
      <c r="F2963" s="836">
        <v>1.785185185185185</v>
      </c>
      <c r="G2963" s="570"/>
      <c r="H2963" s="570"/>
      <c r="I2963" s="570"/>
      <c r="J2963" s="570"/>
      <c r="K2963" s="570"/>
    </row>
    <row r="2964" ht="13.75" customHeight="1">
      <c r="A2964" t="s" s="834">
        <v>2057</v>
      </c>
      <c r="B2964" t="s" s="834">
        <v>2058</v>
      </c>
      <c r="C2964" t="s" s="834">
        <v>821</v>
      </c>
      <c r="D2964" s="570"/>
      <c r="E2964" s="570"/>
      <c r="F2964" s="570"/>
      <c r="G2964" s="570"/>
      <c r="H2964" s="570"/>
      <c r="I2964" s="570"/>
      <c r="J2964" s="570"/>
      <c r="K2964" s="570"/>
    </row>
    <row r="2965" ht="13.75" customHeight="1">
      <c r="A2965" s="833">
        <v>139</v>
      </c>
      <c r="B2965" t="s" s="834">
        <v>2017</v>
      </c>
      <c r="C2965" t="s" s="834">
        <v>892</v>
      </c>
      <c r="D2965" s="835">
        <v>46053</v>
      </c>
      <c r="E2965" t="s" s="834">
        <v>478</v>
      </c>
      <c r="F2965" t="s" s="834">
        <v>478</v>
      </c>
      <c r="G2965" s="570"/>
      <c r="H2965" s="570"/>
      <c r="I2965" s="570"/>
      <c r="J2965" s="570"/>
      <c r="K2965" s="570"/>
    </row>
    <row r="2966" ht="13.75" customHeight="1">
      <c r="A2966" s="833">
        <v>139</v>
      </c>
      <c r="B2966" t="s" s="834">
        <v>2017</v>
      </c>
      <c r="C2966" t="s" s="834">
        <v>892</v>
      </c>
      <c r="D2966" s="835">
        <v>46054</v>
      </c>
      <c r="E2966" t="s" s="834">
        <v>478</v>
      </c>
      <c r="F2966" t="s" s="834">
        <v>478</v>
      </c>
      <c r="G2966" s="570"/>
      <c r="H2966" s="570"/>
      <c r="I2966" s="570"/>
      <c r="J2966" s="570"/>
      <c r="K2966" s="570"/>
    </row>
    <row r="2967" ht="13.75" customHeight="1">
      <c r="A2967" s="833">
        <v>14</v>
      </c>
      <c r="B2967" t="s" s="834">
        <v>2059</v>
      </c>
      <c r="C2967" t="s" s="834">
        <v>1571</v>
      </c>
      <c r="D2967" s="835">
        <v>46023</v>
      </c>
      <c r="E2967" t="s" s="834">
        <v>478</v>
      </c>
      <c r="F2967" t="s" s="834">
        <v>478</v>
      </c>
      <c r="G2967" s="570"/>
      <c r="H2967" s="570"/>
      <c r="I2967" s="570"/>
      <c r="J2967" s="570"/>
      <c r="K2967" s="570"/>
    </row>
    <row r="2968" ht="13.75" customHeight="1">
      <c r="A2968" s="833">
        <v>14</v>
      </c>
      <c r="B2968" t="s" s="834">
        <v>2059</v>
      </c>
      <c r="C2968" t="s" s="834">
        <v>1571</v>
      </c>
      <c r="D2968" s="835">
        <v>46024</v>
      </c>
      <c r="E2968" t="s" s="834">
        <v>478</v>
      </c>
      <c r="F2968" t="s" s="834">
        <v>478</v>
      </c>
      <c r="G2968" s="570"/>
      <c r="H2968" s="570"/>
      <c r="I2968" s="570"/>
      <c r="J2968" s="570"/>
      <c r="K2968" s="570"/>
    </row>
    <row r="2969" ht="13.75" customHeight="1">
      <c r="A2969" s="833">
        <v>14</v>
      </c>
      <c r="B2969" t="s" s="834">
        <v>2059</v>
      </c>
      <c r="C2969" t="s" s="834">
        <v>1571</v>
      </c>
      <c r="D2969" s="835">
        <v>46025</v>
      </c>
      <c r="E2969" t="s" s="834">
        <v>478</v>
      </c>
      <c r="F2969" t="s" s="834">
        <v>478</v>
      </c>
      <c r="G2969" s="570"/>
      <c r="H2969" s="570"/>
      <c r="I2969" s="570"/>
      <c r="J2969" s="570"/>
      <c r="K2969" s="570"/>
    </row>
    <row r="2970" ht="13.75" customHeight="1">
      <c r="A2970" s="833">
        <v>14</v>
      </c>
      <c r="B2970" t="s" s="834">
        <v>2059</v>
      </c>
      <c r="C2970" t="s" s="834">
        <v>1571</v>
      </c>
      <c r="D2970" s="835">
        <v>46026</v>
      </c>
      <c r="E2970" t="s" s="834">
        <v>478</v>
      </c>
      <c r="F2970" t="s" s="834">
        <v>478</v>
      </c>
      <c r="G2970" s="570"/>
      <c r="H2970" s="570"/>
      <c r="I2970" s="570"/>
      <c r="J2970" s="570"/>
      <c r="K2970" s="570"/>
    </row>
    <row r="2971" ht="13.75" customHeight="1">
      <c r="A2971" s="833">
        <v>14</v>
      </c>
      <c r="B2971" t="s" s="834">
        <v>2059</v>
      </c>
      <c r="C2971" t="s" s="834">
        <v>1571</v>
      </c>
      <c r="D2971" s="835">
        <v>46027</v>
      </c>
      <c r="E2971" t="s" s="834">
        <v>478</v>
      </c>
      <c r="F2971" t="s" s="834">
        <v>478</v>
      </c>
      <c r="G2971" s="570"/>
      <c r="H2971" s="570"/>
      <c r="I2971" s="570"/>
      <c r="J2971" s="570"/>
      <c r="K2971" s="570"/>
    </row>
    <row r="2972" ht="13.75" customHeight="1">
      <c r="A2972" s="833">
        <v>14</v>
      </c>
      <c r="B2972" t="s" s="834">
        <v>2059</v>
      </c>
      <c r="C2972" t="s" s="834">
        <v>1571</v>
      </c>
      <c r="D2972" s="835">
        <v>46028</v>
      </c>
      <c r="E2972" t="s" s="834">
        <v>478</v>
      </c>
      <c r="F2972" t="s" s="834">
        <v>478</v>
      </c>
      <c r="G2972" s="570"/>
      <c r="H2972" s="570"/>
      <c r="I2972" s="570"/>
      <c r="J2972" s="570"/>
      <c r="K2972" s="570"/>
    </row>
    <row r="2973" ht="13.75" customHeight="1">
      <c r="A2973" s="833">
        <v>14</v>
      </c>
      <c r="B2973" t="s" s="834">
        <v>2059</v>
      </c>
      <c r="C2973" t="s" s="834">
        <v>1571</v>
      </c>
      <c r="D2973" s="835">
        <v>46029</v>
      </c>
      <c r="E2973" t="s" s="834">
        <v>478</v>
      </c>
      <c r="F2973" t="s" s="834">
        <v>478</v>
      </c>
      <c r="G2973" s="570"/>
      <c r="H2973" s="570"/>
      <c r="I2973" s="570"/>
      <c r="J2973" s="570"/>
      <c r="K2973" s="570"/>
    </row>
    <row r="2974" ht="13.75" customHeight="1">
      <c r="A2974" s="833">
        <v>14</v>
      </c>
      <c r="B2974" t="s" s="834">
        <v>2059</v>
      </c>
      <c r="C2974" t="s" s="834">
        <v>1571</v>
      </c>
      <c r="D2974" s="835">
        <v>46030</v>
      </c>
      <c r="E2974" t="s" s="834">
        <v>478</v>
      </c>
      <c r="F2974" t="s" s="834">
        <v>478</v>
      </c>
      <c r="G2974" s="570"/>
      <c r="H2974" s="570"/>
      <c r="I2974" s="570"/>
      <c r="J2974" s="570"/>
      <c r="K2974" s="570"/>
    </row>
    <row r="2975" ht="13.75" customHeight="1">
      <c r="A2975" s="833">
        <v>14</v>
      </c>
      <c r="B2975" t="s" s="834">
        <v>2059</v>
      </c>
      <c r="C2975" t="s" s="834">
        <v>1571</v>
      </c>
      <c r="D2975" s="835">
        <v>46031</v>
      </c>
      <c r="E2975" t="s" s="834">
        <v>478</v>
      </c>
      <c r="F2975" t="s" s="834">
        <v>478</v>
      </c>
      <c r="G2975" s="570"/>
      <c r="H2975" s="570"/>
      <c r="I2975" s="570"/>
      <c r="J2975" s="570"/>
      <c r="K2975" s="570"/>
    </row>
    <row r="2976" ht="13.75" customHeight="1">
      <c r="A2976" s="833">
        <v>14</v>
      </c>
      <c r="B2976" t="s" s="834">
        <v>2059</v>
      </c>
      <c r="C2976" t="s" s="834">
        <v>1571</v>
      </c>
      <c r="D2976" s="835">
        <v>46032</v>
      </c>
      <c r="E2976" t="s" s="834">
        <v>478</v>
      </c>
      <c r="F2976" t="s" s="834">
        <v>478</v>
      </c>
      <c r="G2976" s="570"/>
      <c r="H2976" s="570"/>
      <c r="I2976" s="570"/>
      <c r="J2976" s="570"/>
      <c r="K2976" s="570"/>
    </row>
    <row r="2977" ht="13.75" customHeight="1">
      <c r="A2977" s="833">
        <v>14</v>
      </c>
      <c r="B2977" t="s" s="834">
        <v>2059</v>
      </c>
      <c r="C2977" t="s" s="834">
        <v>1571</v>
      </c>
      <c r="D2977" s="835">
        <v>46033</v>
      </c>
      <c r="E2977" t="s" s="834">
        <v>478</v>
      </c>
      <c r="F2977" t="s" s="834">
        <v>478</v>
      </c>
      <c r="G2977" s="570"/>
      <c r="H2977" s="570"/>
      <c r="I2977" s="570"/>
      <c r="J2977" s="570"/>
      <c r="K2977" s="570"/>
    </row>
    <row r="2978" ht="13.75" customHeight="1">
      <c r="A2978" s="833">
        <v>14</v>
      </c>
      <c r="B2978" t="s" s="834">
        <v>2059</v>
      </c>
      <c r="C2978" t="s" s="834">
        <v>1571</v>
      </c>
      <c r="D2978" s="835">
        <v>46034</v>
      </c>
      <c r="E2978" t="s" s="834">
        <v>478</v>
      </c>
      <c r="F2978" t="s" s="834">
        <v>478</v>
      </c>
      <c r="G2978" s="570"/>
      <c r="H2978" s="570"/>
      <c r="I2978" s="570"/>
      <c r="J2978" s="570"/>
      <c r="K2978" s="570"/>
    </row>
    <row r="2979" ht="13.75" customHeight="1">
      <c r="A2979" s="833">
        <v>14</v>
      </c>
      <c r="B2979" t="s" s="834">
        <v>2059</v>
      </c>
      <c r="C2979" t="s" s="834">
        <v>1571</v>
      </c>
      <c r="D2979" s="835">
        <v>46035</v>
      </c>
      <c r="E2979" t="s" s="834">
        <v>478</v>
      </c>
      <c r="F2979" t="s" s="834">
        <v>478</v>
      </c>
      <c r="G2979" s="570"/>
      <c r="H2979" s="570"/>
      <c r="I2979" s="570"/>
      <c r="J2979" s="570"/>
      <c r="K2979" s="570"/>
    </row>
    <row r="2980" ht="13.75" customHeight="1">
      <c r="A2980" s="833">
        <v>14</v>
      </c>
      <c r="B2980" t="s" s="834">
        <v>2059</v>
      </c>
      <c r="C2980" t="s" s="834">
        <v>1571</v>
      </c>
      <c r="D2980" s="835">
        <v>46036</v>
      </c>
      <c r="E2980" t="s" s="834">
        <v>478</v>
      </c>
      <c r="F2980" t="s" s="834">
        <v>478</v>
      </c>
      <c r="G2980" s="570"/>
      <c r="H2980" s="570"/>
      <c r="I2980" s="570"/>
      <c r="J2980" s="570"/>
      <c r="K2980" s="570"/>
    </row>
    <row r="2981" ht="13.75" customHeight="1">
      <c r="A2981" s="833">
        <v>14</v>
      </c>
      <c r="B2981" t="s" s="834">
        <v>2059</v>
      </c>
      <c r="C2981" t="s" s="834">
        <v>1571</v>
      </c>
      <c r="D2981" s="835">
        <v>46037</v>
      </c>
      <c r="E2981" t="s" s="834">
        <v>478</v>
      </c>
      <c r="F2981" t="s" s="834">
        <v>478</v>
      </c>
      <c r="G2981" s="570"/>
      <c r="H2981" s="570"/>
      <c r="I2981" s="570"/>
      <c r="J2981" s="570"/>
      <c r="K2981" s="570"/>
    </row>
    <row r="2982" ht="13.75" customHeight="1">
      <c r="A2982" s="833">
        <v>14</v>
      </c>
      <c r="B2982" t="s" s="834">
        <v>2059</v>
      </c>
      <c r="C2982" t="s" s="834">
        <v>1571</v>
      </c>
      <c r="D2982" s="835">
        <v>46038</v>
      </c>
      <c r="E2982" t="s" s="834">
        <v>478</v>
      </c>
      <c r="F2982" t="s" s="834">
        <v>478</v>
      </c>
      <c r="G2982" s="570"/>
      <c r="H2982" s="570"/>
      <c r="I2982" s="570"/>
      <c r="J2982" s="570"/>
      <c r="K2982" s="570"/>
    </row>
    <row r="2983" ht="13.75" customHeight="1">
      <c r="A2983" s="833">
        <v>14</v>
      </c>
      <c r="B2983" t="s" s="834">
        <v>2059</v>
      </c>
      <c r="C2983" t="s" s="834">
        <v>1571</v>
      </c>
      <c r="D2983" s="835">
        <v>46039</v>
      </c>
      <c r="E2983" t="s" s="834">
        <v>478</v>
      </c>
      <c r="F2983" t="s" s="834">
        <v>478</v>
      </c>
      <c r="G2983" s="570"/>
      <c r="H2983" s="570"/>
      <c r="I2983" s="570"/>
      <c r="J2983" s="570"/>
      <c r="K2983" s="570"/>
    </row>
    <row r="2984" ht="13.75" customHeight="1">
      <c r="A2984" s="833">
        <v>14</v>
      </c>
      <c r="B2984" t="s" s="834">
        <v>2059</v>
      </c>
      <c r="C2984" t="s" s="834">
        <v>1571</v>
      </c>
      <c r="D2984" s="835">
        <v>46040</v>
      </c>
      <c r="E2984" t="s" s="834">
        <v>478</v>
      </c>
      <c r="F2984" t="s" s="834">
        <v>478</v>
      </c>
      <c r="G2984" s="570"/>
      <c r="H2984" s="570"/>
      <c r="I2984" s="570"/>
      <c r="J2984" s="570"/>
      <c r="K2984" s="570"/>
    </row>
    <row r="2985" ht="13.75" customHeight="1">
      <c r="A2985" s="833">
        <v>14</v>
      </c>
      <c r="B2985" t="s" s="834">
        <v>2059</v>
      </c>
      <c r="C2985" t="s" s="834">
        <v>1571</v>
      </c>
      <c r="D2985" s="835">
        <v>46041</v>
      </c>
      <c r="E2985" t="s" s="834">
        <v>478</v>
      </c>
      <c r="F2985" t="s" s="834">
        <v>478</v>
      </c>
      <c r="G2985" s="570"/>
      <c r="H2985" s="570"/>
      <c r="I2985" s="570"/>
      <c r="J2985" s="570"/>
      <c r="K2985" s="570"/>
    </row>
    <row r="2986" ht="13.75" customHeight="1">
      <c r="A2986" s="833">
        <v>14</v>
      </c>
      <c r="B2986" t="s" s="834">
        <v>2059</v>
      </c>
      <c r="C2986" t="s" s="834">
        <v>1571</v>
      </c>
      <c r="D2986" s="835">
        <v>46042</v>
      </c>
      <c r="E2986" t="s" s="834">
        <v>478</v>
      </c>
      <c r="F2986" t="s" s="834">
        <v>478</v>
      </c>
      <c r="G2986" s="570"/>
      <c r="H2986" s="570"/>
      <c r="I2986" s="570"/>
      <c r="J2986" s="570"/>
      <c r="K2986" s="570"/>
    </row>
    <row r="2987" ht="13.75" customHeight="1">
      <c r="A2987" s="833">
        <v>14</v>
      </c>
      <c r="B2987" t="s" s="834">
        <v>2059</v>
      </c>
      <c r="C2987" t="s" s="834">
        <v>1571</v>
      </c>
      <c r="D2987" s="835">
        <v>46043</v>
      </c>
      <c r="E2987" t="s" s="834">
        <v>478</v>
      </c>
      <c r="F2987" t="s" s="834">
        <v>478</v>
      </c>
      <c r="G2987" s="570"/>
      <c r="H2987" s="570"/>
      <c r="I2987" s="570"/>
      <c r="J2987" s="570"/>
      <c r="K2987" s="570"/>
    </row>
    <row r="2988" ht="13.75" customHeight="1">
      <c r="A2988" s="833">
        <v>14</v>
      </c>
      <c r="B2988" t="s" s="834">
        <v>2059</v>
      </c>
      <c r="C2988" t="s" s="834">
        <v>1571</v>
      </c>
      <c r="D2988" s="835">
        <v>46044</v>
      </c>
      <c r="E2988" t="s" s="834">
        <v>478</v>
      </c>
      <c r="F2988" t="s" s="834">
        <v>478</v>
      </c>
      <c r="G2988" s="570"/>
      <c r="H2988" s="570"/>
      <c r="I2988" s="570"/>
      <c r="J2988" s="570"/>
      <c r="K2988" s="570"/>
    </row>
    <row r="2989" ht="13.75" customHeight="1">
      <c r="A2989" s="833">
        <v>14</v>
      </c>
      <c r="B2989" t="s" s="834">
        <v>2059</v>
      </c>
      <c r="C2989" t="s" s="834">
        <v>1571</v>
      </c>
      <c r="D2989" s="835">
        <v>46045</v>
      </c>
      <c r="E2989" t="s" s="834">
        <v>478</v>
      </c>
      <c r="F2989" t="s" s="834">
        <v>478</v>
      </c>
      <c r="G2989" s="570"/>
      <c r="H2989" s="570"/>
      <c r="I2989" s="570"/>
      <c r="J2989" s="570"/>
      <c r="K2989" s="570"/>
    </row>
    <row r="2990" ht="13.75" customHeight="1">
      <c r="A2990" s="833">
        <v>14</v>
      </c>
      <c r="B2990" t="s" s="834">
        <v>2059</v>
      </c>
      <c r="C2990" t="s" s="834">
        <v>1571</v>
      </c>
      <c r="D2990" s="835">
        <v>46046</v>
      </c>
      <c r="E2990" t="s" s="834">
        <v>478</v>
      </c>
      <c r="F2990" t="s" s="834">
        <v>478</v>
      </c>
      <c r="G2990" s="570"/>
      <c r="H2990" s="570"/>
      <c r="I2990" s="570"/>
      <c r="J2990" s="570"/>
      <c r="K2990" s="570"/>
    </row>
    <row r="2991" ht="13.75" customHeight="1">
      <c r="A2991" s="833">
        <v>14</v>
      </c>
      <c r="B2991" t="s" s="834">
        <v>2059</v>
      </c>
      <c r="C2991" t="s" s="834">
        <v>1571</v>
      </c>
      <c r="D2991" s="835">
        <v>46047</v>
      </c>
      <c r="E2991" t="s" s="834">
        <v>478</v>
      </c>
      <c r="F2991" t="s" s="834">
        <v>478</v>
      </c>
      <c r="G2991" s="570"/>
      <c r="H2991" s="570"/>
      <c r="I2991" s="570"/>
      <c r="J2991" s="570"/>
      <c r="K2991" s="570"/>
    </row>
    <row r="2992" ht="13.75" customHeight="1">
      <c r="A2992" s="833">
        <v>14</v>
      </c>
      <c r="B2992" t="s" s="834">
        <v>2059</v>
      </c>
      <c r="C2992" t="s" s="834">
        <v>1571</v>
      </c>
      <c r="D2992" s="835">
        <v>46048</v>
      </c>
      <c r="E2992" t="s" s="834">
        <v>478</v>
      </c>
      <c r="F2992" t="s" s="834">
        <v>478</v>
      </c>
      <c r="G2992" s="570"/>
      <c r="H2992" s="570"/>
      <c r="I2992" s="570"/>
      <c r="J2992" s="570"/>
      <c r="K2992" s="570"/>
    </row>
    <row r="2993" ht="13.75" customHeight="1">
      <c r="A2993" s="833">
        <v>14</v>
      </c>
      <c r="B2993" t="s" s="834">
        <v>2059</v>
      </c>
      <c r="C2993" t="s" s="834">
        <v>1571</v>
      </c>
      <c r="D2993" s="835">
        <v>46049</v>
      </c>
      <c r="E2993" t="s" s="834">
        <v>478</v>
      </c>
      <c r="F2993" t="s" s="834">
        <v>478</v>
      </c>
      <c r="G2993" s="570"/>
      <c r="H2993" s="570"/>
      <c r="I2993" s="570"/>
      <c r="J2993" s="570"/>
      <c r="K2993" s="570"/>
    </row>
    <row r="2994" ht="13.75" customHeight="1">
      <c r="A2994" s="833">
        <v>14</v>
      </c>
      <c r="B2994" t="s" s="834">
        <v>2059</v>
      </c>
      <c r="C2994" t="s" s="834">
        <v>1571</v>
      </c>
      <c r="D2994" s="835">
        <v>46050</v>
      </c>
      <c r="E2994" t="s" s="834">
        <v>478</v>
      </c>
      <c r="F2994" t="s" s="834">
        <v>478</v>
      </c>
      <c r="G2994" s="570"/>
      <c r="H2994" s="570"/>
      <c r="I2994" s="570"/>
      <c r="J2994" s="570"/>
      <c r="K2994" s="570"/>
    </row>
    <row r="2995" ht="13.75" customHeight="1">
      <c r="A2995" s="833">
        <v>14</v>
      </c>
      <c r="B2995" t="s" s="834">
        <v>2059</v>
      </c>
      <c r="C2995" t="s" s="834">
        <v>1571</v>
      </c>
      <c r="D2995" s="835">
        <v>46051</v>
      </c>
      <c r="E2995" t="s" s="834">
        <v>478</v>
      </c>
      <c r="F2995" t="s" s="834">
        <v>478</v>
      </c>
      <c r="G2995" s="570"/>
      <c r="H2995" s="570"/>
      <c r="I2995" s="570"/>
      <c r="J2995" s="570"/>
      <c r="K2995" s="570"/>
    </row>
    <row r="2996" ht="13.75" customHeight="1">
      <c r="A2996" s="833">
        <v>14</v>
      </c>
      <c r="B2996" t="s" s="834">
        <v>2059</v>
      </c>
      <c r="C2996" t="s" s="834">
        <v>1571</v>
      </c>
      <c r="D2996" s="835">
        <v>46052</v>
      </c>
      <c r="E2996" t="s" s="834">
        <v>478</v>
      </c>
      <c r="F2996" t="s" s="834">
        <v>478</v>
      </c>
      <c r="G2996" s="570"/>
      <c r="H2996" s="570"/>
      <c r="I2996" s="570"/>
      <c r="J2996" s="570"/>
      <c r="K2996" s="570"/>
    </row>
    <row r="2997" ht="13.75" customHeight="1">
      <c r="A2997" s="833">
        <v>14</v>
      </c>
      <c r="B2997" t="s" s="834">
        <v>2059</v>
      </c>
      <c r="C2997" t="s" s="834">
        <v>1571</v>
      </c>
      <c r="D2997" s="835">
        <v>46053</v>
      </c>
      <c r="E2997" t="s" s="834">
        <v>478</v>
      </c>
      <c r="F2997" t="s" s="834">
        <v>478</v>
      </c>
      <c r="G2997" s="570"/>
      <c r="H2997" s="570"/>
      <c r="I2997" s="570"/>
      <c r="J2997" s="570"/>
      <c r="K2997" s="570"/>
    </row>
    <row r="2998" ht="13.75" customHeight="1">
      <c r="A2998" s="833">
        <v>14</v>
      </c>
      <c r="B2998" t="s" s="834">
        <v>2059</v>
      </c>
      <c r="C2998" t="s" s="834">
        <v>1571</v>
      </c>
      <c r="D2998" s="835">
        <v>46054</v>
      </c>
      <c r="E2998" t="s" s="834">
        <v>478</v>
      </c>
      <c r="F2998" t="s" s="834">
        <v>478</v>
      </c>
      <c r="G2998" s="570"/>
      <c r="H2998" s="570"/>
      <c r="I2998" s="570"/>
      <c r="J2998" s="570"/>
      <c r="K2998" s="570"/>
    </row>
    <row r="2999" ht="13.75" customHeight="1">
      <c r="A2999" s="833">
        <v>143</v>
      </c>
      <c r="B2999" t="s" s="834">
        <v>2060</v>
      </c>
      <c r="C2999" t="s" s="834">
        <v>617</v>
      </c>
      <c r="D2999" s="835">
        <v>46023</v>
      </c>
      <c r="E2999" t="s" s="834">
        <v>478</v>
      </c>
      <c r="F2999" t="s" s="834">
        <v>478</v>
      </c>
      <c r="G2999" s="570"/>
      <c r="H2999" s="570"/>
      <c r="I2999" s="570"/>
      <c r="J2999" s="570"/>
      <c r="K2999" s="570"/>
    </row>
    <row r="3000" ht="13.75" customHeight="1">
      <c r="A3000" s="833">
        <v>143</v>
      </c>
      <c r="B3000" t="s" s="834">
        <v>2060</v>
      </c>
      <c r="C3000" t="s" s="834">
        <v>617</v>
      </c>
      <c r="D3000" s="835">
        <v>46024</v>
      </c>
      <c r="E3000" t="s" s="834">
        <v>478</v>
      </c>
      <c r="F3000" t="s" s="834">
        <v>478</v>
      </c>
      <c r="G3000" s="570"/>
      <c r="H3000" s="570"/>
      <c r="I3000" s="570"/>
      <c r="J3000" s="570"/>
      <c r="K3000" s="570"/>
    </row>
    <row r="3001" ht="13.75" customHeight="1">
      <c r="A3001" s="833">
        <v>143</v>
      </c>
      <c r="B3001" t="s" s="834">
        <v>2060</v>
      </c>
      <c r="C3001" t="s" s="834">
        <v>617</v>
      </c>
      <c r="D3001" s="835">
        <v>46025</v>
      </c>
      <c r="E3001" t="s" s="834">
        <v>478</v>
      </c>
      <c r="F3001" t="s" s="834">
        <v>478</v>
      </c>
      <c r="G3001" s="570"/>
      <c r="H3001" s="570"/>
      <c r="I3001" s="570"/>
      <c r="J3001" s="570"/>
      <c r="K3001" s="570"/>
    </row>
    <row r="3002" ht="13.75" customHeight="1">
      <c r="A3002" s="833">
        <v>143</v>
      </c>
      <c r="B3002" t="s" s="834">
        <v>2060</v>
      </c>
      <c r="C3002" t="s" s="834">
        <v>617</v>
      </c>
      <c r="D3002" s="835">
        <v>46026</v>
      </c>
      <c r="E3002" t="s" s="834">
        <v>478</v>
      </c>
      <c r="F3002" t="s" s="834">
        <v>478</v>
      </c>
      <c r="G3002" s="570"/>
      <c r="H3002" s="570"/>
      <c r="I3002" s="570"/>
      <c r="J3002" s="570"/>
      <c r="K3002" s="570"/>
    </row>
    <row r="3003" ht="13.75" customHeight="1">
      <c r="A3003" s="833">
        <v>143</v>
      </c>
      <c r="B3003" t="s" s="834">
        <v>2060</v>
      </c>
      <c r="C3003" t="s" s="834">
        <v>617</v>
      </c>
      <c r="D3003" s="835">
        <v>46027</v>
      </c>
      <c r="E3003" s="836">
        <v>1.335543981481481</v>
      </c>
      <c r="F3003" s="836">
        <v>1.779803240740741</v>
      </c>
      <c r="G3003" s="570"/>
      <c r="H3003" s="570"/>
      <c r="I3003" s="570"/>
      <c r="J3003" s="570"/>
      <c r="K3003" s="570"/>
    </row>
    <row r="3004" ht="13.75" customHeight="1">
      <c r="A3004" t="s" s="834">
        <v>2061</v>
      </c>
      <c r="B3004" t="s" s="834">
        <v>2062</v>
      </c>
      <c r="C3004" t="s" s="834">
        <v>1203</v>
      </c>
      <c r="D3004" s="570"/>
      <c r="E3004" s="570"/>
      <c r="F3004" s="570"/>
      <c r="G3004" s="570"/>
      <c r="H3004" s="570"/>
      <c r="I3004" s="570"/>
      <c r="J3004" s="570"/>
      <c r="K3004" s="570"/>
    </row>
    <row r="3005" ht="13.75" customHeight="1">
      <c r="A3005" s="833">
        <v>143</v>
      </c>
      <c r="B3005" t="s" s="834">
        <v>2060</v>
      </c>
      <c r="C3005" t="s" s="834">
        <v>617</v>
      </c>
      <c r="D3005" s="835">
        <v>46028</v>
      </c>
      <c r="E3005" s="836">
        <v>1.339675925925926</v>
      </c>
      <c r="F3005" s="836">
        <v>1.767708333333333</v>
      </c>
      <c r="G3005" s="570"/>
      <c r="H3005" s="570"/>
      <c r="I3005" s="570"/>
      <c r="J3005" s="570"/>
      <c r="K3005" s="570"/>
    </row>
    <row r="3006" ht="13.75" customHeight="1">
      <c r="A3006" t="s" s="834">
        <v>2063</v>
      </c>
      <c r="B3006" t="s" s="834">
        <v>2064</v>
      </c>
      <c r="C3006" t="s" s="834">
        <v>660</v>
      </c>
      <c r="D3006" s="570"/>
      <c r="E3006" s="570"/>
      <c r="F3006" s="570"/>
      <c r="G3006" s="570"/>
      <c r="H3006" s="570"/>
      <c r="I3006" s="570"/>
      <c r="J3006" s="570"/>
      <c r="K3006" s="570"/>
    </row>
    <row r="3007" ht="13.75" customHeight="1">
      <c r="A3007" s="833">
        <v>143</v>
      </c>
      <c r="B3007" t="s" s="834">
        <v>2060</v>
      </c>
      <c r="C3007" t="s" s="834">
        <v>617</v>
      </c>
      <c r="D3007" s="835">
        <v>46029</v>
      </c>
      <c r="E3007" s="836">
        <v>1.337256944444444</v>
      </c>
      <c r="F3007" s="836">
        <v>1.78037037037037</v>
      </c>
      <c r="G3007" s="570"/>
      <c r="H3007" s="570"/>
      <c r="I3007" s="570"/>
      <c r="J3007" s="570"/>
      <c r="K3007" s="570"/>
    </row>
    <row r="3008" ht="13.75" customHeight="1">
      <c r="A3008" t="s" s="834">
        <v>2065</v>
      </c>
      <c r="B3008" t="s" s="834">
        <v>2066</v>
      </c>
      <c r="C3008" t="s" s="834">
        <v>2067</v>
      </c>
      <c r="D3008" s="570"/>
      <c r="E3008" s="570"/>
      <c r="F3008" s="570"/>
      <c r="G3008" s="570"/>
      <c r="H3008" s="570"/>
      <c r="I3008" s="570"/>
      <c r="J3008" s="570"/>
      <c r="K3008" s="570"/>
    </row>
    <row r="3009" ht="13.75" customHeight="1">
      <c r="A3009" s="833">
        <v>143</v>
      </c>
      <c r="B3009" t="s" s="834">
        <v>2060</v>
      </c>
      <c r="C3009" t="s" s="834">
        <v>617</v>
      </c>
      <c r="D3009" s="835">
        <v>46030</v>
      </c>
      <c r="E3009" t="s" s="834">
        <v>478</v>
      </c>
      <c r="F3009" t="s" s="834">
        <v>478</v>
      </c>
      <c r="G3009" s="570"/>
      <c r="H3009" s="570"/>
      <c r="I3009" s="570"/>
      <c r="J3009" s="570"/>
      <c r="K3009" s="570"/>
    </row>
    <row r="3010" ht="13.75" customHeight="1">
      <c r="A3010" s="833">
        <v>143</v>
      </c>
      <c r="B3010" t="s" s="834">
        <v>2060</v>
      </c>
      <c r="C3010" t="s" s="834">
        <v>617</v>
      </c>
      <c r="D3010" s="835">
        <v>46031</v>
      </c>
      <c r="E3010" t="s" s="834">
        <v>478</v>
      </c>
      <c r="F3010" t="s" s="834">
        <v>478</v>
      </c>
      <c r="G3010" s="570"/>
      <c r="H3010" s="570"/>
      <c r="I3010" s="570"/>
      <c r="J3010" s="570"/>
      <c r="K3010" s="570"/>
    </row>
    <row r="3011" ht="13.75" customHeight="1">
      <c r="A3011" s="833">
        <v>143</v>
      </c>
      <c r="B3011" t="s" s="834">
        <v>2060</v>
      </c>
      <c r="C3011" t="s" s="834">
        <v>617</v>
      </c>
      <c r="D3011" s="835">
        <v>46032</v>
      </c>
      <c r="E3011" t="s" s="834">
        <v>478</v>
      </c>
      <c r="F3011" t="s" s="834">
        <v>478</v>
      </c>
      <c r="G3011" s="570"/>
      <c r="H3011" s="570"/>
      <c r="I3011" s="570"/>
      <c r="J3011" s="570"/>
      <c r="K3011" s="570"/>
    </row>
    <row r="3012" ht="13.75" customHeight="1">
      <c r="A3012" s="833">
        <v>143</v>
      </c>
      <c r="B3012" t="s" s="834">
        <v>2060</v>
      </c>
      <c r="C3012" t="s" s="834">
        <v>617</v>
      </c>
      <c r="D3012" s="835">
        <v>46033</v>
      </c>
      <c r="E3012" t="s" s="834">
        <v>478</v>
      </c>
      <c r="F3012" t="s" s="834">
        <v>478</v>
      </c>
      <c r="G3012" s="570"/>
      <c r="H3012" s="570"/>
      <c r="I3012" s="570"/>
      <c r="J3012" s="570"/>
      <c r="K3012" s="570"/>
    </row>
    <row r="3013" ht="13.75" customHeight="1">
      <c r="A3013" s="833">
        <v>143</v>
      </c>
      <c r="B3013" t="s" s="834">
        <v>2060</v>
      </c>
      <c r="C3013" t="s" s="834">
        <v>617</v>
      </c>
      <c r="D3013" s="835">
        <v>46034</v>
      </c>
      <c r="E3013" s="836">
        <v>1.338449074074074</v>
      </c>
      <c r="F3013" s="836">
        <v>1.778194444444444</v>
      </c>
      <c r="G3013" s="570"/>
      <c r="H3013" s="570"/>
      <c r="I3013" s="570"/>
      <c r="J3013" s="570"/>
      <c r="K3013" s="570"/>
    </row>
    <row r="3014" ht="13.75" customHeight="1">
      <c r="A3014" t="s" s="834">
        <v>2068</v>
      </c>
      <c r="B3014" t="s" s="834">
        <v>2069</v>
      </c>
      <c r="C3014" t="s" s="834">
        <v>1008</v>
      </c>
      <c r="D3014" s="570"/>
      <c r="E3014" s="570"/>
      <c r="F3014" s="570"/>
      <c r="G3014" s="570"/>
      <c r="H3014" s="570"/>
      <c r="I3014" s="570"/>
      <c r="J3014" s="570"/>
      <c r="K3014" s="570"/>
    </row>
    <row r="3015" ht="13.75" customHeight="1">
      <c r="A3015" s="833">
        <v>143</v>
      </c>
      <c r="B3015" t="s" s="834">
        <v>2060</v>
      </c>
      <c r="C3015" t="s" s="834">
        <v>617</v>
      </c>
      <c r="D3015" s="835">
        <v>46035</v>
      </c>
      <c r="E3015" s="836">
        <v>1.336956018518519</v>
      </c>
      <c r="F3015" s="836">
        <v>1.763217592592593</v>
      </c>
      <c r="G3015" s="570"/>
      <c r="H3015" s="570"/>
      <c r="I3015" s="570"/>
      <c r="J3015" s="570"/>
      <c r="K3015" s="570"/>
    </row>
    <row r="3016" ht="13.75" customHeight="1">
      <c r="A3016" t="s" s="834">
        <v>2070</v>
      </c>
      <c r="B3016" t="s" s="834">
        <v>2071</v>
      </c>
      <c r="C3016" t="s" s="834">
        <v>1549</v>
      </c>
      <c r="D3016" s="570"/>
      <c r="E3016" s="570"/>
      <c r="F3016" s="570"/>
      <c r="G3016" s="570"/>
      <c r="H3016" s="570"/>
      <c r="I3016" s="570"/>
      <c r="J3016" s="570"/>
      <c r="K3016" s="570"/>
    </row>
    <row r="3017" ht="13.75" customHeight="1">
      <c r="A3017" s="833">
        <v>143</v>
      </c>
      <c r="B3017" t="s" s="834">
        <v>2060</v>
      </c>
      <c r="C3017" t="s" s="834">
        <v>617</v>
      </c>
      <c r="D3017" s="835">
        <v>46036</v>
      </c>
      <c r="E3017" s="836">
        <v>1.339803240740741</v>
      </c>
      <c r="F3017" s="836">
        <v>1.783622685185185</v>
      </c>
      <c r="G3017" s="570"/>
      <c r="H3017" s="570"/>
      <c r="I3017" s="570"/>
      <c r="J3017" s="570"/>
      <c r="K3017" s="570"/>
    </row>
    <row r="3018" ht="13.75" customHeight="1">
      <c r="A3018" t="s" s="834">
        <v>2072</v>
      </c>
      <c r="B3018" t="s" s="834">
        <v>2073</v>
      </c>
      <c r="C3018" t="s" s="834">
        <v>497</v>
      </c>
      <c r="D3018" s="570"/>
      <c r="E3018" s="570"/>
      <c r="F3018" s="570"/>
      <c r="G3018" s="570"/>
      <c r="H3018" s="570"/>
      <c r="I3018" s="570"/>
      <c r="J3018" s="570"/>
      <c r="K3018" s="570"/>
    </row>
    <row r="3019" ht="13.75" customHeight="1">
      <c r="A3019" s="833">
        <v>143</v>
      </c>
      <c r="B3019" t="s" s="834">
        <v>2060</v>
      </c>
      <c r="C3019" t="s" s="834">
        <v>617</v>
      </c>
      <c r="D3019" s="835">
        <v>46037</v>
      </c>
      <c r="E3019" s="836">
        <v>1.340208333333333</v>
      </c>
      <c r="F3019" s="836">
        <v>1.773472222222222</v>
      </c>
      <c r="G3019" s="570"/>
      <c r="H3019" s="570"/>
      <c r="I3019" s="570"/>
      <c r="J3019" s="570"/>
      <c r="K3019" s="570"/>
    </row>
    <row r="3020" ht="13.75" customHeight="1">
      <c r="A3020" t="s" s="834">
        <v>2074</v>
      </c>
      <c r="B3020" t="s" s="834">
        <v>2075</v>
      </c>
      <c r="C3020" t="s" s="834">
        <v>1149</v>
      </c>
      <c r="D3020" s="570"/>
      <c r="E3020" s="570"/>
      <c r="F3020" s="570"/>
      <c r="G3020" s="570"/>
      <c r="H3020" s="570"/>
      <c r="I3020" s="570"/>
      <c r="J3020" s="570"/>
      <c r="K3020" s="570"/>
    </row>
    <row r="3021" ht="13.75" customHeight="1">
      <c r="A3021" s="833">
        <v>143</v>
      </c>
      <c r="B3021" t="s" s="834">
        <v>2060</v>
      </c>
      <c r="C3021" t="s" s="834">
        <v>617</v>
      </c>
      <c r="D3021" s="835">
        <v>46038</v>
      </c>
      <c r="E3021" t="s" s="834">
        <v>478</v>
      </c>
      <c r="F3021" t="s" s="834">
        <v>478</v>
      </c>
      <c r="G3021" s="570"/>
      <c r="H3021" s="570"/>
      <c r="I3021" s="570"/>
      <c r="J3021" s="570"/>
      <c r="K3021" s="570"/>
    </row>
    <row r="3022" ht="13.75" customHeight="1">
      <c r="A3022" s="833">
        <v>143</v>
      </c>
      <c r="B3022" t="s" s="834">
        <v>2060</v>
      </c>
      <c r="C3022" t="s" s="834">
        <v>617</v>
      </c>
      <c r="D3022" s="835">
        <v>46039</v>
      </c>
      <c r="E3022" t="s" s="834">
        <v>478</v>
      </c>
      <c r="F3022" t="s" s="834">
        <v>478</v>
      </c>
      <c r="G3022" s="570"/>
      <c r="H3022" s="570"/>
      <c r="I3022" s="570"/>
      <c r="J3022" s="570"/>
      <c r="K3022" s="570"/>
    </row>
    <row r="3023" ht="13.75" customHeight="1">
      <c r="A3023" s="833">
        <v>143</v>
      </c>
      <c r="B3023" t="s" s="834">
        <v>2060</v>
      </c>
      <c r="C3023" t="s" s="834">
        <v>617</v>
      </c>
      <c r="D3023" s="835">
        <v>46040</v>
      </c>
      <c r="E3023" t="s" s="834">
        <v>478</v>
      </c>
      <c r="F3023" t="s" s="834">
        <v>478</v>
      </c>
      <c r="G3023" s="570"/>
      <c r="H3023" s="570"/>
      <c r="I3023" s="570"/>
      <c r="J3023" s="570"/>
      <c r="K3023" s="570"/>
    </row>
    <row r="3024" ht="13.75" customHeight="1">
      <c r="A3024" s="833">
        <v>143</v>
      </c>
      <c r="B3024" t="s" s="834">
        <v>2060</v>
      </c>
      <c r="C3024" t="s" s="834">
        <v>617</v>
      </c>
      <c r="D3024" s="835">
        <v>46041</v>
      </c>
      <c r="E3024" s="836">
        <v>1.339861111111111</v>
      </c>
      <c r="F3024" s="836">
        <v>1.779108796296296</v>
      </c>
      <c r="G3024" s="570"/>
      <c r="H3024" s="570"/>
      <c r="I3024" s="570"/>
      <c r="J3024" s="570"/>
      <c r="K3024" s="570"/>
    </row>
    <row r="3025" ht="13.75" customHeight="1">
      <c r="A3025" t="s" s="834">
        <v>2076</v>
      </c>
      <c r="B3025" t="s" s="834">
        <v>2077</v>
      </c>
      <c r="C3025" t="s" s="834">
        <v>1008</v>
      </c>
      <c r="D3025" s="570"/>
      <c r="E3025" s="570"/>
      <c r="F3025" s="570"/>
      <c r="G3025" s="570"/>
      <c r="H3025" s="570"/>
      <c r="I3025" s="570"/>
      <c r="J3025" s="570"/>
      <c r="K3025" s="570"/>
    </row>
    <row r="3026" ht="13.75" customHeight="1">
      <c r="A3026" s="833">
        <v>143</v>
      </c>
      <c r="B3026" t="s" s="834">
        <v>2060</v>
      </c>
      <c r="C3026" t="s" s="834">
        <v>617</v>
      </c>
      <c r="D3026" s="835">
        <v>46042</v>
      </c>
      <c r="E3026" s="836">
        <v>1.336527777777778</v>
      </c>
      <c r="F3026" s="836">
        <v>1.752303240740741</v>
      </c>
      <c r="G3026" s="570"/>
      <c r="H3026" s="570"/>
      <c r="I3026" s="570"/>
      <c r="J3026" s="570"/>
      <c r="K3026" s="570"/>
    </row>
    <row r="3027" ht="13.75" customHeight="1">
      <c r="A3027" t="s" s="834">
        <v>2078</v>
      </c>
      <c r="B3027" t="s" s="834">
        <v>2079</v>
      </c>
      <c r="C3027" t="s" s="834">
        <v>652</v>
      </c>
      <c r="D3027" s="570"/>
      <c r="E3027" s="570"/>
      <c r="F3027" s="570"/>
      <c r="G3027" s="570"/>
      <c r="H3027" s="570"/>
      <c r="I3027" s="570"/>
      <c r="J3027" s="570"/>
      <c r="K3027" s="570"/>
    </row>
    <row r="3028" ht="13.75" customHeight="1">
      <c r="A3028" s="833">
        <v>143</v>
      </c>
      <c r="B3028" t="s" s="834">
        <v>2060</v>
      </c>
      <c r="C3028" t="s" s="834">
        <v>617</v>
      </c>
      <c r="D3028" s="835">
        <v>46043</v>
      </c>
      <c r="E3028" s="836">
        <v>1.335092592592593</v>
      </c>
      <c r="F3028" s="836">
        <v>1.757534722222222</v>
      </c>
      <c r="G3028" s="570"/>
      <c r="H3028" s="570"/>
      <c r="I3028" s="570"/>
      <c r="J3028" s="570"/>
      <c r="K3028" s="570"/>
    </row>
    <row r="3029" ht="13.75" customHeight="1">
      <c r="A3029" t="s" s="834">
        <v>2080</v>
      </c>
      <c r="B3029" t="s" s="834">
        <v>2081</v>
      </c>
      <c r="C3029" t="s" s="834">
        <v>926</v>
      </c>
      <c r="D3029" s="570"/>
      <c r="E3029" s="570"/>
      <c r="F3029" s="570"/>
      <c r="G3029" s="570"/>
      <c r="H3029" s="570"/>
      <c r="I3029" s="570"/>
      <c r="J3029" s="570"/>
      <c r="K3029" s="570"/>
    </row>
    <row r="3030" ht="13.75" customHeight="1">
      <c r="A3030" s="833">
        <v>143</v>
      </c>
      <c r="B3030" t="s" s="834">
        <v>2060</v>
      </c>
      <c r="C3030" t="s" s="834">
        <v>617</v>
      </c>
      <c r="D3030" s="835">
        <v>46044</v>
      </c>
      <c r="E3030" s="836">
        <v>1.3359375</v>
      </c>
      <c r="F3030" s="836">
        <v>1.752465277777778</v>
      </c>
      <c r="G3030" s="570"/>
      <c r="H3030" s="570"/>
      <c r="I3030" s="570"/>
      <c r="J3030" s="570"/>
      <c r="K3030" s="570"/>
    </row>
    <row r="3031" ht="13.75" customHeight="1">
      <c r="A3031" t="s" s="834">
        <v>2082</v>
      </c>
      <c r="B3031" t="s" s="834">
        <v>2083</v>
      </c>
      <c r="C3031" t="s" s="834">
        <v>530</v>
      </c>
      <c r="D3031" s="570"/>
      <c r="E3031" s="570"/>
      <c r="F3031" s="570"/>
      <c r="G3031" s="570"/>
      <c r="H3031" s="570"/>
      <c r="I3031" s="570"/>
      <c r="J3031" s="570"/>
      <c r="K3031" s="570"/>
    </row>
    <row r="3032" ht="13.75" customHeight="1">
      <c r="A3032" s="833">
        <v>143</v>
      </c>
      <c r="B3032" t="s" s="834">
        <v>2060</v>
      </c>
      <c r="C3032" t="s" s="834">
        <v>617</v>
      </c>
      <c r="D3032" s="835">
        <v>46045</v>
      </c>
      <c r="E3032" t="s" s="834">
        <v>478</v>
      </c>
      <c r="F3032" t="s" s="834">
        <v>478</v>
      </c>
      <c r="G3032" s="570"/>
      <c r="H3032" s="570"/>
      <c r="I3032" s="570"/>
      <c r="J3032" s="570"/>
      <c r="K3032" s="570"/>
    </row>
    <row r="3033" ht="13.75" customHeight="1">
      <c r="A3033" s="833">
        <v>143</v>
      </c>
      <c r="B3033" t="s" s="834">
        <v>2060</v>
      </c>
      <c r="C3033" t="s" s="834">
        <v>617</v>
      </c>
      <c r="D3033" s="835">
        <v>46046</v>
      </c>
      <c r="E3033" t="s" s="834">
        <v>478</v>
      </c>
      <c r="F3033" t="s" s="834">
        <v>478</v>
      </c>
      <c r="G3033" s="570"/>
      <c r="H3033" s="570"/>
      <c r="I3033" s="570"/>
      <c r="J3033" s="570"/>
      <c r="K3033" s="570"/>
    </row>
    <row r="3034" ht="13.75" customHeight="1">
      <c r="A3034" s="833">
        <v>143</v>
      </c>
      <c r="B3034" t="s" s="834">
        <v>2060</v>
      </c>
      <c r="C3034" t="s" s="834">
        <v>617</v>
      </c>
      <c r="D3034" s="835">
        <v>46047</v>
      </c>
      <c r="E3034" t="s" s="834">
        <v>478</v>
      </c>
      <c r="F3034" t="s" s="834">
        <v>478</v>
      </c>
      <c r="G3034" s="570"/>
      <c r="H3034" s="570"/>
      <c r="I3034" s="570"/>
      <c r="J3034" s="570"/>
      <c r="K3034" s="570"/>
    </row>
    <row r="3035" ht="13.75" customHeight="1">
      <c r="A3035" s="833">
        <v>143</v>
      </c>
      <c r="B3035" t="s" s="834">
        <v>2060</v>
      </c>
      <c r="C3035" t="s" s="834">
        <v>617</v>
      </c>
      <c r="D3035" s="835">
        <v>46048</v>
      </c>
      <c r="E3035" s="836">
        <v>1.339085648148148</v>
      </c>
      <c r="F3035" s="836">
        <v>1.780358796296296</v>
      </c>
      <c r="G3035" s="570"/>
      <c r="H3035" s="570"/>
      <c r="I3035" s="570"/>
      <c r="J3035" s="570"/>
      <c r="K3035" s="570"/>
    </row>
    <row r="3036" ht="13.75" customHeight="1">
      <c r="A3036" t="s" s="834">
        <v>2084</v>
      </c>
      <c r="B3036" t="s" s="834">
        <v>2085</v>
      </c>
      <c r="C3036" t="s" s="834">
        <v>1834</v>
      </c>
      <c r="D3036" s="570"/>
      <c r="E3036" s="570"/>
      <c r="F3036" s="570"/>
      <c r="G3036" s="570"/>
      <c r="H3036" s="570"/>
      <c r="I3036" s="570"/>
      <c r="J3036" s="570"/>
      <c r="K3036" s="570"/>
    </row>
    <row r="3037" ht="13.75" customHeight="1">
      <c r="A3037" s="833">
        <v>143</v>
      </c>
      <c r="B3037" t="s" s="834">
        <v>2060</v>
      </c>
      <c r="C3037" t="s" s="834">
        <v>617</v>
      </c>
      <c r="D3037" s="835">
        <v>46049</v>
      </c>
      <c r="E3037" s="836">
        <v>1.337743055555556</v>
      </c>
      <c r="F3037" s="836">
        <v>1.762361111111111</v>
      </c>
      <c r="G3037" s="570"/>
      <c r="H3037" s="570"/>
      <c r="I3037" s="570"/>
      <c r="J3037" s="570"/>
      <c r="K3037" s="570"/>
    </row>
    <row r="3038" ht="13.75" customHeight="1">
      <c r="A3038" t="s" s="834">
        <v>2086</v>
      </c>
      <c r="B3038" t="s" s="834">
        <v>2087</v>
      </c>
      <c r="C3038" t="s" s="834">
        <v>623</v>
      </c>
      <c r="D3038" s="570"/>
      <c r="E3038" s="570"/>
      <c r="F3038" s="570"/>
      <c r="G3038" s="570"/>
      <c r="H3038" s="570"/>
      <c r="I3038" s="570"/>
      <c r="J3038" s="570"/>
      <c r="K3038" s="570"/>
    </row>
    <row r="3039" ht="13.75" customHeight="1">
      <c r="A3039" s="833">
        <v>143</v>
      </c>
      <c r="B3039" t="s" s="834">
        <v>2060</v>
      </c>
      <c r="C3039" t="s" s="834">
        <v>617</v>
      </c>
      <c r="D3039" s="835">
        <v>46050</v>
      </c>
      <c r="E3039" s="836">
        <v>1.337893518518519</v>
      </c>
      <c r="F3039" s="836">
        <v>1.753541666666667</v>
      </c>
      <c r="G3039" s="570"/>
      <c r="H3039" s="570"/>
      <c r="I3039" s="570"/>
      <c r="J3039" s="570"/>
      <c r="K3039" s="570"/>
    </row>
    <row r="3040" ht="13.75" customHeight="1">
      <c r="A3040" t="s" s="834">
        <v>2088</v>
      </c>
      <c r="B3040" t="s" s="834">
        <v>2089</v>
      </c>
      <c r="C3040" t="s" s="834">
        <v>652</v>
      </c>
      <c r="D3040" s="570"/>
      <c r="E3040" s="570"/>
      <c r="F3040" s="570"/>
      <c r="G3040" s="570"/>
      <c r="H3040" s="570"/>
      <c r="I3040" s="570"/>
      <c r="J3040" s="570"/>
      <c r="K3040" s="570"/>
    </row>
    <row r="3041" ht="13.75" customHeight="1">
      <c r="A3041" s="833">
        <v>143</v>
      </c>
      <c r="B3041" t="s" s="834">
        <v>2060</v>
      </c>
      <c r="C3041" t="s" s="834">
        <v>617</v>
      </c>
      <c r="D3041" s="835">
        <v>46051</v>
      </c>
      <c r="E3041" s="836">
        <v>1.331840277777778</v>
      </c>
      <c r="F3041" s="836">
        <v>1.773240740740741</v>
      </c>
      <c r="G3041" s="570"/>
      <c r="H3041" s="570"/>
      <c r="I3041" s="570"/>
      <c r="J3041" s="570"/>
      <c r="K3041" s="570"/>
    </row>
    <row r="3042" ht="13.75" customHeight="1">
      <c r="A3042" t="s" s="834">
        <v>2090</v>
      </c>
      <c r="B3042" t="s" s="834">
        <v>2091</v>
      </c>
      <c r="C3042" t="s" s="834">
        <v>1951</v>
      </c>
      <c r="D3042" s="570"/>
      <c r="E3042" s="570"/>
      <c r="F3042" s="570"/>
      <c r="G3042" s="570"/>
      <c r="H3042" s="570"/>
      <c r="I3042" s="570"/>
      <c r="J3042" s="570"/>
      <c r="K3042" s="570"/>
    </row>
    <row r="3043" ht="13.75" customHeight="1">
      <c r="A3043" s="833">
        <v>143</v>
      </c>
      <c r="B3043" t="s" s="834">
        <v>2060</v>
      </c>
      <c r="C3043" t="s" s="834">
        <v>617</v>
      </c>
      <c r="D3043" s="835">
        <v>46052</v>
      </c>
      <c r="E3043" t="s" s="834">
        <v>478</v>
      </c>
      <c r="F3043" t="s" s="834">
        <v>478</v>
      </c>
      <c r="G3043" s="570"/>
      <c r="H3043" s="570"/>
      <c r="I3043" s="570"/>
      <c r="J3043" s="570"/>
      <c r="K3043" s="570"/>
    </row>
    <row r="3044" ht="13.75" customHeight="1">
      <c r="A3044" s="833">
        <v>143</v>
      </c>
      <c r="B3044" t="s" s="834">
        <v>2060</v>
      </c>
      <c r="C3044" t="s" s="834">
        <v>617</v>
      </c>
      <c r="D3044" s="835">
        <v>46053</v>
      </c>
      <c r="E3044" t="s" s="834">
        <v>478</v>
      </c>
      <c r="F3044" t="s" s="834">
        <v>478</v>
      </c>
      <c r="G3044" s="570"/>
      <c r="H3044" s="570"/>
      <c r="I3044" s="570"/>
      <c r="J3044" s="570"/>
      <c r="K3044" s="570"/>
    </row>
    <row r="3045" ht="13.75" customHeight="1">
      <c r="A3045" s="833">
        <v>143</v>
      </c>
      <c r="B3045" t="s" s="834">
        <v>2060</v>
      </c>
      <c r="C3045" t="s" s="834">
        <v>617</v>
      </c>
      <c r="D3045" s="835">
        <v>46054</v>
      </c>
      <c r="E3045" t="s" s="834">
        <v>478</v>
      </c>
      <c r="F3045" t="s" s="834">
        <v>478</v>
      </c>
      <c r="G3045" s="570"/>
      <c r="H3045" s="570"/>
      <c r="I3045" s="570"/>
      <c r="J3045" s="570"/>
      <c r="K3045" s="570"/>
    </row>
    <row r="3046" ht="13.75" customHeight="1">
      <c r="A3046" s="833">
        <v>145</v>
      </c>
      <c r="B3046" t="s" s="834">
        <v>2092</v>
      </c>
      <c r="C3046" t="s" s="834">
        <v>1571</v>
      </c>
      <c r="D3046" s="835">
        <v>46023</v>
      </c>
      <c r="E3046" t="s" s="834">
        <v>478</v>
      </c>
      <c r="F3046" t="s" s="834">
        <v>478</v>
      </c>
      <c r="G3046" s="570"/>
      <c r="H3046" s="570"/>
      <c r="I3046" s="570"/>
      <c r="J3046" s="570"/>
      <c r="K3046" s="570"/>
    </row>
    <row r="3047" ht="13.75" customHeight="1">
      <c r="A3047" s="833">
        <v>145</v>
      </c>
      <c r="B3047" t="s" s="834">
        <v>2092</v>
      </c>
      <c r="C3047" t="s" s="834">
        <v>1571</v>
      </c>
      <c r="D3047" s="835">
        <v>46024</v>
      </c>
      <c r="E3047" t="s" s="834">
        <v>478</v>
      </c>
      <c r="F3047" t="s" s="834">
        <v>478</v>
      </c>
      <c r="G3047" s="570"/>
      <c r="H3047" s="570"/>
      <c r="I3047" s="570"/>
      <c r="J3047" s="570"/>
      <c r="K3047" s="570"/>
    </row>
    <row r="3048" ht="13.75" customHeight="1">
      <c r="A3048" s="833">
        <v>145</v>
      </c>
      <c r="B3048" t="s" s="834">
        <v>2092</v>
      </c>
      <c r="C3048" t="s" s="834">
        <v>1571</v>
      </c>
      <c r="D3048" s="835">
        <v>46025</v>
      </c>
      <c r="E3048" t="s" s="834">
        <v>478</v>
      </c>
      <c r="F3048" t="s" s="834">
        <v>478</v>
      </c>
      <c r="G3048" s="570"/>
      <c r="H3048" s="570"/>
      <c r="I3048" s="570"/>
      <c r="J3048" s="570"/>
      <c r="K3048" s="570"/>
    </row>
    <row r="3049" ht="13.75" customHeight="1">
      <c r="A3049" s="833">
        <v>145</v>
      </c>
      <c r="B3049" t="s" s="834">
        <v>2092</v>
      </c>
      <c r="C3049" t="s" s="834">
        <v>1571</v>
      </c>
      <c r="D3049" s="835">
        <v>46026</v>
      </c>
      <c r="E3049" t="s" s="834">
        <v>478</v>
      </c>
      <c r="F3049" t="s" s="834">
        <v>478</v>
      </c>
      <c r="G3049" s="570"/>
      <c r="H3049" s="570"/>
      <c r="I3049" s="570"/>
      <c r="J3049" s="570"/>
      <c r="K3049" s="570"/>
    </row>
    <row r="3050" ht="13.75" customHeight="1">
      <c r="A3050" s="833">
        <v>145</v>
      </c>
      <c r="B3050" t="s" s="834">
        <v>2092</v>
      </c>
      <c r="C3050" t="s" s="834">
        <v>1571</v>
      </c>
      <c r="D3050" s="835">
        <v>46027</v>
      </c>
      <c r="E3050" t="s" s="834">
        <v>478</v>
      </c>
      <c r="F3050" t="s" s="834">
        <v>478</v>
      </c>
      <c r="G3050" s="570"/>
      <c r="H3050" s="570"/>
      <c r="I3050" s="570"/>
      <c r="J3050" s="570"/>
      <c r="K3050" s="570"/>
    </row>
    <row r="3051" ht="13.75" customHeight="1">
      <c r="A3051" s="833">
        <v>145</v>
      </c>
      <c r="B3051" t="s" s="834">
        <v>2092</v>
      </c>
      <c r="C3051" t="s" s="834">
        <v>1571</v>
      </c>
      <c r="D3051" s="835">
        <v>46028</v>
      </c>
      <c r="E3051" t="s" s="834">
        <v>478</v>
      </c>
      <c r="F3051" t="s" s="834">
        <v>478</v>
      </c>
      <c r="G3051" s="570"/>
      <c r="H3051" s="570"/>
      <c r="I3051" s="570"/>
      <c r="J3051" s="570"/>
      <c r="K3051" s="570"/>
    </row>
    <row r="3052" ht="13.75" customHeight="1">
      <c r="A3052" s="833">
        <v>145</v>
      </c>
      <c r="B3052" t="s" s="834">
        <v>2092</v>
      </c>
      <c r="C3052" t="s" s="834">
        <v>1571</v>
      </c>
      <c r="D3052" s="835">
        <v>46029</v>
      </c>
      <c r="E3052" t="s" s="834">
        <v>478</v>
      </c>
      <c r="F3052" t="s" s="834">
        <v>478</v>
      </c>
      <c r="G3052" s="570"/>
      <c r="H3052" s="570"/>
      <c r="I3052" s="570"/>
      <c r="J3052" s="570"/>
      <c r="K3052" s="570"/>
    </row>
    <row r="3053" ht="13.75" customHeight="1">
      <c r="A3053" s="833">
        <v>145</v>
      </c>
      <c r="B3053" t="s" s="834">
        <v>2092</v>
      </c>
      <c r="C3053" t="s" s="834">
        <v>1571</v>
      </c>
      <c r="D3053" s="835">
        <v>46030</v>
      </c>
      <c r="E3053" s="836">
        <v>1.503877314814815</v>
      </c>
      <c r="F3053" s="836">
        <v>1.844236111111111</v>
      </c>
      <c r="G3053" s="570"/>
      <c r="H3053" s="570"/>
      <c r="I3053" s="570"/>
      <c r="J3053" s="570"/>
      <c r="K3053" s="570"/>
    </row>
    <row r="3054" ht="13.75" customHeight="1">
      <c r="A3054" t="s" s="834">
        <v>2093</v>
      </c>
      <c r="B3054" t="s" s="834">
        <v>2094</v>
      </c>
      <c r="C3054" t="s" s="834">
        <v>2095</v>
      </c>
      <c r="D3054" s="570"/>
      <c r="E3054" s="570"/>
      <c r="F3054" s="570"/>
      <c r="G3054" s="570"/>
      <c r="H3054" s="570"/>
      <c r="I3054" s="570"/>
      <c r="J3054" s="570"/>
      <c r="K3054" s="570"/>
    </row>
    <row r="3055" ht="13.75" customHeight="1">
      <c r="A3055" s="833">
        <v>145</v>
      </c>
      <c r="B3055" t="s" s="834">
        <v>2092</v>
      </c>
      <c r="C3055" t="s" s="834">
        <v>1571</v>
      </c>
      <c r="D3055" s="835">
        <v>46031</v>
      </c>
      <c r="E3055" s="836">
        <v>1.764108796296296</v>
      </c>
      <c r="F3055" s="836">
        <v>1.764421296296296</v>
      </c>
      <c r="G3055" s="570"/>
      <c r="H3055" s="570"/>
      <c r="I3055" s="570"/>
      <c r="J3055" s="570"/>
      <c r="K3055" s="570"/>
    </row>
    <row r="3056" ht="13.75" customHeight="1">
      <c r="A3056" t="s" s="834">
        <v>2096</v>
      </c>
      <c r="B3056" t="s" s="834">
        <v>2097</v>
      </c>
      <c r="C3056" t="s" s="834">
        <v>486</v>
      </c>
      <c r="D3056" s="570"/>
      <c r="E3056" s="570"/>
      <c r="F3056" s="570"/>
      <c r="G3056" s="570"/>
      <c r="H3056" s="570"/>
      <c r="I3056" s="570"/>
      <c r="J3056" s="570"/>
      <c r="K3056" s="570"/>
    </row>
    <row r="3057" ht="13.75" customHeight="1">
      <c r="A3057" s="833">
        <v>145</v>
      </c>
      <c r="B3057" t="s" s="834">
        <v>2092</v>
      </c>
      <c r="C3057" t="s" s="834">
        <v>1571</v>
      </c>
      <c r="D3057" s="835">
        <v>46032</v>
      </c>
      <c r="E3057" s="836">
        <v>1.50369212962963</v>
      </c>
      <c r="F3057" s="836">
        <v>1.775439814814815</v>
      </c>
      <c r="G3057" s="570"/>
      <c r="H3057" s="570"/>
      <c r="I3057" s="570"/>
      <c r="J3057" s="570"/>
      <c r="K3057" s="570"/>
    </row>
    <row r="3058" ht="13.75" customHeight="1">
      <c r="A3058" t="s" s="834">
        <v>2098</v>
      </c>
      <c r="B3058" t="s" s="834">
        <v>2099</v>
      </c>
      <c r="C3058" t="s" s="834">
        <v>2100</v>
      </c>
      <c r="D3058" s="570"/>
      <c r="E3058" s="570"/>
      <c r="F3058" s="570"/>
      <c r="G3058" s="570"/>
      <c r="H3058" s="570"/>
      <c r="I3058" s="570"/>
      <c r="J3058" s="570"/>
      <c r="K3058" s="570"/>
    </row>
    <row r="3059" ht="13.75" customHeight="1">
      <c r="A3059" s="833">
        <v>145</v>
      </c>
      <c r="B3059" t="s" s="834">
        <v>2092</v>
      </c>
      <c r="C3059" t="s" s="834">
        <v>1571</v>
      </c>
      <c r="D3059" s="835">
        <v>46033</v>
      </c>
      <c r="E3059" t="s" s="834">
        <v>478</v>
      </c>
      <c r="F3059" t="s" s="834">
        <v>478</v>
      </c>
      <c r="G3059" s="570"/>
      <c r="H3059" s="570"/>
      <c r="I3059" s="570"/>
      <c r="J3059" s="570"/>
      <c r="K3059" s="570"/>
    </row>
    <row r="3060" ht="13.75" customHeight="1">
      <c r="A3060" s="833">
        <v>145</v>
      </c>
      <c r="B3060" t="s" s="834">
        <v>2092</v>
      </c>
      <c r="C3060" t="s" s="834">
        <v>1571</v>
      </c>
      <c r="D3060" s="835">
        <v>46034</v>
      </c>
      <c r="E3060" s="836">
        <v>1.415949074074074</v>
      </c>
      <c r="F3060" t="s" s="834">
        <v>478</v>
      </c>
      <c r="G3060" s="570"/>
      <c r="H3060" s="570"/>
      <c r="I3060" s="570"/>
      <c r="J3060" s="570"/>
      <c r="K3060" s="570"/>
    </row>
    <row r="3061" ht="13.75" customHeight="1">
      <c r="A3061" t="s" s="834">
        <v>2101</v>
      </c>
      <c r="B3061" t="s" s="834">
        <v>485</v>
      </c>
      <c r="C3061" t="s" s="834">
        <v>486</v>
      </c>
      <c r="D3061" s="570"/>
      <c r="E3061" s="570"/>
      <c r="F3061" s="570"/>
      <c r="G3061" s="570"/>
      <c r="H3061" s="570"/>
      <c r="I3061" s="570"/>
      <c r="J3061" s="570"/>
      <c r="K3061" s="570"/>
    </row>
    <row r="3062" ht="13.75" customHeight="1">
      <c r="A3062" s="833">
        <v>145</v>
      </c>
      <c r="B3062" t="s" s="834">
        <v>2092</v>
      </c>
      <c r="C3062" t="s" s="834">
        <v>1571</v>
      </c>
      <c r="D3062" s="835">
        <v>46035</v>
      </c>
      <c r="E3062" s="836">
        <v>1.772986111111111</v>
      </c>
      <c r="F3062" s="836">
        <v>1.773125</v>
      </c>
      <c r="G3062" s="570"/>
      <c r="H3062" s="570"/>
      <c r="I3062" s="570"/>
      <c r="J3062" s="570"/>
      <c r="K3062" s="570"/>
    </row>
    <row r="3063" ht="13.75" customHeight="1">
      <c r="A3063" t="s" s="834">
        <v>2102</v>
      </c>
      <c r="B3063" t="s" s="834">
        <v>2103</v>
      </c>
      <c r="C3063" t="s" s="834">
        <v>486</v>
      </c>
      <c r="D3063" s="570"/>
      <c r="E3063" s="570"/>
      <c r="F3063" s="570"/>
      <c r="G3063" s="570"/>
      <c r="H3063" s="570"/>
      <c r="I3063" s="570"/>
      <c r="J3063" s="570"/>
      <c r="K3063" s="570"/>
    </row>
    <row r="3064" ht="13.75" customHeight="1">
      <c r="A3064" s="833">
        <v>145</v>
      </c>
      <c r="B3064" t="s" s="834">
        <v>2092</v>
      </c>
      <c r="C3064" t="s" s="834">
        <v>1571</v>
      </c>
      <c r="D3064" s="835">
        <v>46036</v>
      </c>
      <c r="E3064" t="s" s="834">
        <v>478</v>
      </c>
      <c r="F3064" t="s" s="834">
        <v>478</v>
      </c>
      <c r="G3064" s="570"/>
      <c r="H3064" s="570"/>
      <c r="I3064" s="570"/>
      <c r="J3064" s="570"/>
      <c r="K3064" s="570"/>
    </row>
    <row r="3065" ht="13.75" customHeight="1">
      <c r="A3065" s="833">
        <v>145</v>
      </c>
      <c r="B3065" t="s" s="834">
        <v>2092</v>
      </c>
      <c r="C3065" t="s" s="834">
        <v>1571</v>
      </c>
      <c r="D3065" s="835">
        <v>46037</v>
      </c>
      <c r="E3065" s="836">
        <v>1.388831018518518</v>
      </c>
      <c r="F3065" s="836">
        <v>1.507662037037037</v>
      </c>
      <c r="G3065" s="570"/>
      <c r="H3065" s="570"/>
      <c r="I3065" s="570"/>
      <c r="J3065" s="570"/>
      <c r="K3065" s="570"/>
    </row>
    <row r="3066" ht="13.75" customHeight="1">
      <c r="A3066" t="s" s="834">
        <v>2104</v>
      </c>
      <c r="B3066" t="s" s="834">
        <v>2105</v>
      </c>
      <c r="C3066" t="s" s="834">
        <v>2106</v>
      </c>
      <c r="D3066" s="570"/>
      <c r="E3066" s="570"/>
      <c r="F3066" s="570"/>
      <c r="G3066" s="570"/>
      <c r="H3066" s="570"/>
      <c r="I3066" s="570"/>
      <c r="J3066" s="570"/>
      <c r="K3066" s="570"/>
    </row>
    <row r="3067" ht="13.75" customHeight="1">
      <c r="A3067" s="833">
        <v>145</v>
      </c>
      <c r="B3067" t="s" s="834">
        <v>2092</v>
      </c>
      <c r="C3067" t="s" s="834">
        <v>1571</v>
      </c>
      <c r="D3067" s="835">
        <v>46038</v>
      </c>
      <c r="E3067" t="s" s="834">
        <v>478</v>
      </c>
      <c r="F3067" t="s" s="834">
        <v>478</v>
      </c>
      <c r="G3067" s="570"/>
      <c r="H3067" s="570"/>
      <c r="I3067" s="570"/>
      <c r="J3067" s="570"/>
      <c r="K3067" s="570"/>
    </row>
    <row r="3068" ht="13.75" customHeight="1">
      <c r="A3068" s="833">
        <v>145</v>
      </c>
      <c r="B3068" t="s" s="834">
        <v>2092</v>
      </c>
      <c r="C3068" t="s" s="834">
        <v>1571</v>
      </c>
      <c r="D3068" s="835">
        <v>46039</v>
      </c>
      <c r="E3068" s="836">
        <v>1.43625</v>
      </c>
      <c r="F3068" t="s" s="834">
        <v>478</v>
      </c>
      <c r="G3068" s="570"/>
      <c r="H3068" s="570"/>
      <c r="I3068" s="570"/>
      <c r="J3068" s="570"/>
      <c r="K3068" s="570"/>
    </row>
    <row r="3069" ht="13.75" customHeight="1">
      <c r="A3069" t="s" s="834">
        <v>2107</v>
      </c>
      <c r="B3069" t="s" s="834">
        <v>485</v>
      </c>
      <c r="C3069" t="s" s="834">
        <v>486</v>
      </c>
      <c r="D3069" s="570"/>
      <c r="E3069" s="570"/>
      <c r="F3069" s="570"/>
      <c r="G3069" s="570"/>
      <c r="H3069" s="570"/>
      <c r="I3069" s="570"/>
      <c r="J3069" s="570"/>
      <c r="K3069" s="570"/>
    </row>
    <row r="3070" ht="13.75" customHeight="1">
      <c r="A3070" s="833">
        <v>145</v>
      </c>
      <c r="B3070" t="s" s="834">
        <v>2092</v>
      </c>
      <c r="C3070" t="s" s="834">
        <v>1571</v>
      </c>
      <c r="D3070" s="835">
        <v>46040</v>
      </c>
      <c r="E3070" t="s" s="834">
        <v>478</v>
      </c>
      <c r="F3070" t="s" s="834">
        <v>478</v>
      </c>
      <c r="G3070" s="570"/>
      <c r="H3070" s="570"/>
      <c r="I3070" s="570"/>
      <c r="J3070" s="570"/>
      <c r="K3070" s="570"/>
    </row>
    <row r="3071" ht="13.75" customHeight="1">
      <c r="A3071" s="833">
        <v>145</v>
      </c>
      <c r="B3071" t="s" s="834">
        <v>2092</v>
      </c>
      <c r="C3071" t="s" s="834">
        <v>1571</v>
      </c>
      <c r="D3071" s="835">
        <v>46041</v>
      </c>
      <c r="E3071" s="836">
        <v>1.80525462962963</v>
      </c>
      <c r="F3071" s="836">
        <v>1.805289351851852</v>
      </c>
      <c r="G3071" s="570"/>
      <c r="H3071" s="570"/>
      <c r="I3071" s="570"/>
      <c r="J3071" s="570"/>
      <c r="K3071" s="570"/>
    </row>
    <row r="3072" ht="13.75" customHeight="1">
      <c r="A3072" t="s" s="834">
        <v>2108</v>
      </c>
      <c r="B3072" t="s" s="834">
        <v>2109</v>
      </c>
      <c r="C3072" t="s" s="834">
        <v>486</v>
      </c>
      <c r="D3072" s="570"/>
      <c r="E3072" s="570"/>
      <c r="F3072" s="570"/>
      <c r="G3072" s="570"/>
      <c r="H3072" s="570"/>
      <c r="I3072" s="570"/>
      <c r="J3072" s="570"/>
      <c r="K3072" s="570"/>
    </row>
    <row r="3073" ht="13.75" customHeight="1">
      <c r="A3073" s="833">
        <v>145</v>
      </c>
      <c r="B3073" t="s" s="834">
        <v>2092</v>
      </c>
      <c r="C3073" t="s" s="834">
        <v>1571</v>
      </c>
      <c r="D3073" s="835">
        <v>46042</v>
      </c>
      <c r="E3073" s="836">
        <v>1.7628125</v>
      </c>
      <c r="F3073" s="836">
        <v>1.763958333333333</v>
      </c>
      <c r="G3073" s="570"/>
      <c r="H3073" s="570"/>
      <c r="I3073" s="570"/>
      <c r="J3073" s="570"/>
      <c r="K3073" s="570"/>
    </row>
    <row r="3074" ht="13.75" customHeight="1">
      <c r="A3074" t="s" s="834">
        <v>2110</v>
      </c>
      <c r="B3074" t="s" s="834">
        <v>2111</v>
      </c>
      <c r="C3074" t="s" s="834">
        <v>2112</v>
      </c>
      <c r="D3074" s="570"/>
      <c r="E3074" s="570"/>
      <c r="F3074" s="570"/>
      <c r="G3074" s="570"/>
      <c r="H3074" s="570"/>
      <c r="I3074" s="570"/>
      <c r="J3074" s="570"/>
      <c r="K3074" s="570"/>
    </row>
    <row r="3075" ht="13.75" customHeight="1">
      <c r="A3075" s="833">
        <v>145</v>
      </c>
      <c r="B3075" t="s" s="834">
        <v>2092</v>
      </c>
      <c r="C3075" t="s" s="834">
        <v>1571</v>
      </c>
      <c r="D3075" s="835">
        <v>46043</v>
      </c>
      <c r="E3075" t="s" s="834">
        <v>478</v>
      </c>
      <c r="F3075" t="s" s="834">
        <v>478</v>
      </c>
      <c r="G3075" s="570"/>
      <c r="H3075" s="570"/>
      <c r="I3075" s="570"/>
      <c r="J3075" s="570"/>
      <c r="K3075" s="570"/>
    </row>
    <row r="3076" ht="13.75" customHeight="1">
      <c r="A3076" s="833">
        <v>145</v>
      </c>
      <c r="B3076" t="s" s="834">
        <v>2092</v>
      </c>
      <c r="C3076" t="s" s="834">
        <v>1571</v>
      </c>
      <c r="D3076" s="835">
        <v>46044</v>
      </c>
      <c r="E3076" s="836">
        <v>1.436724537037037</v>
      </c>
      <c r="F3076" s="836">
        <v>1.436759259259259</v>
      </c>
      <c r="G3076" s="570"/>
      <c r="H3076" s="570"/>
      <c r="I3076" s="570"/>
      <c r="J3076" s="570"/>
      <c r="K3076" s="570"/>
    </row>
    <row r="3077" ht="13.75" customHeight="1">
      <c r="A3077" t="s" s="834">
        <v>2113</v>
      </c>
      <c r="B3077" t="s" s="834">
        <v>2114</v>
      </c>
      <c r="C3077" t="s" s="834">
        <v>486</v>
      </c>
      <c r="D3077" s="570"/>
      <c r="E3077" s="570"/>
      <c r="F3077" s="570"/>
      <c r="G3077" s="570"/>
      <c r="H3077" s="570"/>
      <c r="I3077" s="570"/>
      <c r="J3077" s="570"/>
      <c r="K3077" s="570"/>
    </row>
    <row r="3078" ht="13.75" customHeight="1">
      <c r="A3078" s="833">
        <v>145</v>
      </c>
      <c r="B3078" t="s" s="834">
        <v>2092</v>
      </c>
      <c r="C3078" t="s" s="834">
        <v>1571</v>
      </c>
      <c r="D3078" s="835">
        <v>46045</v>
      </c>
      <c r="E3078" t="s" s="834">
        <v>478</v>
      </c>
      <c r="F3078" t="s" s="834">
        <v>478</v>
      </c>
      <c r="G3078" s="570"/>
      <c r="H3078" s="570"/>
      <c r="I3078" s="570"/>
      <c r="J3078" s="570"/>
      <c r="K3078" s="570"/>
    </row>
    <row r="3079" ht="13.75" customHeight="1">
      <c r="A3079" s="833">
        <v>145</v>
      </c>
      <c r="B3079" t="s" s="834">
        <v>2092</v>
      </c>
      <c r="C3079" t="s" s="834">
        <v>1571</v>
      </c>
      <c r="D3079" s="835">
        <v>46046</v>
      </c>
      <c r="E3079" t="s" s="834">
        <v>478</v>
      </c>
      <c r="F3079" t="s" s="834">
        <v>478</v>
      </c>
      <c r="G3079" s="570"/>
      <c r="H3079" s="570"/>
      <c r="I3079" s="570"/>
      <c r="J3079" s="570"/>
      <c r="K3079" s="570"/>
    </row>
    <row r="3080" ht="13.75" customHeight="1">
      <c r="A3080" s="833">
        <v>145</v>
      </c>
      <c r="B3080" t="s" s="834">
        <v>2092</v>
      </c>
      <c r="C3080" t="s" s="834">
        <v>1571</v>
      </c>
      <c r="D3080" s="835">
        <v>46047</v>
      </c>
      <c r="E3080" t="s" s="834">
        <v>478</v>
      </c>
      <c r="F3080" t="s" s="834">
        <v>478</v>
      </c>
      <c r="G3080" s="570"/>
      <c r="H3080" s="570"/>
      <c r="I3080" s="570"/>
      <c r="J3080" s="570"/>
      <c r="K3080" s="570"/>
    </row>
    <row r="3081" ht="13.75" customHeight="1">
      <c r="A3081" s="833">
        <v>145</v>
      </c>
      <c r="B3081" t="s" s="834">
        <v>2092</v>
      </c>
      <c r="C3081" t="s" s="834">
        <v>1571</v>
      </c>
      <c r="D3081" s="835">
        <v>46048</v>
      </c>
      <c r="E3081" t="s" s="834">
        <v>478</v>
      </c>
      <c r="F3081" t="s" s="834">
        <v>478</v>
      </c>
      <c r="G3081" s="570"/>
      <c r="H3081" s="570"/>
      <c r="I3081" s="570"/>
      <c r="J3081" s="570"/>
      <c r="K3081" s="570"/>
    </row>
    <row r="3082" ht="13.75" customHeight="1">
      <c r="A3082" s="833">
        <v>145</v>
      </c>
      <c r="B3082" t="s" s="834">
        <v>2092</v>
      </c>
      <c r="C3082" t="s" s="834">
        <v>1571</v>
      </c>
      <c r="D3082" s="835">
        <v>46049</v>
      </c>
      <c r="E3082" t="s" s="834">
        <v>478</v>
      </c>
      <c r="F3082" t="s" s="834">
        <v>478</v>
      </c>
      <c r="G3082" s="570"/>
      <c r="H3082" s="570"/>
      <c r="I3082" s="570"/>
      <c r="J3082" s="570"/>
      <c r="K3082" s="570"/>
    </row>
    <row r="3083" ht="13.75" customHeight="1">
      <c r="A3083" s="833">
        <v>145</v>
      </c>
      <c r="B3083" t="s" s="834">
        <v>2092</v>
      </c>
      <c r="C3083" t="s" s="834">
        <v>1571</v>
      </c>
      <c r="D3083" s="835">
        <v>46050</v>
      </c>
      <c r="E3083" t="s" s="834">
        <v>478</v>
      </c>
      <c r="F3083" t="s" s="834">
        <v>478</v>
      </c>
      <c r="G3083" s="570"/>
      <c r="H3083" s="570"/>
      <c r="I3083" s="570"/>
      <c r="J3083" s="570"/>
      <c r="K3083" s="570"/>
    </row>
    <row r="3084" ht="13.75" customHeight="1">
      <c r="A3084" s="833">
        <v>145</v>
      </c>
      <c r="B3084" t="s" s="834">
        <v>2092</v>
      </c>
      <c r="C3084" t="s" s="834">
        <v>1571</v>
      </c>
      <c r="D3084" s="835">
        <v>46051</v>
      </c>
      <c r="E3084" t="s" s="834">
        <v>478</v>
      </c>
      <c r="F3084" t="s" s="834">
        <v>478</v>
      </c>
      <c r="G3084" s="570"/>
      <c r="H3084" s="570"/>
      <c r="I3084" s="570"/>
      <c r="J3084" s="570"/>
      <c r="K3084" s="570"/>
    </row>
    <row r="3085" ht="13.75" customHeight="1">
      <c r="A3085" s="833">
        <v>145</v>
      </c>
      <c r="B3085" t="s" s="834">
        <v>2092</v>
      </c>
      <c r="C3085" t="s" s="834">
        <v>1571</v>
      </c>
      <c r="D3085" s="835">
        <v>46052</v>
      </c>
      <c r="E3085" s="836">
        <v>1.512546296296296</v>
      </c>
      <c r="F3085" s="836">
        <v>1.512754629629629</v>
      </c>
      <c r="G3085" s="570"/>
      <c r="H3085" s="570"/>
      <c r="I3085" s="570"/>
      <c r="J3085" s="570"/>
      <c r="K3085" s="570"/>
    </row>
    <row r="3086" ht="13.75" customHeight="1">
      <c r="A3086" t="s" s="834">
        <v>2115</v>
      </c>
      <c r="B3086" t="s" s="834">
        <v>2116</v>
      </c>
      <c r="C3086" t="s" s="834">
        <v>486</v>
      </c>
      <c r="D3086" s="570"/>
      <c r="E3086" s="570"/>
      <c r="F3086" s="570"/>
      <c r="G3086" s="570"/>
      <c r="H3086" s="570"/>
      <c r="I3086" s="570"/>
      <c r="J3086" s="570"/>
      <c r="K3086" s="570"/>
    </row>
    <row r="3087" ht="13.75" customHeight="1">
      <c r="A3087" s="833">
        <v>145</v>
      </c>
      <c r="B3087" t="s" s="834">
        <v>2092</v>
      </c>
      <c r="C3087" t="s" s="834">
        <v>1571</v>
      </c>
      <c r="D3087" s="835">
        <v>46053</v>
      </c>
      <c r="E3087" t="s" s="834">
        <v>478</v>
      </c>
      <c r="F3087" t="s" s="834">
        <v>478</v>
      </c>
      <c r="G3087" s="570"/>
      <c r="H3087" s="570"/>
      <c r="I3087" s="570"/>
      <c r="J3087" s="570"/>
      <c r="K3087" s="570"/>
    </row>
    <row r="3088" ht="13.75" customHeight="1">
      <c r="A3088" s="833">
        <v>145</v>
      </c>
      <c r="B3088" t="s" s="834">
        <v>2092</v>
      </c>
      <c r="C3088" t="s" s="834">
        <v>1571</v>
      </c>
      <c r="D3088" s="835">
        <v>46054</v>
      </c>
      <c r="E3088" t="s" s="834">
        <v>478</v>
      </c>
      <c r="F3088" t="s" s="834">
        <v>478</v>
      </c>
      <c r="G3088" s="570"/>
      <c r="H3088" s="570"/>
      <c r="I3088" s="570"/>
      <c r="J3088" s="570"/>
      <c r="K3088" s="570"/>
    </row>
    <row r="3089" ht="13.75" customHeight="1">
      <c r="A3089" t="s" s="834">
        <v>2117</v>
      </c>
      <c r="B3089" t="s" s="834">
        <v>485</v>
      </c>
      <c r="C3089" t="s" s="834">
        <v>486</v>
      </c>
      <c r="D3089" s="570"/>
      <c r="E3089" s="570"/>
      <c r="F3089" s="570"/>
      <c r="G3089" s="570"/>
      <c r="H3089" s="570"/>
      <c r="I3089" s="570"/>
      <c r="J3089" s="570"/>
      <c r="K3089" s="570"/>
    </row>
    <row r="3090" ht="13.75" customHeight="1">
      <c r="A3090" t="s" s="834">
        <v>2118</v>
      </c>
      <c r="B3090" t="s" s="834">
        <v>485</v>
      </c>
      <c r="C3090" t="s" s="834">
        <v>486</v>
      </c>
      <c r="D3090" s="570"/>
      <c r="E3090" s="570"/>
      <c r="F3090" s="570"/>
      <c r="G3090" s="570"/>
      <c r="H3090" s="570"/>
      <c r="I3090" s="570"/>
      <c r="J3090" s="570"/>
      <c r="K3090" s="570"/>
    </row>
    <row r="3091" ht="13.75" customHeight="1">
      <c r="A3091" t="s" s="834">
        <v>2119</v>
      </c>
      <c r="B3091" t="s" s="834">
        <v>2120</v>
      </c>
      <c r="C3091" t="s" s="834">
        <v>2028</v>
      </c>
      <c r="D3091" s="570"/>
      <c r="E3091" s="570"/>
      <c r="F3091" s="570"/>
      <c r="G3091" s="570"/>
      <c r="H3091" s="570"/>
      <c r="I3091" s="570"/>
      <c r="J3091" s="570"/>
      <c r="K3091" s="570"/>
    </row>
    <row r="3092" ht="13.75" customHeight="1">
      <c r="A3092" t="s" s="834">
        <v>2121</v>
      </c>
      <c r="B3092" t="s" s="834">
        <v>485</v>
      </c>
      <c r="C3092" t="s" s="834">
        <v>486</v>
      </c>
      <c r="D3092" s="570"/>
      <c r="E3092" s="570"/>
      <c r="F3092" s="570"/>
      <c r="G3092" s="570"/>
      <c r="H3092" s="570"/>
      <c r="I3092" s="570"/>
      <c r="J3092" s="570"/>
      <c r="K3092" s="570"/>
    </row>
    <row r="3093" ht="13.75" customHeight="1">
      <c r="A3093" t="s" s="834">
        <v>2122</v>
      </c>
      <c r="B3093" t="s" s="834">
        <v>2123</v>
      </c>
      <c r="C3093" t="s" s="834">
        <v>1252</v>
      </c>
      <c r="D3093" s="570"/>
      <c r="E3093" s="570"/>
      <c r="F3093" s="570"/>
      <c r="G3093" s="570"/>
      <c r="H3093" s="570"/>
      <c r="I3093" s="570"/>
      <c r="J3093" s="570"/>
      <c r="K3093" s="570"/>
    </row>
    <row r="3094" ht="13.75" customHeight="1">
      <c r="A3094" t="s" s="834">
        <v>2124</v>
      </c>
      <c r="B3094" t="s" s="834">
        <v>2125</v>
      </c>
      <c r="C3094" t="s" s="834">
        <v>597</v>
      </c>
      <c r="D3094" s="570"/>
      <c r="E3094" s="570"/>
      <c r="F3094" s="570"/>
      <c r="G3094" s="570"/>
      <c r="H3094" s="570"/>
      <c r="I3094" s="570"/>
      <c r="J3094" s="570"/>
      <c r="K3094" s="570"/>
    </row>
    <row r="3095" ht="13.75" customHeight="1">
      <c r="A3095" t="s" s="834">
        <v>2126</v>
      </c>
      <c r="B3095" t="s" s="834">
        <v>2127</v>
      </c>
      <c r="C3095" t="s" s="834">
        <v>1124</v>
      </c>
      <c r="D3095" s="570"/>
      <c r="E3095" s="570"/>
      <c r="F3095" s="570"/>
      <c r="G3095" s="570"/>
      <c r="H3095" s="570"/>
      <c r="I3095" s="570"/>
      <c r="J3095" s="570"/>
      <c r="K3095" s="570"/>
    </row>
    <row r="3096" ht="13.75" customHeight="1">
      <c r="A3096" t="s" s="834">
        <v>2128</v>
      </c>
      <c r="B3096" t="s" s="834">
        <v>485</v>
      </c>
      <c r="C3096" t="s" s="834">
        <v>486</v>
      </c>
      <c r="D3096" s="570"/>
      <c r="E3096" s="570"/>
      <c r="F3096" s="570"/>
      <c r="G3096" s="570"/>
      <c r="H3096" s="570"/>
      <c r="I3096" s="570"/>
      <c r="J3096" s="570"/>
      <c r="K3096" s="570"/>
    </row>
    <row r="3097" ht="13.75" customHeight="1">
      <c r="A3097" t="s" s="834">
        <v>2129</v>
      </c>
      <c r="B3097" t="s" s="834">
        <v>485</v>
      </c>
      <c r="C3097" t="s" s="834">
        <v>486</v>
      </c>
      <c r="D3097" s="570"/>
      <c r="E3097" s="570"/>
      <c r="F3097" s="570"/>
      <c r="G3097" s="570"/>
      <c r="H3097" s="570"/>
      <c r="I3097" s="570"/>
      <c r="J3097" s="570"/>
      <c r="K3097" s="570"/>
    </row>
    <row r="3098" ht="13.75" customHeight="1">
      <c r="A3098" t="s" s="834">
        <v>2130</v>
      </c>
      <c r="B3098" t="s" s="834">
        <v>2131</v>
      </c>
      <c r="C3098" t="s" s="834">
        <v>882</v>
      </c>
      <c r="D3098" s="570"/>
      <c r="E3098" s="570"/>
      <c r="F3098" s="570"/>
      <c r="G3098" s="570"/>
      <c r="H3098" s="570"/>
      <c r="I3098" s="570"/>
      <c r="J3098" s="570"/>
      <c r="K3098" s="570"/>
    </row>
    <row r="3099" ht="13.75" customHeight="1">
      <c r="A3099" s="833">
        <v>150</v>
      </c>
      <c r="B3099" t="s" s="834">
        <v>2132</v>
      </c>
      <c r="C3099" t="s" s="834">
        <v>1702</v>
      </c>
      <c r="D3099" s="835">
        <v>46023</v>
      </c>
      <c r="E3099" t="s" s="834">
        <v>478</v>
      </c>
      <c r="F3099" t="s" s="834">
        <v>478</v>
      </c>
      <c r="G3099" s="570"/>
      <c r="H3099" s="570"/>
      <c r="I3099" s="570"/>
      <c r="J3099" s="570"/>
      <c r="K3099" s="570"/>
    </row>
    <row r="3100" ht="13.75" customHeight="1">
      <c r="A3100" s="833">
        <v>150</v>
      </c>
      <c r="B3100" t="s" s="834">
        <v>2132</v>
      </c>
      <c r="C3100" t="s" s="834">
        <v>1702</v>
      </c>
      <c r="D3100" s="835">
        <v>46024</v>
      </c>
      <c r="E3100" t="s" s="834">
        <v>478</v>
      </c>
      <c r="F3100" t="s" s="834">
        <v>478</v>
      </c>
      <c r="G3100" s="570"/>
      <c r="H3100" s="570"/>
      <c r="I3100" s="570"/>
      <c r="J3100" s="570"/>
      <c r="K3100" s="570"/>
    </row>
    <row r="3101" ht="13.75" customHeight="1">
      <c r="A3101" s="833">
        <v>150</v>
      </c>
      <c r="B3101" t="s" s="834">
        <v>2132</v>
      </c>
      <c r="C3101" t="s" s="834">
        <v>1702</v>
      </c>
      <c r="D3101" s="835">
        <v>46025</v>
      </c>
      <c r="E3101" t="s" s="834">
        <v>478</v>
      </c>
      <c r="F3101" t="s" s="834">
        <v>478</v>
      </c>
      <c r="G3101" s="570"/>
      <c r="H3101" s="570"/>
      <c r="I3101" s="570"/>
      <c r="J3101" s="570"/>
      <c r="K3101" s="570"/>
    </row>
    <row r="3102" ht="13.75" customHeight="1">
      <c r="A3102" s="833">
        <v>150</v>
      </c>
      <c r="B3102" t="s" s="834">
        <v>2132</v>
      </c>
      <c r="C3102" t="s" s="834">
        <v>1702</v>
      </c>
      <c r="D3102" s="835">
        <v>46026</v>
      </c>
      <c r="E3102" t="s" s="834">
        <v>478</v>
      </c>
      <c r="F3102" t="s" s="834">
        <v>478</v>
      </c>
      <c r="G3102" s="570"/>
      <c r="H3102" s="570"/>
      <c r="I3102" s="570"/>
      <c r="J3102" s="570"/>
      <c r="K3102" s="570"/>
    </row>
    <row r="3103" ht="13.75" customHeight="1">
      <c r="A3103" s="833">
        <v>150</v>
      </c>
      <c r="B3103" t="s" s="834">
        <v>2132</v>
      </c>
      <c r="C3103" t="s" s="834">
        <v>1702</v>
      </c>
      <c r="D3103" s="835">
        <v>46027</v>
      </c>
      <c r="E3103" s="836">
        <v>1.351041666666667</v>
      </c>
      <c r="F3103" s="836">
        <v>1.764050925925926</v>
      </c>
      <c r="G3103" s="570"/>
      <c r="H3103" s="570"/>
      <c r="I3103" s="570"/>
      <c r="J3103" s="570"/>
      <c r="K3103" s="570"/>
    </row>
    <row r="3104" ht="13.75" customHeight="1">
      <c r="A3104" t="s" s="834">
        <v>2133</v>
      </c>
      <c r="B3104" t="s" s="834">
        <v>2134</v>
      </c>
      <c r="C3104" t="s" s="834">
        <v>586</v>
      </c>
      <c r="D3104" s="570"/>
      <c r="E3104" s="570"/>
      <c r="F3104" s="570"/>
      <c r="G3104" s="570"/>
      <c r="H3104" s="570"/>
      <c r="I3104" s="570"/>
      <c r="J3104" s="570"/>
      <c r="K3104" s="570"/>
    </row>
    <row r="3105" ht="13.75" customHeight="1">
      <c r="A3105" s="833">
        <v>150</v>
      </c>
      <c r="B3105" t="s" s="834">
        <v>2132</v>
      </c>
      <c r="C3105" t="s" s="834">
        <v>1702</v>
      </c>
      <c r="D3105" s="835">
        <v>46028</v>
      </c>
      <c r="E3105" s="836">
        <v>1.356041666666667</v>
      </c>
      <c r="F3105" s="836">
        <v>1.766875</v>
      </c>
      <c r="G3105" s="570"/>
      <c r="H3105" s="570"/>
      <c r="I3105" s="570"/>
      <c r="J3105" s="570"/>
      <c r="K3105" s="570"/>
    </row>
    <row r="3106" ht="13.75" customHeight="1">
      <c r="A3106" t="s" s="834">
        <v>2135</v>
      </c>
      <c r="B3106" t="s" s="834">
        <v>2136</v>
      </c>
      <c r="C3106" t="s" s="834">
        <v>850</v>
      </c>
      <c r="D3106" s="570"/>
      <c r="E3106" s="570"/>
      <c r="F3106" s="570"/>
      <c r="G3106" s="570"/>
      <c r="H3106" s="570"/>
      <c r="I3106" s="570"/>
      <c r="J3106" s="570"/>
      <c r="K3106" s="570"/>
    </row>
    <row r="3107" ht="13.75" customHeight="1">
      <c r="A3107" s="833">
        <v>150</v>
      </c>
      <c r="B3107" t="s" s="834">
        <v>2132</v>
      </c>
      <c r="C3107" t="s" s="834">
        <v>1702</v>
      </c>
      <c r="D3107" s="835">
        <v>46029</v>
      </c>
      <c r="E3107" s="836">
        <v>1.351944444444444</v>
      </c>
      <c r="F3107" s="836">
        <v>1.774583333333333</v>
      </c>
      <c r="G3107" s="570"/>
      <c r="H3107" s="570"/>
      <c r="I3107" s="570"/>
      <c r="J3107" s="570"/>
      <c r="K3107" s="570"/>
    </row>
    <row r="3108" ht="13.75" customHeight="1">
      <c r="A3108" t="s" s="834">
        <v>2137</v>
      </c>
      <c r="B3108" t="s" s="834">
        <v>2138</v>
      </c>
      <c r="C3108" t="s" s="834">
        <v>971</v>
      </c>
      <c r="D3108" s="570"/>
      <c r="E3108" s="570"/>
      <c r="F3108" s="570"/>
      <c r="G3108" s="570"/>
      <c r="H3108" s="570"/>
      <c r="I3108" s="570"/>
      <c r="J3108" s="570"/>
      <c r="K3108" s="570"/>
    </row>
    <row r="3109" ht="13.75" customHeight="1">
      <c r="A3109" s="833">
        <v>150</v>
      </c>
      <c r="B3109" t="s" s="834">
        <v>2132</v>
      </c>
      <c r="C3109" t="s" s="834">
        <v>1702</v>
      </c>
      <c r="D3109" s="835">
        <v>46030</v>
      </c>
      <c r="E3109" s="836">
        <v>1.348587962962963</v>
      </c>
      <c r="F3109" s="836">
        <v>1.770532407407407</v>
      </c>
      <c r="G3109" s="570"/>
      <c r="H3109" s="570"/>
      <c r="I3109" s="570"/>
      <c r="J3109" s="570"/>
      <c r="K3109" s="570"/>
    </row>
    <row r="3110" ht="13.75" customHeight="1">
      <c r="A3110" t="s" s="834">
        <v>2139</v>
      </c>
      <c r="B3110" t="s" s="834">
        <v>2140</v>
      </c>
      <c r="C3110" t="s" s="834">
        <v>926</v>
      </c>
      <c r="D3110" s="570"/>
      <c r="E3110" s="570"/>
      <c r="F3110" s="570"/>
      <c r="G3110" s="570"/>
      <c r="H3110" s="570"/>
      <c r="I3110" s="570"/>
      <c r="J3110" s="570"/>
      <c r="K3110" s="570"/>
    </row>
    <row r="3111" ht="13.75" customHeight="1">
      <c r="A3111" s="833">
        <v>150</v>
      </c>
      <c r="B3111" t="s" s="834">
        <v>2132</v>
      </c>
      <c r="C3111" t="s" s="834">
        <v>1702</v>
      </c>
      <c r="D3111" s="835">
        <v>46031</v>
      </c>
      <c r="E3111" t="s" s="834">
        <v>478</v>
      </c>
      <c r="F3111" t="s" s="834">
        <v>478</v>
      </c>
      <c r="G3111" s="570"/>
      <c r="H3111" s="570"/>
      <c r="I3111" s="570"/>
      <c r="J3111" s="570"/>
      <c r="K3111" s="570"/>
    </row>
    <row r="3112" ht="13.75" customHeight="1">
      <c r="A3112" s="833">
        <v>150</v>
      </c>
      <c r="B3112" t="s" s="834">
        <v>2132</v>
      </c>
      <c r="C3112" t="s" s="834">
        <v>1702</v>
      </c>
      <c r="D3112" s="835">
        <v>46032</v>
      </c>
      <c r="E3112" t="s" s="834">
        <v>478</v>
      </c>
      <c r="F3112" t="s" s="834">
        <v>478</v>
      </c>
      <c r="G3112" s="570"/>
      <c r="H3112" s="570"/>
      <c r="I3112" s="570"/>
      <c r="J3112" s="570"/>
      <c r="K3112" s="570"/>
    </row>
    <row r="3113" ht="13.75" customHeight="1">
      <c r="A3113" s="833">
        <v>150</v>
      </c>
      <c r="B3113" t="s" s="834">
        <v>2132</v>
      </c>
      <c r="C3113" t="s" s="834">
        <v>1702</v>
      </c>
      <c r="D3113" s="835">
        <v>46033</v>
      </c>
      <c r="E3113" t="s" s="834">
        <v>478</v>
      </c>
      <c r="F3113" t="s" s="834">
        <v>478</v>
      </c>
      <c r="G3113" s="570"/>
      <c r="H3113" s="570"/>
      <c r="I3113" s="570"/>
      <c r="J3113" s="570"/>
      <c r="K3113" s="570"/>
    </row>
    <row r="3114" ht="13.75" customHeight="1">
      <c r="A3114" s="833">
        <v>150</v>
      </c>
      <c r="B3114" t="s" s="834">
        <v>2132</v>
      </c>
      <c r="C3114" t="s" s="834">
        <v>1702</v>
      </c>
      <c r="D3114" s="835">
        <v>46034</v>
      </c>
      <c r="E3114" s="836">
        <v>1.352696759259259</v>
      </c>
      <c r="F3114" s="836">
        <v>1.766851851851852</v>
      </c>
      <c r="G3114" s="570"/>
      <c r="H3114" s="570"/>
      <c r="I3114" s="570"/>
      <c r="J3114" s="570"/>
      <c r="K3114" s="570"/>
    </row>
    <row r="3115" ht="13.75" customHeight="1">
      <c r="A3115" t="s" s="834">
        <v>2141</v>
      </c>
      <c r="B3115" t="s" s="834">
        <v>2142</v>
      </c>
      <c r="C3115" t="s" s="834">
        <v>637</v>
      </c>
      <c r="D3115" s="570"/>
      <c r="E3115" s="570"/>
      <c r="F3115" s="570"/>
      <c r="G3115" s="570"/>
      <c r="H3115" s="570"/>
      <c r="I3115" s="570"/>
      <c r="J3115" s="570"/>
      <c r="K3115" s="570"/>
    </row>
    <row r="3116" ht="13.75" customHeight="1">
      <c r="A3116" s="833">
        <v>150</v>
      </c>
      <c r="B3116" t="s" s="834">
        <v>2132</v>
      </c>
      <c r="C3116" t="s" s="834">
        <v>1702</v>
      </c>
      <c r="D3116" s="835">
        <v>46035</v>
      </c>
      <c r="E3116" s="836">
        <v>1.351458333333333</v>
      </c>
      <c r="F3116" s="836">
        <v>1.768240740740741</v>
      </c>
      <c r="G3116" s="570"/>
      <c r="H3116" s="570"/>
      <c r="I3116" s="570"/>
      <c r="J3116" s="570"/>
      <c r="K3116" s="570"/>
    </row>
    <row r="3117" ht="13.75" customHeight="1">
      <c r="A3117" t="s" s="834">
        <v>2143</v>
      </c>
      <c r="B3117" t="s" s="834">
        <v>2144</v>
      </c>
      <c r="C3117" t="s" s="834">
        <v>530</v>
      </c>
      <c r="D3117" s="570"/>
      <c r="E3117" s="570"/>
      <c r="F3117" s="570"/>
      <c r="G3117" s="570"/>
      <c r="H3117" s="570"/>
      <c r="I3117" s="570"/>
      <c r="J3117" s="570"/>
      <c r="K3117" s="570"/>
    </row>
    <row r="3118" ht="13.75" customHeight="1">
      <c r="A3118" s="833">
        <v>150</v>
      </c>
      <c r="B3118" t="s" s="834">
        <v>2132</v>
      </c>
      <c r="C3118" t="s" s="834">
        <v>1702</v>
      </c>
      <c r="D3118" s="835">
        <v>46036</v>
      </c>
      <c r="E3118" s="836">
        <v>1.350381944444444</v>
      </c>
      <c r="F3118" s="836">
        <v>1.766770833333333</v>
      </c>
      <c r="G3118" s="570"/>
      <c r="H3118" s="570"/>
      <c r="I3118" s="570"/>
      <c r="J3118" s="570"/>
      <c r="K3118" s="570"/>
    </row>
    <row r="3119" ht="13.75" customHeight="1">
      <c r="A3119" t="s" s="834">
        <v>2145</v>
      </c>
      <c r="B3119" t="s" s="834">
        <v>2146</v>
      </c>
      <c r="C3119" t="s" s="834">
        <v>530</v>
      </c>
      <c r="D3119" s="570"/>
      <c r="E3119" s="570"/>
      <c r="F3119" s="570"/>
      <c r="G3119" s="570"/>
      <c r="H3119" s="570"/>
      <c r="I3119" s="570"/>
      <c r="J3119" s="570"/>
      <c r="K3119" s="570"/>
    </row>
    <row r="3120" ht="13.75" customHeight="1">
      <c r="A3120" s="833">
        <v>150</v>
      </c>
      <c r="B3120" t="s" s="834">
        <v>2132</v>
      </c>
      <c r="C3120" t="s" s="834">
        <v>1702</v>
      </c>
      <c r="D3120" s="835">
        <v>46037</v>
      </c>
      <c r="E3120" s="836">
        <v>1.349016203703704</v>
      </c>
      <c r="F3120" s="836">
        <v>1.691759259259259</v>
      </c>
      <c r="G3120" s="570"/>
      <c r="H3120" s="570"/>
      <c r="I3120" s="570"/>
      <c r="J3120" s="570"/>
      <c r="K3120" s="570"/>
    </row>
    <row r="3121" ht="13.75" customHeight="1">
      <c r="A3121" t="s" s="834">
        <v>2147</v>
      </c>
      <c r="B3121" t="s" s="834">
        <v>2148</v>
      </c>
      <c r="C3121" t="s" s="834">
        <v>974</v>
      </c>
      <c r="D3121" s="570"/>
      <c r="E3121" s="570"/>
      <c r="F3121" s="570"/>
      <c r="G3121" s="570"/>
      <c r="H3121" s="570"/>
      <c r="I3121" s="570"/>
      <c r="J3121" s="570"/>
      <c r="K3121" s="570"/>
    </row>
    <row r="3122" ht="13.75" customHeight="1">
      <c r="A3122" s="833">
        <v>150</v>
      </c>
      <c r="B3122" t="s" s="834">
        <v>2132</v>
      </c>
      <c r="C3122" t="s" s="834">
        <v>1702</v>
      </c>
      <c r="D3122" s="835">
        <v>46038</v>
      </c>
      <c r="E3122" t="s" s="834">
        <v>478</v>
      </c>
      <c r="F3122" t="s" s="834">
        <v>478</v>
      </c>
      <c r="G3122" s="570"/>
      <c r="H3122" s="570"/>
      <c r="I3122" s="570"/>
      <c r="J3122" s="570"/>
      <c r="K3122" s="570"/>
    </row>
    <row r="3123" ht="13.75" customHeight="1">
      <c r="A3123" s="833">
        <v>150</v>
      </c>
      <c r="B3123" t="s" s="834">
        <v>2132</v>
      </c>
      <c r="C3123" t="s" s="834">
        <v>1702</v>
      </c>
      <c r="D3123" s="835">
        <v>46039</v>
      </c>
      <c r="E3123" t="s" s="834">
        <v>478</v>
      </c>
      <c r="F3123" t="s" s="834">
        <v>478</v>
      </c>
      <c r="G3123" s="570"/>
      <c r="H3123" s="570"/>
      <c r="I3123" s="570"/>
      <c r="J3123" s="570"/>
      <c r="K3123" s="570"/>
    </row>
    <row r="3124" ht="13.75" customHeight="1">
      <c r="A3124" s="833">
        <v>150</v>
      </c>
      <c r="B3124" t="s" s="834">
        <v>2132</v>
      </c>
      <c r="C3124" t="s" s="834">
        <v>1702</v>
      </c>
      <c r="D3124" s="835">
        <v>46040</v>
      </c>
      <c r="E3124" t="s" s="834">
        <v>478</v>
      </c>
      <c r="F3124" t="s" s="834">
        <v>478</v>
      </c>
      <c r="G3124" s="570"/>
      <c r="H3124" s="570"/>
      <c r="I3124" s="570"/>
      <c r="J3124" s="570"/>
      <c r="K3124" s="570"/>
    </row>
    <row r="3125" ht="13.75" customHeight="1">
      <c r="A3125" s="833">
        <v>150</v>
      </c>
      <c r="B3125" t="s" s="834">
        <v>2132</v>
      </c>
      <c r="C3125" t="s" s="834">
        <v>1702</v>
      </c>
      <c r="D3125" s="835">
        <v>46041</v>
      </c>
      <c r="E3125" s="836">
        <v>1.348240740740741</v>
      </c>
      <c r="F3125" t="s" s="834">
        <v>478</v>
      </c>
      <c r="G3125" s="570"/>
      <c r="H3125" s="570"/>
      <c r="I3125" s="570"/>
      <c r="J3125" s="570"/>
      <c r="K3125" s="570"/>
    </row>
    <row r="3126" ht="13.75" customHeight="1">
      <c r="A3126" t="s" s="834">
        <v>2149</v>
      </c>
      <c r="B3126" t="s" s="834">
        <v>485</v>
      </c>
      <c r="C3126" t="s" s="834">
        <v>486</v>
      </c>
      <c r="D3126" s="570"/>
      <c r="E3126" s="570"/>
      <c r="F3126" s="570"/>
      <c r="G3126" s="570"/>
      <c r="H3126" s="570"/>
      <c r="I3126" s="570"/>
      <c r="J3126" s="570"/>
      <c r="K3126" s="570"/>
    </row>
    <row r="3127" ht="13.75" customHeight="1">
      <c r="A3127" s="833">
        <v>150</v>
      </c>
      <c r="B3127" t="s" s="834">
        <v>2132</v>
      </c>
      <c r="C3127" t="s" s="834">
        <v>1702</v>
      </c>
      <c r="D3127" s="835">
        <v>46042</v>
      </c>
      <c r="E3127" s="836">
        <v>1.351342592592593</v>
      </c>
      <c r="F3127" s="836">
        <v>1.775891203703704</v>
      </c>
      <c r="G3127" s="570"/>
      <c r="H3127" s="570"/>
      <c r="I3127" s="570"/>
      <c r="J3127" s="570"/>
      <c r="K3127" s="570"/>
    </row>
    <row r="3128" ht="13.75" customHeight="1">
      <c r="A3128" t="s" s="834">
        <v>2150</v>
      </c>
      <c r="B3128" t="s" s="834">
        <v>2151</v>
      </c>
      <c r="C3128" t="s" s="834">
        <v>623</v>
      </c>
      <c r="D3128" s="570"/>
      <c r="E3128" s="570"/>
      <c r="F3128" s="570"/>
      <c r="G3128" s="570"/>
      <c r="H3128" s="570"/>
      <c r="I3128" s="570"/>
      <c r="J3128" s="570"/>
      <c r="K3128" s="570"/>
    </row>
    <row r="3129" ht="13.75" customHeight="1">
      <c r="A3129" s="833">
        <v>150</v>
      </c>
      <c r="B3129" t="s" s="834">
        <v>2132</v>
      </c>
      <c r="C3129" t="s" s="834">
        <v>1702</v>
      </c>
      <c r="D3129" s="835">
        <v>46043</v>
      </c>
      <c r="E3129" s="836">
        <v>1.348321759259259</v>
      </c>
      <c r="F3129" s="836">
        <v>1.770300925925926</v>
      </c>
      <c r="G3129" s="570"/>
      <c r="H3129" s="570"/>
      <c r="I3129" s="570"/>
      <c r="J3129" s="570"/>
      <c r="K3129" s="570"/>
    </row>
    <row r="3130" ht="13.75" customHeight="1">
      <c r="A3130" t="s" s="834">
        <v>2152</v>
      </c>
      <c r="B3130" t="s" s="834">
        <v>2153</v>
      </c>
      <c r="C3130" t="s" s="834">
        <v>926</v>
      </c>
      <c r="D3130" s="570"/>
      <c r="E3130" s="570"/>
      <c r="F3130" s="570"/>
      <c r="G3130" s="570"/>
      <c r="H3130" s="570"/>
      <c r="I3130" s="570"/>
      <c r="J3130" s="570"/>
      <c r="K3130" s="570"/>
    </row>
    <row r="3131" ht="13.75" customHeight="1">
      <c r="A3131" s="833">
        <v>150</v>
      </c>
      <c r="B3131" t="s" s="834">
        <v>2132</v>
      </c>
      <c r="C3131" t="s" s="834">
        <v>1702</v>
      </c>
      <c r="D3131" s="835">
        <v>46044</v>
      </c>
      <c r="E3131" s="836">
        <v>1.352974537037037</v>
      </c>
      <c r="F3131" s="836">
        <v>1.765613425925926</v>
      </c>
      <c r="G3131" s="570"/>
      <c r="H3131" s="570"/>
      <c r="I3131" s="570"/>
      <c r="J3131" s="570"/>
      <c r="K3131" s="570"/>
    </row>
    <row r="3132" ht="13.75" customHeight="1">
      <c r="A3132" t="s" s="834">
        <v>2154</v>
      </c>
      <c r="B3132" t="s" s="834">
        <v>2155</v>
      </c>
      <c r="C3132" t="s" s="834">
        <v>1059</v>
      </c>
      <c r="D3132" s="570"/>
      <c r="E3132" s="570"/>
      <c r="F3132" s="570"/>
      <c r="G3132" s="570"/>
      <c r="H3132" s="570"/>
      <c r="I3132" s="570"/>
      <c r="J3132" s="570"/>
      <c r="K3132" s="570"/>
    </row>
    <row r="3133" ht="13.75" customHeight="1">
      <c r="A3133" s="833">
        <v>150</v>
      </c>
      <c r="B3133" t="s" s="834">
        <v>2132</v>
      </c>
      <c r="C3133" t="s" s="834">
        <v>1702</v>
      </c>
      <c r="D3133" s="835">
        <v>46045</v>
      </c>
      <c r="E3133" t="s" s="834">
        <v>478</v>
      </c>
      <c r="F3133" t="s" s="834">
        <v>478</v>
      </c>
      <c r="G3133" s="570"/>
      <c r="H3133" s="570"/>
      <c r="I3133" s="570"/>
      <c r="J3133" s="570"/>
      <c r="K3133" s="570"/>
    </row>
    <row r="3134" ht="13.75" customHeight="1">
      <c r="A3134" s="833">
        <v>150</v>
      </c>
      <c r="B3134" t="s" s="834">
        <v>2132</v>
      </c>
      <c r="C3134" t="s" s="834">
        <v>1702</v>
      </c>
      <c r="D3134" s="835">
        <v>46046</v>
      </c>
      <c r="E3134" t="s" s="834">
        <v>478</v>
      </c>
      <c r="F3134" t="s" s="834">
        <v>478</v>
      </c>
      <c r="G3134" s="570"/>
      <c r="H3134" s="570"/>
      <c r="I3134" s="570"/>
      <c r="J3134" s="570"/>
      <c r="K3134" s="570"/>
    </row>
    <row r="3135" ht="13.75" customHeight="1">
      <c r="A3135" s="833">
        <v>150</v>
      </c>
      <c r="B3135" t="s" s="834">
        <v>2132</v>
      </c>
      <c r="C3135" t="s" s="834">
        <v>1702</v>
      </c>
      <c r="D3135" s="835">
        <v>46047</v>
      </c>
      <c r="E3135" t="s" s="834">
        <v>478</v>
      </c>
      <c r="F3135" t="s" s="834">
        <v>478</v>
      </c>
      <c r="G3135" s="570"/>
      <c r="H3135" s="570"/>
      <c r="I3135" s="570"/>
      <c r="J3135" s="570"/>
      <c r="K3135" s="570"/>
    </row>
    <row r="3136" ht="13.75" customHeight="1">
      <c r="A3136" s="833">
        <v>150</v>
      </c>
      <c r="B3136" t="s" s="834">
        <v>2132</v>
      </c>
      <c r="C3136" t="s" s="834">
        <v>1702</v>
      </c>
      <c r="D3136" s="835">
        <v>46048</v>
      </c>
      <c r="E3136" s="836">
        <v>1.350219907407407</v>
      </c>
      <c r="F3136" s="836">
        <v>1.763344907407407</v>
      </c>
      <c r="G3136" s="570"/>
      <c r="H3136" s="570"/>
      <c r="I3136" s="570"/>
      <c r="J3136" s="570"/>
      <c r="K3136" s="570"/>
    </row>
    <row r="3137" ht="13.75" customHeight="1">
      <c r="A3137" t="s" s="834">
        <v>2156</v>
      </c>
      <c r="B3137" t="s" s="834">
        <v>2157</v>
      </c>
      <c r="C3137" t="s" s="834">
        <v>586</v>
      </c>
      <c r="D3137" s="570"/>
      <c r="E3137" s="570"/>
      <c r="F3137" s="570"/>
      <c r="G3137" s="570"/>
      <c r="H3137" s="570"/>
      <c r="I3137" s="570"/>
      <c r="J3137" s="570"/>
      <c r="K3137" s="570"/>
    </row>
    <row r="3138" ht="13.75" customHeight="1">
      <c r="A3138" s="833">
        <v>150</v>
      </c>
      <c r="B3138" t="s" s="834">
        <v>2132</v>
      </c>
      <c r="C3138" t="s" s="834">
        <v>1702</v>
      </c>
      <c r="D3138" s="835">
        <v>46049</v>
      </c>
      <c r="E3138" s="836">
        <v>1.352280092592593</v>
      </c>
      <c r="F3138" s="836">
        <v>1.770648148148148</v>
      </c>
      <c r="G3138" s="570"/>
      <c r="H3138" s="570"/>
      <c r="I3138" s="570"/>
      <c r="J3138" s="570"/>
      <c r="K3138" s="570"/>
    </row>
    <row r="3139" ht="13.75" customHeight="1">
      <c r="A3139" t="s" s="834">
        <v>2158</v>
      </c>
      <c r="B3139" t="s" s="834">
        <v>2159</v>
      </c>
      <c r="C3139" t="s" s="834">
        <v>1033</v>
      </c>
      <c r="D3139" s="570"/>
      <c r="E3139" s="570"/>
      <c r="F3139" s="570"/>
      <c r="G3139" s="570"/>
      <c r="H3139" s="570"/>
      <c r="I3139" s="570"/>
      <c r="J3139" s="570"/>
      <c r="K3139" s="570"/>
    </row>
    <row r="3140" ht="13.75" customHeight="1">
      <c r="A3140" s="833">
        <v>150</v>
      </c>
      <c r="B3140" t="s" s="834">
        <v>2132</v>
      </c>
      <c r="C3140" t="s" s="834">
        <v>1702</v>
      </c>
      <c r="D3140" s="835">
        <v>46050</v>
      </c>
      <c r="E3140" t="s" s="834">
        <v>478</v>
      </c>
      <c r="F3140" t="s" s="834">
        <v>478</v>
      </c>
      <c r="G3140" s="570"/>
      <c r="H3140" s="570"/>
      <c r="I3140" s="570"/>
      <c r="J3140" s="570"/>
      <c r="K3140" s="570"/>
    </row>
    <row r="3141" ht="13.75" customHeight="1">
      <c r="A3141" s="833">
        <v>150</v>
      </c>
      <c r="B3141" t="s" s="834">
        <v>2132</v>
      </c>
      <c r="C3141" t="s" s="834">
        <v>1702</v>
      </c>
      <c r="D3141" s="835">
        <v>46051</v>
      </c>
      <c r="E3141" t="s" s="834">
        <v>478</v>
      </c>
      <c r="F3141" t="s" s="834">
        <v>478</v>
      </c>
      <c r="G3141" s="570"/>
      <c r="H3141" s="570"/>
      <c r="I3141" s="570"/>
      <c r="J3141" s="570"/>
      <c r="K3141" s="570"/>
    </row>
    <row r="3142" ht="13.75" customHeight="1">
      <c r="A3142" s="833">
        <v>150</v>
      </c>
      <c r="B3142" t="s" s="834">
        <v>2132</v>
      </c>
      <c r="C3142" t="s" s="834">
        <v>1702</v>
      </c>
      <c r="D3142" s="835">
        <v>46052</v>
      </c>
      <c r="E3142" t="s" s="834">
        <v>478</v>
      </c>
      <c r="F3142" t="s" s="834">
        <v>478</v>
      </c>
      <c r="G3142" s="570"/>
      <c r="H3142" s="570"/>
      <c r="I3142" s="570"/>
      <c r="J3142" s="570"/>
      <c r="K3142" s="570"/>
    </row>
    <row r="3143" ht="13.75" customHeight="1">
      <c r="A3143" s="833">
        <v>150</v>
      </c>
      <c r="B3143" t="s" s="834">
        <v>2132</v>
      </c>
      <c r="C3143" t="s" s="834">
        <v>1702</v>
      </c>
      <c r="D3143" s="835">
        <v>46053</v>
      </c>
      <c r="E3143" t="s" s="834">
        <v>478</v>
      </c>
      <c r="F3143" t="s" s="834">
        <v>478</v>
      </c>
      <c r="G3143" s="570"/>
      <c r="H3143" s="570"/>
      <c r="I3143" s="570"/>
      <c r="J3143" s="570"/>
      <c r="K3143" s="570"/>
    </row>
    <row r="3144" ht="13.75" customHeight="1">
      <c r="A3144" s="833">
        <v>150</v>
      </c>
      <c r="B3144" t="s" s="834">
        <v>2132</v>
      </c>
      <c r="C3144" t="s" s="834">
        <v>1702</v>
      </c>
      <c r="D3144" s="835">
        <v>46054</v>
      </c>
      <c r="E3144" t="s" s="834">
        <v>478</v>
      </c>
      <c r="F3144" t="s" s="834">
        <v>478</v>
      </c>
      <c r="G3144" s="570"/>
      <c r="H3144" s="570"/>
      <c r="I3144" s="570"/>
      <c r="J3144" s="570"/>
      <c r="K3144" s="570"/>
    </row>
    <row r="3145" ht="13.75" customHeight="1">
      <c r="A3145" s="833">
        <v>151</v>
      </c>
      <c r="B3145" t="s" s="834">
        <v>2160</v>
      </c>
      <c r="C3145" t="s" s="834">
        <v>1702</v>
      </c>
      <c r="D3145" s="835">
        <v>46023</v>
      </c>
      <c r="E3145" t="s" s="834">
        <v>478</v>
      </c>
      <c r="F3145" t="s" s="834">
        <v>478</v>
      </c>
      <c r="G3145" s="570"/>
      <c r="H3145" s="570"/>
      <c r="I3145" s="570"/>
      <c r="J3145" s="570"/>
      <c r="K3145" s="570"/>
    </row>
    <row r="3146" ht="13.75" customHeight="1">
      <c r="A3146" s="833">
        <v>151</v>
      </c>
      <c r="B3146" t="s" s="834">
        <v>2160</v>
      </c>
      <c r="C3146" t="s" s="834">
        <v>1702</v>
      </c>
      <c r="D3146" s="835">
        <v>46024</v>
      </c>
      <c r="E3146" s="836">
        <v>1.537511574074074</v>
      </c>
      <c r="F3146" s="836">
        <v>1.830439814814815</v>
      </c>
      <c r="G3146" s="570"/>
      <c r="H3146" s="570"/>
      <c r="I3146" s="570"/>
      <c r="J3146" s="570"/>
      <c r="K3146" s="570"/>
    </row>
    <row r="3147" ht="13.75" customHeight="1">
      <c r="A3147" t="s" s="834">
        <v>2161</v>
      </c>
      <c r="B3147" t="s" s="834">
        <v>2162</v>
      </c>
      <c r="C3147" t="s" s="834">
        <v>2163</v>
      </c>
      <c r="D3147" s="570"/>
      <c r="E3147" s="570"/>
      <c r="F3147" s="570"/>
      <c r="G3147" s="570"/>
      <c r="H3147" s="570"/>
      <c r="I3147" s="570"/>
      <c r="J3147" s="570"/>
      <c r="K3147" s="570"/>
    </row>
    <row r="3148" ht="13.75" customHeight="1">
      <c r="A3148" s="833">
        <v>151</v>
      </c>
      <c r="B3148" t="s" s="834">
        <v>2160</v>
      </c>
      <c r="C3148" t="s" s="834">
        <v>1702</v>
      </c>
      <c r="D3148" s="835">
        <v>46025</v>
      </c>
      <c r="E3148" t="s" s="834">
        <v>478</v>
      </c>
      <c r="F3148" t="s" s="834">
        <v>478</v>
      </c>
      <c r="G3148" s="570"/>
      <c r="H3148" s="570"/>
      <c r="I3148" s="570"/>
      <c r="J3148" s="570"/>
      <c r="K3148" s="570"/>
    </row>
    <row r="3149" ht="13.75" customHeight="1">
      <c r="A3149" s="833">
        <v>151</v>
      </c>
      <c r="B3149" t="s" s="834">
        <v>2160</v>
      </c>
      <c r="C3149" t="s" s="834">
        <v>1702</v>
      </c>
      <c r="D3149" s="835">
        <v>46026</v>
      </c>
      <c r="E3149" t="s" s="834">
        <v>478</v>
      </c>
      <c r="F3149" t="s" s="834">
        <v>478</v>
      </c>
      <c r="G3149" s="570"/>
      <c r="H3149" s="570"/>
      <c r="I3149" s="570"/>
      <c r="J3149" s="570"/>
      <c r="K3149" s="570"/>
    </row>
    <row r="3150" ht="13.75" customHeight="1">
      <c r="A3150" s="833">
        <v>151</v>
      </c>
      <c r="B3150" t="s" s="834">
        <v>2160</v>
      </c>
      <c r="C3150" t="s" s="834">
        <v>1702</v>
      </c>
      <c r="D3150" s="835">
        <v>46027</v>
      </c>
      <c r="E3150" s="836">
        <v>1.375289351851852</v>
      </c>
      <c r="F3150" s="836">
        <v>1.80912037037037</v>
      </c>
      <c r="G3150" s="570"/>
      <c r="H3150" s="570"/>
      <c r="I3150" s="570"/>
      <c r="J3150" s="570"/>
      <c r="K3150" s="570"/>
    </row>
    <row r="3151" ht="13.75" customHeight="1">
      <c r="A3151" t="s" s="834">
        <v>2164</v>
      </c>
      <c r="B3151" t="s" s="834">
        <v>2165</v>
      </c>
      <c r="C3151" t="s" s="834">
        <v>895</v>
      </c>
      <c r="D3151" s="570"/>
      <c r="E3151" s="570"/>
      <c r="F3151" s="570"/>
      <c r="G3151" s="570"/>
      <c r="H3151" s="570"/>
      <c r="I3151" s="570"/>
      <c r="J3151" s="570"/>
      <c r="K3151" s="570"/>
    </row>
    <row r="3152" ht="13.75" customHeight="1">
      <c r="A3152" s="833">
        <v>151</v>
      </c>
      <c r="B3152" t="s" s="834">
        <v>2160</v>
      </c>
      <c r="C3152" t="s" s="834">
        <v>1702</v>
      </c>
      <c r="D3152" s="835">
        <v>46028</v>
      </c>
      <c r="E3152" s="836">
        <v>1.380590277777778</v>
      </c>
      <c r="F3152" s="836">
        <v>1.883009259259259</v>
      </c>
      <c r="G3152" s="570"/>
      <c r="H3152" s="570"/>
      <c r="I3152" s="570"/>
      <c r="J3152" s="570"/>
      <c r="K3152" s="570"/>
    </row>
    <row r="3153" ht="13.75" customHeight="1">
      <c r="A3153" t="s" s="834">
        <v>2166</v>
      </c>
      <c r="B3153" t="s" s="834">
        <v>2167</v>
      </c>
      <c r="C3153" t="s" s="834">
        <v>2168</v>
      </c>
      <c r="D3153" s="570"/>
      <c r="E3153" s="570"/>
      <c r="F3153" s="570"/>
      <c r="G3153" s="570"/>
      <c r="H3153" s="570"/>
      <c r="I3153" s="570"/>
      <c r="J3153" s="570"/>
      <c r="K3153" s="570"/>
    </row>
    <row r="3154" ht="13.75" customHeight="1">
      <c r="A3154" s="833">
        <v>151</v>
      </c>
      <c r="B3154" t="s" s="834">
        <v>2160</v>
      </c>
      <c r="C3154" t="s" s="834">
        <v>1702</v>
      </c>
      <c r="D3154" s="835">
        <v>46029</v>
      </c>
      <c r="E3154" s="836">
        <v>1.375069444444444</v>
      </c>
      <c r="F3154" s="836">
        <v>1.831423611111111</v>
      </c>
      <c r="G3154" s="570"/>
      <c r="H3154" s="570"/>
      <c r="I3154" s="570"/>
      <c r="J3154" s="570"/>
      <c r="K3154" s="570"/>
    </row>
    <row r="3155" ht="13.75" customHeight="1">
      <c r="A3155" t="s" s="834">
        <v>2169</v>
      </c>
      <c r="B3155" t="s" s="834">
        <v>2170</v>
      </c>
      <c r="C3155" t="s" s="834">
        <v>2171</v>
      </c>
      <c r="D3155" s="570"/>
      <c r="E3155" s="570"/>
      <c r="F3155" s="570"/>
      <c r="G3155" s="570"/>
      <c r="H3155" s="570"/>
      <c r="I3155" s="570"/>
      <c r="J3155" s="570"/>
      <c r="K3155" s="570"/>
    </row>
    <row r="3156" ht="13.75" customHeight="1">
      <c r="A3156" s="833">
        <v>151</v>
      </c>
      <c r="B3156" t="s" s="834">
        <v>2160</v>
      </c>
      <c r="C3156" t="s" s="834">
        <v>1702</v>
      </c>
      <c r="D3156" s="835">
        <v>46030</v>
      </c>
      <c r="E3156" s="836">
        <v>1.384548611111111</v>
      </c>
      <c r="F3156" s="836">
        <v>1.858229166666667</v>
      </c>
      <c r="G3156" s="570"/>
      <c r="H3156" s="570"/>
      <c r="I3156" s="570"/>
      <c r="J3156" s="570"/>
      <c r="K3156" s="570"/>
    </row>
    <row r="3157" ht="13.75" customHeight="1">
      <c r="A3157" t="s" s="834">
        <v>2172</v>
      </c>
      <c r="B3157" t="s" s="834">
        <v>2173</v>
      </c>
      <c r="C3157" t="s" s="834">
        <v>1038</v>
      </c>
      <c r="D3157" s="570"/>
      <c r="E3157" s="570"/>
      <c r="F3157" s="570"/>
      <c r="G3157" s="570"/>
      <c r="H3157" s="570"/>
      <c r="I3157" s="570"/>
      <c r="J3157" s="570"/>
      <c r="K3157" s="570"/>
    </row>
    <row r="3158" ht="13.75" customHeight="1">
      <c r="A3158" s="833">
        <v>151</v>
      </c>
      <c r="B3158" t="s" s="834">
        <v>2160</v>
      </c>
      <c r="C3158" t="s" s="834">
        <v>1702</v>
      </c>
      <c r="D3158" s="835">
        <v>46031</v>
      </c>
      <c r="E3158" s="836">
        <v>1.386759259259259</v>
      </c>
      <c r="F3158" s="836">
        <v>1.769664351851852</v>
      </c>
      <c r="G3158" s="570"/>
      <c r="H3158" s="570"/>
      <c r="I3158" s="570"/>
      <c r="J3158" s="570"/>
      <c r="K3158" s="570"/>
    </row>
    <row r="3159" ht="13.75" customHeight="1">
      <c r="A3159" t="s" s="834">
        <v>2174</v>
      </c>
      <c r="B3159" t="s" s="834">
        <v>2175</v>
      </c>
      <c r="C3159" t="s" s="834">
        <v>540</v>
      </c>
      <c r="D3159" s="570"/>
      <c r="E3159" s="570"/>
      <c r="F3159" s="570"/>
      <c r="G3159" s="570"/>
      <c r="H3159" s="570"/>
      <c r="I3159" s="570"/>
      <c r="J3159" s="570"/>
      <c r="K3159" s="570"/>
    </row>
    <row r="3160" ht="13.75" customHeight="1">
      <c r="A3160" s="833">
        <v>151</v>
      </c>
      <c r="B3160" t="s" s="834">
        <v>2160</v>
      </c>
      <c r="C3160" t="s" s="834">
        <v>1702</v>
      </c>
      <c r="D3160" s="835">
        <v>46032</v>
      </c>
      <c r="E3160" s="836">
        <v>1.785324074074074</v>
      </c>
      <c r="F3160" s="836">
        <v>1.975208333333333</v>
      </c>
      <c r="G3160" s="570"/>
      <c r="H3160" s="570"/>
      <c r="I3160" s="570"/>
      <c r="J3160" s="570"/>
      <c r="K3160" s="570"/>
    </row>
    <row r="3161" ht="13.75" customHeight="1">
      <c r="A3161" t="s" s="834">
        <v>2176</v>
      </c>
      <c r="B3161" t="s" s="834">
        <v>2177</v>
      </c>
      <c r="C3161" t="s" s="834">
        <v>2178</v>
      </c>
      <c r="D3161" s="570"/>
      <c r="E3161" s="570"/>
      <c r="F3161" s="570"/>
      <c r="G3161" s="570"/>
      <c r="H3161" s="570"/>
      <c r="I3161" s="570"/>
      <c r="J3161" s="570"/>
      <c r="K3161" s="570"/>
    </row>
    <row r="3162" ht="13.75" customHeight="1">
      <c r="A3162" s="833">
        <v>151</v>
      </c>
      <c r="B3162" t="s" s="834">
        <v>2160</v>
      </c>
      <c r="C3162" t="s" s="834">
        <v>1702</v>
      </c>
      <c r="D3162" s="835">
        <v>46033</v>
      </c>
      <c r="E3162" t="s" s="834">
        <v>478</v>
      </c>
      <c r="F3162" t="s" s="834">
        <v>478</v>
      </c>
      <c r="G3162" s="570"/>
      <c r="H3162" s="570"/>
      <c r="I3162" s="570"/>
      <c r="J3162" s="570"/>
      <c r="K3162" s="570"/>
    </row>
    <row r="3163" ht="13.75" customHeight="1">
      <c r="A3163" s="833">
        <v>151</v>
      </c>
      <c r="B3163" t="s" s="834">
        <v>2160</v>
      </c>
      <c r="C3163" t="s" s="834">
        <v>1702</v>
      </c>
      <c r="D3163" s="835">
        <v>46034</v>
      </c>
      <c r="E3163" s="836">
        <v>1.374444444444444</v>
      </c>
      <c r="F3163" s="836">
        <v>1.902731481481482</v>
      </c>
      <c r="G3163" s="570"/>
      <c r="H3163" s="570"/>
      <c r="I3163" s="570"/>
      <c r="J3163" s="570"/>
      <c r="K3163" s="570"/>
    </row>
    <row r="3164" ht="13.75" customHeight="1">
      <c r="A3164" t="s" s="834">
        <v>2179</v>
      </c>
      <c r="B3164" t="s" s="834">
        <v>2180</v>
      </c>
      <c r="C3164" t="s" s="834">
        <v>2181</v>
      </c>
      <c r="D3164" s="570"/>
      <c r="E3164" s="570"/>
      <c r="F3164" s="570"/>
      <c r="G3164" s="570"/>
      <c r="H3164" s="570"/>
      <c r="I3164" s="570"/>
      <c r="J3164" s="570"/>
      <c r="K3164" s="570"/>
    </row>
    <row r="3165" ht="13.75" customHeight="1">
      <c r="A3165" s="833">
        <v>151</v>
      </c>
      <c r="B3165" t="s" s="834">
        <v>2160</v>
      </c>
      <c r="C3165" t="s" s="834">
        <v>1702</v>
      </c>
      <c r="D3165" s="835">
        <v>46035</v>
      </c>
      <c r="E3165" s="836">
        <v>1.376655092592593</v>
      </c>
      <c r="F3165" s="836">
        <v>1.920659722222222</v>
      </c>
      <c r="G3165" s="570"/>
      <c r="H3165" s="570"/>
      <c r="I3165" s="570"/>
      <c r="J3165" s="570"/>
      <c r="K3165" s="570"/>
    </row>
    <row r="3166" ht="13.75" customHeight="1">
      <c r="A3166" t="s" s="834">
        <v>2182</v>
      </c>
      <c r="B3166" t="s" s="834">
        <v>2183</v>
      </c>
      <c r="C3166" t="s" s="834">
        <v>2184</v>
      </c>
      <c r="D3166" s="570"/>
      <c r="E3166" s="570"/>
      <c r="F3166" s="570"/>
      <c r="G3166" s="570"/>
      <c r="H3166" s="570"/>
      <c r="I3166" s="570"/>
      <c r="J3166" s="570"/>
      <c r="K3166" s="570"/>
    </row>
    <row r="3167" ht="13.75" customHeight="1">
      <c r="A3167" s="833">
        <v>151</v>
      </c>
      <c r="B3167" t="s" s="834">
        <v>2160</v>
      </c>
      <c r="C3167" t="s" s="834">
        <v>1702</v>
      </c>
      <c r="D3167" s="835">
        <v>46036</v>
      </c>
      <c r="E3167" s="836">
        <v>1.375162037037037</v>
      </c>
      <c r="F3167" t="s" s="834">
        <v>478</v>
      </c>
      <c r="G3167" s="570"/>
      <c r="H3167" s="570"/>
      <c r="I3167" s="570"/>
      <c r="J3167" s="570"/>
      <c r="K3167" s="570"/>
    </row>
    <row r="3168" ht="13.75" customHeight="1">
      <c r="A3168" t="s" s="834">
        <v>2185</v>
      </c>
      <c r="B3168" t="s" s="834">
        <v>485</v>
      </c>
      <c r="C3168" t="s" s="834">
        <v>486</v>
      </c>
      <c r="D3168" s="570"/>
      <c r="E3168" s="570"/>
      <c r="F3168" s="570"/>
      <c r="G3168" s="570"/>
      <c r="H3168" s="570"/>
      <c r="I3168" s="570"/>
      <c r="J3168" s="570"/>
      <c r="K3168" s="570"/>
    </row>
    <row r="3169" ht="13.75" customHeight="1">
      <c r="A3169" s="833">
        <v>151</v>
      </c>
      <c r="B3169" t="s" s="834">
        <v>2160</v>
      </c>
      <c r="C3169" t="s" s="834">
        <v>1702</v>
      </c>
      <c r="D3169" s="835">
        <v>46037</v>
      </c>
      <c r="E3169" s="836">
        <v>1.387025462962963</v>
      </c>
      <c r="F3169" s="836">
        <v>1.92599537037037</v>
      </c>
      <c r="G3169" s="570"/>
      <c r="H3169" s="570"/>
      <c r="I3169" s="570"/>
      <c r="J3169" s="570"/>
      <c r="K3169" s="570"/>
    </row>
    <row r="3170" ht="13.75" customHeight="1">
      <c r="A3170" t="s" s="834">
        <v>2186</v>
      </c>
      <c r="B3170" t="s" s="834">
        <v>2187</v>
      </c>
      <c r="C3170" t="s" s="834">
        <v>2188</v>
      </c>
      <c r="D3170" s="570"/>
      <c r="E3170" s="570"/>
      <c r="F3170" s="570"/>
      <c r="G3170" s="570"/>
      <c r="H3170" s="570"/>
      <c r="I3170" s="570"/>
      <c r="J3170" s="570"/>
      <c r="K3170" s="570"/>
    </row>
    <row r="3171" ht="13.75" customHeight="1">
      <c r="A3171" s="833">
        <v>151</v>
      </c>
      <c r="B3171" t="s" s="834">
        <v>2160</v>
      </c>
      <c r="C3171" t="s" s="834">
        <v>1702</v>
      </c>
      <c r="D3171" s="835">
        <v>46038</v>
      </c>
      <c r="E3171" s="836">
        <v>1.746412037037037</v>
      </c>
      <c r="F3171" s="836">
        <v>1.746435185185185</v>
      </c>
      <c r="G3171" s="570"/>
      <c r="H3171" s="570"/>
      <c r="I3171" s="570"/>
      <c r="J3171" s="570"/>
      <c r="K3171" s="570"/>
    </row>
    <row r="3172" ht="13.75" customHeight="1">
      <c r="A3172" t="s" s="834">
        <v>2189</v>
      </c>
      <c r="B3172" t="s" s="834">
        <v>2190</v>
      </c>
      <c r="C3172" t="s" s="834">
        <v>486</v>
      </c>
      <c r="D3172" s="570"/>
      <c r="E3172" s="570"/>
      <c r="F3172" s="570"/>
      <c r="G3172" s="570"/>
      <c r="H3172" s="570"/>
      <c r="I3172" s="570"/>
      <c r="J3172" s="570"/>
      <c r="K3172" s="570"/>
    </row>
    <row r="3173" ht="13.75" customHeight="1">
      <c r="A3173" s="833">
        <v>151</v>
      </c>
      <c r="B3173" t="s" s="834">
        <v>2160</v>
      </c>
      <c r="C3173" t="s" s="834">
        <v>1702</v>
      </c>
      <c r="D3173" s="835">
        <v>46039</v>
      </c>
      <c r="E3173" s="836">
        <v>1.498148148148148</v>
      </c>
      <c r="F3173" s="836">
        <v>1.882291666666667</v>
      </c>
      <c r="G3173" s="570"/>
      <c r="H3173" s="570"/>
      <c r="I3173" s="570"/>
      <c r="J3173" s="570"/>
      <c r="K3173" s="570"/>
    </row>
    <row r="3174" ht="13.75" customHeight="1">
      <c r="A3174" t="s" s="834">
        <v>2191</v>
      </c>
      <c r="B3174" t="s" s="834">
        <v>2192</v>
      </c>
      <c r="C3174" t="s" s="834">
        <v>984</v>
      </c>
      <c r="D3174" s="570"/>
      <c r="E3174" s="570"/>
      <c r="F3174" s="570"/>
      <c r="G3174" s="570"/>
      <c r="H3174" s="570"/>
      <c r="I3174" s="570"/>
      <c r="J3174" s="570"/>
      <c r="K3174" s="570"/>
    </row>
    <row r="3175" ht="13.75" customHeight="1">
      <c r="A3175" s="833">
        <v>151</v>
      </c>
      <c r="B3175" t="s" s="834">
        <v>2160</v>
      </c>
      <c r="C3175" t="s" s="834">
        <v>1702</v>
      </c>
      <c r="D3175" s="835">
        <v>46040</v>
      </c>
      <c r="E3175" t="s" s="834">
        <v>478</v>
      </c>
      <c r="F3175" t="s" s="834">
        <v>478</v>
      </c>
      <c r="G3175" s="570"/>
      <c r="H3175" s="570"/>
      <c r="I3175" s="570"/>
      <c r="J3175" s="570"/>
      <c r="K3175" s="570"/>
    </row>
    <row r="3176" ht="13.75" customHeight="1">
      <c r="A3176" s="833">
        <v>151</v>
      </c>
      <c r="B3176" t="s" s="834">
        <v>2160</v>
      </c>
      <c r="C3176" t="s" s="834">
        <v>1702</v>
      </c>
      <c r="D3176" s="835">
        <v>46041</v>
      </c>
      <c r="E3176" s="836">
        <v>1.384884259259259</v>
      </c>
      <c r="F3176" s="836">
        <v>1.852569444444444</v>
      </c>
      <c r="G3176" s="570"/>
      <c r="H3176" s="570"/>
      <c r="I3176" s="570"/>
      <c r="J3176" s="570"/>
      <c r="K3176" s="570"/>
    </row>
    <row r="3177" ht="13.75" customHeight="1">
      <c r="A3177" t="s" s="834">
        <v>2193</v>
      </c>
      <c r="B3177" t="s" s="834">
        <v>2194</v>
      </c>
      <c r="C3177" t="s" s="834">
        <v>2195</v>
      </c>
      <c r="D3177" s="570"/>
      <c r="E3177" s="570"/>
      <c r="F3177" s="570"/>
      <c r="G3177" s="570"/>
      <c r="H3177" s="570"/>
      <c r="I3177" s="570"/>
      <c r="J3177" s="570"/>
      <c r="K3177" s="570"/>
    </row>
    <row r="3178" ht="13.75" customHeight="1">
      <c r="A3178" s="833">
        <v>151</v>
      </c>
      <c r="B3178" t="s" s="834">
        <v>2160</v>
      </c>
      <c r="C3178" t="s" s="834">
        <v>1702</v>
      </c>
      <c r="D3178" s="835">
        <v>46042</v>
      </c>
      <c r="E3178" s="836">
        <v>1.379803240740741</v>
      </c>
      <c r="F3178" s="836">
        <v>1.866701388888889</v>
      </c>
      <c r="G3178" s="570"/>
      <c r="H3178" s="570"/>
      <c r="I3178" s="570"/>
      <c r="J3178" s="570"/>
      <c r="K3178" s="570"/>
    </row>
    <row r="3179" ht="13.75" customHeight="1">
      <c r="A3179" t="s" s="834">
        <v>2196</v>
      </c>
      <c r="B3179" t="s" s="834">
        <v>2197</v>
      </c>
      <c r="C3179" t="s" s="834">
        <v>2198</v>
      </c>
      <c r="D3179" s="570"/>
      <c r="E3179" s="570"/>
      <c r="F3179" s="570"/>
      <c r="G3179" s="570"/>
      <c r="H3179" s="570"/>
      <c r="I3179" s="570"/>
      <c r="J3179" s="570"/>
      <c r="K3179" s="570"/>
    </row>
    <row r="3180" ht="13.75" customHeight="1">
      <c r="A3180" s="833">
        <v>151</v>
      </c>
      <c r="B3180" t="s" s="834">
        <v>2160</v>
      </c>
      <c r="C3180" t="s" s="834">
        <v>1702</v>
      </c>
      <c r="D3180" s="835">
        <v>46043</v>
      </c>
      <c r="E3180" s="836">
        <v>1.387071759259259</v>
      </c>
      <c r="F3180" s="836">
        <v>1.802152777777778</v>
      </c>
      <c r="G3180" s="570"/>
      <c r="H3180" s="570"/>
      <c r="I3180" s="570"/>
      <c r="J3180" s="570"/>
      <c r="K3180" s="570"/>
    </row>
    <row r="3181" ht="13.75" customHeight="1">
      <c r="A3181" t="s" s="834">
        <v>2199</v>
      </c>
      <c r="B3181" t="s" s="834">
        <v>2200</v>
      </c>
      <c r="C3181" t="s" s="834">
        <v>1124</v>
      </c>
      <c r="D3181" s="570"/>
      <c r="E3181" s="570"/>
      <c r="F3181" s="570"/>
      <c r="G3181" s="570"/>
      <c r="H3181" s="570"/>
      <c r="I3181" s="570"/>
      <c r="J3181" s="570"/>
      <c r="K3181" s="570"/>
    </row>
    <row r="3182" ht="13.75" customHeight="1">
      <c r="A3182" s="833">
        <v>151</v>
      </c>
      <c r="B3182" t="s" s="834">
        <v>2160</v>
      </c>
      <c r="C3182" t="s" s="834">
        <v>1702</v>
      </c>
      <c r="D3182" s="835">
        <v>46044</v>
      </c>
      <c r="E3182" s="836">
        <v>1.374814814814815</v>
      </c>
      <c r="F3182" t="s" s="834">
        <v>478</v>
      </c>
      <c r="G3182" s="570"/>
      <c r="H3182" s="570"/>
      <c r="I3182" s="570"/>
      <c r="J3182" s="570"/>
      <c r="K3182" s="570"/>
    </row>
    <row r="3183" ht="13.75" customHeight="1">
      <c r="A3183" t="s" s="834">
        <v>2201</v>
      </c>
      <c r="B3183" t="s" s="834">
        <v>485</v>
      </c>
      <c r="C3183" t="s" s="834">
        <v>486</v>
      </c>
      <c r="D3183" s="570"/>
      <c r="E3183" s="570"/>
      <c r="F3183" s="570"/>
      <c r="G3183" s="570"/>
      <c r="H3183" s="570"/>
      <c r="I3183" s="570"/>
      <c r="J3183" s="570"/>
      <c r="K3183" s="570"/>
    </row>
    <row r="3184" ht="13.75" customHeight="1">
      <c r="A3184" s="833">
        <v>151</v>
      </c>
      <c r="B3184" t="s" s="834">
        <v>2160</v>
      </c>
      <c r="C3184" t="s" s="834">
        <v>1702</v>
      </c>
      <c r="D3184" s="835">
        <v>46045</v>
      </c>
      <c r="E3184" s="836">
        <v>1.536076388888889</v>
      </c>
      <c r="F3184" s="836">
        <v>1.804699074074074</v>
      </c>
      <c r="G3184" s="570"/>
      <c r="H3184" s="570"/>
      <c r="I3184" s="570"/>
      <c r="J3184" s="570"/>
      <c r="K3184" s="570"/>
    </row>
    <row r="3185" ht="13.75" customHeight="1">
      <c r="A3185" t="s" s="834">
        <v>2202</v>
      </c>
      <c r="B3185" t="s" s="834">
        <v>2203</v>
      </c>
      <c r="C3185" t="s" s="834">
        <v>2204</v>
      </c>
      <c r="D3185" s="570"/>
      <c r="E3185" s="570"/>
      <c r="F3185" s="570"/>
      <c r="G3185" s="570"/>
      <c r="H3185" s="570"/>
      <c r="I3185" s="570"/>
      <c r="J3185" s="570"/>
      <c r="K3185" s="570"/>
    </row>
    <row r="3186" ht="13.75" customHeight="1">
      <c r="A3186" s="833">
        <v>151</v>
      </c>
      <c r="B3186" t="s" s="834">
        <v>2160</v>
      </c>
      <c r="C3186" t="s" s="834">
        <v>1702</v>
      </c>
      <c r="D3186" s="835">
        <v>46046</v>
      </c>
      <c r="E3186" s="836">
        <v>1.598414351851852</v>
      </c>
      <c r="F3186" s="836">
        <v>1.598460648148148</v>
      </c>
      <c r="G3186" s="570"/>
      <c r="H3186" s="570"/>
      <c r="I3186" s="570"/>
      <c r="J3186" s="570"/>
      <c r="K3186" s="570"/>
    </row>
    <row r="3187" ht="13.75" customHeight="1">
      <c r="A3187" t="s" s="834">
        <v>2205</v>
      </c>
      <c r="B3187" t="s" s="834">
        <v>2206</v>
      </c>
      <c r="C3187" t="s" s="834">
        <v>486</v>
      </c>
      <c r="D3187" s="570"/>
      <c r="E3187" s="570"/>
      <c r="F3187" s="570"/>
      <c r="G3187" s="570"/>
      <c r="H3187" s="570"/>
      <c r="I3187" s="570"/>
      <c r="J3187" s="570"/>
      <c r="K3187" s="570"/>
    </row>
    <row r="3188" ht="13.75" customHeight="1">
      <c r="A3188" s="833">
        <v>151</v>
      </c>
      <c r="B3188" t="s" s="834">
        <v>2160</v>
      </c>
      <c r="C3188" t="s" s="834">
        <v>1702</v>
      </c>
      <c r="D3188" s="835">
        <v>46047</v>
      </c>
      <c r="E3188" t="s" s="834">
        <v>478</v>
      </c>
      <c r="F3188" t="s" s="834">
        <v>478</v>
      </c>
      <c r="G3188" s="570"/>
      <c r="H3188" s="570"/>
      <c r="I3188" s="570"/>
      <c r="J3188" s="570"/>
      <c r="K3188" s="570"/>
    </row>
    <row r="3189" ht="13.75" customHeight="1">
      <c r="A3189" s="833">
        <v>151</v>
      </c>
      <c r="B3189" t="s" s="834">
        <v>2160</v>
      </c>
      <c r="C3189" t="s" s="834">
        <v>1702</v>
      </c>
      <c r="D3189" s="835">
        <v>46048</v>
      </c>
      <c r="E3189" s="836">
        <v>1.374803240740741</v>
      </c>
      <c r="F3189" s="836">
        <v>1.812280092592593</v>
      </c>
      <c r="G3189" s="570"/>
      <c r="H3189" s="570"/>
      <c r="I3189" s="570"/>
      <c r="J3189" s="570"/>
      <c r="K3189" s="570"/>
    </row>
    <row r="3190" ht="13.75" customHeight="1">
      <c r="A3190" t="s" s="834">
        <v>2207</v>
      </c>
      <c r="B3190" t="s" s="834">
        <v>2208</v>
      </c>
      <c r="C3190" t="s" s="834">
        <v>1901</v>
      </c>
      <c r="D3190" s="570"/>
      <c r="E3190" s="570"/>
      <c r="F3190" s="570"/>
      <c r="G3190" s="570"/>
      <c r="H3190" s="570"/>
      <c r="I3190" s="570"/>
      <c r="J3190" s="570"/>
      <c r="K3190" s="570"/>
    </row>
    <row r="3191" ht="13.75" customHeight="1">
      <c r="A3191" s="833">
        <v>151</v>
      </c>
      <c r="B3191" t="s" s="834">
        <v>2160</v>
      </c>
      <c r="C3191" t="s" s="834">
        <v>1702</v>
      </c>
      <c r="D3191" s="835">
        <v>46049</v>
      </c>
      <c r="E3191" s="836">
        <v>1.383831018518519</v>
      </c>
      <c r="F3191" s="836">
        <v>1.850208333333333</v>
      </c>
      <c r="G3191" s="570"/>
      <c r="H3191" s="570"/>
      <c r="I3191" s="570"/>
      <c r="J3191" s="570"/>
      <c r="K3191" s="570"/>
    </row>
    <row r="3192" ht="13.75" customHeight="1">
      <c r="A3192" t="s" s="834">
        <v>2209</v>
      </c>
      <c r="B3192" t="s" s="834">
        <v>2210</v>
      </c>
      <c r="C3192" t="s" s="834">
        <v>2211</v>
      </c>
      <c r="D3192" s="570"/>
      <c r="E3192" s="570"/>
      <c r="F3192" s="570"/>
      <c r="G3192" s="570"/>
      <c r="H3192" s="570"/>
      <c r="I3192" s="570"/>
      <c r="J3192" s="570"/>
      <c r="K3192" s="570"/>
    </row>
    <row r="3193" ht="13.75" customHeight="1">
      <c r="A3193" s="833">
        <v>151</v>
      </c>
      <c r="B3193" t="s" s="834">
        <v>2160</v>
      </c>
      <c r="C3193" t="s" s="834">
        <v>1702</v>
      </c>
      <c r="D3193" s="835">
        <v>46050</v>
      </c>
      <c r="E3193" s="836">
        <v>1.370543981481481</v>
      </c>
      <c r="F3193" s="836">
        <v>1.871516203703704</v>
      </c>
      <c r="G3193" s="570"/>
      <c r="H3193" s="570"/>
      <c r="I3193" s="570"/>
      <c r="J3193" s="570"/>
      <c r="K3193" s="570"/>
    </row>
    <row r="3194" ht="13.75" customHeight="1">
      <c r="A3194" t="s" s="834">
        <v>2212</v>
      </c>
      <c r="B3194" t="s" s="834">
        <v>2213</v>
      </c>
      <c r="C3194" t="s" s="834">
        <v>2214</v>
      </c>
      <c r="D3194" s="570"/>
      <c r="E3194" s="570"/>
      <c r="F3194" s="570"/>
      <c r="G3194" s="570"/>
      <c r="H3194" s="570"/>
      <c r="I3194" s="570"/>
      <c r="J3194" s="570"/>
      <c r="K3194" s="570"/>
    </row>
    <row r="3195" ht="13.75" customHeight="1">
      <c r="A3195" s="833">
        <v>151</v>
      </c>
      <c r="B3195" t="s" s="834">
        <v>2160</v>
      </c>
      <c r="C3195" t="s" s="834">
        <v>1702</v>
      </c>
      <c r="D3195" s="835">
        <v>46051</v>
      </c>
      <c r="E3195" s="836">
        <v>1.386168981481481</v>
      </c>
      <c r="F3195" s="836">
        <v>1.897511574074074</v>
      </c>
      <c r="G3195" s="570"/>
      <c r="H3195" s="570"/>
      <c r="I3195" s="570"/>
      <c r="J3195" s="570"/>
      <c r="K3195" s="570"/>
    </row>
    <row r="3196" ht="13.75" customHeight="1">
      <c r="A3196" t="s" s="834">
        <v>2215</v>
      </c>
      <c r="B3196" t="s" s="834">
        <v>2216</v>
      </c>
      <c r="C3196" t="s" s="834">
        <v>2217</v>
      </c>
      <c r="D3196" s="570"/>
      <c r="E3196" s="570"/>
      <c r="F3196" s="570"/>
      <c r="G3196" s="570"/>
      <c r="H3196" s="570"/>
      <c r="I3196" s="570"/>
      <c r="J3196" s="570"/>
      <c r="K3196" s="570"/>
    </row>
    <row r="3197" ht="13.75" customHeight="1">
      <c r="A3197" s="833">
        <v>151</v>
      </c>
      <c r="B3197" t="s" s="834">
        <v>2160</v>
      </c>
      <c r="C3197" t="s" s="834">
        <v>1702</v>
      </c>
      <c r="D3197" s="835">
        <v>46052</v>
      </c>
      <c r="E3197" s="836">
        <v>1.920081018518518</v>
      </c>
      <c r="F3197" s="836">
        <v>1.920219907407407</v>
      </c>
      <c r="G3197" s="570"/>
      <c r="H3197" s="570"/>
      <c r="I3197" s="570"/>
      <c r="J3197" s="570"/>
      <c r="K3197" s="570"/>
    </row>
    <row r="3198" ht="13.75" customHeight="1">
      <c r="A3198" t="s" s="834">
        <v>2218</v>
      </c>
      <c r="B3198" t="s" s="834">
        <v>2219</v>
      </c>
      <c r="C3198" t="s" s="834">
        <v>486</v>
      </c>
      <c r="D3198" s="570"/>
      <c r="E3198" s="570"/>
      <c r="F3198" s="570"/>
      <c r="G3198" s="570"/>
      <c r="H3198" s="570"/>
      <c r="I3198" s="570"/>
      <c r="J3198" s="570"/>
      <c r="K3198" s="570"/>
    </row>
    <row r="3199" ht="13.75" customHeight="1">
      <c r="A3199" s="833">
        <v>151</v>
      </c>
      <c r="B3199" t="s" s="834">
        <v>2160</v>
      </c>
      <c r="C3199" t="s" s="834">
        <v>1702</v>
      </c>
      <c r="D3199" s="835">
        <v>46053</v>
      </c>
      <c r="E3199" t="s" s="834">
        <v>478</v>
      </c>
      <c r="F3199" t="s" s="834">
        <v>478</v>
      </c>
      <c r="G3199" s="570"/>
      <c r="H3199" s="570"/>
      <c r="I3199" s="570"/>
      <c r="J3199" s="570"/>
      <c r="K3199" s="570"/>
    </row>
    <row r="3200" ht="13.75" customHeight="1">
      <c r="A3200" s="833">
        <v>151</v>
      </c>
      <c r="B3200" t="s" s="834">
        <v>2160</v>
      </c>
      <c r="C3200" t="s" s="834">
        <v>1702</v>
      </c>
      <c r="D3200" s="835">
        <v>46054</v>
      </c>
      <c r="E3200" t="s" s="834">
        <v>478</v>
      </c>
      <c r="F3200" t="s" s="834">
        <v>478</v>
      </c>
      <c r="G3200" s="570"/>
      <c r="H3200" s="570"/>
      <c r="I3200" s="570"/>
      <c r="J3200" s="570"/>
      <c r="K3200" s="570"/>
    </row>
    <row r="3201" ht="13.75" customHeight="1">
      <c r="A3201" s="833">
        <v>152</v>
      </c>
      <c r="B3201" t="s" s="834">
        <v>2220</v>
      </c>
      <c r="C3201" t="s" s="834">
        <v>1702</v>
      </c>
      <c r="D3201" s="835">
        <v>46023</v>
      </c>
      <c r="E3201" t="s" s="834">
        <v>478</v>
      </c>
      <c r="F3201" t="s" s="834">
        <v>478</v>
      </c>
      <c r="G3201" s="570"/>
      <c r="H3201" s="570"/>
      <c r="I3201" s="570"/>
      <c r="J3201" s="570"/>
      <c r="K3201" s="570"/>
    </row>
    <row r="3202" ht="13.75" customHeight="1">
      <c r="A3202" s="833">
        <v>152</v>
      </c>
      <c r="B3202" t="s" s="834">
        <v>2220</v>
      </c>
      <c r="C3202" t="s" s="834">
        <v>1702</v>
      </c>
      <c r="D3202" s="835">
        <v>46024</v>
      </c>
      <c r="E3202" t="s" s="834">
        <v>478</v>
      </c>
      <c r="F3202" t="s" s="834">
        <v>478</v>
      </c>
      <c r="G3202" s="570"/>
      <c r="H3202" s="570"/>
      <c r="I3202" s="570"/>
      <c r="J3202" s="570"/>
      <c r="K3202" s="570"/>
    </row>
    <row r="3203" ht="13.75" customHeight="1">
      <c r="A3203" s="833">
        <v>152</v>
      </c>
      <c r="B3203" t="s" s="834">
        <v>2220</v>
      </c>
      <c r="C3203" t="s" s="834">
        <v>1702</v>
      </c>
      <c r="D3203" s="835">
        <v>46025</v>
      </c>
      <c r="E3203" t="s" s="834">
        <v>478</v>
      </c>
      <c r="F3203" t="s" s="834">
        <v>478</v>
      </c>
      <c r="G3203" s="570"/>
      <c r="H3203" s="570"/>
      <c r="I3203" s="570"/>
      <c r="J3203" s="570"/>
      <c r="K3203" s="570"/>
    </row>
    <row r="3204" ht="13.75" customHeight="1">
      <c r="A3204" s="833">
        <v>152</v>
      </c>
      <c r="B3204" t="s" s="834">
        <v>2220</v>
      </c>
      <c r="C3204" t="s" s="834">
        <v>1702</v>
      </c>
      <c r="D3204" s="835">
        <v>46026</v>
      </c>
      <c r="E3204" t="s" s="834">
        <v>478</v>
      </c>
      <c r="F3204" t="s" s="834">
        <v>478</v>
      </c>
      <c r="G3204" s="570"/>
      <c r="H3204" s="570"/>
      <c r="I3204" s="570"/>
      <c r="J3204" s="570"/>
      <c r="K3204" s="570"/>
    </row>
    <row r="3205" ht="13.75" customHeight="1">
      <c r="A3205" s="833">
        <v>152</v>
      </c>
      <c r="B3205" t="s" s="834">
        <v>2220</v>
      </c>
      <c r="C3205" t="s" s="834">
        <v>1702</v>
      </c>
      <c r="D3205" s="835">
        <v>46027</v>
      </c>
      <c r="E3205" s="836">
        <v>1.345763888888889</v>
      </c>
      <c r="F3205" s="836">
        <v>1.768321759259259</v>
      </c>
      <c r="G3205" s="570"/>
      <c r="H3205" s="570"/>
      <c r="I3205" s="570"/>
      <c r="J3205" s="570"/>
      <c r="K3205" s="570"/>
    </row>
    <row r="3206" ht="13.75" customHeight="1">
      <c r="A3206" t="s" s="834">
        <v>2221</v>
      </c>
      <c r="B3206" t="s" s="834">
        <v>2222</v>
      </c>
      <c r="C3206" t="s" s="834">
        <v>926</v>
      </c>
      <c r="D3206" s="570"/>
      <c r="E3206" s="570"/>
      <c r="F3206" s="570"/>
      <c r="G3206" s="570"/>
      <c r="H3206" s="570"/>
      <c r="I3206" s="570"/>
      <c r="J3206" s="570"/>
      <c r="K3206" s="570"/>
    </row>
    <row r="3207" ht="13.75" customHeight="1">
      <c r="A3207" s="833">
        <v>152</v>
      </c>
      <c r="B3207" t="s" s="834">
        <v>2220</v>
      </c>
      <c r="C3207" t="s" s="834">
        <v>1702</v>
      </c>
      <c r="D3207" s="835">
        <v>46028</v>
      </c>
      <c r="E3207" s="836">
        <v>1.354814814814815</v>
      </c>
      <c r="F3207" s="836">
        <v>1.764224537037037</v>
      </c>
      <c r="G3207" s="570"/>
      <c r="H3207" s="570"/>
      <c r="I3207" s="570"/>
      <c r="J3207" s="570"/>
      <c r="K3207" s="570"/>
    </row>
    <row r="3208" ht="13.75" customHeight="1">
      <c r="A3208" t="s" s="834">
        <v>2223</v>
      </c>
      <c r="B3208" t="s" s="834">
        <v>2224</v>
      </c>
      <c r="C3208" t="s" s="834">
        <v>1119</v>
      </c>
      <c r="D3208" s="570"/>
      <c r="E3208" s="570"/>
      <c r="F3208" s="570"/>
      <c r="G3208" s="570"/>
      <c r="H3208" s="570"/>
      <c r="I3208" s="570"/>
      <c r="J3208" s="570"/>
      <c r="K3208" s="570"/>
    </row>
    <row r="3209" ht="13.75" customHeight="1">
      <c r="A3209" s="833">
        <v>152</v>
      </c>
      <c r="B3209" t="s" s="834">
        <v>2220</v>
      </c>
      <c r="C3209" t="s" s="834">
        <v>1702</v>
      </c>
      <c r="D3209" s="835">
        <v>46029</v>
      </c>
      <c r="E3209" s="836">
        <v>1.34443287037037</v>
      </c>
      <c r="F3209" s="836">
        <v>1.76306712962963</v>
      </c>
      <c r="G3209" s="570"/>
      <c r="H3209" s="570"/>
      <c r="I3209" s="570"/>
      <c r="J3209" s="570"/>
      <c r="K3209" s="570"/>
    </row>
    <row r="3210" ht="13.75" customHeight="1">
      <c r="A3210" t="s" s="834">
        <v>2225</v>
      </c>
      <c r="B3210" t="s" s="834">
        <v>2226</v>
      </c>
      <c r="C3210" t="s" s="834">
        <v>1280</v>
      </c>
      <c r="D3210" s="570"/>
      <c r="E3210" s="570"/>
      <c r="F3210" s="570"/>
      <c r="G3210" s="570"/>
      <c r="H3210" s="570"/>
      <c r="I3210" s="570"/>
      <c r="J3210" s="570"/>
      <c r="K3210" s="570"/>
    </row>
    <row r="3211" ht="13.75" customHeight="1">
      <c r="A3211" s="833">
        <v>152</v>
      </c>
      <c r="B3211" t="s" s="834">
        <v>2220</v>
      </c>
      <c r="C3211" t="s" s="834">
        <v>1702</v>
      </c>
      <c r="D3211" s="835">
        <v>46030</v>
      </c>
      <c r="E3211" s="836">
        <v>1.348090277777778</v>
      </c>
      <c r="F3211" s="836">
        <v>1.762071759259259</v>
      </c>
      <c r="G3211" s="570"/>
      <c r="H3211" s="570"/>
      <c r="I3211" s="570"/>
      <c r="J3211" s="570"/>
      <c r="K3211" s="570"/>
    </row>
    <row r="3212" ht="13.75" customHeight="1">
      <c r="A3212" t="s" s="834">
        <v>2227</v>
      </c>
      <c r="B3212" t="s" s="834">
        <v>2228</v>
      </c>
      <c r="C3212" t="s" s="834">
        <v>637</v>
      </c>
      <c r="D3212" s="570"/>
      <c r="E3212" s="570"/>
      <c r="F3212" s="570"/>
      <c r="G3212" s="570"/>
      <c r="H3212" s="570"/>
      <c r="I3212" s="570"/>
      <c r="J3212" s="570"/>
      <c r="K3212" s="570"/>
    </row>
    <row r="3213" ht="13.75" customHeight="1">
      <c r="A3213" s="833">
        <v>152</v>
      </c>
      <c r="B3213" t="s" s="834">
        <v>2220</v>
      </c>
      <c r="C3213" t="s" s="834">
        <v>1702</v>
      </c>
      <c r="D3213" s="835">
        <v>46031</v>
      </c>
      <c r="E3213" t="s" s="834">
        <v>478</v>
      </c>
      <c r="F3213" t="s" s="834">
        <v>478</v>
      </c>
      <c r="G3213" s="570"/>
      <c r="H3213" s="570"/>
      <c r="I3213" s="570"/>
      <c r="J3213" s="570"/>
      <c r="K3213" s="570"/>
    </row>
    <row r="3214" ht="13.75" customHeight="1">
      <c r="A3214" s="833">
        <v>152</v>
      </c>
      <c r="B3214" t="s" s="834">
        <v>2220</v>
      </c>
      <c r="C3214" t="s" s="834">
        <v>1702</v>
      </c>
      <c r="D3214" s="835">
        <v>46032</v>
      </c>
      <c r="E3214" t="s" s="834">
        <v>478</v>
      </c>
      <c r="F3214" t="s" s="834">
        <v>478</v>
      </c>
      <c r="G3214" s="570"/>
      <c r="H3214" s="570"/>
      <c r="I3214" s="570"/>
      <c r="J3214" s="570"/>
      <c r="K3214" s="570"/>
    </row>
    <row r="3215" ht="13.75" customHeight="1">
      <c r="A3215" s="833">
        <v>152</v>
      </c>
      <c r="B3215" t="s" s="834">
        <v>2220</v>
      </c>
      <c r="C3215" t="s" s="834">
        <v>1702</v>
      </c>
      <c r="D3215" s="835">
        <v>46033</v>
      </c>
      <c r="E3215" t="s" s="834">
        <v>478</v>
      </c>
      <c r="F3215" t="s" s="834">
        <v>478</v>
      </c>
      <c r="G3215" s="570"/>
      <c r="H3215" s="570"/>
      <c r="I3215" s="570"/>
      <c r="J3215" s="570"/>
      <c r="K3215" s="570"/>
    </row>
    <row r="3216" ht="13.75" customHeight="1">
      <c r="A3216" s="833">
        <v>152</v>
      </c>
      <c r="B3216" t="s" s="834">
        <v>2220</v>
      </c>
      <c r="C3216" t="s" s="834">
        <v>1702</v>
      </c>
      <c r="D3216" s="835">
        <v>46034</v>
      </c>
      <c r="E3216" s="836">
        <v>1.347592592592593</v>
      </c>
      <c r="F3216" s="836">
        <v>1.766273148148148</v>
      </c>
      <c r="G3216" s="570"/>
      <c r="H3216" s="570"/>
      <c r="I3216" s="570"/>
      <c r="J3216" s="570"/>
      <c r="K3216" s="570"/>
    </row>
    <row r="3217" ht="13.75" customHeight="1">
      <c r="A3217" t="s" s="834">
        <v>2229</v>
      </c>
      <c r="B3217" t="s" s="834">
        <v>2230</v>
      </c>
      <c r="C3217" t="s" s="834">
        <v>1280</v>
      </c>
      <c r="D3217" s="570"/>
      <c r="E3217" s="570"/>
      <c r="F3217" s="570"/>
      <c r="G3217" s="570"/>
      <c r="H3217" s="570"/>
      <c r="I3217" s="570"/>
      <c r="J3217" s="570"/>
      <c r="K3217" s="570"/>
    </row>
    <row r="3218" ht="13.75" customHeight="1">
      <c r="A3218" s="833">
        <v>152</v>
      </c>
      <c r="B3218" t="s" s="834">
        <v>2220</v>
      </c>
      <c r="C3218" t="s" s="834">
        <v>1702</v>
      </c>
      <c r="D3218" s="835">
        <v>46035</v>
      </c>
      <c r="E3218" s="836">
        <v>1.341678240740741</v>
      </c>
      <c r="F3218" s="836">
        <v>1.757673611111111</v>
      </c>
      <c r="G3218" s="570"/>
      <c r="H3218" s="570"/>
      <c r="I3218" s="570"/>
      <c r="J3218" s="570"/>
      <c r="K3218" s="570"/>
    </row>
    <row r="3219" ht="13.75" customHeight="1">
      <c r="A3219" t="s" s="834">
        <v>2231</v>
      </c>
      <c r="B3219" t="s" s="834">
        <v>2232</v>
      </c>
      <c r="C3219" t="s" s="834">
        <v>652</v>
      </c>
      <c r="D3219" s="570"/>
      <c r="E3219" s="570"/>
      <c r="F3219" s="570"/>
      <c r="G3219" s="570"/>
      <c r="H3219" s="570"/>
      <c r="I3219" s="570"/>
      <c r="J3219" s="570"/>
      <c r="K3219" s="570"/>
    </row>
    <row r="3220" ht="13.75" customHeight="1">
      <c r="A3220" s="833">
        <v>152</v>
      </c>
      <c r="B3220" t="s" s="834">
        <v>2220</v>
      </c>
      <c r="C3220" t="s" s="834">
        <v>1702</v>
      </c>
      <c r="D3220" s="835">
        <v>46036</v>
      </c>
      <c r="E3220" s="836">
        <v>1.344039351851852</v>
      </c>
      <c r="F3220" s="836">
        <v>1.761921296296296</v>
      </c>
      <c r="G3220" s="570"/>
      <c r="H3220" s="570"/>
      <c r="I3220" s="570"/>
      <c r="J3220" s="570"/>
      <c r="K3220" s="570"/>
    </row>
    <row r="3221" ht="13.75" customHeight="1">
      <c r="A3221" t="s" s="834">
        <v>2233</v>
      </c>
      <c r="B3221" t="s" s="834">
        <v>2234</v>
      </c>
      <c r="C3221" t="s" s="834">
        <v>1033</v>
      </c>
      <c r="D3221" s="570"/>
      <c r="E3221" s="570"/>
      <c r="F3221" s="570"/>
      <c r="G3221" s="570"/>
      <c r="H3221" s="570"/>
      <c r="I3221" s="570"/>
      <c r="J3221" s="570"/>
      <c r="K3221" s="570"/>
    </row>
    <row r="3222" ht="13.75" customHeight="1">
      <c r="A3222" s="833">
        <v>152</v>
      </c>
      <c r="B3222" t="s" s="834">
        <v>2220</v>
      </c>
      <c r="C3222" t="s" s="834">
        <v>1702</v>
      </c>
      <c r="D3222" s="835">
        <v>46037</v>
      </c>
      <c r="E3222" s="836">
        <v>1.349525462962963</v>
      </c>
      <c r="F3222" s="836">
        <v>1.691226851851852</v>
      </c>
      <c r="G3222" s="570"/>
      <c r="H3222" s="570"/>
      <c r="I3222" s="570"/>
      <c r="J3222" s="570"/>
      <c r="K3222" s="570"/>
    </row>
    <row r="3223" ht="13.75" customHeight="1">
      <c r="A3223" t="s" s="834">
        <v>2235</v>
      </c>
      <c r="B3223" t="s" s="834">
        <v>2236</v>
      </c>
      <c r="C3223" t="s" s="834">
        <v>713</v>
      </c>
      <c r="D3223" s="570"/>
      <c r="E3223" s="570"/>
      <c r="F3223" s="570"/>
      <c r="G3223" s="570"/>
      <c r="H3223" s="570"/>
      <c r="I3223" s="570"/>
      <c r="J3223" s="570"/>
      <c r="K3223" s="570"/>
    </row>
    <row r="3224" ht="13.75" customHeight="1">
      <c r="A3224" s="833">
        <v>152</v>
      </c>
      <c r="B3224" t="s" s="834">
        <v>2220</v>
      </c>
      <c r="C3224" t="s" s="834">
        <v>1702</v>
      </c>
      <c r="D3224" s="835">
        <v>46038</v>
      </c>
      <c r="E3224" t="s" s="834">
        <v>478</v>
      </c>
      <c r="F3224" t="s" s="834">
        <v>478</v>
      </c>
      <c r="G3224" s="570"/>
      <c r="H3224" s="570"/>
      <c r="I3224" s="570"/>
      <c r="J3224" s="570"/>
      <c r="K3224" s="570"/>
    </row>
    <row r="3225" ht="13.75" customHeight="1">
      <c r="A3225" s="833">
        <v>152</v>
      </c>
      <c r="B3225" t="s" s="834">
        <v>2220</v>
      </c>
      <c r="C3225" t="s" s="834">
        <v>1702</v>
      </c>
      <c r="D3225" s="835">
        <v>46039</v>
      </c>
      <c r="E3225" t="s" s="834">
        <v>478</v>
      </c>
      <c r="F3225" t="s" s="834">
        <v>478</v>
      </c>
      <c r="G3225" s="570"/>
      <c r="H3225" s="570"/>
      <c r="I3225" s="570"/>
      <c r="J3225" s="570"/>
      <c r="K3225" s="570"/>
    </row>
    <row r="3226" ht="13.75" customHeight="1">
      <c r="A3226" s="833">
        <v>152</v>
      </c>
      <c r="B3226" t="s" s="834">
        <v>2220</v>
      </c>
      <c r="C3226" t="s" s="834">
        <v>1702</v>
      </c>
      <c r="D3226" s="835">
        <v>46040</v>
      </c>
      <c r="E3226" t="s" s="834">
        <v>478</v>
      </c>
      <c r="F3226" t="s" s="834">
        <v>478</v>
      </c>
      <c r="G3226" s="570"/>
      <c r="H3226" s="570"/>
      <c r="I3226" s="570"/>
      <c r="J3226" s="570"/>
      <c r="K3226" s="570"/>
    </row>
    <row r="3227" ht="13.75" customHeight="1">
      <c r="A3227" s="833">
        <v>152</v>
      </c>
      <c r="B3227" t="s" s="834">
        <v>2220</v>
      </c>
      <c r="C3227" t="s" s="834">
        <v>1702</v>
      </c>
      <c r="D3227" s="835">
        <v>46041</v>
      </c>
      <c r="E3227" s="836">
        <v>1.349351851851852</v>
      </c>
      <c r="F3227" s="836">
        <v>1.510486111111111</v>
      </c>
      <c r="G3227" s="570"/>
      <c r="H3227" s="570"/>
      <c r="I3227" s="570"/>
      <c r="J3227" s="570"/>
      <c r="K3227" s="570"/>
    </row>
    <row r="3228" ht="13.75" customHeight="1">
      <c r="A3228" t="s" s="834">
        <v>2237</v>
      </c>
      <c r="B3228" t="s" s="834">
        <v>2238</v>
      </c>
      <c r="C3228" t="s" s="834">
        <v>2239</v>
      </c>
      <c r="D3228" s="570"/>
      <c r="E3228" s="570"/>
      <c r="F3228" s="570"/>
      <c r="G3228" s="570"/>
      <c r="H3228" s="570"/>
      <c r="I3228" s="570"/>
      <c r="J3228" s="570"/>
      <c r="K3228" s="570"/>
    </row>
    <row r="3229" ht="13.75" customHeight="1">
      <c r="A3229" s="833">
        <v>152</v>
      </c>
      <c r="B3229" t="s" s="834">
        <v>2220</v>
      </c>
      <c r="C3229" t="s" s="834">
        <v>1702</v>
      </c>
      <c r="D3229" s="835">
        <v>46042</v>
      </c>
      <c r="E3229" s="836">
        <v>1.348518518518518</v>
      </c>
      <c r="F3229" s="836">
        <v>1.756770833333333</v>
      </c>
      <c r="G3229" s="570"/>
      <c r="H3229" s="570"/>
      <c r="I3229" s="570"/>
      <c r="J3229" s="570"/>
      <c r="K3229" s="570"/>
    </row>
    <row r="3230" ht="13.75" customHeight="1">
      <c r="A3230" t="s" s="834">
        <v>2240</v>
      </c>
      <c r="B3230" t="s" s="834">
        <v>2241</v>
      </c>
      <c r="C3230" t="s" s="834">
        <v>1330</v>
      </c>
      <c r="D3230" s="570"/>
      <c r="E3230" s="570"/>
      <c r="F3230" s="570"/>
      <c r="G3230" s="570"/>
      <c r="H3230" s="570"/>
      <c r="I3230" s="570"/>
      <c r="J3230" s="570"/>
      <c r="K3230" s="570"/>
    </row>
    <row r="3231" ht="13.75" customHeight="1">
      <c r="A3231" s="833">
        <v>152</v>
      </c>
      <c r="B3231" t="s" s="834">
        <v>2220</v>
      </c>
      <c r="C3231" t="s" s="834">
        <v>1702</v>
      </c>
      <c r="D3231" s="835">
        <v>46043</v>
      </c>
      <c r="E3231" s="836">
        <v>1.348252314814815</v>
      </c>
      <c r="F3231" s="836">
        <v>1.765891203703704</v>
      </c>
      <c r="G3231" s="570"/>
      <c r="H3231" s="570"/>
      <c r="I3231" s="570"/>
      <c r="J3231" s="570"/>
      <c r="K3231" s="570"/>
    </row>
    <row r="3232" ht="13.75" customHeight="1">
      <c r="A3232" t="s" s="834">
        <v>2242</v>
      </c>
      <c r="B3232" t="s" s="834">
        <v>2243</v>
      </c>
      <c r="C3232" t="s" s="834">
        <v>1285</v>
      </c>
      <c r="D3232" s="570"/>
      <c r="E3232" s="570"/>
      <c r="F3232" s="570"/>
      <c r="G3232" s="570"/>
      <c r="H3232" s="570"/>
      <c r="I3232" s="570"/>
      <c r="J3232" s="570"/>
      <c r="K3232" s="570"/>
    </row>
    <row r="3233" ht="13.75" customHeight="1">
      <c r="A3233" s="833">
        <v>152</v>
      </c>
      <c r="B3233" t="s" s="834">
        <v>2220</v>
      </c>
      <c r="C3233" t="s" s="834">
        <v>1702</v>
      </c>
      <c r="D3233" s="835">
        <v>46044</v>
      </c>
      <c r="E3233" s="836">
        <v>1.347233796296296</v>
      </c>
      <c r="F3233" s="836">
        <v>1.730578703703704</v>
      </c>
      <c r="G3233" s="570"/>
      <c r="H3233" s="570"/>
      <c r="I3233" s="570"/>
      <c r="J3233" s="570"/>
      <c r="K3233" s="570"/>
    </row>
    <row r="3234" ht="13.75" customHeight="1">
      <c r="A3234" t="s" s="834">
        <v>2244</v>
      </c>
      <c r="B3234" t="s" s="834">
        <v>2245</v>
      </c>
      <c r="C3234" t="s" s="834">
        <v>812</v>
      </c>
      <c r="D3234" s="570"/>
      <c r="E3234" s="570"/>
      <c r="F3234" s="570"/>
      <c r="G3234" s="570"/>
      <c r="H3234" s="570"/>
      <c r="I3234" s="570"/>
      <c r="J3234" s="570"/>
      <c r="K3234" s="570"/>
    </row>
    <row r="3235" ht="13.75" customHeight="1">
      <c r="A3235" s="833">
        <v>152</v>
      </c>
      <c r="B3235" t="s" s="834">
        <v>2220</v>
      </c>
      <c r="C3235" t="s" s="834">
        <v>1702</v>
      </c>
      <c r="D3235" s="835">
        <v>46045</v>
      </c>
      <c r="E3235" t="s" s="834">
        <v>478</v>
      </c>
      <c r="F3235" t="s" s="834">
        <v>478</v>
      </c>
      <c r="G3235" s="570"/>
      <c r="H3235" s="570"/>
      <c r="I3235" s="570"/>
      <c r="J3235" s="570"/>
      <c r="K3235" s="570"/>
    </row>
    <row r="3236" ht="13.75" customHeight="1">
      <c r="A3236" s="833">
        <v>152</v>
      </c>
      <c r="B3236" t="s" s="834">
        <v>2220</v>
      </c>
      <c r="C3236" t="s" s="834">
        <v>1702</v>
      </c>
      <c r="D3236" s="835">
        <v>46046</v>
      </c>
      <c r="E3236" t="s" s="834">
        <v>478</v>
      </c>
      <c r="F3236" t="s" s="834">
        <v>478</v>
      </c>
      <c r="G3236" s="570"/>
      <c r="H3236" s="570"/>
      <c r="I3236" s="570"/>
      <c r="J3236" s="570"/>
      <c r="K3236" s="570"/>
    </row>
    <row r="3237" ht="13.75" customHeight="1">
      <c r="A3237" s="833">
        <v>152</v>
      </c>
      <c r="B3237" t="s" s="834">
        <v>2220</v>
      </c>
      <c r="C3237" t="s" s="834">
        <v>1702</v>
      </c>
      <c r="D3237" s="835">
        <v>46047</v>
      </c>
      <c r="E3237" t="s" s="834">
        <v>478</v>
      </c>
      <c r="F3237" t="s" s="834">
        <v>478</v>
      </c>
      <c r="G3237" s="570"/>
      <c r="H3237" s="570"/>
      <c r="I3237" s="570"/>
      <c r="J3237" s="570"/>
      <c r="K3237" s="570"/>
    </row>
    <row r="3238" ht="13.75" customHeight="1">
      <c r="A3238" s="833">
        <v>152</v>
      </c>
      <c r="B3238" t="s" s="834">
        <v>2220</v>
      </c>
      <c r="C3238" t="s" s="834">
        <v>1702</v>
      </c>
      <c r="D3238" s="835">
        <v>46048</v>
      </c>
      <c r="E3238" s="836">
        <v>1.349884259259259</v>
      </c>
      <c r="F3238" s="836">
        <v>1.767268518518518</v>
      </c>
      <c r="G3238" s="570"/>
      <c r="H3238" s="570"/>
      <c r="I3238" s="570"/>
      <c r="J3238" s="570"/>
      <c r="K3238" s="570"/>
    </row>
    <row r="3239" ht="13.75" customHeight="1">
      <c r="A3239" t="s" s="834">
        <v>791</v>
      </c>
      <c r="B3239" t="s" s="834">
        <v>2246</v>
      </c>
      <c r="C3239" t="s" s="834">
        <v>1285</v>
      </c>
      <c r="D3239" s="570"/>
      <c r="E3239" s="570"/>
      <c r="F3239" s="570"/>
      <c r="G3239" s="570"/>
      <c r="H3239" s="570"/>
      <c r="I3239" s="570"/>
      <c r="J3239" s="570"/>
      <c r="K3239" s="570"/>
    </row>
    <row r="3240" ht="13.75" customHeight="1">
      <c r="A3240" s="833">
        <v>152</v>
      </c>
      <c r="B3240" t="s" s="834">
        <v>2220</v>
      </c>
      <c r="C3240" t="s" s="834">
        <v>1702</v>
      </c>
      <c r="D3240" s="835">
        <v>46049</v>
      </c>
      <c r="E3240" s="836">
        <v>1.347337962962963</v>
      </c>
      <c r="F3240" s="836">
        <v>1.763738425925926</v>
      </c>
      <c r="G3240" s="570"/>
      <c r="H3240" s="570"/>
      <c r="I3240" s="570"/>
      <c r="J3240" s="570"/>
      <c r="K3240" s="570"/>
    </row>
    <row r="3241" ht="13.75" customHeight="1">
      <c r="A3241" t="s" s="834">
        <v>2247</v>
      </c>
      <c r="B3241" t="s" s="834">
        <v>2248</v>
      </c>
      <c r="C3241" t="s" s="834">
        <v>530</v>
      </c>
      <c r="D3241" s="570"/>
      <c r="E3241" s="570"/>
      <c r="F3241" s="570"/>
      <c r="G3241" s="570"/>
      <c r="H3241" s="570"/>
      <c r="I3241" s="570"/>
      <c r="J3241" s="570"/>
      <c r="K3241" s="570"/>
    </row>
    <row r="3242" ht="13.75" customHeight="1">
      <c r="A3242" s="833">
        <v>152</v>
      </c>
      <c r="B3242" t="s" s="834">
        <v>2220</v>
      </c>
      <c r="C3242" t="s" s="834">
        <v>1702</v>
      </c>
      <c r="D3242" s="835">
        <v>46050</v>
      </c>
      <c r="E3242" s="836">
        <v>1.349178240740741</v>
      </c>
      <c r="F3242" s="836">
        <v>1.734444444444444</v>
      </c>
      <c r="G3242" s="570"/>
      <c r="H3242" s="570"/>
      <c r="I3242" s="570"/>
      <c r="J3242" s="570"/>
      <c r="K3242" s="570"/>
    </row>
    <row r="3243" ht="13.75" customHeight="1">
      <c r="A3243" t="s" s="834">
        <v>2249</v>
      </c>
      <c r="B3243" t="s" s="834">
        <v>2250</v>
      </c>
      <c r="C3243" t="s" s="834">
        <v>831</v>
      </c>
      <c r="D3243" s="570"/>
      <c r="E3243" s="570"/>
      <c r="F3243" s="570"/>
      <c r="G3243" s="570"/>
      <c r="H3243" s="570"/>
      <c r="I3243" s="570"/>
      <c r="J3243" s="570"/>
      <c r="K3243" s="570"/>
    </row>
    <row r="3244" ht="13.75" customHeight="1">
      <c r="A3244" s="833">
        <v>152</v>
      </c>
      <c r="B3244" t="s" s="834">
        <v>2220</v>
      </c>
      <c r="C3244" t="s" s="834">
        <v>1702</v>
      </c>
      <c r="D3244" s="835">
        <v>46051</v>
      </c>
      <c r="E3244" s="836">
        <v>1.347916666666667</v>
      </c>
      <c r="F3244" s="836">
        <v>1.745266203703704</v>
      </c>
      <c r="G3244" s="570"/>
      <c r="H3244" s="570"/>
      <c r="I3244" s="570"/>
      <c r="J3244" s="570"/>
      <c r="K3244" s="570"/>
    </row>
    <row r="3245" ht="13.75" customHeight="1">
      <c r="A3245" t="s" s="834">
        <v>2251</v>
      </c>
      <c r="B3245" t="s" s="834">
        <v>2252</v>
      </c>
      <c r="C3245" t="s" s="834">
        <v>747</v>
      </c>
      <c r="D3245" s="570"/>
      <c r="E3245" s="570"/>
      <c r="F3245" s="570"/>
      <c r="G3245" s="570"/>
      <c r="H3245" s="570"/>
      <c r="I3245" s="570"/>
      <c r="J3245" s="570"/>
      <c r="K3245" s="570"/>
    </row>
    <row r="3246" ht="13.75" customHeight="1">
      <c r="A3246" s="833">
        <v>152</v>
      </c>
      <c r="B3246" t="s" s="834">
        <v>2220</v>
      </c>
      <c r="C3246" t="s" s="834">
        <v>1702</v>
      </c>
      <c r="D3246" s="835">
        <v>46052</v>
      </c>
      <c r="E3246" t="s" s="834">
        <v>478</v>
      </c>
      <c r="F3246" t="s" s="834">
        <v>478</v>
      </c>
      <c r="G3246" s="570"/>
      <c r="H3246" s="570"/>
      <c r="I3246" s="570"/>
      <c r="J3246" s="570"/>
      <c r="K3246" s="570"/>
    </row>
    <row r="3247" ht="13.75" customHeight="1">
      <c r="A3247" s="833">
        <v>152</v>
      </c>
      <c r="B3247" t="s" s="834">
        <v>2220</v>
      </c>
      <c r="C3247" t="s" s="834">
        <v>1702</v>
      </c>
      <c r="D3247" s="835">
        <v>46053</v>
      </c>
      <c r="E3247" t="s" s="834">
        <v>478</v>
      </c>
      <c r="F3247" t="s" s="834">
        <v>478</v>
      </c>
      <c r="G3247" s="570"/>
      <c r="H3247" s="570"/>
      <c r="I3247" s="570"/>
      <c r="J3247" s="570"/>
      <c r="K3247" s="570"/>
    </row>
    <row r="3248" ht="13.75" customHeight="1">
      <c r="A3248" s="833">
        <v>152</v>
      </c>
      <c r="B3248" t="s" s="834">
        <v>2220</v>
      </c>
      <c r="C3248" t="s" s="834">
        <v>1702</v>
      </c>
      <c r="D3248" s="835">
        <v>46054</v>
      </c>
      <c r="E3248" t="s" s="834">
        <v>478</v>
      </c>
      <c r="F3248" t="s" s="834">
        <v>478</v>
      </c>
      <c r="G3248" s="570"/>
      <c r="H3248" s="570"/>
      <c r="I3248" s="570"/>
      <c r="J3248" s="570"/>
      <c r="K3248" s="570"/>
    </row>
    <row r="3249" ht="13.75" customHeight="1">
      <c r="A3249" s="833">
        <v>153</v>
      </c>
      <c r="B3249" t="s" s="834">
        <v>2253</v>
      </c>
      <c r="C3249" t="s" s="834">
        <v>1702</v>
      </c>
      <c r="D3249" s="835">
        <v>46023</v>
      </c>
      <c r="E3249" t="s" s="834">
        <v>478</v>
      </c>
      <c r="F3249" t="s" s="834">
        <v>478</v>
      </c>
      <c r="G3249" s="570"/>
      <c r="H3249" s="570"/>
      <c r="I3249" s="570"/>
      <c r="J3249" s="570"/>
      <c r="K3249" s="570"/>
    </row>
    <row r="3250" ht="13.75" customHeight="1">
      <c r="A3250" s="833">
        <v>153</v>
      </c>
      <c r="B3250" t="s" s="834">
        <v>2253</v>
      </c>
      <c r="C3250" t="s" s="834">
        <v>1702</v>
      </c>
      <c r="D3250" s="835">
        <v>46024</v>
      </c>
      <c r="E3250" s="836">
        <v>1.79212962962963</v>
      </c>
      <c r="F3250" s="836">
        <v>1.79224537037037</v>
      </c>
      <c r="G3250" s="570"/>
      <c r="H3250" s="570"/>
      <c r="I3250" s="570"/>
      <c r="J3250" s="570"/>
      <c r="K3250" s="570"/>
    </row>
    <row r="3251" ht="13.75" customHeight="1">
      <c r="A3251" t="s" s="834">
        <v>2254</v>
      </c>
      <c r="B3251" t="s" s="834">
        <v>2255</v>
      </c>
      <c r="C3251" t="s" s="834">
        <v>486</v>
      </c>
      <c r="D3251" s="570"/>
      <c r="E3251" s="570"/>
      <c r="F3251" s="570"/>
      <c r="G3251" s="570"/>
      <c r="H3251" s="570"/>
      <c r="I3251" s="570"/>
      <c r="J3251" s="570"/>
      <c r="K3251" s="570"/>
    </row>
    <row r="3252" ht="13.75" customHeight="1">
      <c r="A3252" s="833">
        <v>153</v>
      </c>
      <c r="B3252" t="s" s="834">
        <v>2253</v>
      </c>
      <c r="C3252" t="s" s="834">
        <v>1702</v>
      </c>
      <c r="D3252" s="835">
        <v>46025</v>
      </c>
      <c r="E3252" t="s" s="834">
        <v>478</v>
      </c>
      <c r="F3252" t="s" s="834">
        <v>478</v>
      </c>
      <c r="G3252" s="570"/>
      <c r="H3252" s="570"/>
      <c r="I3252" s="570"/>
      <c r="J3252" s="570"/>
      <c r="K3252" s="570"/>
    </row>
    <row r="3253" ht="13.75" customHeight="1">
      <c r="A3253" s="833">
        <v>153</v>
      </c>
      <c r="B3253" t="s" s="834">
        <v>2253</v>
      </c>
      <c r="C3253" t="s" s="834">
        <v>1702</v>
      </c>
      <c r="D3253" s="835">
        <v>46026</v>
      </c>
      <c r="E3253" t="s" s="834">
        <v>478</v>
      </c>
      <c r="F3253" t="s" s="834">
        <v>478</v>
      </c>
      <c r="G3253" s="570"/>
      <c r="H3253" s="570"/>
      <c r="I3253" s="570"/>
      <c r="J3253" s="570"/>
      <c r="K3253" s="570"/>
    </row>
    <row r="3254" ht="13.75" customHeight="1">
      <c r="A3254" s="833">
        <v>153</v>
      </c>
      <c r="B3254" t="s" s="834">
        <v>2253</v>
      </c>
      <c r="C3254" t="s" s="834">
        <v>1702</v>
      </c>
      <c r="D3254" s="835">
        <v>46027</v>
      </c>
      <c r="E3254" s="836">
        <v>1.363842592592593</v>
      </c>
      <c r="F3254" s="836">
        <v>1.793171296296296</v>
      </c>
      <c r="G3254" s="570"/>
      <c r="H3254" s="570"/>
      <c r="I3254" s="570"/>
      <c r="J3254" s="570"/>
      <c r="K3254" s="570"/>
    </row>
    <row r="3255" ht="13.75" customHeight="1">
      <c r="A3255" t="s" s="834">
        <v>2256</v>
      </c>
      <c r="B3255" t="s" s="834">
        <v>2257</v>
      </c>
      <c r="C3255" t="s" s="834">
        <v>626</v>
      </c>
      <c r="D3255" s="570"/>
      <c r="E3255" s="570"/>
      <c r="F3255" s="570"/>
      <c r="G3255" s="570"/>
      <c r="H3255" s="570"/>
      <c r="I3255" s="570"/>
      <c r="J3255" s="570"/>
      <c r="K3255" s="570"/>
    </row>
    <row r="3256" ht="13.75" customHeight="1">
      <c r="A3256" s="833">
        <v>153</v>
      </c>
      <c r="B3256" t="s" s="834">
        <v>2253</v>
      </c>
      <c r="C3256" t="s" s="834">
        <v>1702</v>
      </c>
      <c r="D3256" s="835">
        <v>46028</v>
      </c>
      <c r="E3256" s="836">
        <v>1.376087962962963</v>
      </c>
      <c r="F3256" s="836">
        <v>1.882847222222222</v>
      </c>
      <c r="G3256" s="570"/>
      <c r="H3256" s="570"/>
      <c r="I3256" s="570"/>
      <c r="J3256" s="570"/>
      <c r="K3256" s="570"/>
    </row>
    <row r="3257" ht="13.75" customHeight="1">
      <c r="A3257" t="s" s="834">
        <v>2258</v>
      </c>
      <c r="B3257" t="s" s="834">
        <v>2259</v>
      </c>
      <c r="C3257" t="s" s="834">
        <v>921</v>
      </c>
      <c r="D3257" s="570"/>
      <c r="E3257" s="570"/>
      <c r="F3257" s="570"/>
      <c r="G3257" s="570"/>
      <c r="H3257" s="570"/>
      <c r="I3257" s="570"/>
      <c r="J3257" s="570"/>
      <c r="K3257" s="570"/>
    </row>
    <row r="3258" ht="13.75" customHeight="1">
      <c r="A3258" s="833">
        <v>153</v>
      </c>
      <c r="B3258" t="s" s="834">
        <v>2253</v>
      </c>
      <c r="C3258" t="s" s="834">
        <v>1702</v>
      </c>
      <c r="D3258" s="835">
        <v>46029</v>
      </c>
      <c r="E3258" s="836">
        <v>1.367071759259259</v>
      </c>
      <c r="F3258" s="836">
        <v>1.830740740740741</v>
      </c>
      <c r="G3258" s="570"/>
      <c r="H3258" s="570"/>
      <c r="I3258" s="570"/>
      <c r="J3258" s="570"/>
      <c r="K3258" s="570"/>
    </row>
    <row r="3259" ht="13.75" customHeight="1">
      <c r="A3259" t="s" s="834">
        <v>2260</v>
      </c>
      <c r="B3259" t="s" s="834">
        <v>2261</v>
      </c>
      <c r="C3259" t="s" s="834">
        <v>2262</v>
      </c>
      <c r="D3259" s="570"/>
      <c r="E3259" s="570"/>
      <c r="F3259" s="570"/>
      <c r="G3259" s="570"/>
      <c r="H3259" s="570"/>
      <c r="I3259" s="570"/>
      <c r="J3259" s="570"/>
      <c r="K3259" s="570"/>
    </row>
    <row r="3260" ht="13.75" customHeight="1">
      <c r="A3260" s="833">
        <v>153</v>
      </c>
      <c r="B3260" t="s" s="834">
        <v>2253</v>
      </c>
      <c r="C3260" t="s" s="834">
        <v>1702</v>
      </c>
      <c r="D3260" s="835">
        <v>46030</v>
      </c>
      <c r="E3260" s="836">
        <v>1.361099537037037</v>
      </c>
      <c r="F3260" s="836">
        <v>1.783576388888889</v>
      </c>
      <c r="G3260" s="570"/>
      <c r="H3260" s="570"/>
      <c r="I3260" s="570"/>
      <c r="J3260" s="570"/>
      <c r="K3260" s="570"/>
    </row>
    <row r="3261" ht="13.75" customHeight="1">
      <c r="A3261" t="s" s="834">
        <v>2263</v>
      </c>
      <c r="B3261" t="s" s="834">
        <v>2264</v>
      </c>
      <c r="C3261" t="s" s="834">
        <v>926</v>
      </c>
      <c r="D3261" s="570"/>
      <c r="E3261" s="570"/>
      <c r="F3261" s="570"/>
      <c r="G3261" s="570"/>
      <c r="H3261" s="570"/>
      <c r="I3261" s="570"/>
      <c r="J3261" s="570"/>
      <c r="K3261" s="570"/>
    </row>
    <row r="3262" ht="13.75" customHeight="1">
      <c r="A3262" s="833">
        <v>153</v>
      </c>
      <c r="B3262" t="s" s="834">
        <v>2253</v>
      </c>
      <c r="C3262" t="s" s="834">
        <v>1702</v>
      </c>
      <c r="D3262" s="835">
        <v>46031</v>
      </c>
      <c r="E3262" s="836">
        <v>1.806701388888889</v>
      </c>
      <c r="F3262" s="836">
        <v>1.807060185185185</v>
      </c>
      <c r="G3262" s="570"/>
      <c r="H3262" s="570"/>
      <c r="I3262" s="570"/>
      <c r="J3262" s="570"/>
      <c r="K3262" s="570"/>
    </row>
    <row r="3263" ht="13.75" customHeight="1">
      <c r="A3263" t="s" s="834">
        <v>2265</v>
      </c>
      <c r="B3263" t="s" s="834">
        <v>2266</v>
      </c>
      <c r="C3263" t="s" s="834">
        <v>805</v>
      </c>
      <c r="D3263" s="570"/>
      <c r="E3263" s="570"/>
      <c r="F3263" s="570"/>
      <c r="G3263" s="570"/>
      <c r="H3263" s="570"/>
      <c r="I3263" s="570"/>
      <c r="J3263" s="570"/>
      <c r="K3263" s="570"/>
    </row>
    <row r="3264" ht="13.75" customHeight="1">
      <c r="A3264" s="833">
        <v>153</v>
      </c>
      <c r="B3264" t="s" s="834">
        <v>2253</v>
      </c>
      <c r="C3264" t="s" s="834">
        <v>1702</v>
      </c>
      <c r="D3264" s="835">
        <v>46032</v>
      </c>
      <c r="E3264" s="836">
        <v>1.688645833333333</v>
      </c>
      <c r="F3264" s="836">
        <v>1.720902777777778</v>
      </c>
      <c r="G3264" s="570"/>
      <c r="H3264" s="570"/>
      <c r="I3264" s="570"/>
      <c r="J3264" s="570"/>
      <c r="K3264" s="570"/>
    </row>
    <row r="3265" ht="13.75" customHeight="1">
      <c r="A3265" t="s" s="834">
        <v>2267</v>
      </c>
      <c r="B3265" t="s" s="834">
        <v>2268</v>
      </c>
      <c r="C3265" t="s" s="834">
        <v>2269</v>
      </c>
      <c r="D3265" s="570"/>
      <c r="E3265" s="570"/>
      <c r="F3265" s="570"/>
      <c r="G3265" s="570"/>
      <c r="H3265" s="570"/>
      <c r="I3265" s="570"/>
      <c r="J3265" s="570"/>
      <c r="K3265" s="570"/>
    </row>
    <row r="3266" ht="13.75" customHeight="1">
      <c r="A3266" s="833">
        <v>153</v>
      </c>
      <c r="B3266" t="s" s="834">
        <v>2253</v>
      </c>
      <c r="C3266" t="s" s="834">
        <v>1702</v>
      </c>
      <c r="D3266" s="835">
        <v>46033</v>
      </c>
      <c r="E3266" t="s" s="834">
        <v>478</v>
      </c>
      <c r="F3266" t="s" s="834">
        <v>478</v>
      </c>
      <c r="G3266" s="570"/>
      <c r="H3266" s="570"/>
      <c r="I3266" s="570"/>
      <c r="J3266" s="570"/>
      <c r="K3266" s="570"/>
    </row>
    <row r="3267" ht="13.75" customHeight="1">
      <c r="A3267" s="833">
        <v>153</v>
      </c>
      <c r="B3267" t="s" s="834">
        <v>2253</v>
      </c>
      <c r="C3267" t="s" s="834">
        <v>1702</v>
      </c>
      <c r="D3267" s="835">
        <v>46034</v>
      </c>
      <c r="E3267" s="836">
        <v>1.360543981481481</v>
      </c>
      <c r="F3267" s="836">
        <v>1.779733796296296</v>
      </c>
      <c r="G3267" s="570"/>
      <c r="H3267" s="570"/>
      <c r="I3267" s="570"/>
      <c r="J3267" s="570"/>
      <c r="K3267" s="570"/>
    </row>
    <row r="3268" ht="13.75" customHeight="1">
      <c r="A3268" t="s" s="834">
        <v>2270</v>
      </c>
      <c r="B3268" t="s" s="834">
        <v>2271</v>
      </c>
      <c r="C3268" t="s" s="834">
        <v>1016</v>
      </c>
      <c r="D3268" s="570"/>
      <c r="E3268" s="570"/>
      <c r="F3268" s="570"/>
      <c r="G3268" s="570"/>
      <c r="H3268" s="570"/>
      <c r="I3268" s="570"/>
      <c r="J3268" s="570"/>
      <c r="K3268" s="570"/>
    </row>
    <row r="3269" ht="13.75" customHeight="1">
      <c r="A3269" s="833">
        <v>153</v>
      </c>
      <c r="B3269" t="s" s="834">
        <v>2253</v>
      </c>
      <c r="C3269" t="s" s="834">
        <v>1702</v>
      </c>
      <c r="D3269" s="835">
        <v>46035</v>
      </c>
      <c r="E3269" s="836">
        <v>1.363946759259259</v>
      </c>
      <c r="F3269" s="836">
        <v>1.890752314814815</v>
      </c>
      <c r="G3269" s="570"/>
      <c r="H3269" s="570"/>
      <c r="I3269" s="570"/>
      <c r="J3269" s="570"/>
      <c r="K3269" s="570"/>
    </row>
    <row r="3270" ht="13.75" customHeight="1">
      <c r="A3270" t="s" s="834">
        <v>2272</v>
      </c>
      <c r="B3270" t="s" s="834">
        <v>2273</v>
      </c>
      <c r="C3270" t="s" s="834">
        <v>2274</v>
      </c>
      <c r="D3270" s="570"/>
      <c r="E3270" s="570"/>
      <c r="F3270" s="570"/>
      <c r="G3270" s="570"/>
      <c r="H3270" s="570"/>
      <c r="I3270" s="570"/>
      <c r="J3270" s="570"/>
      <c r="K3270" s="570"/>
    </row>
    <row r="3271" ht="13.75" customHeight="1">
      <c r="A3271" s="833">
        <v>153</v>
      </c>
      <c r="B3271" t="s" s="834">
        <v>2253</v>
      </c>
      <c r="C3271" t="s" s="834">
        <v>1702</v>
      </c>
      <c r="D3271" s="835">
        <v>46036</v>
      </c>
      <c r="E3271" s="836">
        <v>1.366435185185185</v>
      </c>
      <c r="F3271" s="836">
        <v>1.78974537037037</v>
      </c>
      <c r="G3271" s="570"/>
      <c r="H3271" s="570"/>
      <c r="I3271" s="570"/>
      <c r="J3271" s="570"/>
      <c r="K3271" s="570"/>
    </row>
    <row r="3272" ht="13.75" customHeight="1">
      <c r="A3272" t="s" s="834">
        <v>2275</v>
      </c>
      <c r="B3272" t="s" s="834">
        <v>2276</v>
      </c>
      <c r="C3272" t="s" s="834">
        <v>649</v>
      </c>
      <c r="D3272" s="570"/>
      <c r="E3272" s="570"/>
      <c r="F3272" s="570"/>
      <c r="G3272" s="570"/>
      <c r="H3272" s="570"/>
      <c r="I3272" s="570"/>
      <c r="J3272" s="570"/>
      <c r="K3272" s="570"/>
    </row>
    <row r="3273" ht="13.75" customHeight="1">
      <c r="A3273" s="833">
        <v>153</v>
      </c>
      <c r="B3273" t="s" s="834">
        <v>2253</v>
      </c>
      <c r="C3273" t="s" s="834">
        <v>1702</v>
      </c>
      <c r="D3273" s="835">
        <v>46037</v>
      </c>
      <c r="E3273" s="836">
        <v>1.363275462962963</v>
      </c>
      <c r="F3273" s="836">
        <v>1.733425925925926</v>
      </c>
      <c r="G3273" s="570"/>
      <c r="H3273" s="570"/>
      <c r="I3273" s="570"/>
      <c r="J3273" s="570"/>
      <c r="K3273" s="570"/>
    </row>
    <row r="3274" ht="13.75" customHeight="1">
      <c r="A3274" t="s" s="834">
        <v>2277</v>
      </c>
      <c r="B3274" t="s" s="834">
        <v>2278</v>
      </c>
      <c r="C3274" t="s" s="834">
        <v>1480</v>
      </c>
      <c r="D3274" s="570"/>
      <c r="E3274" s="570"/>
      <c r="F3274" s="570"/>
      <c r="G3274" s="570"/>
      <c r="H3274" s="570"/>
      <c r="I3274" s="570"/>
      <c r="J3274" s="570"/>
      <c r="K3274" s="570"/>
    </row>
    <row r="3275" ht="13.75" customHeight="1">
      <c r="A3275" s="833">
        <v>153</v>
      </c>
      <c r="B3275" t="s" s="834">
        <v>2253</v>
      </c>
      <c r="C3275" t="s" s="834">
        <v>1702</v>
      </c>
      <c r="D3275" s="835">
        <v>46038</v>
      </c>
      <c r="E3275" s="836">
        <v>1.400277777777778</v>
      </c>
      <c r="F3275" s="836">
        <v>1.923252314814815</v>
      </c>
      <c r="G3275" s="570"/>
      <c r="H3275" s="570"/>
      <c r="I3275" s="570"/>
      <c r="J3275" s="570"/>
      <c r="K3275" s="570"/>
    </row>
    <row r="3276" ht="13.75" customHeight="1">
      <c r="A3276" t="s" s="834">
        <v>2279</v>
      </c>
      <c r="B3276" t="s" s="834">
        <v>2280</v>
      </c>
      <c r="C3276" t="s" s="834">
        <v>1097</v>
      </c>
      <c r="D3276" s="570"/>
      <c r="E3276" s="570"/>
      <c r="F3276" s="570"/>
      <c r="G3276" s="570"/>
      <c r="H3276" s="570"/>
      <c r="I3276" s="570"/>
      <c r="J3276" s="570"/>
      <c r="K3276" s="570"/>
    </row>
    <row r="3277" ht="13.75" customHeight="1">
      <c r="A3277" s="833">
        <v>153</v>
      </c>
      <c r="B3277" t="s" s="834">
        <v>2253</v>
      </c>
      <c r="C3277" t="s" s="834">
        <v>1702</v>
      </c>
      <c r="D3277" s="835">
        <v>46039</v>
      </c>
      <c r="E3277" t="s" s="834">
        <v>478</v>
      </c>
      <c r="F3277" t="s" s="834">
        <v>478</v>
      </c>
      <c r="G3277" s="570"/>
      <c r="H3277" s="570"/>
      <c r="I3277" s="570"/>
      <c r="J3277" s="570"/>
      <c r="K3277" s="570"/>
    </row>
    <row r="3278" ht="13.75" customHeight="1">
      <c r="A3278" s="833">
        <v>153</v>
      </c>
      <c r="B3278" t="s" s="834">
        <v>2253</v>
      </c>
      <c r="C3278" t="s" s="834">
        <v>1702</v>
      </c>
      <c r="D3278" s="835">
        <v>46040</v>
      </c>
      <c r="E3278" t="s" s="834">
        <v>478</v>
      </c>
      <c r="F3278" t="s" s="834">
        <v>478</v>
      </c>
      <c r="G3278" s="570"/>
      <c r="H3278" s="570"/>
      <c r="I3278" s="570"/>
      <c r="J3278" s="570"/>
      <c r="K3278" s="570"/>
    </row>
    <row r="3279" ht="13.75" customHeight="1">
      <c r="A3279" s="833">
        <v>153</v>
      </c>
      <c r="B3279" t="s" s="834">
        <v>2253</v>
      </c>
      <c r="C3279" t="s" s="834">
        <v>1702</v>
      </c>
      <c r="D3279" s="835">
        <v>46041</v>
      </c>
      <c r="E3279" s="836">
        <v>1.356203703703704</v>
      </c>
      <c r="F3279" s="836">
        <v>1.786805555555556</v>
      </c>
      <c r="G3279" s="570"/>
      <c r="H3279" s="570"/>
      <c r="I3279" s="570"/>
      <c r="J3279" s="570"/>
      <c r="K3279" s="570"/>
    </row>
    <row r="3280" ht="13.75" customHeight="1">
      <c r="A3280" t="s" s="834">
        <v>2281</v>
      </c>
      <c r="B3280" t="s" s="834">
        <v>2282</v>
      </c>
      <c r="C3280" t="s" s="834">
        <v>2283</v>
      </c>
      <c r="D3280" s="570"/>
      <c r="E3280" s="570"/>
      <c r="F3280" s="570"/>
      <c r="G3280" s="570"/>
      <c r="H3280" s="570"/>
      <c r="I3280" s="570"/>
      <c r="J3280" s="570"/>
      <c r="K3280" s="570"/>
    </row>
    <row r="3281" ht="13.75" customHeight="1">
      <c r="A3281" s="833">
        <v>153</v>
      </c>
      <c r="B3281" t="s" s="834">
        <v>2253</v>
      </c>
      <c r="C3281" t="s" s="834">
        <v>1702</v>
      </c>
      <c r="D3281" s="835">
        <v>46042</v>
      </c>
      <c r="E3281" s="836">
        <v>1.362511574074074</v>
      </c>
      <c r="F3281" s="836">
        <v>1.788900462962963</v>
      </c>
      <c r="G3281" s="570"/>
      <c r="H3281" s="570"/>
      <c r="I3281" s="570"/>
      <c r="J3281" s="570"/>
      <c r="K3281" s="570"/>
    </row>
    <row r="3282" ht="13.75" customHeight="1">
      <c r="A3282" t="s" s="834">
        <v>2284</v>
      </c>
      <c r="B3282" t="s" s="834">
        <v>2285</v>
      </c>
      <c r="C3282" t="s" s="834">
        <v>1549</v>
      </c>
      <c r="D3282" s="570"/>
      <c r="E3282" s="570"/>
      <c r="F3282" s="570"/>
      <c r="G3282" s="570"/>
      <c r="H3282" s="570"/>
      <c r="I3282" s="570"/>
      <c r="J3282" s="570"/>
      <c r="K3282" s="570"/>
    </row>
    <row r="3283" ht="13.75" customHeight="1">
      <c r="A3283" s="833">
        <v>153</v>
      </c>
      <c r="B3283" t="s" s="834">
        <v>2253</v>
      </c>
      <c r="C3283" t="s" s="834">
        <v>1702</v>
      </c>
      <c r="D3283" s="835">
        <v>46043</v>
      </c>
      <c r="E3283" s="836">
        <v>1.371388888888889</v>
      </c>
      <c r="F3283" s="836">
        <v>1.785740740740741</v>
      </c>
      <c r="G3283" s="570"/>
      <c r="H3283" s="570"/>
      <c r="I3283" s="570"/>
      <c r="J3283" s="570"/>
      <c r="K3283" s="570"/>
    </row>
    <row r="3284" ht="13.75" customHeight="1">
      <c r="A3284" t="s" s="834">
        <v>2286</v>
      </c>
      <c r="B3284" t="s" s="834">
        <v>2287</v>
      </c>
      <c r="C3284" t="s" s="834">
        <v>1259</v>
      </c>
      <c r="D3284" s="570"/>
      <c r="E3284" s="570"/>
      <c r="F3284" s="570"/>
      <c r="G3284" s="570"/>
      <c r="H3284" s="570"/>
      <c r="I3284" s="570"/>
      <c r="J3284" s="570"/>
      <c r="K3284" s="570"/>
    </row>
    <row r="3285" ht="13.75" customHeight="1">
      <c r="A3285" s="833">
        <v>153</v>
      </c>
      <c r="B3285" t="s" s="834">
        <v>2253</v>
      </c>
      <c r="C3285" t="s" s="834">
        <v>1702</v>
      </c>
      <c r="D3285" s="835">
        <v>46044</v>
      </c>
      <c r="E3285" s="836">
        <v>1.367581018518519</v>
      </c>
      <c r="F3285" t="s" s="834">
        <v>478</v>
      </c>
      <c r="G3285" s="570"/>
      <c r="H3285" s="570"/>
      <c r="I3285" s="570"/>
      <c r="J3285" s="570"/>
      <c r="K3285" s="570"/>
    </row>
    <row r="3286" ht="13.75" customHeight="1">
      <c r="A3286" t="s" s="834">
        <v>2288</v>
      </c>
      <c r="B3286" t="s" s="834">
        <v>485</v>
      </c>
      <c r="C3286" t="s" s="834">
        <v>486</v>
      </c>
      <c r="D3286" s="570"/>
      <c r="E3286" s="570"/>
      <c r="F3286" s="570"/>
      <c r="G3286" s="570"/>
      <c r="H3286" s="570"/>
      <c r="I3286" s="570"/>
      <c r="J3286" s="570"/>
      <c r="K3286" s="570"/>
    </row>
    <row r="3287" ht="13.75" customHeight="1">
      <c r="A3287" s="833">
        <v>153</v>
      </c>
      <c r="B3287" t="s" s="834">
        <v>2253</v>
      </c>
      <c r="C3287" t="s" s="834">
        <v>1702</v>
      </c>
      <c r="D3287" s="835">
        <v>46045</v>
      </c>
      <c r="E3287" t="s" s="834">
        <v>478</v>
      </c>
      <c r="F3287" t="s" s="834">
        <v>478</v>
      </c>
      <c r="G3287" s="570"/>
      <c r="H3287" s="570"/>
      <c r="I3287" s="570"/>
      <c r="J3287" s="570"/>
      <c r="K3287" s="570"/>
    </row>
    <row r="3288" ht="13.75" customHeight="1">
      <c r="A3288" s="833">
        <v>153</v>
      </c>
      <c r="B3288" t="s" s="834">
        <v>2253</v>
      </c>
      <c r="C3288" t="s" s="834">
        <v>1702</v>
      </c>
      <c r="D3288" s="835">
        <v>46046</v>
      </c>
      <c r="E3288" t="s" s="834">
        <v>478</v>
      </c>
      <c r="F3288" t="s" s="834">
        <v>478</v>
      </c>
      <c r="G3288" s="570"/>
      <c r="H3288" s="570"/>
      <c r="I3288" s="570"/>
      <c r="J3288" s="570"/>
      <c r="K3288" s="570"/>
    </row>
    <row r="3289" ht="13.75" customHeight="1">
      <c r="A3289" s="833">
        <v>153</v>
      </c>
      <c r="B3289" t="s" s="834">
        <v>2253</v>
      </c>
      <c r="C3289" t="s" s="834">
        <v>1702</v>
      </c>
      <c r="D3289" s="835">
        <v>46047</v>
      </c>
      <c r="E3289" t="s" s="834">
        <v>478</v>
      </c>
      <c r="F3289" t="s" s="834">
        <v>478</v>
      </c>
      <c r="G3289" s="570"/>
      <c r="H3289" s="570"/>
      <c r="I3289" s="570"/>
      <c r="J3289" s="570"/>
      <c r="K3289" s="570"/>
    </row>
    <row r="3290" ht="13.75" customHeight="1">
      <c r="A3290" s="833">
        <v>153</v>
      </c>
      <c r="B3290" t="s" s="834">
        <v>2253</v>
      </c>
      <c r="C3290" t="s" s="834">
        <v>1702</v>
      </c>
      <c r="D3290" s="835">
        <v>46048</v>
      </c>
      <c r="E3290" t="s" s="834">
        <v>478</v>
      </c>
      <c r="F3290" t="s" s="834">
        <v>478</v>
      </c>
      <c r="G3290" s="570"/>
      <c r="H3290" s="570"/>
      <c r="I3290" s="570"/>
      <c r="J3290" s="570"/>
      <c r="K3290" s="570"/>
    </row>
    <row r="3291" ht="13.75" customHeight="1">
      <c r="A3291" s="833">
        <v>153</v>
      </c>
      <c r="B3291" t="s" s="834">
        <v>2253</v>
      </c>
      <c r="C3291" t="s" s="834">
        <v>1702</v>
      </c>
      <c r="D3291" s="835">
        <v>46049</v>
      </c>
      <c r="E3291" t="s" s="834">
        <v>478</v>
      </c>
      <c r="F3291" t="s" s="834">
        <v>478</v>
      </c>
      <c r="G3291" s="570"/>
      <c r="H3291" s="570"/>
      <c r="I3291" s="570"/>
      <c r="J3291" s="570"/>
      <c r="K3291" s="570"/>
    </row>
    <row r="3292" ht="13.75" customHeight="1">
      <c r="A3292" s="833">
        <v>153</v>
      </c>
      <c r="B3292" t="s" s="834">
        <v>2253</v>
      </c>
      <c r="C3292" t="s" s="834">
        <v>1702</v>
      </c>
      <c r="D3292" s="835">
        <v>46050</v>
      </c>
      <c r="E3292" t="s" s="834">
        <v>478</v>
      </c>
      <c r="F3292" t="s" s="834">
        <v>478</v>
      </c>
      <c r="G3292" s="570"/>
      <c r="H3292" s="570"/>
      <c r="I3292" s="570"/>
      <c r="J3292" s="570"/>
      <c r="K3292" s="570"/>
    </row>
    <row r="3293" ht="13.75" customHeight="1">
      <c r="A3293" s="833">
        <v>153</v>
      </c>
      <c r="B3293" t="s" s="834">
        <v>2253</v>
      </c>
      <c r="C3293" t="s" s="834">
        <v>1702</v>
      </c>
      <c r="D3293" s="835">
        <v>46051</v>
      </c>
      <c r="E3293" t="s" s="834">
        <v>478</v>
      </c>
      <c r="F3293" t="s" s="834">
        <v>478</v>
      </c>
      <c r="G3293" s="570"/>
      <c r="H3293" s="570"/>
      <c r="I3293" s="570"/>
      <c r="J3293" s="570"/>
      <c r="K3293" s="570"/>
    </row>
    <row r="3294" ht="13.75" customHeight="1">
      <c r="A3294" s="833">
        <v>153</v>
      </c>
      <c r="B3294" t="s" s="834">
        <v>2253</v>
      </c>
      <c r="C3294" t="s" s="834">
        <v>1702</v>
      </c>
      <c r="D3294" s="835">
        <v>46052</v>
      </c>
      <c r="E3294" s="836">
        <v>1.897928240740741</v>
      </c>
      <c r="F3294" t="s" s="834">
        <v>478</v>
      </c>
      <c r="G3294" s="570"/>
      <c r="H3294" s="570"/>
      <c r="I3294" s="570"/>
      <c r="J3294" s="570"/>
      <c r="K3294" s="570"/>
    </row>
    <row r="3295" ht="13.75" customHeight="1">
      <c r="A3295" t="s" s="834">
        <v>2289</v>
      </c>
      <c r="B3295" t="s" s="834">
        <v>485</v>
      </c>
      <c r="C3295" t="s" s="834">
        <v>486</v>
      </c>
      <c r="D3295" s="570"/>
      <c r="E3295" s="570"/>
      <c r="F3295" s="570"/>
      <c r="G3295" s="570"/>
      <c r="H3295" s="570"/>
      <c r="I3295" s="570"/>
      <c r="J3295" s="570"/>
      <c r="K3295" s="570"/>
    </row>
    <row r="3296" ht="13.75" customHeight="1">
      <c r="A3296" s="833">
        <v>153</v>
      </c>
      <c r="B3296" t="s" s="834">
        <v>2253</v>
      </c>
      <c r="C3296" t="s" s="834">
        <v>1702</v>
      </c>
      <c r="D3296" s="835">
        <v>46053</v>
      </c>
      <c r="E3296" t="s" s="834">
        <v>478</v>
      </c>
      <c r="F3296" t="s" s="834">
        <v>478</v>
      </c>
      <c r="G3296" s="570"/>
      <c r="H3296" s="570"/>
      <c r="I3296" s="570"/>
      <c r="J3296" s="570"/>
      <c r="K3296" s="570"/>
    </row>
    <row r="3297" ht="13.75" customHeight="1">
      <c r="A3297" s="833">
        <v>153</v>
      </c>
      <c r="B3297" t="s" s="834">
        <v>2253</v>
      </c>
      <c r="C3297" t="s" s="834">
        <v>1702</v>
      </c>
      <c r="D3297" s="835">
        <v>46054</v>
      </c>
      <c r="E3297" t="s" s="834">
        <v>478</v>
      </c>
      <c r="F3297" t="s" s="834">
        <v>478</v>
      </c>
      <c r="G3297" s="570"/>
      <c r="H3297" s="570"/>
      <c r="I3297" s="570"/>
      <c r="J3297" s="570"/>
      <c r="K3297" s="570"/>
    </row>
    <row r="3298" ht="13.75" customHeight="1">
      <c r="A3298" s="833">
        <v>155</v>
      </c>
      <c r="B3298" t="s" s="834">
        <v>2290</v>
      </c>
      <c r="C3298" t="s" s="834">
        <v>800</v>
      </c>
      <c r="D3298" s="835">
        <v>46023</v>
      </c>
      <c r="E3298" t="s" s="834">
        <v>478</v>
      </c>
      <c r="F3298" t="s" s="834">
        <v>478</v>
      </c>
      <c r="G3298" s="570"/>
      <c r="H3298" s="570"/>
      <c r="I3298" s="570"/>
      <c r="J3298" s="570"/>
      <c r="K3298" s="570"/>
    </row>
    <row r="3299" ht="13.75" customHeight="1">
      <c r="A3299" s="833">
        <v>155</v>
      </c>
      <c r="B3299" t="s" s="834">
        <v>2290</v>
      </c>
      <c r="C3299" t="s" s="834">
        <v>800</v>
      </c>
      <c r="D3299" s="835">
        <v>46024</v>
      </c>
      <c r="E3299" t="s" s="834">
        <v>478</v>
      </c>
      <c r="F3299" t="s" s="834">
        <v>478</v>
      </c>
      <c r="G3299" s="570"/>
      <c r="H3299" s="570"/>
      <c r="I3299" s="570"/>
      <c r="J3299" s="570"/>
      <c r="K3299" s="570"/>
    </row>
    <row r="3300" ht="13.75" customHeight="1">
      <c r="A3300" s="833">
        <v>155</v>
      </c>
      <c r="B3300" t="s" s="834">
        <v>2290</v>
      </c>
      <c r="C3300" t="s" s="834">
        <v>800</v>
      </c>
      <c r="D3300" s="835">
        <v>46025</v>
      </c>
      <c r="E3300" t="s" s="834">
        <v>478</v>
      </c>
      <c r="F3300" t="s" s="834">
        <v>478</v>
      </c>
      <c r="G3300" s="570"/>
      <c r="H3300" s="570"/>
      <c r="I3300" s="570"/>
      <c r="J3300" s="570"/>
      <c r="K3300" s="570"/>
    </row>
    <row r="3301" ht="13.75" customHeight="1">
      <c r="A3301" s="833">
        <v>155</v>
      </c>
      <c r="B3301" t="s" s="834">
        <v>2290</v>
      </c>
      <c r="C3301" t="s" s="834">
        <v>800</v>
      </c>
      <c r="D3301" s="835">
        <v>46026</v>
      </c>
      <c r="E3301" t="s" s="834">
        <v>478</v>
      </c>
      <c r="F3301" t="s" s="834">
        <v>478</v>
      </c>
      <c r="G3301" s="570"/>
      <c r="H3301" s="570"/>
      <c r="I3301" s="570"/>
      <c r="J3301" s="570"/>
      <c r="K3301" s="570"/>
    </row>
    <row r="3302" ht="13.75" customHeight="1">
      <c r="A3302" s="833">
        <v>155</v>
      </c>
      <c r="B3302" t="s" s="834">
        <v>2290</v>
      </c>
      <c r="C3302" t="s" s="834">
        <v>800</v>
      </c>
      <c r="D3302" s="835">
        <v>46027</v>
      </c>
      <c r="E3302" s="836">
        <v>1.363819444444444</v>
      </c>
      <c r="F3302" s="836">
        <v>1.785914351851852</v>
      </c>
      <c r="G3302" s="570"/>
      <c r="H3302" s="570"/>
      <c r="I3302" s="570"/>
      <c r="J3302" s="570"/>
      <c r="K3302" s="570"/>
    </row>
    <row r="3303" ht="13.75" customHeight="1">
      <c r="A3303" t="s" s="834">
        <v>2291</v>
      </c>
      <c r="B3303" t="s" s="834">
        <v>2292</v>
      </c>
      <c r="C3303" t="s" s="834">
        <v>926</v>
      </c>
      <c r="D3303" s="570"/>
      <c r="E3303" s="570"/>
      <c r="F3303" s="570"/>
      <c r="G3303" s="570"/>
      <c r="H3303" s="570"/>
      <c r="I3303" s="570"/>
      <c r="J3303" s="570"/>
      <c r="K3303" s="570"/>
    </row>
    <row r="3304" ht="13.75" customHeight="1">
      <c r="A3304" s="833">
        <v>155</v>
      </c>
      <c r="B3304" t="s" s="834">
        <v>2290</v>
      </c>
      <c r="C3304" t="s" s="834">
        <v>800</v>
      </c>
      <c r="D3304" s="835">
        <v>46028</v>
      </c>
      <c r="E3304" s="836">
        <v>1.362951388888889</v>
      </c>
      <c r="F3304" s="836">
        <v>1.784201388888889</v>
      </c>
      <c r="G3304" s="570"/>
      <c r="H3304" s="570"/>
      <c r="I3304" s="570"/>
      <c r="J3304" s="570"/>
      <c r="K3304" s="570"/>
    </row>
    <row r="3305" ht="13.75" customHeight="1">
      <c r="A3305" t="s" s="834">
        <v>2293</v>
      </c>
      <c r="B3305" t="s" s="834">
        <v>2294</v>
      </c>
      <c r="C3305" t="s" s="834">
        <v>620</v>
      </c>
      <c r="D3305" s="570"/>
      <c r="E3305" s="570"/>
      <c r="F3305" s="570"/>
      <c r="G3305" s="570"/>
      <c r="H3305" s="570"/>
      <c r="I3305" s="570"/>
      <c r="J3305" s="570"/>
      <c r="K3305" s="570"/>
    </row>
    <row r="3306" ht="13.75" customHeight="1">
      <c r="A3306" s="833">
        <v>155</v>
      </c>
      <c r="B3306" t="s" s="834">
        <v>2290</v>
      </c>
      <c r="C3306" t="s" s="834">
        <v>800</v>
      </c>
      <c r="D3306" s="835">
        <v>46029</v>
      </c>
      <c r="E3306" s="836">
        <v>1.355266203703704</v>
      </c>
      <c r="F3306" s="836">
        <v>1.782175925925926</v>
      </c>
      <c r="G3306" s="570"/>
      <c r="H3306" s="570"/>
      <c r="I3306" s="570"/>
      <c r="J3306" s="570"/>
      <c r="K3306" s="570"/>
    </row>
    <row r="3307" ht="13.75" customHeight="1">
      <c r="A3307" t="s" s="834">
        <v>2295</v>
      </c>
      <c r="B3307" t="s" s="834">
        <v>2296</v>
      </c>
      <c r="C3307" t="s" s="834">
        <v>655</v>
      </c>
      <c r="D3307" s="570"/>
      <c r="E3307" s="570"/>
      <c r="F3307" s="570"/>
      <c r="G3307" s="570"/>
      <c r="H3307" s="570"/>
      <c r="I3307" s="570"/>
      <c r="J3307" s="570"/>
      <c r="K3307" s="570"/>
    </row>
    <row r="3308" ht="13.75" customHeight="1">
      <c r="A3308" s="833">
        <v>155</v>
      </c>
      <c r="B3308" t="s" s="834">
        <v>2290</v>
      </c>
      <c r="C3308" t="s" s="834">
        <v>800</v>
      </c>
      <c r="D3308" s="835">
        <v>46030</v>
      </c>
      <c r="E3308" s="836">
        <v>1.359305555555556</v>
      </c>
      <c r="F3308" s="836">
        <v>1.788101851851852</v>
      </c>
      <c r="G3308" s="570"/>
      <c r="H3308" s="570"/>
      <c r="I3308" s="570"/>
      <c r="J3308" s="570"/>
      <c r="K3308" s="570"/>
    </row>
    <row r="3309" ht="13.75" customHeight="1">
      <c r="A3309" t="s" s="834">
        <v>2297</v>
      </c>
      <c r="B3309" t="s" s="834">
        <v>2298</v>
      </c>
      <c r="C3309" t="s" s="834">
        <v>1580</v>
      </c>
      <c r="D3309" s="570"/>
      <c r="E3309" s="570"/>
      <c r="F3309" s="570"/>
      <c r="G3309" s="570"/>
      <c r="H3309" s="570"/>
      <c r="I3309" s="570"/>
      <c r="J3309" s="570"/>
      <c r="K3309" s="570"/>
    </row>
    <row r="3310" ht="13.75" customHeight="1">
      <c r="A3310" s="833">
        <v>155</v>
      </c>
      <c r="B3310" t="s" s="834">
        <v>2290</v>
      </c>
      <c r="C3310" t="s" s="834">
        <v>800</v>
      </c>
      <c r="D3310" s="835">
        <v>46031</v>
      </c>
      <c r="E3310" t="s" s="834">
        <v>478</v>
      </c>
      <c r="F3310" t="s" s="834">
        <v>478</v>
      </c>
      <c r="G3310" s="570"/>
      <c r="H3310" s="570"/>
      <c r="I3310" s="570"/>
      <c r="J3310" s="570"/>
      <c r="K3310" s="570"/>
    </row>
    <row r="3311" ht="13.75" customHeight="1">
      <c r="A3311" s="833">
        <v>155</v>
      </c>
      <c r="B3311" t="s" s="834">
        <v>2290</v>
      </c>
      <c r="C3311" t="s" s="834">
        <v>800</v>
      </c>
      <c r="D3311" s="835">
        <v>46032</v>
      </c>
      <c r="E3311" t="s" s="834">
        <v>478</v>
      </c>
      <c r="F3311" t="s" s="834">
        <v>478</v>
      </c>
      <c r="G3311" s="570"/>
      <c r="H3311" s="570"/>
      <c r="I3311" s="570"/>
      <c r="J3311" s="570"/>
      <c r="K3311" s="570"/>
    </row>
    <row r="3312" ht="13.75" customHeight="1">
      <c r="A3312" s="833">
        <v>155</v>
      </c>
      <c r="B3312" t="s" s="834">
        <v>2290</v>
      </c>
      <c r="C3312" t="s" s="834">
        <v>800</v>
      </c>
      <c r="D3312" s="835">
        <v>46033</v>
      </c>
      <c r="E3312" s="836">
        <v>1.769456018518519</v>
      </c>
      <c r="F3312" s="836">
        <v>1.769780092592593</v>
      </c>
      <c r="G3312" s="570"/>
      <c r="H3312" s="570"/>
      <c r="I3312" s="570"/>
      <c r="J3312" s="570"/>
      <c r="K3312" s="570"/>
    </row>
    <row r="3313" ht="13.75" customHeight="1">
      <c r="A3313" t="s" s="834">
        <v>2299</v>
      </c>
      <c r="B3313" t="s" s="834">
        <v>2300</v>
      </c>
      <c r="C3313" t="s" s="834">
        <v>486</v>
      </c>
      <c r="D3313" s="570"/>
      <c r="E3313" s="570"/>
      <c r="F3313" s="570"/>
      <c r="G3313" s="570"/>
      <c r="H3313" s="570"/>
      <c r="I3313" s="570"/>
      <c r="J3313" s="570"/>
      <c r="K3313" s="570"/>
    </row>
    <row r="3314" ht="13.75" customHeight="1">
      <c r="A3314" s="833">
        <v>155</v>
      </c>
      <c r="B3314" t="s" s="834">
        <v>2290</v>
      </c>
      <c r="C3314" t="s" s="834">
        <v>800</v>
      </c>
      <c r="D3314" s="835">
        <v>46034</v>
      </c>
      <c r="E3314" s="836">
        <v>1.350092592592593</v>
      </c>
      <c r="F3314" s="836">
        <v>1.779537037037037</v>
      </c>
      <c r="G3314" s="570"/>
      <c r="H3314" s="570"/>
      <c r="I3314" s="570"/>
      <c r="J3314" s="570"/>
      <c r="K3314" s="570"/>
    </row>
    <row r="3315" ht="13.75" customHeight="1">
      <c r="A3315" t="s" s="834">
        <v>2301</v>
      </c>
      <c r="B3315" t="s" s="834">
        <v>2302</v>
      </c>
      <c r="C3315" t="s" s="834">
        <v>626</v>
      </c>
      <c r="D3315" s="570"/>
      <c r="E3315" s="570"/>
      <c r="F3315" s="570"/>
      <c r="G3315" s="570"/>
      <c r="H3315" s="570"/>
      <c r="I3315" s="570"/>
      <c r="J3315" s="570"/>
      <c r="K3315" s="570"/>
    </row>
    <row r="3316" ht="13.75" customHeight="1">
      <c r="A3316" s="833">
        <v>155</v>
      </c>
      <c r="B3316" t="s" s="834">
        <v>2290</v>
      </c>
      <c r="C3316" t="s" s="834">
        <v>800</v>
      </c>
      <c r="D3316" s="835">
        <v>46035</v>
      </c>
      <c r="E3316" s="836">
        <v>1.35849537037037</v>
      </c>
      <c r="F3316" s="836">
        <v>1.829270833333333</v>
      </c>
      <c r="G3316" s="570"/>
      <c r="H3316" s="570"/>
      <c r="I3316" s="570"/>
      <c r="J3316" s="570"/>
      <c r="K3316" s="570"/>
    </row>
    <row r="3317" ht="13.75" customHeight="1">
      <c r="A3317" t="s" s="834">
        <v>2303</v>
      </c>
      <c r="B3317" t="s" s="834">
        <v>2304</v>
      </c>
      <c r="C3317" t="s" s="834">
        <v>2305</v>
      </c>
      <c r="D3317" s="570"/>
      <c r="E3317" s="570"/>
      <c r="F3317" s="570"/>
      <c r="G3317" s="570"/>
      <c r="H3317" s="570"/>
      <c r="I3317" s="570"/>
      <c r="J3317" s="570"/>
      <c r="K3317" s="570"/>
    </row>
    <row r="3318" ht="13.75" customHeight="1">
      <c r="A3318" s="833">
        <v>155</v>
      </c>
      <c r="B3318" t="s" s="834">
        <v>2290</v>
      </c>
      <c r="C3318" t="s" s="834">
        <v>800</v>
      </c>
      <c r="D3318" s="835">
        <v>46036</v>
      </c>
      <c r="E3318" s="836">
        <v>1.436944444444444</v>
      </c>
      <c r="F3318" s="836">
        <v>1.7875</v>
      </c>
      <c r="G3318" s="570"/>
      <c r="H3318" s="570"/>
      <c r="I3318" s="570"/>
      <c r="J3318" s="570"/>
      <c r="K3318" s="570"/>
    </row>
    <row r="3319" ht="13.75" customHeight="1">
      <c r="A3319" t="s" s="834">
        <v>2306</v>
      </c>
      <c r="B3319" t="s" s="834">
        <v>2307</v>
      </c>
      <c r="C3319" t="s" s="834">
        <v>1382</v>
      </c>
      <c r="D3319" s="570"/>
      <c r="E3319" s="570"/>
      <c r="F3319" s="570"/>
      <c r="G3319" s="570"/>
      <c r="H3319" s="570"/>
      <c r="I3319" s="570"/>
      <c r="J3319" s="570"/>
      <c r="K3319" s="570"/>
    </row>
    <row r="3320" ht="13.75" customHeight="1">
      <c r="A3320" s="833">
        <v>155</v>
      </c>
      <c r="B3320" t="s" s="834">
        <v>2290</v>
      </c>
      <c r="C3320" t="s" s="834">
        <v>800</v>
      </c>
      <c r="D3320" s="835">
        <v>46037</v>
      </c>
      <c r="E3320" s="836">
        <v>1.367233796296296</v>
      </c>
      <c r="F3320" s="836">
        <v>1.7884375</v>
      </c>
      <c r="G3320" s="570"/>
      <c r="H3320" s="570"/>
      <c r="I3320" s="570"/>
      <c r="J3320" s="570"/>
      <c r="K3320" s="570"/>
    </row>
    <row r="3321" ht="13.75" customHeight="1">
      <c r="A3321" t="s" s="834">
        <v>2308</v>
      </c>
      <c r="B3321" t="s" s="834">
        <v>2309</v>
      </c>
      <c r="C3321" t="s" s="834">
        <v>620</v>
      </c>
      <c r="D3321" s="570"/>
      <c r="E3321" s="570"/>
      <c r="F3321" s="570"/>
      <c r="G3321" s="570"/>
      <c r="H3321" s="570"/>
      <c r="I3321" s="570"/>
      <c r="J3321" s="570"/>
      <c r="K3321" s="570"/>
    </row>
    <row r="3322" ht="13.75" customHeight="1">
      <c r="A3322" s="833">
        <v>155</v>
      </c>
      <c r="B3322" t="s" s="834">
        <v>2290</v>
      </c>
      <c r="C3322" t="s" s="834">
        <v>800</v>
      </c>
      <c r="D3322" s="835">
        <v>46038</v>
      </c>
      <c r="E3322" s="836">
        <v>1.694398148148148</v>
      </c>
      <c r="F3322" s="836">
        <v>1.695138888888889</v>
      </c>
      <c r="G3322" s="570"/>
      <c r="H3322" s="570"/>
      <c r="I3322" s="570"/>
      <c r="J3322" s="570"/>
      <c r="K3322" s="570"/>
    </row>
    <row r="3323" ht="13.75" customHeight="1">
      <c r="A3323" t="s" s="834">
        <v>2310</v>
      </c>
      <c r="B3323" t="s" s="834">
        <v>2311</v>
      </c>
      <c r="C3323" t="s" s="834">
        <v>805</v>
      </c>
      <c r="D3323" s="570"/>
      <c r="E3323" s="570"/>
      <c r="F3323" s="570"/>
      <c r="G3323" s="570"/>
      <c r="H3323" s="570"/>
      <c r="I3323" s="570"/>
      <c r="J3323" s="570"/>
      <c r="K3323" s="570"/>
    </row>
    <row r="3324" ht="13.75" customHeight="1">
      <c r="A3324" s="833">
        <v>155</v>
      </c>
      <c r="B3324" t="s" s="834">
        <v>2290</v>
      </c>
      <c r="C3324" t="s" s="834">
        <v>800</v>
      </c>
      <c r="D3324" s="835">
        <v>46039</v>
      </c>
      <c r="E3324" t="s" s="834">
        <v>478</v>
      </c>
      <c r="F3324" t="s" s="834">
        <v>478</v>
      </c>
      <c r="G3324" s="570"/>
      <c r="H3324" s="570"/>
      <c r="I3324" s="570"/>
      <c r="J3324" s="570"/>
      <c r="K3324" s="570"/>
    </row>
    <row r="3325" ht="13.75" customHeight="1">
      <c r="A3325" s="833">
        <v>155</v>
      </c>
      <c r="B3325" t="s" s="834">
        <v>2290</v>
      </c>
      <c r="C3325" t="s" s="834">
        <v>800</v>
      </c>
      <c r="D3325" s="835">
        <v>46040</v>
      </c>
      <c r="E3325" t="s" s="834">
        <v>478</v>
      </c>
      <c r="F3325" t="s" s="834">
        <v>478</v>
      </c>
      <c r="G3325" s="570"/>
      <c r="H3325" s="570"/>
      <c r="I3325" s="570"/>
      <c r="J3325" s="570"/>
      <c r="K3325" s="570"/>
    </row>
    <row r="3326" ht="13.75" customHeight="1">
      <c r="A3326" s="833">
        <v>155</v>
      </c>
      <c r="B3326" t="s" s="834">
        <v>2290</v>
      </c>
      <c r="C3326" t="s" s="834">
        <v>800</v>
      </c>
      <c r="D3326" s="835">
        <v>46041</v>
      </c>
      <c r="E3326" s="836">
        <v>1.905138888888889</v>
      </c>
      <c r="F3326" s="836">
        <v>1.905185185185185</v>
      </c>
      <c r="G3326" s="570"/>
      <c r="H3326" s="570"/>
      <c r="I3326" s="570"/>
      <c r="J3326" s="570"/>
      <c r="K3326" s="570"/>
    </row>
    <row r="3327" ht="13.75" customHeight="1">
      <c r="A3327" t="s" s="834">
        <v>2312</v>
      </c>
      <c r="B3327" t="s" s="834">
        <v>2313</v>
      </c>
      <c r="C3327" t="s" s="834">
        <v>486</v>
      </c>
      <c r="D3327" s="570"/>
      <c r="E3327" s="570"/>
      <c r="F3327" s="570"/>
      <c r="G3327" s="570"/>
      <c r="H3327" s="570"/>
      <c r="I3327" s="570"/>
      <c r="J3327" s="570"/>
      <c r="K3327" s="570"/>
    </row>
    <row r="3328" ht="13.75" customHeight="1">
      <c r="A3328" s="833">
        <v>155</v>
      </c>
      <c r="B3328" t="s" s="834">
        <v>2290</v>
      </c>
      <c r="C3328" t="s" s="834">
        <v>800</v>
      </c>
      <c r="D3328" s="835">
        <v>46042</v>
      </c>
      <c r="E3328" t="s" s="834">
        <v>478</v>
      </c>
      <c r="F3328" t="s" s="834">
        <v>478</v>
      </c>
      <c r="G3328" s="570"/>
      <c r="H3328" s="570"/>
      <c r="I3328" s="570"/>
      <c r="J3328" s="570"/>
      <c r="K3328" s="570"/>
    </row>
    <row r="3329" ht="13.75" customHeight="1">
      <c r="A3329" s="833">
        <v>155</v>
      </c>
      <c r="B3329" t="s" s="834">
        <v>2290</v>
      </c>
      <c r="C3329" t="s" s="834">
        <v>800</v>
      </c>
      <c r="D3329" s="835">
        <v>46043</v>
      </c>
      <c r="E3329" s="836">
        <v>1.358113425925926</v>
      </c>
      <c r="F3329" s="836">
        <v>1.787592592592593</v>
      </c>
      <c r="G3329" s="570"/>
      <c r="H3329" s="570"/>
      <c r="I3329" s="570"/>
      <c r="J3329" s="570"/>
      <c r="K3329" s="570"/>
    </row>
    <row r="3330" ht="13.75" customHeight="1">
      <c r="A3330" t="s" s="834">
        <v>2314</v>
      </c>
      <c r="B3330" t="s" s="834">
        <v>2315</v>
      </c>
      <c r="C3330" t="s" s="834">
        <v>626</v>
      </c>
      <c r="D3330" s="570"/>
      <c r="E3330" s="570"/>
      <c r="F3330" s="570"/>
      <c r="G3330" s="570"/>
      <c r="H3330" s="570"/>
      <c r="I3330" s="570"/>
      <c r="J3330" s="570"/>
      <c r="K3330" s="570"/>
    </row>
    <row r="3331" ht="13.75" customHeight="1">
      <c r="A3331" s="833">
        <v>155</v>
      </c>
      <c r="B3331" t="s" s="834">
        <v>2290</v>
      </c>
      <c r="C3331" t="s" s="834">
        <v>800</v>
      </c>
      <c r="D3331" s="835">
        <v>46044</v>
      </c>
      <c r="E3331" s="836">
        <v>1.359479166666667</v>
      </c>
      <c r="F3331" s="836">
        <v>1.79099537037037</v>
      </c>
      <c r="G3331" s="570"/>
      <c r="H3331" s="570"/>
      <c r="I3331" s="570"/>
      <c r="J3331" s="570"/>
      <c r="K3331" s="570"/>
    </row>
    <row r="3332" ht="13.75" customHeight="1">
      <c r="A3332" t="s" s="834">
        <v>2316</v>
      </c>
      <c r="B3332" t="s" s="834">
        <v>2317</v>
      </c>
      <c r="C3332" t="s" s="834">
        <v>2318</v>
      </c>
      <c r="D3332" s="570"/>
      <c r="E3332" s="570"/>
      <c r="F3332" s="570"/>
      <c r="G3332" s="570"/>
      <c r="H3332" s="570"/>
      <c r="I3332" s="570"/>
      <c r="J3332" s="570"/>
      <c r="K3332" s="570"/>
    </row>
    <row r="3333" ht="13.75" customHeight="1">
      <c r="A3333" s="833">
        <v>155</v>
      </c>
      <c r="B3333" t="s" s="834">
        <v>2290</v>
      </c>
      <c r="C3333" t="s" s="834">
        <v>800</v>
      </c>
      <c r="D3333" s="835">
        <v>46045</v>
      </c>
      <c r="E3333" s="836">
        <v>1.379768518518518</v>
      </c>
      <c r="F3333" t="s" s="834">
        <v>478</v>
      </c>
      <c r="G3333" s="570"/>
      <c r="H3333" s="570"/>
      <c r="I3333" s="570"/>
      <c r="J3333" s="570"/>
      <c r="K3333" s="570"/>
    </row>
    <row r="3334" ht="13.75" customHeight="1">
      <c r="A3334" t="s" s="834">
        <v>2319</v>
      </c>
      <c r="B3334" t="s" s="834">
        <v>485</v>
      </c>
      <c r="C3334" t="s" s="834">
        <v>486</v>
      </c>
      <c r="D3334" s="570"/>
      <c r="E3334" s="570"/>
      <c r="F3334" s="570"/>
      <c r="G3334" s="570"/>
      <c r="H3334" s="570"/>
      <c r="I3334" s="570"/>
      <c r="J3334" s="570"/>
      <c r="K3334" s="570"/>
    </row>
    <row r="3335" ht="13.75" customHeight="1">
      <c r="A3335" s="833">
        <v>155</v>
      </c>
      <c r="B3335" t="s" s="834">
        <v>2290</v>
      </c>
      <c r="C3335" t="s" s="834">
        <v>800</v>
      </c>
      <c r="D3335" s="835">
        <v>46046</v>
      </c>
      <c r="E3335" t="s" s="834">
        <v>478</v>
      </c>
      <c r="F3335" t="s" s="834">
        <v>478</v>
      </c>
      <c r="G3335" s="570"/>
      <c r="H3335" s="570"/>
      <c r="I3335" s="570"/>
      <c r="J3335" s="570"/>
      <c r="K3335" s="570"/>
    </row>
    <row r="3336" ht="13.75" customHeight="1">
      <c r="A3336" s="833">
        <v>155</v>
      </c>
      <c r="B3336" t="s" s="834">
        <v>2290</v>
      </c>
      <c r="C3336" t="s" s="834">
        <v>800</v>
      </c>
      <c r="D3336" s="835">
        <v>46047</v>
      </c>
      <c r="E3336" t="s" s="834">
        <v>478</v>
      </c>
      <c r="F3336" t="s" s="834">
        <v>478</v>
      </c>
      <c r="G3336" s="570"/>
      <c r="H3336" s="570"/>
      <c r="I3336" s="570"/>
      <c r="J3336" s="570"/>
      <c r="K3336" s="570"/>
    </row>
    <row r="3337" ht="13.75" customHeight="1">
      <c r="A3337" s="833">
        <v>155</v>
      </c>
      <c r="B3337" t="s" s="834">
        <v>2290</v>
      </c>
      <c r="C3337" t="s" s="834">
        <v>800</v>
      </c>
      <c r="D3337" s="835">
        <v>46048</v>
      </c>
      <c r="E3337" s="836">
        <v>1.365231481481481</v>
      </c>
      <c r="F3337" s="836">
        <v>1.929398148148148</v>
      </c>
      <c r="G3337" s="570"/>
      <c r="H3337" s="570"/>
      <c r="I3337" s="570"/>
      <c r="J3337" s="570"/>
      <c r="K3337" s="570"/>
    </row>
    <row r="3338" ht="13.75" customHeight="1">
      <c r="A3338" t="s" s="834">
        <v>2320</v>
      </c>
      <c r="B3338" t="s" s="834">
        <v>2321</v>
      </c>
      <c r="C3338" t="s" s="834">
        <v>2322</v>
      </c>
      <c r="D3338" s="570"/>
      <c r="E3338" s="570"/>
      <c r="F3338" s="570"/>
      <c r="G3338" s="570"/>
      <c r="H3338" s="570"/>
      <c r="I3338" s="570"/>
      <c r="J3338" s="570"/>
      <c r="K3338" s="570"/>
    </row>
    <row r="3339" ht="13.75" customHeight="1">
      <c r="A3339" s="833">
        <v>155</v>
      </c>
      <c r="B3339" t="s" s="834">
        <v>2290</v>
      </c>
      <c r="C3339" t="s" s="834">
        <v>800</v>
      </c>
      <c r="D3339" s="835">
        <v>46049</v>
      </c>
      <c r="E3339" s="836">
        <v>1.363009259259259</v>
      </c>
      <c r="F3339" s="836">
        <v>1.838645833333333</v>
      </c>
      <c r="G3339" s="570"/>
      <c r="H3339" s="570"/>
      <c r="I3339" s="570"/>
      <c r="J3339" s="570"/>
      <c r="K3339" s="570"/>
    </row>
    <row r="3340" ht="13.75" customHeight="1">
      <c r="A3340" t="s" s="834">
        <v>2323</v>
      </c>
      <c r="B3340" t="s" s="834">
        <v>2324</v>
      </c>
      <c r="C3340" t="s" s="834">
        <v>2325</v>
      </c>
      <c r="D3340" s="570"/>
      <c r="E3340" s="570"/>
      <c r="F3340" s="570"/>
      <c r="G3340" s="570"/>
      <c r="H3340" s="570"/>
      <c r="I3340" s="570"/>
      <c r="J3340" s="570"/>
      <c r="K3340" s="570"/>
    </row>
    <row r="3341" ht="13.75" customHeight="1">
      <c r="A3341" s="833">
        <v>155</v>
      </c>
      <c r="B3341" t="s" s="834">
        <v>2290</v>
      </c>
      <c r="C3341" t="s" s="834">
        <v>800</v>
      </c>
      <c r="D3341" s="835">
        <v>46050</v>
      </c>
      <c r="E3341" s="836">
        <v>1.358101851851852</v>
      </c>
      <c r="F3341" s="836">
        <v>1.808240740740741</v>
      </c>
      <c r="G3341" s="570"/>
      <c r="H3341" s="570"/>
      <c r="I3341" s="570"/>
      <c r="J3341" s="570"/>
      <c r="K3341" s="570"/>
    </row>
    <row r="3342" ht="13.75" customHeight="1">
      <c r="A3342" t="s" s="834">
        <v>2326</v>
      </c>
      <c r="B3342" t="s" s="834">
        <v>2327</v>
      </c>
      <c r="C3342" t="s" s="834">
        <v>1823</v>
      </c>
      <c r="D3342" s="570"/>
      <c r="E3342" s="570"/>
      <c r="F3342" s="570"/>
      <c r="G3342" s="570"/>
      <c r="H3342" s="570"/>
      <c r="I3342" s="570"/>
      <c r="J3342" s="570"/>
      <c r="K3342" s="570"/>
    </row>
    <row r="3343" ht="13.75" customHeight="1">
      <c r="A3343" s="833">
        <v>155</v>
      </c>
      <c r="B3343" t="s" s="834">
        <v>2290</v>
      </c>
      <c r="C3343" t="s" s="834">
        <v>800</v>
      </c>
      <c r="D3343" s="835">
        <v>46051</v>
      </c>
      <c r="E3343" s="836">
        <v>1.361053240740741</v>
      </c>
      <c r="F3343" s="836">
        <v>1.876238425925926</v>
      </c>
      <c r="G3343" s="570"/>
      <c r="H3343" s="570"/>
      <c r="I3343" s="570"/>
      <c r="J3343" s="570"/>
      <c r="K3343" s="570"/>
    </row>
    <row r="3344" ht="13.75" customHeight="1">
      <c r="A3344" t="s" s="834">
        <v>2328</v>
      </c>
      <c r="B3344" t="s" s="834">
        <v>2329</v>
      </c>
      <c r="C3344" t="s" s="834">
        <v>2330</v>
      </c>
      <c r="D3344" s="570"/>
      <c r="E3344" s="570"/>
      <c r="F3344" s="570"/>
      <c r="G3344" s="570"/>
      <c r="H3344" s="570"/>
      <c r="I3344" s="570"/>
      <c r="J3344" s="570"/>
      <c r="K3344" s="570"/>
    </row>
    <row r="3345" ht="13.75" customHeight="1">
      <c r="A3345" s="833">
        <v>155</v>
      </c>
      <c r="B3345" t="s" s="834">
        <v>2290</v>
      </c>
      <c r="C3345" t="s" s="834">
        <v>800</v>
      </c>
      <c r="D3345" s="835">
        <v>46052</v>
      </c>
      <c r="E3345" t="s" s="834">
        <v>478</v>
      </c>
      <c r="F3345" t="s" s="834">
        <v>478</v>
      </c>
      <c r="G3345" s="570"/>
      <c r="H3345" s="570"/>
      <c r="I3345" s="570"/>
      <c r="J3345" s="570"/>
      <c r="K3345" s="570"/>
    </row>
    <row r="3346" ht="13.75" customHeight="1">
      <c r="A3346" s="833">
        <v>155</v>
      </c>
      <c r="B3346" t="s" s="834">
        <v>2290</v>
      </c>
      <c r="C3346" t="s" s="834">
        <v>800</v>
      </c>
      <c r="D3346" s="835">
        <v>46053</v>
      </c>
      <c r="E3346" t="s" s="834">
        <v>478</v>
      </c>
      <c r="F3346" t="s" s="834">
        <v>478</v>
      </c>
      <c r="G3346" s="570"/>
      <c r="H3346" s="570"/>
      <c r="I3346" s="570"/>
      <c r="J3346" s="570"/>
      <c r="K3346" s="570"/>
    </row>
    <row r="3347" ht="13.75" customHeight="1">
      <c r="A3347" s="833">
        <v>155</v>
      </c>
      <c r="B3347" t="s" s="834">
        <v>2290</v>
      </c>
      <c r="C3347" t="s" s="834">
        <v>800</v>
      </c>
      <c r="D3347" s="835">
        <v>46054</v>
      </c>
      <c r="E3347" t="s" s="834">
        <v>478</v>
      </c>
      <c r="F3347" t="s" s="834">
        <v>478</v>
      </c>
      <c r="G3347" s="570"/>
      <c r="H3347" s="570"/>
      <c r="I3347" s="570"/>
      <c r="J3347" s="570"/>
      <c r="K3347" s="570"/>
    </row>
    <row r="3348" ht="13.75" customHeight="1">
      <c r="A3348" s="833">
        <v>159</v>
      </c>
      <c r="B3348" t="s" s="834">
        <v>2331</v>
      </c>
      <c r="C3348" t="s" s="834">
        <v>700</v>
      </c>
      <c r="D3348" s="835">
        <v>46023</v>
      </c>
      <c r="E3348" t="s" s="834">
        <v>478</v>
      </c>
      <c r="F3348" t="s" s="834">
        <v>478</v>
      </c>
      <c r="G3348" s="570"/>
      <c r="H3348" s="570"/>
      <c r="I3348" s="570"/>
      <c r="J3348" s="570"/>
      <c r="K3348" s="570"/>
    </row>
    <row r="3349" ht="13.75" customHeight="1">
      <c r="A3349" s="833">
        <v>159</v>
      </c>
      <c r="B3349" t="s" s="834">
        <v>2331</v>
      </c>
      <c r="C3349" t="s" s="834">
        <v>700</v>
      </c>
      <c r="D3349" s="835">
        <v>46024</v>
      </c>
      <c r="E3349" t="s" s="834">
        <v>478</v>
      </c>
      <c r="F3349" t="s" s="834">
        <v>478</v>
      </c>
      <c r="G3349" s="570"/>
      <c r="H3349" s="570"/>
      <c r="I3349" s="570"/>
      <c r="J3349" s="570"/>
      <c r="K3349" s="570"/>
    </row>
    <row r="3350" ht="13.75" customHeight="1">
      <c r="A3350" s="833">
        <v>159</v>
      </c>
      <c r="B3350" t="s" s="834">
        <v>2331</v>
      </c>
      <c r="C3350" t="s" s="834">
        <v>700</v>
      </c>
      <c r="D3350" s="835">
        <v>46025</v>
      </c>
      <c r="E3350" t="s" s="834">
        <v>478</v>
      </c>
      <c r="F3350" t="s" s="834">
        <v>478</v>
      </c>
      <c r="G3350" s="570"/>
      <c r="H3350" s="570"/>
      <c r="I3350" s="570"/>
      <c r="J3350" s="570"/>
      <c r="K3350" s="570"/>
    </row>
    <row r="3351" ht="13.75" customHeight="1">
      <c r="A3351" s="833">
        <v>159</v>
      </c>
      <c r="B3351" t="s" s="834">
        <v>2331</v>
      </c>
      <c r="C3351" t="s" s="834">
        <v>700</v>
      </c>
      <c r="D3351" s="835">
        <v>46026</v>
      </c>
      <c r="E3351" t="s" s="834">
        <v>478</v>
      </c>
      <c r="F3351" t="s" s="834">
        <v>478</v>
      </c>
      <c r="G3351" s="570"/>
      <c r="H3351" s="570"/>
      <c r="I3351" s="570"/>
      <c r="J3351" s="570"/>
      <c r="K3351" s="570"/>
    </row>
    <row r="3352" ht="13.75" customHeight="1">
      <c r="A3352" s="833">
        <v>159</v>
      </c>
      <c r="B3352" t="s" s="834">
        <v>2331</v>
      </c>
      <c r="C3352" t="s" s="834">
        <v>700</v>
      </c>
      <c r="D3352" s="835">
        <v>46027</v>
      </c>
      <c r="E3352" s="836">
        <v>1.375266203703704</v>
      </c>
      <c r="F3352" s="836">
        <v>1.764664351851852</v>
      </c>
      <c r="G3352" s="570"/>
      <c r="H3352" s="570"/>
      <c r="I3352" s="570"/>
      <c r="J3352" s="570"/>
      <c r="K3352" s="570"/>
    </row>
    <row r="3353" ht="13.75" customHeight="1">
      <c r="A3353" t="s" s="834">
        <v>2332</v>
      </c>
      <c r="B3353" t="s" s="834">
        <v>2333</v>
      </c>
      <c r="C3353" t="s" s="834">
        <v>979</v>
      </c>
      <c r="D3353" s="570"/>
      <c r="E3353" s="570"/>
      <c r="F3353" s="570"/>
      <c r="G3353" s="570"/>
      <c r="H3353" s="570"/>
      <c r="I3353" s="570"/>
      <c r="J3353" s="570"/>
      <c r="K3353" s="570"/>
    </row>
    <row r="3354" ht="13.75" customHeight="1">
      <c r="A3354" s="833">
        <v>159</v>
      </c>
      <c r="B3354" t="s" s="834">
        <v>2331</v>
      </c>
      <c r="C3354" t="s" s="834">
        <v>700</v>
      </c>
      <c r="D3354" s="835">
        <v>46028</v>
      </c>
      <c r="E3354" s="836">
        <v>1.373923611111111</v>
      </c>
      <c r="F3354" s="836">
        <v>1.837581018518518</v>
      </c>
      <c r="G3354" s="570"/>
      <c r="H3354" s="570"/>
      <c r="I3354" s="570"/>
      <c r="J3354" s="570"/>
      <c r="K3354" s="570"/>
    </row>
    <row r="3355" ht="13.75" customHeight="1">
      <c r="A3355" t="s" s="834">
        <v>2334</v>
      </c>
      <c r="B3355" t="s" s="834">
        <v>2335</v>
      </c>
      <c r="C3355" t="s" s="834">
        <v>2262</v>
      </c>
      <c r="D3355" s="570"/>
      <c r="E3355" s="570"/>
      <c r="F3355" s="570"/>
      <c r="G3355" s="570"/>
      <c r="H3355" s="570"/>
      <c r="I3355" s="570"/>
      <c r="J3355" s="570"/>
      <c r="K3355" s="570"/>
    </row>
    <row r="3356" ht="13.75" customHeight="1">
      <c r="A3356" s="833">
        <v>159</v>
      </c>
      <c r="B3356" t="s" s="834">
        <v>2331</v>
      </c>
      <c r="C3356" t="s" s="834">
        <v>700</v>
      </c>
      <c r="D3356" s="835">
        <v>46029</v>
      </c>
      <c r="E3356" s="836">
        <v>1.375046296296296</v>
      </c>
      <c r="F3356" s="836">
        <v>1.767916666666667</v>
      </c>
      <c r="G3356" s="570"/>
      <c r="H3356" s="570"/>
      <c r="I3356" s="570"/>
      <c r="J3356" s="570"/>
      <c r="K3356" s="570"/>
    </row>
    <row r="3357" ht="13.75" customHeight="1">
      <c r="A3357" t="s" s="834">
        <v>2336</v>
      </c>
      <c r="B3357" t="s" s="834">
        <v>2337</v>
      </c>
      <c r="C3357" t="s" s="834">
        <v>1019</v>
      </c>
      <c r="D3357" s="570"/>
      <c r="E3357" s="570"/>
      <c r="F3357" s="570"/>
      <c r="G3357" s="570"/>
      <c r="H3357" s="570"/>
      <c r="I3357" s="570"/>
      <c r="J3357" s="570"/>
      <c r="K3357" s="570"/>
    </row>
    <row r="3358" ht="13.75" customHeight="1">
      <c r="A3358" s="833">
        <v>159</v>
      </c>
      <c r="B3358" t="s" s="834">
        <v>2331</v>
      </c>
      <c r="C3358" t="s" s="834">
        <v>700</v>
      </c>
      <c r="D3358" s="835">
        <v>46030</v>
      </c>
      <c r="E3358" s="836">
        <v>1.376909722222222</v>
      </c>
      <c r="F3358" s="836">
        <v>1.787453703703704</v>
      </c>
      <c r="G3358" s="570"/>
      <c r="H3358" s="570"/>
      <c r="I3358" s="570"/>
      <c r="J3358" s="570"/>
      <c r="K3358" s="570"/>
    </row>
    <row r="3359" ht="13.75" customHeight="1">
      <c r="A3359" t="s" s="834">
        <v>2338</v>
      </c>
      <c r="B3359" t="s" s="834">
        <v>2339</v>
      </c>
      <c r="C3359" t="s" s="834">
        <v>1252</v>
      </c>
      <c r="D3359" s="570"/>
      <c r="E3359" s="570"/>
      <c r="F3359" s="570"/>
      <c r="G3359" s="570"/>
      <c r="H3359" s="570"/>
      <c r="I3359" s="570"/>
      <c r="J3359" s="570"/>
      <c r="K3359" s="570"/>
    </row>
    <row r="3360" ht="13.75" customHeight="1">
      <c r="A3360" s="833">
        <v>159</v>
      </c>
      <c r="B3360" t="s" s="834">
        <v>2331</v>
      </c>
      <c r="C3360" t="s" s="834">
        <v>700</v>
      </c>
      <c r="D3360" s="835">
        <v>46031</v>
      </c>
      <c r="E3360" t="s" s="834">
        <v>478</v>
      </c>
      <c r="F3360" t="s" s="834">
        <v>478</v>
      </c>
      <c r="G3360" s="570"/>
      <c r="H3360" s="570"/>
      <c r="I3360" s="570"/>
      <c r="J3360" s="570"/>
      <c r="K3360" s="570"/>
    </row>
    <row r="3361" ht="13.75" customHeight="1">
      <c r="A3361" s="833">
        <v>159</v>
      </c>
      <c r="B3361" t="s" s="834">
        <v>2331</v>
      </c>
      <c r="C3361" t="s" s="834">
        <v>700</v>
      </c>
      <c r="D3361" s="835">
        <v>46032</v>
      </c>
      <c r="E3361" t="s" s="834">
        <v>478</v>
      </c>
      <c r="F3361" t="s" s="834">
        <v>478</v>
      </c>
      <c r="G3361" s="570"/>
      <c r="H3361" s="570"/>
      <c r="I3361" s="570"/>
      <c r="J3361" s="570"/>
      <c r="K3361" s="570"/>
    </row>
    <row r="3362" ht="13.75" customHeight="1">
      <c r="A3362" s="833">
        <v>159</v>
      </c>
      <c r="B3362" t="s" s="834">
        <v>2331</v>
      </c>
      <c r="C3362" t="s" s="834">
        <v>700</v>
      </c>
      <c r="D3362" s="835">
        <v>46033</v>
      </c>
      <c r="E3362" t="s" s="834">
        <v>478</v>
      </c>
      <c r="F3362" t="s" s="834">
        <v>478</v>
      </c>
      <c r="G3362" s="570"/>
      <c r="H3362" s="570"/>
      <c r="I3362" s="570"/>
      <c r="J3362" s="570"/>
      <c r="K3362" s="570"/>
    </row>
    <row r="3363" ht="13.75" customHeight="1">
      <c r="A3363" s="833">
        <v>159</v>
      </c>
      <c r="B3363" t="s" s="834">
        <v>2331</v>
      </c>
      <c r="C3363" t="s" s="834">
        <v>700</v>
      </c>
      <c r="D3363" s="835">
        <v>46034</v>
      </c>
      <c r="E3363" s="836">
        <v>1.37068287037037</v>
      </c>
      <c r="F3363" s="836">
        <v>1.768599537037037</v>
      </c>
      <c r="G3363" s="570"/>
      <c r="H3363" s="570"/>
      <c r="I3363" s="570"/>
      <c r="J3363" s="570"/>
      <c r="K3363" s="570"/>
    </row>
    <row r="3364" ht="13.75" customHeight="1">
      <c r="A3364" t="s" s="834">
        <v>2340</v>
      </c>
      <c r="B3364" t="s" s="834">
        <v>2341</v>
      </c>
      <c r="C3364" t="s" s="834">
        <v>688</v>
      </c>
      <c r="D3364" s="570"/>
      <c r="E3364" s="570"/>
      <c r="F3364" s="570"/>
      <c r="G3364" s="570"/>
      <c r="H3364" s="570"/>
      <c r="I3364" s="570"/>
      <c r="J3364" s="570"/>
      <c r="K3364" s="570"/>
    </row>
    <row r="3365" ht="13.75" customHeight="1">
      <c r="A3365" s="833">
        <v>159</v>
      </c>
      <c r="B3365" t="s" s="834">
        <v>2331</v>
      </c>
      <c r="C3365" t="s" s="834">
        <v>700</v>
      </c>
      <c r="D3365" s="835">
        <v>46035</v>
      </c>
      <c r="E3365" s="836">
        <v>1.366238425925926</v>
      </c>
      <c r="F3365" s="836">
        <v>1.76537037037037</v>
      </c>
      <c r="G3365" s="570"/>
      <c r="H3365" s="570"/>
      <c r="I3365" s="570"/>
      <c r="J3365" s="570"/>
      <c r="K3365" s="570"/>
    </row>
    <row r="3366" ht="13.75" customHeight="1">
      <c r="A3366" t="s" s="834">
        <v>2342</v>
      </c>
      <c r="B3366" t="s" s="834">
        <v>2343</v>
      </c>
      <c r="C3366" t="s" s="834">
        <v>515</v>
      </c>
      <c r="D3366" s="570"/>
      <c r="E3366" s="570"/>
      <c r="F3366" s="570"/>
      <c r="G3366" s="570"/>
      <c r="H3366" s="570"/>
      <c r="I3366" s="570"/>
      <c r="J3366" s="570"/>
      <c r="K3366" s="570"/>
    </row>
    <row r="3367" ht="13.75" customHeight="1">
      <c r="A3367" s="833">
        <v>159</v>
      </c>
      <c r="B3367" t="s" s="834">
        <v>2331</v>
      </c>
      <c r="C3367" t="s" s="834">
        <v>700</v>
      </c>
      <c r="D3367" s="835">
        <v>46036</v>
      </c>
      <c r="E3367" s="836">
        <v>1.370335648148148</v>
      </c>
      <c r="F3367" s="836">
        <v>1.816944444444444</v>
      </c>
      <c r="G3367" s="570"/>
      <c r="H3367" s="570"/>
      <c r="I3367" s="570"/>
      <c r="J3367" s="570"/>
      <c r="K3367" s="570"/>
    </row>
    <row r="3368" ht="13.75" customHeight="1">
      <c r="A3368" t="s" s="834">
        <v>2344</v>
      </c>
      <c r="B3368" t="s" s="834">
        <v>2345</v>
      </c>
      <c r="C3368" t="s" s="834">
        <v>527</v>
      </c>
      <c r="D3368" s="570"/>
      <c r="E3368" s="570"/>
      <c r="F3368" s="570"/>
      <c r="G3368" s="570"/>
      <c r="H3368" s="570"/>
      <c r="I3368" s="570"/>
      <c r="J3368" s="570"/>
      <c r="K3368" s="570"/>
    </row>
    <row r="3369" ht="13.75" customHeight="1">
      <c r="A3369" s="833">
        <v>159</v>
      </c>
      <c r="B3369" t="s" s="834">
        <v>2331</v>
      </c>
      <c r="C3369" t="s" s="834">
        <v>700</v>
      </c>
      <c r="D3369" s="835">
        <v>46037</v>
      </c>
      <c r="E3369" s="836">
        <v>1.376134259259259</v>
      </c>
      <c r="F3369" s="836">
        <v>1.768101851851852</v>
      </c>
      <c r="G3369" s="570"/>
      <c r="H3369" s="570"/>
      <c r="I3369" s="570"/>
      <c r="J3369" s="570"/>
      <c r="K3369" s="570"/>
    </row>
    <row r="3370" ht="13.75" customHeight="1">
      <c r="A3370" t="s" s="834">
        <v>2346</v>
      </c>
      <c r="B3370" t="s" s="834">
        <v>2347</v>
      </c>
      <c r="C3370" t="s" s="834">
        <v>1056</v>
      </c>
      <c r="D3370" s="570"/>
      <c r="E3370" s="570"/>
      <c r="F3370" s="570"/>
      <c r="G3370" s="570"/>
      <c r="H3370" s="570"/>
      <c r="I3370" s="570"/>
      <c r="J3370" s="570"/>
      <c r="K3370" s="570"/>
    </row>
    <row r="3371" ht="13.75" customHeight="1">
      <c r="A3371" s="833">
        <v>159</v>
      </c>
      <c r="B3371" t="s" s="834">
        <v>2331</v>
      </c>
      <c r="C3371" t="s" s="834">
        <v>700</v>
      </c>
      <c r="D3371" s="835">
        <v>46038</v>
      </c>
      <c r="E3371" t="s" s="834">
        <v>478</v>
      </c>
      <c r="F3371" t="s" s="834">
        <v>478</v>
      </c>
      <c r="G3371" s="570"/>
      <c r="H3371" s="570"/>
      <c r="I3371" s="570"/>
      <c r="J3371" s="570"/>
      <c r="K3371" s="570"/>
    </row>
    <row r="3372" ht="13.75" customHeight="1">
      <c r="A3372" s="833">
        <v>159</v>
      </c>
      <c r="B3372" t="s" s="834">
        <v>2331</v>
      </c>
      <c r="C3372" t="s" s="834">
        <v>700</v>
      </c>
      <c r="D3372" s="835">
        <v>46039</v>
      </c>
      <c r="E3372" t="s" s="834">
        <v>478</v>
      </c>
      <c r="F3372" t="s" s="834">
        <v>478</v>
      </c>
      <c r="G3372" s="570"/>
      <c r="H3372" s="570"/>
      <c r="I3372" s="570"/>
      <c r="J3372" s="570"/>
      <c r="K3372" s="570"/>
    </row>
    <row r="3373" ht="13.75" customHeight="1">
      <c r="A3373" s="833">
        <v>159</v>
      </c>
      <c r="B3373" t="s" s="834">
        <v>2331</v>
      </c>
      <c r="C3373" t="s" s="834">
        <v>700</v>
      </c>
      <c r="D3373" s="835">
        <v>46040</v>
      </c>
      <c r="E3373" t="s" s="834">
        <v>478</v>
      </c>
      <c r="F3373" t="s" s="834">
        <v>478</v>
      </c>
      <c r="G3373" s="570"/>
      <c r="H3373" s="570"/>
      <c r="I3373" s="570"/>
      <c r="J3373" s="570"/>
      <c r="K3373" s="570"/>
    </row>
    <row r="3374" ht="13.75" customHeight="1">
      <c r="A3374" s="833">
        <v>159</v>
      </c>
      <c r="B3374" t="s" s="834">
        <v>2331</v>
      </c>
      <c r="C3374" t="s" s="834">
        <v>700</v>
      </c>
      <c r="D3374" s="835">
        <v>46041</v>
      </c>
      <c r="E3374" s="836">
        <v>1.404108796296296</v>
      </c>
      <c r="F3374" s="836">
        <v>1.766215277777778</v>
      </c>
      <c r="G3374" s="570"/>
      <c r="H3374" s="570"/>
      <c r="I3374" s="570"/>
      <c r="J3374" s="570"/>
      <c r="K3374" s="570"/>
    </row>
    <row r="3375" ht="13.75" customHeight="1">
      <c r="A3375" t="s" s="834">
        <v>2348</v>
      </c>
      <c r="B3375" t="s" s="834">
        <v>2349</v>
      </c>
      <c r="C3375" t="s" s="834">
        <v>2350</v>
      </c>
      <c r="D3375" s="570"/>
      <c r="E3375" s="570"/>
      <c r="F3375" s="570"/>
      <c r="G3375" s="570"/>
      <c r="H3375" s="570"/>
      <c r="I3375" s="570"/>
      <c r="J3375" s="570"/>
      <c r="K3375" s="570"/>
    </row>
    <row r="3376" ht="13.75" customHeight="1">
      <c r="A3376" s="833">
        <v>159</v>
      </c>
      <c r="B3376" t="s" s="834">
        <v>2331</v>
      </c>
      <c r="C3376" t="s" s="834">
        <v>700</v>
      </c>
      <c r="D3376" s="835">
        <v>46042</v>
      </c>
      <c r="E3376" s="836">
        <v>1.370902777777778</v>
      </c>
      <c r="F3376" s="836">
        <v>1.772847222222222</v>
      </c>
      <c r="G3376" s="570"/>
      <c r="H3376" s="570"/>
      <c r="I3376" s="570"/>
      <c r="J3376" s="570"/>
      <c r="K3376" s="570"/>
    </row>
    <row r="3377" ht="13.75" customHeight="1">
      <c r="A3377" t="s" s="834">
        <v>2351</v>
      </c>
      <c r="B3377" t="s" s="834">
        <v>2352</v>
      </c>
      <c r="C3377" t="s" s="834">
        <v>772</v>
      </c>
      <c r="D3377" s="570"/>
      <c r="E3377" s="570"/>
      <c r="F3377" s="570"/>
      <c r="G3377" s="570"/>
      <c r="H3377" s="570"/>
      <c r="I3377" s="570"/>
      <c r="J3377" s="570"/>
      <c r="K3377" s="570"/>
    </row>
    <row r="3378" ht="13.75" customHeight="1">
      <c r="A3378" s="833">
        <v>159</v>
      </c>
      <c r="B3378" t="s" s="834">
        <v>2331</v>
      </c>
      <c r="C3378" t="s" s="834">
        <v>700</v>
      </c>
      <c r="D3378" s="835">
        <v>46043</v>
      </c>
      <c r="E3378" s="836">
        <v>1.418900462962963</v>
      </c>
      <c r="F3378" s="836">
        <v>1.790069444444444</v>
      </c>
      <c r="G3378" s="570"/>
      <c r="H3378" s="570"/>
      <c r="I3378" s="570"/>
      <c r="J3378" s="570"/>
      <c r="K3378" s="570"/>
    </row>
    <row r="3379" ht="13.75" customHeight="1">
      <c r="A3379" t="s" s="834">
        <v>2353</v>
      </c>
      <c r="B3379" t="s" s="834">
        <v>2354</v>
      </c>
      <c r="C3379" t="s" s="834">
        <v>826</v>
      </c>
      <c r="D3379" s="570"/>
      <c r="E3379" s="570"/>
      <c r="F3379" s="570"/>
      <c r="G3379" s="570"/>
      <c r="H3379" s="570"/>
      <c r="I3379" s="570"/>
      <c r="J3379" s="570"/>
      <c r="K3379" s="570"/>
    </row>
    <row r="3380" ht="13.75" customHeight="1">
      <c r="A3380" s="833">
        <v>159</v>
      </c>
      <c r="B3380" t="s" s="834">
        <v>2331</v>
      </c>
      <c r="C3380" t="s" s="834">
        <v>700</v>
      </c>
      <c r="D3380" s="835">
        <v>46044</v>
      </c>
      <c r="E3380" s="836">
        <v>1.374733796296296</v>
      </c>
      <c r="F3380" s="836">
        <v>1.775173611111111</v>
      </c>
      <c r="G3380" s="570"/>
      <c r="H3380" s="570"/>
      <c r="I3380" s="570"/>
      <c r="J3380" s="570"/>
      <c r="K3380" s="570"/>
    </row>
    <row r="3381" ht="13.75" customHeight="1">
      <c r="A3381" t="s" s="834">
        <v>2355</v>
      </c>
      <c r="B3381" t="s" s="834">
        <v>2356</v>
      </c>
      <c r="C3381" t="s" s="834">
        <v>606</v>
      </c>
      <c r="D3381" s="570"/>
      <c r="E3381" s="570"/>
      <c r="F3381" s="570"/>
      <c r="G3381" s="570"/>
      <c r="H3381" s="570"/>
      <c r="I3381" s="570"/>
      <c r="J3381" s="570"/>
      <c r="K3381" s="570"/>
    </row>
    <row r="3382" ht="13.75" customHeight="1">
      <c r="A3382" s="833">
        <v>159</v>
      </c>
      <c r="B3382" t="s" s="834">
        <v>2331</v>
      </c>
      <c r="C3382" t="s" s="834">
        <v>700</v>
      </c>
      <c r="D3382" s="835">
        <v>46045</v>
      </c>
      <c r="E3382" t="s" s="834">
        <v>478</v>
      </c>
      <c r="F3382" t="s" s="834">
        <v>478</v>
      </c>
      <c r="G3382" s="570"/>
      <c r="H3382" s="570"/>
      <c r="I3382" s="570"/>
      <c r="J3382" s="570"/>
      <c r="K3382" s="570"/>
    </row>
    <row r="3383" ht="13.75" customHeight="1">
      <c r="A3383" s="833">
        <v>159</v>
      </c>
      <c r="B3383" t="s" s="834">
        <v>2331</v>
      </c>
      <c r="C3383" t="s" s="834">
        <v>700</v>
      </c>
      <c r="D3383" s="835">
        <v>46046</v>
      </c>
      <c r="E3383" t="s" s="834">
        <v>478</v>
      </c>
      <c r="F3383" t="s" s="834">
        <v>478</v>
      </c>
      <c r="G3383" s="570"/>
      <c r="H3383" s="570"/>
      <c r="I3383" s="570"/>
      <c r="J3383" s="570"/>
      <c r="K3383" s="570"/>
    </row>
    <row r="3384" ht="13.75" customHeight="1">
      <c r="A3384" s="833">
        <v>159</v>
      </c>
      <c r="B3384" t="s" s="834">
        <v>2331</v>
      </c>
      <c r="C3384" t="s" s="834">
        <v>700</v>
      </c>
      <c r="D3384" s="835">
        <v>46047</v>
      </c>
      <c r="E3384" t="s" s="834">
        <v>478</v>
      </c>
      <c r="F3384" t="s" s="834">
        <v>478</v>
      </c>
      <c r="G3384" s="570"/>
      <c r="H3384" s="570"/>
      <c r="I3384" s="570"/>
      <c r="J3384" s="570"/>
      <c r="K3384" s="570"/>
    </row>
    <row r="3385" ht="13.75" customHeight="1">
      <c r="A3385" s="833">
        <v>159</v>
      </c>
      <c r="B3385" t="s" s="834">
        <v>2331</v>
      </c>
      <c r="C3385" t="s" s="834">
        <v>700</v>
      </c>
      <c r="D3385" s="835">
        <v>46048</v>
      </c>
      <c r="E3385" s="836">
        <v>1.346111111111111</v>
      </c>
      <c r="F3385" s="836">
        <v>1.777094907407407</v>
      </c>
      <c r="G3385" s="570"/>
      <c r="H3385" s="570"/>
      <c r="I3385" s="570"/>
      <c r="J3385" s="570"/>
      <c r="K3385" s="570"/>
    </row>
    <row r="3386" ht="13.75" customHeight="1">
      <c r="A3386" t="s" s="834">
        <v>2357</v>
      </c>
      <c r="B3386" t="s" s="834">
        <v>2358</v>
      </c>
      <c r="C3386" t="s" s="834">
        <v>2318</v>
      </c>
      <c r="D3386" s="570"/>
      <c r="E3386" s="570"/>
      <c r="F3386" s="570"/>
      <c r="G3386" s="570"/>
      <c r="H3386" s="570"/>
      <c r="I3386" s="570"/>
      <c r="J3386" s="570"/>
      <c r="K3386" s="570"/>
    </row>
    <row r="3387" ht="13.75" customHeight="1">
      <c r="A3387" s="833">
        <v>159</v>
      </c>
      <c r="B3387" t="s" s="834">
        <v>2331</v>
      </c>
      <c r="C3387" t="s" s="834">
        <v>700</v>
      </c>
      <c r="D3387" s="835">
        <v>46049</v>
      </c>
      <c r="E3387" s="836">
        <v>1.361111111111111</v>
      </c>
      <c r="F3387" t="s" s="834">
        <v>478</v>
      </c>
      <c r="G3387" s="570"/>
      <c r="H3387" s="570"/>
      <c r="I3387" s="570"/>
      <c r="J3387" s="570"/>
      <c r="K3387" s="570"/>
    </row>
    <row r="3388" ht="13.75" customHeight="1">
      <c r="A3388" t="s" s="834">
        <v>2359</v>
      </c>
      <c r="B3388" t="s" s="834">
        <v>485</v>
      </c>
      <c r="C3388" t="s" s="834">
        <v>486</v>
      </c>
      <c r="D3388" s="570"/>
      <c r="E3388" s="570"/>
      <c r="F3388" s="570"/>
      <c r="G3388" s="570"/>
      <c r="H3388" s="570"/>
      <c r="I3388" s="570"/>
      <c r="J3388" s="570"/>
      <c r="K3388" s="570"/>
    </row>
    <row r="3389" ht="13.75" customHeight="1">
      <c r="A3389" s="833">
        <v>159</v>
      </c>
      <c r="B3389" t="s" s="834">
        <v>2331</v>
      </c>
      <c r="C3389" t="s" s="834">
        <v>700</v>
      </c>
      <c r="D3389" s="835">
        <v>46050</v>
      </c>
      <c r="E3389" s="836">
        <v>1.367638888888889</v>
      </c>
      <c r="F3389" s="836">
        <v>1.761053240740741</v>
      </c>
      <c r="G3389" s="570"/>
      <c r="H3389" s="570"/>
      <c r="I3389" s="570"/>
      <c r="J3389" s="570"/>
      <c r="K3389" s="570"/>
    </row>
    <row r="3390" ht="13.75" customHeight="1">
      <c r="A3390" t="s" s="834">
        <v>2360</v>
      </c>
      <c r="B3390" t="s" s="834">
        <v>2361</v>
      </c>
      <c r="C3390" t="s" s="834">
        <v>518</v>
      </c>
      <c r="D3390" s="570"/>
      <c r="E3390" s="570"/>
      <c r="F3390" s="570"/>
      <c r="G3390" s="570"/>
      <c r="H3390" s="570"/>
      <c r="I3390" s="570"/>
      <c r="J3390" s="570"/>
      <c r="K3390" s="570"/>
    </row>
    <row r="3391" ht="13.75" customHeight="1">
      <c r="A3391" s="833">
        <v>159</v>
      </c>
      <c r="B3391" t="s" s="834">
        <v>2331</v>
      </c>
      <c r="C3391" t="s" s="834">
        <v>700</v>
      </c>
      <c r="D3391" s="835">
        <v>46051</v>
      </c>
      <c r="E3391" s="836">
        <v>1.369780092592593</v>
      </c>
      <c r="F3391" s="836">
        <v>1.781064814814815</v>
      </c>
      <c r="G3391" s="570"/>
      <c r="H3391" s="570"/>
      <c r="I3391" s="570"/>
      <c r="J3391" s="570"/>
      <c r="K3391" s="570"/>
    </row>
    <row r="3392" ht="13.75" customHeight="1">
      <c r="A3392" t="s" s="834">
        <v>2362</v>
      </c>
      <c r="B3392" t="s" s="834">
        <v>2363</v>
      </c>
      <c r="C3392" t="s" s="834">
        <v>850</v>
      </c>
      <c r="D3392" s="570"/>
      <c r="E3392" s="570"/>
      <c r="F3392" s="570"/>
      <c r="G3392" s="570"/>
      <c r="H3392" s="570"/>
      <c r="I3392" s="570"/>
      <c r="J3392" s="570"/>
      <c r="K3392" s="570"/>
    </row>
    <row r="3393" ht="13.75" customHeight="1">
      <c r="A3393" s="833">
        <v>159</v>
      </c>
      <c r="B3393" t="s" s="834">
        <v>2331</v>
      </c>
      <c r="C3393" t="s" s="834">
        <v>700</v>
      </c>
      <c r="D3393" s="835">
        <v>46052</v>
      </c>
      <c r="E3393" t="s" s="834">
        <v>478</v>
      </c>
      <c r="F3393" t="s" s="834">
        <v>478</v>
      </c>
      <c r="G3393" s="570"/>
      <c r="H3393" s="570"/>
      <c r="I3393" s="570"/>
      <c r="J3393" s="570"/>
      <c r="K3393" s="570"/>
    </row>
    <row r="3394" ht="13.75" customHeight="1">
      <c r="A3394" s="833">
        <v>159</v>
      </c>
      <c r="B3394" t="s" s="834">
        <v>2331</v>
      </c>
      <c r="C3394" t="s" s="834">
        <v>700</v>
      </c>
      <c r="D3394" s="835">
        <v>46053</v>
      </c>
      <c r="E3394" t="s" s="834">
        <v>478</v>
      </c>
      <c r="F3394" t="s" s="834">
        <v>478</v>
      </c>
      <c r="G3394" s="570"/>
      <c r="H3394" s="570"/>
      <c r="I3394" s="570"/>
      <c r="J3394" s="570"/>
      <c r="K3394" s="570"/>
    </row>
    <row r="3395" ht="13.75" customHeight="1">
      <c r="A3395" s="833">
        <v>159</v>
      </c>
      <c r="B3395" t="s" s="834">
        <v>2331</v>
      </c>
      <c r="C3395" t="s" s="834">
        <v>700</v>
      </c>
      <c r="D3395" s="835">
        <v>46054</v>
      </c>
      <c r="E3395" t="s" s="834">
        <v>478</v>
      </c>
      <c r="F3395" t="s" s="834">
        <v>478</v>
      </c>
      <c r="G3395" s="570"/>
      <c r="H3395" s="570"/>
      <c r="I3395" s="570"/>
      <c r="J3395" s="570"/>
      <c r="K3395" s="570"/>
    </row>
    <row r="3396" ht="13.75" customHeight="1">
      <c r="A3396" s="833">
        <v>164</v>
      </c>
      <c r="B3396" t="s" s="834">
        <v>2364</v>
      </c>
      <c r="C3396" t="s" s="834">
        <v>617</v>
      </c>
      <c r="D3396" s="835">
        <v>46023</v>
      </c>
      <c r="E3396" t="s" s="834">
        <v>478</v>
      </c>
      <c r="F3396" t="s" s="834">
        <v>478</v>
      </c>
      <c r="G3396" s="570"/>
      <c r="H3396" s="570"/>
      <c r="I3396" s="570"/>
      <c r="J3396" s="570"/>
      <c r="K3396" s="570"/>
    </row>
    <row r="3397" ht="13.75" customHeight="1">
      <c r="A3397" s="833">
        <v>164</v>
      </c>
      <c r="B3397" t="s" s="834">
        <v>2364</v>
      </c>
      <c r="C3397" t="s" s="834">
        <v>617</v>
      </c>
      <c r="D3397" s="835">
        <v>46024</v>
      </c>
      <c r="E3397" t="s" s="834">
        <v>478</v>
      </c>
      <c r="F3397" t="s" s="834">
        <v>478</v>
      </c>
      <c r="G3397" s="570"/>
      <c r="H3397" s="570"/>
      <c r="I3397" s="570"/>
      <c r="J3397" s="570"/>
      <c r="K3397" s="570"/>
    </row>
    <row r="3398" ht="13.75" customHeight="1">
      <c r="A3398" s="833">
        <v>164</v>
      </c>
      <c r="B3398" t="s" s="834">
        <v>2364</v>
      </c>
      <c r="C3398" t="s" s="834">
        <v>617</v>
      </c>
      <c r="D3398" s="835">
        <v>46025</v>
      </c>
      <c r="E3398" t="s" s="834">
        <v>478</v>
      </c>
      <c r="F3398" t="s" s="834">
        <v>478</v>
      </c>
      <c r="G3398" s="570"/>
      <c r="H3398" s="570"/>
      <c r="I3398" s="570"/>
      <c r="J3398" s="570"/>
      <c r="K3398" s="570"/>
    </row>
    <row r="3399" ht="13.75" customHeight="1">
      <c r="A3399" s="833">
        <v>164</v>
      </c>
      <c r="B3399" t="s" s="834">
        <v>2364</v>
      </c>
      <c r="C3399" t="s" s="834">
        <v>617</v>
      </c>
      <c r="D3399" s="835">
        <v>46026</v>
      </c>
      <c r="E3399" t="s" s="834">
        <v>478</v>
      </c>
      <c r="F3399" t="s" s="834">
        <v>478</v>
      </c>
      <c r="G3399" s="570"/>
      <c r="H3399" s="570"/>
      <c r="I3399" s="570"/>
      <c r="J3399" s="570"/>
      <c r="K3399" s="570"/>
    </row>
    <row r="3400" ht="13.75" customHeight="1">
      <c r="A3400" s="833">
        <v>164</v>
      </c>
      <c r="B3400" t="s" s="834">
        <v>2364</v>
      </c>
      <c r="C3400" t="s" s="834">
        <v>617</v>
      </c>
      <c r="D3400" s="835">
        <v>46027</v>
      </c>
      <c r="E3400" s="836">
        <v>1.351446759259259</v>
      </c>
      <c r="F3400" s="836">
        <v>1.754398148148148</v>
      </c>
      <c r="G3400" s="570"/>
      <c r="H3400" s="570"/>
      <c r="I3400" s="570"/>
      <c r="J3400" s="570"/>
      <c r="K3400" s="570"/>
    </row>
    <row r="3401" ht="13.75" customHeight="1">
      <c r="A3401" t="s" s="834">
        <v>2365</v>
      </c>
      <c r="B3401" t="s" s="834">
        <v>2366</v>
      </c>
      <c r="C3401" t="s" s="834">
        <v>861</v>
      </c>
      <c r="D3401" s="570"/>
      <c r="E3401" s="570"/>
      <c r="F3401" s="570"/>
      <c r="G3401" s="570"/>
      <c r="H3401" s="570"/>
      <c r="I3401" s="570"/>
      <c r="J3401" s="570"/>
      <c r="K3401" s="570"/>
    </row>
    <row r="3402" ht="13.75" customHeight="1">
      <c r="A3402" s="833">
        <v>164</v>
      </c>
      <c r="B3402" t="s" s="834">
        <v>2364</v>
      </c>
      <c r="C3402" t="s" s="834">
        <v>617</v>
      </c>
      <c r="D3402" s="835">
        <v>46028</v>
      </c>
      <c r="E3402" s="836">
        <v>1.353483796296296</v>
      </c>
      <c r="F3402" s="836">
        <v>1.753043981481481</v>
      </c>
      <c r="G3402" s="570"/>
      <c r="H3402" s="570"/>
      <c r="I3402" s="570"/>
      <c r="J3402" s="570"/>
      <c r="K3402" s="570"/>
    </row>
    <row r="3403" ht="13.75" customHeight="1">
      <c r="A3403" t="s" s="834">
        <v>2367</v>
      </c>
      <c r="B3403" t="s" s="834">
        <v>2368</v>
      </c>
      <c r="C3403" t="s" s="834">
        <v>515</v>
      </c>
      <c r="D3403" s="570"/>
      <c r="E3403" s="570"/>
      <c r="F3403" s="570"/>
      <c r="G3403" s="570"/>
      <c r="H3403" s="570"/>
      <c r="I3403" s="570"/>
      <c r="J3403" s="570"/>
      <c r="K3403" s="570"/>
    </row>
    <row r="3404" ht="13.75" customHeight="1">
      <c r="A3404" s="833">
        <v>164</v>
      </c>
      <c r="B3404" t="s" s="834">
        <v>2364</v>
      </c>
      <c r="C3404" t="s" s="834">
        <v>617</v>
      </c>
      <c r="D3404" s="835">
        <v>46029</v>
      </c>
      <c r="E3404" s="836">
        <v>1.353240740740741</v>
      </c>
      <c r="F3404" s="836">
        <v>1.751354166666667</v>
      </c>
      <c r="G3404" s="570"/>
      <c r="H3404" s="570"/>
      <c r="I3404" s="570"/>
      <c r="J3404" s="570"/>
      <c r="K3404" s="570"/>
    </row>
    <row r="3405" ht="13.75" customHeight="1">
      <c r="A3405" t="s" s="834">
        <v>2369</v>
      </c>
      <c r="B3405" t="s" s="834">
        <v>2370</v>
      </c>
      <c r="C3405" t="s" s="834">
        <v>688</v>
      </c>
      <c r="D3405" s="570"/>
      <c r="E3405" s="570"/>
      <c r="F3405" s="570"/>
      <c r="G3405" s="570"/>
      <c r="H3405" s="570"/>
      <c r="I3405" s="570"/>
      <c r="J3405" s="570"/>
      <c r="K3405" s="570"/>
    </row>
    <row r="3406" ht="13.75" customHeight="1">
      <c r="A3406" s="833">
        <v>164</v>
      </c>
      <c r="B3406" t="s" s="834">
        <v>2364</v>
      </c>
      <c r="C3406" t="s" s="834">
        <v>617</v>
      </c>
      <c r="D3406" s="835">
        <v>46030</v>
      </c>
      <c r="E3406" s="836">
        <v>1.353159722222222</v>
      </c>
      <c r="F3406" s="836">
        <v>1.75275462962963</v>
      </c>
      <c r="G3406" s="570"/>
      <c r="H3406" s="570"/>
      <c r="I3406" s="570"/>
      <c r="J3406" s="570"/>
      <c r="K3406" s="570"/>
    </row>
    <row r="3407" ht="13.75" customHeight="1">
      <c r="A3407" t="s" s="834">
        <v>2371</v>
      </c>
      <c r="B3407" t="s" s="834">
        <v>2372</v>
      </c>
      <c r="C3407" t="s" s="834">
        <v>515</v>
      </c>
      <c r="D3407" s="570"/>
      <c r="E3407" s="570"/>
      <c r="F3407" s="570"/>
      <c r="G3407" s="570"/>
      <c r="H3407" s="570"/>
      <c r="I3407" s="570"/>
      <c r="J3407" s="570"/>
      <c r="K3407" s="570"/>
    </row>
    <row r="3408" ht="13.75" customHeight="1">
      <c r="A3408" s="833">
        <v>164</v>
      </c>
      <c r="B3408" t="s" s="834">
        <v>2364</v>
      </c>
      <c r="C3408" t="s" s="834">
        <v>617</v>
      </c>
      <c r="D3408" s="835">
        <v>46031</v>
      </c>
      <c r="E3408" t="s" s="834">
        <v>478</v>
      </c>
      <c r="F3408" t="s" s="834">
        <v>478</v>
      </c>
      <c r="G3408" s="570"/>
      <c r="H3408" s="570"/>
      <c r="I3408" s="570"/>
      <c r="J3408" s="570"/>
      <c r="K3408" s="570"/>
    </row>
    <row r="3409" ht="13.75" customHeight="1">
      <c r="A3409" s="833">
        <v>164</v>
      </c>
      <c r="B3409" t="s" s="834">
        <v>2364</v>
      </c>
      <c r="C3409" t="s" s="834">
        <v>617</v>
      </c>
      <c r="D3409" s="835">
        <v>46032</v>
      </c>
      <c r="E3409" t="s" s="834">
        <v>478</v>
      </c>
      <c r="F3409" t="s" s="834">
        <v>478</v>
      </c>
      <c r="G3409" s="570"/>
      <c r="H3409" s="570"/>
      <c r="I3409" s="570"/>
      <c r="J3409" s="570"/>
      <c r="K3409" s="570"/>
    </row>
    <row r="3410" ht="13.75" customHeight="1">
      <c r="A3410" s="833">
        <v>164</v>
      </c>
      <c r="B3410" t="s" s="834">
        <v>2364</v>
      </c>
      <c r="C3410" t="s" s="834">
        <v>617</v>
      </c>
      <c r="D3410" s="835">
        <v>46033</v>
      </c>
      <c r="E3410" t="s" s="834">
        <v>478</v>
      </c>
      <c r="F3410" t="s" s="834">
        <v>478</v>
      </c>
      <c r="G3410" s="570"/>
      <c r="H3410" s="570"/>
      <c r="I3410" s="570"/>
      <c r="J3410" s="570"/>
      <c r="K3410" s="570"/>
    </row>
    <row r="3411" ht="13.75" customHeight="1">
      <c r="A3411" s="833">
        <v>164</v>
      </c>
      <c r="B3411" t="s" s="834">
        <v>2364</v>
      </c>
      <c r="C3411" t="s" s="834">
        <v>617</v>
      </c>
      <c r="D3411" s="835">
        <v>46034</v>
      </c>
      <c r="E3411" s="836">
        <v>1.353275462962963</v>
      </c>
      <c r="F3411" s="836">
        <v>1.751215277777778</v>
      </c>
      <c r="G3411" s="570"/>
      <c r="H3411" s="570"/>
      <c r="I3411" s="570"/>
      <c r="J3411" s="570"/>
      <c r="K3411" s="570"/>
    </row>
    <row r="3412" ht="13.75" customHeight="1">
      <c r="A3412" t="s" s="834">
        <v>2373</v>
      </c>
      <c r="B3412" t="s" s="834">
        <v>2374</v>
      </c>
      <c r="C3412" t="s" s="834">
        <v>688</v>
      </c>
      <c r="D3412" s="570"/>
      <c r="E3412" s="570"/>
      <c r="F3412" s="570"/>
      <c r="G3412" s="570"/>
      <c r="H3412" s="570"/>
      <c r="I3412" s="570"/>
      <c r="J3412" s="570"/>
      <c r="K3412" s="570"/>
    </row>
    <row r="3413" ht="13.75" customHeight="1">
      <c r="A3413" s="833">
        <v>164</v>
      </c>
      <c r="B3413" t="s" s="834">
        <v>2364</v>
      </c>
      <c r="C3413" t="s" s="834">
        <v>617</v>
      </c>
      <c r="D3413" s="835">
        <v>46035</v>
      </c>
      <c r="E3413" s="836">
        <v>1.353252314814815</v>
      </c>
      <c r="F3413" s="836">
        <v>1.751377314814815</v>
      </c>
      <c r="G3413" s="570"/>
      <c r="H3413" s="570"/>
      <c r="I3413" s="570"/>
      <c r="J3413" s="570"/>
      <c r="K3413" s="570"/>
    </row>
    <row r="3414" ht="13.75" customHeight="1">
      <c r="A3414" t="s" s="834">
        <v>2375</v>
      </c>
      <c r="B3414" t="s" s="834">
        <v>2376</v>
      </c>
      <c r="C3414" t="s" s="834">
        <v>688</v>
      </c>
      <c r="D3414" s="570"/>
      <c r="E3414" s="570"/>
      <c r="F3414" s="570"/>
      <c r="G3414" s="570"/>
      <c r="H3414" s="570"/>
      <c r="I3414" s="570"/>
      <c r="J3414" s="570"/>
      <c r="K3414" s="570"/>
    </row>
    <row r="3415" ht="13.75" customHeight="1">
      <c r="A3415" s="833">
        <v>164</v>
      </c>
      <c r="B3415" t="s" s="834">
        <v>2364</v>
      </c>
      <c r="C3415" t="s" s="834">
        <v>617</v>
      </c>
      <c r="D3415" s="835">
        <v>46036</v>
      </c>
      <c r="E3415" s="836">
        <v>1.35037037037037</v>
      </c>
      <c r="F3415" s="836">
        <v>1.751111111111111</v>
      </c>
      <c r="G3415" s="570"/>
      <c r="H3415" s="570"/>
      <c r="I3415" s="570"/>
      <c r="J3415" s="570"/>
      <c r="K3415" s="570"/>
    </row>
    <row r="3416" ht="13.75" customHeight="1">
      <c r="A3416" t="s" s="834">
        <v>2377</v>
      </c>
      <c r="B3416" t="s" s="834">
        <v>2378</v>
      </c>
      <c r="C3416" t="s" s="834">
        <v>606</v>
      </c>
      <c r="D3416" s="570"/>
      <c r="E3416" s="570"/>
      <c r="F3416" s="570"/>
      <c r="G3416" s="570"/>
      <c r="H3416" s="570"/>
      <c r="I3416" s="570"/>
      <c r="J3416" s="570"/>
      <c r="K3416" s="570"/>
    </row>
    <row r="3417" ht="13.75" customHeight="1">
      <c r="A3417" s="833">
        <v>164</v>
      </c>
      <c r="B3417" t="s" s="834">
        <v>2364</v>
      </c>
      <c r="C3417" t="s" s="834">
        <v>617</v>
      </c>
      <c r="D3417" s="835">
        <v>46037</v>
      </c>
      <c r="E3417" s="836">
        <v>1.353275462962963</v>
      </c>
      <c r="F3417" s="836">
        <v>1.751111111111111</v>
      </c>
      <c r="G3417" s="570"/>
      <c r="H3417" s="570"/>
      <c r="I3417" s="570"/>
      <c r="J3417" s="570"/>
      <c r="K3417" s="570"/>
    </row>
    <row r="3418" ht="13.75" customHeight="1">
      <c r="A3418" t="s" s="834">
        <v>2379</v>
      </c>
      <c r="B3418" t="s" s="834">
        <v>2380</v>
      </c>
      <c r="C3418" t="s" s="834">
        <v>688</v>
      </c>
      <c r="D3418" s="570"/>
      <c r="E3418" s="570"/>
      <c r="F3418" s="570"/>
      <c r="G3418" s="570"/>
      <c r="H3418" s="570"/>
      <c r="I3418" s="570"/>
      <c r="J3418" s="570"/>
      <c r="K3418" s="570"/>
    </row>
    <row r="3419" ht="13.75" customHeight="1">
      <c r="A3419" s="833">
        <v>164</v>
      </c>
      <c r="B3419" t="s" s="834">
        <v>2364</v>
      </c>
      <c r="C3419" t="s" s="834">
        <v>617</v>
      </c>
      <c r="D3419" s="835">
        <v>46038</v>
      </c>
      <c r="E3419" t="s" s="834">
        <v>478</v>
      </c>
      <c r="F3419" t="s" s="834">
        <v>478</v>
      </c>
      <c r="G3419" s="570"/>
      <c r="H3419" s="570"/>
      <c r="I3419" s="570"/>
      <c r="J3419" s="570"/>
      <c r="K3419" s="570"/>
    </row>
    <row r="3420" ht="13.75" customHeight="1">
      <c r="A3420" s="833">
        <v>164</v>
      </c>
      <c r="B3420" t="s" s="834">
        <v>2364</v>
      </c>
      <c r="C3420" t="s" s="834">
        <v>617</v>
      </c>
      <c r="D3420" s="835">
        <v>46039</v>
      </c>
      <c r="E3420" t="s" s="834">
        <v>478</v>
      </c>
      <c r="F3420" t="s" s="834">
        <v>478</v>
      </c>
      <c r="G3420" s="570"/>
      <c r="H3420" s="570"/>
      <c r="I3420" s="570"/>
      <c r="J3420" s="570"/>
      <c r="K3420" s="570"/>
    </row>
    <row r="3421" ht="13.75" customHeight="1">
      <c r="A3421" s="833">
        <v>164</v>
      </c>
      <c r="B3421" t="s" s="834">
        <v>2364</v>
      </c>
      <c r="C3421" t="s" s="834">
        <v>617</v>
      </c>
      <c r="D3421" s="835">
        <v>46040</v>
      </c>
      <c r="E3421" t="s" s="834">
        <v>478</v>
      </c>
      <c r="F3421" t="s" s="834">
        <v>478</v>
      </c>
      <c r="G3421" s="570"/>
      <c r="H3421" s="570"/>
      <c r="I3421" s="570"/>
      <c r="J3421" s="570"/>
      <c r="K3421" s="570"/>
    </row>
    <row r="3422" ht="13.75" customHeight="1">
      <c r="A3422" s="833">
        <v>164</v>
      </c>
      <c r="B3422" t="s" s="834">
        <v>2364</v>
      </c>
      <c r="C3422" t="s" s="834">
        <v>617</v>
      </c>
      <c r="D3422" s="835">
        <v>46041</v>
      </c>
      <c r="E3422" s="836">
        <v>1.349861111111111</v>
      </c>
      <c r="F3422" s="836">
        <v>1.751539351851852</v>
      </c>
      <c r="G3422" s="570"/>
      <c r="H3422" s="570"/>
      <c r="I3422" s="570"/>
      <c r="J3422" s="570"/>
      <c r="K3422" s="570"/>
    </row>
    <row r="3423" ht="13.75" customHeight="1">
      <c r="A3423" t="s" s="834">
        <v>2381</v>
      </c>
      <c r="B3423" t="s" s="834">
        <v>2382</v>
      </c>
      <c r="C3423" t="s" s="834">
        <v>697</v>
      </c>
      <c r="D3423" s="570"/>
      <c r="E3423" s="570"/>
      <c r="F3423" s="570"/>
      <c r="G3423" s="570"/>
      <c r="H3423" s="570"/>
      <c r="I3423" s="570"/>
      <c r="J3423" s="570"/>
      <c r="K3423" s="570"/>
    </row>
    <row r="3424" ht="13.75" customHeight="1">
      <c r="A3424" s="833">
        <v>164</v>
      </c>
      <c r="B3424" t="s" s="834">
        <v>2364</v>
      </c>
      <c r="C3424" t="s" s="834">
        <v>617</v>
      </c>
      <c r="D3424" s="835">
        <v>46042</v>
      </c>
      <c r="E3424" s="836">
        <v>1.351736111111111</v>
      </c>
      <c r="F3424" s="836">
        <v>1.751516203703704</v>
      </c>
      <c r="G3424" s="570"/>
      <c r="H3424" s="570"/>
      <c r="I3424" s="570"/>
      <c r="J3424" s="570"/>
      <c r="K3424" s="570"/>
    </row>
    <row r="3425" ht="13.75" customHeight="1">
      <c r="A3425" t="s" s="834">
        <v>2383</v>
      </c>
      <c r="B3425" t="s" s="834">
        <v>2384</v>
      </c>
      <c r="C3425" t="s" s="834">
        <v>759</v>
      </c>
      <c r="D3425" s="570"/>
      <c r="E3425" s="570"/>
      <c r="F3425" s="570"/>
      <c r="G3425" s="570"/>
      <c r="H3425" s="570"/>
      <c r="I3425" s="570"/>
      <c r="J3425" s="570"/>
      <c r="K3425" s="570"/>
    </row>
    <row r="3426" ht="13.75" customHeight="1">
      <c r="A3426" s="833">
        <v>164</v>
      </c>
      <c r="B3426" t="s" s="834">
        <v>2364</v>
      </c>
      <c r="C3426" t="s" s="834">
        <v>617</v>
      </c>
      <c r="D3426" s="835">
        <v>46043</v>
      </c>
      <c r="E3426" s="836">
        <v>1.353657407407407</v>
      </c>
      <c r="F3426" s="836">
        <v>1.750787037037037</v>
      </c>
      <c r="G3426" s="570"/>
      <c r="H3426" s="570"/>
      <c r="I3426" s="570"/>
      <c r="J3426" s="570"/>
      <c r="K3426" s="570"/>
    </row>
    <row r="3427" ht="13.75" customHeight="1">
      <c r="A3427" t="s" s="834">
        <v>2385</v>
      </c>
      <c r="B3427" t="s" s="834">
        <v>2386</v>
      </c>
      <c r="C3427" t="s" s="834">
        <v>747</v>
      </c>
      <c r="D3427" s="570"/>
      <c r="E3427" s="570"/>
      <c r="F3427" s="570"/>
      <c r="G3427" s="570"/>
      <c r="H3427" s="570"/>
      <c r="I3427" s="570"/>
      <c r="J3427" s="570"/>
      <c r="K3427" s="570"/>
    </row>
    <row r="3428" ht="13.75" customHeight="1">
      <c r="A3428" s="833">
        <v>164</v>
      </c>
      <c r="B3428" t="s" s="834">
        <v>2364</v>
      </c>
      <c r="C3428" t="s" s="834">
        <v>617</v>
      </c>
      <c r="D3428" s="835">
        <v>46044</v>
      </c>
      <c r="E3428" s="836">
        <v>1.355520833333333</v>
      </c>
      <c r="F3428" s="836">
        <v>1.751770833333333</v>
      </c>
      <c r="G3428" s="570"/>
      <c r="H3428" s="570"/>
      <c r="I3428" s="570"/>
      <c r="J3428" s="570"/>
      <c r="K3428" s="570"/>
    </row>
    <row r="3429" ht="13.75" customHeight="1">
      <c r="A3429" t="s" s="834">
        <v>2387</v>
      </c>
      <c r="B3429" t="s" s="834">
        <v>2388</v>
      </c>
      <c r="C3429" t="s" s="834">
        <v>683</v>
      </c>
      <c r="D3429" s="570"/>
      <c r="E3429" s="570"/>
      <c r="F3429" s="570"/>
      <c r="G3429" s="570"/>
      <c r="H3429" s="570"/>
      <c r="I3429" s="570"/>
      <c r="J3429" s="570"/>
      <c r="K3429" s="570"/>
    </row>
    <row r="3430" ht="13.75" customHeight="1">
      <c r="A3430" s="833">
        <v>164</v>
      </c>
      <c r="B3430" t="s" s="834">
        <v>2364</v>
      </c>
      <c r="C3430" t="s" s="834">
        <v>617</v>
      </c>
      <c r="D3430" s="835">
        <v>46045</v>
      </c>
      <c r="E3430" t="s" s="834">
        <v>478</v>
      </c>
      <c r="F3430" t="s" s="834">
        <v>478</v>
      </c>
      <c r="G3430" s="570"/>
      <c r="H3430" s="570"/>
      <c r="I3430" s="570"/>
      <c r="J3430" s="570"/>
      <c r="K3430" s="570"/>
    </row>
    <row r="3431" ht="13.75" customHeight="1">
      <c r="A3431" s="833">
        <v>164</v>
      </c>
      <c r="B3431" t="s" s="834">
        <v>2364</v>
      </c>
      <c r="C3431" t="s" s="834">
        <v>617</v>
      </c>
      <c r="D3431" s="835">
        <v>46046</v>
      </c>
      <c r="E3431" t="s" s="834">
        <v>478</v>
      </c>
      <c r="F3431" t="s" s="834">
        <v>478</v>
      </c>
      <c r="G3431" s="570"/>
      <c r="H3431" s="570"/>
      <c r="I3431" s="570"/>
      <c r="J3431" s="570"/>
      <c r="K3431" s="570"/>
    </row>
    <row r="3432" ht="13.75" customHeight="1">
      <c r="A3432" s="833">
        <v>164</v>
      </c>
      <c r="B3432" t="s" s="834">
        <v>2364</v>
      </c>
      <c r="C3432" t="s" s="834">
        <v>617</v>
      </c>
      <c r="D3432" s="835">
        <v>46047</v>
      </c>
      <c r="E3432" t="s" s="834">
        <v>478</v>
      </c>
      <c r="F3432" t="s" s="834">
        <v>478</v>
      </c>
      <c r="G3432" s="570"/>
      <c r="H3432" s="570"/>
      <c r="I3432" s="570"/>
      <c r="J3432" s="570"/>
      <c r="K3432" s="570"/>
    </row>
    <row r="3433" ht="13.75" customHeight="1">
      <c r="A3433" s="833">
        <v>164</v>
      </c>
      <c r="B3433" t="s" s="834">
        <v>2364</v>
      </c>
      <c r="C3433" t="s" s="834">
        <v>617</v>
      </c>
      <c r="D3433" s="835">
        <v>46048</v>
      </c>
      <c r="E3433" s="836">
        <v>1.355706018518519</v>
      </c>
      <c r="F3433" s="836">
        <v>1.750601851851852</v>
      </c>
      <c r="G3433" s="570"/>
      <c r="H3433" s="570"/>
      <c r="I3433" s="570"/>
      <c r="J3433" s="570"/>
      <c r="K3433" s="570"/>
    </row>
    <row r="3434" ht="13.75" customHeight="1">
      <c r="A3434" t="s" s="834">
        <v>2389</v>
      </c>
      <c r="B3434" t="s" s="834">
        <v>2390</v>
      </c>
      <c r="C3434" t="s" s="834">
        <v>643</v>
      </c>
      <c r="D3434" s="570"/>
      <c r="E3434" s="570"/>
      <c r="F3434" s="570"/>
      <c r="G3434" s="570"/>
      <c r="H3434" s="570"/>
      <c r="I3434" s="570"/>
      <c r="J3434" s="570"/>
      <c r="K3434" s="570"/>
    </row>
    <row r="3435" ht="13.75" customHeight="1">
      <c r="A3435" s="833">
        <v>164</v>
      </c>
      <c r="B3435" t="s" s="834">
        <v>2364</v>
      </c>
      <c r="C3435" t="s" s="834">
        <v>617</v>
      </c>
      <c r="D3435" s="835">
        <v>46049</v>
      </c>
      <c r="E3435" s="836">
        <v>1.3540625</v>
      </c>
      <c r="F3435" s="836">
        <v>1.751967592592593</v>
      </c>
      <c r="G3435" s="570"/>
      <c r="H3435" s="570"/>
      <c r="I3435" s="570"/>
      <c r="J3435" s="570"/>
      <c r="K3435" s="570"/>
    </row>
    <row r="3436" ht="13.75" customHeight="1">
      <c r="A3436" t="s" s="834">
        <v>2391</v>
      </c>
      <c r="B3436" t="s" s="834">
        <v>2392</v>
      </c>
      <c r="C3436" t="s" s="834">
        <v>688</v>
      </c>
      <c r="D3436" s="570"/>
      <c r="E3436" s="570"/>
      <c r="F3436" s="570"/>
      <c r="G3436" s="570"/>
      <c r="H3436" s="570"/>
      <c r="I3436" s="570"/>
      <c r="J3436" s="570"/>
      <c r="K3436" s="570"/>
    </row>
    <row r="3437" ht="13.75" customHeight="1">
      <c r="A3437" s="833">
        <v>164</v>
      </c>
      <c r="B3437" t="s" s="834">
        <v>2364</v>
      </c>
      <c r="C3437" t="s" s="834">
        <v>617</v>
      </c>
      <c r="D3437" s="835">
        <v>46050</v>
      </c>
      <c r="E3437" s="836">
        <v>1.355891203703704</v>
      </c>
      <c r="F3437" s="836">
        <v>1.751423611111111</v>
      </c>
      <c r="G3437" s="570"/>
      <c r="H3437" s="570"/>
      <c r="I3437" s="570"/>
      <c r="J3437" s="570"/>
      <c r="K3437" s="570"/>
    </row>
    <row r="3438" ht="13.75" customHeight="1">
      <c r="A3438" t="s" s="834">
        <v>2393</v>
      </c>
      <c r="B3438" t="s" s="834">
        <v>2394</v>
      </c>
      <c r="C3438" t="s" s="834">
        <v>634</v>
      </c>
      <c r="D3438" s="570"/>
      <c r="E3438" s="570"/>
      <c r="F3438" s="570"/>
      <c r="G3438" s="570"/>
      <c r="H3438" s="570"/>
      <c r="I3438" s="570"/>
      <c r="J3438" s="570"/>
      <c r="K3438" s="570"/>
    </row>
    <row r="3439" ht="13.75" customHeight="1">
      <c r="A3439" s="833">
        <v>164</v>
      </c>
      <c r="B3439" t="s" s="834">
        <v>2364</v>
      </c>
      <c r="C3439" t="s" s="834">
        <v>617</v>
      </c>
      <c r="D3439" s="835">
        <v>46051</v>
      </c>
      <c r="E3439" s="836">
        <v>1.353275462962963</v>
      </c>
      <c r="F3439" s="836">
        <v>1.750810185185185</v>
      </c>
      <c r="G3439" s="570"/>
      <c r="H3439" s="570"/>
      <c r="I3439" s="570"/>
      <c r="J3439" s="570"/>
      <c r="K3439" s="570"/>
    </row>
    <row r="3440" ht="13.75" customHeight="1">
      <c r="A3440" t="s" s="834">
        <v>2395</v>
      </c>
      <c r="B3440" t="s" s="834">
        <v>2396</v>
      </c>
      <c r="C3440" t="s" s="834">
        <v>747</v>
      </c>
      <c r="D3440" s="570"/>
      <c r="E3440" s="570"/>
      <c r="F3440" s="570"/>
      <c r="G3440" s="570"/>
      <c r="H3440" s="570"/>
      <c r="I3440" s="570"/>
      <c r="J3440" s="570"/>
      <c r="K3440" s="570"/>
    </row>
    <row r="3441" ht="13.75" customHeight="1">
      <c r="A3441" s="833">
        <v>164</v>
      </c>
      <c r="B3441" t="s" s="834">
        <v>2364</v>
      </c>
      <c r="C3441" t="s" s="834">
        <v>617</v>
      </c>
      <c r="D3441" s="835">
        <v>46052</v>
      </c>
      <c r="E3441" t="s" s="834">
        <v>478</v>
      </c>
      <c r="F3441" t="s" s="834">
        <v>478</v>
      </c>
      <c r="G3441" s="570"/>
      <c r="H3441" s="570"/>
      <c r="I3441" s="570"/>
      <c r="J3441" s="570"/>
      <c r="K3441" s="570"/>
    </row>
    <row r="3442" ht="13.75" customHeight="1">
      <c r="A3442" s="833">
        <v>164</v>
      </c>
      <c r="B3442" t="s" s="834">
        <v>2364</v>
      </c>
      <c r="C3442" t="s" s="834">
        <v>617</v>
      </c>
      <c r="D3442" s="835">
        <v>46053</v>
      </c>
      <c r="E3442" t="s" s="834">
        <v>478</v>
      </c>
      <c r="F3442" t="s" s="834">
        <v>478</v>
      </c>
      <c r="G3442" s="570"/>
      <c r="H3442" s="570"/>
      <c r="I3442" s="570"/>
      <c r="J3442" s="570"/>
      <c r="K3442" s="570"/>
    </row>
    <row r="3443" ht="13.75" customHeight="1">
      <c r="A3443" s="833">
        <v>164</v>
      </c>
      <c r="B3443" t="s" s="834">
        <v>2364</v>
      </c>
      <c r="C3443" t="s" s="834">
        <v>617</v>
      </c>
      <c r="D3443" s="835">
        <v>46054</v>
      </c>
      <c r="E3443" t="s" s="834">
        <v>478</v>
      </c>
      <c r="F3443" t="s" s="834">
        <v>478</v>
      </c>
      <c r="G3443" s="570"/>
      <c r="H3443" s="570"/>
      <c r="I3443" s="570"/>
      <c r="J3443" s="570"/>
      <c r="K3443" s="570"/>
    </row>
    <row r="3444" ht="13.75" customHeight="1">
      <c r="A3444" s="833">
        <v>166</v>
      </c>
      <c r="B3444" t="s" s="834">
        <v>2397</v>
      </c>
      <c r="C3444" t="s" s="834">
        <v>700</v>
      </c>
      <c r="D3444" s="835">
        <v>46023</v>
      </c>
      <c r="E3444" t="s" s="834">
        <v>478</v>
      </c>
      <c r="F3444" t="s" s="834">
        <v>478</v>
      </c>
      <c r="G3444" s="570"/>
      <c r="H3444" s="570"/>
      <c r="I3444" s="570"/>
      <c r="J3444" s="570"/>
      <c r="K3444" s="570"/>
    </row>
    <row r="3445" ht="13.75" customHeight="1">
      <c r="A3445" s="833">
        <v>166</v>
      </c>
      <c r="B3445" t="s" s="834">
        <v>2397</v>
      </c>
      <c r="C3445" t="s" s="834">
        <v>700</v>
      </c>
      <c r="D3445" s="835">
        <v>46024</v>
      </c>
      <c r="E3445" t="s" s="834">
        <v>478</v>
      </c>
      <c r="F3445" t="s" s="834">
        <v>478</v>
      </c>
      <c r="G3445" s="570"/>
      <c r="H3445" s="570"/>
      <c r="I3445" s="570"/>
      <c r="J3445" s="570"/>
      <c r="K3445" s="570"/>
    </row>
    <row r="3446" ht="13.75" customHeight="1">
      <c r="A3446" s="833">
        <v>166</v>
      </c>
      <c r="B3446" t="s" s="834">
        <v>2397</v>
      </c>
      <c r="C3446" t="s" s="834">
        <v>700</v>
      </c>
      <c r="D3446" s="835">
        <v>46025</v>
      </c>
      <c r="E3446" t="s" s="834">
        <v>478</v>
      </c>
      <c r="F3446" t="s" s="834">
        <v>478</v>
      </c>
      <c r="G3446" s="570"/>
      <c r="H3446" s="570"/>
      <c r="I3446" s="570"/>
      <c r="J3446" s="570"/>
      <c r="K3446" s="570"/>
    </row>
    <row r="3447" ht="13.75" customHeight="1">
      <c r="A3447" s="833">
        <v>166</v>
      </c>
      <c r="B3447" t="s" s="834">
        <v>2397</v>
      </c>
      <c r="C3447" t="s" s="834">
        <v>700</v>
      </c>
      <c r="D3447" s="835">
        <v>46026</v>
      </c>
      <c r="E3447" t="s" s="834">
        <v>478</v>
      </c>
      <c r="F3447" t="s" s="834">
        <v>478</v>
      </c>
      <c r="G3447" s="570"/>
      <c r="H3447" s="570"/>
      <c r="I3447" s="570"/>
      <c r="J3447" s="570"/>
      <c r="K3447" s="570"/>
    </row>
    <row r="3448" ht="13.75" customHeight="1">
      <c r="A3448" s="833">
        <v>166</v>
      </c>
      <c r="B3448" t="s" s="834">
        <v>2397</v>
      </c>
      <c r="C3448" t="s" s="834">
        <v>700</v>
      </c>
      <c r="D3448" s="835">
        <v>46027</v>
      </c>
      <c r="E3448" t="s" s="834">
        <v>478</v>
      </c>
      <c r="F3448" t="s" s="834">
        <v>478</v>
      </c>
      <c r="G3448" s="570"/>
      <c r="H3448" s="570"/>
      <c r="I3448" s="570"/>
      <c r="J3448" s="570"/>
      <c r="K3448" s="570"/>
    </row>
    <row r="3449" ht="13.75" customHeight="1">
      <c r="A3449" s="833">
        <v>166</v>
      </c>
      <c r="B3449" t="s" s="834">
        <v>2397</v>
      </c>
      <c r="C3449" t="s" s="834">
        <v>700</v>
      </c>
      <c r="D3449" s="835">
        <v>46028</v>
      </c>
      <c r="E3449" t="s" s="834">
        <v>478</v>
      </c>
      <c r="F3449" t="s" s="834">
        <v>478</v>
      </c>
      <c r="G3449" s="570"/>
      <c r="H3449" s="570"/>
      <c r="I3449" s="570"/>
      <c r="J3449" s="570"/>
      <c r="K3449" s="570"/>
    </row>
    <row r="3450" ht="13.75" customHeight="1">
      <c r="A3450" s="833">
        <v>166</v>
      </c>
      <c r="B3450" t="s" s="834">
        <v>2397</v>
      </c>
      <c r="C3450" t="s" s="834">
        <v>700</v>
      </c>
      <c r="D3450" s="835">
        <v>46029</v>
      </c>
      <c r="E3450" s="836">
        <v>1.927569444444444</v>
      </c>
      <c r="F3450" s="836">
        <v>1.927604166666667</v>
      </c>
      <c r="G3450" s="570"/>
      <c r="H3450" s="570"/>
      <c r="I3450" s="570"/>
      <c r="J3450" s="570"/>
      <c r="K3450" s="570"/>
    </row>
    <row r="3451" ht="13.75" customHeight="1">
      <c r="A3451" t="s" s="834">
        <v>2398</v>
      </c>
      <c r="B3451" t="s" s="834">
        <v>2399</v>
      </c>
      <c r="C3451" t="s" s="834">
        <v>486</v>
      </c>
      <c r="D3451" s="570"/>
      <c r="E3451" s="570"/>
      <c r="F3451" s="570"/>
      <c r="G3451" s="570"/>
      <c r="H3451" s="570"/>
      <c r="I3451" s="570"/>
      <c r="J3451" s="570"/>
      <c r="K3451" s="570"/>
    </row>
    <row r="3452" ht="13.75" customHeight="1">
      <c r="A3452" s="833">
        <v>166</v>
      </c>
      <c r="B3452" t="s" s="834">
        <v>2397</v>
      </c>
      <c r="C3452" t="s" s="834">
        <v>700</v>
      </c>
      <c r="D3452" s="835">
        <v>46030</v>
      </c>
      <c r="E3452" t="s" s="834">
        <v>478</v>
      </c>
      <c r="F3452" t="s" s="834">
        <v>478</v>
      </c>
      <c r="G3452" s="570"/>
      <c r="H3452" s="570"/>
      <c r="I3452" s="570"/>
      <c r="J3452" s="570"/>
      <c r="K3452" s="570"/>
    </row>
    <row r="3453" ht="13.75" customHeight="1">
      <c r="A3453" s="833">
        <v>166</v>
      </c>
      <c r="B3453" t="s" s="834">
        <v>2397</v>
      </c>
      <c r="C3453" t="s" s="834">
        <v>700</v>
      </c>
      <c r="D3453" s="835">
        <v>46031</v>
      </c>
      <c r="E3453" t="s" s="834">
        <v>478</v>
      </c>
      <c r="F3453" t="s" s="834">
        <v>478</v>
      </c>
      <c r="G3453" s="570"/>
      <c r="H3453" s="570"/>
      <c r="I3453" s="570"/>
      <c r="J3453" s="570"/>
      <c r="K3453" s="570"/>
    </row>
    <row r="3454" ht="13.75" customHeight="1">
      <c r="A3454" s="833">
        <v>166</v>
      </c>
      <c r="B3454" t="s" s="834">
        <v>2397</v>
      </c>
      <c r="C3454" t="s" s="834">
        <v>700</v>
      </c>
      <c r="D3454" s="835">
        <v>46032</v>
      </c>
      <c r="E3454" t="s" s="834">
        <v>478</v>
      </c>
      <c r="F3454" t="s" s="834">
        <v>478</v>
      </c>
      <c r="G3454" s="570"/>
      <c r="H3454" s="570"/>
      <c r="I3454" s="570"/>
      <c r="J3454" s="570"/>
      <c r="K3454" s="570"/>
    </row>
    <row r="3455" ht="13.75" customHeight="1">
      <c r="A3455" s="833">
        <v>166</v>
      </c>
      <c r="B3455" t="s" s="834">
        <v>2397</v>
      </c>
      <c r="C3455" t="s" s="834">
        <v>700</v>
      </c>
      <c r="D3455" s="835">
        <v>46033</v>
      </c>
      <c r="E3455" t="s" s="834">
        <v>478</v>
      </c>
      <c r="F3455" t="s" s="834">
        <v>478</v>
      </c>
      <c r="G3455" s="570"/>
      <c r="H3455" s="570"/>
      <c r="I3455" s="570"/>
      <c r="J3455" s="570"/>
      <c r="K3455" s="570"/>
    </row>
    <row r="3456" ht="13.75" customHeight="1">
      <c r="A3456" s="833">
        <v>166</v>
      </c>
      <c r="B3456" t="s" s="834">
        <v>2397</v>
      </c>
      <c r="C3456" t="s" s="834">
        <v>700</v>
      </c>
      <c r="D3456" s="835">
        <v>46034</v>
      </c>
      <c r="E3456" t="s" s="834">
        <v>478</v>
      </c>
      <c r="F3456" t="s" s="834">
        <v>478</v>
      </c>
      <c r="G3456" s="570"/>
      <c r="H3456" s="570"/>
      <c r="I3456" s="570"/>
      <c r="J3456" s="570"/>
      <c r="K3456" s="570"/>
    </row>
    <row r="3457" ht="13.75" customHeight="1">
      <c r="A3457" s="833">
        <v>166</v>
      </c>
      <c r="B3457" t="s" s="834">
        <v>2397</v>
      </c>
      <c r="C3457" t="s" s="834">
        <v>700</v>
      </c>
      <c r="D3457" s="835">
        <v>46035</v>
      </c>
      <c r="E3457" t="s" s="834">
        <v>478</v>
      </c>
      <c r="F3457" t="s" s="834">
        <v>478</v>
      </c>
      <c r="G3457" s="570"/>
      <c r="H3457" s="570"/>
      <c r="I3457" s="570"/>
      <c r="J3457" s="570"/>
      <c r="K3457" s="570"/>
    </row>
    <row r="3458" ht="13.75" customHeight="1">
      <c r="A3458" s="833">
        <v>166</v>
      </c>
      <c r="B3458" t="s" s="834">
        <v>2397</v>
      </c>
      <c r="C3458" t="s" s="834">
        <v>700</v>
      </c>
      <c r="D3458" s="835">
        <v>46036</v>
      </c>
      <c r="E3458" t="s" s="834">
        <v>478</v>
      </c>
      <c r="F3458" t="s" s="834">
        <v>478</v>
      </c>
      <c r="G3458" s="570"/>
      <c r="H3458" s="570"/>
      <c r="I3458" s="570"/>
      <c r="J3458" s="570"/>
      <c r="K3458" s="570"/>
    </row>
    <row r="3459" ht="13.75" customHeight="1">
      <c r="A3459" s="833">
        <v>166</v>
      </c>
      <c r="B3459" t="s" s="834">
        <v>2397</v>
      </c>
      <c r="C3459" t="s" s="834">
        <v>700</v>
      </c>
      <c r="D3459" s="835">
        <v>46037</v>
      </c>
      <c r="E3459" t="s" s="834">
        <v>478</v>
      </c>
      <c r="F3459" t="s" s="834">
        <v>478</v>
      </c>
      <c r="G3459" s="570"/>
      <c r="H3459" s="570"/>
      <c r="I3459" s="570"/>
      <c r="J3459" s="570"/>
      <c r="K3459" s="570"/>
    </row>
    <row r="3460" ht="13.75" customHeight="1">
      <c r="A3460" s="833">
        <v>166</v>
      </c>
      <c r="B3460" t="s" s="834">
        <v>2397</v>
      </c>
      <c r="C3460" t="s" s="834">
        <v>700</v>
      </c>
      <c r="D3460" s="835">
        <v>46038</v>
      </c>
      <c r="E3460" t="s" s="834">
        <v>478</v>
      </c>
      <c r="F3460" t="s" s="834">
        <v>478</v>
      </c>
      <c r="G3460" s="570"/>
      <c r="H3460" s="570"/>
      <c r="I3460" s="570"/>
      <c r="J3460" s="570"/>
      <c r="K3460" s="570"/>
    </row>
    <row r="3461" ht="13.75" customHeight="1">
      <c r="A3461" s="833">
        <v>166</v>
      </c>
      <c r="B3461" t="s" s="834">
        <v>2397</v>
      </c>
      <c r="C3461" t="s" s="834">
        <v>700</v>
      </c>
      <c r="D3461" s="835">
        <v>46039</v>
      </c>
      <c r="E3461" t="s" s="834">
        <v>478</v>
      </c>
      <c r="F3461" t="s" s="834">
        <v>478</v>
      </c>
      <c r="G3461" s="570"/>
      <c r="H3461" s="570"/>
      <c r="I3461" s="570"/>
      <c r="J3461" s="570"/>
      <c r="K3461" s="570"/>
    </row>
    <row r="3462" ht="13.75" customHeight="1">
      <c r="A3462" s="833">
        <v>166</v>
      </c>
      <c r="B3462" t="s" s="834">
        <v>2397</v>
      </c>
      <c r="C3462" t="s" s="834">
        <v>700</v>
      </c>
      <c r="D3462" s="835">
        <v>46040</v>
      </c>
      <c r="E3462" t="s" s="834">
        <v>478</v>
      </c>
      <c r="F3462" t="s" s="834">
        <v>478</v>
      </c>
      <c r="G3462" s="570"/>
      <c r="H3462" s="570"/>
      <c r="I3462" s="570"/>
      <c r="J3462" s="570"/>
      <c r="K3462" s="570"/>
    </row>
    <row r="3463" ht="13.75" customHeight="1">
      <c r="A3463" s="833">
        <v>166</v>
      </c>
      <c r="B3463" t="s" s="834">
        <v>2397</v>
      </c>
      <c r="C3463" t="s" s="834">
        <v>700</v>
      </c>
      <c r="D3463" s="835">
        <v>46041</v>
      </c>
      <c r="E3463" t="s" s="834">
        <v>478</v>
      </c>
      <c r="F3463" t="s" s="834">
        <v>478</v>
      </c>
      <c r="G3463" s="570"/>
      <c r="H3463" s="570"/>
      <c r="I3463" s="570"/>
      <c r="J3463" s="570"/>
      <c r="K3463" s="570"/>
    </row>
    <row r="3464" ht="13.75" customHeight="1">
      <c r="A3464" s="833">
        <v>166</v>
      </c>
      <c r="B3464" t="s" s="834">
        <v>2397</v>
      </c>
      <c r="C3464" t="s" s="834">
        <v>700</v>
      </c>
      <c r="D3464" s="835">
        <v>46042</v>
      </c>
      <c r="E3464" t="s" s="834">
        <v>478</v>
      </c>
      <c r="F3464" t="s" s="834">
        <v>478</v>
      </c>
      <c r="G3464" s="570"/>
      <c r="H3464" s="570"/>
      <c r="I3464" s="570"/>
      <c r="J3464" s="570"/>
      <c r="K3464" s="570"/>
    </row>
    <row r="3465" ht="13.75" customHeight="1">
      <c r="A3465" s="833">
        <v>166</v>
      </c>
      <c r="B3465" t="s" s="834">
        <v>2397</v>
      </c>
      <c r="C3465" t="s" s="834">
        <v>700</v>
      </c>
      <c r="D3465" s="835">
        <v>46043</v>
      </c>
      <c r="E3465" t="s" s="834">
        <v>478</v>
      </c>
      <c r="F3465" t="s" s="834">
        <v>478</v>
      </c>
      <c r="G3465" s="570"/>
      <c r="H3465" s="570"/>
      <c r="I3465" s="570"/>
      <c r="J3465" s="570"/>
      <c r="K3465" s="570"/>
    </row>
    <row r="3466" ht="13.75" customHeight="1">
      <c r="A3466" s="833">
        <v>166</v>
      </c>
      <c r="B3466" t="s" s="834">
        <v>2397</v>
      </c>
      <c r="C3466" t="s" s="834">
        <v>700</v>
      </c>
      <c r="D3466" s="835">
        <v>46044</v>
      </c>
      <c r="E3466" t="s" s="834">
        <v>478</v>
      </c>
      <c r="F3466" t="s" s="834">
        <v>478</v>
      </c>
      <c r="G3466" s="570"/>
      <c r="H3466" s="570"/>
      <c r="I3466" s="570"/>
      <c r="J3466" s="570"/>
      <c r="K3466" s="570"/>
    </row>
    <row r="3467" ht="13.75" customHeight="1">
      <c r="A3467" s="833">
        <v>166</v>
      </c>
      <c r="B3467" t="s" s="834">
        <v>2397</v>
      </c>
      <c r="C3467" t="s" s="834">
        <v>700</v>
      </c>
      <c r="D3467" s="835">
        <v>46045</v>
      </c>
      <c r="E3467" t="s" s="834">
        <v>478</v>
      </c>
      <c r="F3467" t="s" s="834">
        <v>478</v>
      </c>
      <c r="G3467" s="570"/>
      <c r="H3467" s="570"/>
      <c r="I3467" s="570"/>
      <c r="J3467" s="570"/>
      <c r="K3467" s="570"/>
    </row>
    <row r="3468" ht="13.75" customHeight="1">
      <c r="A3468" s="833">
        <v>166</v>
      </c>
      <c r="B3468" t="s" s="834">
        <v>2397</v>
      </c>
      <c r="C3468" t="s" s="834">
        <v>700</v>
      </c>
      <c r="D3468" s="835">
        <v>46046</v>
      </c>
      <c r="E3468" t="s" s="834">
        <v>478</v>
      </c>
      <c r="F3468" t="s" s="834">
        <v>478</v>
      </c>
      <c r="G3468" s="570"/>
      <c r="H3468" s="570"/>
      <c r="I3468" s="570"/>
      <c r="J3468" s="570"/>
      <c r="K3468" s="570"/>
    </row>
    <row r="3469" ht="13.75" customHeight="1">
      <c r="A3469" s="833">
        <v>166</v>
      </c>
      <c r="B3469" t="s" s="834">
        <v>2397</v>
      </c>
      <c r="C3469" t="s" s="834">
        <v>700</v>
      </c>
      <c r="D3469" s="835">
        <v>46047</v>
      </c>
      <c r="E3469" t="s" s="834">
        <v>478</v>
      </c>
      <c r="F3469" t="s" s="834">
        <v>478</v>
      </c>
      <c r="G3469" s="570"/>
      <c r="H3469" s="570"/>
      <c r="I3469" s="570"/>
      <c r="J3469" s="570"/>
      <c r="K3469" s="570"/>
    </row>
    <row r="3470" ht="13.75" customHeight="1">
      <c r="A3470" s="833">
        <v>166</v>
      </c>
      <c r="B3470" t="s" s="834">
        <v>2397</v>
      </c>
      <c r="C3470" t="s" s="834">
        <v>700</v>
      </c>
      <c r="D3470" s="835">
        <v>46048</v>
      </c>
      <c r="E3470" t="s" s="834">
        <v>478</v>
      </c>
      <c r="F3470" t="s" s="834">
        <v>478</v>
      </c>
      <c r="G3470" s="570"/>
      <c r="H3470" s="570"/>
      <c r="I3470" s="570"/>
      <c r="J3470" s="570"/>
      <c r="K3470" s="570"/>
    </row>
    <row r="3471" ht="13.75" customHeight="1">
      <c r="A3471" s="833">
        <v>166</v>
      </c>
      <c r="B3471" t="s" s="834">
        <v>2397</v>
      </c>
      <c r="C3471" t="s" s="834">
        <v>700</v>
      </c>
      <c r="D3471" s="835">
        <v>46049</v>
      </c>
      <c r="E3471" t="s" s="834">
        <v>478</v>
      </c>
      <c r="F3471" t="s" s="834">
        <v>478</v>
      </c>
      <c r="G3471" s="570"/>
      <c r="H3471" s="570"/>
      <c r="I3471" s="570"/>
      <c r="J3471" s="570"/>
      <c r="K3471" s="570"/>
    </row>
    <row r="3472" ht="13.75" customHeight="1">
      <c r="A3472" s="833">
        <v>166</v>
      </c>
      <c r="B3472" t="s" s="834">
        <v>2397</v>
      </c>
      <c r="C3472" t="s" s="834">
        <v>700</v>
      </c>
      <c r="D3472" s="835">
        <v>46050</v>
      </c>
      <c r="E3472" t="s" s="834">
        <v>478</v>
      </c>
      <c r="F3472" t="s" s="834">
        <v>478</v>
      </c>
      <c r="G3472" s="570"/>
      <c r="H3472" s="570"/>
      <c r="I3472" s="570"/>
      <c r="J3472" s="570"/>
      <c r="K3472" s="570"/>
    </row>
    <row r="3473" ht="13.75" customHeight="1">
      <c r="A3473" s="833">
        <v>166</v>
      </c>
      <c r="B3473" t="s" s="834">
        <v>2397</v>
      </c>
      <c r="C3473" t="s" s="834">
        <v>700</v>
      </c>
      <c r="D3473" s="835">
        <v>46051</v>
      </c>
      <c r="E3473" t="s" s="834">
        <v>478</v>
      </c>
      <c r="F3473" t="s" s="834">
        <v>478</v>
      </c>
      <c r="G3473" s="570"/>
      <c r="H3473" s="570"/>
      <c r="I3473" s="570"/>
      <c r="J3473" s="570"/>
      <c r="K3473" s="570"/>
    </row>
    <row r="3474" ht="13.75" customHeight="1">
      <c r="A3474" s="833">
        <v>166</v>
      </c>
      <c r="B3474" t="s" s="834">
        <v>2397</v>
      </c>
      <c r="C3474" t="s" s="834">
        <v>700</v>
      </c>
      <c r="D3474" s="835">
        <v>46052</v>
      </c>
      <c r="E3474" t="s" s="834">
        <v>478</v>
      </c>
      <c r="F3474" t="s" s="834">
        <v>478</v>
      </c>
      <c r="G3474" s="570"/>
      <c r="H3474" s="570"/>
      <c r="I3474" s="570"/>
      <c r="J3474" s="570"/>
      <c r="K3474" s="570"/>
    </row>
    <row r="3475" ht="13.75" customHeight="1">
      <c r="A3475" s="833">
        <v>166</v>
      </c>
      <c r="B3475" t="s" s="834">
        <v>2397</v>
      </c>
      <c r="C3475" t="s" s="834">
        <v>700</v>
      </c>
      <c r="D3475" s="835">
        <v>46053</v>
      </c>
      <c r="E3475" t="s" s="834">
        <v>478</v>
      </c>
      <c r="F3475" t="s" s="834">
        <v>478</v>
      </c>
      <c r="G3475" s="570"/>
      <c r="H3475" s="570"/>
      <c r="I3475" s="570"/>
      <c r="J3475" s="570"/>
      <c r="K3475" s="570"/>
    </row>
    <row r="3476" ht="13.75" customHeight="1">
      <c r="A3476" s="833">
        <v>166</v>
      </c>
      <c r="B3476" t="s" s="834">
        <v>2397</v>
      </c>
      <c r="C3476" t="s" s="834">
        <v>700</v>
      </c>
      <c r="D3476" s="835">
        <v>46054</v>
      </c>
      <c r="E3476" t="s" s="834">
        <v>478</v>
      </c>
      <c r="F3476" t="s" s="834">
        <v>478</v>
      </c>
      <c r="G3476" s="570"/>
      <c r="H3476" s="570"/>
      <c r="I3476" s="570"/>
      <c r="J3476" s="570"/>
      <c r="K3476" s="570"/>
    </row>
    <row r="3477" ht="13.75" customHeight="1">
      <c r="A3477" s="833">
        <v>171</v>
      </c>
      <c r="B3477" t="s" s="834">
        <v>2400</v>
      </c>
      <c r="C3477" t="s" s="834">
        <v>477</v>
      </c>
      <c r="D3477" s="835">
        <v>46023</v>
      </c>
      <c r="E3477" t="s" s="834">
        <v>478</v>
      </c>
      <c r="F3477" t="s" s="834">
        <v>478</v>
      </c>
      <c r="G3477" s="570"/>
      <c r="H3477" s="570"/>
      <c r="I3477" s="570"/>
      <c r="J3477" s="570"/>
      <c r="K3477" s="570"/>
    </row>
    <row r="3478" ht="13.75" customHeight="1">
      <c r="A3478" s="833">
        <v>171</v>
      </c>
      <c r="B3478" t="s" s="834">
        <v>2400</v>
      </c>
      <c r="C3478" t="s" s="834">
        <v>477</v>
      </c>
      <c r="D3478" s="835">
        <v>46024</v>
      </c>
      <c r="E3478" t="s" s="834">
        <v>478</v>
      </c>
      <c r="F3478" t="s" s="834">
        <v>478</v>
      </c>
      <c r="G3478" s="570"/>
      <c r="H3478" s="570"/>
      <c r="I3478" s="570"/>
      <c r="J3478" s="570"/>
      <c r="K3478" s="570"/>
    </row>
    <row r="3479" ht="13.75" customHeight="1">
      <c r="A3479" s="833">
        <v>171</v>
      </c>
      <c r="B3479" t="s" s="834">
        <v>2400</v>
      </c>
      <c r="C3479" t="s" s="834">
        <v>477</v>
      </c>
      <c r="D3479" s="835">
        <v>46025</v>
      </c>
      <c r="E3479" t="s" s="834">
        <v>478</v>
      </c>
      <c r="F3479" t="s" s="834">
        <v>478</v>
      </c>
      <c r="G3479" s="570"/>
      <c r="H3479" s="570"/>
      <c r="I3479" s="570"/>
      <c r="J3479" s="570"/>
      <c r="K3479" s="570"/>
    </row>
    <row r="3480" ht="13.75" customHeight="1">
      <c r="A3480" s="833">
        <v>171</v>
      </c>
      <c r="B3480" t="s" s="834">
        <v>2400</v>
      </c>
      <c r="C3480" t="s" s="834">
        <v>477</v>
      </c>
      <c r="D3480" s="835">
        <v>46026</v>
      </c>
      <c r="E3480" t="s" s="834">
        <v>478</v>
      </c>
      <c r="F3480" t="s" s="834">
        <v>478</v>
      </c>
      <c r="G3480" s="570"/>
      <c r="H3480" s="570"/>
      <c r="I3480" s="570"/>
      <c r="J3480" s="570"/>
      <c r="K3480" s="570"/>
    </row>
    <row r="3481" ht="13.75" customHeight="1">
      <c r="A3481" s="833">
        <v>171</v>
      </c>
      <c r="B3481" t="s" s="834">
        <v>2400</v>
      </c>
      <c r="C3481" t="s" s="834">
        <v>477</v>
      </c>
      <c r="D3481" s="835">
        <v>46027</v>
      </c>
      <c r="E3481" s="836">
        <v>1.680266203703704</v>
      </c>
      <c r="F3481" t="s" s="834">
        <v>478</v>
      </c>
      <c r="G3481" s="570"/>
      <c r="H3481" s="570"/>
      <c r="I3481" s="570"/>
      <c r="J3481" s="570"/>
      <c r="K3481" s="570"/>
    </row>
    <row r="3482" ht="13.75" customHeight="1">
      <c r="A3482" t="s" s="834">
        <v>2401</v>
      </c>
      <c r="B3482" t="s" s="834">
        <v>485</v>
      </c>
      <c r="C3482" t="s" s="834">
        <v>486</v>
      </c>
      <c r="D3482" s="570"/>
      <c r="E3482" s="570"/>
      <c r="F3482" s="570"/>
      <c r="G3482" s="570"/>
      <c r="H3482" s="570"/>
      <c r="I3482" s="570"/>
      <c r="J3482" s="570"/>
      <c r="K3482" s="570"/>
    </row>
    <row r="3483" ht="13.75" customHeight="1">
      <c r="A3483" s="833">
        <v>171</v>
      </c>
      <c r="B3483" t="s" s="834">
        <v>2400</v>
      </c>
      <c r="C3483" t="s" s="834">
        <v>477</v>
      </c>
      <c r="D3483" s="835">
        <v>46028</v>
      </c>
      <c r="E3483" s="836">
        <v>1.584641203703704</v>
      </c>
      <c r="F3483" s="836">
        <v>1.761539351851852</v>
      </c>
      <c r="G3483" s="570"/>
      <c r="H3483" s="570"/>
      <c r="I3483" s="570"/>
      <c r="J3483" s="570"/>
      <c r="K3483" s="570"/>
    </row>
    <row r="3484" ht="13.75" customHeight="1">
      <c r="A3484" t="s" s="834">
        <v>2402</v>
      </c>
      <c r="B3484" t="s" s="834">
        <v>2403</v>
      </c>
      <c r="C3484" t="s" s="834">
        <v>2404</v>
      </c>
      <c r="D3484" s="570"/>
      <c r="E3484" s="570"/>
      <c r="F3484" s="570"/>
      <c r="G3484" s="570"/>
      <c r="H3484" s="570"/>
      <c r="I3484" s="570"/>
      <c r="J3484" s="570"/>
      <c r="K3484" s="570"/>
    </row>
    <row r="3485" ht="13.75" customHeight="1">
      <c r="A3485" s="833">
        <v>171</v>
      </c>
      <c r="B3485" t="s" s="834">
        <v>2400</v>
      </c>
      <c r="C3485" t="s" s="834">
        <v>477</v>
      </c>
      <c r="D3485" s="835">
        <v>46029</v>
      </c>
      <c r="E3485" s="836">
        <v>1.375289351851852</v>
      </c>
      <c r="F3485" s="836">
        <v>1.774849537037037</v>
      </c>
      <c r="G3485" s="570"/>
      <c r="H3485" s="570"/>
      <c r="I3485" s="570"/>
      <c r="J3485" s="570"/>
      <c r="K3485" s="570"/>
    </row>
    <row r="3486" ht="13.75" customHeight="1">
      <c r="A3486" t="s" s="834">
        <v>2405</v>
      </c>
      <c r="B3486" t="s" s="834">
        <v>2406</v>
      </c>
      <c r="C3486" t="s" s="834">
        <v>515</v>
      </c>
      <c r="D3486" s="570"/>
      <c r="E3486" s="570"/>
      <c r="F3486" s="570"/>
      <c r="G3486" s="570"/>
      <c r="H3486" s="570"/>
      <c r="I3486" s="570"/>
      <c r="J3486" s="570"/>
      <c r="K3486" s="570"/>
    </row>
    <row r="3487" ht="13.75" customHeight="1">
      <c r="A3487" s="833">
        <v>171</v>
      </c>
      <c r="B3487" t="s" s="834">
        <v>2400</v>
      </c>
      <c r="C3487" t="s" s="834">
        <v>477</v>
      </c>
      <c r="D3487" s="835">
        <v>46030</v>
      </c>
      <c r="E3487" s="836">
        <v>1.79119212962963</v>
      </c>
      <c r="F3487" t="s" s="834">
        <v>478</v>
      </c>
      <c r="G3487" s="570"/>
      <c r="H3487" s="570"/>
      <c r="I3487" s="570"/>
      <c r="J3487" s="570"/>
      <c r="K3487" s="570"/>
    </row>
    <row r="3488" ht="13.75" customHeight="1">
      <c r="A3488" t="s" s="834">
        <v>2407</v>
      </c>
      <c r="B3488" t="s" s="834">
        <v>485</v>
      </c>
      <c r="C3488" t="s" s="834">
        <v>486</v>
      </c>
      <c r="D3488" s="570"/>
      <c r="E3488" s="570"/>
      <c r="F3488" s="570"/>
      <c r="G3488" s="570"/>
      <c r="H3488" s="570"/>
      <c r="I3488" s="570"/>
      <c r="J3488" s="570"/>
      <c r="K3488" s="570"/>
    </row>
    <row r="3489" ht="13.75" customHeight="1">
      <c r="A3489" s="833">
        <v>171</v>
      </c>
      <c r="B3489" t="s" s="834">
        <v>2400</v>
      </c>
      <c r="C3489" t="s" s="834">
        <v>477</v>
      </c>
      <c r="D3489" s="835">
        <v>46031</v>
      </c>
      <c r="E3489" s="836">
        <v>1.346493055555555</v>
      </c>
      <c r="F3489" s="836">
        <v>1.759722222222222</v>
      </c>
      <c r="G3489" s="570"/>
      <c r="H3489" s="570"/>
      <c r="I3489" s="570"/>
      <c r="J3489" s="570"/>
      <c r="K3489" s="570"/>
    </row>
    <row r="3490" ht="13.75" customHeight="1">
      <c r="A3490" t="s" s="834">
        <v>2408</v>
      </c>
      <c r="B3490" t="s" s="834">
        <v>2409</v>
      </c>
      <c r="C3490" t="s" s="834">
        <v>586</v>
      </c>
      <c r="D3490" s="570"/>
      <c r="E3490" s="570"/>
      <c r="F3490" s="570"/>
      <c r="G3490" s="570"/>
      <c r="H3490" s="570"/>
      <c r="I3490" s="570"/>
      <c r="J3490" s="570"/>
      <c r="K3490" s="570"/>
    </row>
    <row r="3491" ht="13.75" customHeight="1">
      <c r="A3491" s="833">
        <v>171</v>
      </c>
      <c r="B3491" t="s" s="834">
        <v>2400</v>
      </c>
      <c r="C3491" t="s" s="834">
        <v>477</v>
      </c>
      <c r="D3491" s="835">
        <v>46032</v>
      </c>
      <c r="E3491" t="s" s="834">
        <v>478</v>
      </c>
      <c r="F3491" t="s" s="834">
        <v>478</v>
      </c>
      <c r="G3491" s="570"/>
      <c r="H3491" s="570"/>
      <c r="I3491" s="570"/>
      <c r="J3491" s="570"/>
      <c r="K3491" s="570"/>
    </row>
    <row r="3492" ht="13.75" customHeight="1">
      <c r="A3492" s="833">
        <v>171</v>
      </c>
      <c r="B3492" t="s" s="834">
        <v>2400</v>
      </c>
      <c r="C3492" t="s" s="834">
        <v>477</v>
      </c>
      <c r="D3492" s="835">
        <v>46033</v>
      </c>
      <c r="E3492" t="s" s="834">
        <v>478</v>
      </c>
      <c r="F3492" t="s" s="834">
        <v>478</v>
      </c>
      <c r="G3492" s="570"/>
      <c r="H3492" s="570"/>
      <c r="I3492" s="570"/>
      <c r="J3492" s="570"/>
      <c r="K3492" s="570"/>
    </row>
    <row r="3493" ht="13.75" customHeight="1">
      <c r="A3493" s="833">
        <v>171</v>
      </c>
      <c r="B3493" t="s" s="834">
        <v>2400</v>
      </c>
      <c r="C3493" t="s" s="834">
        <v>477</v>
      </c>
      <c r="D3493" s="835">
        <v>46034</v>
      </c>
      <c r="E3493" s="836">
        <v>1.351481481481482</v>
      </c>
      <c r="F3493" s="836">
        <v>1.758587962962963</v>
      </c>
      <c r="G3493" s="570"/>
      <c r="H3493" s="570"/>
      <c r="I3493" s="570"/>
      <c r="J3493" s="570"/>
      <c r="K3493" s="570"/>
    </row>
    <row r="3494" ht="13.75" customHeight="1">
      <c r="A3494" t="s" s="834">
        <v>2410</v>
      </c>
      <c r="B3494" t="s" s="834">
        <v>2411</v>
      </c>
      <c r="C3494" t="s" s="834">
        <v>1113</v>
      </c>
      <c r="D3494" s="570"/>
      <c r="E3494" s="570"/>
      <c r="F3494" s="570"/>
      <c r="G3494" s="570"/>
      <c r="H3494" s="570"/>
      <c r="I3494" s="570"/>
      <c r="J3494" s="570"/>
      <c r="K3494" s="570"/>
    </row>
    <row r="3495" ht="13.75" customHeight="1">
      <c r="A3495" s="833">
        <v>171</v>
      </c>
      <c r="B3495" t="s" s="834">
        <v>2400</v>
      </c>
      <c r="C3495" t="s" s="834">
        <v>477</v>
      </c>
      <c r="D3495" s="835">
        <v>46035</v>
      </c>
      <c r="E3495" t="s" s="834">
        <v>478</v>
      </c>
      <c r="F3495" t="s" s="834">
        <v>478</v>
      </c>
      <c r="G3495" s="570"/>
      <c r="H3495" s="570"/>
      <c r="I3495" s="570"/>
      <c r="J3495" s="570"/>
      <c r="K3495" s="570"/>
    </row>
    <row r="3496" ht="13.75" customHeight="1">
      <c r="A3496" s="833">
        <v>171</v>
      </c>
      <c r="B3496" t="s" s="834">
        <v>2400</v>
      </c>
      <c r="C3496" t="s" s="834">
        <v>477</v>
      </c>
      <c r="D3496" s="835">
        <v>46036</v>
      </c>
      <c r="E3496" s="836">
        <v>1.363101851851852</v>
      </c>
      <c r="F3496" t="s" s="834">
        <v>478</v>
      </c>
      <c r="G3496" s="570"/>
      <c r="H3496" s="570"/>
      <c r="I3496" s="570"/>
      <c r="J3496" s="570"/>
      <c r="K3496" s="570"/>
    </row>
    <row r="3497" ht="13.75" customHeight="1">
      <c r="A3497" t="s" s="834">
        <v>2412</v>
      </c>
      <c r="B3497" t="s" s="834">
        <v>485</v>
      </c>
      <c r="C3497" t="s" s="834">
        <v>486</v>
      </c>
      <c r="D3497" s="570"/>
      <c r="E3497" s="570"/>
      <c r="F3497" s="570"/>
      <c r="G3497" s="570"/>
      <c r="H3497" s="570"/>
      <c r="I3497" s="570"/>
      <c r="J3497" s="570"/>
      <c r="K3497" s="570"/>
    </row>
    <row r="3498" ht="13.75" customHeight="1">
      <c r="A3498" s="833">
        <v>171</v>
      </c>
      <c r="B3498" t="s" s="834">
        <v>2400</v>
      </c>
      <c r="C3498" t="s" s="834">
        <v>477</v>
      </c>
      <c r="D3498" s="835">
        <v>46037</v>
      </c>
      <c r="E3498" s="836">
        <v>1.35193287037037</v>
      </c>
      <c r="F3498" s="836">
        <v>1.793391203703704</v>
      </c>
      <c r="G3498" s="570"/>
      <c r="H3498" s="570"/>
      <c r="I3498" s="570"/>
      <c r="J3498" s="570"/>
      <c r="K3498" s="570"/>
    </row>
    <row r="3499" ht="13.75" customHeight="1">
      <c r="A3499" t="s" s="834">
        <v>2413</v>
      </c>
      <c r="B3499" t="s" s="834">
        <v>2414</v>
      </c>
      <c r="C3499" t="s" s="834">
        <v>1951</v>
      </c>
      <c r="D3499" s="570"/>
      <c r="E3499" s="570"/>
      <c r="F3499" s="570"/>
      <c r="G3499" s="570"/>
      <c r="H3499" s="570"/>
      <c r="I3499" s="570"/>
      <c r="J3499" s="570"/>
      <c r="K3499" s="570"/>
    </row>
    <row r="3500" ht="13.75" customHeight="1">
      <c r="A3500" s="833">
        <v>171</v>
      </c>
      <c r="B3500" t="s" s="834">
        <v>2400</v>
      </c>
      <c r="C3500" t="s" s="834">
        <v>477</v>
      </c>
      <c r="D3500" s="835">
        <v>46038</v>
      </c>
      <c r="E3500" s="836">
        <v>1.78900462962963</v>
      </c>
      <c r="F3500" t="s" s="834">
        <v>478</v>
      </c>
      <c r="G3500" s="570"/>
      <c r="H3500" s="570"/>
      <c r="I3500" s="570"/>
      <c r="J3500" s="570"/>
      <c r="K3500" s="570"/>
    </row>
    <row r="3501" ht="13.75" customHeight="1">
      <c r="A3501" t="s" s="834">
        <v>2415</v>
      </c>
      <c r="B3501" t="s" s="834">
        <v>485</v>
      </c>
      <c r="C3501" t="s" s="834">
        <v>486</v>
      </c>
      <c r="D3501" s="570"/>
      <c r="E3501" s="570"/>
      <c r="F3501" s="570"/>
      <c r="G3501" s="570"/>
      <c r="H3501" s="570"/>
      <c r="I3501" s="570"/>
      <c r="J3501" s="570"/>
      <c r="K3501" s="570"/>
    </row>
    <row r="3502" ht="13.75" customHeight="1">
      <c r="A3502" s="833">
        <v>171</v>
      </c>
      <c r="B3502" t="s" s="834">
        <v>2400</v>
      </c>
      <c r="C3502" t="s" s="834">
        <v>477</v>
      </c>
      <c r="D3502" s="835">
        <v>46039</v>
      </c>
      <c r="E3502" t="s" s="834">
        <v>478</v>
      </c>
      <c r="F3502" t="s" s="834">
        <v>478</v>
      </c>
      <c r="G3502" s="570"/>
      <c r="H3502" s="570"/>
      <c r="I3502" s="570"/>
      <c r="J3502" s="570"/>
      <c r="K3502" s="570"/>
    </row>
    <row r="3503" ht="13.75" customHeight="1">
      <c r="A3503" s="833">
        <v>171</v>
      </c>
      <c r="B3503" t="s" s="834">
        <v>2400</v>
      </c>
      <c r="C3503" t="s" s="834">
        <v>477</v>
      </c>
      <c r="D3503" s="835">
        <v>46040</v>
      </c>
      <c r="E3503" t="s" s="834">
        <v>478</v>
      </c>
      <c r="F3503" t="s" s="834">
        <v>478</v>
      </c>
      <c r="G3503" s="570"/>
      <c r="H3503" s="570"/>
      <c r="I3503" s="570"/>
      <c r="J3503" s="570"/>
      <c r="K3503" s="570"/>
    </row>
    <row r="3504" ht="13.75" customHeight="1">
      <c r="A3504" s="833">
        <v>171</v>
      </c>
      <c r="B3504" t="s" s="834">
        <v>2400</v>
      </c>
      <c r="C3504" t="s" s="834">
        <v>477</v>
      </c>
      <c r="D3504" s="835">
        <v>46041</v>
      </c>
      <c r="E3504" s="836">
        <v>1.356111111111111</v>
      </c>
      <c r="F3504" s="836">
        <v>1.753854166666667</v>
      </c>
      <c r="G3504" s="570"/>
      <c r="H3504" s="570"/>
      <c r="I3504" s="570"/>
      <c r="J3504" s="570"/>
      <c r="K3504" s="570"/>
    </row>
    <row r="3505" ht="13.75" customHeight="1">
      <c r="A3505" t="s" s="834">
        <v>2416</v>
      </c>
      <c r="B3505" t="s" s="834">
        <v>2417</v>
      </c>
      <c r="C3505" t="s" s="834">
        <v>688</v>
      </c>
      <c r="D3505" s="570"/>
      <c r="E3505" s="570"/>
      <c r="F3505" s="570"/>
      <c r="G3505" s="570"/>
      <c r="H3505" s="570"/>
      <c r="I3505" s="570"/>
      <c r="J3505" s="570"/>
      <c r="K3505" s="570"/>
    </row>
    <row r="3506" ht="13.75" customHeight="1">
      <c r="A3506" s="833">
        <v>171</v>
      </c>
      <c r="B3506" t="s" s="834">
        <v>2400</v>
      </c>
      <c r="C3506" t="s" s="834">
        <v>477</v>
      </c>
      <c r="D3506" s="835">
        <v>46042</v>
      </c>
      <c r="E3506" t="s" s="834">
        <v>478</v>
      </c>
      <c r="F3506" t="s" s="834">
        <v>478</v>
      </c>
      <c r="G3506" s="570"/>
      <c r="H3506" s="570"/>
      <c r="I3506" s="570"/>
      <c r="J3506" s="570"/>
      <c r="K3506" s="570"/>
    </row>
    <row r="3507" ht="13.75" customHeight="1">
      <c r="A3507" s="833">
        <v>171</v>
      </c>
      <c r="B3507" t="s" s="834">
        <v>2400</v>
      </c>
      <c r="C3507" t="s" s="834">
        <v>477</v>
      </c>
      <c r="D3507" s="835">
        <v>46043</v>
      </c>
      <c r="E3507" t="s" s="834">
        <v>478</v>
      </c>
      <c r="F3507" t="s" s="834">
        <v>478</v>
      </c>
      <c r="G3507" s="570"/>
      <c r="H3507" s="570"/>
      <c r="I3507" s="570"/>
      <c r="J3507" s="570"/>
      <c r="K3507" s="570"/>
    </row>
    <row r="3508" ht="13.75" customHeight="1">
      <c r="A3508" s="833">
        <v>171</v>
      </c>
      <c r="B3508" t="s" s="834">
        <v>2400</v>
      </c>
      <c r="C3508" t="s" s="834">
        <v>477</v>
      </c>
      <c r="D3508" s="835">
        <v>46044</v>
      </c>
      <c r="E3508" s="836">
        <v>1.355636574074074</v>
      </c>
      <c r="F3508" s="836">
        <v>1.763078703703704</v>
      </c>
      <c r="G3508" s="570"/>
      <c r="H3508" s="570"/>
      <c r="I3508" s="570"/>
      <c r="J3508" s="570"/>
      <c r="K3508" s="570"/>
    </row>
    <row r="3509" ht="13.75" customHeight="1">
      <c r="A3509" t="s" s="834">
        <v>2418</v>
      </c>
      <c r="B3509" t="s" s="834">
        <v>2419</v>
      </c>
      <c r="C3509" t="s" s="834">
        <v>882</v>
      </c>
      <c r="D3509" s="570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10" s="833">
        <v>171</v>
      </c>
      <c r="B3510" t="s" s="834">
        <v>2400</v>
      </c>
      <c r="C3510" t="s" s="834">
        <v>477</v>
      </c>
      <c r="D3510" s="835">
        <v>46045</v>
      </c>
      <c r="E3510" t="s" s="834">
        <v>478</v>
      </c>
      <c r="F3510" t="s" s="834">
        <v>478</v>
      </c>
      <c r="G3510" s="570"/>
      <c r="H3510" s="570"/>
      <c r="I3510" s="570"/>
      <c r="J3510" s="570"/>
      <c r="K3510" s="570"/>
    </row>
    <row r="3511" ht="13.75" customHeight="1">
      <c r="A3511" s="833">
        <v>171</v>
      </c>
      <c r="B3511" t="s" s="834">
        <v>2400</v>
      </c>
      <c r="C3511" t="s" s="834">
        <v>477</v>
      </c>
      <c r="D3511" s="835">
        <v>46046</v>
      </c>
      <c r="E3511" t="s" s="834">
        <v>478</v>
      </c>
      <c r="F3511" t="s" s="834">
        <v>478</v>
      </c>
      <c r="G3511" s="570"/>
      <c r="H3511" s="570"/>
      <c r="I3511" s="570"/>
      <c r="J3511" s="570"/>
      <c r="K3511" s="570"/>
    </row>
    <row r="3512" ht="13.75" customHeight="1">
      <c r="A3512" s="833">
        <v>171</v>
      </c>
      <c r="B3512" t="s" s="834">
        <v>2400</v>
      </c>
      <c r="C3512" t="s" s="834">
        <v>477</v>
      </c>
      <c r="D3512" s="835">
        <v>46047</v>
      </c>
      <c r="E3512" t="s" s="834">
        <v>478</v>
      </c>
      <c r="F3512" t="s" s="834">
        <v>478</v>
      </c>
      <c r="G3512" s="570"/>
      <c r="H3512" s="570"/>
      <c r="I3512" s="570"/>
      <c r="J3512" s="570"/>
      <c r="K3512" s="570"/>
    </row>
    <row r="3513" ht="13.75" customHeight="1">
      <c r="A3513" s="833">
        <v>171</v>
      </c>
      <c r="B3513" t="s" s="834">
        <v>2400</v>
      </c>
      <c r="C3513" t="s" s="834">
        <v>477</v>
      </c>
      <c r="D3513" s="835">
        <v>46048</v>
      </c>
      <c r="E3513" s="836">
        <v>1.353530092592593</v>
      </c>
      <c r="F3513" s="836">
        <v>1.761643518518519</v>
      </c>
      <c r="G3513" s="570"/>
      <c r="H3513" s="570"/>
      <c r="I3513" s="570"/>
      <c r="J3513" s="570"/>
      <c r="K3513" s="570"/>
    </row>
    <row r="3514" ht="13.75" customHeight="1">
      <c r="A3514" t="s" s="834">
        <v>2420</v>
      </c>
      <c r="B3514" t="s" s="834">
        <v>2421</v>
      </c>
      <c r="C3514" t="s" s="834">
        <v>1330</v>
      </c>
      <c r="D3514" s="570"/>
      <c r="E3514" s="570"/>
      <c r="F3514" s="570"/>
      <c r="G3514" s="570"/>
      <c r="H3514" s="570"/>
      <c r="I3514" s="570"/>
      <c r="J3514" s="570"/>
      <c r="K3514" s="570"/>
    </row>
    <row r="3515" ht="13.75" customHeight="1">
      <c r="A3515" s="833">
        <v>171</v>
      </c>
      <c r="B3515" t="s" s="834">
        <v>2400</v>
      </c>
      <c r="C3515" t="s" s="834">
        <v>477</v>
      </c>
      <c r="D3515" s="835">
        <v>46049</v>
      </c>
      <c r="E3515" s="836">
        <v>1.580428240740741</v>
      </c>
      <c r="F3515" s="836">
        <v>1.751782407407407</v>
      </c>
      <c r="G3515" s="570"/>
      <c r="H3515" s="570"/>
      <c r="I3515" s="570"/>
      <c r="J3515" s="570"/>
      <c r="K3515" s="570"/>
    </row>
    <row r="3516" ht="13.75" customHeight="1">
      <c r="A3516" t="s" s="834">
        <v>2422</v>
      </c>
      <c r="B3516" t="s" s="834">
        <v>2423</v>
      </c>
      <c r="C3516" t="s" s="834">
        <v>2424</v>
      </c>
      <c r="D3516" s="570"/>
      <c r="E3516" s="570"/>
      <c r="F3516" s="570"/>
      <c r="G3516" s="570"/>
      <c r="H3516" s="570"/>
      <c r="I3516" s="570"/>
      <c r="J3516" s="570"/>
      <c r="K3516" s="570"/>
    </row>
    <row r="3517" ht="13.75" customHeight="1">
      <c r="A3517" s="833">
        <v>171</v>
      </c>
      <c r="B3517" t="s" s="834">
        <v>2400</v>
      </c>
      <c r="C3517" t="s" s="834">
        <v>477</v>
      </c>
      <c r="D3517" s="835">
        <v>46050</v>
      </c>
      <c r="E3517" s="836">
        <v>1.351261574074074</v>
      </c>
      <c r="F3517" s="836">
        <v>1.813784722222222</v>
      </c>
      <c r="G3517" s="570"/>
      <c r="H3517" s="570"/>
      <c r="I3517" s="570"/>
      <c r="J3517" s="570"/>
      <c r="K3517" s="570"/>
    </row>
    <row r="3518" ht="13.75" customHeight="1">
      <c r="A3518" t="s" s="834">
        <v>2425</v>
      </c>
      <c r="B3518" t="s" s="834">
        <v>2426</v>
      </c>
      <c r="C3518" t="s" s="834">
        <v>1194</v>
      </c>
      <c r="D3518" s="570"/>
      <c r="E3518" s="570"/>
      <c r="F3518" s="570"/>
      <c r="G3518" s="570"/>
      <c r="H3518" s="570"/>
      <c r="I3518" s="570"/>
      <c r="J3518" s="570"/>
      <c r="K3518" s="570"/>
    </row>
    <row r="3519" ht="13.75" customHeight="1">
      <c r="A3519" s="833">
        <v>171</v>
      </c>
      <c r="B3519" t="s" s="834">
        <v>2400</v>
      </c>
      <c r="C3519" t="s" s="834">
        <v>477</v>
      </c>
      <c r="D3519" s="835">
        <v>46051</v>
      </c>
      <c r="E3519" s="836">
        <v>1.352048611111111</v>
      </c>
      <c r="F3519" s="836">
        <v>1.75412037037037</v>
      </c>
      <c r="G3519" s="570"/>
      <c r="H3519" s="570"/>
      <c r="I3519" s="570"/>
      <c r="J3519" s="570"/>
      <c r="K3519" s="570"/>
    </row>
    <row r="3520" ht="13.75" customHeight="1">
      <c r="A3520" t="s" s="834">
        <v>2427</v>
      </c>
      <c r="B3520" t="s" s="834">
        <v>2428</v>
      </c>
      <c r="C3520" t="s" s="834">
        <v>772</v>
      </c>
      <c r="D3520" s="570"/>
      <c r="E3520" s="570"/>
      <c r="F3520" s="570"/>
      <c r="G3520" s="570"/>
      <c r="H3520" s="570"/>
      <c r="I3520" s="570"/>
      <c r="J3520" s="570"/>
      <c r="K3520" s="570"/>
    </row>
    <row r="3521" ht="13.75" customHeight="1">
      <c r="A3521" s="833">
        <v>171</v>
      </c>
      <c r="B3521" t="s" s="834">
        <v>2400</v>
      </c>
      <c r="C3521" t="s" s="834">
        <v>477</v>
      </c>
      <c r="D3521" s="835">
        <v>46052</v>
      </c>
      <c r="E3521" s="836">
        <v>1.3490625</v>
      </c>
      <c r="F3521" t="s" s="834">
        <v>478</v>
      </c>
      <c r="G3521" s="570"/>
      <c r="H3521" s="570"/>
      <c r="I3521" s="570"/>
      <c r="J3521" s="570"/>
      <c r="K3521" s="570"/>
    </row>
    <row r="3522" ht="13.75" customHeight="1">
      <c r="A3522" t="s" s="834">
        <v>2429</v>
      </c>
      <c r="B3522" t="s" s="834">
        <v>485</v>
      </c>
      <c r="C3522" t="s" s="834">
        <v>486</v>
      </c>
      <c r="D3522" s="570"/>
      <c r="E3522" s="570"/>
      <c r="F3522" s="570"/>
      <c r="G3522" s="570"/>
      <c r="H3522" s="570"/>
      <c r="I3522" s="570"/>
      <c r="J3522" s="570"/>
      <c r="K3522" s="570"/>
    </row>
    <row r="3523" ht="13.75" customHeight="1">
      <c r="A3523" s="833">
        <v>171</v>
      </c>
      <c r="B3523" t="s" s="834">
        <v>2400</v>
      </c>
      <c r="C3523" t="s" s="834">
        <v>477</v>
      </c>
      <c r="D3523" s="835">
        <v>46053</v>
      </c>
      <c r="E3523" t="s" s="834">
        <v>478</v>
      </c>
      <c r="F3523" t="s" s="834">
        <v>478</v>
      </c>
      <c r="G3523" s="570"/>
      <c r="H3523" s="570"/>
      <c r="I3523" s="570"/>
      <c r="J3523" s="570"/>
      <c r="K3523" s="570"/>
    </row>
    <row r="3524" ht="13.75" customHeight="1">
      <c r="A3524" s="833">
        <v>171</v>
      </c>
      <c r="B3524" t="s" s="834">
        <v>2400</v>
      </c>
      <c r="C3524" t="s" s="834">
        <v>477</v>
      </c>
      <c r="D3524" s="835">
        <v>46054</v>
      </c>
      <c r="E3524" t="s" s="834">
        <v>478</v>
      </c>
      <c r="F3524" t="s" s="834">
        <v>478</v>
      </c>
      <c r="G3524" s="570"/>
      <c r="H3524" s="570"/>
      <c r="I3524" s="570"/>
      <c r="J3524" s="570"/>
      <c r="K3524" s="570"/>
    </row>
    <row r="3525" ht="13.75" customHeight="1">
      <c r="A3525" s="833">
        <v>177</v>
      </c>
      <c r="B3525" t="s" s="834">
        <v>2430</v>
      </c>
      <c r="C3525" t="s" s="834">
        <v>1010</v>
      </c>
      <c r="D3525" s="835">
        <v>46023</v>
      </c>
      <c r="E3525" t="s" s="834">
        <v>478</v>
      </c>
      <c r="F3525" t="s" s="834">
        <v>478</v>
      </c>
      <c r="G3525" s="570"/>
      <c r="H3525" s="570"/>
      <c r="I3525" s="570"/>
      <c r="J3525" s="570"/>
      <c r="K3525" s="570"/>
    </row>
    <row r="3526" ht="13.75" customHeight="1">
      <c r="A3526" s="833">
        <v>177</v>
      </c>
      <c r="B3526" t="s" s="834">
        <v>2430</v>
      </c>
      <c r="C3526" t="s" s="834">
        <v>1010</v>
      </c>
      <c r="D3526" s="835">
        <v>46024</v>
      </c>
      <c r="E3526" t="s" s="834">
        <v>478</v>
      </c>
      <c r="F3526" t="s" s="834">
        <v>478</v>
      </c>
      <c r="G3526" s="570"/>
      <c r="H3526" s="570"/>
      <c r="I3526" s="570"/>
      <c r="J3526" s="570"/>
      <c r="K3526" s="570"/>
    </row>
    <row r="3527" ht="13.75" customHeight="1">
      <c r="A3527" s="833">
        <v>177</v>
      </c>
      <c r="B3527" t="s" s="834">
        <v>2430</v>
      </c>
      <c r="C3527" t="s" s="834">
        <v>1010</v>
      </c>
      <c r="D3527" s="835">
        <v>46025</v>
      </c>
      <c r="E3527" t="s" s="834">
        <v>478</v>
      </c>
      <c r="F3527" t="s" s="834">
        <v>478</v>
      </c>
      <c r="G3527" s="570"/>
      <c r="H3527" s="570"/>
      <c r="I3527" s="570"/>
      <c r="J3527" s="570"/>
      <c r="K3527" s="570"/>
    </row>
    <row r="3528" ht="13.75" customHeight="1">
      <c r="A3528" s="833">
        <v>177</v>
      </c>
      <c r="B3528" t="s" s="834">
        <v>2430</v>
      </c>
      <c r="C3528" t="s" s="834">
        <v>1010</v>
      </c>
      <c r="D3528" s="835">
        <v>46026</v>
      </c>
      <c r="E3528" t="s" s="834">
        <v>478</v>
      </c>
      <c r="F3528" t="s" s="834">
        <v>478</v>
      </c>
      <c r="G3528" s="570"/>
      <c r="H3528" s="570"/>
      <c r="I3528" s="570"/>
      <c r="J3528" s="570"/>
      <c r="K3528" s="570"/>
    </row>
    <row r="3529" ht="13.75" customHeight="1">
      <c r="A3529" s="833">
        <v>177</v>
      </c>
      <c r="B3529" t="s" s="834">
        <v>2430</v>
      </c>
      <c r="C3529" t="s" s="834">
        <v>1010</v>
      </c>
      <c r="D3529" s="835">
        <v>46027</v>
      </c>
      <c r="E3529" t="s" s="834">
        <v>478</v>
      </c>
      <c r="F3529" t="s" s="834">
        <v>478</v>
      </c>
      <c r="G3529" s="570"/>
      <c r="H3529" s="570"/>
      <c r="I3529" s="570"/>
      <c r="J3529" s="570"/>
      <c r="K3529" s="570"/>
    </row>
    <row r="3530" ht="13.75" customHeight="1">
      <c r="A3530" s="833">
        <v>177</v>
      </c>
      <c r="B3530" t="s" s="834">
        <v>2430</v>
      </c>
      <c r="C3530" t="s" s="834">
        <v>1010</v>
      </c>
      <c r="D3530" s="835">
        <v>46028</v>
      </c>
      <c r="E3530" t="s" s="834">
        <v>478</v>
      </c>
      <c r="F3530" t="s" s="834">
        <v>478</v>
      </c>
      <c r="G3530" s="570"/>
      <c r="H3530" s="570"/>
      <c r="I3530" s="570"/>
      <c r="J3530" s="570"/>
      <c r="K3530" s="570"/>
    </row>
    <row r="3531" ht="13.75" customHeight="1">
      <c r="A3531" s="833">
        <v>177</v>
      </c>
      <c r="B3531" t="s" s="834">
        <v>2430</v>
      </c>
      <c r="C3531" t="s" s="834">
        <v>1010</v>
      </c>
      <c r="D3531" s="835">
        <v>46029</v>
      </c>
      <c r="E3531" t="s" s="834">
        <v>478</v>
      </c>
      <c r="F3531" t="s" s="834">
        <v>478</v>
      </c>
      <c r="G3531" s="570"/>
      <c r="H3531" s="570"/>
      <c r="I3531" s="570"/>
      <c r="J3531" s="570"/>
      <c r="K3531" s="570"/>
    </row>
    <row r="3532" ht="13.75" customHeight="1">
      <c r="A3532" s="833">
        <v>177</v>
      </c>
      <c r="B3532" t="s" s="834">
        <v>2430</v>
      </c>
      <c r="C3532" t="s" s="834">
        <v>1010</v>
      </c>
      <c r="D3532" s="835">
        <v>46030</v>
      </c>
      <c r="E3532" t="s" s="834">
        <v>478</v>
      </c>
      <c r="F3532" t="s" s="834">
        <v>478</v>
      </c>
      <c r="G3532" s="570"/>
      <c r="H3532" s="570"/>
      <c r="I3532" s="570"/>
      <c r="J3532" s="570"/>
      <c r="K3532" s="570"/>
    </row>
    <row r="3533" ht="13.75" customHeight="1">
      <c r="A3533" s="833">
        <v>177</v>
      </c>
      <c r="B3533" t="s" s="834">
        <v>2430</v>
      </c>
      <c r="C3533" t="s" s="834">
        <v>1010</v>
      </c>
      <c r="D3533" s="835">
        <v>46031</v>
      </c>
      <c r="E3533" t="s" s="834">
        <v>478</v>
      </c>
      <c r="F3533" t="s" s="834">
        <v>478</v>
      </c>
      <c r="G3533" s="570"/>
      <c r="H3533" s="570"/>
      <c r="I3533" s="570"/>
      <c r="J3533" s="570"/>
      <c r="K3533" s="570"/>
    </row>
    <row r="3534" ht="13.75" customHeight="1">
      <c r="A3534" s="833">
        <v>177</v>
      </c>
      <c r="B3534" t="s" s="834">
        <v>2430</v>
      </c>
      <c r="C3534" t="s" s="834">
        <v>1010</v>
      </c>
      <c r="D3534" s="835">
        <v>46032</v>
      </c>
      <c r="E3534" t="s" s="834">
        <v>478</v>
      </c>
      <c r="F3534" t="s" s="834">
        <v>478</v>
      </c>
      <c r="G3534" s="570"/>
      <c r="H3534" s="570"/>
      <c r="I3534" s="570"/>
      <c r="J3534" s="570"/>
      <c r="K3534" s="570"/>
    </row>
    <row r="3535" ht="13.75" customHeight="1">
      <c r="A3535" s="833">
        <v>177</v>
      </c>
      <c r="B3535" t="s" s="834">
        <v>2430</v>
      </c>
      <c r="C3535" t="s" s="834">
        <v>1010</v>
      </c>
      <c r="D3535" s="835">
        <v>46033</v>
      </c>
      <c r="E3535" t="s" s="834">
        <v>478</v>
      </c>
      <c r="F3535" t="s" s="834">
        <v>478</v>
      </c>
      <c r="G3535" s="570"/>
      <c r="H3535" s="570"/>
      <c r="I3535" s="570"/>
      <c r="J3535" s="570"/>
      <c r="K3535" s="570"/>
    </row>
    <row r="3536" ht="13.75" customHeight="1">
      <c r="A3536" s="833">
        <v>177</v>
      </c>
      <c r="B3536" t="s" s="834">
        <v>2430</v>
      </c>
      <c r="C3536" t="s" s="834">
        <v>1010</v>
      </c>
      <c r="D3536" s="835">
        <v>46034</v>
      </c>
      <c r="E3536" t="s" s="834">
        <v>478</v>
      </c>
      <c r="F3536" t="s" s="834">
        <v>478</v>
      </c>
      <c r="G3536" s="570"/>
      <c r="H3536" s="570"/>
      <c r="I3536" s="570"/>
      <c r="J3536" s="570"/>
      <c r="K3536" s="570"/>
    </row>
    <row r="3537" ht="13.75" customHeight="1">
      <c r="A3537" s="833">
        <v>177</v>
      </c>
      <c r="B3537" t="s" s="834">
        <v>2430</v>
      </c>
      <c r="C3537" t="s" s="834">
        <v>1010</v>
      </c>
      <c r="D3537" s="835">
        <v>46035</v>
      </c>
      <c r="E3537" t="s" s="834">
        <v>478</v>
      </c>
      <c r="F3537" t="s" s="834">
        <v>478</v>
      </c>
      <c r="G3537" s="570"/>
      <c r="H3537" s="570"/>
      <c r="I3537" s="570"/>
      <c r="J3537" s="570"/>
      <c r="K3537" s="570"/>
    </row>
    <row r="3538" ht="13.75" customHeight="1">
      <c r="A3538" s="833">
        <v>177</v>
      </c>
      <c r="B3538" t="s" s="834">
        <v>2430</v>
      </c>
      <c r="C3538" t="s" s="834">
        <v>1010</v>
      </c>
      <c r="D3538" s="835">
        <v>46036</v>
      </c>
      <c r="E3538" t="s" s="834">
        <v>478</v>
      </c>
      <c r="F3538" t="s" s="834">
        <v>478</v>
      </c>
      <c r="G3538" s="570"/>
      <c r="H3538" s="570"/>
      <c r="I3538" s="570"/>
      <c r="J3538" s="570"/>
      <c r="K3538" s="570"/>
    </row>
    <row r="3539" ht="13.75" customHeight="1">
      <c r="A3539" s="833">
        <v>177</v>
      </c>
      <c r="B3539" t="s" s="834">
        <v>2430</v>
      </c>
      <c r="C3539" t="s" s="834">
        <v>1010</v>
      </c>
      <c r="D3539" s="835">
        <v>46037</v>
      </c>
      <c r="E3539" t="s" s="834">
        <v>478</v>
      </c>
      <c r="F3539" t="s" s="834">
        <v>478</v>
      </c>
      <c r="G3539" s="570"/>
      <c r="H3539" s="570"/>
      <c r="I3539" s="570"/>
      <c r="J3539" s="570"/>
      <c r="K3539" s="570"/>
    </row>
    <row r="3540" ht="13.75" customHeight="1">
      <c r="A3540" s="833">
        <v>177</v>
      </c>
      <c r="B3540" t="s" s="834">
        <v>2430</v>
      </c>
      <c r="C3540" t="s" s="834">
        <v>1010</v>
      </c>
      <c r="D3540" s="835">
        <v>46038</v>
      </c>
      <c r="E3540" t="s" s="834">
        <v>478</v>
      </c>
      <c r="F3540" t="s" s="834">
        <v>478</v>
      </c>
      <c r="G3540" s="570"/>
      <c r="H3540" s="570"/>
      <c r="I3540" s="570"/>
      <c r="J3540" s="570"/>
      <c r="K3540" s="570"/>
    </row>
    <row r="3541" ht="13.75" customHeight="1">
      <c r="A3541" s="833">
        <v>177</v>
      </c>
      <c r="B3541" t="s" s="834">
        <v>2430</v>
      </c>
      <c r="C3541" t="s" s="834">
        <v>1010</v>
      </c>
      <c r="D3541" s="835">
        <v>46039</v>
      </c>
      <c r="E3541" t="s" s="834">
        <v>478</v>
      </c>
      <c r="F3541" t="s" s="834">
        <v>478</v>
      </c>
      <c r="G3541" s="570"/>
      <c r="H3541" s="570"/>
      <c r="I3541" s="570"/>
      <c r="J3541" s="570"/>
      <c r="K3541" s="570"/>
    </row>
    <row r="3542" ht="13.75" customHeight="1">
      <c r="A3542" s="833">
        <v>177</v>
      </c>
      <c r="B3542" t="s" s="834">
        <v>2430</v>
      </c>
      <c r="C3542" t="s" s="834">
        <v>1010</v>
      </c>
      <c r="D3542" s="835">
        <v>46040</v>
      </c>
      <c r="E3542" t="s" s="834">
        <v>478</v>
      </c>
      <c r="F3542" t="s" s="834">
        <v>478</v>
      </c>
      <c r="G3542" s="570"/>
      <c r="H3542" s="570"/>
      <c r="I3542" s="570"/>
      <c r="J3542" s="570"/>
      <c r="K3542" s="570"/>
    </row>
    <row r="3543" ht="13.75" customHeight="1">
      <c r="A3543" s="833">
        <v>177</v>
      </c>
      <c r="B3543" t="s" s="834">
        <v>2430</v>
      </c>
      <c r="C3543" t="s" s="834">
        <v>1010</v>
      </c>
      <c r="D3543" s="835">
        <v>46041</v>
      </c>
      <c r="E3543" t="s" s="834">
        <v>478</v>
      </c>
      <c r="F3543" t="s" s="834">
        <v>478</v>
      </c>
      <c r="G3543" s="570"/>
      <c r="H3543" s="570"/>
      <c r="I3543" s="570"/>
      <c r="J3543" s="570"/>
      <c r="K3543" s="570"/>
    </row>
    <row r="3544" ht="13.75" customHeight="1">
      <c r="A3544" s="833">
        <v>177</v>
      </c>
      <c r="B3544" t="s" s="834">
        <v>2430</v>
      </c>
      <c r="C3544" t="s" s="834">
        <v>1010</v>
      </c>
      <c r="D3544" s="835">
        <v>46042</v>
      </c>
      <c r="E3544" t="s" s="834">
        <v>478</v>
      </c>
      <c r="F3544" t="s" s="834">
        <v>478</v>
      </c>
      <c r="G3544" s="570"/>
      <c r="H3544" s="570"/>
      <c r="I3544" s="570"/>
      <c r="J3544" s="570"/>
      <c r="K3544" s="570"/>
    </row>
    <row r="3545" ht="13.75" customHeight="1">
      <c r="A3545" s="833">
        <v>177</v>
      </c>
      <c r="B3545" t="s" s="834">
        <v>2430</v>
      </c>
      <c r="C3545" t="s" s="834">
        <v>1010</v>
      </c>
      <c r="D3545" s="835">
        <v>46043</v>
      </c>
      <c r="E3545" t="s" s="834">
        <v>478</v>
      </c>
      <c r="F3545" t="s" s="834">
        <v>478</v>
      </c>
      <c r="G3545" s="570"/>
      <c r="H3545" s="570"/>
      <c r="I3545" s="570"/>
      <c r="J3545" s="570"/>
      <c r="K3545" s="570"/>
    </row>
    <row r="3546" ht="13.75" customHeight="1">
      <c r="A3546" s="833">
        <v>177</v>
      </c>
      <c r="B3546" t="s" s="834">
        <v>2430</v>
      </c>
      <c r="C3546" t="s" s="834">
        <v>1010</v>
      </c>
      <c r="D3546" s="835">
        <v>46044</v>
      </c>
      <c r="E3546" t="s" s="834">
        <v>478</v>
      </c>
      <c r="F3546" t="s" s="834">
        <v>478</v>
      </c>
      <c r="G3546" s="570"/>
      <c r="H3546" s="570"/>
      <c r="I3546" s="570"/>
      <c r="J3546" s="570"/>
      <c r="K3546" s="570"/>
    </row>
    <row r="3547" ht="13.75" customHeight="1">
      <c r="A3547" s="833">
        <v>177</v>
      </c>
      <c r="B3547" t="s" s="834">
        <v>2430</v>
      </c>
      <c r="C3547" t="s" s="834">
        <v>1010</v>
      </c>
      <c r="D3547" s="835">
        <v>46045</v>
      </c>
      <c r="E3547" t="s" s="834">
        <v>478</v>
      </c>
      <c r="F3547" t="s" s="834">
        <v>478</v>
      </c>
      <c r="G3547" s="570"/>
      <c r="H3547" s="570"/>
      <c r="I3547" s="570"/>
      <c r="J3547" s="570"/>
      <c r="K3547" s="570"/>
    </row>
    <row r="3548" ht="13.75" customHeight="1">
      <c r="A3548" s="833">
        <v>177</v>
      </c>
      <c r="B3548" t="s" s="834">
        <v>2430</v>
      </c>
      <c r="C3548" t="s" s="834">
        <v>1010</v>
      </c>
      <c r="D3548" s="835">
        <v>46046</v>
      </c>
      <c r="E3548" t="s" s="834">
        <v>478</v>
      </c>
      <c r="F3548" t="s" s="834">
        <v>478</v>
      </c>
      <c r="G3548" s="570"/>
      <c r="H3548" s="570"/>
      <c r="I3548" s="570"/>
      <c r="J3548" s="570"/>
      <c r="K3548" s="570"/>
    </row>
    <row r="3549" ht="13.75" customHeight="1">
      <c r="A3549" s="833">
        <v>177</v>
      </c>
      <c r="B3549" t="s" s="834">
        <v>2430</v>
      </c>
      <c r="C3549" t="s" s="834">
        <v>1010</v>
      </c>
      <c r="D3549" s="835">
        <v>46047</v>
      </c>
      <c r="E3549" t="s" s="834">
        <v>478</v>
      </c>
      <c r="F3549" t="s" s="834">
        <v>478</v>
      </c>
      <c r="G3549" s="570"/>
      <c r="H3549" s="570"/>
      <c r="I3549" s="570"/>
      <c r="J3549" s="570"/>
      <c r="K3549" s="570"/>
    </row>
    <row r="3550" ht="13.75" customHeight="1">
      <c r="A3550" s="833">
        <v>177</v>
      </c>
      <c r="B3550" t="s" s="834">
        <v>2430</v>
      </c>
      <c r="C3550" t="s" s="834">
        <v>1010</v>
      </c>
      <c r="D3550" s="835">
        <v>46048</v>
      </c>
      <c r="E3550" t="s" s="834">
        <v>478</v>
      </c>
      <c r="F3550" t="s" s="834">
        <v>478</v>
      </c>
      <c r="G3550" s="570"/>
      <c r="H3550" s="570"/>
      <c r="I3550" s="570"/>
      <c r="J3550" s="570"/>
      <c r="K3550" s="570"/>
    </row>
    <row r="3551" ht="13.75" customHeight="1">
      <c r="A3551" s="833">
        <v>177</v>
      </c>
      <c r="B3551" t="s" s="834">
        <v>2430</v>
      </c>
      <c r="C3551" t="s" s="834">
        <v>1010</v>
      </c>
      <c r="D3551" s="835">
        <v>46049</v>
      </c>
      <c r="E3551" t="s" s="834">
        <v>478</v>
      </c>
      <c r="F3551" t="s" s="834">
        <v>478</v>
      </c>
      <c r="G3551" s="570"/>
      <c r="H3551" s="570"/>
      <c r="I3551" s="570"/>
      <c r="J3551" s="570"/>
      <c r="K3551" s="570"/>
    </row>
    <row r="3552" ht="13.75" customHeight="1">
      <c r="A3552" s="833">
        <v>177</v>
      </c>
      <c r="B3552" t="s" s="834">
        <v>2430</v>
      </c>
      <c r="C3552" t="s" s="834">
        <v>1010</v>
      </c>
      <c r="D3552" s="835">
        <v>46050</v>
      </c>
      <c r="E3552" t="s" s="834">
        <v>478</v>
      </c>
      <c r="F3552" t="s" s="834">
        <v>478</v>
      </c>
      <c r="G3552" s="570"/>
      <c r="H3552" s="570"/>
      <c r="I3552" s="570"/>
      <c r="J3552" s="570"/>
      <c r="K3552" s="570"/>
    </row>
    <row r="3553" ht="13.75" customHeight="1">
      <c r="A3553" s="833">
        <v>177</v>
      </c>
      <c r="B3553" t="s" s="834">
        <v>2430</v>
      </c>
      <c r="C3553" t="s" s="834">
        <v>1010</v>
      </c>
      <c r="D3553" s="835">
        <v>46051</v>
      </c>
      <c r="E3553" t="s" s="834">
        <v>478</v>
      </c>
      <c r="F3553" t="s" s="834">
        <v>478</v>
      </c>
      <c r="G3553" s="570"/>
      <c r="H3553" s="570"/>
      <c r="I3553" s="570"/>
      <c r="J3553" s="570"/>
      <c r="K3553" s="570"/>
    </row>
    <row r="3554" ht="13.75" customHeight="1">
      <c r="A3554" s="833">
        <v>177</v>
      </c>
      <c r="B3554" t="s" s="834">
        <v>2430</v>
      </c>
      <c r="C3554" t="s" s="834">
        <v>1010</v>
      </c>
      <c r="D3554" s="835">
        <v>46052</v>
      </c>
      <c r="E3554" t="s" s="834">
        <v>478</v>
      </c>
      <c r="F3554" t="s" s="834">
        <v>478</v>
      </c>
      <c r="G3554" s="570"/>
      <c r="H3554" s="570"/>
      <c r="I3554" s="570"/>
      <c r="J3554" s="570"/>
      <c r="K3554" s="570"/>
    </row>
    <row r="3555" ht="13.75" customHeight="1">
      <c r="A3555" s="833">
        <v>177</v>
      </c>
      <c r="B3555" t="s" s="834">
        <v>2430</v>
      </c>
      <c r="C3555" t="s" s="834">
        <v>1010</v>
      </c>
      <c r="D3555" s="835">
        <v>46053</v>
      </c>
      <c r="E3555" t="s" s="834">
        <v>478</v>
      </c>
      <c r="F3555" t="s" s="834">
        <v>478</v>
      </c>
      <c r="G3555" s="570"/>
      <c r="H3555" s="570"/>
      <c r="I3555" s="570"/>
      <c r="J3555" s="570"/>
      <c r="K3555" s="570"/>
    </row>
    <row r="3556" ht="13.75" customHeight="1">
      <c r="A3556" s="833">
        <v>177</v>
      </c>
      <c r="B3556" t="s" s="834">
        <v>2430</v>
      </c>
      <c r="C3556" t="s" s="834">
        <v>1010</v>
      </c>
      <c r="D3556" s="835">
        <v>46054</v>
      </c>
      <c r="E3556" t="s" s="834">
        <v>478</v>
      </c>
      <c r="F3556" t="s" s="834">
        <v>478</v>
      </c>
      <c r="G3556" s="570"/>
      <c r="H3556" s="570"/>
      <c r="I3556" s="570"/>
      <c r="J3556" s="570"/>
      <c r="K3556" s="570"/>
    </row>
    <row r="3557" ht="13.75" customHeight="1">
      <c r="A3557" s="833">
        <v>180</v>
      </c>
      <c r="B3557" t="s" s="834">
        <v>2431</v>
      </c>
      <c r="C3557" t="s" s="834">
        <v>892</v>
      </c>
      <c r="D3557" s="835">
        <v>46023</v>
      </c>
      <c r="E3557" t="s" s="834">
        <v>478</v>
      </c>
      <c r="F3557" t="s" s="834">
        <v>478</v>
      </c>
      <c r="G3557" s="570"/>
      <c r="H3557" s="570"/>
      <c r="I3557" s="570"/>
      <c r="J3557" s="570"/>
      <c r="K3557" s="570"/>
    </row>
    <row r="3558" ht="13.75" customHeight="1">
      <c r="A3558" s="833">
        <v>180</v>
      </c>
      <c r="B3558" t="s" s="834">
        <v>2431</v>
      </c>
      <c r="C3558" t="s" s="834">
        <v>892</v>
      </c>
      <c r="D3558" s="835">
        <v>46024</v>
      </c>
      <c r="E3558" t="s" s="834">
        <v>478</v>
      </c>
      <c r="F3558" t="s" s="834">
        <v>478</v>
      </c>
      <c r="G3558" s="570"/>
      <c r="H3558" s="570"/>
      <c r="I3558" s="570"/>
      <c r="J3558" s="570"/>
      <c r="K3558" s="570"/>
    </row>
    <row r="3559" ht="13.75" customHeight="1">
      <c r="A3559" s="833">
        <v>180</v>
      </c>
      <c r="B3559" t="s" s="834">
        <v>2431</v>
      </c>
      <c r="C3559" t="s" s="834">
        <v>892</v>
      </c>
      <c r="D3559" s="835">
        <v>46025</v>
      </c>
      <c r="E3559" t="s" s="834">
        <v>478</v>
      </c>
      <c r="F3559" t="s" s="834">
        <v>478</v>
      </c>
      <c r="G3559" s="570"/>
      <c r="H3559" s="570"/>
      <c r="I3559" s="570"/>
      <c r="J3559" s="570"/>
      <c r="K3559" s="570"/>
    </row>
    <row r="3560" ht="13.75" customHeight="1">
      <c r="A3560" s="833">
        <v>180</v>
      </c>
      <c r="B3560" t="s" s="834">
        <v>2431</v>
      </c>
      <c r="C3560" t="s" s="834">
        <v>892</v>
      </c>
      <c r="D3560" s="835">
        <v>46026</v>
      </c>
      <c r="E3560" t="s" s="834">
        <v>478</v>
      </c>
      <c r="F3560" t="s" s="834">
        <v>478</v>
      </c>
      <c r="G3560" s="570"/>
      <c r="H3560" s="570"/>
      <c r="I3560" s="570"/>
      <c r="J3560" s="570"/>
      <c r="K3560" s="570"/>
    </row>
    <row r="3561" ht="13.75" customHeight="1">
      <c r="A3561" s="833">
        <v>180</v>
      </c>
      <c r="B3561" t="s" s="834">
        <v>2431</v>
      </c>
      <c r="C3561" t="s" s="834">
        <v>892</v>
      </c>
      <c r="D3561" s="835">
        <v>46027</v>
      </c>
      <c r="E3561" s="836">
        <v>1.378703703703704</v>
      </c>
      <c r="F3561" t="s" s="834">
        <v>478</v>
      </c>
      <c r="G3561" s="570"/>
      <c r="H3561" s="570"/>
      <c r="I3561" s="570"/>
      <c r="J3561" s="570"/>
      <c r="K3561" s="570"/>
    </row>
    <row r="3562" ht="13.75" customHeight="1">
      <c r="A3562" t="s" s="834">
        <v>2432</v>
      </c>
      <c r="B3562" t="s" s="834">
        <v>485</v>
      </c>
      <c r="C3562" t="s" s="834">
        <v>486</v>
      </c>
      <c r="D3562" s="570"/>
      <c r="E3562" s="570"/>
      <c r="F3562" s="570"/>
      <c r="G3562" s="570"/>
      <c r="H3562" s="570"/>
      <c r="I3562" s="570"/>
      <c r="J3562" s="570"/>
      <c r="K3562" s="570"/>
    </row>
    <row r="3563" ht="13.75" customHeight="1">
      <c r="A3563" s="833">
        <v>180</v>
      </c>
      <c r="B3563" t="s" s="834">
        <v>2431</v>
      </c>
      <c r="C3563" t="s" s="834">
        <v>892</v>
      </c>
      <c r="D3563" s="835">
        <v>46028</v>
      </c>
      <c r="E3563" s="836">
        <v>1.404328703703704</v>
      </c>
      <c r="F3563" s="836">
        <v>1.797037037037037</v>
      </c>
      <c r="G3563" s="570"/>
      <c r="H3563" s="570"/>
      <c r="I3563" s="570"/>
      <c r="J3563" s="570"/>
      <c r="K3563" s="570"/>
    </row>
    <row r="3564" ht="13.75" customHeight="1">
      <c r="A3564" t="s" s="834">
        <v>2433</v>
      </c>
      <c r="B3564" t="s" s="834">
        <v>2434</v>
      </c>
      <c r="C3564" t="s" s="834">
        <v>1019</v>
      </c>
      <c r="D3564" s="570"/>
      <c r="E3564" s="570"/>
      <c r="F3564" s="570"/>
      <c r="G3564" s="570"/>
      <c r="H3564" s="570"/>
      <c r="I3564" s="570"/>
      <c r="J3564" s="570"/>
      <c r="K3564" s="570"/>
    </row>
    <row r="3565" ht="13.75" customHeight="1">
      <c r="A3565" s="833">
        <v>180</v>
      </c>
      <c r="B3565" t="s" s="834">
        <v>2431</v>
      </c>
      <c r="C3565" t="s" s="834">
        <v>892</v>
      </c>
      <c r="D3565" s="835">
        <v>46029</v>
      </c>
      <c r="E3565" s="836">
        <v>1.37787037037037</v>
      </c>
      <c r="F3565" s="836">
        <v>1.756064814814815</v>
      </c>
      <c r="G3565" s="570"/>
      <c r="H3565" s="570"/>
      <c r="I3565" s="570"/>
      <c r="J3565" s="570"/>
      <c r="K3565" s="570"/>
    </row>
    <row r="3566" ht="13.75" customHeight="1">
      <c r="A3566" t="s" s="834">
        <v>2435</v>
      </c>
      <c r="B3566" t="s" s="834">
        <v>2436</v>
      </c>
      <c r="C3566" t="s" s="834">
        <v>562</v>
      </c>
      <c r="D3566" s="570"/>
      <c r="E3566" s="570"/>
      <c r="F3566" s="570"/>
      <c r="G3566" s="570"/>
      <c r="H3566" s="570"/>
      <c r="I3566" s="570"/>
      <c r="J3566" s="570"/>
      <c r="K3566" s="570"/>
    </row>
    <row r="3567" ht="13.75" customHeight="1">
      <c r="A3567" s="833">
        <v>180</v>
      </c>
      <c r="B3567" t="s" s="834">
        <v>2431</v>
      </c>
      <c r="C3567" t="s" s="834">
        <v>892</v>
      </c>
      <c r="D3567" s="835">
        <v>46030</v>
      </c>
      <c r="E3567" s="836">
        <v>1.391979166666667</v>
      </c>
      <c r="F3567" s="836">
        <v>1.773611111111111</v>
      </c>
      <c r="G3567" s="570"/>
      <c r="H3567" s="570"/>
      <c r="I3567" s="570"/>
      <c r="J3567" s="570"/>
      <c r="K3567" s="570"/>
    </row>
    <row r="3568" ht="13.75" customHeight="1">
      <c r="A3568" t="s" s="834">
        <v>2437</v>
      </c>
      <c r="B3568" t="s" s="834">
        <v>2438</v>
      </c>
      <c r="C3568" t="s" s="834">
        <v>816</v>
      </c>
      <c r="D3568" s="570"/>
      <c r="E3568" s="570"/>
      <c r="F3568" s="570"/>
      <c r="G3568" s="570"/>
      <c r="H3568" s="570"/>
      <c r="I3568" s="570"/>
      <c r="J3568" s="570"/>
      <c r="K3568" s="570"/>
    </row>
    <row r="3569" ht="13.75" customHeight="1">
      <c r="A3569" s="833">
        <v>180</v>
      </c>
      <c r="B3569" t="s" s="834">
        <v>2431</v>
      </c>
      <c r="C3569" t="s" s="834">
        <v>892</v>
      </c>
      <c r="D3569" s="835">
        <v>46031</v>
      </c>
      <c r="E3569" s="836">
        <v>1.397685185185185</v>
      </c>
      <c r="F3569" s="836">
        <v>1.806319444444445</v>
      </c>
      <c r="G3569" s="570"/>
      <c r="H3569" s="570"/>
      <c r="I3569" s="570"/>
      <c r="J3569" s="570"/>
      <c r="K3569" s="570"/>
    </row>
    <row r="3570" ht="13.75" customHeight="1">
      <c r="A3570" t="s" s="834">
        <v>2439</v>
      </c>
      <c r="B3570" t="s" s="834">
        <v>2440</v>
      </c>
      <c r="C3570" t="s" s="834">
        <v>1330</v>
      </c>
      <c r="D3570" s="570"/>
      <c r="E3570" s="570"/>
      <c r="F3570" s="570"/>
      <c r="G3570" s="570"/>
      <c r="H3570" s="570"/>
      <c r="I3570" s="570"/>
      <c r="J3570" s="570"/>
      <c r="K3570" s="570"/>
    </row>
    <row r="3571" ht="13.75" customHeight="1">
      <c r="A3571" s="833">
        <v>180</v>
      </c>
      <c r="B3571" t="s" s="834">
        <v>2431</v>
      </c>
      <c r="C3571" t="s" s="834">
        <v>892</v>
      </c>
      <c r="D3571" s="835">
        <v>46032</v>
      </c>
      <c r="E3571" t="s" s="834">
        <v>478</v>
      </c>
      <c r="F3571" t="s" s="834">
        <v>478</v>
      </c>
      <c r="G3571" s="570"/>
      <c r="H3571" s="570"/>
      <c r="I3571" s="570"/>
      <c r="J3571" s="570"/>
      <c r="K3571" s="570"/>
    </row>
    <row r="3572" ht="13.75" customHeight="1">
      <c r="A3572" s="833">
        <v>180</v>
      </c>
      <c r="B3572" t="s" s="834">
        <v>2431</v>
      </c>
      <c r="C3572" t="s" s="834">
        <v>892</v>
      </c>
      <c r="D3572" s="835">
        <v>46033</v>
      </c>
      <c r="E3572" t="s" s="834">
        <v>478</v>
      </c>
      <c r="F3572" t="s" s="834">
        <v>478</v>
      </c>
      <c r="G3572" s="570"/>
      <c r="H3572" s="570"/>
      <c r="I3572" s="570"/>
      <c r="J3572" s="570"/>
      <c r="K3572" s="570"/>
    </row>
    <row r="3573" ht="13.75" customHeight="1">
      <c r="A3573" s="833">
        <v>180</v>
      </c>
      <c r="B3573" t="s" s="834">
        <v>2431</v>
      </c>
      <c r="C3573" t="s" s="834">
        <v>892</v>
      </c>
      <c r="D3573" s="835">
        <v>46034</v>
      </c>
      <c r="E3573" s="836">
        <v>1.39068287037037</v>
      </c>
      <c r="F3573" s="836">
        <v>1.777256944444444</v>
      </c>
      <c r="G3573" s="570"/>
      <c r="H3573" s="570"/>
      <c r="I3573" s="570"/>
      <c r="J3573" s="570"/>
      <c r="K3573" s="570"/>
    </row>
    <row r="3574" ht="13.75" customHeight="1">
      <c r="A3574" t="s" s="834">
        <v>2441</v>
      </c>
      <c r="B3574" t="s" s="834">
        <v>2442</v>
      </c>
      <c r="C3574" t="s" s="834">
        <v>995</v>
      </c>
      <c r="D3574" s="570"/>
      <c r="E3574" s="570"/>
      <c r="F3574" s="570"/>
      <c r="G3574" s="570"/>
      <c r="H3574" s="570"/>
      <c r="I3574" s="570"/>
      <c r="J3574" s="570"/>
      <c r="K3574" s="570"/>
    </row>
    <row r="3575" ht="13.75" customHeight="1">
      <c r="A3575" s="833">
        <v>180</v>
      </c>
      <c r="B3575" t="s" s="834">
        <v>2431</v>
      </c>
      <c r="C3575" t="s" s="834">
        <v>892</v>
      </c>
      <c r="D3575" s="835">
        <v>46035</v>
      </c>
      <c r="E3575" s="836">
        <v>1.384780092592593</v>
      </c>
      <c r="F3575" s="836">
        <v>1.774976851851852</v>
      </c>
      <c r="G3575" s="570"/>
      <c r="H3575" s="570"/>
      <c r="I3575" s="570"/>
      <c r="J3575" s="570"/>
      <c r="K3575" s="570"/>
    </row>
    <row r="3576" ht="13.75" customHeight="1">
      <c r="A3576" t="s" s="834">
        <v>2443</v>
      </c>
      <c r="B3576" t="s" s="834">
        <v>2444</v>
      </c>
      <c r="C3576" t="s" s="834">
        <v>901</v>
      </c>
      <c r="D3576" s="570"/>
      <c r="E3576" s="570"/>
      <c r="F3576" s="570"/>
      <c r="G3576" s="570"/>
      <c r="H3576" s="570"/>
      <c r="I3576" s="570"/>
      <c r="J3576" s="570"/>
      <c r="K3576" s="570"/>
    </row>
    <row r="3577" ht="13.75" customHeight="1">
      <c r="A3577" s="833">
        <v>180</v>
      </c>
      <c r="B3577" t="s" s="834">
        <v>2431</v>
      </c>
      <c r="C3577" t="s" s="834">
        <v>892</v>
      </c>
      <c r="D3577" s="835">
        <v>46036</v>
      </c>
      <c r="E3577" s="836">
        <v>1.427199074074074</v>
      </c>
      <c r="F3577" s="836">
        <v>1.7603125</v>
      </c>
      <c r="G3577" s="570"/>
      <c r="H3577" s="570"/>
      <c r="I3577" s="570"/>
      <c r="J3577" s="570"/>
      <c r="K3577" s="570"/>
    </row>
    <row r="3578" ht="13.75" customHeight="1">
      <c r="A3578" t="s" s="834">
        <v>2445</v>
      </c>
      <c r="B3578" t="s" s="834">
        <v>2446</v>
      </c>
      <c r="C3578" t="s" s="834">
        <v>2447</v>
      </c>
      <c r="D3578" s="570"/>
      <c r="E3578" s="570"/>
      <c r="F3578" s="570"/>
      <c r="G3578" s="570"/>
      <c r="H3578" s="570"/>
      <c r="I3578" s="570"/>
      <c r="J3578" s="570"/>
      <c r="K3578" s="570"/>
    </row>
    <row r="3579" ht="13.75" customHeight="1">
      <c r="A3579" s="833">
        <v>180</v>
      </c>
      <c r="B3579" t="s" s="834">
        <v>2431</v>
      </c>
      <c r="C3579" t="s" s="834">
        <v>892</v>
      </c>
      <c r="D3579" s="835">
        <v>46037</v>
      </c>
      <c r="E3579" s="836">
        <v>1.462476851851852</v>
      </c>
      <c r="F3579" s="836">
        <v>1.809837962962963</v>
      </c>
      <c r="G3579" s="570"/>
      <c r="H3579" s="570"/>
      <c r="I3579" s="570"/>
      <c r="J3579" s="570"/>
      <c r="K3579" s="570"/>
    </row>
    <row r="3580" ht="13.75" customHeight="1">
      <c r="A3580" t="s" s="834">
        <v>2448</v>
      </c>
      <c r="B3580" t="s" s="834">
        <v>2449</v>
      </c>
      <c r="C3580" t="s" s="834">
        <v>1237</v>
      </c>
      <c r="D3580" s="570"/>
      <c r="E3580" s="570"/>
      <c r="F3580" s="570"/>
      <c r="G3580" s="570"/>
      <c r="H3580" s="570"/>
      <c r="I3580" s="570"/>
      <c r="J3580" s="570"/>
      <c r="K3580" s="570"/>
    </row>
    <row r="3581" ht="13.75" customHeight="1">
      <c r="A3581" s="833">
        <v>180</v>
      </c>
      <c r="B3581" t="s" s="834">
        <v>2431</v>
      </c>
      <c r="C3581" t="s" s="834">
        <v>892</v>
      </c>
      <c r="D3581" s="835">
        <v>46038</v>
      </c>
      <c r="E3581" s="836">
        <v>1.3896875</v>
      </c>
      <c r="F3581" s="836">
        <v>1.774178240740741</v>
      </c>
      <c r="G3581" s="570"/>
      <c r="H3581" s="570"/>
      <c r="I3581" s="570"/>
      <c r="J3581" s="570"/>
      <c r="K3581" s="570"/>
    </row>
    <row r="3582" ht="13.75" customHeight="1">
      <c r="A3582" t="s" s="834">
        <v>2450</v>
      </c>
      <c r="B3582" t="s" s="834">
        <v>2451</v>
      </c>
      <c r="C3582" t="s" s="834">
        <v>2452</v>
      </c>
      <c r="D3582" s="570"/>
      <c r="E3582" s="570"/>
      <c r="F3582" s="570"/>
      <c r="G3582" s="570"/>
      <c r="H3582" s="570"/>
      <c r="I3582" s="570"/>
      <c r="J3582" s="570"/>
      <c r="K3582" s="570"/>
    </row>
    <row r="3583" ht="13.75" customHeight="1">
      <c r="A3583" s="833">
        <v>180</v>
      </c>
      <c r="B3583" t="s" s="834">
        <v>2431</v>
      </c>
      <c r="C3583" t="s" s="834">
        <v>892</v>
      </c>
      <c r="D3583" s="835">
        <v>46039</v>
      </c>
      <c r="E3583" t="s" s="834">
        <v>478</v>
      </c>
      <c r="F3583" t="s" s="834">
        <v>478</v>
      </c>
      <c r="G3583" s="570"/>
      <c r="H3583" s="570"/>
      <c r="I3583" s="570"/>
      <c r="J3583" s="570"/>
      <c r="K3583" s="570"/>
    </row>
    <row r="3584" ht="13.75" customHeight="1">
      <c r="A3584" s="833">
        <v>180</v>
      </c>
      <c r="B3584" t="s" s="834">
        <v>2431</v>
      </c>
      <c r="C3584" t="s" s="834">
        <v>892</v>
      </c>
      <c r="D3584" s="835">
        <v>46040</v>
      </c>
      <c r="E3584" t="s" s="834">
        <v>478</v>
      </c>
      <c r="F3584" t="s" s="834">
        <v>478</v>
      </c>
      <c r="G3584" s="570"/>
      <c r="H3584" s="570"/>
      <c r="I3584" s="570"/>
      <c r="J3584" s="570"/>
      <c r="K3584" s="570"/>
    </row>
    <row r="3585" ht="13.75" customHeight="1">
      <c r="A3585" s="833">
        <v>180</v>
      </c>
      <c r="B3585" t="s" s="834">
        <v>2431</v>
      </c>
      <c r="C3585" t="s" s="834">
        <v>892</v>
      </c>
      <c r="D3585" s="835">
        <v>46041</v>
      </c>
      <c r="E3585" s="836">
        <v>1.377106481481482</v>
      </c>
      <c r="F3585" s="836">
        <v>1.755196759259259</v>
      </c>
      <c r="G3585" s="570"/>
      <c r="H3585" s="570"/>
      <c r="I3585" s="570"/>
      <c r="J3585" s="570"/>
      <c r="K3585" s="570"/>
    </row>
    <row r="3586" ht="13.75" customHeight="1">
      <c r="A3586" t="s" s="834">
        <v>2453</v>
      </c>
      <c r="B3586" t="s" s="834">
        <v>2454</v>
      </c>
      <c r="C3586" t="s" s="834">
        <v>543</v>
      </c>
      <c r="D3586" s="570"/>
      <c r="E3586" s="570"/>
      <c r="F3586" s="570"/>
      <c r="G3586" s="570"/>
      <c r="H3586" s="570"/>
      <c r="I3586" s="570"/>
      <c r="J3586" s="570"/>
      <c r="K3586" s="570"/>
    </row>
    <row r="3587" ht="13.75" customHeight="1">
      <c r="A3587" s="833">
        <v>180</v>
      </c>
      <c r="B3587" t="s" s="834">
        <v>2431</v>
      </c>
      <c r="C3587" t="s" s="834">
        <v>892</v>
      </c>
      <c r="D3587" s="835">
        <v>46042</v>
      </c>
      <c r="E3587" s="836">
        <v>1.380011574074074</v>
      </c>
      <c r="F3587" s="836">
        <v>1.7503125</v>
      </c>
      <c r="G3587" s="570"/>
      <c r="H3587" s="570"/>
      <c r="I3587" s="570"/>
      <c r="J3587" s="570"/>
      <c r="K3587" s="570"/>
    </row>
    <row r="3588" ht="13.75" customHeight="1">
      <c r="A3588" t="s" s="834">
        <v>2455</v>
      </c>
      <c r="B3588" t="s" s="834">
        <v>2456</v>
      </c>
      <c r="C3588" t="s" s="834">
        <v>1480</v>
      </c>
      <c r="D3588" s="570"/>
      <c r="E3588" s="570"/>
      <c r="F3588" s="570"/>
      <c r="G3588" s="570"/>
      <c r="H3588" s="570"/>
      <c r="I3588" s="570"/>
      <c r="J3588" s="570"/>
      <c r="K3588" s="570"/>
    </row>
    <row r="3589" ht="13.75" customHeight="1">
      <c r="A3589" s="833">
        <v>180</v>
      </c>
      <c r="B3589" t="s" s="834">
        <v>2431</v>
      </c>
      <c r="C3589" t="s" s="834">
        <v>892</v>
      </c>
      <c r="D3589" s="835">
        <v>46043</v>
      </c>
      <c r="E3589" s="836">
        <v>1.428946759259259</v>
      </c>
      <c r="F3589" s="836">
        <v>1.808020833333333</v>
      </c>
      <c r="G3589" s="570"/>
      <c r="H3589" s="570"/>
      <c r="I3589" s="570"/>
      <c r="J3589" s="570"/>
      <c r="K3589" s="570"/>
    </row>
    <row r="3590" ht="13.75" customHeight="1">
      <c r="A3590" t="s" s="834">
        <v>2457</v>
      </c>
      <c r="B3590" t="s" s="834">
        <v>2458</v>
      </c>
      <c r="C3590" t="s" s="834">
        <v>549</v>
      </c>
      <c r="D3590" s="570"/>
      <c r="E3590" s="570"/>
      <c r="F3590" s="570"/>
      <c r="G3590" s="570"/>
      <c r="H3590" s="570"/>
      <c r="I3590" s="570"/>
      <c r="J3590" s="570"/>
      <c r="K3590" s="570"/>
    </row>
    <row r="3591" ht="13.75" customHeight="1">
      <c r="A3591" s="833">
        <v>180</v>
      </c>
      <c r="B3591" t="s" s="834">
        <v>2431</v>
      </c>
      <c r="C3591" t="s" s="834">
        <v>892</v>
      </c>
      <c r="D3591" s="835">
        <v>46044</v>
      </c>
      <c r="E3591" s="836">
        <v>1.567418981481481</v>
      </c>
      <c r="F3591" s="836">
        <v>1.759351851851852</v>
      </c>
      <c r="G3591" s="570"/>
      <c r="H3591" s="570"/>
      <c r="I3591" s="570"/>
      <c r="J3591" s="570"/>
      <c r="K3591" s="570"/>
    </row>
    <row r="3592" ht="13.75" customHeight="1">
      <c r="A3592" t="s" s="834">
        <v>2459</v>
      </c>
      <c r="B3592" t="s" s="834">
        <v>2460</v>
      </c>
      <c r="C3592" t="s" s="834">
        <v>2461</v>
      </c>
      <c r="D3592" s="570"/>
      <c r="E3592" s="570"/>
      <c r="F3592" s="570"/>
      <c r="G3592" s="570"/>
      <c r="H3592" s="570"/>
      <c r="I3592" s="570"/>
      <c r="J3592" s="570"/>
      <c r="K3592" s="570"/>
    </row>
    <row r="3593" ht="13.75" customHeight="1">
      <c r="A3593" s="833">
        <v>180</v>
      </c>
      <c r="B3593" t="s" s="834">
        <v>2431</v>
      </c>
      <c r="C3593" t="s" s="834">
        <v>892</v>
      </c>
      <c r="D3593" s="835">
        <v>46045</v>
      </c>
      <c r="E3593" s="836">
        <v>1.402939814814815</v>
      </c>
      <c r="F3593" s="836">
        <v>1.721956018518519</v>
      </c>
      <c r="G3593" s="570"/>
      <c r="H3593" s="570"/>
      <c r="I3593" s="570"/>
      <c r="J3593" s="570"/>
      <c r="K3593" s="570"/>
    </row>
    <row r="3594" ht="13.75" customHeight="1">
      <c r="A3594" t="s" s="834">
        <v>2462</v>
      </c>
      <c r="B3594" t="s" s="834">
        <v>2463</v>
      </c>
      <c r="C3594" t="s" s="834">
        <v>2464</v>
      </c>
      <c r="D3594" s="570"/>
      <c r="E3594" s="570"/>
      <c r="F3594" s="570"/>
      <c r="G3594" s="570"/>
      <c r="H3594" s="570"/>
      <c r="I3594" s="570"/>
      <c r="J3594" s="570"/>
      <c r="K3594" s="570"/>
    </row>
    <row r="3595" ht="13.75" customHeight="1">
      <c r="A3595" s="833">
        <v>180</v>
      </c>
      <c r="B3595" t="s" s="834">
        <v>2431</v>
      </c>
      <c r="C3595" t="s" s="834">
        <v>892</v>
      </c>
      <c r="D3595" s="835">
        <v>46046</v>
      </c>
      <c r="E3595" t="s" s="834">
        <v>478</v>
      </c>
      <c r="F3595" t="s" s="834">
        <v>478</v>
      </c>
      <c r="G3595" s="570"/>
      <c r="H3595" s="570"/>
      <c r="I3595" s="570"/>
      <c r="J3595" s="570"/>
      <c r="K3595" s="570"/>
    </row>
    <row r="3596" ht="13.75" customHeight="1">
      <c r="A3596" s="833">
        <v>180</v>
      </c>
      <c r="B3596" t="s" s="834">
        <v>2431</v>
      </c>
      <c r="C3596" t="s" s="834">
        <v>892</v>
      </c>
      <c r="D3596" s="835">
        <v>46047</v>
      </c>
      <c r="E3596" t="s" s="834">
        <v>478</v>
      </c>
      <c r="F3596" t="s" s="834">
        <v>478</v>
      </c>
      <c r="G3596" s="570"/>
      <c r="H3596" s="570"/>
      <c r="I3596" s="570"/>
      <c r="J3596" s="570"/>
      <c r="K3596" s="570"/>
    </row>
    <row r="3597" ht="13.75" customHeight="1">
      <c r="A3597" s="833">
        <v>180</v>
      </c>
      <c r="B3597" t="s" s="834">
        <v>2431</v>
      </c>
      <c r="C3597" t="s" s="834">
        <v>892</v>
      </c>
      <c r="D3597" s="835">
        <v>46048</v>
      </c>
      <c r="E3597" s="836">
        <v>1.381782407407407</v>
      </c>
      <c r="F3597" s="836">
        <v>1.774826388888889</v>
      </c>
      <c r="G3597" s="570"/>
      <c r="H3597" s="570"/>
      <c r="I3597" s="570"/>
      <c r="J3597" s="570"/>
      <c r="K3597" s="570"/>
    </row>
    <row r="3598" ht="13.75" customHeight="1">
      <c r="A3598" t="s" s="834">
        <v>2465</v>
      </c>
      <c r="B3598" t="s" s="834">
        <v>2466</v>
      </c>
      <c r="C3598" t="s" s="834">
        <v>1019</v>
      </c>
      <c r="D3598" s="570"/>
      <c r="E3598" s="570"/>
      <c r="F3598" s="570"/>
      <c r="G3598" s="570"/>
      <c r="H3598" s="570"/>
      <c r="I3598" s="570"/>
      <c r="J3598" s="570"/>
      <c r="K3598" s="570"/>
    </row>
    <row r="3599" ht="13.75" customHeight="1">
      <c r="A3599" s="833">
        <v>180</v>
      </c>
      <c r="B3599" t="s" s="834">
        <v>2431</v>
      </c>
      <c r="C3599" t="s" s="834">
        <v>892</v>
      </c>
      <c r="D3599" s="835">
        <v>46049</v>
      </c>
      <c r="E3599" s="836">
        <v>1.429143518518519</v>
      </c>
      <c r="F3599" s="836">
        <v>1.760486111111111</v>
      </c>
      <c r="G3599" s="570"/>
      <c r="H3599" s="570"/>
      <c r="I3599" s="570"/>
      <c r="J3599" s="570"/>
      <c r="K3599" s="570"/>
    </row>
    <row r="3600" ht="13.75" customHeight="1">
      <c r="A3600" t="s" s="834">
        <v>2467</v>
      </c>
      <c r="B3600" t="s" s="834">
        <v>2468</v>
      </c>
      <c r="C3600" t="s" s="834">
        <v>2469</v>
      </c>
      <c r="D3600" s="570"/>
      <c r="E3600" s="570"/>
      <c r="F3600" s="570"/>
      <c r="G3600" s="570"/>
      <c r="H3600" s="570"/>
      <c r="I3600" s="570"/>
      <c r="J3600" s="570"/>
      <c r="K3600" s="570"/>
    </row>
    <row r="3601" ht="13.75" customHeight="1">
      <c r="A3601" s="833">
        <v>180</v>
      </c>
      <c r="B3601" t="s" s="834">
        <v>2431</v>
      </c>
      <c r="C3601" t="s" s="834">
        <v>892</v>
      </c>
      <c r="D3601" s="835">
        <v>46050</v>
      </c>
      <c r="E3601" s="836">
        <v>1.391354166666667</v>
      </c>
      <c r="F3601" s="836">
        <v>1.769027777777778</v>
      </c>
      <c r="G3601" s="570"/>
      <c r="H3601" s="570"/>
      <c r="I3601" s="570"/>
      <c r="J3601" s="570"/>
      <c r="K3601" s="570"/>
    </row>
    <row r="3602" ht="13.75" customHeight="1">
      <c r="A3602" t="s" s="834">
        <v>2470</v>
      </c>
      <c r="B3602" t="s" s="834">
        <v>2471</v>
      </c>
      <c r="C3602" t="s" s="834">
        <v>543</v>
      </c>
      <c r="D3602" s="570"/>
      <c r="E3602" s="570"/>
      <c r="F3602" s="570"/>
      <c r="G3602" s="570"/>
      <c r="H3602" s="570"/>
      <c r="I3602" s="570"/>
      <c r="J3602" s="570"/>
      <c r="K3602" s="570"/>
    </row>
    <row r="3603" ht="13.75" customHeight="1">
      <c r="A3603" s="833">
        <v>180</v>
      </c>
      <c r="B3603" t="s" s="834">
        <v>2431</v>
      </c>
      <c r="C3603" t="s" s="834">
        <v>892</v>
      </c>
      <c r="D3603" s="835">
        <v>46051</v>
      </c>
      <c r="E3603" s="836">
        <v>1.590069444444445</v>
      </c>
      <c r="F3603" s="836">
        <v>1.767118055555556</v>
      </c>
      <c r="G3603" s="570"/>
      <c r="H3603" s="570"/>
      <c r="I3603" s="570"/>
      <c r="J3603" s="570"/>
      <c r="K3603" s="570"/>
    </row>
    <row r="3604" ht="13.75" customHeight="1">
      <c r="A3604" t="s" s="834">
        <v>2472</v>
      </c>
      <c r="B3604" t="s" s="834">
        <v>2473</v>
      </c>
      <c r="C3604" t="s" s="834">
        <v>2404</v>
      </c>
      <c r="D3604" s="570"/>
      <c r="E3604" s="570"/>
      <c r="F3604" s="570"/>
      <c r="G3604" s="570"/>
      <c r="H3604" s="570"/>
      <c r="I3604" s="570"/>
      <c r="J3604" s="570"/>
      <c r="K3604" s="570"/>
    </row>
    <row r="3605" ht="13.75" customHeight="1">
      <c r="A3605" s="833">
        <v>180</v>
      </c>
      <c r="B3605" t="s" s="834">
        <v>2431</v>
      </c>
      <c r="C3605" t="s" s="834">
        <v>892</v>
      </c>
      <c r="D3605" s="835">
        <v>46052</v>
      </c>
      <c r="E3605" s="836">
        <v>1.402824074074074</v>
      </c>
      <c r="F3605" s="836">
        <v>1.795185185185185</v>
      </c>
      <c r="G3605" s="570"/>
      <c r="H3605" s="570"/>
      <c r="I3605" s="570"/>
      <c r="J3605" s="570"/>
      <c r="K3605" s="570"/>
    </row>
    <row r="3606" ht="13.75" customHeight="1">
      <c r="A3606" t="s" s="834">
        <v>2474</v>
      </c>
      <c r="B3606" t="s" s="834">
        <v>2475</v>
      </c>
      <c r="C3606" t="s" s="834">
        <v>966</v>
      </c>
      <c r="D3606" s="570"/>
      <c r="E3606" s="570"/>
      <c r="F3606" s="570"/>
      <c r="G3606" s="570"/>
      <c r="H3606" s="570"/>
      <c r="I3606" s="570"/>
      <c r="J3606" s="570"/>
      <c r="K3606" s="570"/>
    </row>
    <row r="3607" ht="13.75" customHeight="1">
      <c r="A3607" s="833">
        <v>180</v>
      </c>
      <c r="B3607" t="s" s="834">
        <v>2431</v>
      </c>
      <c r="C3607" t="s" s="834">
        <v>892</v>
      </c>
      <c r="D3607" s="835">
        <v>46053</v>
      </c>
      <c r="E3607" t="s" s="834">
        <v>478</v>
      </c>
      <c r="F3607" t="s" s="834">
        <v>478</v>
      </c>
      <c r="G3607" s="570"/>
      <c r="H3607" s="570"/>
      <c r="I3607" s="570"/>
      <c r="J3607" s="570"/>
      <c r="K3607" s="570"/>
    </row>
    <row r="3608" ht="13.75" customHeight="1">
      <c r="A3608" s="833">
        <v>180</v>
      </c>
      <c r="B3608" t="s" s="834">
        <v>2431</v>
      </c>
      <c r="C3608" t="s" s="834">
        <v>892</v>
      </c>
      <c r="D3608" s="835">
        <v>46054</v>
      </c>
      <c r="E3608" t="s" s="834">
        <v>478</v>
      </c>
      <c r="F3608" t="s" s="834">
        <v>478</v>
      </c>
      <c r="G3608" s="570"/>
      <c r="H3608" s="570"/>
      <c r="I3608" s="570"/>
      <c r="J3608" s="570"/>
      <c r="K3608" s="570"/>
    </row>
    <row r="3609" ht="13.75" customHeight="1">
      <c r="A3609" s="833">
        <v>182</v>
      </c>
      <c r="B3609" t="s" s="834">
        <v>2476</v>
      </c>
      <c r="C3609" t="s" s="834">
        <v>700</v>
      </c>
      <c r="D3609" s="835">
        <v>46023</v>
      </c>
      <c r="E3609" t="s" s="834">
        <v>478</v>
      </c>
      <c r="F3609" t="s" s="834">
        <v>478</v>
      </c>
      <c r="G3609" s="570"/>
      <c r="H3609" s="570"/>
      <c r="I3609" s="570"/>
      <c r="J3609" s="570"/>
      <c r="K3609" s="570"/>
    </row>
    <row r="3610" ht="13.75" customHeight="1">
      <c r="A3610" s="833">
        <v>182</v>
      </c>
      <c r="B3610" t="s" s="834">
        <v>2476</v>
      </c>
      <c r="C3610" t="s" s="834">
        <v>700</v>
      </c>
      <c r="D3610" s="835">
        <v>46024</v>
      </c>
      <c r="E3610" t="s" s="834">
        <v>478</v>
      </c>
      <c r="F3610" t="s" s="834">
        <v>478</v>
      </c>
      <c r="G3610" s="570"/>
      <c r="H3610" s="570"/>
      <c r="I3610" s="570"/>
      <c r="J3610" s="570"/>
      <c r="K3610" s="570"/>
    </row>
    <row r="3611" ht="13.75" customHeight="1">
      <c r="A3611" s="833">
        <v>182</v>
      </c>
      <c r="B3611" t="s" s="834">
        <v>2476</v>
      </c>
      <c r="C3611" t="s" s="834">
        <v>700</v>
      </c>
      <c r="D3611" s="835">
        <v>46025</v>
      </c>
      <c r="E3611" t="s" s="834">
        <v>478</v>
      </c>
      <c r="F3611" t="s" s="834">
        <v>478</v>
      </c>
      <c r="G3611" s="570"/>
      <c r="H3611" s="570"/>
      <c r="I3611" s="570"/>
      <c r="J3611" s="570"/>
      <c r="K3611" s="570"/>
    </row>
    <row r="3612" ht="13.75" customHeight="1">
      <c r="A3612" s="833">
        <v>182</v>
      </c>
      <c r="B3612" t="s" s="834">
        <v>2476</v>
      </c>
      <c r="C3612" t="s" s="834">
        <v>700</v>
      </c>
      <c r="D3612" s="835">
        <v>46026</v>
      </c>
      <c r="E3612" t="s" s="834">
        <v>478</v>
      </c>
      <c r="F3612" t="s" s="834">
        <v>478</v>
      </c>
      <c r="G3612" s="570"/>
      <c r="H3612" s="570"/>
      <c r="I3612" s="570"/>
      <c r="J3612" s="570"/>
      <c r="K3612" s="570"/>
    </row>
    <row r="3613" ht="13.75" customHeight="1">
      <c r="A3613" s="833">
        <v>182</v>
      </c>
      <c r="B3613" t="s" s="834">
        <v>2476</v>
      </c>
      <c r="C3613" t="s" s="834">
        <v>700</v>
      </c>
      <c r="D3613" s="835">
        <v>46027</v>
      </c>
      <c r="E3613" s="836">
        <v>1.565578703703704</v>
      </c>
      <c r="F3613" s="836">
        <v>1.783032407407407</v>
      </c>
      <c r="G3613" s="570"/>
      <c r="H3613" s="570"/>
      <c r="I3613" s="570"/>
      <c r="J3613" s="570"/>
      <c r="K3613" s="570"/>
    </row>
    <row r="3614" ht="13.75" customHeight="1">
      <c r="A3614" t="s" s="834">
        <v>2477</v>
      </c>
      <c r="B3614" t="s" s="834">
        <v>2478</v>
      </c>
      <c r="C3614" t="s" s="834">
        <v>2479</v>
      </c>
      <c r="D3614" s="570"/>
      <c r="E3614" s="570"/>
      <c r="F3614" s="570"/>
      <c r="G3614" s="570"/>
      <c r="H3614" s="570"/>
      <c r="I3614" s="570"/>
      <c r="J3614" s="570"/>
      <c r="K3614" s="570"/>
    </row>
    <row r="3615" ht="13.75" customHeight="1">
      <c r="A3615" s="833">
        <v>182</v>
      </c>
      <c r="B3615" t="s" s="834">
        <v>2476</v>
      </c>
      <c r="C3615" t="s" s="834">
        <v>700</v>
      </c>
      <c r="D3615" s="835">
        <v>46028</v>
      </c>
      <c r="E3615" s="836">
        <v>1.368831018518518</v>
      </c>
      <c r="F3615" s="836">
        <v>1.797905092592593</v>
      </c>
      <c r="G3615" s="570"/>
      <c r="H3615" s="570"/>
      <c r="I3615" s="570"/>
      <c r="J3615" s="570"/>
      <c r="K3615" s="570"/>
    </row>
    <row r="3616" ht="13.75" customHeight="1">
      <c r="A3616" t="s" s="834">
        <v>2480</v>
      </c>
      <c r="B3616" t="s" s="834">
        <v>2481</v>
      </c>
      <c r="C3616" t="s" s="834">
        <v>626</v>
      </c>
      <c r="D3616" s="570"/>
      <c r="E3616" s="570"/>
      <c r="F3616" s="570"/>
      <c r="G3616" s="570"/>
      <c r="H3616" s="570"/>
      <c r="I3616" s="570"/>
      <c r="J3616" s="570"/>
      <c r="K3616" s="570"/>
    </row>
    <row r="3617" ht="13.75" customHeight="1">
      <c r="A3617" s="833">
        <v>182</v>
      </c>
      <c r="B3617" t="s" s="834">
        <v>2476</v>
      </c>
      <c r="C3617" t="s" s="834">
        <v>700</v>
      </c>
      <c r="D3617" s="835">
        <v>46029</v>
      </c>
      <c r="E3617" s="836">
        <v>1.375243055555555</v>
      </c>
      <c r="F3617" s="836">
        <v>1.770381944444444</v>
      </c>
      <c r="G3617" s="570"/>
      <c r="H3617" s="570"/>
      <c r="I3617" s="570"/>
      <c r="J3617" s="570"/>
      <c r="K3617" s="570"/>
    </row>
    <row r="3618" ht="13.75" customHeight="1">
      <c r="A3618" t="s" s="834">
        <v>2482</v>
      </c>
      <c r="B3618" t="s" s="834">
        <v>2483</v>
      </c>
      <c r="C3618" t="s" s="834">
        <v>643</v>
      </c>
      <c r="D3618" s="570"/>
      <c r="E3618" s="570"/>
      <c r="F3618" s="570"/>
      <c r="G3618" s="570"/>
      <c r="H3618" s="570"/>
      <c r="I3618" s="570"/>
      <c r="J3618" s="570"/>
      <c r="K3618" s="570"/>
    </row>
    <row r="3619" ht="13.75" customHeight="1">
      <c r="A3619" s="833">
        <v>182</v>
      </c>
      <c r="B3619" t="s" s="834">
        <v>2476</v>
      </c>
      <c r="C3619" t="s" s="834">
        <v>700</v>
      </c>
      <c r="D3619" s="835">
        <v>46030</v>
      </c>
      <c r="E3619" s="836">
        <v>1.370810185185185</v>
      </c>
      <c r="F3619" s="836">
        <v>1.782291666666667</v>
      </c>
      <c r="G3619" s="570"/>
      <c r="H3619" s="570"/>
      <c r="I3619" s="570"/>
      <c r="J3619" s="570"/>
      <c r="K3619" s="570"/>
    </row>
    <row r="3620" ht="13.75" customHeight="1">
      <c r="A3620" t="s" s="834">
        <v>2484</v>
      </c>
      <c r="B3620" t="s" s="834">
        <v>2485</v>
      </c>
      <c r="C3620" t="s" s="834">
        <v>597</v>
      </c>
      <c r="D3620" s="570"/>
      <c r="E3620" s="570"/>
      <c r="F3620" s="570"/>
      <c r="G3620" s="570"/>
      <c r="H3620" s="570"/>
      <c r="I3620" s="570"/>
      <c r="J3620" s="570"/>
      <c r="K3620" s="570"/>
    </row>
    <row r="3621" ht="13.75" customHeight="1">
      <c r="A3621" s="833">
        <v>182</v>
      </c>
      <c r="B3621" t="s" s="834">
        <v>2476</v>
      </c>
      <c r="C3621" t="s" s="834">
        <v>700</v>
      </c>
      <c r="D3621" s="835">
        <v>46031</v>
      </c>
      <c r="E3621" t="s" s="834">
        <v>478</v>
      </c>
      <c r="F3621" t="s" s="834">
        <v>478</v>
      </c>
      <c r="G3621" s="570"/>
      <c r="H3621" s="570"/>
      <c r="I3621" s="570"/>
      <c r="J3621" s="570"/>
      <c r="K3621" s="570"/>
    </row>
    <row r="3622" ht="13.75" customHeight="1">
      <c r="A3622" s="833">
        <v>182</v>
      </c>
      <c r="B3622" t="s" s="834">
        <v>2476</v>
      </c>
      <c r="C3622" t="s" s="834">
        <v>700</v>
      </c>
      <c r="D3622" s="835">
        <v>46032</v>
      </c>
      <c r="E3622" t="s" s="834">
        <v>478</v>
      </c>
      <c r="F3622" t="s" s="834">
        <v>478</v>
      </c>
      <c r="G3622" s="570"/>
      <c r="H3622" s="570"/>
      <c r="I3622" s="570"/>
      <c r="J3622" s="570"/>
      <c r="K3622" s="570"/>
    </row>
    <row r="3623" ht="13.75" customHeight="1">
      <c r="A3623" s="833">
        <v>182</v>
      </c>
      <c r="B3623" t="s" s="834">
        <v>2476</v>
      </c>
      <c r="C3623" t="s" s="834">
        <v>700</v>
      </c>
      <c r="D3623" s="835">
        <v>46033</v>
      </c>
      <c r="E3623" t="s" s="834">
        <v>478</v>
      </c>
      <c r="F3623" t="s" s="834">
        <v>478</v>
      </c>
      <c r="G3623" s="570"/>
      <c r="H3623" s="570"/>
      <c r="I3623" s="570"/>
      <c r="J3623" s="570"/>
      <c r="K3623" s="570"/>
    </row>
    <row r="3624" ht="13.75" customHeight="1">
      <c r="A3624" s="833">
        <v>182</v>
      </c>
      <c r="B3624" t="s" s="834">
        <v>2476</v>
      </c>
      <c r="C3624" t="s" s="834">
        <v>700</v>
      </c>
      <c r="D3624" s="835">
        <v>46034</v>
      </c>
      <c r="E3624" s="836">
        <v>1.362013888888889</v>
      </c>
      <c r="F3624" s="836">
        <v>1.8409375</v>
      </c>
      <c r="G3624" s="570"/>
      <c r="H3624" s="570"/>
      <c r="I3624" s="570"/>
      <c r="J3624" s="570"/>
      <c r="K3624" s="570"/>
    </row>
    <row r="3625" ht="13.75" customHeight="1">
      <c r="A3625" t="s" s="834">
        <v>2486</v>
      </c>
      <c r="B3625" t="s" s="834">
        <v>2487</v>
      </c>
      <c r="C3625" t="s" s="834">
        <v>2488</v>
      </c>
      <c r="D3625" s="570"/>
      <c r="E3625" s="570"/>
      <c r="F3625" s="570"/>
      <c r="G3625" s="570"/>
      <c r="H3625" s="570"/>
      <c r="I3625" s="570"/>
      <c r="J3625" s="570"/>
      <c r="K3625" s="570"/>
    </row>
    <row r="3626" ht="13.75" customHeight="1">
      <c r="A3626" s="833">
        <v>182</v>
      </c>
      <c r="B3626" t="s" s="834">
        <v>2476</v>
      </c>
      <c r="C3626" t="s" s="834">
        <v>700</v>
      </c>
      <c r="D3626" s="835">
        <v>46035</v>
      </c>
      <c r="E3626" s="836">
        <v>1.363043981481481</v>
      </c>
      <c r="F3626" s="836">
        <v>1.766840277777778</v>
      </c>
      <c r="G3626" s="570"/>
      <c r="H3626" s="570"/>
      <c r="I3626" s="570"/>
      <c r="J3626" s="570"/>
      <c r="K3626" s="570"/>
    </row>
    <row r="3627" ht="13.75" customHeight="1">
      <c r="A3627" t="s" s="834">
        <v>2489</v>
      </c>
      <c r="B3627" t="s" s="834">
        <v>2490</v>
      </c>
      <c r="C3627" t="s" s="834">
        <v>590</v>
      </c>
      <c r="D3627" s="570"/>
      <c r="E3627" s="570"/>
      <c r="F3627" s="570"/>
      <c r="G3627" s="570"/>
      <c r="H3627" s="570"/>
      <c r="I3627" s="570"/>
      <c r="J3627" s="570"/>
      <c r="K3627" s="570"/>
    </row>
    <row r="3628" ht="13.75" customHeight="1">
      <c r="A3628" s="833">
        <v>182</v>
      </c>
      <c r="B3628" t="s" s="834">
        <v>2476</v>
      </c>
      <c r="C3628" t="s" s="834">
        <v>700</v>
      </c>
      <c r="D3628" s="835">
        <v>46036</v>
      </c>
      <c r="E3628" s="836">
        <v>1.371388888888889</v>
      </c>
      <c r="F3628" s="836">
        <v>1.793425925925926</v>
      </c>
      <c r="G3628" s="570"/>
      <c r="H3628" s="570"/>
      <c r="I3628" s="570"/>
      <c r="J3628" s="570"/>
      <c r="K3628" s="570"/>
    </row>
    <row r="3629" ht="13.75" customHeight="1">
      <c r="A3629" t="s" s="834">
        <v>2491</v>
      </c>
      <c r="B3629" t="s" s="834">
        <v>2492</v>
      </c>
      <c r="C3629" t="s" s="834">
        <v>926</v>
      </c>
      <c r="D3629" s="570"/>
      <c r="E3629" s="570"/>
      <c r="F3629" s="570"/>
      <c r="G3629" s="570"/>
      <c r="H3629" s="570"/>
      <c r="I3629" s="570"/>
      <c r="J3629" s="570"/>
      <c r="K3629" s="570"/>
    </row>
    <row r="3630" ht="13.75" customHeight="1">
      <c r="A3630" s="833">
        <v>182</v>
      </c>
      <c r="B3630" t="s" s="834">
        <v>2476</v>
      </c>
      <c r="C3630" t="s" s="834">
        <v>700</v>
      </c>
      <c r="D3630" s="835">
        <v>46037</v>
      </c>
      <c r="E3630" s="836">
        <v>1.370636574074074</v>
      </c>
      <c r="F3630" s="836">
        <v>1.775636574074074</v>
      </c>
      <c r="G3630" s="570"/>
      <c r="H3630" s="570"/>
      <c r="I3630" s="570"/>
      <c r="J3630" s="570"/>
      <c r="K3630" s="570"/>
    </row>
    <row r="3631" ht="13.75" customHeight="1">
      <c r="A3631" t="s" s="834">
        <v>2493</v>
      </c>
      <c r="B3631" t="s" s="834">
        <v>2494</v>
      </c>
      <c r="C3631" t="s" s="834">
        <v>582</v>
      </c>
      <c r="D3631" s="570"/>
      <c r="E3631" s="570"/>
      <c r="F3631" s="570"/>
      <c r="G3631" s="570"/>
      <c r="H3631" s="570"/>
      <c r="I3631" s="570"/>
      <c r="J3631" s="570"/>
      <c r="K3631" s="570"/>
    </row>
    <row r="3632" ht="13.75" customHeight="1">
      <c r="A3632" s="833">
        <v>182</v>
      </c>
      <c r="B3632" t="s" s="834">
        <v>2476</v>
      </c>
      <c r="C3632" t="s" s="834">
        <v>700</v>
      </c>
      <c r="D3632" s="835">
        <v>46038</v>
      </c>
      <c r="E3632" t="s" s="834">
        <v>478</v>
      </c>
      <c r="F3632" t="s" s="834">
        <v>478</v>
      </c>
      <c r="G3632" s="570"/>
      <c r="H3632" s="570"/>
      <c r="I3632" s="570"/>
      <c r="J3632" s="570"/>
      <c r="K3632" s="570"/>
    </row>
    <row r="3633" ht="13.75" customHeight="1">
      <c r="A3633" s="833">
        <v>182</v>
      </c>
      <c r="B3633" t="s" s="834">
        <v>2476</v>
      </c>
      <c r="C3633" t="s" s="834">
        <v>700</v>
      </c>
      <c r="D3633" s="835">
        <v>46039</v>
      </c>
      <c r="E3633" t="s" s="834">
        <v>478</v>
      </c>
      <c r="F3633" t="s" s="834">
        <v>478</v>
      </c>
      <c r="G3633" s="570"/>
      <c r="H3633" s="570"/>
      <c r="I3633" s="570"/>
      <c r="J3633" s="570"/>
      <c r="K3633" s="570"/>
    </row>
    <row r="3634" ht="13.75" customHeight="1">
      <c r="A3634" s="833">
        <v>182</v>
      </c>
      <c r="B3634" t="s" s="834">
        <v>2476</v>
      </c>
      <c r="C3634" t="s" s="834">
        <v>700</v>
      </c>
      <c r="D3634" s="835">
        <v>46040</v>
      </c>
      <c r="E3634" t="s" s="834">
        <v>478</v>
      </c>
      <c r="F3634" t="s" s="834">
        <v>478</v>
      </c>
      <c r="G3634" s="570"/>
      <c r="H3634" s="570"/>
      <c r="I3634" s="570"/>
      <c r="J3634" s="570"/>
      <c r="K3634" s="570"/>
    </row>
    <row r="3635" ht="13.75" customHeight="1">
      <c r="A3635" s="833">
        <v>182</v>
      </c>
      <c r="B3635" t="s" s="834">
        <v>2476</v>
      </c>
      <c r="C3635" t="s" s="834">
        <v>700</v>
      </c>
      <c r="D3635" s="835">
        <v>46041</v>
      </c>
      <c r="E3635" s="836">
        <v>1.376388888888889</v>
      </c>
      <c r="F3635" s="836">
        <v>1.810972222222222</v>
      </c>
      <c r="G3635" s="570"/>
      <c r="H3635" s="570"/>
      <c r="I3635" s="570"/>
      <c r="J3635" s="570"/>
      <c r="K3635" s="570"/>
    </row>
    <row r="3636" ht="13.75" customHeight="1">
      <c r="A3636" t="s" s="834">
        <v>2495</v>
      </c>
      <c r="B3636" t="s" s="834">
        <v>2496</v>
      </c>
      <c r="C3636" t="s" s="834">
        <v>1141</v>
      </c>
      <c r="D3636" s="570"/>
      <c r="E3636" s="570"/>
      <c r="F3636" s="570"/>
      <c r="G3636" s="570"/>
      <c r="H3636" s="570"/>
      <c r="I3636" s="570"/>
      <c r="J3636" s="570"/>
      <c r="K3636" s="570"/>
    </row>
    <row r="3637" ht="13.75" customHeight="1">
      <c r="A3637" s="833">
        <v>182</v>
      </c>
      <c r="B3637" t="s" s="834">
        <v>2476</v>
      </c>
      <c r="C3637" t="s" s="834">
        <v>700</v>
      </c>
      <c r="D3637" s="835">
        <v>46042</v>
      </c>
      <c r="E3637" s="836">
        <v>1.370821759259259</v>
      </c>
      <c r="F3637" s="836">
        <v>1.773252314814815</v>
      </c>
      <c r="G3637" s="570"/>
      <c r="H3637" s="570"/>
      <c r="I3637" s="570"/>
      <c r="J3637" s="570"/>
      <c r="K3637" s="570"/>
    </row>
    <row r="3638" ht="13.75" customHeight="1">
      <c r="A3638" t="s" s="834">
        <v>2497</v>
      </c>
      <c r="B3638" t="s" s="834">
        <v>2498</v>
      </c>
      <c r="C3638" t="s" s="834">
        <v>861</v>
      </c>
      <c r="D3638" s="570"/>
      <c r="E3638" s="570"/>
      <c r="F3638" s="570"/>
      <c r="G3638" s="570"/>
      <c r="H3638" s="570"/>
      <c r="I3638" s="570"/>
      <c r="J3638" s="570"/>
      <c r="K3638" s="570"/>
    </row>
    <row r="3639" ht="13.75" customHeight="1">
      <c r="A3639" s="833">
        <v>182</v>
      </c>
      <c r="B3639" t="s" s="834">
        <v>2476</v>
      </c>
      <c r="C3639" t="s" s="834">
        <v>700</v>
      </c>
      <c r="D3639" s="835">
        <v>46043</v>
      </c>
      <c r="E3639" s="836">
        <v>1.368148148148148</v>
      </c>
      <c r="F3639" s="836">
        <v>1.764386574074074</v>
      </c>
      <c r="G3639" s="570"/>
      <c r="H3639" s="570"/>
      <c r="I3639" s="570"/>
      <c r="J3639" s="570"/>
      <c r="K3639" s="570"/>
    </row>
    <row r="3640" ht="13.75" customHeight="1">
      <c r="A3640" t="s" s="834">
        <v>2499</v>
      </c>
      <c r="B3640" t="s" s="834">
        <v>2500</v>
      </c>
      <c r="C3640" t="s" s="834">
        <v>683</v>
      </c>
      <c r="D3640" s="570"/>
      <c r="E3640" s="570"/>
      <c r="F3640" s="570"/>
      <c r="G3640" s="570"/>
      <c r="H3640" s="570"/>
      <c r="I3640" s="570"/>
      <c r="J3640" s="570"/>
      <c r="K3640" s="570"/>
    </row>
    <row r="3641" ht="13.75" customHeight="1">
      <c r="A3641" s="833">
        <v>182</v>
      </c>
      <c r="B3641" t="s" s="834">
        <v>2476</v>
      </c>
      <c r="C3641" t="s" s="834">
        <v>700</v>
      </c>
      <c r="D3641" s="835">
        <v>46044</v>
      </c>
      <c r="E3641" s="836">
        <v>1.378020833333333</v>
      </c>
      <c r="F3641" s="836">
        <v>1.774074074074074</v>
      </c>
      <c r="G3641" s="570"/>
      <c r="H3641" s="570"/>
      <c r="I3641" s="570"/>
      <c r="J3641" s="570"/>
      <c r="K3641" s="570"/>
    </row>
    <row r="3642" ht="13.75" customHeight="1">
      <c r="A3642" t="s" s="834">
        <v>2501</v>
      </c>
      <c r="B3642" t="s" s="834">
        <v>2502</v>
      </c>
      <c r="C3642" t="s" s="834">
        <v>634</v>
      </c>
      <c r="D3642" s="570"/>
      <c r="E3642" s="570"/>
      <c r="F3642" s="570"/>
      <c r="G3642" s="570"/>
      <c r="H3642" s="570"/>
      <c r="I3642" s="570"/>
      <c r="J3642" s="570"/>
      <c r="K3642" s="570"/>
    </row>
    <row r="3643" ht="13.75" customHeight="1">
      <c r="A3643" s="833">
        <v>182</v>
      </c>
      <c r="B3643" t="s" s="834">
        <v>2476</v>
      </c>
      <c r="C3643" t="s" s="834">
        <v>700</v>
      </c>
      <c r="D3643" s="835">
        <v>46045</v>
      </c>
      <c r="E3643" t="s" s="834">
        <v>478</v>
      </c>
      <c r="F3643" t="s" s="834">
        <v>478</v>
      </c>
      <c r="G3643" s="570"/>
      <c r="H3643" s="570"/>
      <c r="I3643" s="570"/>
      <c r="J3643" s="570"/>
      <c r="K3643" s="570"/>
    </row>
    <row r="3644" ht="13.75" customHeight="1">
      <c r="A3644" s="833">
        <v>182</v>
      </c>
      <c r="B3644" t="s" s="834">
        <v>2476</v>
      </c>
      <c r="C3644" t="s" s="834">
        <v>700</v>
      </c>
      <c r="D3644" s="835">
        <v>46046</v>
      </c>
      <c r="E3644" t="s" s="834">
        <v>478</v>
      </c>
      <c r="F3644" t="s" s="834">
        <v>478</v>
      </c>
      <c r="G3644" s="570"/>
      <c r="H3644" s="570"/>
      <c r="I3644" s="570"/>
      <c r="J3644" s="570"/>
      <c r="K3644" s="570"/>
    </row>
    <row r="3645" ht="13.75" customHeight="1">
      <c r="A3645" s="833">
        <v>182</v>
      </c>
      <c r="B3645" t="s" s="834">
        <v>2476</v>
      </c>
      <c r="C3645" t="s" s="834">
        <v>700</v>
      </c>
      <c r="D3645" s="835">
        <v>46047</v>
      </c>
      <c r="E3645" t="s" s="834">
        <v>478</v>
      </c>
      <c r="F3645" t="s" s="834">
        <v>478</v>
      </c>
      <c r="G3645" s="570"/>
      <c r="H3645" s="570"/>
      <c r="I3645" s="570"/>
      <c r="J3645" s="570"/>
      <c r="K3645" s="570"/>
    </row>
    <row r="3646" ht="13.75" customHeight="1">
      <c r="A3646" s="833">
        <v>182</v>
      </c>
      <c r="B3646" t="s" s="834">
        <v>2476</v>
      </c>
      <c r="C3646" t="s" s="834">
        <v>700</v>
      </c>
      <c r="D3646" s="835">
        <v>46048</v>
      </c>
      <c r="E3646" s="836">
        <v>1.572777777777778</v>
      </c>
      <c r="F3646" s="836">
        <v>1.864375</v>
      </c>
      <c r="G3646" s="570"/>
      <c r="H3646" s="570"/>
      <c r="I3646" s="570"/>
      <c r="J3646" s="570"/>
      <c r="K3646" s="570"/>
    </row>
    <row r="3647" ht="13.75" customHeight="1">
      <c r="A3647" t="s" s="834">
        <v>2503</v>
      </c>
      <c r="B3647" t="s" s="834">
        <v>2504</v>
      </c>
      <c r="C3647" t="s" s="834">
        <v>2505</v>
      </c>
      <c r="D3647" s="570"/>
      <c r="E3647" s="570"/>
      <c r="F3647" s="570"/>
      <c r="G3647" s="570"/>
      <c r="H3647" s="570"/>
      <c r="I3647" s="570"/>
      <c r="J3647" s="570"/>
      <c r="K3647" s="570"/>
    </row>
    <row r="3648" ht="13.75" customHeight="1">
      <c r="A3648" s="833">
        <v>182</v>
      </c>
      <c r="B3648" t="s" s="834">
        <v>2476</v>
      </c>
      <c r="C3648" t="s" s="834">
        <v>700</v>
      </c>
      <c r="D3648" s="835">
        <v>46049</v>
      </c>
      <c r="E3648" s="836">
        <v>1.376898148148148</v>
      </c>
      <c r="F3648" s="836">
        <v>1.773923611111111</v>
      </c>
      <c r="G3648" s="570"/>
      <c r="H3648" s="570"/>
      <c r="I3648" s="570"/>
      <c r="J3648" s="570"/>
      <c r="K3648" s="570"/>
    </row>
    <row r="3649" ht="13.75" customHeight="1">
      <c r="A3649" t="s" s="834">
        <v>2506</v>
      </c>
      <c r="B3649" t="s" s="834">
        <v>2507</v>
      </c>
      <c r="C3649" t="s" s="834">
        <v>747</v>
      </c>
      <c r="D3649" s="570"/>
      <c r="E3649" s="570"/>
      <c r="F3649" s="570"/>
      <c r="G3649" s="570"/>
      <c r="H3649" s="570"/>
      <c r="I3649" s="570"/>
      <c r="J3649" s="570"/>
      <c r="K3649" s="570"/>
    </row>
    <row r="3650" ht="13.75" customHeight="1">
      <c r="A3650" s="833">
        <v>182</v>
      </c>
      <c r="B3650" t="s" s="834">
        <v>2476</v>
      </c>
      <c r="C3650" t="s" s="834">
        <v>700</v>
      </c>
      <c r="D3650" s="835">
        <v>46050</v>
      </c>
      <c r="E3650" s="836">
        <v>1.373877314814815</v>
      </c>
      <c r="F3650" s="836">
        <v>1.778425925925926</v>
      </c>
      <c r="G3650" s="570"/>
      <c r="H3650" s="570"/>
      <c r="I3650" s="570"/>
      <c r="J3650" s="570"/>
      <c r="K3650" s="570"/>
    </row>
    <row r="3651" ht="13.75" customHeight="1">
      <c r="A3651" t="s" s="834">
        <v>2508</v>
      </c>
      <c r="B3651" t="s" s="834">
        <v>2509</v>
      </c>
      <c r="C3651" t="s" s="834">
        <v>582</v>
      </c>
      <c r="D3651" s="570"/>
      <c r="E3651" s="570"/>
      <c r="F3651" s="570"/>
      <c r="G3651" s="570"/>
      <c r="H3651" s="570"/>
      <c r="I3651" s="570"/>
      <c r="J3651" s="570"/>
      <c r="K3651" s="570"/>
    </row>
    <row r="3652" ht="13.75" customHeight="1">
      <c r="A3652" s="833">
        <v>182</v>
      </c>
      <c r="B3652" t="s" s="834">
        <v>2476</v>
      </c>
      <c r="C3652" t="s" s="834">
        <v>700</v>
      </c>
      <c r="D3652" s="835">
        <v>46051</v>
      </c>
      <c r="E3652" s="836">
        <v>1.388263888888889</v>
      </c>
      <c r="F3652" s="836">
        <v>1.806099537037037</v>
      </c>
      <c r="G3652" s="570"/>
      <c r="H3652" s="570"/>
      <c r="I3652" s="570"/>
      <c r="J3652" s="570"/>
      <c r="K3652" s="570"/>
    </row>
    <row r="3653" ht="13.75" customHeight="1">
      <c r="A3653" t="s" s="834">
        <v>2510</v>
      </c>
      <c r="B3653" t="s" s="834">
        <v>2511</v>
      </c>
      <c r="C3653" t="s" s="834">
        <v>1033</v>
      </c>
      <c r="D3653" s="570"/>
      <c r="E3653" s="570"/>
      <c r="F3653" s="570"/>
      <c r="G3653" s="570"/>
      <c r="H3653" s="570"/>
      <c r="I3653" s="570"/>
      <c r="J3653" s="570"/>
      <c r="K3653" s="570"/>
    </row>
    <row r="3654" ht="13.75" customHeight="1">
      <c r="A3654" s="833">
        <v>182</v>
      </c>
      <c r="B3654" t="s" s="834">
        <v>2476</v>
      </c>
      <c r="C3654" t="s" s="834">
        <v>700</v>
      </c>
      <c r="D3654" s="835">
        <v>46052</v>
      </c>
      <c r="E3654" t="s" s="834">
        <v>478</v>
      </c>
      <c r="F3654" t="s" s="834">
        <v>478</v>
      </c>
      <c r="G3654" s="570"/>
      <c r="H3654" s="570"/>
      <c r="I3654" s="570"/>
      <c r="J3654" s="570"/>
      <c r="K3654" s="570"/>
    </row>
    <row r="3655" ht="13.75" customHeight="1">
      <c r="A3655" s="833">
        <v>182</v>
      </c>
      <c r="B3655" t="s" s="834">
        <v>2476</v>
      </c>
      <c r="C3655" t="s" s="834">
        <v>700</v>
      </c>
      <c r="D3655" s="835">
        <v>46053</v>
      </c>
      <c r="E3655" t="s" s="834">
        <v>478</v>
      </c>
      <c r="F3655" t="s" s="834">
        <v>478</v>
      </c>
      <c r="G3655" s="570"/>
      <c r="H3655" s="570"/>
      <c r="I3655" s="570"/>
      <c r="J3655" s="570"/>
      <c r="K3655" s="570"/>
    </row>
    <row r="3656" ht="13.75" customHeight="1">
      <c r="A3656" s="833">
        <v>182</v>
      </c>
      <c r="B3656" t="s" s="834">
        <v>2476</v>
      </c>
      <c r="C3656" t="s" s="834">
        <v>700</v>
      </c>
      <c r="D3656" s="835">
        <v>46054</v>
      </c>
      <c r="E3656" t="s" s="834">
        <v>478</v>
      </c>
      <c r="F3656" t="s" s="834">
        <v>478</v>
      </c>
      <c r="G3656" s="570"/>
      <c r="H3656" s="570"/>
      <c r="I3656" s="570"/>
      <c r="J3656" s="570"/>
      <c r="K3656" s="570"/>
    </row>
    <row r="3657" ht="13.75" customHeight="1">
      <c r="A3657" s="833">
        <v>186</v>
      </c>
      <c r="B3657" t="s" s="834">
        <v>2512</v>
      </c>
      <c r="C3657" t="s" s="834">
        <v>1571</v>
      </c>
      <c r="D3657" s="835">
        <v>46023</v>
      </c>
      <c r="E3657" t="s" s="834">
        <v>478</v>
      </c>
      <c r="F3657" t="s" s="834">
        <v>478</v>
      </c>
      <c r="G3657" s="570"/>
      <c r="H3657" s="570"/>
      <c r="I3657" s="570"/>
      <c r="J3657" s="570"/>
      <c r="K3657" s="570"/>
    </row>
    <row r="3658" ht="13.75" customHeight="1">
      <c r="A3658" s="833">
        <v>186</v>
      </c>
      <c r="B3658" t="s" s="834">
        <v>2512</v>
      </c>
      <c r="C3658" t="s" s="834">
        <v>1571</v>
      </c>
      <c r="D3658" s="835">
        <v>46024</v>
      </c>
      <c r="E3658" t="s" s="834">
        <v>478</v>
      </c>
      <c r="F3658" t="s" s="834">
        <v>478</v>
      </c>
      <c r="G3658" s="570"/>
      <c r="H3658" s="570"/>
      <c r="I3658" s="570"/>
      <c r="J3658" s="570"/>
      <c r="K3658" s="570"/>
    </row>
    <row r="3659" ht="13.75" customHeight="1">
      <c r="A3659" s="833">
        <v>186</v>
      </c>
      <c r="B3659" t="s" s="834">
        <v>2512</v>
      </c>
      <c r="C3659" t="s" s="834">
        <v>1571</v>
      </c>
      <c r="D3659" s="835">
        <v>46025</v>
      </c>
      <c r="E3659" t="s" s="834">
        <v>478</v>
      </c>
      <c r="F3659" t="s" s="834">
        <v>478</v>
      </c>
      <c r="G3659" s="570"/>
      <c r="H3659" s="570"/>
      <c r="I3659" s="570"/>
      <c r="J3659" s="570"/>
      <c r="K3659" s="570"/>
    </row>
    <row r="3660" ht="13.75" customHeight="1">
      <c r="A3660" s="833">
        <v>186</v>
      </c>
      <c r="B3660" t="s" s="834">
        <v>2512</v>
      </c>
      <c r="C3660" t="s" s="834">
        <v>1571</v>
      </c>
      <c r="D3660" s="835">
        <v>46026</v>
      </c>
      <c r="E3660" t="s" s="834">
        <v>478</v>
      </c>
      <c r="F3660" t="s" s="834">
        <v>478</v>
      </c>
      <c r="G3660" s="570"/>
      <c r="H3660" s="570"/>
      <c r="I3660" s="570"/>
      <c r="J3660" s="570"/>
      <c r="K3660" s="570"/>
    </row>
    <row r="3661" ht="13.75" customHeight="1">
      <c r="A3661" s="833">
        <v>186</v>
      </c>
      <c r="B3661" t="s" s="834">
        <v>2512</v>
      </c>
      <c r="C3661" t="s" s="834">
        <v>1571</v>
      </c>
      <c r="D3661" s="835">
        <v>46027</v>
      </c>
      <c r="E3661" t="s" s="834">
        <v>478</v>
      </c>
      <c r="F3661" t="s" s="834">
        <v>478</v>
      </c>
      <c r="G3661" s="570"/>
      <c r="H3661" s="570"/>
      <c r="I3661" s="570"/>
      <c r="J3661" s="570"/>
      <c r="K3661" s="570"/>
    </row>
    <row r="3662" ht="13.75" customHeight="1">
      <c r="A3662" s="833">
        <v>186</v>
      </c>
      <c r="B3662" t="s" s="834">
        <v>2512</v>
      </c>
      <c r="C3662" t="s" s="834">
        <v>1571</v>
      </c>
      <c r="D3662" s="835">
        <v>46028</v>
      </c>
      <c r="E3662" t="s" s="834">
        <v>478</v>
      </c>
      <c r="F3662" t="s" s="834">
        <v>478</v>
      </c>
      <c r="G3662" s="570"/>
      <c r="H3662" s="570"/>
      <c r="I3662" s="570"/>
      <c r="J3662" s="570"/>
      <c r="K3662" s="570"/>
    </row>
    <row r="3663" ht="13.75" customHeight="1">
      <c r="A3663" s="833">
        <v>186</v>
      </c>
      <c r="B3663" t="s" s="834">
        <v>2512</v>
      </c>
      <c r="C3663" t="s" s="834">
        <v>1571</v>
      </c>
      <c r="D3663" s="835">
        <v>46029</v>
      </c>
      <c r="E3663" s="836">
        <v>1.628136574074074</v>
      </c>
      <c r="F3663" t="s" s="834">
        <v>478</v>
      </c>
      <c r="G3663" s="570"/>
      <c r="H3663" s="570"/>
      <c r="I3663" s="570"/>
      <c r="J3663" s="570"/>
      <c r="K3663" s="570"/>
    </row>
    <row r="3664" ht="13.75" customHeight="1">
      <c r="A3664" t="s" s="834">
        <v>2513</v>
      </c>
      <c r="B3664" t="s" s="834">
        <v>485</v>
      </c>
      <c r="C3664" t="s" s="834">
        <v>486</v>
      </c>
      <c r="D3664" s="570"/>
      <c r="E3664" s="570"/>
      <c r="F3664" s="570"/>
      <c r="G3664" s="570"/>
      <c r="H3664" s="570"/>
      <c r="I3664" s="570"/>
      <c r="J3664" s="570"/>
      <c r="K3664" s="570"/>
    </row>
    <row r="3665" ht="13.75" customHeight="1">
      <c r="A3665" s="833">
        <v>186</v>
      </c>
      <c r="B3665" t="s" s="834">
        <v>2512</v>
      </c>
      <c r="C3665" t="s" s="834">
        <v>1571</v>
      </c>
      <c r="D3665" s="835">
        <v>46030</v>
      </c>
      <c r="E3665" t="s" s="834">
        <v>478</v>
      </c>
      <c r="F3665" t="s" s="834">
        <v>478</v>
      </c>
      <c r="G3665" s="570"/>
      <c r="H3665" s="570"/>
      <c r="I3665" s="570"/>
      <c r="J3665" s="570"/>
      <c r="K3665" s="570"/>
    </row>
    <row r="3666" ht="13.75" customHeight="1">
      <c r="A3666" s="833">
        <v>186</v>
      </c>
      <c r="B3666" t="s" s="834">
        <v>2512</v>
      </c>
      <c r="C3666" t="s" s="834">
        <v>1571</v>
      </c>
      <c r="D3666" s="835">
        <v>46031</v>
      </c>
      <c r="E3666" t="s" s="834">
        <v>478</v>
      </c>
      <c r="F3666" t="s" s="834">
        <v>478</v>
      </c>
      <c r="G3666" s="570"/>
      <c r="H3666" s="570"/>
      <c r="I3666" s="570"/>
      <c r="J3666" s="570"/>
      <c r="K3666" s="570"/>
    </row>
    <row r="3667" ht="13.75" customHeight="1">
      <c r="A3667" s="833">
        <v>186</v>
      </c>
      <c r="B3667" t="s" s="834">
        <v>2512</v>
      </c>
      <c r="C3667" t="s" s="834">
        <v>1571</v>
      </c>
      <c r="D3667" s="835">
        <v>46032</v>
      </c>
      <c r="E3667" t="s" s="834">
        <v>478</v>
      </c>
      <c r="F3667" t="s" s="834">
        <v>478</v>
      </c>
      <c r="G3667" s="570"/>
      <c r="H3667" s="570"/>
      <c r="I3667" s="570"/>
      <c r="J3667" s="570"/>
      <c r="K3667" s="570"/>
    </row>
    <row r="3668" ht="13.75" customHeight="1">
      <c r="A3668" s="833">
        <v>186</v>
      </c>
      <c r="B3668" t="s" s="834">
        <v>2512</v>
      </c>
      <c r="C3668" t="s" s="834">
        <v>1571</v>
      </c>
      <c r="D3668" s="835">
        <v>46033</v>
      </c>
      <c r="E3668" t="s" s="834">
        <v>478</v>
      </c>
      <c r="F3668" t="s" s="834">
        <v>478</v>
      </c>
      <c r="G3668" s="570"/>
      <c r="H3668" s="570"/>
      <c r="I3668" s="570"/>
      <c r="J3668" s="570"/>
      <c r="K3668" s="570"/>
    </row>
    <row r="3669" ht="13.75" customHeight="1">
      <c r="A3669" s="833">
        <v>186</v>
      </c>
      <c r="B3669" t="s" s="834">
        <v>2512</v>
      </c>
      <c r="C3669" t="s" s="834">
        <v>1571</v>
      </c>
      <c r="D3669" s="835">
        <v>46034</v>
      </c>
      <c r="E3669" t="s" s="834">
        <v>478</v>
      </c>
      <c r="F3669" t="s" s="834">
        <v>478</v>
      </c>
      <c r="G3669" s="570"/>
      <c r="H3669" s="570"/>
      <c r="I3669" s="570"/>
      <c r="J3669" s="570"/>
      <c r="K3669" s="570"/>
    </row>
    <row r="3670" ht="13.75" customHeight="1">
      <c r="A3670" s="833">
        <v>186</v>
      </c>
      <c r="B3670" t="s" s="834">
        <v>2512</v>
      </c>
      <c r="C3670" t="s" s="834">
        <v>1571</v>
      </c>
      <c r="D3670" s="835">
        <v>46035</v>
      </c>
      <c r="E3670" t="s" s="834">
        <v>478</v>
      </c>
      <c r="F3670" t="s" s="834">
        <v>478</v>
      </c>
      <c r="G3670" s="570"/>
      <c r="H3670" s="570"/>
      <c r="I3670" s="570"/>
      <c r="J3670" s="570"/>
      <c r="K3670" s="570"/>
    </row>
    <row r="3671" ht="13.75" customHeight="1">
      <c r="A3671" s="833">
        <v>186</v>
      </c>
      <c r="B3671" t="s" s="834">
        <v>2512</v>
      </c>
      <c r="C3671" t="s" s="834">
        <v>1571</v>
      </c>
      <c r="D3671" s="835">
        <v>46036</v>
      </c>
      <c r="E3671" t="s" s="834">
        <v>478</v>
      </c>
      <c r="F3671" t="s" s="834">
        <v>478</v>
      </c>
      <c r="G3671" s="570"/>
      <c r="H3671" s="570"/>
      <c r="I3671" s="570"/>
      <c r="J3671" s="570"/>
      <c r="K3671" s="570"/>
    </row>
    <row r="3672" ht="13.75" customHeight="1">
      <c r="A3672" s="833">
        <v>186</v>
      </c>
      <c r="B3672" t="s" s="834">
        <v>2512</v>
      </c>
      <c r="C3672" t="s" s="834">
        <v>1571</v>
      </c>
      <c r="D3672" s="835">
        <v>46037</v>
      </c>
      <c r="E3672" t="s" s="834">
        <v>478</v>
      </c>
      <c r="F3672" t="s" s="834">
        <v>478</v>
      </c>
      <c r="G3672" s="570"/>
      <c r="H3672" s="570"/>
      <c r="I3672" s="570"/>
      <c r="J3672" s="570"/>
      <c r="K3672" s="570"/>
    </row>
    <row r="3673" ht="13.75" customHeight="1">
      <c r="A3673" s="833">
        <v>186</v>
      </c>
      <c r="B3673" t="s" s="834">
        <v>2512</v>
      </c>
      <c r="C3673" t="s" s="834">
        <v>1571</v>
      </c>
      <c r="D3673" s="835">
        <v>46038</v>
      </c>
      <c r="E3673" t="s" s="834">
        <v>478</v>
      </c>
      <c r="F3673" t="s" s="834">
        <v>478</v>
      </c>
      <c r="G3673" s="570"/>
      <c r="H3673" s="570"/>
      <c r="I3673" s="570"/>
      <c r="J3673" s="570"/>
      <c r="K3673" s="570"/>
    </row>
    <row r="3674" ht="13.75" customHeight="1">
      <c r="A3674" s="833">
        <v>186</v>
      </c>
      <c r="B3674" t="s" s="834">
        <v>2512</v>
      </c>
      <c r="C3674" t="s" s="834">
        <v>1571</v>
      </c>
      <c r="D3674" s="835">
        <v>46039</v>
      </c>
      <c r="E3674" t="s" s="834">
        <v>478</v>
      </c>
      <c r="F3674" t="s" s="834">
        <v>478</v>
      </c>
      <c r="G3674" s="570"/>
      <c r="H3674" s="570"/>
      <c r="I3674" s="570"/>
      <c r="J3674" s="570"/>
      <c r="K3674" s="570"/>
    </row>
    <row r="3675" ht="13.75" customHeight="1">
      <c r="A3675" s="833">
        <v>186</v>
      </c>
      <c r="B3675" t="s" s="834">
        <v>2512</v>
      </c>
      <c r="C3675" t="s" s="834">
        <v>1571</v>
      </c>
      <c r="D3675" s="835">
        <v>46040</v>
      </c>
      <c r="E3675" t="s" s="834">
        <v>478</v>
      </c>
      <c r="F3675" t="s" s="834">
        <v>478</v>
      </c>
      <c r="G3675" s="570"/>
      <c r="H3675" s="570"/>
      <c r="I3675" s="570"/>
      <c r="J3675" s="570"/>
      <c r="K3675" s="570"/>
    </row>
    <row r="3676" ht="13.75" customHeight="1">
      <c r="A3676" s="833">
        <v>186</v>
      </c>
      <c r="B3676" t="s" s="834">
        <v>2512</v>
      </c>
      <c r="C3676" t="s" s="834">
        <v>1571</v>
      </c>
      <c r="D3676" s="835">
        <v>46041</v>
      </c>
      <c r="E3676" t="s" s="834">
        <v>478</v>
      </c>
      <c r="F3676" t="s" s="834">
        <v>478</v>
      </c>
      <c r="G3676" s="570"/>
      <c r="H3676" s="570"/>
      <c r="I3676" s="570"/>
      <c r="J3676" s="570"/>
      <c r="K3676" s="570"/>
    </row>
    <row r="3677" ht="13.75" customHeight="1">
      <c r="A3677" s="833">
        <v>186</v>
      </c>
      <c r="B3677" t="s" s="834">
        <v>2512</v>
      </c>
      <c r="C3677" t="s" s="834">
        <v>1571</v>
      </c>
      <c r="D3677" s="835">
        <v>46042</v>
      </c>
      <c r="E3677" t="s" s="834">
        <v>478</v>
      </c>
      <c r="F3677" t="s" s="834">
        <v>478</v>
      </c>
      <c r="G3677" s="570"/>
      <c r="H3677" s="570"/>
      <c r="I3677" s="570"/>
      <c r="J3677" s="570"/>
      <c r="K3677" s="570"/>
    </row>
    <row r="3678" ht="13.75" customHeight="1">
      <c r="A3678" s="833">
        <v>186</v>
      </c>
      <c r="B3678" t="s" s="834">
        <v>2512</v>
      </c>
      <c r="C3678" t="s" s="834">
        <v>1571</v>
      </c>
      <c r="D3678" s="835">
        <v>46043</v>
      </c>
      <c r="E3678" t="s" s="834">
        <v>478</v>
      </c>
      <c r="F3678" t="s" s="834">
        <v>478</v>
      </c>
      <c r="G3678" s="570"/>
      <c r="H3678" s="570"/>
      <c r="I3678" s="570"/>
      <c r="J3678" s="570"/>
      <c r="K3678" s="570"/>
    </row>
    <row r="3679" ht="13.75" customHeight="1">
      <c r="A3679" s="833">
        <v>186</v>
      </c>
      <c r="B3679" t="s" s="834">
        <v>2512</v>
      </c>
      <c r="C3679" t="s" s="834">
        <v>1571</v>
      </c>
      <c r="D3679" s="835">
        <v>46044</v>
      </c>
      <c r="E3679" t="s" s="834">
        <v>478</v>
      </c>
      <c r="F3679" t="s" s="834">
        <v>478</v>
      </c>
      <c r="G3679" s="570"/>
      <c r="H3679" s="570"/>
      <c r="I3679" s="570"/>
      <c r="J3679" s="570"/>
      <c r="K3679" s="570"/>
    </row>
    <row r="3680" ht="13.75" customHeight="1">
      <c r="A3680" s="833">
        <v>186</v>
      </c>
      <c r="B3680" t="s" s="834">
        <v>2512</v>
      </c>
      <c r="C3680" t="s" s="834">
        <v>1571</v>
      </c>
      <c r="D3680" s="835">
        <v>46045</v>
      </c>
      <c r="E3680" t="s" s="834">
        <v>478</v>
      </c>
      <c r="F3680" t="s" s="834">
        <v>478</v>
      </c>
      <c r="G3680" s="570"/>
      <c r="H3680" s="570"/>
      <c r="I3680" s="570"/>
      <c r="J3680" s="570"/>
      <c r="K3680" s="570"/>
    </row>
    <row r="3681" ht="13.75" customHeight="1">
      <c r="A3681" s="833">
        <v>186</v>
      </c>
      <c r="B3681" t="s" s="834">
        <v>2512</v>
      </c>
      <c r="C3681" t="s" s="834">
        <v>1571</v>
      </c>
      <c r="D3681" s="835">
        <v>46046</v>
      </c>
      <c r="E3681" t="s" s="834">
        <v>478</v>
      </c>
      <c r="F3681" t="s" s="834">
        <v>478</v>
      </c>
      <c r="G3681" s="570"/>
      <c r="H3681" s="570"/>
      <c r="I3681" s="570"/>
      <c r="J3681" s="570"/>
      <c r="K3681" s="570"/>
    </row>
    <row r="3682" ht="13.75" customHeight="1">
      <c r="A3682" s="833">
        <v>186</v>
      </c>
      <c r="B3682" t="s" s="834">
        <v>2512</v>
      </c>
      <c r="C3682" t="s" s="834">
        <v>1571</v>
      </c>
      <c r="D3682" s="835">
        <v>46047</v>
      </c>
      <c r="E3682" t="s" s="834">
        <v>478</v>
      </c>
      <c r="F3682" t="s" s="834">
        <v>478</v>
      </c>
      <c r="G3682" s="570"/>
      <c r="H3682" s="570"/>
      <c r="I3682" s="570"/>
      <c r="J3682" s="570"/>
      <c r="K3682" s="570"/>
    </row>
    <row r="3683" ht="13.75" customHeight="1">
      <c r="A3683" s="833">
        <v>186</v>
      </c>
      <c r="B3683" t="s" s="834">
        <v>2512</v>
      </c>
      <c r="C3683" t="s" s="834">
        <v>1571</v>
      </c>
      <c r="D3683" s="835">
        <v>46048</v>
      </c>
      <c r="E3683" t="s" s="834">
        <v>478</v>
      </c>
      <c r="F3683" t="s" s="834">
        <v>478</v>
      </c>
      <c r="G3683" s="570"/>
      <c r="H3683" s="570"/>
      <c r="I3683" s="570"/>
      <c r="J3683" s="570"/>
      <c r="K3683" s="570"/>
    </row>
    <row r="3684" ht="13.75" customHeight="1">
      <c r="A3684" s="833">
        <v>186</v>
      </c>
      <c r="B3684" t="s" s="834">
        <v>2512</v>
      </c>
      <c r="C3684" t="s" s="834">
        <v>1571</v>
      </c>
      <c r="D3684" s="835">
        <v>46049</v>
      </c>
      <c r="E3684" t="s" s="834">
        <v>478</v>
      </c>
      <c r="F3684" t="s" s="834">
        <v>478</v>
      </c>
      <c r="G3684" s="570"/>
      <c r="H3684" s="570"/>
      <c r="I3684" s="570"/>
      <c r="J3684" s="570"/>
      <c r="K3684" s="570"/>
    </row>
    <row r="3685" ht="13.75" customHeight="1">
      <c r="A3685" s="833">
        <v>186</v>
      </c>
      <c r="B3685" t="s" s="834">
        <v>2512</v>
      </c>
      <c r="C3685" t="s" s="834">
        <v>1571</v>
      </c>
      <c r="D3685" s="835">
        <v>46050</v>
      </c>
      <c r="E3685" t="s" s="834">
        <v>478</v>
      </c>
      <c r="F3685" t="s" s="834">
        <v>478</v>
      </c>
      <c r="G3685" s="570"/>
      <c r="H3685" s="570"/>
      <c r="I3685" s="570"/>
      <c r="J3685" s="570"/>
      <c r="K3685" s="570"/>
    </row>
    <row r="3686" ht="13.75" customHeight="1">
      <c r="A3686" s="833">
        <v>186</v>
      </c>
      <c r="B3686" t="s" s="834">
        <v>2512</v>
      </c>
      <c r="C3686" t="s" s="834">
        <v>1571</v>
      </c>
      <c r="D3686" s="835">
        <v>46051</v>
      </c>
      <c r="E3686" t="s" s="834">
        <v>478</v>
      </c>
      <c r="F3686" t="s" s="834">
        <v>478</v>
      </c>
      <c r="G3686" s="570"/>
      <c r="H3686" s="570"/>
      <c r="I3686" s="570"/>
      <c r="J3686" s="570"/>
      <c r="K3686" s="570"/>
    </row>
    <row r="3687" ht="13.75" customHeight="1">
      <c r="A3687" s="833">
        <v>186</v>
      </c>
      <c r="B3687" t="s" s="834">
        <v>2512</v>
      </c>
      <c r="C3687" t="s" s="834">
        <v>1571</v>
      </c>
      <c r="D3687" s="835">
        <v>46052</v>
      </c>
      <c r="E3687" t="s" s="834">
        <v>478</v>
      </c>
      <c r="F3687" t="s" s="834">
        <v>478</v>
      </c>
      <c r="G3687" s="570"/>
      <c r="H3687" s="570"/>
      <c r="I3687" s="570"/>
      <c r="J3687" s="570"/>
      <c r="K3687" s="570"/>
    </row>
    <row r="3688" ht="13.75" customHeight="1">
      <c r="A3688" s="833">
        <v>186</v>
      </c>
      <c r="B3688" t="s" s="834">
        <v>2512</v>
      </c>
      <c r="C3688" t="s" s="834">
        <v>1571</v>
      </c>
      <c r="D3688" s="835">
        <v>46053</v>
      </c>
      <c r="E3688" s="836">
        <v>1.579560185185185</v>
      </c>
      <c r="F3688" t="s" s="834">
        <v>478</v>
      </c>
      <c r="G3688" s="570"/>
      <c r="H3688" s="570"/>
      <c r="I3688" s="570"/>
      <c r="J3688" s="570"/>
      <c r="K3688" s="570"/>
    </row>
    <row r="3689" ht="13.75" customHeight="1">
      <c r="A3689" t="s" s="834">
        <v>2514</v>
      </c>
      <c r="B3689" t="s" s="834">
        <v>485</v>
      </c>
      <c r="C3689" t="s" s="834">
        <v>486</v>
      </c>
      <c r="D3689" s="570"/>
      <c r="E3689" s="570"/>
      <c r="F3689" s="570"/>
      <c r="G3689" s="570"/>
      <c r="H3689" s="570"/>
      <c r="I3689" s="570"/>
      <c r="J3689" s="570"/>
      <c r="K3689" s="570"/>
    </row>
    <row r="3690" ht="13.75" customHeight="1">
      <c r="A3690" s="833">
        <v>186</v>
      </c>
      <c r="B3690" t="s" s="834">
        <v>2512</v>
      </c>
      <c r="C3690" t="s" s="834">
        <v>1571</v>
      </c>
      <c r="D3690" s="835">
        <v>46054</v>
      </c>
      <c r="E3690" t="s" s="834">
        <v>478</v>
      </c>
      <c r="F3690" t="s" s="834">
        <v>478</v>
      </c>
      <c r="G3690" s="570"/>
      <c r="H3690" s="570"/>
      <c r="I3690" s="570"/>
      <c r="J3690" s="570"/>
      <c r="K3690" s="570"/>
    </row>
    <row r="3691" ht="13.75" customHeight="1">
      <c r="A3691" s="833">
        <v>187</v>
      </c>
      <c r="B3691" t="s" s="834">
        <v>2515</v>
      </c>
      <c r="C3691" t="s" s="834">
        <v>1010</v>
      </c>
      <c r="D3691" s="835">
        <v>46023</v>
      </c>
      <c r="E3691" t="s" s="834">
        <v>478</v>
      </c>
      <c r="F3691" t="s" s="834">
        <v>478</v>
      </c>
      <c r="G3691" s="570"/>
      <c r="H3691" s="570"/>
      <c r="I3691" s="570"/>
      <c r="J3691" s="570"/>
      <c r="K3691" s="570"/>
    </row>
    <row r="3692" ht="13.75" customHeight="1">
      <c r="A3692" s="833">
        <v>187</v>
      </c>
      <c r="B3692" t="s" s="834">
        <v>2515</v>
      </c>
      <c r="C3692" t="s" s="834">
        <v>1010</v>
      </c>
      <c r="D3692" s="835">
        <v>46024</v>
      </c>
      <c r="E3692" t="s" s="834">
        <v>478</v>
      </c>
      <c r="F3692" t="s" s="834">
        <v>478</v>
      </c>
      <c r="G3692" s="570"/>
      <c r="H3692" s="570"/>
      <c r="I3692" s="570"/>
      <c r="J3692" s="570"/>
      <c r="K3692" s="570"/>
    </row>
    <row r="3693" ht="13.75" customHeight="1">
      <c r="A3693" s="833">
        <v>187</v>
      </c>
      <c r="B3693" t="s" s="834">
        <v>2515</v>
      </c>
      <c r="C3693" t="s" s="834">
        <v>1010</v>
      </c>
      <c r="D3693" s="835">
        <v>46025</v>
      </c>
      <c r="E3693" t="s" s="834">
        <v>478</v>
      </c>
      <c r="F3693" t="s" s="834">
        <v>478</v>
      </c>
      <c r="G3693" s="570"/>
      <c r="H3693" s="570"/>
      <c r="I3693" s="570"/>
      <c r="J3693" s="570"/>
      <c r="K3693" s="570"/>
    </row>
    <row r="3694" ht="13.75" customHeight="1">
      <c r="A3694" s="833">
        <v>187</v>
      </c>
      <c r="B3694" t="s" s="834">
        <v>2515</v>
      </c>
      <c r="C3694" t="s" s="834">
        <v>1010</v>
      </c>
      <c r="D3694" s="835">
        <v>46026</v>
      </c>
      <c r="E3694" t="s" s="834">
        <v>478</v>
      </c>
      <c r="F3694" t="s" s="834">
        <v>478</v>
      </c>
      <c r="G3694" s="570"/>
      <c r="H3694" s="570"/>
      <c r="I3694" s="570"/>
      <c r="J3694" s="570"/>
      <c r="K3694" s="570"/>
    </row>
    <row r="3695" ht="13.75" customHeight="1">
      <c r="A3695" s="833">
        <v>187</v>
      </c>
      <c r="B3695" t="s" s="834">
        <v>2515</v>
      </c>
      <c r="C3695" t="s" s="834">
        <v>1010</v>
      </c>
      <c r="D3695" s="835">
        <v>46027</v>
      </c>
      <c r="E3695" s="836">
        <v>1.369490740740741</v>
      </c>
      <c r="F3695" s="836">
        <v>1.796284722222222</v>
      </c>
      <c r="G3695" s="570"/>
      <c r="H3695" s="570"/>
      <c r="I3695" s="570"/>
      <c r="J3695" s="570"/>
      <c r="K3695" s="570"/>
    </row>
    <row r="3696" ht="13.75" customHeight="1">
      <c r="A3696" t="s" s="834">
        <v>2516</v>
      </c>
      <c r="B3696" t="s" s="834">
        <v>2517</v>
      </c>
      <c r="C3696" t="s" s="834">
        <v>655</v>
      </c>
      <c r="D3696" s="570"/>
      <c r="E3696" s="570"/>
      <c r="F3696" s="570"/>
      <c r="G3696" s="570"/>
      <c r="H3696" s="570"/>
      <c r="I3696" s="570"/>
      <c r="J3696" s="570"/>
      <c r="K3696" s="570"/>
    </row>
    <row r="3697" ht="13.75" customHeight="1">
      <c r="A3697" s="833">
        <v>187</v>
      </c>
      <c r="B3697" t="s" s="834">
        <v>2515</v>
      </c>
      <c r="C3697" t="s" s="834">
        <v>1010</v>
      </c>
      <c r="D3697" s="835">
        <v>46028</v>
      </c>
      <c r="E3697" s="836">
        <v>1.385636574074074</v>
      </c>
      <c r="F3697" s="836">
        <v>1.746284722222222</v>
      </c>
      <c r="G3697" s="570"/>
      <c r="H3697" s="570"/>
      <c r="I3697" s="570"/>
      <c r="J3697" s="570"/>
      <c r="K3697" s="570"/>
    </row>
    <row r="3698" ht="13.75" customHeight="1">
      <c r="A3698" t="s" s="834">
        <v>2518</v>
      </c>
      <c r="B3698" t="s" s="834">
        <v>2519</v>
      </c>
      <c r="C3698" t="s" s="834">
        <v>2520</v>
      </c>
      <c r="D3698" s="570"/>
      <c r="E3698" s="570"/>
      <c r="F3698" s="570"/>
      <c r="G3698" s="570"/>
      <c r="H3698" s="570"/>
      <c r="I3698" s="570"/>
      <c r="J3698" s="570"/>
      <c r="K3698" s="570"/>
    </row>
    <row r="3699" ht="13.75" customHeight="1">
      <c r="A3699" s="833">
        <v>187</v>
      </c>
      <c r="B3699" t="s" s="834">
        <v>2515</v>
      </c>
      <c r="C3699" t="s" s="834">
        <v>1010</v>
      </c>
      <c r="D3699" s="835">
        <v>46029</v>
      </c>
      <c r="E3699" s="836">
        <v>1.380138888888889</v>
      </c>
      <c r="F3699" s="836">
        <v>1.755960648148148</v>
      </c>
      <c r="G3699" s="570"/>
      <c r="H3699" s="570"/>
      <c r="I3699" s="570"/>
      <c r="J3699" s="570"/>
      <c r="K3699" s="570"/>
    </row>
    <row r="3700" ht="13.75" customHeight="1">
      <c r="A3700" t="s" s="834">
        <v>2521</v>
      </c>
      <c r="B3700" t="s" s="834">
        <v>2522</v>
      </c>
      <c r="C3700" t="s" s="834">
        <v>556</v>
      </c>
      <c r="D3700" s="570"/>
      <c r="E3700" s="570"/>
      <c r="F3700" s="570"/>
      <c r="G3700" s="570"/>
      <c r="H3700" s="570"/>
      <c r="I3700" s="570"/>
      <c r="J3700" s="570"/>
      <c r="K3700" s="570"/>
    </row>
    <row r="3701" ht="13.75" customHeight="1">
      <c r="A3701" s="833">
        <v>187</v>
      </c>
      <c r="B3701" t="s" s="834">
        <v>2515</v>
      </c>
      <c r="C3701" t="s" s="834">
        <v>1010</v>
      </c>
      <c r="D3701" s="835">
        <v>46030</v>
      </c>
      <c r="E3701" s="836">
        <v>1.385196759259259</v>
      </c>
      <c r="F3701" s="836">
        <v>1.772430555555556</v>
      </c>
      <c r="G3701" s="570"/>
      <c r="H3701" s="570"/>
      <c r="I3701" s="570"/>
      <c r="J3701" s="570"/>
      <c r="K3701" s="570"/>
    </row>
    <row r="3702" ht="13.75" customHeight="1">
      <c r="A3702" t="s" s="834">
        <v>2523</v>
      </c>
      <c r="B3702" t="s" s="834">
        <v>2524</v>
      </c>
      <c r="C3702" t="s" s="834">
        <v>640</v>
      </c>
      <c r="D3702" s="570"/>
      <c r="E3702" s="570"/>
      <c r="F3702" s="570"/>
      <c r="G3702" s="570"/>
      <c r="H3702" s="570"/>
      <c r="I3702" s="570"/>
      <c r="J3702" s="570"/>
      <c r="K3702" s="570"/>
    </row>
    <row r="3703" ht="13.75" customHeight="1">
      <c r="A3703" s="833">
        <v>187</v>
      </c>
      <c r="B3703" t="s" s="834">
        <v>2515</v>
      </c>
      <c r="C3703" t="s" s="834">
        <v>1010</v>
      </c>
      <c r="D3703" s="835">
        <v>46031</v>
      </c>
      <c r="E3703" s="836">
        <v>1.377962962962963</v>
      </c>
      <c r="F3703" s="836">
        <v>1.800555555555555</v>
      </c>
      <c r="G3703" s="570"/>
      <c r="H3703" s="570"/>
      <c r="I3703" s="570"/>
      <c r="J3703" s="570"/>
      <c r="K3703" s="570"/>
    </row>
    <row r="3704" ht="13.75" customHeight="1">
      <c r="A3704" t="s" s="834">
        <v>2525</v>
      </c>
      <c r="B3704" t="s" s="834">
        <v>2526</v>
      </c>
      <c r="C3704" t="s" s="834">
        <v>971</v>
      </c>
      <c r="D3704" s="570"/>
      <c r="E3704" s="570"/>
      <c r="F3704" s="570"/>
      <c r="G3704" s="570"/>
      <c r="H3704" s="570"/>
      <c r="I3704" s="570"/>
      <c r="J3704" s="570"/>
      <c r="K3704" s="570"/>
    </row>
    <row r="3705" ht="13.75" customHeight="1">
      <c r="A3705" s="833">
        <v>187</v>
      </c>
      <c r="B3705" t="s" s="834">
        <v>2515</v>
      </c>
      <c r="C3705" t="s" s="834">
        <v>1010</v>
      </c>
      <c r="D3705" s="835">
        <v>46032</v>
      </c>
      <c r="E3705" s="836">
        <v>1.389386574074074</v>
      </c>
      <c r="F3705" s="836">
        <v>1.806215277777778</v>
      </c>
      <c r="G3705" s="570"/>
      <c r="H3705" s="570"/>
      <c r="I3705" s="570"/>
      <c r="J3705" s="570"/>
      <c r="K3705" s="570"/>
    </row>
    <row r="3706" ht="13.75" customHeight="1">
      <c r="A3706" t="s" s="834">
        <v>2527</v>
      </c>
      <c r="B3706" t="s" s="834">
        <v>2528</v>
      </c>
      <c r="C3706" t="s" s="834">
        <v>530</v>
      </c>
      <c r="D3706" s="570"/>
      <c r="E3706" s="570"/>
      <c r="F3706" s="570"/>
      <c r="G3706" s="570"/>
      <c r="H3706" s="570"/>
      <c r="I3706" s="570"/>
      <c r="J3706" s="570"/>
      <c r="K3706" s="570"/>
    </row>
    <row r="3707" ht="13.75" customHeight="1">
      <c r="A3707" s="833">
        <v>187</v>
      </c>
      <c r="B3707" t="s" s="834">
        <v>2515</v>
      </c>
      <c r="C3707" t="s" s="834">
        <v>1010</v>
      </c>
      <c r="D3707" s="835">
        <v>46033</v>
      </c>
      <c r="E3707" t="s" s="834">
        <v>478</v>
      </c>
      <c r="F3707" t="s" s="834">
        <v>478</v>
      </c>
      <c r="G3707" s="570"/>
      <c r="H3707" s="570"/>
      <c r="I3707" s="570"/>
      <c r="J3707" s="570"/>
      <c r="K3707" s="570"/>
    </row>
    <row r="3708" ht="13.75" customHeight="1">
      <c r="A3708" s="833">
        <v>187</v>
      </c>
      <c r="B3708" t="s" s="834">
        <v>2515</v>
      </c>
      <c r="C3708" t="s" s="834">
        <v>1010</v>
      </c>
      <c r="D3708" s="835">
        <v>46034</v>
      </c>
      <c r="E3708" s="836">
        <v>1.375706018518519</v>
      </c>
      <c r="F3708" s="836">
        <v>1.759976851851852</v>
      </c>
      <c r="G3708" s="570"/>
      <c r="H3708" s="570"/>
      <c r="I3708" s="570"/>
      <c r="J3708" s="570"/>
      <c r="K3708" s="570"/>
    </row>
    <row r="3709" ht="13.75" customHeight="1">
      <c r="A3709" t="s" s="834">
        <v>2529</v>
      </c>
      <c r="B3709" t="s" s="834">
        <v>2530</v>
      </c>
      <c r="C3709" t="s" s="834">
        <v>984</v>
      </c>
      <c r="D3709" s="570"/>
      <c r="E3709" s="570"/>
      <c r="F3709" s="570"/>
      <c r="G3709" s="570"/>
      <c r="H3709" s="570"/>
      <c r="I3709" s="570"/>
      <c r="J3709" s="570"/>
      <c r="K3709" s="570"/>
    </row>
    <row r="3710" ht="13.75" customHeight="1">
      <c r="A3710" s="833">
        <v>187</v>
      </c>
      <c r="B3710" t="s" s="834">
        <v>2515</v>
      </c>
      <c r="C3710" t="s" s="834">
        <v>1010</v>
      </c>
      <c r="D3710" s="835">
        <v>46035</v>
      </c>
      <c r="E3710" s="836">
        <v>1.375590277777778</v>
      </c>
      <c r="F3710" s="836">
        <v>1.767418981481482</v>
      </c>
      <c r="G3710" s="570"/>
      <c r="H3710" s="570"/>
      <c r="I3710" s="570"/>
      <c r="J3710" s="570"/>
      <c r="K3710" s="570"/>
    </row>
    <row r="3711" ht="13.75" customHeight="1">
      <c r="A3711" t="s" s="834">
        <v>2531</v>
      </c>
      <c r="B3711" t="s" s="834">
        <v>2532</v>
      </c>
      <c r="C3711" t="s" s="834">
        <v>1056</v>
      </c>
      <c r="D3711" s="570"/>
      <c r="E3711" s="570"/>
      <c r="F3711" s="570"/>
      <c r="G3711" s="570"/>
      <c r="H3711" s="570"/>
      <c r="I3711" s="570"/>
      <c r="J3711" s="570"/>
      <c r="K3711" s="570"/>
    </row>
    <row r="3712" ht="13.75" customHeight="1">
      <c r="A3712" s="833">
        <v>187</v>
      </c>
      <c r="B3712" t="s" s="834">
        <v>2515</v>
      </c>
      <c r="C3712" t="s" s="834">
        <v>1010</v>
      </c>
      <c r="D3712" s="835">
        <v>46036</v>
      </c>
      <c r="E3712" s="836">
        <v>1.382233796296296</v>
      </c>
      <c r="F3712" s="836">
        <v>1.787314814814815</v>
      </c>
      <c r="G3712" s="570"/>
      <c r="H3712" s="570"/>
      <c r="I3712" s="570"/>
      <c r="J3712" s="570"/>
      <c r="K3712" s="570"/>
    </row>
    <row r="3713" ht="13.75" customHeight="1">
      <c r="A3713" t="s" s="834">
        <v>2533</v>
      </c>
      <c r="B3713" t="s" s="834">
        <v>2534</v>
      </c>
      <c r="C3713" t="s" s="834">
        <v>582</v>
      </c>
      <c r="D3713" s="570"/>
      <c r="E3713" s="570"/>
      <c r="F3713" s="570"/>
      <c r="G3713" s="570"/>
      <c r="H3713" s="570"/>
      <c r="I3713" s="570"/>
      <c r="J3713" s="570"/>
      <c r="K3713" s="570"/>
    </row>
    <row r="3714" ht="13.75" customHeight="1">
      <c r="A3714" s="833">
        <v>187</v>
      </c>
      <c r="B3714" t="s" s="834">
        <v>2515</v>
      </c>
      <c r="C3714" t="s" s="834">
        <v>1010</v>
      </c>
      <c r="D3714" s="835">
        <v>46037</v>
      </c>
      <c r="E3714" s="836">
        <v>1.568125</v>
      </c>
      <c r="F3714" s="836">
        <v>1.769675925925926</v>
      </c>
      <c r="G3714" s="570"/>
      <c r="H3714" s="570"/>
      <c r="I3714" s="570"/>
      <c r="J3714" s="570"/>
      <c r="K3714" s="570"/>
    </row>
    <row r="3715" ht="13.75" customHeight="1">
      <c r="A3715" t="s" s="834">
        <v>2535</v>
      </c>
      <c r="B3715" t="s" s="834">
        <v>2536</v>
      </c>
      <c r="C3715" t="s" s="834">
        <v>2537</v>
      </c>
      <c r="D3715" s="570"/>
      <c r="E3715" s="570"/>
      <c r="F3715" s="570"/>
      <c r="G3715" s="570"/>
      <c r="H3715" s="570"/>
      <c r="I3715" s="570"/>
      <c r="J3715" s="570"/>
      <c r="K3715" s="570"/>
    </row>
    <row r="3716" ht="13.75" customHeight="1">
      <c r="A3716" s="833">
        <v>187</v>
      </c>
      <c r="B3716" t="s" s="834">
        <v>2515</v>
      </c>
      <c r="C3716" t="s" s="834">
        <v>1010</v>
      </c>
      <c r="D3716" s="835">
        <v>46038</v>
      </c>
      <c r="E3716" s="836">
        <v>1.379259259259259</v>
      </c>
      <c r="F3716" s="836">
        <v>1.781064814814815</v>
      </c>
      <c r="G3716" s="570"/>
      <c r="H3716" s="570"/>
      <c r="I3716" s="570"/>
      <c r="J3716" s="570"/>
      <c r="K3716" s="570"/>
    </row>
    <row r="3717" ht="13.75" customHeight="1">
      <c r="A3717" t="s" s="834">
        <v>2538</v>
      </c>
      <c r="B3717" t="s" s="834">
        <v>2539</v>
      </c>
      <c r="C3717" t="s" s="834">
        <v>772</v>
      </c>
      <c r="D3717" s="570"/>
      <c r="E3717" s="570"/>
      <c r="F3717" s="570"/>
      <c r="G3717" s="570"/>
      <c r="H3717" s="570"/>
      <c r="I3717" s="570"/>
      <c r="J3717" s="570"/>
      <c r="K3717" s="570"/>
    </row>
    <row r="3718" ht="13.75" customHeight="1">
      <c r="A3718" s="833">
        <v>187</v>
      </c>
      <c r="B3718" t="s" s="834">
        <v>2515</v>
      </c>
      <c r="C3718" t="s" s="834">
        <v>1010</v>
      </c>
      <c r="D3718" s="835">
        <v>46039</v>
      </c>
      <c r="E3718" t="s" s="834">
        <v>478</v>
      </c>
      <c r="F3718" t="s" s="834">
        <v>478</v>
      </c>
      <c r="G3718" s="570"/>
      <c r="H3718" s="570"/>
      <c r="I3718" s="570"/>
      <c r="J3718" s="570"/>
      <c r="K3718" s="570"/>
    </row>
    <row r="3719" ht="13.75" customHeight="1">
      <c r="A3719" s="833">
        <v>187</v>
      </c>
      <c r="B3719" t="s" s="834">
        <v>2515</v>
      </c>
      <c r="C3719" t="s" s="834">
        <v>1010</v>
      </c>
      <c r="D3719" s="835">
        <v>46040</v>
      </c>
      <c r="E3719" t="s" s="834">
        <v>478</v>
      </c>
      <c r="F3719" t="s" s="834">
        <v>478</v>
      </c>
      <c r="G3719" s="570"/>
      <c r="H3719" s="570"/>
      <c r="I3719" s="570"/>
      <c r="J3719" s="570"/>
      <c r="K3719" s="570"/>
    </row>
    <row r="3720" ht="13.75" customHeight="1">
      <c r="A3720" s="833">
        <v>187</v>
      </c>
      <c r="B3720" t="s" s="834">
        <v>2515</v>
      </c>
      <c r="C3720" t="s" s="834">
        <v>1010</v>
      </c>
      <c r="D3720" s="835">
        <v>46041</v>
      </c>
      <c r="E3720" s="836">
        <v>1.378148148148148</v>
      </c>
      <c r="F3720" s="836">
        <v>1.768159722222222</v>
      </c>
      <c r="G3720" s="570"/>
      <c r="H3720" s="570"/>
      <c r="I3720" s="570"/>
      <c r="J3720" s="570"/>
      <c r="K3720" s="570"/>
    </row>
    <row r="3721" ht="13.75" customHeight="1">
      <c r="A3721" t="s" s="834">
        <v>2540</v>
      </c>
      <c r="B3721" t="s" s="834">
        <v>2541</v>
      </c>
      <c r="C3721" t="s" s="834">
        <v>901</v>
      </c>
      <c r="D3721" s="570"/>
      <c r="E3721" s="570"/>
      <c r="F3721" s="570"/>
      <c r="G3721" s="570"/>
      <c r="H3721" s="570"/>
      <c r="I3721" s="570"/>
      <c r="J3721" s="570"/>
      <c r="K3721" s="570"/>
    </row>
    <row r="3722" ht="13.75" customHeight="1">
      <c r="A3722" s="833">
        <v>187</v>
      </c>
      <c r="B3722" t="s" s="834">
        <v>2515</v>
      </c>
      <c r="C3722" t="s" s="834">
        <v>1010</v>
      </c>
      <c r="D3722" s="835">
        <v>46042</v>
      </c>
      <c r="E3722" s="836">
        <v>1.370844907407407</v>
      </c>
      <c r="F3722" s="836">
        <v>1.825625</v>
      </c>
      <c r="G3722" s="570"/>
      <c r="H3722" s="570"/>
      <c r="I3722" s="570"/>
      <c r="J3722" s="570"/>
      <c r="K3722" s="570"/>
    </row>
    <row r="3723" ht="13.75" customHeight="1">
      <c r="A3723" t="s" s="834">
        <v>2542</v>
      </c>
      <c r="B3723" t="s" s="834">
        <v>2543</v>
      </c>
      <c r="C3723" t="s" s="834">
        <v>2544</v>
      </c>
      <c r="D3723" s="570"/>
      <c r="E3723" s="570"/>
      <c r="F3723" s="570"/>
      <c r="G3723" s="570"/>
      <c r="H3723" s="570"/>
      <c r="I3723" s="570"/>
      <c r="J3723" s="570"/>
      <c r="K3723" s="570"/>
    </row>
    <row r="3724" ht="13.75" customHeight="1">
      <c r="A3724" s="833">
        <v>187</v>
      </c>
      <c r="B3724" t="s" s="834">
        <v>2515</v>
      </c>
      <c r="C3724" t="s" s="834">
        <v>1010</v>
      </c>
      <c r="D3724" s="835">
        <v>46043</v>
      </c>
      <c r="E3724" s="836">
        <v>1.565081018518518</v>
      </c>
      <c r="F3724" s="836">
        <v>1.754675925925926</v>
      </c>
      <c r="G3724" s="570"/>
      <c r="H3724" s="570"/>
      <c r="I3724" s="570"/>
      <c r="J3724" s="570"/>
      <c r="K3724" s="570"/>
    </row>
    <row r="3725" ht="13.75" customHeight="1">
      <c r="A3725" t="s" s="834">
        <v>2545</v>
      </c>
      <c r="B3725" t="s" s="834">
        <v>2546</v>
      </c>
      <c r="C3725" t="s" s="834">
        <v>2178</v>
      </c>
      <c r="D3725" s="570"/>
      <c r="E3725" s="570"/>
      <c r="F3725" s="570"/>
      <c r="G3725" s="570"/>
      <c r="H3725" s="570"/>
      <c r="I3725" s="570"/>
      <c r="J3725" s="570"/>
      <c r="K3725" s="570"/>
    </row>
    <row r="3726" ht="13.75" customHeight="1">
      <c r="A3726" s="833">
        <v>187</v>
      </c>
      <c r="B3726" t="s" s="834">
        <v>2515</v>
      </c>
      <c r="C3726" t="s" s="834">
        <v>1010</v>
      </c>
      <c r="D3726" s="835">
        <v>46044</v>
      </c>
      <c r="E3726" s="836">
        <v>1.369479166666667</v>
      </c>
      <c r="F3726" s="836">
        <v>1.785706018518519</v>
      </c>
      <c r="G3726" s="570"/>
      <c r="H3726" s="570"/>
      <c r="I3726" s="570"/>
      <c r="J3726" s="570"/>
      <c r="K3726" s="570"/>
    </row>
    <row r="3727" ht="13.75" customHeight="1">
      <c r="A3727" t="s" s="834">
        <v>2547</v>
      </c>
      <c r="B3727" t="s" s="834">
        <v>2548</v>
      </c>
      <c r="C3727" t="s" s="834">
        <v>652</v>
      </c>
      <c r="D3727" s="570"/>
      <c r="E3727" s="570"/>
      <c r="F3727" s="570"/>
      <c r="G3727" s="570"/>
      <c r="H3727" s="570"/>
      <c r="I3727" s="570"/>
      <c r="J3727" s="570"/>
      <c r="K3727" s="570"/>
    </row>
    <row r="3728" ht="13.75" customHeight="1">
      <c r="A3728" s="833">
        <v>187</v>
      </c>
      <c r="B3728" t="s" s="834">
        <v>2515</v>
      </c>
      <c r="C3728" t="s" s="834">
        <v>1010</v>
      </c>
      <c r="D3728" s="835">
        <v>46045</v>
      </c>
      <c r="E3728" s="836">
        <v>1.378298611111111</v>
      </c>
      <c r="F3728" s="836">
        <v>1.784594907407407</v>
      </c>
      <c r="G3728" s="570"/>
      <c r="H3728" s="570"/>
      <c r="I3728" s="570"/>
      <c r="J3728" s="570"/>
      <c r="K3728" s="570"/>
    </row>
    <row r="3729" ht="13.75" customHeight="1">
      <c r="A3729" t="s" s="834">
        <v>2549</v>
      </c>
      <c r="B3729" t="s" s="834">
        <v>2550</v>
      </c>
      <c r="C3729" t="s" s="834">
        <v>603</v>
      </c>
      <c r="D3729" s="570"/>
      <c r="E3729" s="570"/>
      <c r="F3729" s="570"/>
      <c r="G3729" s="570"/>
      <c r="H3729" s="570"/>
      <c r="I3729" s="570"/>
      <c r="J3729" s="570"/>
      <c r="K3729" s="570"/>
    </row>
    <row r="3730" ht="13.75" customHeight="1">
      <c r="A3730" s="833">
        <v>187</v>
      </c>
      <c r="B3730" t="s" s="834">
        <v>2515</v>
      </c>
      <c r="C3730" t="s" s="834">
        <v>1010</v>
      </c>
      <c r="D3730" s="835">
        <v>46046</v>
      </c>
      <c r="E3730" t="s" s="834">
        <v>478</v>
      </c>
      <c r="F3730" t="s" s="834">
        <v>478</v>
      </c>
      <c r="G3730" s="570"/>
      <c r="H3730" s="570"/>
      <c r="I3730" s="570"/>
      <c r="J3730" s="570"/>
      <c r="K3730" s="570"/>
    </row>
    <row r="3731" ht="13.75" customHeight="1">
      <c r="A3731" s="833">
        <v>187</v>
      </c>
      <c r="B3731" t="s" s="834">
        <v>2515</v>
      </c>
      <c r="C3731" t="s" s="834">
        <v>1010</v>
      </c>
      <c r="D3731" s="835">
        <v>46047</v>
      </c>
      <c r="E3731" t="s" s="834">
        <v>478</v>
      </c>
      <c r="F3731" t="s" s="834">
        <v>478</v>
      </c>
      <c r="G3731" s="570"/>
      <c r="H3731" s="570"/>
      <c r="I3731" s="570"/>
      <c r="J3731" s="570"/>
      <c r="K3731" s="570"/>
    </row>
    <row r="3732" ht="13.75" customHeight="1">
      <c r="A3732" s="833">
        <v>187</v>
      </c>
      <c r="B3732" t="s" s="834">
        <v>2515</v>
      </c>
      <c r="C3732" t="s" s="834">
        <v>1010</v>
      </c>
      <c r="D3732" s="835">
        <v>46048</v>
      </c>
      <c r="E3732" s="836">
        <v>1.378449074074074</v>
      </c>
      <c r="F3732" s="836">
        <v>1.760543981481482</v>
      </c>
      <c r="G3732" s="570"/>
      <c r="H3732" s="570"/>
      <c r="I3732" s="570"/>
      <c r="J3732" s="570"/>
      <c r="K3732" s="570"/>
    </row>
    <row r="3733" ht="13.75" customHeight="1">
      <c r="A3733" t="s" s="834">
        <v>2551</v>
      </c>
      <c r="B3733" t="s" s="834">
        <v>2552</v>
      </c>
      <c r="C3733" t="s" s="834">
        <v>816</v>
      </c>
      <c r="D3733" s="570"/>
      <c r="E3733" s="570"/>
      <c r="F3733" s="570"/>
      <c r="G3733" s="570"/>
      <c r="H3733" s="570"/>
      <c r="I3733" s="570"/>
      <c r="J3733" s="570"/>
      <c r="K3733" s="570"/>
    </row>
    <row r="3734" ht="13.75" customHeight="1">
      <c r="A3734" s="833">
        <v>187</v>
      </c>
      <c r="B3734" t="s" s="834">
        <v>2515</v>
      </c>
      <c r="C3734" t="s" s="834">
        <v>1010</v>
      </c>
      <c r="D3734" s="835">
        <v>46049</v>
      </c>
      <c r="E3734" s="836">
        <v>1.378854166666667</v>
      </c>
      <c r="F3734" s="836">
        <v>1.773715277777778</v>
      </c>
      <c r="G3734" s="570"/>
      <c r="H3734" s="570"/>
      <c r="I3734" s="570"/>
      <c r="J3734" s="570"/>
      <c r="K3734" s="570"/>
    </row>
    <row r="3735" ht="13.75" customHeight="1">
      <c r="A3735" t="s" s="834">
        <v>2553</v>
      </c>
      <c r="B3735" t="s" s="834">
        <v>2554</v>
      </c>
      <c r="C3735" t="s" s="834">
        <v>643</v>
      </c>
      <c r="D3735" s="570"/>
      <c r="E3735" s="570"/>
      <c r="F3735" s="570"/>
      <c r="G3735" s="570"/>
      <c r="H3735" s="570"/>
      <c r="I3735" s="570"/>
      <c r="J3735" s="570"/>
      <c r="K3735" s="570"/>
    </row>
    <row r="3736" ht="13.75" customHeight="1">
      <c r="A3736" s="833">
        <v>187</v>
      </c>
      <c r="B3736" t="s" s="834">
        <v>2515</v>
      </c>
      <c r="C3736" t="s" s="834">
        <v>1010</v>
      </c>
      <c r="D3736" s="835">
        <v>46050</v>
      </c>
      <c r="E3736" s="836">
        <v>1.360891203703704</v>
      </c>
      <c r="F3736" s="836">
        <v>1.791203703703704</v>
      </c>
      <c r="G3736" s="570"/>
      <c r="H3736" s="570"/>
      <c r="I3736" s="570"/>
      <c r="J3736" s="570"/>
      <c r="K3736" s="570"/>
    </row>
    <row r="3737" ht="13.75" customHeight="1">
      <c r="A3737" t="s" s="834">
        <v>2555</v>
      </c>
      <c r="B3737" t="s" s="834">
        <v>2556</v>
      </c>
      <c r="C3737" t="s" s="834">
        <v>2283</v>
      </c>
      <c r="D3737" s="570"/>
      <c r="E3737" s="570"/>
      <c r="F3737" s="570"/>
      <c r="G3737" s="570"/>
      <c r="H3737" s="570"/>
      <c r="I3737" s="570"/>
      <c r="J3737" s="570"/>
      <c r="K3737" s="570"/>
    </row>
    <row r="3738" ht="13.75" customHeight="1">
      <c r="A3738" s="833">
        <v>187</v>
      </c>
      <c r="B3738" t="s" s="834">
        <v>2515</v>
      </c>
      <c r="C3738" t="s" s="834">
        <v>1010</v>
      </c>
      <c r="D3738" s="835">
        <v>46051</v>
      </c>
      <c r="E3738" s="836">
        <v>1.339444444444444</v>
      </c>
      <c r="F3738" s="836">
        <v>1.346840277777778</v>
      </c>
      <c r="G3738" s="570"/>
      <c r="H3738" s="570"/>
      <c r="I3738" s="570"/>
      <c r="J3738" s="570"/>
      <c r="K3738" s="570"/>
    </row>
    <row r="3739" ht="13.75" customHeight="1">
      <c r="A3739" t="s" s="834">
        <v>2557</v>
      </c>
      <c r="B3739" t="s" s="834">
        <v>2558</v>
      </c>
      <c r="C3739" t="s" s="834">
        <v>2559</v>
      </c>
      <c r="D3739" s="570"/>
      <c r="E3739" s="570"/>
      <c r="F3739" s="570"/>
      <c r="G3739" s="570"/>
      <c r="H3739" s="570"/>
      <c r="I3739" s="570"/>
      <c r="J3739" s="570"/>
      <c r="K3739" s="570"/>
    </row>
    <row r="3740" ht="13.75" customHeight="1">
      <c r="A3740" s="833">
        <v>187</v>
      </c>
      <c r="B3740" t="s" s="834">
        <v>2515</v>
      </c>
      <c r="C3740" t="s" s="834">
        <v>1010</v>
      </c>
      <c r="D3740" s="835">
        <v>46052</v>
      </c>
      <c r="E3740" s="836">
        <v>1.381608796296296</v>
      </c>
      <c r="F3740" s="836">
        <v>1.786678240740741</v>
      </c>
      <c r="G3740" s="570"/>
      <c r="H3740" s="570"/>
      <c r="I3740" s="570"/>
      <c r="J3740" s="570"/>
      <c r="K3740" s="570"/>
    </row>
    <row r="3741" ht="13.75" customHeight="1">
      <c r="A3741" t="s" s="834">
        <v>2560</v>
      </c>
      <c r="B3741" t="s" s="834">
        <v>2561</v>
      </c>
      <c r="C3741" t="s" s="834">
        <v>582</v>
      </c>
      <c r="D3741" s="570"/>
      <c r="E3741" s="570"/>
      <c r="F3741" s="570"/>
      <c r="G3741" s="570"/>
      <c r="H3741" s="570"/>
      <c r="I3741" s="570"/>
      <c r="J3741" s="570"/>
      <c r="K3741" s="570"/>
    </row>
    <row r="3742" ht="13.75" customHeight="1">
      <c r="A3742" s="833">
        <v>187</v>
      </c>
      <c r="B3742" t="s" s="834">
        <v>2515</v>
      </c>
      <c r="C3742" t="s" s="834">
        <v>1010</v>
      </c>
      <c r="D3742" s="835">
        <v>46053</v>
      </c>
      <c r="E3742" t="s" s="834">
        <v>478</v>
      </c>
      <c r="F3742" t="s" s="834">
        <v>478</v>
      </c>
      <c r="G3742" s="570"/>
      <c r="H3742" s="570"/>
      <c r="I3742" s="570"/>
      <c r="J3742" s="570"/>
      <c r="K3742" s="570"/>
    </row>
    <row r="3743" ht="13.75" customHeight="1">
      <c r="A3743" s="833">
        <v>187</v>
      </c>
      <c r="B3743" t="s" s="834">
        <v>2515</v>
      </c>
      <c r="C3743" t="s" s="834">
        <v>1010</v>
      </c>
      <c r="D3743" s="835">
        <v>46054</v>
      </c>
      <c r="E3743" t="s" s="834">
        <v>478</v>
      </c>
      <c r="F3743" t="s" s="834">
        <v>478</v>
      </c>
      <c r="G3743" s="570"/>
      <c r="H3743" s="570"/>
      <c r="I3743" s="570"/>
      <c r="J3743" s="570"/>
      <c r="K3743" s="570"/>
    </row>
    <row r="3744" ht="13.75" customHeight="1">
      <c r="A3744" s="833">
        <v>191</v>
      </c>
      <c r="B3744" t="s" s="834">
        <v>2562</v>
      </c>
      <c r="C3744" t="s" s="834">
        <v>700</v>
      </c>
      <c r="D3744" s="835">
        <v>46023</v>
      </c>
      <c r="E3744" t="s" s="834">
        <v>478</v>
      </c>
      <c r="F3744" t="s" s="834">
        <v>478</v>
      </c>
      <c r="G3744" s="570"/>
      <c r="H3744" s="570"/>
      <c r="I3744" s="570"/>
      <c r="J3744" s="570"/>
      <c r="K3744" s="570"/>
    </row>
    <row r="3745" ht="13.75" customHeight="1">
      <c r="A3745" s="833">
        <v>191</v>
      </c>
      <c r="B3745" t="s" s="834">
        <v>2562</v>
      </c>
      <c r="C3745" t="s" s="834">
        <v>700</v>
      </c>
      <c r="D3745" s="835">
        <v>46024</v>
      </c>
      <c r="E3745" t="s" s="834">
        <v>478</v>
      </c>
      <c r="F3745" t="s" s="834">
        <v>478</v>
      </c>
      <c r="G3745" s="570"/>
      <c r="H3745" s="570"/>
      <c r="I3745" s="570"/>
      <c r="J3745" s="570"/>
      <c r="K3745" s="570"/>
    </row>
    <row r="3746" ht="13.75" customHeight="1">
      <c r="A3746" s="833">
        <v>191</v>
      </c>
      <c r="B3746" t="s" s="834">
        <v>2562</v>
      </c>
      <c r="C3746" t="s" s="834">
        <v>700</v>
      </c>
      <c r="D3746" s="835">
        <v>46025</v>
      </c>
      <c r="E3746" t="s" s="834">
        <v>478</v>
      </c>
      <c r="F3746" t="s" s="834">
        <v>478</v>
      </c>
      <c r="G3746" s="570"/>
      <c r="H3746" s="570"/>
      <c r="I3746" s="570"/>
      <c r="J3746" s="570"/>
      <c r="K3746" s="570"/>
    </row>
    <row r="3747" ht="13.75" customHeight="1">
      <c r="A3747" s="833">
        <v>191</v>
      </c>
      <c r="B3747" t="s" s="834">
        <v>2562</v>
      </c>
      <c r="C3747" t="s" s="834">
        <v>700</v>
      </c>
      <c r="D3747" s="835">
        <v>46026</v>
      </c>
      <c r="E3747" t="s" s="834">
        <v>478</v>
      </c>
      <c r="F3747" t="s" s="834">
        <v>478</v>
      </c>
      <c r="G3747" s="570"/>
      <c r="H3747" s="570"/>
      <c r="I3747" s="570"/>
      <c r="J3747" s="570"/>
      <c r="K3747" s="570"/>
    </row>
    <row r="3748" ht="13.75" customHeight="1">
      <c r="A3748" s="833">
        <v>191</v>
      </c>
      <c r="B3748" t="s" s="834">
        <v>2562</v>
      </c>
      <c r="C3748" t="s" s="834">
        <v>700</v>
      </c>
      <c r="D3748" s="835">
        <v>46027</v>
      </c>
      <c r="E3748" s="836">
        <v>1.376678240740741</v>
      </c>
      <c r="F3748" s="836">
        <v>1.778356481481481</v>
      </c>
      <c r="G3748" s="570"/>
      <c r="H3748" s="570"/>
      <c r="I3748" s="570"/>
      <c r="J3748" s="570"/>
      <c r="K3748" s="570"/>
    </row>
    <row r="3749" ht="13.75" customHeight="1">
      <c r="A3749" t="s" s="834">
        <v>2563</v>
      </c>
      <c r="B3749" t="s" s="834">
        <v>2564</v>
      </c>
      <c r="C3749" t="s" s="834">
        <v>697</v>
      </c>
      <c r="D3749" s="570"/>
      <c r="E3749" s="570"/>
      <c r="F3749" s="570"/>
      <c r="G3749" s="570"/>
      <c r="H3749" s="570"/>
      <c r="I3749" s="570"/>
      <c r="J3749" s="570"/>
      <c r="K3749" s="570"/>
    </row>
    <row r="3750" ht="13.75" customHeight="1">
      <c r="A3750" s="833">
        <v>191</v>
      </c>
      <c r="B3750" t="s" s="834">
        <v>2562</v>
      </c>
      <c r="C3750" t="s" s="834">
        <v>700</v>
      </c>
      <c r="D3750" s="835">
        <v>46028</v>
      </c>
      <c r="E3750" s="836">
        <v>1.570416666666667</v>
      </c>
      <c r="F3750" s="836">
        <v>1.896203703703704</v>
      </c>
      <c r="G3750" s="570"/>
      <c r="H3750" s="570"/>
      <c r="I3750" s="570"/>
      <c r="J3750" s="570"/>
      <c r="K3750" s="570"/>
    </row>
    <row r="3751" ht="13.75" customHeight="1">
      <c r="A3751" t="s" s="834">
        <v>2565</v>
      </c>
      <c r="B3751" t="s" s="834">
        <v>2566</v>
      </c>
      <c r="C3751" t="s" s="834">
        <v>2567</v>
      </c>
      <c r="D3751" s="570"/>
      <c r="E3751" s="570"/>
      <c r="F3751" s="570"/>
      <c r="G3751" s="570"/>
      <c r="H3751" s="570"/>
      <c r="I3751" s="570"/>
      <c r="J3751" s="570"/>
      <c r="K3751" s="570"/>
    </row>
    <row r="3752" ht="13.75" customHeight="1">
      <c r="A3752" s="833">
        <v>191</v>
      </c>
      <c r="B3752" t="s" s="834">
        <v>2562</v>
      </c>
      <c r="C3752" t="s" s="834">
        <v>700</v>
      </c>
      <c r="D3752" s="835">
        <v>46029</v>
      </c>
      <c r="E3752" s="836">
        <v>1.377974537037037</v>
      </c>
      <c r="F3752" s="836">
        <v>1.770335648148148</v>
      </c>
      <c r="G3752" s="570"/>
      <c r="H3752" s="570"/>
      <c r="I3752" s="570"/>
      <c r="J3752" s="570"/>
      <c r="K3752" s="570"/>
    </row>
    <row r="3753" ht="13.75" customHeight="1">
      <c r="A3753" t="s" s="834">
        <v>2568</v>
      </c>
      <c r="B3753" t="s" s="834">
        <v>2569</v>
      </c>
      <c r="C3753" t="s" s="834">
        <v>966</v>
      </c>
      <c r="D3753" s="570"/>
      <c r="E3753" s="570"/>
      <c r="F3753" s="570"/>
      <c r="G3753" s="570"/>
      <c r="H3753" s="570"/>
      <c r="I3753" s="570"/>
      <c r="J3753" s="570"/>
      <c r="K3753" s="570"/>
    </row>
    <row r="3754" ht="13.75" customHeight="1">
      <c r="A3754" s="833">
        <v>191</v>
      </c>
      <c r="B3754" t="s" s="834">
        <v>2562</v>
      </c>
      <c r="C3754" t="s" s="834">
        <v>700</v>
      </c>
      <c r="D3754" s="835">
        <v>46030</v>
      </c>
      <c r="E3754" t="s" s="834">
        <v>478</v>
      </c>
      <c r="F3754" t="s" s="834">
        <v>478</v>
      </c>
      <c r="G3754" s="570"/>
      <c r="H3754" s="570"/>
      <c r="I3754" s="570"/>
      <c r="J3754" s="570"/>
      <c r="K3754" s="570"/>
    </row>
    <row r="3755" ht="13.75" customHeight="1">
      <c r="A3755" s="833">
        <v>191</v>
      </c>
      <c r="B3755" t="s" s="834">
        <v>2562</v>
      </c>
      <c r="C3755" t="s" s="834">
        <v>700</v>
      </c>
      <c r="D3755" s="835">
        <v>46031</v>
      </c>
      <c r="E3755" t="s" s="834">
        <v>478</v>
      </c>
      <c r="F3755" t="s" s="834">
        <v>478</v>
      </c>
      <c r="G3755" s="570"/>
      <c r="H3755" s="570"/>
      <c r="I3755" s="570"/>
      <c r="J3755" s="570"/>
      <c r="K3755" s="570"/>
    </row>
    <row r="3756" ht="13.75" customHeight="1">
      <c r="A3756" s="833">
        <v>191</v>
      </c>
      <c r="B3756" t="s" s="834">
        <v>2562</v>
      </c>
      <c r="C3756" t="s" s="834">
        <v>700</v>
      </c>
      <c r="D3756" s="835">
        <v>46032</v>
      </c>
      <c r="E3756" t="s" s="834">
        <v>478</v>
      </c>
      <c r="F3756" t="s" s="834">
        <v>478</v>
      </c>
      <c r="G3756" s="570"/>
      <c r="H3756" s="570"/>
      <c r="I3756" s="570"/>
      <c r="J3756" s="570"/>
      <c r="K3756" s="570"/>
    </row>
    <row r="3757" ht="13.75" customHeight="1">
      <c r="A3757" s="833">
        <v>191</v>
      </c>
      <c r="B3757" t="s" s="834">
        <v>2562</v>
      </c>
      <c r="C3757" t="s" s="834">
        <v>700</v>
      </c>
      <c r="D3757" s="835">
        <v>46033</v>
      </c>
      <c r="E3757" t="s" s="834">
        <v>478</v>
      </c>
      <c r="F3757" t="s" s="834">
        <v>478</v>
      </c>
      <c r="G3757" s="570"/>
      <c r="H3757" s="570"/>
      <c r="I3757" s="570"/>
      <c r="J3757" s="570"/>
      <c r="K3757" s="570"/>
    </row>
    <row r="3758" ht="13.75" customHeight="1">
      <c r="A3758" s="833">
        <v>191</v>
      </c>
      <c r="B3758" t="s" s="834">
        <v>2562</v>
      </c>
      <c r="C3758" t="s" s="834">
        <v>700</v>
      </c>
      <c r="D3758" s="835">
        <v>46034</v>
      </c>
      <c r="E3758" s="836">
        <v>1.390266203703704</v>
      </c>
      <c r="F3758" s="836">
        <v>1.840914351851852</v>
      </c>
      <c r="G3758" s="570"/>
      <c r="H3758" s="570"/>
      <c r="I3758" s="570"/>
      <c r="J3758" s="570"/>
      <c r="K3758" s="570"/>
    </row>
    <row r="3759" ht="13.75" customHeight="1">
      <c r="A3759" t="s" s="834">
        <v>2570</v>
      </c>
      <c r="B3759" t="s" s="834">
        <v>2571</v>
      </c>
      <c r="C3759" t="s" s="834">
        <v>2572</v>
      </c>
      <c r="D3759" s="570"/>
      <c r="E3759" s="570"/>
      <c r="F3759" s="570"/>
      <c r="G3759" s="570"/>
      <c r="H3759" s="570"/>
      <c r="I3759" s="570"/>
      <c r="J3759" s="570"/>
      <c r="K3759" s="570"/>
    </row>
    <row r="3760" ht="13.75" customHeight="1">
      <c r="A3760" s="833">
        <v>191</v>
      </c>
      <c r="B3760" t="s" s="834">
        <v>2562</v>
      </c>
      <c r="C3760" t="s" s="834">
        <v>700</v>
      </c>
      <c r="D3760" s="835">
        <v>46035</v>
      </c>
      <c r="E3760" s="836">
        <v>1.574386574074074</v>
      </c>
      <c r="F3760" s="836">
        <v>1.943715277777778</v>
      </c>
      <c r="G3760" s="570"/>
      <c r="H3760" s="570"/>
      <c r="I3760" s="570"/>
      <c r="J3760" s="570"/>
      <c r="K3760" s="570"/>
    </row>
    <row r="3761" ht="13.75" customHeight="1">
      <c r="A3761" t="s" s="834">
        <v>2573</v>
      </c>
      <c r="B3761" t="s" s="834">
        <v>2574</v>
      </c>
      <c r="C3761" t="s" s="834">
        <v>1206</v>
      </c>
      <c r="D3761" s="570"/>
      <c r="E3761" s="570"/>
      <c r="F3761" s="570"/>
      <c r="G3761" s="570"/>
      <c r="H3761" s="570"/>
      <c r="I3761" s="570"/>
      <c r="J3761" s="570"/>
      <c r="K3761" s="570"/>
    </row>
    <row r="3762" ht="13.75" customHeight="1">
      <c r="A3762" s="833">
        <v>191</v>
      </c>
      <c r="B3762" t="s" s="834">
        <v>2562</v>
      </c>
      <c r="C3762" t="s" s="834">
        <v>700</v>
      </c>
      <c r="D3762" s="835">
        <v>46036</v>
      </c>
      <c r="E3762" s="836">
        <v>1.373541666666667</v>
      </c>
      <c r="F3762" s="836">
        <v>1.793530092592593</v>
      </c>
      <c r="G3762" s="570"/>
      <c r="H3762" s="570"/>
      <c r="I3762" s="570"/>
      <c r="J3762" s="570"/>
      <c r="K3762" s="570"/>
    </row>
    <row r="3763" ht="13.75" customHeight="1">
      <c r="A3763" t="s" s="834">
        <v>2575</v>
      </c>
      <c r="B3763" t="s" s="834">
        <v>2576</v>
      </c>
      <c r="C3763" t="s" s="834">
        <v>1906</v>
      </c>
      <c r="D3763" s="570"/>
      <c r="E3763" s="570"/>
      <c r="F3763" s="570"/>
      <c r="G3763" s="570"/>
      <c r="H3763" s="570"/>
      <c r="I3763" s="570"/>
      <c r="J3763" s="570"/>
      <c r="K3763" s="570"/>
    </row>
    <row r="3764" ht="13.75" customHeight="1">
      <c r="A3764" s="833">
        <v>191</v>
      </c>
      <c r="B3764" t="s" s="834">
        <v>2562</v>
      </c>
      <c r="C3764" t="s" s="834">
        <v>700</v>
      </c>
      <c r="D3764" s="835">
        <v>46037</v>
      </c>
      <c r="E3764" s="836">
        <v>1.567094907407407</v>
      </c>
      <c r="F3764" s="836">
        <v>1.917569444444444</v>
      </c>
      <c r="G3764" s="570"/>
      <c r="H3764" s="570"/>
      <c r="I3764" s="570"/>
      <c r="J3764" s="570"/>
      <c r="K3764" s="570"/>
    </row>
    <row r="3765" ht="13.75" customHeight="1">
      <c r="A3765" t="s" s="834">
        <v>2577</v>
      </c>
      <c r="B3765" t="s" s="834">
        <v>2578</v>
      </c>
      <c r="C3765" t="s" s="834">
        <v>1382</v>
      </c>
      <c r="D3765" s="570"/>
      <c r="E3765" s="570"/>
      <c r="F3765" s="570"/>
      <c r="G3765" s="570"/>
      <c r="H3765" s="570"/>
      <c r="I3765" s="570"/>
      <c r="J3765" s="570"/>
      <c r="K3765" s="570"/>
    </row>
    <row r="3766" ht="13.75" customHeight="1">
      <c r="A3766" s="833">
        <v>191</v>
      </c>
      <c r="B3766" t="s" s="834">
        <v>2562</v>
      </c>
      <c r="C3766" t="s" s="834">
        <v>700</v>
      </c>
      <c r="D3766" s="835">
        <v>46038</v>
      </c>
      <c r="E3766" s="836">
        <v>1.35556712962963</v>
      </c>
      <c r="F3766" s="836">
        <v>1.809502314814815</v>
      </c>
      <c r="G3766" s="570"/>
      <c r="H3766" s="570"/>
      <c r="I3766" s="570"/>
      <c r="J3766" s="570"/>
      <c r="K3766" s="570"/>
    </row>
    <row r="3767" ht="13.75" customHeight="1">
      <c r="A3767" t="s" s="834">
        <v>2579</v>
      </c>
      <c r="B3767" t="s" s="834">
        <v>2580</v>
      </c>
      <c r="C3767" t="s" s="834">
        <v>1317</v>
      </c>
      <c r="D3767" s="570"/>
      <c r="E3767" s="570"/>
      <c r="F3767" s="570"/>
      <c r="G3767" s="570"/>
      <c r="H3767" s="570"/>
      <c r="I3767" s="570"/>
      <c r="J3767" s="570"/>
      <c r="K3767" s="570"/>
    </row>
    <row r="3768" ht="13.75" customHeight="1">
      <c r="A3768" s="833">
        <v>191</v>
      </c>
      <c r="B3768" t="s" s="834">
        <v>2562</v>
      </c>
      <c r="C3768" t="s" s="834">
        <v>700</v>
      </c>
      <c r="D3768" s="835">
        <v>46039</v>
      </c>
      <c r="E3768" t="s" s="834">
        <v>478</v>
      </c>
      <c r="F3768" t="s" s="834">
        <v>478</v>
      </c>
      <c r="G3768" s="570"/>
      <c r="H3768" s="570"/>
      <c r="I3768" s="570"/>
      <c r="J3768" s="570"/>
      <c r="K3768" s="570"/>
    </row>
    <row r="3769" ht="13.75" customHeight="1">
      <c r="A3769" s="833">
        <v>191</v>
      </c>
      <c r="B3769" t="s" s="834">
        <v>2562</v>
      </c>
      <c r="C3769" t="s" s="834">
        <v>700</v>
      </c>
      <c r="D3769" s="835">
        <v>46040</v>
      </c>
      <c r="E3769" t="s" s="834">
        <v>478</v>
      </c>
      <c r="F3769" t="s" s="834">
        <v>478</v>
      </c>
      <c r="G3769" s="570"/>
      <c r="H3769" s="570"/>
      <c r="I3769" s="570"/>
      <c r="J3769" s="570"/>
      <c r="K3769" s="570"/>
    </row>
    <row r="3770" ht="13.75" customHeight="1">
      <c r="A3770" s="833">
        <v>191</v>
      </c>
      <c r="B3770" t="s" s="834">
        <v>2562</v>
      </c>
      <c r="C3770" t="s" s="834">
        <v>700</v>
      </c>
      <c r="D3770" s="835">
        <v>46041</v>
      </c>
      <c r="E3770" s="836">
        <v>1.388796296296296</v>
      </c>
      <c r="F3770" s="836">
        <v>1.832268518518518</v>
      </c>
      <c r="G3770" s="570"/>
      <c r="H3770" s="570"/>
      <c r="I3770" s="570"/>
      <c r="J3770" s="570"/>
      <c r="K3770" s="570"/>
    </row>
    <row r="3771" ht="13.75" customHeight="1">
      <c r="A3771" t="s" s="834">
        <v>2581</v>
      </c>
      <c r="B3771" t="s" s="834">
        <v>2582</v>
      </c>
      <c r="C3771" t="s" s="834">
        <v>497</v>
      </c>
      <c r="D3771" s="570"/>
      <c r="E3771" s="570"/>
      <c r="F3771" s="570"/>
      <c r="G3771" s="570"/>
      <c r="H3771" s="570"/>
      <c r="I3771" s="570"/>
      <c r="J3771" s="570"/>
      <c r="K3771" s="570"/>
    </row>
    <row r="3772" ht="13.75" customHeight="1">
      <c r="A3772" s="833">
        <v>191</v>
      </c>
      <c r="B3772" t="s" s="834">
        <v>2562</v>
      </c>
      <c r="C3772" t="s" s="834">
        <v>700</v>
      </c>
      <c r="D3772" s="835">
        <v>46042</v>
      </c>
      <c r="E3772" s="836">
        <v>1.568796296296296</v>
      </c>
      <c r="F3772" s="836">
        <v>1.896967592592593</v>
      </c>
      <c r="G3772" s="570"/>
      <c r="H3772" s="570"/>
      <c r="I3772" s="570"/>
      <c r="J3772" s="570"/>
      <c r="K3772" s="570"/>
    </row>
    <row r="3773" ht="13.75" customHeight="1">
      <c r="A3773" t="s" s="834">
        <v>2583</v>
      </c>
      <c r="B3773" t="s" s="834">
        <v>2584</v>
      </c>
      <c r="C3773" t="s" s="834">
        <v>1861</v>
      </c>
      <c r="D3773" s="570"/>
      <c r="E3773" s="570"/>
      <c r="F3773" s="570"/>
      <c r="G3773" s="570"/>
      <c r="H3773" s="570"/>
      <c r="I3773" s="570"/>
      <c r="J3773" s="570"/>
      <c r="K3773" s="570"/>
    </row>
    <row r="3774" ht="13.75" customHeight="1">
      <c r="A3774" s="833">
        <v>191</v>
      </c>
      <c r="B3774" t="s" s="834">
        <v>2562</v>
      </c>
      <c r="C3774" t="s" s="834">
        <v>700</v>
      </c>
      <c r="D3774" s="835">
        <v>46043</v>
      </c>
      <c r="E3774" s="836">
        <v>1.402511574074074</v>
      </c>
      <c r="F3774" s="836">
        <v>1.800613425925926</v>
      </c>
      <c r="G3774" s="570"/>
      <c r="H3774" s="570"/>
      <c r="I3774" s="570"/>
      <c r="J3774" s="570"/>
      <c r="K3774" s="570"/>
    </row>
    <row r="3775" ht="13.75" customHeight="1">
      <c r="A3775" t="s" s="834">
        <v>2585</v>
      </c>
      <c r="B3775" t="s" s="834">
        <v>2586</v>
      </c>
      <c r="C3775" t="s" s="834">
        <v>688</v>
      </c>
      <c r="D3775" s="570"/>
      <c r="E3775" s="570"/>
      <c r="F3775" s="570"/>
      <c r="G3775" s="570"/>
      <c r="H3775" s="570"/>
      <c r="I3775" s="570"/>
      <c r="J3775" s="570"/>
      <c r="K3775" s="570"/>
    </row>
    <row r="3776" ht="13.75" customHeight="1">
      <c r="A3776" s="833">
        <v>191</v>
      </c>
      <c r="B3776" t="s" s="834">
        <v>2562</v>
      </c>
      <c r="C3776" t="s" s="834">
        <v>700</v>
      </c>
      <c r="D3776" s="835">
        <v>46044</v>
      </c>
      <c r="E3776" s="836">
        <v>1.56724537037037</v>
      </c>
      <c r="F3776" s="836">
        <v>1.926990740740741</v>
      </c>
      <c r="G3776" s="570"/>
      <c r="H3776" s="570"/>
      <c r="I3776" s="570"/>
      <c r="J3776" s="570"/>
      <c r="K3776" s="570"/>
    </row>
    <row r="3777" ht="13.75" customHeight="1">
      <c r="A3777" t="s" s="834">
        <v>2587</v>
      </c>
      <c r="B3777" t="s" s="834">
        <v>2588</v>
      </c>
      <c r="C3777" t="s" s="834">
        <v>2589</v>
      </c>
      <c r="D3777" s="570"/>
      <c r="E3777" s="570"/>
      <c r="F3777" s="570"/>
      <c r="G3777" s="570"/>
      <c r="H3777" s="570"/>
      <c r="I3777" s="570"/>
      <c r="J3777" s="570"/>
      <c r="K3777" s="570"/>
    </row>
    <row r="3778" ht="13.75" customHeight="1">
      <c r="A3778" s="833">
        <v>191</v>
      </c>
      <c r="B3778" t="s" s="834">
        <v>2562</v>
      </c>
      <c r="C3778" t="s" s="834">
        <v>700</v>
      </c>
      <c r="D3778" s="835">
        <v>46045</v>
      </c>
      <c r="E3778" t="s" s="834">
        <v>478</v>
      </c>
      <c r="F3778" t="s" s="834">
        <v>478</v>
      </c>
      <c r="G3778" s="570"/>
      <c r="H3778" s="570"/>
      <c r="I3778" s="570"/>
      <c r="J3778" s="570"/>
      <c r="K3778" s="570"/>
    </row>
    <row r="3779" ht="13.75" customHeight="1">
      <c r="A3779" s="833">
        <v>191</v>
      </c>
      <c r="B3779" t="s" s="834">
        <v>2562</v>
      </c>
      <c r="C3779" t="s" s="834">
        <v>700</v>
      </c>
      <c r="D3779" s="835">
        <v>46046</v>
      </c>
      <c r="E3779" t="s" s="834">
        <v>478</v>
      </c>
      <c r="F3779" t="s" s="834">
        <v>478</v>
      </c>
      <c r="G3779" s="570"/>
      <c r="H3779" s="570"/>
      <c r="I3779" s="570"/>
      <c r="J3779" s="570"/>
      <c r="K3779" s="570"/>
    </row>
    <row r="3780" ht="13.75" customHeight="1">
      <c r="A3780" s="833">
        <v>191</v>
      </c>
      <c r="B3780" t="s" s="834">
        <v>2562</v>
      </c>
      <c r="C3780" t="s" s="834">
        <v>700</v>
      </c>
      <c r="D3780" s="835">
        <v>46047</v>
      </c>
      <c r="E3780" t="s" s="834">
        <v>478</v>
      </c>
      <c r="F3780" t="s" s="834">
        <v>478</v>
      </c>
      <c r="G3780" s="570"/>
      <c r="H3780" s="570"/>
      <c r="I3780" s="570"/>
      <c r="J3780" s="570"/>
      <c r="K3780" s="570"/>
    </row>
    <row r="3781" ht="13.75" customHeight="1">
      <c r="A3781" s="833">
        <v>191</v>
      </c>
      <c r="B3781" t="s" s="834">
        <v>2562</v>
      </c>
      <c r="C3781" t="s" s="834">
        <v>700</v>
      </c>
      <c r="D3781" s="835">
        <v>46048</v>
      </c>
      <c r="E3781" s="836">
        <v>1.39431712962963</v>
      </c>
      <c r="F3781" s="836">
        <v>1.862916666666667</v>
      </c>
      <c r="G3781" s="570"/>
      <c r="H3781" s="570"/>
      <c r="I3781" s="570"/>
      <c r="J3781" s="570"/>
      <c r="K3781" s="570"/>
    </row>
    <row r="3782" ht="13.75" customHeight="1">
      <c r="A3782" t="s" s="834">
        <v>2590</v>
      </c>
      <c r="B3782" t="s" s="834">
        <v>2591</v>
      </c>
      <c r="C3782" t="s" s="834">
        <v>524</v>
      </c>
      <c r="D3782" s="570"/>
      <c r="E3782" s="570"/>
      <c r="F3782" s="570"/>
      <c r="G3782" s="570"/>
      <c r="H3782" s="570"/>
      <c r="I3782" s="570"/>
      <c r="J3782" s="570"/>
      <c r="K3782" s="570"/>
    </row>
    <row r="3783" ht="13.75" customHeight="1">
      <c r="A3783" s="833">
        <v>191</v>
      </c>
      <c r="B3783" t="s" s="834">
        <v>2562</v>
      </c>
      <c r="C3783" t="s" s="834">
        <v>700</v>
      </c>
      <c r="D3783" s="835">
        <v>46049</v>
      </c>
      <c r="E3783" s="836">
        <v>1.57130787037037</v>
      </c>
      <c r="F3783" s="836">
        <v>1.905555555555555</v>
      </c>
      <c r="G3783" s="570"/>
      <c r="H3783" s="570"/>
      <c r="I3783" s="570"/>
      <c r="J3783" s="570"/>
      <c r="K3783" s="570"/>
    </row>
    <row r="3784" ht="13.75" customHeight="1">
      <c r="A3784" t="s" s="834">
        <v>2592</v>
      </c>
      <c r="B3784" t="s" s="834">
        <v>2593</v>
      </c>
      <c r="C3784" t="s" s="834">
        <v>706</v>
      </c>
      <c r="D3784" s="570"/>
      <c r="E3784" s="570"/>
      <c r="F3784" s="570"/>
      <c r="G3784" s="570"/>
      <c r="H3784" s="570"/>
      <c r="I3784" s="570"/>
      <c r="J3784" s="570"/>
      <c r="K3784" s="570"/>
    </row>
    <row r="3785" ht="13.75" customHeight="1">
      <c r="A3785" s="833">
        <v>191</v>
      </c>
      <c r="B3785" t="s" s="834">
        <v>2562</v>
      </c>
      <c r="C3785" t="s" s="834">
        <v>700</v>
      </c>
      <c r="D3785" s="835">
        <v>46050</v>
      </c>
      <c r="E3785" s="836">
        <v>1.409548611111111</v>
      </c>
      <c r="F3785" s="836">
        <v>1.756967592592593</v>
      </c>
      <c r="G3785" s="570"/>
      <c r="H3785" s="570"/>
      <c r="I3785" s="570"/>
      <c r="J3785" s="570"/>
      <c r="K3785" s="570"/>
    </row>
    <row r="3786" ht="13.75" customHeight="1">
      <c r="A3786" t="s" s="834">
        <v>2594</v>
      </c>
      <c r="B3786" t="s" s="834">
        <v>2595</v>
      </c>
      <c r="C3786" t="s" s="834">
        <v>1237</v>
      </c>
      <c r="D3786" s="570"/>
      <c r="E3786" s="570"/>
      <c r="F3786" s="570"/>
      <c r="G3786" s="570"/>
      <c r="H3786" s="570"/>
      <c r="I3786" s="570"/>
      <c r="J3786" s="570"/>
      <c r="K3786" s="570"/>
    </row>
    <row r="3787" ht="13.75" customHeight="1">
      <c r="A3787" s="833">
        <v>191</v>
      </c>
      <c r="B3787" t="s" s="834">
        <v>2562</v>
      </c>
      <c r="C3787" t="s" s="834">
        <v>700</v>
      </c>
      <c r="D3787" s="835">
        <v>46051</v>
      </c>
      <c r="E3787" s="836">
        <v>1.565752314814815</v>
      </c>
      <c r="F3787" s="836">
        <v>1.928761574074074</v>
      </c>
      <c r="G3787" s="570"/>
      <c r="H3787" s="570"/>
      <c r="I3787" s="570"/>
      <c r="J3787" s="570"/>
      <c r="K3787" s="570"/>
    </row>
    <row r="3788" ht="13.75" customHeight="1">
      <c r="A3788" t="s" s="834">
        <v>2596</v>
      </c>
      <c r="B3788" t="s" s="834">
        <v>2597</v>
      </c>
      <c r="C3788" t="s" s="834">
        <v>2598</v>
      </c>
      <c r="D3788" s="570"/>
      <c r="E3788" s="570"/>
      <c r="F3788" s="570"/>
      <c r="G3788" s="570"/>
      <c r="H3788" s="570"/>
      <c r="I3788" s="570"/>
      <c r="J3788" s="570"/>
      <c r="K3788" s="570"/>
    </row>
    <row r="3789" ht="13.75" customHeight="1">
      <c r="A3789" s="833">
        <v>191</v>
      </c>
      <c r="B3789" t="s" s="834">
        <v>2562</v>
      </c>
      <c r="C3789" t="s" s="834">
        <v>700</v>
      </c>
      <c r="D3789" s="835">
        <v>46052</v>
      </c>
      <c r="E3789" t="s" s="834">
        <v>478</v>
      </c>
      <c r="F3789" t="s" s="834">
        <v>478</v>
      </c>
      <c r="G3789" s="570"/>
      <c r="H3789" s="570"/>
      <c r="I3789" s="570"/>
      <c r="J3789" s="570"/>
      <c r="K3789" s="570"/>
    </row>
    <row r="3790" ht="13.75" customHeight="1">
      <c r="A3790" s="833">
        <v>191</v>
      </c>
      <c r="B3790" t="s" s="834">
        <v>2562</v>
      </c>
      <c r="C3790" t="s" s="834">
        <v>700</v>
      </c>
      <c r="D3790" s="835">
        <v>46053</v>
      </c>
      <c r="E3790" t="s" s="834">
        <v>478</v>
      </c>
      <c r="F3790" t="s" s="834">
        <v>478</v>
      </c>
      <c r="G3790" s="570"/>
      <c r="H3790" s="570"/>
      <c r="I3790" s="570"/>
      <c r="J3790" s="570"/>
      <c r="K3790" s="570"/>
    </row>
    <row r="3791" ht="13.75" customHeight="1">
      <c r="A3791" s="833">
        <v>191</v>
      </c>
      <c r="B3791" t="s" s="834">
        <v>2562</v>
      </c>
      <c r="C3791" t="s" s="834">
        <v>700</v>
      </c>
      <c r="D3791" s="835">
        <v>46054</v>
      </c>
      <c r="E3791" t="s" s="834">
        <v>478</v>
      </c>
      <c r="F3791" t="s" s="834">
        <v>478</v>
      </c>
      <c r="G3791" s="570"/>
      <c r="H3791" s="570"/>
      <c r="I3791" s="570"/>
      <c r="J3791" s="570"/>
      <c r="K3791" s="570"/>
    </row>
    <row r="3792" ht="13.75" customHeight="1">
      <c r="A3792" s="833">
        <v>198</v>
      </c>
      <c r="B3792" t="s" s="834">
        <v>2599</v>
      </c>
      <c r="C3792" t="s" s="834">
        <v>700</v>
      </c>
      <c r="D3792" s="835">
        <v>46023</v>
      </c>
      <c r="E3792" t="s" s="834">
        <v>478</v>
      </c>
      <c r="F3792" t="s" s="834">
        <v>478</v>
      </c>
      <c r="G3792" t="s" s="837">
        <v>1710</v>
      </c>
      <c r="H3792" t="s" s="837">
        <v>568</v>
      </c>
      <c r="I3792" t="s" s="837">
        <v>1710</v>
      </c>
      <c r="J3792" t="s" s="837">
        <v>568</v>
      </c>
      <c r="K3792" s="570"/>
    </row>
    <row r="3793" ht="13.75" customHeight="1">
      <c r="A3793" s="833">
        <v>198</v>
      </c>
      <c r="B3793" t="s" s="834">
        <v>2599</v>
      </c>
      <c r="C3793" t="s" s="834">
        <v>700</v>
      </c>
      <c r="D3793" s="835">
        <v>46024</v>
      </c>
      <c r="E3793" t="s" s="834">
        <v>478</v>
      </c>
      <c r="F3793" t="s" s="834">
        <v>478</v>
      </c>
      <c r="G3793" s="570"/>
      <c r="H3793" s="570"/>
      <c r="I3793" s="570"/>
      <c r="J3793" s="570"/>
      <c r="K3793" s="570"/>
    </row>
    <row r="3794" ht="13.75" customHeight="1">
      <c r="A3794" s="833">
        <v>198</v>
      </c>
      <c r="B3794" t="s" s="834">
        <v>2599</v>
      </c>
      <c r="C3794" t="s" s="834">
        <v>700</v>
      </c>
      <c r="D3794" s="835">
        <v>46025</v>
      </c>
      <c r="E3794" t="s" s="834">
        <v>478</v>
      </c>
      <c r="F3794" t="s" s="834">
        <v>478</v>
      </c>
      <c r="G3794" s="570"/>
      <c r="H3794" s="570"/>
      <c r="I3794" s="570"/>
      <c r="J3794" s="570"/>
      <c r="K3794" s="570"/>
    </row>
    <row r="3795" ht="13.75" customHeight="1">
      <c r="A3795" s="833">
        <v>198</v>
      </c>
      <c r="B3795" t="s" s="834">
        <v>2599</v>
      </c>
      <c r="C3795" t="s" s="834">
        <v>700</v>
      </c>
      <c r="D3795" s="835">
        <v>46026</v>
      </c>
      <c r="E3795" t="s" s="834">
        <v>478</v>
      </c>
      <c r="F3795" t="s" s="834">
        <v>478</v>
      </c>
      <c r="G3795" s="570"/>
      <c r="H3795" s="570"/>
      <c r="I3795" s="570"/>
      <c r="J3795" s="570"/>
      <c r="K3795" s="570"/>
    </row>
    <row r="3796" ht="13.75" customHeight="1">
      <c r="A3796" s="833">
        <v>198</v>
      </c>
      <c r="B3796" t="s" s="834">
        <v>2599</v>
      </c>
      <c r="C3796" t="s" s="834">
        <v>700</v>
      </c>
      <c r="D3796" s="835">
        <v>46027</v>
      </c>
      <c r="E3796" s="836">
        <v>1.405925925925926</v>
      </c>
      <c r="F3796" s="836">
        <v>1.772962962962963</v>
      </c>
      <c r="G3796" s="570"/>
      <c r="H3796" s="570"/>
      <c r="I3796" s="570"/>
      <c r="J3796" s="570"/>
      <c r="K3796" s="570"/>
    </row>
    <row r="3797" ht="13.75" customHeight="1">
      <c r="A3797" t="s" s="834">
        <v>2600</v>
      </c>
      <c r="B3797" t="s" s="834">
        <v>2601</v>
      </c>
      <c r="C3797" t="s" s="834">
        <v>1264</v>
      </c>
      <c r="D3797" s="570"/>
      <c r="E3797" s="570"/>
      <c r="F3797" s="570"/>
      <c r="G3797" s="570"/>
      <c r="H3797" s="570"/>
      <c r="I3797" s="570"/>
      <c r="J3797" s="570"/>
      <c r="K3797" s="570"/>
    </row>
    <row r="3798" ht="13.75" customHeight="1">
      <c r="A3798" s="833">
        <v>198</v>
      </c>
      <c r="B3798" t="s" s="834">
        <v>2599</v>
      </c>
      <c r="C3798" t="s" s="834">
        <v>700</v>
      </c>
      <c r="D3798" s="835">
        <v>46028</v>
      </c>
      <c r="E3798" s="836">
        <v>1.414675925925926</v>
      </c>
      <c r="F3798" s="836">
        <v>1.776423611111111</v>
      </c>
      <c r="G3798" s="570"/>
      <c r="H3798" s="570"/>
      <c r="I3798" s="570"/>
      <c r="J3798" s="570"/>
      <c r="K3798" s="570"/>
    </row>
    <row r="3799" ht="13.75" customHeight="1">
      <c r="A3799" t="s" s="834">
        <v>2602</v>
      </c>
      <c r="B3799" t="s" s="834">
        <v>2603</v>
      </c>
      <c r="C3799" t="s" s="834">
        <v>2350</v>
      </c>
      <c r="D3799" s="570"/>
      <c r="E3799" s="570"/>
      <c r="F3799" s="570"/>
      <c r="G3799" s="570"/>
      <c r="H3799" s="570"/>
      <c r="I3799" s="570"/>
      <c r="J3799" s="570"/>
      <c r="K3799" s="570"/>
    </row>
    <row r="3800" ht="13.75" customHeight="1">
      <c r="A3800" s="833">
        <v>198</v>
      </c>
      <c r="B3800" t="s" s="834">
        <v>2599</v>
      </c>
      <c r="C3800" t="s" s="834">
        <v>700</v>
      </c>
      <c r="D3800" s="835">
        <v>46029</v>
      </c>
      <c r="E3800" s="836">
        <v>1.406712962962963</v>
      </c>
      <c r="F3800" s="836">
        <v>1.805902777777778</v>
      </c>
      <c r="G3800" s="570"/>
      <c r="H3800" s="570"/>
      <c r="I3800" s="570"/>
      <c r="J3800" s="570"/>
      <c r="K3800" s="570"/>
    </row>
    <row r="3801" ht="13.75" customHeight="1">
      <c r="A3801" t="s" s="834">
        <v>2604</v>
      </c>
      <c r="B3801" t="s" s="834">
        <v>2605</v>
      </c>
      <c r="C3801" t="s" s="834">
        <v>515</v>
      </c>
      <c r="D3801" s="570"/>
      <c r="E3801" s="570"/>
      <c r="F3801" s="570"/>
      <c r="G3801" s="570"/>
      <c r="H3801" s="570"/>
      <c r="I3801" s="570"/>
      <c r="J3801" s="570"/>
      <c r="K3801" s="570"/>
    </row>
    <row r="3802" ht="13.75" customHeight="1">
      <c r="A3802" s="833">
        <v>198</v>
      </c>
      <c r="B3802" t="s" s="834">
        <v>2599</v>
      </c>
      <c r="C3802" t="s" s="834">
        <v>700</v>
      </c>
      <c r="D3802" s="835">
        <v>46030</v>
      </c>
      <c r="E3802" s="836">
        <v>1.422314814814815</v>
      </c>
      <c r="F3802" s="836">
        <v>1.805520833333333</v>
      </c>
      <c r="G3802" s="570"/>
      <c r="H3802" s="570"/>
      <c r="I3802" s="570"/>
      <c r="J3802" s="570"/>
      <c r="K3802" s="570"/>
    </row>
    <row r="3803" ht="13.75" customHeight="1">
      <c r="A3803" t="s" s="834">
        <v>2606</v>
      </c>
      <c r="B3803" t="s" s="834">
        <v>2607</v>
      </c>
      <c r="C3803" t="s" s="834">
        <v>812</v>
      </c>
      <c r="D3803" s="570"/>
      <c r="E3803" s="570"/>
      <c r="F3803" s="570"/>
      <c r="G3803" s="570"/>
      <c r="H3803" s="570"/>
      <c r="I3803" s="570"/>
      <c r="J3803" s="570"/>
      <c r="K3803" s="570"/>
    </row>
    <row r="3804" ht="13.75" customHeight="1">
      <c r="A3804" s="833">
        <v>198</v>
      </c>
      <c r="B3804" t="s" s="834">
        <v>2599</v>
      </c>
      <c r="C3804" t="s" s="834">
        <v>700</v>
      </c>
      <c r="D3804" s="835">
        <v>46031</v>
      </c>
      <c r="E3804" t="s" s="834">
        <v>478</v>
      </c>
      <c r="F3804" t="s" s="834">
        <v>478</v>
      </c>
      <c r="G3804" s="570"/>
      <c r="H3804" s="570"/>
      <c r="I3804" s="570"/>
      <c r="J3804" s="570"/>
      <c r="K3804" s="570"/>
    </row>
    <row r="3805" ht="13.75" customHeight="1">
      <c r="A3805" s="833">
        <v>198</v>
      </c>
      <c r="B3805" t="s" s="834">
        <v>2599</v>
      </c>
      <c r="C3805" t="s" s="834">
        <v>700</v>
      </c>
      <c r="D3805" s="835">
        <v>46032</v>
      </c>
      <c r="E3805" t="s" s="834">
        <v>478</v>
      </c>
      <c r="F3805" t="s" s="834">
        <v>478</v>
      </c>
      <c r="G3805" s="570"/>
      <c r="H3805" s="570"/>
      <c r="I3805" s="570"/>
      <c r="J3805" s="570"/>
      <c r="K3805" s="570"/>
    </row>
    <row r="3806" ht="13.75" customHeight="1">
      <c r="A3806" s="833">
        <v>198</v>
      </c>
      <c r="B3806" t="s" s="834">
        <v>2599</v>
      </c>
      <c r="C3806" t="s" s="834">
        <v>700</v>
      </c>
      <c r="D3806" s="835">
        <v>46033</v>
      </c>
      <c r="E3806" s="836">
        <v>1.59630787037037</v>
      </c>
      <c r="F3806" s="836">
        <v>1.721608796296296</v>
      </c>
      <c r="G3806" s="570"/>
      <c r="H3806" s="570"/>
      <c r="I3806" s="570"/>
      <c r="J3806" s="570"/>
      <c r="K3806" s="570"/>
    </row>
    <row r="3807" ht="13.75" customHeight="1">
      <c r="A3807" t="s" s="834">
        <v>2608</v>
      </c>
      <c r="B3807" t="s" s="834">
        <v>2609</v>
      </c>
      <c r="C3807" t="s" s="834">
        <v>2610</v>
      </c>
      <c r="D3807" s="570"/>
      <c r="E3807" s="570"/>
      <c r="F3807" s="570"/>
      <c r="G3807" s="570"/>
      <c r="H3807" s="570"/>
      <c r="I3807" s="570"/>
      <c r="J3807" s="570"/>
      <c r="K3807" s="570"/>
    </row>
    <row r="3808" ht="13.75" customHeight="1">
      <c r="A3808" s="833">
        <v>198</v>
      </c>
      <c r="B3808" t="s" s="834">
        <v>2599</v>
      </c>
      <c r="C3808" t="s" s="834">
        <v>700</v>
      </c>
      <c r="D3808" s="835">
        <v>46034</v>
      </c>
      <c r="E3808" s="836">
        <v>1.403078703703704</v>
      </c>
      <c r="F3808" s="836">
        <v>1.856296296296296</v>
      </c>
      <c r="G3808" s="570"/>
      <c r="H3808" s="570"/>
      <c r="I3808" s="570"/>
      <c r="J3808" s="570"/>
      <c r="K3808" s="570"/>
    </row>
    <row r="3809" ht="13.75" customHeight="1">
      <c r="A3809" t="s" s="834">
        <v>2611</v>
      </c>
      <c r="B3809" t="s" s="834">
        <v>2612</v>
      </c>
      <c r="C3809" t="s" s="834">
        <v>506</v>
      </c>
      <c r="D3809" s="570"/>
      <c r="E3809" s="570"/>
      <c r="F3809" s="570"/>
      <c r="G3809" s="570"/>
      <c r="H3809" s="570"/>
      <c r="I3809" s="570"/>
      <c r="J3809" s="570"/>
      <c r="K3809" s="570"/>
    </row>
    <row r="3810" ht="13.75" customHeight="1">
      <c r="A3810" s="833">
        <v>198</v>
      </c>
      <c r="B3810" t="s" s="834">
        <v>2599</v>
      </c>
      <c r="C3810" t="s" s="834">
        <v>700</v>
      </c>
      <c r="D3810" s="835">
        <v>46035</v>
      </c>
      <c r="E3810" s="836">
        <v>1.354363425925926</v>
      </c>
      <c r="F3810" s="836">
        <v>1.721331018518518</v>
      </c>
      <c r="G3810" s="570"/>
      <c r="H3810" s="570"/>
      <c r="I3810" s="570"/>
      <c r="J3810" s="570"/>
      <c r="K3810" s="570"/>
    </row>
    <row r="3811" ht="13.75" customHeight="1">
      <c r="A3811" t="s" s="834">
        <v>2613</v>
      </c>
      <c r="B3811" t="s" s="834">
        <v>2614</v>
      </c>
      <c r="C3811" t="s" s="834">
        <v>1772</v>
      </c>
      <c r="D3811" s="570"/>
      <c r="E3811" s="570"/>
      <c r="F3811" s="570"/>
      <c r="G3811" s="570"/>
      <c r="H3811" s="570"/>
      <c r="I3811" s="570"/>
      <c r="J3811" s="570"/>
      <c r="K3811" s="570"/>
    </row>
    <row r="3812" ht="13.75" customHeight="1">
      <c r="A3812" s="833">
        <v>198</v>
      </c>
      <c r="B3812" t="s" s="834">
        <v>2599</v>
      </c>
      <c r="C3812" t="s" s="834">
        <v>700</v>
      </c>
      <c r="D3812" s="835">
        <v>46036</v>
      </c>
      <c r="E3812" s="836">
        <v>1.355729166666667</v>
      </c>
      <c r="F3812" s="836">
        <v>1.683148148148148</v>
      </c>
      <c r="G3812" s="570"/>
      <c r="H3812" s="570"/>
      <c r="I3812" s="570"/>
      <c r="J3812" s="570"/>
      <c r="K3812" s="570"/>
    </row>
    <row r="3813" ht="13.75" customHeight="1">
      <c r="A3813" t="s" s="834">
        <v>2615</v>
      </c>
      <c r="B3813" t="s" s="834">
        <v>2616</v>
      </c>
      <c r="C3813" t="s" s="834">
        <v>1925</v>
      </c>
      <c r="D3813" s="570"/>
      <c r="E3813" s="570"/>
      <c r="F3813" s="570"/>
      <c r="G3813" s="570"/>
      <c r="H3813" s="570"/>
      <c r="I3813" s="570"/>
      <c r="J3813" s="570"/>
      <c r="K3813" s="570"/>
    </row>
    <row r="3814" ht="13.75" customHeight="1">
      <c r="A3814" s="833">
        <v>198</v>
      </c>
      <c r="B3814" t="s" s="834">
        <v>2599</v>
      </c>
      <c r="C3814" t="s" s="834">
        <v>700</v>
      </c>
      <c r="D3814" s="835">
        <v>46037</v>
      </c>
      <c r="E3814" s="836">
        <v>1.357407407407407</v>
      </c>
      <c r="F3814" s="836">
        <v>1.917592592592593</v>
      </c>
      <c r="G3814" s="570"/>
      <c r="H3814" s="570"/>
      <c r="I3814" s="570"/>
      <c r="J3814" s="570"/>
      <c r="K3814" s="570"/>
    </row>
    <row r="3815" ht="13.75" customHeight="1">
      <c r="A3815" t="s" s="834">
        <v>2617</v>
      </c>
      <c r="B3815" t="s" s="834">
        <v>2618</v>
      </c>
      <c r="C3815" t="s" s="834">
        <v>2619</v>
      </c>
      <c r="D3815" s="570"/>
      <c r="E3815" s="570"/>
      <c r="F3815" s="570"/>
      <c r="G3815" s="570"/>
      <c r="H3815" s="570"/>
      <c r="I3815" s="570"/>
      <c r="J3815" s="570"/>
      <c r="K3815" s="570"/>
    </row>
    <row r="3816" ht="13.75" customHeight="1">
      <c r="A3816" s="833">
        <v>198</v>
      </c>
      <c r="B3816" t="s" s="834">
        <v>2599</v>
      </c>
      <c r="C3816" t="s" s="834">
        <v>700</v>
      </c>
      <c r="D3816" s="835">
        <v>46038</v>
      </c>
      <c r="E3816" s="836">
        <v>1.355590277777778</v>
      </c>
      <c r="F3816" s="836">
        <v>1.647430555555556</v>
      </c>
      <c r="G3816" s="570"/>
      <c r="H3816" s="570"/>
      <c r="I3816" s="570"/>
      <c r="J3816" s="570"/>
      <c r="K3816" s="570"/>
    </row>
    <row r="3817" ht="13.75" customHeight="1">
      <c r="A3817" t="s" s="834">
        <v>2620</v>
      </c>
      <c r="B3817" t="s" s="834">
        <v>2621</v>
      </c>
      <c r="C3817" t="s" s="834">
        <v>2505</v>
      </c>
      <c r="D3817" s="570"/>
      <c r="E3817" s="570"/>
      <c r="F3817" s="570"/>
      <c r="G3817" s="570"/>
      <c r="H3817" s="570"/>
      <c r="I3817" s="570"/>
      <c r="J3817" s="570"/>
      <c r="K3817" s="570"/>
    </row>
    <row r="3818" ht="13.75" customHeight="1">
      <c r="A3818" s="833">
        <v>198</v>
      </c>
      <c r="B3818" t="s" s="834">
        <v>2599</v>
      </c>
      <c r="C3818" t="s" s="834">
        <v>700</v>
      </c>
      <c r="D3818" s="835">
        <v>46039</v>
      </c>
      <c r="E3818" t="s" s="834">
        <v>478</v>
      </c>
      <c r="F3818" t="s" s="834">
        <v>478</v>
      </c>
      <c r="G3818" s="570"/>
      <c r="H3818" s="570"/>
      <c r="I3818" s="570"/>
      <c r="J3818" s="570"/>
      <c r="K3818" s="570"/>
    </row>
    <row r="3819" ht="13.75" customHeight="1">
      <c r="A3819" s="833">
        <v>198</v>
      </c>
      <c r="B3819" t="s" s="834">
        <v>2599</v>
      </c>
      <c r="C3819" t="s" s="834">
        <v>700</v>
      </c>
      <c r="D3819" s="835">
        <v>46040</v>
      </c>
      <c r="E3819" t="s" s="834">
        <v>478</v>
      </c>
      <c r="F3819" t="s" s="834">
        <v>478</v>
      </c>
      <c r="G3819" s="570"/>
      <c r="H3819" s="570"/>
      <c r="I3819" s="570"/>
      <c r="J3819" s="570"/>
      <c r="K3819" s="570"/>
    </row>
    <row r="3820" ht="13.75" customHeight="1">
      <c r="A3820" s="833">
        <v>198</v>
      </c>
      <c r="B3820" t="s" s="834">
        <v>2599</v>
      </c>
      <c r="C3820" t="s" s="834">
        <v>700</v>
      </c>
      <c r="D3820" s="835">
        <v>46041</v>
      </c>
      <c r="E3820" s="836">
        <v>1.40849537037037</v>
      </c>
      <c r="F3820" s="836">
        <v>1.873078703703704</v>
      </c>
      <c r="G3820" s="570"/>
      <c r="H3820" s="570"/>
      <c r="I3820" s="570"/>
      <c r="J3820" s="570"/>
      <c r="K3820" s="570"/>
    </row>
    <row r="3821" ht="13.75" customHeight="1">
      <c r="A3821" t="s" s="834">
        <v>2622</v>
      </c>
      <c r="B3821" t="s" s="834">
        <v>2623</v>
      </c>
      <c r="C3821" t="s" s="834">
        <v>1967</v>
      </c>
      <c r="D3821" s="570"/>
      <c r="E3821" s="570"/>
      <c r="F3821" s="570"/>
      <c r="G3821" s="570"/>
      <c r="H3821" s="570"/>
      <c r="I3821" s="570"/>
      <c r="J3821" s="570"/>
      <c r="K3821" s="570"/>
    </row>
    <row r="3822" ht="13.75" customHeight="1">
      <c r="A3822" s="833">
        <v>198</v>
      </c>
      <c r="B3822" t="s" s="834">
        <v>2599</v>
      </c>
      <c r="C3822" t="s" s="834">
        <v>700</v>
      </c>
      <c r="D3822" s="835">
        <v>46042</v>
      </c>
      <c r="E3822" s="836">
        <v>1.367337962962963</v>
      </c>
      <c r="F3822" s="836">
        <v>1.865</v>
      </c>
      <c r="G3822" s="570"/>
      <c r="H3822" s="570"/>
      <c r="I3822" s="570"/>
      <c r="J3822" s="570"/>
      <c r="K3822" s="570"/>
    </row>
    <row r="3823" ht="13.75" customHeight="1">
      <c r="A3823" t="s" s="834">
        <v>2624</v>
      </c>
      <c r="B3823" t="s" s="834">
        <v>2625</v>
      </c>
      <c r="C3823" t="s" s="834">
        <v>2626</v>
      </c>
      <c r="D3823" s="570"/>
      <c r="E3823" s="570"/>
      <c r="F3823" s="570"/>
      <c r="G3823" s="570"/>
      <c r="H3823" s="570"/>
      <c r="I3823" s="570"/>
      <c r="J3823" s="570"/>
      <c r="K3823" s="570"/>
    </row>
    <row r="3824" ht="13.75" customHeight="1">
      <c r="A3824" s="833">
        <v>198</v>
      </c>
      <c r="B3824" t="s" s="834">
        <v>2599</v>
      </c>
      <c r="C3824" t="s" s="834">
        <v>700</v>
      </c>
      <c r="D3824" s="835">
        <v>46043</v>
      </c>
      <c r="E3824" s="836">
        <v>1.423229166666667</v>
      </c>
      <c r="F3824" s="836">
        <v>1.771666666666667</v>
      </c>
      <c r="G3824" s="570"/>
      <c r="H3824" s="570"/>
      <c r="I3824" s="570"/>
      <c r="J3824" s="570"/>
      <c r="K3824" s="570"/>
    </row>
    <row r="3825" ht="13.75" customHeight="1">
      <c r="A3825" t="s" s="834">
        <v>2627</v>
      </c>
      <c r="B3825" t="s" s="834">
        <v>2628</v>
      </c>
      <c r="C3825" t="s" s="834">
        <v>2629</v>
      </c>
      <c r="D3825" s="570"/>
      <c r="E3825" s="570"/>
      <c r="F3825" s="570"/>
      <c r="G3825" s="570"/>
      <c r="H3825" s="570"/>
      <c r="I3825" s="570"/>
      <c r="J3825" s="570"/>
      <c r="K3825" s="570"/>
    </row>
    <row r="3826" ht="13.75" customHeight="1">
      <c r="A3826" s="833">
        <v>198</v>
      </c>
      <c r="B3826" t="s" s="834">
        <v>2599</v>
      </c>
      <c r="C3826" t="s" s="834">
        <v>700</v>
      </c>
      <c r="D3826" s="835">
        <v>46044</v>
      </c>
      <c r="E3826" t="s" s="834">
        <v>478</v>
      </c>
      <c r="F3826" t="s" s="834">
        <v>478</v>
      </c>
      <c r="G3826" s="570"/>
      <c r="H3826" s="570"/>
      <c r="I3826" s="570"/>
      <c r="J3826" s="570"/>
      <c r="K3826" s="570"/>
    </row>
    <row r="3827" ht="13.75" customHeight="1">
      <c r="A3827" s="833">
        <v>198</v>
      </c>
      <c r="B3827" t="s" s="834">
        <v>2599</v>
      </c>
      <c r="C3827" t="s" s="834">
        <v>700</v>
      </c>
      <c r="D3827" s="835">
        <v>46045</v>
      </c>
      <c r="E3827" t="s" s="834">
        <v>478</v>
      </c>
      <c r="F3827" t="s" s="834">
        <v>478</v>
      </c>
      <c r="G3827" s="570"/>
      <c r="H3827" s="570"/>
      <c r="I3827" s="570"/>
      <c r="J3827" s="570"/>
      <c r="K3827" s="570"/>
    </row>
    <row r="3828" ht="13.75" customHeight="1">
      <c r="A3828" s="833">
        <v>198</v>
      </c>
      <c r="B3828" t="s" s="834">
        <v>2599</v>
      </c>
      <c r="C3828" t="s" s="834">
        <v>700</v>
      </c>
      <c r="D3828" s="835">
        <v>46046</v>
      </c>
      <c r="E3828" t="s" s="834">
        <v>478</v>
      </c>
      <c r="F3828" t="s" s="834">
        <v>478</v>
      </c>
      <c r="G3828" s="570"/>
      <c r="H3828" s="570"/>
      <c r="I3828" s="570"/>
      <c r="J3828" s="570"/>
      <c r="K3828" s="570"/>
    </row>
    <row r="3829" ht="13.75" customHeight="1">
      <c r="A3829" s="833">
        <v>198</v>
      </c>
      <c r="B3829" t="s" s="834">
        <v>2599</v>
      </c>
      <c r="C3829" t="s" s="834">
        <v>700</v>
      </c>
      <c r="D3829" s="835">
        <v>46047</v>
      </c>
      <c r="E3829" t="s" s="834">
        <v>478</v>
      </c>
      <c r="F3829" t="s" s="834">
        <v>478</v>
      </c>
      <c r="G3829" s="570"/>
      <c r="H3829" s="570"/>
      <c r="I3829" s="570"/>
      <c r="J3829" s="570"/>
      <c r="K3829" s="570"/>
    </row>
    <row r="3830" ht="13.75" customHeight="1">
      <c r="A3830" s="833">
        <v>198</v>
      </c>
      <c r="B3830" t="s" s="834">
        <v>2599</v>
      </c>
      <c r="C3830" t="s" s="834">
        <v>700</v>
      </c>
      <c r="D3830" s="835">
        <v>46048</v>
      </c>
      <c r="E3830" t="s" s="834">
        <v>478</v>
      </c>
      <c r="F3830" t="s" s="834">
        <v>478</v>
      </c>
      <c r="G3830" s="570"/>
      <c r="H3830" s="570"/>
      <c r="I3830" s="570"/>
      <c r="J3830" s="570"/>
      <c r="K3830" s="570"/>
    </row>
    <row r="3831" ht="13.75" customHeight="1">
      <c r="A3831" s="833">
        <v>198</v>
      </c>
      <c r="B3831" t="s" s="834">
        <v>2599</v>
      </c>
      <c r="C3831" t="s" s="834">
        <v>700</v>
      </c>
      <c r="D3831" s="835">
        <v>46049</v>
      </c>
      <c r="E3831" s="836">
        <v>1.400555555555556</v>
      </c>
      <c r="F3831" s="836">
        <v>1.787592592592593</v>
      </c>
      <c r="G3831" s="570"/>
      <c r="H3831" s="570"/>
      <c r="I3831" s="570"/>
      <c r="J3831" s="570"/>
      <c r="K3831" s="570"/>
    </row>
    <row r="3832" ht="13.75" customHeight="1">
      <c r="A3832" t="s" s="834">
        <v>2630</v>
      </c>
      <c r="B3832" t="s" s="834">
        <v>2631</v>
      </c>
      <c r="C3832" t="s" s="834">
        <v>995</v>
      </c>
      <c r="D3832" s="570"/>
      <c r="E3832" s="570"/>
      <c r="F3832" s="570"/>
      <c r="G3832" s="570"/>
      <c r="H3832" s="570"/>
      <c r="I3832" s="570"/>
      <c r="J3832" s="570"/>
      <c r="K3832" s="570"/>
    </row>
    <row r="3833" ht="13.75" customHeight="1">
      <c r="A3833" s="833">
        <v>198</v>
      </c>
      <c r="B3833" t="s" s="834">
        <v>2599</v>
      </c>
      <c r="C3833" t="s" s="834">
        <v>700</v>
      </c>
      <c r="D3833" s="835">
        <v>46050</v>
      </c>
      <c r="E3833" s="836">
        <v>1.419814814814815</v>
      </c>
      <c r="F3833" s="836">
        <v>1.805775462962963</v>
      </c>
      <c r="G3833" s="570"/>
      <c r="H3833" s="570"/>
      <c r="I3833" s="570"/>
      <c r="J3833" s="570"/>
      <c r="K3833" s="570"/>
    </row>
    <row r="3834" ht="13.75" customHeight="1">
      <c r="A3834" t="s" s="834">
        <v>2632</v>
      </c>
      <c r="B3834" t="s" s="834">
        <v>2633</v>
      </c>
      <c r="C3834" t="s" s="834">
        <v>834</v>
      </c>
      <c r="D3834" s="570"/>
      <c r="E3834" s="570"/>
      <c r="F3834" s="570"/>
      <c r="G3834" s="570"/>
      <c r="H3834" s="570"/>
      <c r="I3834" s="570"/>
      <c r="J3834" s="570"/>
      <c r="K3834" s="570"/>
    </row>
    <row r="3835" ht="13.75" customHeight="1">
      <c r="A3835" s="833">
        <v>198</v>
      </c>
      <c r="B3835" t="s" s="834">
        <v>2599</v>
      </c>
      <c r="C3835" t="s" s="834">
        <v>700</v>
      </c>
      <c r="D3835" s="835">
        <v>46051</v>
      </c>
      <c r="E3835" s="836">
        <v>1.416631944444444</v>
      </c>
      <c r="F3835" s="836">
        <v>1.792141203703704</v>
      </c>
      <c r="G3835" s="570"/>
      <c r="H3835" s="570"/>
      <c r="I3835" s="570"/>
      <c r="J3835" s="570"/>
      <c r="K3835" s="570"/>
    </row>
    <row r="3836" ht="13.75" customHeight="1">
      <c r="A3836" t="s" s="834">
        <v>2634</v>
      </c>
      <c r="B3836" t="s" s="834">
        <v>2635</v>
      </c>
      <c r="C3836" t="s" s="834">
        <v>556</v>
      </c>
      <c r="D3836" s="570"/>
      <c r="E3836" s="570"/>
      <c r="F3836" s="570"/>
      <c r="G3836" s="570"/>
      <c r="H3836" s="570"/>
      <c r="I3836" s="570"/>
      <c r="J3836" s="570"/>
      <c r="K3836" s="570"/>
    </row>
    <row r="3837" ht="13.75" customHeight="1">
      <c r="A3837" s="833">
        <v>198</v>
      </c>
      <c r="B3837" t="s" s="834">
        <v>2599</v>
      </c>
      <c r="C3837" t="s" s="834">
        <v>700</v>
      </c>
      <c r="D3837" s="835">
        <v>46052</v>
      </c>
      <c r="E3837" t="s" s="834">
        <v>478</v>
      </c>
      <c r="F3837" t="s" s="834">
        <v>478</v>
      </c>
      <c r="G3837" s="570"/>
      <c r="H3837" s="570"/>
      <c r="I3837" s="570"/>
      <c r="J3837" s="570"/>
      <c r="K3837" s="570"/>
    </row>
    <row r="3838" ht="13.75" customHeight="1">
      <c r="A3838" s="833">
        <v>198</v>
      </c>
      <c r="B3838" t="s" s="834">
        <v>2599</v>
      </c>
      <c r="C3838" t="s" s="834">
        <v>700</v>
      </c>
      <c r="D3838" s="835">
        <v>46053</v>
      </c>
      <c r="E3838" t="s" s="834">
        <v>478</v>
      </c>
      <c r="F3838" t="s" s="834">
        <v>478</v>
      </c>
      <c r="G3838" s="570"/>
      <c r="H3838" s="570"/>
      <c r="I3838" s="570"/>
      <c r="J3838" s="570"/>
      <c r="K3838" s="570"/>
    </row>
    <row r="3839" ht="13.75" customHeight="1">
      <c r="A3839" s="833">
        <v>198</v>
      </c>
      <c r="B3839" t="s" s="834">
        <v>2599</v>
      </c>
      <c r="C3839" t="s" s="834">
        <v>700</v>
      </c>
      <c r="D3839" s="835">
        <v>46054</v>
      </c>
      <c r="E3839" t="s" s="834">
        <v>478</v>
      </c>
      <c r="F3839" t="s" s="834">
        <v>478</v>
      </c>
      <c r="G3839" s="570"/>
      <c r="H3839" s="570"/>
      <c r="I3839" s="570"/>
      <c r="J3839" s="570"/>
      <c r="K3839" s="570"/>
    </row>
    <row r="3840" ht="13.75" customHeight="1">
      <c r="A3840" s="833">
        <v>199</v>
      </c>
      <c r="B3840" t="s" s="834">
        <v>2636</v>
      </c>
      <c r="C3840" t="s" s="834">
        <v>1010</v>
      </c>
      <c r="D3840" s="835">
        <v>46023</v>
      </c>
      <c r="E3840" t="s" s="834">
        <v>478</v>
      </c>
      <c r="F3840" t="s" s="834">
        <v>478</v>
      </c>
      <c r="G3840" s="570"/>
      <c r="H3840" s="570"/>
      <c r="I3840" s="570"/>
      <c r="J3840" s="570"/>
      <c r="K3840" s="570"/>
    </row>
    <row r="3841" ht="13.75" customHeight="1">
      <c r="A3841" s="833">
        <v>199</v>
      </c>
      <c r="B3841" t="s" s="834">
        <v>2636</v>
      </c>
      <c r="C3841" t="s" s="834">
        <v>1010</v>
      </c>
      <c r="D3841" s="835">
        <v>46024</v>
      </c>
      <c r="E3841" t="s" s="834">
        <v>478</v>
      </c>
      <c r="F3841" t="s" s="834">
        <v>478</v>
      </c>
      <c r="G3841" s="570"/>
      <c r="H3841" s="570"/>
      <c r="I3841" s="570"/>
      <c r="J3841" s="570"/>
      <c r="K3841" s="570"/>
    </row>
    <row r="3842" ht="13.75" customHeight="1">
      <c r="A3842" s="833">
        <v>199</v>
      </c>
      <c r="B3842" t="s" s="834">
        <v>2636</v>
      </c>
      <c r="C3842" t="s" s="834">
        <v>1010</v>
      </c>
      <c r="D3842" s="835">
        <v>46025</v>
      </c>
      <c r="E3842" t="s" s="834">
        <v>478</v>
      </c>
      <c r="F3842" t="s" s="834">
        <v>478</v>
      </c>
      <c r="G3842" s="570"/>
      <c r="H3842" s="570"/>
      <c r="I3842" s="570"/>
      <c r="J3842" s="570"/>
      <c r="K3842" s="570"/>
    </row>
    <row r="3843" ht="13.75" customHeight="1">
      <c r="A3843" s="833">
        <v>199</v>
      </c>
      <c r="B3843" t="s" s="834">
        <v>2636</v>
      </c>
      <c r="C3843" t="s" s="834">
        <v>1010</v>
      </c>
      <c r="D3843" s="835">
        <v>46026</v>
      </c>
      <c r="E3843" t="s" s="834">
        <v>478</v>
      </c>
      <c r="F3843" t="s" s="834">
        <v>478</v>
      </c>
      <c r="G3843" s="570"/>
      <c r="H3843" s="570"/>
      <c r="I3843" s="570"/>
      <c r="J3843" s="570"/>
      <c r="K3843" s="570"/>
    </row>
    <row r="3844" ht="13.75" customHeight="1">
      <c r="A3844" s="833">
        <v>199</v>
      </c>
      <c r="B3844" t="s" s="834">
        <v>2636</v>
      </c>
      <c r="C3844" t="s" s="834">
        <v>1010</v>
      </c>
      <c r="D3844" s="835">
        <v>46027</v>
      </c>
      <c r="E3844" s="836">
        <v>1.355972222222222</v>
      </c>
      <c r="F3844" s="836">
        <v>1.797291666666667</v>
      </c>
      <c r="G3844" s="570"/>
      <c r="H3844" s="570"/>
      <c r="I3844" s="570"/>
      <c r="J3844" s="570"/>
      <c r="K3844" s="570"/>
    </row>
    <row r="3845" ht="13.75" customHeight="1">
      <c r="A3845" t="s" s="834">
        <v>2637</v>
      </c>
      <c r="B3845" t="s" s="834">
        <v>2638</v>
      </c>
      <c r="C3845" t="s" s="834">
        <v>1951</v>
      </c>
      <c r="D3845" s="570"/>
      <c r="E3845" s="570"/>
      <c r="F3845" s="570"/>
      <c r="G3845" s="570"/>
      <c r="H3845" s="570"/>
      <c r="I3845" s="570"/>
      <c r="J3845" s="570"/>
      <c r="K3845" s="570"/>
    </row>
    <row r="3846" ht="13.75" customHeight="1">
      <c r="A3846" s="833">
        <v>199</v>
      </c>
      <c r="B3846" t="s" s="834">
        <v>2636</v>
      </c>
      <c r="C3846" t="s" s="834">
        <v>1010</v>
      </c>
      <c r="D3846" s="835">
        <v>46028</v>
      </c>
      <c r="E3846" s="836">
        <v>1.361527777777778</v>
      </c>
      <c r="F3846" s="836">
        <v>1.866608796296296</v>
      </c>
      <c r="G3846" s="570"/>
      <c r="H3846" s="570"/>
      <c r="I3846" s="570"/>
      <c r="J3846" s="570"/>
      <c r="K3846" s="570"/>
    </row>
    <row r="3847" ht="13.75" customHeight="1">
      <c r="A3847" t="s" s="834">
        <v>2639</v>
      </c>
      <c r="B3847" t="s" s="834">
        <v>2640</v>
      </c>
      <c r="C3847" t="s" s="834">
        <v>2641</v>
      </c>
      <c r="D3847" s="570"/>
      <c r="E3847" s="570"/>
      <c r="F3847" s="570"/>
      <c r="G3847" s="570"/>
      <c r="H3847" s="570"/>
      <c r="I3847" s="570"/>
      <c r="J3847" s="570"/>
      <c r="K3847" s="570"/>
    </row>
    <row r="3848" ht="13.75" customHeight="1">
      <c r="A3848" s="833">
        <v>199</v>
      </c>
      <c r="B3848" t="s" s="834">
        <v>2636</v>
      </c>
      <c r="C3848" t="s" s="834">
        <v>1010</v>
      </c>
      <c r="D3848" s="835">
        <v>46029</v>
      </c>
      <c r="E3848" s="836">
        <v>1.359884259259259</v>
      </c>
      <c r="F3848" s="836">
        <v>1.640300925925926</v>
      </c>
      <c r="G3848" s="570"/>
      <c r="H3848" s="570"/>
      <c r="I3848" s="570"/>
      <c r="J3848" s="570"/>
      <c r="K3848" s="570"/>
    </row>
    <row r="3849" ht="13.75" customHeight="1">
      <c r="A3849" t="s" s="834">
        <v>2642</v>
      </c>
      <c r="B3849" t="s" s="834">
        <v>2643</v>
      </c>
      <c r="C3849" t="s" s="834">
        <v>2644</v>
      </c>
      <c r="D3849" s="570"/>
      <c r="E3849" s="570"/>
      <c r="F3849" s="570"/>
      <c r="G3849" s="570"/>
      <c r="H3849" s="570"/>
      <c r="I3849" s="570"/>
      <c r="J3849" s="570"/>
      <c r="K3849" s="570"/>
    </row>
    <row r="3850" ht="13.75" customHeight="1">
      <c r="A3850" s="833">
        <v>199</v>
      </c>
      <c r="B3850" t="s" s="834">
        <v>2636</v>
      </c>
      <c r="C3850" t="s" s="834">
        <v>1010</v>
      </c>
      <c r="D3850" s="835">
        <v>46030</v>
      </c>
      <c r="E3850" s="836">
        <v>1.360127314814815</v>
      </c>
      <c r="F3850" s="836">
        <v>1.801030092592593</v>
      </c>
      <c r="G3850" s="570"/>
      <c r="H3850" s="570"/>
      <c r="I3850" s="570"/>
      <c r="J3850" s="570"/>
      <c r="K3850" s="570"/>
    </row>
    <row r="3851" ht="13.75" customHeight="1">
      <c r="A3851" t="s" s="834">
        <v>2645</v>
      </c>
      <c r="B3851" t="s" s="834">
        <v>2646</v>
      </c>
      <c r="C3851" t="s" s="834">
        <v>1834</v>
      </c>
      <c r="D3851" s="570"/>
      <c r="E3851" s="570"/>
      <c r="F3851" s="570"/>
      <c r="G3851" s="570"/>
      <c r="H3851" s="570"/>
      <c r="I3851" s="570"/>
      <c r="J3851" s="570"/>
      <c r="K3851" s="570"/>
    </row>
    <row r="3852" ht="13.75" customHeight="1">
      <c r="A3852" s="833">
        <v>199</v>
      </c>
      <c r="B3852" t="s" s="834">
        <v>2636</v>
      </c>
      <c r="C3852" t="s" s="834">
        <v>1010</v>
      </c>
      <c r="D3852" s="835">
        <v>46031</v>
      </c>
      <c r="E3852" s="836">
        <v>1.354421296296296</v>
      </c>
      <c r="F3852" s="836">
        <v>1.778819444444444</v>
      </c>
      <c r="G3852" s="570"/>
      <c r="H3852" s="570"/>
      <c r="I3852" s="570"/>
      <c r="J3852" s="570"/>
      <c r="K3852" s="570"/>
    </row>
    <row r="3853" ht="13.75" customHeight="1">
      <c r="A3853" t="s" s="834">
        <v>2647</v>
      </c>
      <c r="B3853" t="s" s="834">
        <v>2648</v>
      </c>
      <c r="C3853" t="s" s="834">
        <v>623</v>
      </c>
      <c r="D3853" s="570"/>
      <c r="E3853" s="570"/>
      <c r="F3853" s="570"/>
      <c r="G3853" s="570"/>
      <c r="H3853" s="570"/>
      <c r="I3853" s="570"/>
      <c r="J3853" s="570"/>
      <c r="K3853" s="570"/>
    </row>
    <row r="3854" ht="13.75" customHeight="1">
      <c r="A3854" s="833">
        <v>199</v>
      </c>
      <c r="B3854" t="s" s="834">
        <v>2636</v>
      </c>
      <c r="C3854" t="s" s="834">
        <v>1010</v>
      </c>
      <c r="D3854" s="835">
        <v>46032</v>
      </c>
      <c r="E3854" s="836">
        <v>1.367106481481482</v>
      </c>
      <c r="F3854" s="836">
        <v>1.788449074074074</v>
      </c>
      <c r="G3854" s="570"/>
      <c r="H3854" s="570"/>
      <c r="I3854" s="570"/>
      <c r="J3854" s="570"/>
      <c r="K3854" s="570"/>
    </row>
    <row r="3855" ht="13.75" customHeight="1">
      <c r="A3855" t="s" s="834">
        <v>2649</v>
      </c>
      <c r="B3855" t="s" s="834">
        <v>2650</v>
      </c>
      <c r="C3855" t="s" s="834">
        <v>620</v>
      </c>
      <c r="D3855" s="570"/>
      <c r="E3855" s="570"/>
      <c r="F3855" s="570"/>
      <c r="G3855" s="570"/>
      <c r="H3855" s="570"/>
      <c r="I3855" s="570"/>
      <c r="J3855" s="570"/>
      <c r="K3855" s="570"/>
    </row>
    <row r="3856" ht="13.75" customHeight="1">
      <c r="A3856" s="833">
        <v>199</v>
      </c>
      <c r="B3856" t="s" s="834">
        <v>2636</v>
      </c>
      <c r="C3856" t="s" s="834">
        <v>1010</v>
      </c>
      <c r="D3856" s="835">
        <v>46033</v>
      </c>
      <c r="E3856" t="s" s="834">
        <v>478</v>
      </c>
      <c r="F3856" t="s" s="834">
        <v>478</v>
      </c>
      <c r="G3856" s="570"/>
      <c r="H3856" s="570"/>
      <c r="I3856" s="570"/>
      <c r="J3856" s="570"/>
      <c r="K3856" s="570"/>
    </row>
    <row r="3857" ht="13.75" customHeight="1">
      <c r="A3857" s="833">
        <v>199</v>
      </c>
      <c r="B3857" t="s" s="834">
        <v>2636</v>
      </c>
      <c r="C3857" t="s" s="834">
        <v>1010</v>
      </c>
      <c r="D3857" s="835">
        <v>46034</v>
      </c>
      <c r="E3857" s="836">
        <v>1.339305555555556</v>
      </c>
      <c r="F3857" s="836">
        <v>1.754618055555556</v>
      </c>
      <c r="G3857" s="570"/>
      <c r="H3857" s="570"/>
      <c r="I3857" s="570"/>
      <c r="J3857" s="570"/>
      <c r="K3857" s="570"/>
    </row>
    <row r="3858" ht="13.75" customHeight="1">
      <c r="A3858" t="s" s="834">
        <v>2651</v>
      </c>
      <c r="B3858" t="s" s="834">
        <v>2652</v>
      </c>
      <c r="C3858" t="s" s="834">
        <v>1124</v>
      </c>
      <c r="D3858" s="570"/>
      <c r="E3858" s="570"/>
      <c r="F3858" s="570"/>
      <c r="G3858" s="570"/>
      <c r="H3858" s="570"/>
      <c r="I3858" s="570"/>
      <c r="J3858" s="570"/>
      <c r="K3858" s="570"/>
    </row>
    <row r="3859" ht="13.75" customHeight="1">
      <c r="A3859" s="833">
        <v>199</v>
      </c>
      <c r="B3859" t="s" s="834">
        <v>2636</v>
      </c>
      <c r="C3859" t="s" s="834">
        <v>1010</v>
      </c>
      <c r="D3859" s="835">
        <v>46035</v>
      </c>
      <c r="E3859" s="836">
        <v>1.547627314814815</v>
      </c>
      <c r="F3859" s="836">
        <v>1.773819444444444</v>
      </c>
      <c r="G3859" s="570"/>
      <c r="H3859" s="570"/>
      <c r="I3859" s="570"/>
      <c r="J3859" s="570"/>
      <c r="K3859" s="570"/>
    </row>
    <row r="3860" ht="13.75" customHeight="1">
      <c r="A3860" t="s" s="834">
        <v>2653</v>
      </c>
      <c r="B3860" t="s" s="834">
        <v>2654</v>
      </c>
      <c r="C3860" t="s" s="834">
        <v>2655</v>
      </c>
      <c r="D3860" s="570"/>
      <c r="E3860" s="570"/>
      <c r="F3860" s="570"/>
      <c r="G3860" s="570"/>
      <c r="H3860" s="570"/>
      <c r="I3860" s="570"/>
      <c r="J3860" s="570"/>
      <c r="K3860" s="570"/>
    </row>
    <row r="3861" ht="13.75" customHeight="1">
      <c r="A3861" s="833">
        <v>199</v>
      </c>
      <c r="B3861" t="s" s="834">
        <v>2636</v>
      </c>
      <c r="C3861" t="s" s="834">
        <v>1010</v>
      </c>
      <c r="D3861" s="835">
        <v>46036</v>
      </c>
      <c r="E3861" s="836">
        <v>1.364039351851852</v>
      </c>
      <c r="F3861" s="836">
        <v>1.773229166666667</v>
      </c>
      <c r="G3861" s="570"/>
      <c r="H3861" s="570"/>
      <c r="I3861" s="570"/>
      <c r="J3861" s="570"/>
      <c r="K3861" s="570"/>
    </row>
    <row r="3862" ht="13.75" customHeight="1">
      <c r="A3862" t="s" s="834">
        <v>2656</v>
      </c>
      <c r="B3862" t="s" s="834">
        <v>2657</v>
      </c>
      <c r="C3862" t="s" s="834">
        <v>600</v>
      </c>
      <c r="D3862" s="570"/>
      <c r="E3862" s="570"/>
      <c r="F3862" s="570"/>
      <c r="G3862" s="570"/>
      <c r="H3862" s="570"/>
      <c r="I3862" s="570"/>
      <c r="J3862" s="570"/>
      <c r="K3862" s="570"/>
    </row>
    <row r="3863" ht="13.75" customHeight="1">
      <c r="A3863" s="833">
        <v>199</v>
      </c>
      <c r="B3863" t="s" s="834">
        <v>2636</v>
      </c>
      <c r="C3863" t="s" s="834">
        <v>1010</v>
      </c>
      <c r="D3863" s="835">
        <v>46037</v>
      </c>
      <c r="E3863" s="836">
        <v>1.333784722222222</v>
      </c>
      <c r="F3863" s="836">
        <v>1.775439814814815</v>
      </c>
      <c r="G3863" s="570"/>
      <c r="H3863" s="570"/>
      <c r="I3863" s="570"/>
      <c r="J3863" s="570"/>
      <c r="K3863" s="570"/>
    </row>
    <row r="3864" ht="13.75" customHeight="1">
      <c r="A3864" t="s" s="834">
        <v>2658</v>
      </c>
      <c r="B3864" t="s" s="834">
        <v>2659</v>
      </c>
      <c r="C3864" t="s" s="834">
        <v>1951</v>
      </c>
      <c r="D3864" s="570"/>
      <c r="E3864" s="570"/>
      <c r="F3864" s="570"/>
      <c r="G3864" s="570"/>
      <c r="H3864" s="570"/>
      <c r="I3864" s="570"/>
      <c r="J3864" s="570"/>
      <c r="K3864" s="570"/>
    </row>
    <row r="3865" ht="13.75" customHeight="1">
      <c r="A3865" s="833">
        <v>199</v>
      </c>
      <c r="B3865" t="s" s="834">
        <v>2636</v>
      </c>
      <c r="C3865" t="s" s="834">
        <v>1010</v>
      </c>
      <c r="D3865" s="835">
        <v>46038</v>
      </c>
      <c r="E3865" s="836">
        <v>1.339178240740741</v>
      </c>
      <c r="F3865" s="836">
        <v>1.798310185185185</v>
      </c>
      <c r="G3865" s="570"/>
      <c r="H3865" s="570"/>
      <c r="I3865" s="570"/>
      <c r="J3865" s="570"/>
      <c r="K3865" s="570"/>
    </row>
    <row r="3866" ht="13.75" customHeight="1">
      <c r="A3866" t="s" s="834">
        <v>2660</v>
      </c>
      <c r="B3866" t="s" s="834">
        <v>2661</v>
      </c>
      <c r="C3866" t="s" s="834">
        <v>2662</v>
      </c>
      <c r="D3866" s="570"/>
      <c r="E3866" s="570"/>
      <c r="F3866" s="570"/>
      <c r="G3866" s="570"/>
      <c r="H3866" s="570"/>
      <c r="I3866" s="570"/>
      <c r="J3866" s="570"/>
      <c r="K3866" s="570"/>
    </row>
    <row r="3867" ht="13.75" customHeight="1">
      <c r="A3867" s="833">
        <v>199</v>
      </c>
      <c r="B3867" t="s" s="834">
        <v>2636</v>
      </c>
      <c r="C3867" t="s" s="834">
        <v>1010</v>
      </c>
      <c r="D3867" s="835">
        <v>46039</v>
      </c>
      <c r="E3867" t="s" s="834">
        <v>478</v>
      </c>
      <c r="F3867" t="s" s="834">
        <v>478</v>
      </c>
      <c r="G3867" s="570"/>
      <c r="H3867" s="570"/>
      <c r="I3867" s="570"/>
      <c r="J3867" s="570"/>
      <c r="K3867" s="570"/>
    </row>
    <row r="3868" ht="13.75" customHeight="1">
      <c r="A3868" s="833">
        <v>199</v>
      </c>
      <c r="B3868" t="s" s="834">
        <v>2636</v>
      </c>
      <c r="C3868" t="s" s="834">
        <v>1010</v>
      </c>
      <c r="D3868" s="835">
        <v>46040</v>
      </c>
      <c r="E3868" t="s" s="834">
        <v>478</v>
      </c>
      <c r="F3868" t="s" s="834">
        <v>478</v>
      </c>
      <c r="G3868" s="570"/>
      <c r="H3868" s="570"/>
      <c r="I3868" s="570"/>
      <c r="J3868" s="570"/>
      <c r="K3868" s="570"/>
    </row>
    <row r="3869" ht="13.75" customHeight="1">
      <c r="A3869" s="833">
        <v>199</v>
      </c>
      <c r="B3869" t="s" s="834">
        <v>2636</v>
      </c>
      <c r="C3869" t="s" s="834">
        <v>1010</v>
      </c>
      <c r="D3869" s="835">
        <v>46041</v>
      </c>
      <c r="E3869" s="836">
        <v>1.365092592592593</v>
      </c>
      <c r="F3869" s="836">
        <v>1.801331018518519</v>
      </c>
      <c r="G3869" s="570"/>
      <c r="H3869" s="570"/>
      <c r="I3869" s="570"/>
      <c r="J3869" s="570"/>
      <c r="K3869" s="570"/>
    </row>
    <row r="3870" ht="13.75" customHeight="1">
      <c r="A3870" t="s" s="834">
        <v>2663</v>
      </c>
      <c r="B3870" t="s" s="834">
        <v>2664</v>
      </c>
      <c r="C3870" t="s" s="834">
        <v>1526</v>
      </c>
      <c r="D3870" s="570"/>
      <c r="E3870" s="570"/>
      <c r="F3870" s="570"/>
      <c r="G3870" s="570"/>
      <c r="H3870" s="570"/>
      <c r="I3870" s="570"/>
      <c r="J3870" s="570"/>
      <c r="K3870" s="570"/>
    </row>
    <row r="3871" ht="13.75" customHeight="1">
      <c r="A3871" s="833">
        <v>199</v>
      </c>
      <c r="B3871" t="s" s="834">
        <v>2636</v>
      </c>
      <c r="C3871" t="s" s="834">
        <v>1010</v>
      </c>
      <c r="D3871" s="835">
        <v>46042</v>
      </c>
      <c r="E3871" s="836">
        <v>1.358761574074074</v>
      </c>
      <c r="F3871" s="836">
        <v>1.829409722222222</v>
      </c>
      <c r="G3871" s="570"/>
      <c r="H3871" s="570"/>
      <c r="I3871" s="570"/>
      <c r="J3871" s="570"/>
      <c r="K3871" s="570"/>
    </row>
    <row r="3872" ht="13.75" customHeight="1">
      <c r="A3872" t="s" s="834">
        <v>2665</v>
      </c>
      <c r="B3872" t="s" s="834">
        <v>2666</v>
      </c>
      <c r="C3872" t="s" s="834">
        <v>2305</v>
      </c>
      <c r="D3872" s="570"/>
      <c r="E3872" s="570"/>
      <c r="F3872" s="570"/>
      <c r="G3872" s="570"/>
      <c r="H3872" s="570"/>
      <c r="I3872" s="570"/>
      <c r="J3872" s="570"/>
      <c r="K3872" s="570"/>
    </row>
    <row r="3873" ht="13.75" customHeight="1">
      <c r="A3873" s="833">
        <v>199</v>
      </c>
      <c r="B3873" t="s" s="834">
        <v>2636</v>
      </c>
      <c r="C3873" t="s" s="834">
        <v>1010</v>
      </c>
      <c r="D3873" s="835">
        <v>46043</v>
      </c>
      <c r="E3873" s="836">
        <v>1.567291666666667</v>
      </c>
      <c r="F3873" s="836">
        <v>1.786261574074074</v>
      </c>
      <c r="G3873" s="570"/>
      <c r="H3873" s="570"/>
      <c r="I3873" s="570"/>
      <c r="J3873" s="570"/>
      <c r="K3873" s="570"/>
    </row>
    <row r="3874" ht="13.75" customHeight="1">
      <c r="A3874" t="s" s="834">
        <v>2667</v>
      </c>
      <c r="B3874" t="s" s="834">
        <v>2668</v>
      </c>
      <c r="C3874" t="s" s="834">
        <v>2669</v>
      </c>
      <c r="D3874" s="570"/>
      <c r="E3874" s="570"/>
      <c r="F3874" s="570"/>
      <c r="G3874" s="570"/>
      <c r="H3874" s="570"/>
      <c r="I3874" s="570"/>
      <c r="J3874" s="570"/>
      <c r="K3874" s="570"/>
    </row>
    <row r="3875" ht="13.75" customHeight="1">
      <c r="A3875" s="833">
        <v>199</v>
      </c>
      <c r="B3875" t="s" s="834">
        <v>2636</v>
      </c>
      <c r="C3875" t="s" s="834">
        <v>1010</v>
      </c>
      <c r="D3875" s="835">
        <v>46044</v>
      </c>
      <c r="E3875" s="836">
        <v>1.359884259259259</v>
      </c>
      <c r="F3875" s="836">
        <v>1.796122685185185</v>
      </c>
      <c r="G3875" s="570"/>
      <c r="H3875" s="570"/>
      <c r="I3875" s="570"/>
      <c r="J3875" s="570"/>
      <c r="K3875" s="570"/>
    </row>
    <row r="3876" ht="13.75" customHeight="1">
      <c r="A3876" t="s" s="834">
        <v>2670</v>
      </c>
      <c r="B3876" t="s" s="834">
        <v>2671</v>
      </c>
      <c r="C3876" t="s" s="834">
        <v>1526</v>
      </c>
      <c r="D3876" s="570"/>
      <c r="E3876" s="570"/>
      <c r="F3876" s="570"/>
      <c r="G3876" s="570"/>
      <c r="H3876" s="570"/>
      <c r="I3876" s="570"/>
      <c r="J3876" s="570"/>
      <c r="K3876" s="570"/>
    </row>
    <row r="3877" ht="13.75" customHeight="1">
      <c r="A3877" s="833">
        <v>199</v>
      </c>
      <c r="B3877" t="s" s="834">
        <v>2636</v>
      </c>
      <c r="C3877" t="s" s="834">
        <v>1010</v>
      </c>
      <c r="D3877" s="835">
        <v>46045</v>
      </c>
      <c r="E3877" s="836">
        <v>1.351516203703704</v>
      </c>
      <c r="F3877" s="836">
        <v>1.763599537037037</v>
      </c>
      <c r="G3877" s="570"/>
      <c r="H3877" s="570"/>
      <c r="I3877" s="570"/>
      <c r="J3877" s="570"/>
      <c r="K3877" s="570"/>
    </row>
    <row r="3878" ht="13.75" customHeight="1">
      <c r="A3878" t="s" s="834">
        <v>2672</v>
      </c>
      <c r="B3878" t="s" s="834">
        <v>2673</v>
      </c>
      <c r="C3878" t="s" s="834">
        <v>597</v>
      </c>
      <c r="D3878" s="570"/>
      <c r="E3878" s="570"/>
      <c r="F3878" s="570"/>
      <c r="G3878" s="570"/>
      <c r="H3878" s="570"/>
      <c r="I3878" s="570"/>
      <c r="J3878" s="570"/>
      <c r="K3878" s="570"/>
    </row>
    <row r="3879" ht="13.75" customHeight="1">
      <c r="A3879" s="833">
        <v>199</v>
      </c>
      <c r="B3879" t="s" s="834">
        <v>2636</v>
      </c>
      <c r="C3879" t="s" s="834">
        <v>1010</v>
      </c>
      <c r="D3879" s="835">
        <v>46046</v>
      </c>
      <c r="E3879" t="s" s="834">
        <v>478</v>
      </c>
      <c r="F3879" t="s" s="834">
        <v>478</v>
      </c>
      <c r="G3879" s="570"/>
      <c r="H3879" s="570"/>
      <c r="I3879" s="570"/>
      <c r="J3879" s="570"/>
      <c r="K3879" s="570"/>
    </row>
    <row r="3880" ht="13.75" customHeight="1">
      <c r="A3880" s="833">
        <v>199</v>
      </c>
      <c r="B3880" t="s" s="834">
        <v>2636</v>
      </c>
      <c r="C3880" t="s" s="834">
        <v>1010</v>
      </c>
      <c r="D3880" s="835">
        <v>46047</v>
      </c>
      <c r="E3880" t="s" s="834">
        <v>478</v>
      </c>
      <c r="F3880" t="s" s="834">
        <v>478</v>
      </c>
      <c r="G3880" s="570"/>
      <c r="H3880" s="570"/>
      <c r="I3880" s="570"/>
      <c r="J3880" s="570"/>
      <c r="K3880" s="570"/>
    </row>
    <row r="3881" ht="13.75" customHeight="1">
      <c r="A3881" s="833">
        <v>199</v>
      </c>
      <c r="B3881" t="s" s="834">
        <v>2636</v>
      </c>
      <c r="C3881" t="s" s="834">
        <v>1010</v>
      </c>
      <c r="D3881" s="835">
        <v>46048</v>
      </c>
      <c r="E3881" s="836">
        <v>1.355115740740741</v>
      </c>
      <c r="F3881" s="836">
        <v>1.764780092592593</v>
      </c>
      <c r="G3881" s="570"/>
      <c r="H3881" s="570"/>
      <c r="I3881" s="570"/>
      <c r="J3881" s="570"/>
      <c r="K3881" s="570"/>
    </row>
    <row r="3882" ht="13.75" customHeight="1">
      <c r="A3882" t="s" s="834">
        <v>2674</v>
      </c>
      <c r="B3882" t="s" s="834">
        <v>2675</v>
      </c>
      <c r="C3882" t="s" s="834">
        <v>1119</v>
      </c>
      <c r="D3882" s="570"/>
      <c r="E3882" s="570"/>
      <c r="F3882" s="570"/>
      <c r="G3882" s="570"/>
      <c r="H3882" s="570"/>
      <c r="I3882" s="570"/>
      <c r="J3882" s="570"/>
      <c r="K3882" s="570"/>
    </row>
    <row r="3883" ht="13.75" customHeight="1">
      <c r="A3883" s="833">
        <v>199</v>
      </c>
      <c r="B3883" t="s" s="834">
        <v>2636</v>
      </c>
      <c r="C3883" t="s" s="834">
        <v>1010</v>
      </c>
      <c r="D3883" s="835">
        <v>46049</v>
      </c>
      <c r="E3883" s="836">
        <v>1.349583333333333</v>
      </c>
      <c r="F3883" s="836">
        <v>1.782118055555556</v>
      </c>
      <c r="G3883" s="570"/>
      <c r="H3883" s="570"/>
      <c r="I3883" s="570"/>
      <c r="J3883" s="570"/>
      <c r="K3883" s="570"/>
    </row>
    <row r="3884" ht="13.75" customHeight="1">
      <c r="A3884" t="s" s="834">
        <v>2676</v>
      </c>
      <c r="B3884" t="s" s="834">
        <v>2677</v>
      </c>
      <c r="C3884" t="s" s="834">
        <v>1094</v>
      </c>
      <c r="D3884" s="570"/>
      <c r="E3884" s="570"/>
      <c r="F3884" s="570"/>
      <c r="G3884" s="570"/>
      <c r="H3884" s="570"/>
      <c r="I3884" s="570"/>
      <c r="J3884" s="570"/>
      <c r="K3884" s="570"/>
    </row>
    <row r="3885" ht="13.75" customHeight="1">
      <c r="A3885" s="833">
        <v>199</v>
      </c>
      <c r="B3885" t="s" s="834">
        <v>2636</v>
      </c>
      <c r="C3885" t="s" s="834">
        <v>1010</v>
      </c>
      <c r="D3885" s="835">
        <v>46050</v>
      </c>
      <c r="E3885" s="836">
        <v>1.364247685185185</v>
      </c>
      <c r="F3885" s="836">
        <v>1.756180555555555</v>
      </c>
      <c r="G3885" s="570"/>
      <c r="H3885" s="570"/>
      <c r="I3885" s="570"/>
      <c r="J3885" s="570"/>
      <c r="K3885" s="570"/>
    </row>
    <row r="3886" ht="13.75" customHeight="1">
      <c r="A3886" t="s" s="834">
        <v>2678</v>
      </c>
      <c r="B3886" t="s" s="834">
        <v>2679</v>
      </c>
      <c r="C3886" t="s" s="834">
        <v>1056</v>
      </c>
      <c r="D3886" s="570"/>
      <c r="E3886" s="570"/>
      <c r="F3886" s="570"/>
      <c r="G3886" s="570"/>
      <c r="H3886" s="570"/>
      <c r="I3886" s="570"/>
      <c r="J3886" s="570"/>
      <c r="K3886" s="570"/>
    </row>
    <row r="3887" ht="13.75" customHeight="1">
      <c r="A3887" s="833">
        <v>199</v>
      </c>
      <c r="B3887" t="s" s="834">
        <v>2636</v>
      </c>
      <c r="C3887" t="s" s="834">
        <v>1010</v>
      </c>
      <c r="D3887" s="835">
        <v>46051</v>
      </c>
      <c r="E3887" t="s" s="834">
        <v>478</v>
      </c>
      <c r="F3887" t="s" s="834">
        <v>478</v>
      </c>
      <c r="G3887" s="570"/>
      <c r="H3887" s="570"/>
      <c r="I3887" s="570"/>
      <c r="J3887" s="570"/>
      <c r="K3887" s="570"/>
    </row>
    <row r="3888" ht="13.75" customHeight="1">
      <c r="A3888" s="833">
        <v>199</v>
      </c>
      <c r="B3888" t="s" s="834">
        <v>2636</v>
      </c>
      <c r="C3888" t="s" s="834">
        <v>1010</v>
      </c>
      <c r="D3888" s="835">
        <v>46052</v>
      </c>
      <c r="E3888" s="836">
        <v>1.343287037037037</v>
      </c>
      <c r="F3888" s="836">
        <v>1.766377314814815</v>
      </c>
      <c r="G3888" s="570"/>
      <c r="H3888" s="570"/>
      <c r="I3888" s="570"/>
      <c r="J3888" s="570"/>
      <c r="K3888" s="570"/>
    </row>
    <row r="3889" ht="13.75" customHeight="1">
      <c r="A3889" t="s" s="834">
        <v>2680</v>
      </c>
      <c r="B3889" t="s" s="834">
        <v>2681</v>
      </c>
      <c r="C3889" t="s" s="834">
        <v>971</v>
      </c>
      <c r="D3889" s="570"/>
      <c r="E3889" s="570"/>
      <c r="F3889" s="570"/>
      <c r="G3889" s="570"/>
      <c r="H3889" s="570"/>
      <c r="I3889" s="570"/>
      <c r="J3889" s="570"/>
      <c r="K3889" s="570"/>
    </row>
    <row r="3890" ht="13.75" customHeight="1">
      <c r="A3890" s="833">
        <v>199</v>
      </c>
      <c r="B3890" t="s" s="834">
        <v>2636</v>
      </c>
      <c r="C3890" t="s" s="834">
        <v>1010</v>
      </c>
      <c r="D3890" s="835">
        <v>46053</v>
      </c>
      <c r="E3890" t="s" s="834">
        <v>478</v>
      </c>
      <c r="F3890" t="s" s="834">
        <v>478</v>
      </c>
      <c r="G3890" s="570"/>
      <c r="H3890" s="570"/>
      <c r="I3890" s="570"/>
      <c r="J3890" s="570"/>
      <c r="K3890" s="570"/>
    </row>
    <row r="3891" ht="13.75" customHeight="1">
      <c r="A3891" s="833">
        <v>199</v>
      </c>
      <c r="B3891" t="s" s="834">
        <v>2636</v>
      </c>
      <c r="C3891" t="s" s="834">
        <v>1010</v>
      </c>
      <c r="D3891" s="835">
        <v>46054</v>
      </c>
      <c r="E3891" t="s" s="834">
        <v>478</v>
      </c>
      <c r="F3891" t="s" s="834">
        <v>478</v>
      </c>
      <c r="G3891" s="570"/>
      <c r="H3891" s="570"/>
      <c r="I3891" s="570"/>
      <c r="J3891" s="570"/>
      <c r="K3891" s="570"/>
    </row>
    <row r="3892" ht="13.75" customHeight="1">
      <c r="A3892" s="833">
        <v>2</v>
      </c>
      <c r="B3892" t="s" s="834">
        <v>2682</v>
      </c>
      <c r="C3892" t="s" s="834">
        <v>617</v>
      </c>
      <c r="D3892" s="835">
        <v>46023</v>
      </c>
      <c r="E3892" t="s" s="834">
        <v>478</v>
      </c>
      <c r="F3892" t="s" s="834">
        <v>478</v>
      </c>
      <c r="G3892" s="570"/>
      <c r="H3892" s="570"/>
      <c r="I3892" s="570"/>
      <c r="J3892" s="570"/>
      <c r="K3892" s="570"/>
    </row>
    <row r="3893" ht="13.75" customHeight="1">
      <c r="A3893" s="833">
        <v>2</v>
      </c>
      <c r="B3893" t="s" s="834">
        <v>2682</v>
      </c>
      <c r="C3893" t="s" s="834">
        <v>617</v>
      </c>
      <c r="D3893" s="835">
        <v>46024</v>
      </c>
      <c r="E3893" t="s" s="834">
        <v>478</v>
      </c>
      <c r="F3893" t="s" s="834">
        <v>478</v>
      </c>
      <c r="G3893" s="570"/>
      <c r="H3893" s="570"/>
      <c r="I3893" s="570"/>
      <c r="J3893" s="570"/>
      <c r="K3893" s="570"/>
    </row>
    <row r="3894" ht="13.75" customHeight="1">
      <c r="A3894" s="833">
        <v>2</v>
      </c>
      <c r="B3894" t="s" s="834">
        <v>2682</v>
      </c>
      <c r="C3894" t="s" s="834">
        <v>617</v>
      </c>
      <c r="D3894" s="835">
        <v>46025</v>
      </c>
      <c r="E3894" t="s" s="834">
        <v>478</v>
      </c>
      <c r="F3894" t="s" s="834">
        <v>478</v>
      </c>
      <c r="G3894" s="570"/>
      <c r="H3894" s="570"/>
      <c r="I3894" s="570"/>
      <c r="J3894" s="570"/>
      <c r="K3894" s="570"/>
    </row>
    <row r="3895" ht="13.75" customHeight="1">
      <c r="A3895" s="833">
        <v>2</v>
      </c>
      <c r="B3895" t="s" s="834">
        <v>2682</v>
      </c>
      <c r="C3895" t="s" s="834">
        <v>617</v>
      </c>
      <c r="D3895" s="835">
        <v>46026</v>
      </c>
      <c r="E3895" t="s" s="834">
        <v>478</v>
      </c>
      <c r="F3895" t="s" s="834">
        <v>478</v>
      </c>
      <c r="G3895" s="570"/>
      <c r="H3895" s="570"/>
      <c r="I3895" s="570"/>
      <c r="J3895" s="570"/>
      <c r="K3895" s="570"/>
    </row>
    <row r="3896" ht="13.75" customHeight="1">
      <c r="A3896" s="833">
        <v>2</v>
      </c>
      <c r="B3896" t="s" s="834">
        <v>2682</v>
      </c>
      <c r="C3896" t="s" s="834">
        <v>617</v>
      </c>
      <c r="D3896" s="835">
        <v>46027</v>
      </c>
      <c r="E3896" s="836">
        <v>1.376516203703704</v>
      </c>
      <c r="F3896" s="836">
        <v>1.755208333333333</v>
      </c>
      <c r="G3896" s="570"/>
      <c r="H3896" s="570"/>
      <c r="I3896" s="570"/>
      <c r="J3896" s="570"/>
      <c r="K3896" s="570"/>
    </row>
    <row r="3897" ht="13.75" customHeight="1">
      <c r="A3897" t="s" s="834">
        <v>2683</v>
      </c>
      <c r="B3897" t="s" s="834">
        <v>2684</v>
      </c>
      <c r="C3897" t="s" s="834">
        <v>562</v>
      </c>
      <c r="D3897" s="570"/>
      <c r="E3897" s="570"/>
      <c r="F3897" s="570"/>
      <c r="G3897" s="570"/>
      <c r="H3897" s="570"/>
      <c r="I3897" s="570"/>
      <c r="J3897" s="570"/>
      <c r="K3897" s="570"/>
    </row>
    <row r="3898" ht="13.75" customHeight="1">
      <c r="A3898" s="833">
        <v>2</v>
      </c>
      <c r="B3898" t="s" s="834">
        <v>2682</v>
      </c>
      <c r="C3898" t="s" s="834">
        <v>617</v>
      </c>
      <c r="D3898" s="835">
        <v>46028</v>
      </c>
      <c r="E3898" s="836">
        <v>1.561215277777778</v>
      </c>
      <c r="F3898" s="836">
        <v>1.752604166666667</v>
      </c>
      <c r="G3898" s="570"/>
      <c r="H3898" s="570"/>
      <c r="I3898" s="570"/>
      <c r="J3898" s="570"/>
      <c r="K3898" s="570"/>
    </row>
    <row r="3899" ht="13.75" customHeight="1">
      <c r="A3899" t="s" s="834">
        <v>2685</v>
      </c>
      <c r="B3899" t="s" s="834">
        <v>2686</v>
      </c>
      <c r="C3899" t="s" s="834">
        <v>2461</v>
      </c>
      <c r="D3899" s="570"/>
      <c r="E3899" s="570"/>
      <c r="F3899" s="570"/>
      <c r="G3899" s="570"/>
      <c r="H3899" s="570"/>
      <c r="I3899" s="570"/>
      <c r="J3899" s="570"/>
      <c r="K3899" s="570"/>
    </row>
    <row r="3900" ht="13.75" customHeight="1">
      <c r="A3900" s="833">
        <v>2</v>
      </c>
      <c r="B3900" t="s" s="834">
        <v>2682</v>
      </c>
      <c r="C3900" t="s" s="834">
        <v>617</v>
      </c>
      <c r="D3900" s="835">
        <v>46029</v>
      </c>
      <c r="E3900" s="836">
        <v>1.564664351851852</v>
      </c>
      <c r="F3900" s="836">
        <v>1.752881944444444</v>
      </c>
      <c r="G3900" s="570"/>
      <c r="H3900" s="570"/>
      <c r="I3900" s="570"/>
      <c r="J3900" s="570"/>
      <c r="K3900" s="570"/>
    </row>
    <row r="3901" ht="13.75" customHeight="1">
      <c r="A3901" t="s" s="834">
        <v>2687</v>
      </c>
      <c r="B3901" t="s" s="834">
        <v>2688</v>
      </c>
      <c r="C3901" t="s" s="834">
        <v>1408</v>
      </c>
      <c r="D3901" s="570"/>
      <c r="E3901" s="570"/>
      <c r="F3901" s="570"/>
      <c r="G3901" s="570"/>
      <c r="H3901" s="570"/>
      <c r="I3901" s="570"/>
      <c r="J3901" s="570"/>
      <c r="K3901" s="570"/>
    </row>
    <row r="3902" ht="13.75" customHeight="1">
      <c r="A3902" s="833">
        <v>2</v>
      </c>
      <c r="B3902" t="s" s="834">
        <v>2682</v>
      </c>
      <c r="C3902" t="s" s="834">
        <v>617</v>
      </c>
      <c r="D3902" s="835">
        <v>46030</v>
      </c>
      <c r="E3902" s="836">
        <v>1.360046296296296</v>
      </c>
      <c r="F3902" s="836">
        <v>1.751412037037037</v>
      </c>
      <c r="G3902" s="570"/>
      <c r="H3902" s="570"/>
      <c r="I3902" s="570"/>
      <c r="J3902" s="570"/>
      <c r="K3902" s="570"/>
    </row>
    <row r="3903" ht="13.75" customHeight="1">
      <c r="A3903" t="s" s="834">
        <v>2689</v>
      </c>
      <c r="B3903" t="s" s="834">
        <v>2690</v>
      </c>
      <c r="C3903" t="s" s="834">
        <v>1056</v>
      </c>
      <c r="D3903" s="570"/>
      <c r="E3903" s="570"/>
      <c r="F3903" s="570"/>
      <c r="G3903" s="570"/>
      <c r="H3903" s="570"/>
      <c r="I3903" s="570"/>
      <c r="J3903" s="570"/>
      <c r="K3903" s="570"/>
    </row>
    <row r="3904" ht="13.75" customHeight="1">
      <c r="A3904" s="833">
        <v>2</v>
      </c>
      <c r="B3904" t="s" s="834">
        <v>2682</v>
      </c>
      <c r="C3904" t="s" s="834">
        <v>617</v>
      </c>
      <c r="D3904" s="835">
        <v>46031</v>
      </c>
      <c r="E3904" t="s" s="834">
        <v>478</v>
      </c>
      <c r="F3904" t="s" s="834">
        <v>478</v>
      </c>
      <c r="G3904" s="570"/>
      <c r="H3904" s="570"/>
      <c r="I3904" s="570"/>
      <c r="J3904" s="570"/>
      <c r="K3904" s="570"/>
    </row>
    <row r="3905" ht="13.75" customHeight="1">
      <c r="A3905" s="833">
        <v>2</v>
      </c>
      <c r="B3905" t="s" s="834">
        <v>2682</v>
      </c>
      <c r="C3905" t="s" s="834">
        <v>617</v>
      </c>
      <c r="D3905" s="835">
        <v>46032</v>
      </c>
      <c r="E3905" t="s" s="834">
        <v>478</v>
      </c>
      <c r="F3905" t="s" s="834">
        <v>478</v>
      </c>
      <c r="G3905" s="570"/>
      <c r="H3905" s="570"/>
      <c r="I3905" s="570"/>
      <c r="J3905" s="570"/>
      <c r="K3905" s="570"/>
    </row>
    <row r="3906" ht="13.75" customHeight="1">
      <c r="A3906" s="833">
        <v>2</v>
      </c>
      <c r="B3906" t="s" s="834">
        <v>2682</v>
      </c>
      <c r="C3906" t="s" s="834">
        <v>617</v>
      </c>
      <c r="D3906" s="835">
        <v>46033</v>
      </c>
      <c r="E3906" t="s" s="834">
        <v>478</v>
      </c>
      <c r="F3906" t="s" s="834">
        <v>478</v>
      </c>
      <c r="G3906" s="570"/>
      <c r="H3906" s="570"/>
      <c r="I3906" s="570"/>
      <c r="J3906" s="570"/>
      <c r="K3906" s="570"/>
    </row>
    <row r="3907" ht="13.75" customHeight="1">
      <c r="A3907" s="833">
        <v>2</v>
      </c>
      <c r="B3907" t="s" s="834">
        <v>2682</v>
      </c>
      <c r="C3907" t="s" s="834">
        <v>617</v>
      </c>
      <c r="D3907" s="835">
        <v>46034</v>
      </c>
      <c r="E3907" s="836">
        <v>1.358113425925926</v>
      </c>
      <c r="F3907" s="836">
        <v>1.75318287037037</v>
      </c>
      <c r="G3907" s="570"/>
      <c r="H3907" s="570"/>
      <c r="I3907" s="570"/>
      <c r="J3907" s="570"/>
      <c r="K3907" s="570"/>
    </row>
    <row r="3908" ht="13.75" customHeight="1">
      <c r="A3908" t="s" s="834">
        <v>2691</v>
      </c>
      <c r="B3908" t="s" s="834">
        <v>2692</v>
      </c>
      <c r="C3908" t="s" s="834">
        <v>643</v>
      </c>
      <c r="D3908" s="570"/>
      <c r="E3908" s="570"/>
      <c r="F3908" s="570"/>
      <c r="G3908" s="570"/>
      <c r="H3908" s="570"/>
      <c r="I3908" s="570"/>
      <c r="J3908" s="570"/>
      <c r="K3908" s="570"/>
    </row>
    <row r="3909" ht="13.75" customHeight="1">
      <c r="A3909" s="833">
        <v>2</v>
      </c>
      <c r="B3909" t="s" s="834">
        <v>2682</v>
      </c>
      <c r="C3909" t="s" s="834">
        <v>617</v>
      </c>
      <c r="D3909" s="835">
        <v>46035</v>
      </c>
      <c r="E3909" s="836">
        <v>1.371481481481482</v>
      </c>
      <c r="F3909" s="836">
        <v>1.7528125</v>
      </c>
      <c r="G3909" s="570"/>
      <c r="H3909" s="570"/>
      <c r="I3909" s="570"/>
      <c r="J3909" s="570"/>
      <c r="K3909" s="570"/>
    </row>
    <row r="3910" ht="13.75" customHeight="1">
      <c r="A3910" t="s" s="834">
        <v>2693</v>
      </c>
      <c r="B3910" t="s" s="834">
        <v>2694</v>
      </c>
      <c r="C3910" t="s" s="834">
        <v>843</v>
      </c>
      <c r="D3910" s="570"/>
      <c r="E3910" s="570"/>
      <c r="F3910" s="570"/>
      <c r="G3910" s="570"/>
      <c r="H3910" s="570"/>
      <c r="I3910" s="570"/>
      <c r="J3910" s="570"/>
      <c r="K3910" s="570"/>
    </row>
    <row r="3911" ht="13.75" customHeight="1">
      <c r="A3911" s="833">
        <v>2</v>
      </c>
      <c r="B3911" t="s" s="834">
        <v>2682</v>
      </c>
      <c r="C3911" t="s" s="834">
        <v>617</v>
      </c>
      <c r="D3911" s="835">
        <v>46036</v>
      </c>
      <c r="E3911" s="836">
        <v>1.563472222222222</v>
      </c>
      <c r="F3911" s="836">
        <v>1.751469907407407</v>
      </c>
      <c r="G3911" s="570"/>
      <c r="H3911" s="570"/>
      <c r="I3911" s="570"/>
      <c r="J3911" s="570"/>
      <c r="K3911" s="570"/>
    </row>
    <row r="3912" ht="13.75" customHeight="1">
      <c r="A3912" t="s" s="834">
        <v>2695</v>
      </c>
      <c r="B3912" t="s" s="834">
        <v>2696</v>
      </c>
      <c r="C3912" t="s" s="834">
        <v>1408</v>
      </c>
      <c r="D3912" s="570"/>
      <c r="E3912" s="570"/>
      <c r="F3912" s="570"/>
      <c r="G3912" s="570"/>
      <c r="H3912" s="570"/>
      <c r="I3912" s="570"/>
      <c r="J3912" s="570"/>
      <c r="K3912" s="570"/>
    </row>
    <row r="3913" ht="13.75" customHeight="1">
      <c r="A3913" s="833">
        <v>2</v>
      </c>
      <c r="B3913" t="s" s="834">
        <v>2682</v>
      </c>
      <c r="C3913" t="s" s="834">
        <v>617</v>
      </c>
      <c r="D3913" s="835">
        <v>46037</v>
      </c>
      <c r="E3913" s="836">
        <v>1.363240740740741</v>
      </c>
      <c r="F3913" s="836">
        <v>1.75244212962963</v>
      </c>
      <c r="G3913" s="570"/>
      <c r="H3913" s="570"/>
      <c r="I3913" s="570"/>
      <c r="J3913" s="570"/>
      <c r="K3913" s="570"/>
    </row>
    <row r="3914" ht="13.75" customHeight="1">
      <c r="A3914" t="s" s="834">
        <v>2697</v>
      </c>
      <c r="B3914" t="s" s="834">
        <v>2698</v>
      </c>
      <c r="C3914" t="s" s="834">
        <v>1490</v>
      </c>
      <c r="D3914" s="570"/>
      <c r="E3914" s="570"/>
      <c r="F3914" s="570"/>
      <c r="G3914" s="570"/>
      <c r="H3914" s="570"/>
      <c r="I3914" s="570"/>
      <c r="J3914" s="570"/>
      <c r="K3914" s="570"/>
    </row>
    <row r="3915" ht="13.75" customHeight="1">
      <c r="A3915" s="833">
        <v>2</v>
      </c>
      <c r="B3915" t="s" s="834">
        <v>2682</v>
      </c>
      <c r="C3915" t="s" s="834">
        <v>617</v>
      </c>
      <c r="D3915" s="835">
        <v>46038</v>
      </c>
      <c r="E3915" t="s" s="834">
        <v>478</v>
      </c>
      <c r="F3915" t="s" s="834">
        <v>478</v>
      </c>
      <c r="G3915" s="570"/>
      <c r="H3915" s="570"/>
      <c r="I3915" s="570"/>
      <c r="J3915" s="570"/>
      <c r="K3915" s="570"/>
    </row>
    <row r="3916" ht="13.75" customHeight="1">
      <c r="A3916" s="833">
        <v>2</v>
      </c>
      <c r="B3916" t="s" s="834">
        <v>2682</v>
      </c>
      <c r="C3916" t="s" s="834">
        <v>617</v>
      </c>
      <c r="D3916" s="835">
        <v>46039</v>
      </c>
      <c r="E3916" t="s" s="834">
        <v>478</v>
      </c>
      <c r="F3916" t="s" s="834">
        <v>478</v>
      </c>
      <c r="G3916" s="570"/>
      <c r="H3916" s="570"/>
      <c r="I3916" s="570"/>
      <c r="J3916" s="570"/>
      <c r="K3916" s="570"/>
    </row>
    <row r="3917" ht="13.75" customHeight="1">
      <c r="A3917" s="833">
        <v>2</v>
      </c>
      <c r="B3917" t="s" s="834">
        <v>2682</v>
      </c>
      <c r="C3917" t="s" s="834">
        <v>617</v>
      </c>
      <c r="D3917" s="835">
        <v>46040</v>
      </c>
      <c r="E3917" t="s" s="834">
        <v>478</v>
      </c>
      <c r="F3917" t="s" s="834">
        <v>478</v>
      </c>
      <c r="G3917" s="570"/>
      <c r="H3917" s="570"/>
      <c r="I3917" s="570"/>
      <c r="J3917" s="570"/>
      <c r="K3917" s="570"/>
    </row>
    <row r="3918" ht="13.75" customHeight="1">
      <c r="A3918" s="833">
        <v>2</v>
      </c>
      <c r="B3918" t="s" s="834">
        <v>2682</v>
      </c>
      <c r="C3918" t="s" s="834">
        <v>617</v>
      </c>
      <c r="D3918" s="835">
        <v>46041</v>
      </c>
      <c r="E3918" s="836">
        <v>1.374988425925926</v>
      </c>
      <c r="F3918" s="836">
        <v>1.752685185185185</v>
      </c>
      <c r="G3918" s="570"/>
      <c r="H3918" s="570"/>
      <c r="I3918" s="570"/>
      <c r="J3918" s="570"/>
      <c r="K3918" s="570"/>
    </row>
    <row r="3919" ht="13.75" customHeight="1">
      <c r="A3919" t="s" s="834">
        <v>2699</v>
      </c>
      <c r="B3919" t="s" s="834">
        <v>2700</v>
      </c>
      <c r="C3919" t="s" s="834">
        <v>543</v>
      </c>
      <c r="D3919" s="570"/>
      <c r="E3919" s="570"/>
      <c r="F3919" s="570"/>
      <c r="G3919" s="570"/>
      <c r="H3919" s="570"/>
      <c r="I3919" s="570"/>
      <c r="J3919" s="570"/>
      <c r="K3919" s="570"/>
    </row>
    <row r="3920" ht="13.75" customHeight="1">
      <c r="A3920" s="833">
        <v>2</v>
      </c>
      <c r="B3920" t="s" s="834">
        <v>2682</v>
      </c>
      <c r="C3920" t="s" s="834">
        <v>617</v>
      </c>
      <c r="D3920" s="835">
        <v>46042</v>
      </c>
      <c r="E3920" s="836">
        <v>1.399618055555556</v>
      </c>
      <c r="F3920" s="836">
        <v>1.7521875</v>
      </c>
      <c r="G3920" s="570"/>
      <c r="H3920" s="570"/>
      <c r="I3920" s="570"/>
      <c r="J3920" s="570"/>
      <c r="K3920" s="570"/>
    </row>
    <row r="3921" ht="13.75" customHeight="1">
      <c r="A3921" t="s" s="834">
        <v>2701</v>
      </c>
      <c r="B3921" t="s" s="834">
        <v>2702</v>
      </c>
      <c r="C3921" t="s" s="834">
        <v>2703</v>
      </c>
      <c r="D3921" s="570"/>
      <c r="E3921" s="570"/>
      <c r="F3921" s="570"/>
      <c r="G3921" s="570"/>
      <c r="H3921" s="570"/>
      <c r="I3921" s="570"/>
      <c r="J3921" s="570"/>
      <c r="K3921" s="570"/>
    </row>
    <row r="3922" ht="13.75" customHeight="1">
      <c r="A3922" s="833">
        <v>2</v>
      </c>
      <c r="B3922" t="s" s="834">
        <v>2682</v>
      </c>
      <c r="C3922" t="s" s="834">
        <v>617</v>
      </c>
      <c r="D3922" s="835">
        <v>46043</v>
      </c>
      <c r="E3922" s="836">
        <v>1.363483796296296</v>
      </c>
      <c r="F3922" s="836">
        <v>1.751967592592593</v>
      </c>
      <c r="G3922" s="570"/>
      <c r="H3922" s="570"/>
      <c r="I3922" s="570"/>
      <c r="J3922" s="570"/>
      <c r="K3922" s="570"/>
    </row>
    <row r="3923" ht="13.75" customHeight="1">
      <c r="A3923" t="s" s="834">
        <v>2704</v>
      </c>
      <c r="B3923" t="s" s="834">
        <v>2705</v>
      </c>
      <c r="C3923" t="s" s="834">
        <v>716</v>
      </c>
      <c r="D3923" s="570"/>
      <c r="E3923" s="570"/>
      <c r="F3923" s="570"/>
      <c r="G3923" s="570"/>
      <c r="H3923" s="570"/>
      <c r="I3923" s="570"/>
      <c r="J3923" s="570"/>
      <c r="K3923" s="570"/>
    </row>
    <row r="3924" ht="13.75" customHeight="1">
      <c r="A3924" s="833">
        <v>2</v>
      </c>
      <c r="B3924" t="s" s="834">
        <v>2682</v>
      </c>
      <c r="C3924" t="s" s="834">
        <v>617</v>
      </c>
      <c r="D3924" s="835">
        <v>46044</v>
      </c>
      <c r="E3924" s="836">
        <v>1.374791666666667</v>
      </c>
      <c r="F3924" s="836">
        <v>1.751412037037037</v>
      </c>
      <c r="G3924" s="570"/>
      <c r="H3924" s="570"/>
      <c r="I3924" s="570"/>
      <c r="J3924" s="570"/>
      <c r="K3924" s="570"/>
    </row>
    <row r="3925" ht="13.75" customHeight="1">
      <c r="A3925" t="s" s="834">
        <v>2706</v>
      </c>
      <c r="B3925" t="s" s="834">
        <v>2707</v>
      </c>
      <c r="C3925" t="s" s="834">
        <v>534</v>
      </c>
      <c r="D3925" s="570"/>
      <c r="E3925" s="570"/>
      <c r="F3925" s="570"/>
      <c r="G3925" s="570"/>
      <c r="H3925" s="570"/>
      <c r="I3925" s="570"/>
      <c r="J3925" s="570"/>
      <c r="K3925" s="570"/>
    </row>
    <row r="3926" ht="13.75" customHeight="1">
      <c r="A3926" s="833">
        <v>2</v>
      </c>
      <c r="B3926" t="s" s="834">
        <v>2682</v>
      </c>
      <c r="C3926" t="s" s="834">
        <v>617</v>
      </c>
      <c r="D3926" s="835">
        <v>46045</v>
      </c>
      <c r="E3926" t="s" s="834">
        <v>478</v>
      </c>
      <c r="F3926" t="s" s="834">
        <v>478</v>
      </c>
      <c r="G3926" s="570"/>
      <c r="H3926" s="570"/>
      <c r="I3926" s="570"/>
      <c r="J3926" s="570"/>
      <c r="K3926" s="570"/>
    </row>
    <row r="3927" ht="13.75" customHeight="1">
      <c r="A3927" s="833">
        <v>2</v>
      </c>
      <c r="B3927" t="s" s="834">
        <v>2682</v>
      </c>
      <c r="C3927" t="s" s="834">
        <v>617</v>
      </c>
      <c r="D3927" s="835">
        <v>46046</v>
      </c>
      <c r="E3927" t="s" s="834">
        <v>478</v>
      </c>
      <c r="F3927" t="s" s="834">
        <v>478</v>
      </c>
      <c r="G3927" s="570"/>
      <c r="H3927" s="570"/>
      <c r="I3927" s="570"/>
      <c r="J3927" s="570"/>
      <c r="K3927" s="570"/>
    </row>
    <row r="3928" ht="13.75" customHeight="1">
      <c r="A3928" s="833">
        <v>2</v>
      </c>
      <c r="B3928" t="s" s="834">
        <v>2682</v>
      </c>
      <c r="C3928" t="s" s="834">
        <v>617</v>
      </c>
      <c r="D3928" s="835">
        <v>46047</v>
      </c>
      <c r="E3928" t="s" s="834">
        <v>478</v>
      </c>
      <c r="F3928" t="s" s="834">
        <v>478</v>
      </c>
      <c r="G3928" s="570"/>
      <c r="H3928" s="570"/>
      <c r="I3928" s="570"/>
      <c r="J3928" s="570"/>
      <c r="K3928" s="570"/>
    </row>
    <row r="3929" ht="13.75" customHeight="1">
      <c r="A3929" s="833">
        <v>2</v>
      </c>
      <c r="B3929" t="s" s="834">
        <v>2682</v>
      </c>
      <c r="C3929" t="s" s="834">
        <v>617</v>
      </c>
      <c r="D3929" s="835">
        <v>46048</v>
      </c>
      <c r="E3929" s="836">
        <v>1.360509259259259</v>
      </c>
      <c r="F3929" s="836">
        <v>1.756736111111111</v>
      </c>
      <c r="G3929" s="570"/>
      <c r="H3929" s="570"/>
      <c r="I3929" s="570"/>
      <c r="J3929" s="570"/>
      <c r="K3929" s="570"/>
    </row>
    <row r="3930" ht="13.75" customHeight="1">
      <c r="A3930" t="s" s="834">
        <v>2708</v>
      </c>
      <c r="B3930" t="s" s="834">
        <v>2709</v>
      </c>
      <c r="C3930" t="s" s="834">
        <v>683</v>
      </c>
      <c r="D3930" s="570"/>
      <c r="E3930" s="570"/>
      <c r="F3930" s="570"/>
      <c r="G3930" s="570"/>
      <c r="H3930" s="570"/>
      <c r="I3930" s="570"/>
      <c r="J3930" s="570"/>
      <c r="K3930" s="570"/>
    </row>
    <row r="3931" ht="13.75" customHeight="1">
      <c r="A3931" s="833">
        <v>2</v>
      </c>
      <c r="B3931" t="s" s="834">
        <v>2682</v>
      </c>
      <c r="C3931" t="s" s="834">
        <v>617</v>
      </c>
      <c r="D3931" s="835">
        <v>46049</v>
      </c>
      <c r="E3931" s="836">
        <v>1.548287037037037</v>
      </c>
      <c r="F3931" s="836">
        <v>1.7540625</v>
      </c>
      <c r="G3931" s="570"/>
      <c r="H3931" s="570"/>
      <c r="I3931" s="570"/>
      <c r="J3931" s="570"/>
      <c r="K3931" s="570"/>
    </row>
    <row r="3932" ht="13.75" customHeight="1">
      <c r="A3932" t="s" s="834">
        <v>2710</v>
      </c>
      <c r="B3932" t="s" s="834">
        <v>2711</v>
      </c>
      <c r="C3932" t="s" s="834">
        <v>938</v>
      </c>
      <c r="D3932" s="570"/>
      <c r="E3932" s="570"/>
      <c r="F3932" s="570"/>
      <c r="G3932" s="570"/>
      <c r="H3932" s="570"/>
      <c r="I3932" s="570"/>
      <c r="J3932" s="570"/>
      <c r="K3932" s="570"/>
    </row>
    <row r="3933" ht="13.75" customHeight="1">
      <c r="A3933" s="833">
        <v>2</v>
      </c>
      <c r="B3933" t="s" s="834">
        <v>2682</v>
      </c>
      <c r="C3933" t="s" s="834">
        <v>617</v>
      </c>
      <c r="D3933" s="835">
        <v>46050</v>
      </c>
      <c r="E3933" s="836">
        <v>1.362835648148148</v>
      </c>
      <c r="F3933" s="836">
        <v>1.758055555555555</v>
      </c>
      <c r="G3933" s="570"/>
      <c r="H3933" s="570"/>
      <c r="I3933" s="570"/>
      <c r="J3933" s="570"/>
      <c r="K3933" s="570"/>
    </row>
    <row r="3934" ht="13.75" customHeight="1">
      <c r="A3934" t="s" s="834">
        <v>2712</v>
      </c>
      <c r="B3934" t="s" s="834">
        <v>2713</v>
      </c>
      <c r="C3934" t="s" s="834">
        <v>643</v>
      </c>
      <c r="D3934" s="570"/>
      <c r="E3934" s="570"/>
      <c r="F3934" s="570"/>
      <c r="G3934" s="570"/>
      <c r="H3934" s="570"/>
      <c r="I3934" s="570"/>
      <c r="J3934" s="570"/>
      <c r="K3934" s="570"/>
    </row>
    <row r="3935" ht="13.75" customHeight="1">
      <c r="A3935" s="833">
        <v>2</v>
      </c>
      <c r="B3935" t="s" s="834">
        <v>2682</v>
      </c>
      <c r="C3935" t="s" s="834">
        <v>617</v>
      </c>
      <c r="D3935" s="835">
        <v>46051</v>
      </c>
      <c r="E3935" s="836">
        <v>1.42125</v>
      </c>
      <c r="F3935" s="836">
        <v>1.757210648148148</v>
      </c>
      <c r="G3935" s="570"/>
      <c r="H3935" s="570"/>
      <c r="I3935" s="570"/>
      <c r="J3935" s="570"/>
      <c r="K3935" s="570"/>
    </row>
    <row r="3936" ht="13.75" customHeight="1">
      <c r="A3936" t="s" s="834">
        <v>2714</v>
      </c>
      <c r="B3936" t="s" s="834">
        <v>2715</v>
      </c>
      <c r="C3936" t="s" s="834">
        <v>2716</v>
      </c>
      <c r="D3936" s="570"/>
      <c r="E3936" s="570"/>
      <c r="F3936" s="570"/>
      <c r="G3936" s="570"/>
      <c r="H3936" s="570"/>
      <c r="I3936" s="570"/>
      <c r="J3936" s="570"/>
      <c r="K3936" s="570"/>
    </row>
    <row r="3937" ht="13.75" customHeight="1">
      <c r="A3937" s="833">
        <v>2</v>
      </c>
      <c r="B3937" t="s" s="834">
        <v>2682</v>
      </c>
      <c r="C3937" t="s" s="834">
        <v>617</v>
      </c>
      <c r="D3937" s="835">
        <v>46052</v>
      </c>
      <c r="E3937" t="s" s="834">
        <v>478</v>
      </c>
      <c r="F3937" t="s" s="834">
        <v>478</v>
      </c>
      <c r="G3937" s="570"/>
      <c r="H3937" s="570"/>
      <c r="I3937" s="570"/>
      <c r="J3937" s="570"/>
      <c r="K3937" s="570"/>
    </row>
    <row r="3938" ht="13.75" customHeight="1">
      <c r="A3938" s="833">
        <v>2</v>
      </c>
      <c r="B3938" t="s" s="834">
        <v>2682</v>
      </c>
      <c r="C3938" t="s" s="834">
        <v>617</v>
      </c>
      <c r="D3938" s="835">
        <v>46053</v>
      </c>
      <c r="E3938" t="s" s="834">
        <v>478</v>
      </c>
      <c r="F3938" t="s" s="834">
        <v>478</v>
      </c>
      <c r="G3938" s="570"/>
      <c r="H3938" s="570"/>
      <c r="I3938" s="570"/>
      <c r="J3938" s="570"/>
      <c r="K3938" s="570"/>
    </row>
    <row r="3939" ht="13.75" customHeight="1">
      <c r="A3939" s="833">
        <v>2</v>
      </c>
      <c r="B3939" t="s" s="834">
        <v>2682</v>
      </c>
      <c r="C3939" t="s" s="834">
        <v>617</v>
      </c>
      <c r="D3939" s="835">
        <v>46054</v>
      </c>
      <c r="E3939" t="s" s="834">
        <v>478</v>
      </c>
      <c r="F3939" t="s" s="834">
        <v>478</v>
      </c>
      <c r="G3939" s="570"/>
      <c r="H3939" s="570"/>
      <c r="I3939" s="570"/>
      <c r="J3939" s="570"/>
      <c r="K3939" s="570"/>
    </row>
    <row r="3940" ht="13.75" customHeight="1">
      <c r="A3940" s="833">
        <v>202</v>
      </c>
      <c r="B3940" t="s" s="834">
        <v>2717</v>
      </c>
      <c r="C3940" t="s" s="834">
        <v>2718</v>
      </c>
      <c r="D3940" s="835">
        <v>46023</v>
      </c>
      <c r="E3940" t="s" s="834">
        <v>478</v>
      </c>
      <c r="F3940" t="s" s="834">
        <v>478</v>
      </c>
      <c r="G3940" s="570"/>
      <c r="H3940" s="570"/>
      <c r="I3940" s="570"/>
      <c r="J3940" s="570"/>
      <c r="K3940" s="570"/>
    </row>
    <row r="3941" ht="13.75" customHeight="1">
      <c r="A3941" s="833">
        <v>202</v>
      </c>
      <c r="B3941" t="s" s="834">
        <v>2717</v>
      </c>
      <c r="C3941" t="s" s="834">
        <v>2718</v>
      </c>
      <c r="D3941" s="835">
        <v>46024</v>
      </c>
      <c r="E3941" t="s" s="834">
        <v>478</v>
      </c>
      <c r="F3941" t="s" s="834">
        <v>478</v>
      </c>
      <c r="G3941" s="570"/>
      <c r="H3941" s="570"/>
      <c r="I3941" s="570"/>
      <c r="J3941" s="570"/>
      <c r="K3941" s="570"/>
    </row>
    <row r="3942" ht="13.75" customHeight="1">
      <c r="A3942" s="833">
        <v>202</v>
      </c>
      <c r="B3942" t="s" s="834">
        <v>2717</v>
      </c>
      <c r="C3942" t="s" s="834">
        <v>2718</v>
      </c>
      <c r="D3942" s="835">
        <v>46025</v>
      </c>
      <c r="E3942" t="s" s="834">
        <v>478</v>
      </c>
      <c r="F3942" t="s" s="834">
        <v>478</v>
      </c>
      <c r="G3942" s="570"/>
      <c r="H3942" s="570"/>
      <c r="I3942" s="570"/>
      <c r="J3942" s="570"/>
      <c r="K3942" s="570"/>
    </row>
    <row r="3943" ht="13.75" customHeight="1">
      <c r="A3943" s="833">
        <v>202</v>
      </c>
      <c r="B3943" t="s" s="834">
        <v>2717</v>
      </c>
      <c r="C3943" t="s" s="834">
        <v>2718</v>
      </c>
      <c r="D3943" s="835">
        <v>46026</v>
      </c>
      <c r="E3943" t="s" s="834">
        <v>478</v>
      </c>
      <c r="F3943" t="s" s="834">
        <v>478</v>
      </c>
      <c r="G3943" s="570"/>
      <c r="H3943" s="570"/>
      <c r="I3943" s="570"/>
      <c r="J3943" s="570"/>
      <c r="K3943" s="570"/>
    </row>
    <row r="3944" ht="13.75" customHeight="1">
      <c r="A3944" s="833">
        <v>202</v>
      </c>
      <c r="B3944" t="s" s="834">
        <v>2717</v>
      </c>
      <c r="C3944" t="s" s="834">
        <v>2718</v>
      </c>
      <c r="D3944" s="835">
        <v>46027</v>
      </c>
      <c r="E3944" t="s" s="834">
        <v>478</v>
      </c>
      <c r="F3944" t="s" s="834">
        <v>478</v>
      </c>
      <c r="G3944" s="570"/>
      <c r="H3944" s="570"/>
      <c r="I3944" s="570"/>
      <c r="J3944" s="570"/>
      <c r="K3944" s="570"/>
    </row>
    <row r="3945" ht="13.75" customHeight="1">
      <c r="A3945" s="833">
        <v>202</v>
      </c>
      <c r="B3945" t="s" s="834">
        <v>2717</v>
      </c>
      <c r="C3945" t="s" s="834">
        <v>2718</v>
      </c>
      <c r="D3945" s="835">
        <v>46028</v>
      </c>
      <c r="E3945" t="s" s="834">
        <v>478</v>
      </c>
      <c r="F3945" t="s" s="834">
        <v>478</v>
      </c>
      <c r="G3945" s="570"/>
      <c r="H3945" s="570"/>
      <c r="I3945" s="570"/>
      <c r="J3945" s="570"/>
      <c r="K3945" s="570"/>
    </row>
    <row r="3946" ht="13.75" customHeight="1">
      <c r="A3946" s="833">
        <v>202</v>
      </c>
      <c r="B3946" t="s" s="834">
        <v>2717</v>
      </c>
      <c r="C3946" t="s" s="834">
        <v>2718</v>
      </c>
      <c r="D3946" s="835">
        <v>46029</v>
      </c>
      <c r="E3946" t="s" s="834">
        <v>478</v>
      </c>
      <c r="F3946" t="s" s="834">
        <v>478</v>
      </c>
      <c r="G3946" s="570"/>
      <c r="H3946" s="570"/>
      <c r="I3946" s="570"/>
      <c r="J3946" s="570"/>
      <c r="K3946" s="570"/>
    </row>
    <row r="3947" ht="13.75" customHeight="1">
      <c r="A3947" s="833">
        <v>202</v>
      </c>
      <c r="B3947" t="s" s="834">
        <v>2717</v>
      </c>
      <c r="C3947" t="s" s="834">
        <v>2718</v>
      </c>
      <c r="D3947" s="835">
        <v>46030</v>
      </c>
      <c r="E3947" t="s" s="834">
        <v>478</v>
      </c>
      <c r="F3947" t="s" s="834">
        <v>478</v>
      </c>
      <c r="G3947" s="570"/>
      <c r="H3947" s="570"/>
      <c r="I3947" s="570"/>
      <c r="J3947" s="570"/>
      <c r="K3947" s="570"/>
    </row>
    <row r="3948" ht="13.75" customHeight="1">
      <c r="A3948" s="833">
        <v>202</v>
      </c>
      <c r="B3948" t="s" s="834">
        <v>2717</v>
      </c>
      <c r="C3948" t="s" s="834">
        <v>2718</v>
      </c>
      <c r="D3948" s="835">
        <v>46031</v>
      </c>
      <c r="E3948" t="s" s="834">
        <v>478</v>
      </c>
      <c r="F3948" t="s" s="834">
        <v>478</v>
      </c>
      <c r="G3948" s="570"/>
      <c r="H3948" s="570"/>
      <c r="I3948" s="570"/>
      <c r="J3948" s="570"/>
      <c r="K3948" s="570"/>
    </row>
    <row r="3949" ht="13.75" customHeight="1">
      <c r="A3949" s="833">
        <v>202</v>
      </c>
      <c r="B3949" t="s" s="834">
        <v>2717</v>
      </c>
      <c r="C3949" t="s" s="834">
        <v>2718</v>
      </c>
      <c r="D3949" s="835">
        <v>46032</v>
      </c>
      <c r="E3949" t="s" s="834">
        <v>478</v>
      </c>
      <c r="F3949" t="s" s="834">
        <v>478</v>
      </c>
      <c r="G3949" s="570"/>
      <c r="H3949" s="570"/>
      <c r="I3949" s="570"/>
      <c r="J3949" s="570"/>
      <c r="K3949" s="570"/>
    </row>
    <row r="3950" ht="13.75" customHeight="1">
      <c r="A3950" s="833">
        <v>202</v>
      </c>
      <c r="B3950" t="s" s="834">
        <v>2717</v>
      </c>
      <c r="C3950" t="s" s="834">
        <v>2718</v>
      </c>
      <c r="D3950" s="835">
        <v>46033</v>
      </c>
      <c r="E3950" t="s" s="834">
        <v>478</v>
      </c>
      <c r="F3950" t="s" s="834">
        <v>478</v>
      </c>
      <c r="G3950" s="570"/>
      <c r="H3950" s="570"/>
      <c r="I3950" s="570"/>
      <c r="J3950" s="570"/>
      <c r="K3950" s="570"/>
    </row>
    <row r="3951" ht="13.75" customHeight="1">
      <c r="A3951" s="833">
        <v>202</v>
      </c>
      <c r="B3951" t="s" s="834">
        <v>2717</v>
      </c>
      <c r="C3951" t="s" s="834">
        <v>2718</v>
      </c>
      <c r="D3951" s="835">
        <v>46034</v>
      </c>
      <c r="E3951" t="s" s="834">
        <v>478</v>
      </c>
      <c r="F3951" t="s" s="834">
        <v>478</v>
      </c>
      <c r="G3951" s="570"/>
      <c r="H3951" s="570"/>
      <c r="I3951" s="570"/>
      <c r="J3951" s="570"/>
      <c r="K3951" s="570"/>
    </row>
    <row r="3952" ht="13.75" customHeight="1">
      <c r="A3952" s="833">
        <v>202</v>
      </c>
      <c r="B3952" t="s" s="834">
        <v>2717</v>
      </c>
      <c r="C3952" t="s" s="834">
        <v>2718</v>
      </c>
      <c r="D3952" s="835">
        <v>46035</v>
      </c>
      <c r="E3952" t="s" s="834">
        <v>478</v>
      </c>
      <c r="F3952" t="s" s="834">
        <v>478</v>
      </c>
      <c r="G3952" s="570"/>
      <c r="H3952" s="570"/>
      <c r="I3952" s="570"/>
      <c r="J3952" s="570"/>
      <c r="K3952" s="570"/>
    </row>
    <row r="3953" ht="13.75" customHeight="1">
      <c r="A3953" s="833">
        <v>202</v>
      </c>
      <c r="B3953" t="s" s="834">
        <v>2717</v>
      </c>
      <c r="C3953" t="s" s="834">
        <v>2718</v>
      </c>
      <c r="D3953" s="835">
        <v>46036</v>
      </c>
      <c r="E3953" t="s" s="834">
        <v>478</v>
      </c>
      <c r="F3953" t="s" s="834">
        <v>478</v>
      </c>
      <c r="G3953" s="570"/>
      <c r="H3953" s="570"/>
      <c r="I3953" s="570"/>
      <c r="J3953" s="570"/>
      <c r="K3953" s="570"/>
    </row>
    <row r="3954" ht="13.75" customHeight="1">
      <c r="A3954" s="833">
        <v>202</v>
      </c>
      <c r="B3954" t="s" s="834">
        <v>2717</v>
      </c>
      <c r="C3954" t="s" s="834">
        <v>2718</v>
      </c>
      <c r="D3954" s="835">
        <v>46037</v>
      </c>
      <c r="E3954" t="s" s="834">
        <v>478</v>
      </c>
      <c r="F3954" t="s" s="834">
        <v>478</v>
      </c>
      <c r="G3954" s="570"/>
      <c r="H3954" s="570"/>
      <c r="I3954" s="570"/>
      <c r="J3954" s="570"/>
      <c r="K3954" s="570"/>
    </row>
    <row r="3955" ht="13.75" customHeight="1">
      <c r="A3955" s="833">
        <v>202</v>
      </c>
      <c r="B3955" t="s" s="834">
        <v>2717</v>
      </c>
      <c r="C3955" t="s" s="834">
        <v>2718</v>
      </c>
      <c r="D3955" s="835">
        <v>46038</v>
      </c>
      <c r="E3955" t="s" s="834">
        <v>478</v>
      </c>
      <c r="F3955" t="s" s="834">
        <v>478</v>
      </c>
      <c r="G3955" s="570"/>
      <c r="H3955" s="570"/>
      <c r="I3955" s="570"/>
      <c r="J3955" s="570"/>
      <c r="K3955" s="570"/>
    </row>
    <row r="3956" ht="13.75" customHeight="1">
      <c r="A3956" s="833">
        <v>202</v>
      </c>
      <c r="B3956" t="s" s="834">
        <v>2717</v>
      </c>
      <c r="C3956" t="s" s="834">
        <v>2718</v>
      </c>
      <c r="D3956" s="835">
        <v>46039</v>
      </c>
      <c r="E3956" t="s" s="834">
        <v>478</v>
      </c>
      <c r="F3956" t="s" s="834">
        <v>478</v>
      </c>
      <c r="G3956" s="570"/>
      <c r="H3956" s="570"/>
      <c r="I3956" s="570"/>
      <c r="J3956" s="570"/>
      <c r="K3956" s="570"/>
    </row>
    <row r="3957" ht="13.75" customHeight="1">
      <c r="A3957" s="833">
        <v>202</v>
      </c>
      <c r="B3957" t="s" s="834">
        <v>2717</v>
      </c>
      <c r="C3957" t="s" s="834">
        <v>2718</v>
      </c>
      <c r="D3957" s="835">
        <v>46040</v>
      </c>
      <c r="E3957" t="s" s="834">
        <v>478</v>
      </c>
      <c r="F3957" t="s" s="834">
        <v>478</v>
      </c>
      <c r="G3957" s="570"/>
      <c r="H3957" s="570"/>
      <c r="I3957" s="570"/>
      <c r="J3957" s="570"/>
      <c r="K3957" s="570"/>
    </row>
    <row r="3958" ht="13.75" customHeight="1">
      <c r="A3958" s="833">
        <v>202</v>
      </c>
      <c r="B3958" t="s" s="834">
        <v>2717</v>
      </c>
      <c r="C3958" t="s" s="834">
        <v>2718</v>
      </c>
      <c r="D3958" s="835">
        <v>46041</v>
      </c>
      <c r="E3958" t="s" s="834">
        <v>478</v>
      </c>
      <c r="F3958" t="s" s="834">
        <v>478</v>
      </c>
      <c r="G3958" s="570"/>
      <c r="H3958" s="570"/>
      <c r="I3958" s="570"/>
      <c r="J3958" s="570"/>
      <c r="K3958" s="570"/>
    </row>
    <row r="3959" ht="13.75" customHeight="1">
      <c r="A3959" s="833">
        <v>202</v>
      </c>
      <c r="B3959" t="s" s="834">
        <v>2717</v>
      </c>
      <c r="C3959" t="s" s="834">
        <v>2718</v>
      </c>
      <c r="D3959" s="835">
        <v>46042</v>
      </c>
      <c r="E3959" t="s" s="834">
        <v>478</v>
      </c>
      <c r="F3959" t="s" s="834">
        <v>478</v>
      </c>
      <c r="G3959" s="570"/>
      <c r="H3959" s="570"/>
      <c r="I3959" s="570"/>
      <c r="J3959" s="570"/>
      <c r="K3959" s="570"/>
    </row>
    <row r="3960" ht="13.75" customHeight="1">
      <c r="A3960" s="833">
        <v>202</v>
      </c>
      <c r="B3960" t="s" s="834">
        <v>2717</v>
      </c>
      <c r="C3960" t="s" s="834">
        <v>2718</v>
      </c>
      <c r="D3960" s="835">
        <v>46043</v>
      </c>
      <c r="E3960" t="s" s="834">
        <v>478</v>
      </c>
      <c r="F3960" t="s" s="834">
        <v>478</v>
      </c>
      <c r="G3960" s="570"/>
      <c r="H3960" s="570"/>
      <c r="I3960" s="570"/>
      <c r="J3960" s="570"/>
      <c r="K3960" s="570"/>
    </row>
    <row r="3961" ht="13.75" customHeight="1">
      <c r="A3961" s="833">
        <v>202</v>
      </c>
      <c r="B3961" t="s" s="834">
        <v>2717</v>
      </c>
      <c r="C3961" t="s" s="834">
        <v>2718</v>
      </c>
      <c r="D3961" s="835">
        <v>46044</v>
      </c>
      <c r="E3961" t="s" s="834">
        <v>478</v>
      </c>
      <c r="F3961" t="s" s="834">
        <v>478</v>
      </c>
      <c r="G3961" s="570"/>
      <c r="H3961" s="570"/>
      <c r="I3961" s="570"/>
      <c r="J3961" s="570"/>
      <c r="K3961" s="570"/>
    </row>
    <row r="3962" ht="13.75" customHeight="1">
      <c r="A3962" s="833">
        <v>202</v>
      </c>
      <c r="B3962" t="s" s="834">
        <v>2717</v>
      </c>
      <c r="C3962" t="s" s="834">
        <v>2718</v>
      </c>
      <c r="D3962" s="835">
        <v>46045</v>
      </c>
      <c r="E3962" t="s" s="834">
        <v>478</v>
      </c>
      <c r="F3962" t="s" s="834">
        <v>478</v>
      </c>
      <c r="G3962" s="570"/>
      <c r="H3962" s="570"/>
      <c r="I3962" s="570"/>
      <c r="J3962" s="570"/>
      <c r="K3962" s="570"/>
    </row>
    <row r="3963" ht="13.75" customHeight="1">
      <c r="A3963" s="833">
        <v>202</v>
      </c>
      <c r="B3963" t="s" s="834">
        <v>2717</v>
      </c>
      <c r="C3963" t="s" s="834">
        <v>2718</v>
      </c>
      <c r="D3963" s="835">
        <v>46046</v>
      </c>
      <c r="E3963" t="s" s="834">
        <v>478</v>
      </c>
      <c r="F3963" t="s" s="834">
        <v>478</v>
      </c>
      <c r="G3963" s="570"/>
      <c r="H3963" s="570"/>
      <c r="I3963" s="570"/>
      <c r="J3963" s="570"/>
      <c r="K3963" s="570"/>
    </row>
    <row r="3964" ht="13.75" customHeight="1">
      <c r="A3964" s="833">
        <v>202</v>
      </c>
      <c r="B3964" t="s" s="834">
        <v>2717</v>
      </c>
      <c r="C3964" t="s" s="834">
        <v>2718</v>
      </c>
      <c r="D3964" s="835">
        <v>46047</v>
      </c>
      <c r="E3964" t="s" s="834">
        <v>478</v>
      </c>
      <c r="F3964" t="s" s="834">
        <v>478</v>
      </c>
      <c r="G3964" s="570"/>
      <c r="H3964" s="570"/>
      <c r="I3964" s="570"/>
      <c r="J3964" s="570"/>
      <c r="K3964" s="570"/>
    </row>
    <row r="3965" ht="13.75" customHeight="1">
      <c r="A3965" s="833">
        <v>202</v>
      </c>
      <c r="B3965" t="s" s="834">
        <v>2717</v>
      </c>
      <c r="C3965" t="s" s="834">
        <v>2718</v>
      </c>
      <c r="D3965" s="835">
        <v>46048</v>
      </c>
      <c r="E3965" t="s" s="834">
        <v>478</v>
      </c>
      <c r="F3965" t="s" s="834">
        <v>478</v>
      </c>
      <c r="G3965" s="570"/>
      <c r="H3965" s="570"/>
      <c r="I3965" s="570"/>
      <c r="J3965" s="570"/>
      <c r="K3965" s="570"/>
    </row>
    <row r="3966" ht="13.75" customHeight="1">
      <c r="A3966" s="833">
        <v>202</v>
      </c>
      <c r="B3966" t="s" s="834">
        <v>2717</v>
      </c>
      <c r="C3966" t="s" s="834">
        <v>2718</v>
      </c>
      <c r="D3966" s="835">
        <v>46049</v>
      </c>
      <c r="E3966" t="s" s="834">
        <v>478</v>
      </c>
      <c r="F3966" t="s" s="834">
        <v>478</v>
      </c>
      <c r="G3966" s="570"/>
      <c r="H3966" s="570"/>
      <c r="I3966" s="570"/>
      <c r="J3966" s="570"/>
      <c r="K3966" s="570"/>
    </row>
    <row r="3967" ht="13.75" customHeight="1">
      <c r="A3967" s="833">
        <v>202</v>
      </c>
      <c r="B3967" t="s" s="834">
        <v>2717</v>
      </c>
      <c r="C3967" t="s" s="834">
        <v>2718</v>
      </c>
      <c r="D3967" s="835">
        <v>46050</v>
      </c>
      <c r="E3967" t="s" s="834">
        <v>478</v>
      </c>
      <c r="F3967" t="s" s="834">
        <v>478</v>
      </c>
      <c r="G3967" s="570"/>
      <c r="H3967" s="570"/>
      <c r="I3967" s="570"/>
      <c r="J3967" s="570"/>
      <c r="K3967" s="570"/>
    </row>
    <row r="3968" ht="13.75" customHeight="1">
      <c r="A3968" s="833">
        <v>202</v>
      </c>
      <c r="B3968" t="s" s="834">
        <v>2717</v>
      </c>
      <c r="C3968" t="s" s="834">
        <v>2718</v>
      </c>
      <c r="D3968" s="835">
        <v>46051</v>
      </c>
      <c r="E3968" t="s" s="834">
        <v>478</v>
      </c>
      <c r="F3968" t="s" s="834">
        <v>478</v>
      </c>
      <c r="G3968" s="570"/>
      <c r="H3968" s="570"/>
      <c r="I3968" s="570"/>
      <c r="J3968" s="570"/>
      <c r="K3968" s="570"/>
    </row>
    <row r="3969" ht="13.75" customHeight="1">
      <c r="A3969" s="833">
        <v>202</v>
      </c>
      <c r="B3969" t="s" s="834">
        <v>2717</v>
      </c>
      <c r="C3969" t="s" s="834">
        <v>2718</v>
      </c>
      <c r="D3969" s="835">
        <v>46052</v>
      </c>
      <c r="E3969" t="s" s="834">
        <v>478</v>
      </c>
      <c r="F3969" t="s" s="834">
        <v>478</v>
      </c>
      <c r="G3969" s="570"/>
      <c r="H3969" s="570"/>
      <c r="I3969" s="570"/>
      <c r="J3969" s="570"/>
      <c r="K3969" s="570"/>
    </row>
    <row r="3970" ht="13.75" customHeight="1">
      <c r="A3970" s="833">
        <v>202</v>
      </c>
      <c r="B3970" t="s" s="834">
        <v>2717</v>
      </c>
      <c r="C3970" t="s" s="834">
        <v>2718</v>
      </c>
      <c r="D3970" s="835">
        <v>46053</v>
      </c>
      <c r="E3970" t="s" s="834">
        <v>478</v>
      </c>
      <c r="F3970" t="s" s="834">
        <v>478</v>
      </c>
      <c r="G3970" s="570"/>
      <c r="H3970" s="570"/>
      <c r="I3970" s="570"/>
      <c r="J3970" s="570"/>
      <c r="K3970" s="570"/>
    </row>
    <row r="3971" ht="13.75" customHeight="1">
      <c r="A3971" s="833">
        <v>202</v>
      </c>
      <c r="B3971" t="s" s="834">
        <v>2717</v>
      </c>
      <c r="C3971" t="s" s="834">
        <v>2718</v>
      </c>
      <c r="D3971" s="835">
        <v>46054</v>
      </c>
      <c r="E3971" t="s" s="834">
        <v>478</v>
      </c>
      <c r="F3971" t="s" s="834">
        <v>478</v>
      </c>
      <c r="G3971" s="570"/>
      <c r="H3971" s="570"/>
      <c r="I3971" s="570"/>
      <c r="J3971" s="570"/>
      <c r="K3971" s="570"/>
    </row>
    <row r="3972" ht="13.75" customHeight="1">
      <c r="A3972" s="833">
        <v>203</v>
      </c>
      <c r="B3972" t="s" s="834">
        <v>2719</v>
      </c>
      <c r="C3972" t="s" s="834">
        <v>800</v>
      </c>
      <c r="D3972" s="835">
        <v>46023</v>
      </c>
      <c r="E3972" t="s" s="834">
        <v>478</v>
      </c>
      <c r="F3972" t="s" s="834">
        <v>478</v>
      </c>
      <c r="G3972" s="570"/>
      <c r="H3972" s="570"/>
      <c r="I3972" s="570"/>
      <c r="J3972" s="570"/>
      <c r="K3972" s="570"/>
    </row>
    <row r="3973" ht="13.75" customHeight="1">
      <c r="A3973" s="833">
        <v>203</v>
      </c>
      <c r="B3973" t="s" s="834">
        <v>2719</v>
      </c>
      <c r="C3973" t="s" s="834">
        <v>800</v>
      </c>
      <c r="D3973" s="835">
        <v>46024</v>
      </c>
      <c r="E3973" t="s" s="834">
        <v>478</v>
      </c>
      <c r="F3973" t="s" s="834">
        <v>478</v>
      </c>
      <c r="G3973" s="570"/>
      <c r="H3973" s="570"/>
      <c r="I3973" s="570"/>
      <c r="J3973" s="570"/>
      <c r="K3973" s="570"/>
    </row>
    <row r="3974" ht="13.75" customHeight="1">
      <c r="A3974" s="833">
        <v>203</v>
      </c>
      <c r="B3974" t="s" s="834">
        <v>2719</v>
      </c>
      <c r="C3974" t="s" s="834">
        <v>800</v>
      </c>
      <c r="D3974" s="835">
        <v>46025</v>
      </c>
      <c r="E3974" t="s" s="834">
        <v>478</v>
      </c>
      <c r="F3974" t="s" s="834">
        <v>478</v>
      </c>
      <c r="G3974" s="570"/>
      <c r="H3974" s="570"/>
      <c r="I3974" s="570"/>
      <c r="J3974" s="570"/>
      <c r="K3974" s="570"/>
    </row>
    <row r="3975" ht="13.75" customHeight="1">
      <c r="A3975" s="833">
        <v>203</v>
      </c>
      <c r="B3975" t="s" s="834">
        <v>2719</v>
      </c>
      <c r="C3975" t="s" s="834">
        <v>800</v>
      </c>
      <c r="D3975" s="835">
        <v>46026</v>
      </c>
      <c r="E3975" t="s" s="834">
        <v>478</v>
      </c>
      <c r="F3975" t="s" s="834">
        <v>478</v>
      </c>
      <c r="G3975" s="570"/>
      <c r="H3975" s="570"/>
      <c r="I3975" s="570"/>
      <c r="J3975" s="570"/>
      <c r="K3975" s="570"/>
    </row>
    <row r="3976" ht="13.75" customHeight="1">
      <c r="A3976" s="833">
        <v>203</v>
      </c>
      <c r="B3976" t="s" s="834">
        <v>2719</v>
      </c>
      <c r="C3976" t="s" s="834">
        <v>800</v>
      </c>
      <c r="D3976" s="835">
        <v>46027</v>
      </c>
      <c r="E3976" s="836">
        <v>1.343425925925926</v>
      </c>
      <c r="F3976" s="836">
        <v>1.785729166666667</v>
      </c>
      <c r="G3976" s="570"/>
      <c r="H3976" s="570"/>
      <c r="I3976" s="570"/>
      <c r="J3976" s="570"/>
      <c r="K3976" s="570"/>
    </row>
    <row r="3977" ht="13.75" customHeight="1">
      <c r="A3977" t="s" s="834">
        <v>2720</v>
      </c>
      <c r="B3977" t="s" s="834">
        <v>2721</v>
      </c>
      <c r="C3977" t="s" s="834">
        <v>2722</v>
      </c>
      <c r="D3977" s="570"/>
      <c r="E3977" s="570"/>
      <c r="F3977" s="570"/>
      <c r="G3977" s="570"/>
      <c r="H3977" s="570"/>
      <c r="I3977" s="570"/>
      <c r="J3977" s="570"/>
      <c r="K3977" s="570"/>
    </row>
    <row r="3978" ht="13.75" customHeight="1">
      <c r="A3978" s="833">
        <v>203</v>
      </c>
      <c r="B3978" t="s" s="834">
        <v>2719</v>
      </c>
      <c r="C3978" t="s" s="834">
        <v>800</v>
      </c>
      <c r="D3978" s="835">
        <v>46028</v>
      </c>
      <c r="E3978" s="836">
        <v>1.365972222222222</v>
      </c>
      <c r="F3978" s="836">
        <v>1.764247685185185</v>
      </c>
      <c r="G3978" s="570"/>
      <c r="H3978" s="570"/>
      <c r="I3978" s="570"/>
      <c r="J3978" s="570"/>
      <c r="K3978" s="570"/>
    </row>
    <row r="3979" ht="13.75" customHeight="1">
      <c r="A3979" t="s" s="834">
        <v>2723</v>
      </c>
      <c r="B3979" t="s" s="834">
        <v>2724</v>
      </c>
      <c r="C3979" t="s" s="834">
        <v>611</v>
      </c>
      <c r="D3979" s="570"/>
      <c r="E3979" s="570"/>
      <c r="F3979" s="570"/>
      <c r="G3979" s="570"/>
      <c r="H3979" s="570"/>
      <c r="I3979" s="570"/>
      <c r="J3979" s="570"/>
      <c r="K3979" s="570"/>
    </row>
    <row r="3980" ht="13.75" customHeight="1">
      <c r="A3980" s="833">
        <v>203</v>
      </c>
      <c r="B3980" t="s" s="834">
        <v>2719</v>
      </c>
      <c r="C3980" t="s" s="834">
        <v>800</v>
      </c>
      <c r="D3980" s="835">
        <v>46029</v>
      </c>
      <c r="E3980" s="836">
        <v>1.344409722222222</v>
      </c>
      <c r="F3980" s="836">
        <v>1.781944444444445</v>
      </c>
      <c r="G3980" s="570"/>
      <c r="H3980" s="570"/>
      <c r="I3980" s="570"/>
      <c r="J3980" s="570"/>
      <c r="K3980" s="570"/>
    </row>
    <row r="3981" ht="13.75" customHeight="1">
      <c r="A3981" t="s" s="834">
        <v>2725</v>
      </c>
      <c r="B3981" t="s" s="834">
        <v>2726</v>
      </c>
      <c r="C3981" t="s" s="834">
        <v>1901</v>
      </c>
      <c r="D3981" s="570"/>
      <c r="E3981" s="570"/>
      <c r="F3981" s="570"/>
      <c r="G3981" s="570"/>
      <c r="H3981" s="570"/>
      <c r="I3981" s="570"/>
      <c r="J3981" s="570"/>
      <c r="K3981" s="570"/>
    </row>
    <row r="3982" ht="13.75" customHeight="1">
      <c r="A3982" s="833">
        <v>203</v>
      </c>
      <c r="B3982" t="s" s="834">
        <v>2719</v>
      </c>
      <c r="C3982" t="s" s="834">
        <v>800</v>
      </c>
      <c r="D3982" s="835">
        <v>46030</v>
      </c>
      <c r="E3982" s="836">
        <v>1.344594907407407</v>
      </c>
      <c r="F3982" s="836">
        <v>1.790497685185185</v>
      </c>
      <c r="G3982" s="570"/>
      <c r="H3982" s="570"/>
      <c r="I3982" s="570"/>
      <c r="J3982" s="570"/>
      <c r="K3982" s="570"/>
    </row>
    <row r="3983" ht="13.75" customHeight="1">
      <c r="A3983" t="s" s="834">
        <v>2727</v>
      </c>
      <c r="B3983" t="s" s="834">
        <v>2728</v>
      </c>
      <c r="C3983" t="s" s="834">
        <v>1542</v>
      </c>
      <c r="D3983" s="570"/>
      <c r="E3983" s="570"/>
      <c r="F3983" s="570"/>
      <c r="G3983" s="570"/>
      <c r="H3983" s="570"/>
      <c r="I3983" s="570"/>
      <c r="J3983" s="570"/>
      <c r="K3983" s="570"/>
    </row>
    <row r="3984" ht="13.75" customHeight="1">
      <c r="A3984" s="833">
        <v>203</v>
      </c>
      <c r="B3984" t="s" s="834">
        <v>2719</v>
      </c>
      <c r="C3984" t="s" s="834">
        <v>800</v>
      </c>
      <c r="D3984" s="835">
        <v>46031</v>
      </c>
      <c r="E3984" s="836">
        <v>1.333622685185185</v>
      </c>
      <c r="F3984" s="836">
        <v>1.522951388888889</v>
      </c>
      <c r="G3984" s="570"/>
      <c r="H3984" s="570"/>
      <c r="I3984" s="570"/>
      <c r="J3984" s="570"/>
      <c r="K3984" s="570"/>
    </row>
    <row r="3985" ht="13.75" customHeight="1">
      <c r="A3985" t="s" s="834">
        <v>2729</v>
      </c>
      <c r="B3985" t="s" s="834">
        <v>2730</v>
      </c>
      <c r="C3985" t="s" s="834">
        <v>2178</v>
      </c>
      <c r="D3985" s="570"/>
      <c r="E3985" s="570"/>
      <c r="F3985" s="570"/>
      <c r="G3985" s="570"/>
      <c r="H3985" s="570"/>
      <c r="I3985" s="570"/>
      <c r="J3985" s="570"/>
      <c r="K3985" s="570"/>
    </row>
    <row r="3986" ht="13.75" customHeight="1">
      <c r="A3986" s="833">
        <v>203</v>
      </c>
      <c r="B3986" t="s" s="834">
        <v>2719</v>
      </c>
      <c r="C3986" t="s" s="834">
        <v>800</v>
      </c>
      <c r="D3986" s="835">
        <v>46032</v>
      </c>
      <c r="E3986" t="s" s="834">
        <v>478</v>
      </c>
      <c r="F3986" t="s" s="834">
        <v>478</v>
      </c>
      <c r="G3986" s="570"/>
      <c r="H3986" s="570"/>
      <c r="I3986" s="570"/>
      <c r="J3986" s="570"/>
      <c r="K3986" s="570"/>
    </row>
    <row r="3987" ht="13.75" customHeight="1">
      <c r="A3987" s="833">
        <v>203</v>
      </c>
      <c r="B3987" t="s" s="834">
        <v>2719</v>
      </c>
      <c r="C3987" t="s" s="834">
        <v>800</v>
      </c>
      <c r="D3987" s="835">
        <v>46033</v>
      </c>
      <c r="E3987" t="s" s="834">
        <v>478</v>
      </c>
      <c r="F3987" t="s" s="834">
        <v>478</v>
      </c>
      <c r="G3987" s="570"/>
      <c r="H3987" s="570"/>
      <c r="I3987" s="570"/>
      <c r="J3987" s="570"/>
      <c r="K3987" s="570"/>
    </row>
    <row r="3988" ht="13.75" customHeight="1">
      <c r="A3988" s="833">
        <v>203</v>
      </c>
      <c r="B3988" t="s" s="834">
        <v>2719</v>
      </c>
      <c r="C3988" t="s" s="834">
        <v>800</v>
      </c>
      <c r="D3988" s="835">
        <v>46034</v>
      </c>
      <c r="E3988" s="836">
        <v>1.350138888888889</v>
      </c>
      <c r="F3988" s="836">
        <v>1.77775462962963</v>
      </c>
      <c r="G3988" s="570"/>
      <c r="H3988" s="570"/>
      <c r="I3988" s="570"/>
      <c r="J3988" s="570"/>
      <c r="K3988" s="570"/>
    </row>
    <row r="3989" ht="13.75" customHeight="1">
      <c r="A3989" t="s" s="834">
        <v>2731</v>
      </c>
      <c r="B3989" t="s" s="834">
        <v>2732</v>
      </c>
      <c r="C3989" t="s" s="834">
        <v>660</v>
      </c>
      <c r="D3989" s="570"/>
      <c r="E3989" s="570"/>
      <c r="F3989" s="570"/>
      <c r="G3989" s="570"/>
      <c r="H3989" s="570"/>
      <c r="I3989" s="570"/>
      <c r="J3989" s="570"/>
      <c r="K3989" s="570"/>
    </row>
    <row r="3990" ht="13.75" customHeight="1">
      <c r="A3990" s="833">
        <v>203</v>
      </c>
      <c r="B3990" t="s" s="834">
        <v>2719</v>
      </c>
      <c r="C3990" t="s" s="834">
        <v>800</v>
      </c>
      <c r="D3990" s="835">
        <v>46035</v>
      </c>
      <c r="E3990" s="836">
        <v>1.354421296296296</v>
      </c>
      <c r="F3990" s="836">
        <v>1.777083333333333</v>
      </c>
      <c r="G3990" s="570"/>
      <c r="H3990" s="570"/>
      <c r="I3990" s="570"/>
      <c r="J3990" s="570"/>
      <c r="K3990" s="570"/>
    </row>
    <row r="3991" ht="13.75" customHeight="1">
      <c r="A3991" t="s" s="834">
        <v>2733</v>
      </c>
      <c r="B3991" t="s" s="834">
        <v>2734</v>
      </c>
      <c r="C3991" t="s" s="834">
        <v>971</v>
      </c>
      <c r="D3991" s="570"/>
      <c r="E3991" s="570"/>
      <c r="F3991" s="570"/>
      <c r="G3991" s="570"/>
      <c r="H3991" s="570"/>
      <c r="I3991" s="570"/>
      <c r="J3991" s="570"/>
      <c r="K3991" s="570"/>
    </row>
    <row r="3992" ht="13.75" customHeight="1">
      <c r="A3992" s="833">
        <v>203</v>
      </c>
      <c r="B3992" t="s" s="834">
        <v>2719</v>
      </c>
      <c r="C3992" t="s" s="834">
        <v>800</v>
      </c>
      <c r="D3992" s="835">
        <v>46036</v>
      </c>
      <c r="E3992" s="836">
        <v>1.357731481481482</v>
      </c>
      <c r="F3992" s="836">
        <v>1.81806712962963</v>
      </c>
      <c r="G3992" s="570"/>
      <c r="H3992" s="570"/>
      <c r="I3992" s="570"/>
      <c r="J3992" s="570"/>
      <c r="K3992" s="570"/>
    </row>
    <row r="3993" ht="13.75" customHeight="1">
      <c r="A3993" t="s" s="834">
        <v>2735</v>
      </c>
      <c r="B3993" t="s" s="834">
        <v>2736</v>
      </c>
      <c r="C3993" t="s" s="834">
        <v>1858</v>
      </c>
      <c r="D3993" s="570"/>
      <c r="E3993" s="570"/>
      <c r="F3993" s="570"/>
      <c r="G3993" s="570"/>
      <c r="H3993" s="570"/>
      <c r="I3993" s="570"/>
      <c r="J3993" s="570"/>
      <c r="K3993" s="570"/>
    </row>
    <row r="3994" ht="13.75" customHeight="1">
      <c r="A3994" s="833">
        <v>203</v>
      </c>
      <c r="B3994" t="s" s="834">
        <v>2719</v>
      </c>
      <c r="C3994" t="s" s="834">
        <v>800</v>
      </c>
      <c r="D3994" s="835">
        <v>46037</v>
      </c>
      <c r="E3994" s="836">
        <v>1.352175925925926</v>
      </c>
      <c r="F3994" s="836">
        <v>1.782025462962963</v>
      </c>
      <c r="G3994" s="570"/>
      <c r="H3994" s="570"/>
      <c r="I3994" s="570"/>
      <c r="J3994" s="570"/>
      <c r="K3994" s="570"/>
    </row>
    <row r="3995" ht="13.75" customHeight="1">
      <c r="A3995" t="s" s="834">
        <v>2737</v>
      </c>
      <c r="B3995" t="s" s="834">
        <v>2738</v>
      </c>
      <c r="C3995" t="s" s="834">
        <v>509</v>
      </c>
      <c r="D3995" s="570"/>
      <c r="E3995" s="570"/>
      <c r="F3995" s="570"/>
      <c r="G3995" s="570"/>
      <c r="H3995" s="570"/>
      <c r="I3995" s="570"/>
      <c r="J3995" s="570"/>
      <c r="K3995" s="570"/>
    </row>
    <row r="3996" ht="13.75" customHeight="1">
      <c r="A3996" s="833">
        <v>203</v>
      </c>
      <c r="B3996" t="s" s="834">
        <v>2719</v>
      </c>
      <c r="C3996" t="s" s="834">
        <v>800</v>
      </c>
      <c r="D3996" s="835">
        <v>46038</v>
      </c>
      <c r="E3996" s="836">
        <v>1.354155092592593</v>
      </c>
      <c r="F3996" s="836">
        <v>1.354236111111111</v>
      </c>
      <c r="G3996" s="570"/>
      <c r="H3996" s="570"/>
      <c r="I3996" s="570"/>
      <c r="J3996" s="570"/>
      <c r="K3996" s="570"/>
    </row>
    <row r="3997" ht="13.75" customHeight="1">
      <c r="A3997" t="s" s="834">
        <v>2739</v>
      </c>
      <c r="B3997" t="s" s="834">
        <v>2740</v>
      </c>
      <c r="C3997" t="s" s="834">
        <v>486</v>
      </c>
      <c r="D3997" s="570"/>
      <c r="E3997" s="570"/>
      <c r="F3997" s="570"/>
      <c r="G3997" s="570"/>
      <c r="H3997" s="570"/>
      <c r="I3997" s="570"/>
      <c r="J3997" s="570"/>
      <c r="K3997" s="570"/>
    </row>
    <row r="3998" ht="13.75" customHeight="1">
      <c r="A3998" s="833">
        <v>203</v>
      </c>
      <c r="B3998" t="s" s="834">
        <v>2719</v>
      </c>
      <c r="C3998" t="s" s="834">
        <v>800</v>
      </c>
      <c r="D3998" s="835">
        <v>46039</v>
      </c>
      <c r="E3998" t="s" s="834">
        <v>478</v>
      </c>
      <c r="F3998" t="s" s="834">
        <v>478</v>
      </c>
      <c r="G3998" s="570"/>
      <c r="H3998" s="570"/>
      <c r="I3998" s="570"/>
      <c r="J3998" s="570"/>
      <c r="K3998" s="570"/>
    </row>
    <row r="3999" ht="13.75" customHeight="1">
      <c r="A3999" s="833">
        <v>203</v>
      </c>
      <c r="B3999" t="s" s="834">
        <v>2719</v>
      </c>
      <c r="C3999" t="s" s="834">
        <v>800</v>
      </c>
      <c r="D3999" s="835">
        <v>46040</v>
      </c>
      <c r="E3999" t="s" s="834">
        <v>478</v>
      </c>
      <c r="F3999" t="s" s="834">
        <v>478</v>
      </c>
      <c r="G3999" s="570"/>
      <c r="H3999" s="570"/>
      <c r="I3999" s="570"/>
      <c r="J3999" s="570"/>
      <c r="K3999" s="570"/>
    </row>
    <row r="4000" ht="13.75" customHeight="1">
      <c r="A4000" s="833">
        <v>203</v>
      </c>
      <c r="B4000" t="s" s="834">
        <v>2719</v>
      </c>
      <c r="C4000" t="s" s="834">
        <v>800</v>
      </c>
      <c r="D4000" s="835">
        <v>46041</v>
      </c>
      <c r="E4000" s="836">
        <v>1.345405092592593</v>
      </c>
      <c r="F4000" s="836">
        <v>1.782650462962963</v>
      </c>
      <c r="G4000" s="570"/>
      <c r="H4000" s="570"/>
      <c r="I4000" s="570"/>
      <c r="J4000" s="570"/>
      <c r="K4000" s="570"/>
    </row>
    <row r="4001" ht="13.75" customHeight="1">
      <c r="A4001" t="s" s="834">
        <v>2741</v>
      </c>
      <c r="B4001" t="s" s="834">
        <v>2742</v>
      </c>
      <c r="C4001" t="s" s="834">
        <v>1901</v>
      </c>
      <c r="D4001" s="570"/>
      <c r="E4001" s="570"/>
      <c r="F4001" s="570"/>
      <c r="G4001" s="570"/>
      <c r="H4001" s="570"/>
      <c r="I4001" s="570"/>
      <c r="J4001" s="570"/>
      <c r="K4001" s="570"/>
    </row>
    <row r="4002" ht="13.75" customHeight="1">
      <c r="A4002" s="833">
        <v>203</v>
      </c>
      <c r="B4002" t="s" s="834">
        <v>2719</v>
      </c>
      <c r="C4002" t="s" s="834">
        <v>800</v>
      </c>
      <c r="D4002" s="835">
        <v>46042</v>
      </c>
      <c r="E4002" s="836">
        <v>1.345798611111111</v>
      </c>
      <c r="F4002" s="836">
        <v>1.760555555555555</v>
      </c>
      <c r="G4002" s="570"/>
      <c r="H4002" s="570"/>
      <c r="I4002" s="570"/>
      <c r="J4002" s="570"/>
      <c r="K4002" s="570"/>
    </row>
    <row r="4003" ht="13.75" customHeight="1">
      <c r="A4003" t="s" s="834">
        <v>2743</v>
      </c>
      <c r="B4003" t="s" s="834">
        <v>2744</v>
      </c>
      <c r="C4003" t="s" s="834">
        <v>1259</v>
      </c>
      <c r="D4003" s="570"/>
      <c r="E4003" s="570"/>
      <c r="F4003" s="570"/>
      <c r="G4003" s="570"/>
      <c r="H4003" s="570"/>
      <c r="I4003" s="570"/>
      <c r="J4003" s="570"/>
      <c r="K4003" s="570"/>
    </row>
    <row r="4004" ht="13.75" customHeight="1">
      <c r="A4004" s="833">
        <v>203</v>
      </c>
      <c r="B4004" t="s" s="834">
        <v>2719</v>
      </c>
      <c r="C4004" t="s" s="834">
        <v>800</v>
      </c>
      <c r="D4004" s="835">
        <v>46043</v>
      </c>
      <c r="E4004" s="836">
        <v>1.34818287037037</v>
      </c>
      <c r="F4004" s="836">
        <v>1.787546296296296</v>
      </c>
      <c r="G4004" s="570"/>
      <c r="H4004" s="570"/>
      <c r="I4004" s="570"/>
      <c r="J4004" s="570"/>
      <c r="K4004" s="570"/>
    </row>
    <row r="4005" ht="13.75" customHeight="1">
      <c r="A4005" t="s" s="834">
        <v>2745</v>
      </c>
      <c r="B4005" t="s" s="834">
        <v>2746</v>
      </c>
      <c r="C4005" t="s" s="834">
        <v>1008</v>
      </c>
      <c r="D4005" s="570"/>
      <c r="E4005" s="570"/>
      <c r="F4005" s="570"/>
      <c r="G4005" s="570"/>
      <c r="H4005" s="570"/>
      <c r="I4005" s="570"/>
      <c r="J4005" s="570"/>
      <c r="K4005" s="570"/>
    </row>
    <row r="4006" ht="13.75" customHeight="1">
      <c r="A4006" s="833">
        <v>203</v>
      </c>
      <c r="B4006" t="s" s="834">
        <v>2719</v>
      </c>
      <c r="C4006" t="s" s="834">
        <v>800</v>
      </c>
      <c r="D4006" s="835">
        <v>46044</v>
      </c>
      <c r="E4006" t="s" s="834">
        <v>478</v>
      </c>
      <c r="F4006" t="s" s="834">
        <v>478</v>
      </c>
      <c r="G4006" s="570"/>
      <c r="H4006" s="570"/>
      <c r="I4006" s="570"/>
      <c r="J4006" s="570"/>
      <c r="K4006" s="570"/>
    </row>
    <row r="4007" ht="13.75" customHeight="1">
      <c r="A4007" s="833">
        <v>203</v>
      </c>
      <c r="B4007" t="s" s="834">
        <v>2719</v>
      </c>
      <c r="C4007" t="s" s="834">
        <v>800</v>
      </c>
      <c r="D4007" s="835">
        <v>46045</v>
      </c>
      <c r="E4007" t="s" s="834">
        <v>478</v>
      </c>
      <c r="F4007" t="s" s="834">
        <v>478</v>
      </c>
      <c r="G4007" s="570"/>
      <c r="H4007" s="570"/>
      <c r="I4007" s="570"/>
      <c r="J4007" s="570"/>
      <c r="K4007" s="570"/>
    </row>
    <row r="4008" ht="13.75" customHeight="1">
      <c r="A4008" s="833">
        <v>203</v>
      </c>
      <c r="B4008" t="s" s="834">
        <v>2719</v>
      </c>
      <c r="C4008" t="s" s="834">
        <v>800</v>
      </c>
      <c r="D4008" s="835">
        <v>46046</v>
      </c>
      <c r="E4008" t="s" s="834">
        <v>478</v>
      </c>
      <c r="F4008" t="s" s="834">
        <v>478</v>
      </c>
      <c r="G4008" s="570"/>
      <c r="H4008" s="570"/>
      <c r="I4008" s="570"/>
      <c r="J4008" s="570"/>
      <c r="K4008" s="570"/>
    </row>
    <row r="4009" ht="13.75" customHeight="1">
      <c r="A4009" s="833">
        <v>203</v>
      </c>
      <c r="B4009" t="s" s="834">
        <v>2719</v>
      </c>
      <c r="C4009" t="s" s="834">
        <v>800</v>
      </c>
      <c r="D4009" s="835">
        <v>46047</v>
      </c>
      <c r="E4009" t="s" s="834">
        <v>478</v>
      </c>
      <c r="F4009" t="s" s="834">
        <v>478</v>
      </c>
      <c r="G4009" s="570"/>
      <c r="H4009" s="570"/>
      <c r="I4009" s="570"/>
      <c r="J4009" s="570"/>
      <c r="K4009" s="570"/>
    </row>
    <row r="4010" ht="13.75" customHeight="1">
      <c r="A4010" s="833">
        <v>203</v>
      </c>
      <c r="B4010" t="s" s="834">
        <v>2719</v>
      </c>
      <c r="C4010" t="s" s="834">
        <v>800</v>
      </c>
      <c r="D4010" s="835">
        <v>46048</v>
      </c>
      <c r="E4010" s="836">
        <v>1.356747685185185</v>
      </c>
      <c r="F4010" s="836">
        <v>1.725787037037037</v>
      </c>
      <c r="G4010" s="570"/>
      <c r="H4010" s="570"/>
      <c r="I4010" s="570"/>
      <c r="J4010" s="570"/>
      <c r="K4010" s="570"/>
    </row>
    <row r="4011" ht="13.75" customHeight="1">
      <c r="A4011" t="s" s="834">
        <v>2747</v>
      </c>
      <c r="B4011" t="s" s="834">
        <v>2748</v>
      </c>
      <c r="C4011" t="s" s="834">
        <v>2749</v>
      </c>
      <c r="D4011" s="570"/>
      <c r="E4011" s="570"/>
      <c r="F4011" s="570"/>
      <c r="G4011" s="570"/>
      <c r="H4011" s="570"/>
      <c r="I4011" s="570"/>
      <c r="J4011" s="570"/>
      <c r="K4011" s="570"/>
    </row>
    <row r="4012" ht="13.75" customHeight="1">
      <c r="A4012" s="833">
        <v>203</v>
      </c>
      <c r="B4012" t="s" s="834">
        <v>2719</v>
      </c>
      <c r="C4012" t="s" s="834">
        <v>800</v>
      </c>
      <c r="D4012" s="835">
        <v>46049</v>
      </c>
      <c r="E4012" s="836">
        <v>1.339664351851852</v>
      </c>
      <c r="F4012" s="836">
        <v>1.800428240740741</v>
      </c>
      <c r="G4012" s="570"/>
      <c r="H4012" s="570"/>
      <c r="I4012" s="570"/>
      <c r="J4012" s="570"/>
      <c r="K4012" s="570"/>
    </row>
    <row r="4013" ht="13.75" customHeight="1">
      <c r="A4013" t="s" s="834">
        <v>2750</v>
      </c>
      <c r="B4013" t="s" s="834">
        <v>2751</v>
      </c>
      <c r="C4013" t="s" s="834">
        <v>2752</v>
      </c>
      <c r="D4013" s="570"/>
      <c r="E4013" s="570"/>
      <c r="F4013" s="570"/>
      <c r="G4013" s="570"/>
      <c r="H4013" s="570"/>
      <c r="I4013" s="570"/>
      <c r="J4013" s="570"/>
      <c r="K4013" s="570"/>
    </row>
    <row r="4014" ht="13.75" customHeight="1">
      <c r="A4014" s="833">
        <v>203</v>
      </c>
      <c r="B4014" t="s" s="834">
        <v>2719</v>
      </c>
      <c r="C4014" t="s" s="834">
        <v>800</v>
      </c>
      <c r="D4014" s="835">
        <v>46050</v>
      </c>
      <c r="E4014" s="836">
        <v>1.352488425925926</v>
      </c>
      <c r="F4014" s="836">
        <v>1.808275462962963</v>
      </c>
      <c r="G4014" s="570"/>
      <c r="H4014" s="570"/>
      <c r="I4014" s="570"/>
      <c r="J4014" s="570"/>
      <c r="K4014" s="570"/>
    </row>
    <row r="4015" ht="13.75" customHeight="1">
      <c r="A4015" t="s" s="834">
        <v>2753</v>
      </c>
      <c r="B4015" t="s" s="834">
        <v>2754</v>
      </c>
      <c r="C4015" t="s" s="834">
        <v>1062</v>
      </c>
      <c r="D4015" s="570"/>
      <c r="E4015" s="570"/>
      <c r="F4015" s="570"/>
      <c r="G4015" s="570"/>
      <c r="H4015" s="570"/>
      <c r="I4015" s="570"/>
      <c r="J4015" s="570"/>
      <c r="K4015" s="570"/>
    </row>
    <row r="4016" ht="13.75" customHeight="1">
      <c r="A4016" s="833">
        <v>203</v>
      </c>
      <c r="B4016" t="s" s="834">
        <v>2719</v>
      </c>
      <c r="C4016" t="s" s="834">
        <v>800</v>
      </c>
      <c r="D4016" s="835">
        <v>46051</v>
      </c>
      <c r="E4016" s="836">
        <v>1.352569444444444</v>
      </c>
      <c r="F4016" s="836">
        <v>1.806851851851852</v>
      </c>
      <c r="G4016" s="570"/>
      <c r="H4016" s="570"/>
      <c r="I4016" s="570"/>
      <c r="J4016" s="570"/>
      <c r="K4016" s="570"/>
    </row>
    <row r="4017" ht="13.75" customHeight="1">
      <c r="A4017" t="s" s="834">
        <v>2755</v>
      </c>
      <c r="B4017" t="s" s="834">
        <v>2756</v>
      </c>
      <c r="C4017" t="s" s="834">
        <v>1317</v>
      </c>
      <c r="D4017" s="570"/>
      <c r="E4017" s="570"/>
      <c r="F4017" s="570"/>
      <c r="G4017" s="570"/>
      <c r="H4017" s="570"/>
      <c r="I4017" s="570"/>
      <c r="J4017" s="570"/>
      <c r="K4017" s="570"/>
    </row>
    <row r="4018" ht="13.75" customHeight="1">
      <c r="A4018" s="833">
        <v>203</v>
      </c>
      <c r="B4018" t="s" s="834">
        <v>2719</v>
      </c>
      <c r="C4018" t="s" s="834">
        <v>800</v>
      </c>
      <c r="D4018" s="835">
        <v>46052</v>
      </c>
      <c r="E4018" s="836">
        <v>1.766331018518518</v>
      </c>
      <c r="F4018" s="836">
        <v>1.766516203703704</v>
      </c>
      <c r="G4018" s="570"/>
      <c r="H4018" s="570"/>
      <c r="I4018" s="570"/>
      <c r="J4018" s="570"/>
      <c r="K4018" s="570"/>
    </row>
    <row r="4019" ht="13.75" customHeight="1">
      <c r="A4019" t="s" s="834">
        <v>2757</v>
      </c>
      <c r="B4019" t="s" s="834">
        <v>2758</v>
      </c>
      <c r="C4019" t="s" s="834">
        <v>486</v>
      </c>
      <c r="D4019" s="570"/>
      <c r="E4019" s="570"/>
      <c r="F4019" s="570"/>
      <c r="G4019" s="570"/>
      <c r="H4019" s="570"/>
      <c r="I4019" s="570"/>
      <c r="J4019" s="570"/>
      <c r="K4019" s="570"/>
    </row>
    <row r="4020" ht="13.75" customHeight="1">
      <c r="A4020" s="833">
        <v>203</v>
      </c>
      <c r="B4020" t="s" s="834">
        <v>2719</v>
      </c>
      <c r="C4020" t="s" s="834">
        <v>800</v>
      </c>
      <c r="D4020" s="835">
        <v>46053</v>
      </c>
      <c r="E4020" t="s" s="834">
        <v>478</v>
      </c>
      <c r="F4020" t="s" s="834">
        <v>478</v>
      </c>
      <c r="G4020" s="570"/>
      <c r="H4020" s="570"/>
      <c r="I4020" s="570"/>
      <c r="J4020" s="570"/>
      <c r="K4020" s="570"/>
    </row>
    <row r="4021" ht="13.75" customHeight="1">
      <c r="A4021" s="833">
        <v>203</v>
      </c>
      <c r="B4021" t="s" s="834">
        <v>2719</v>
      </c>
      <c r="C4021" t="s" s="834">
        <v>800</v>
      </c>
      <c r="D4021" s="835">
        <v>46054</v>
      </c>
      <c r="E4021" t="s" s="834">
        <v>478</v>
      </c>
      <c r="F4021" t="s" s="834">
        <v>478</v>
      </c>
      <c r="G4021" s="570"/>
      <c r="H4021" s="570"/>
      <c r="I4021" s="570"/>
      <c r="J4021" s="570"/>
      <c r="K4021" s="570"/>
    </row>
    <row r="4022" ht="13.75" customHeight="1">
      <c r="A4022" s="833">
        <v>205</v>
      </c>
      <c r="B4022" t="s" s="834">
        <v>2759</v>
      </c>
      <c r="C4022" t="s" s="834">
        <v>1010</v>
      </c>
      <c r="D4022" s="835">
        <v>46023</v>
      </c>
      <c r="E4022" t="s" s="834">
        <v>478</v>
      </c>
      <c r="F4022" t="s" s="834">
        <v>478</v>
      </c>
      <c r="G4022" s="570"/>
      <c r="H4022" s="570"/>
      <c r="I4022" s="570"/>
      <c r="J4022" s="570"/>
      <c r="K4022" s="570"/>
    </row>
    <row r="4023" ht="13.75" customHeight="1">
      <c r="A4023" s="833">
        <v>205</v>
      </c>
      <c r="B4023" t="s" s="834">
        <v>2759</v>
      </c>
      <c r="C4023" t="s" s="834">
        <v>1010</v>
      </c>
      <c r="D4023" s="835">
        <v>46024</v>
      </c>
      <c r="E4023" t="s" s="834">
        <v>478</v>
      </c>
      <c r="F4023" t="s" s="834">
        <v>478</v>
      </c>
      <c r="G4023" s="570"/>
      <c r="H4023" s="570"/>
      <c r="I4023" s="570"/>
      <c r="J4023" s="570"/>
      <c r="K4023" s="570"/>
    </row>
    <row r="4024" ht="13.75" customHeight="1">
      <c r="A4024" s="833">
        <v>205</v>
      </c>
      <c r="B4024" t="s" s="834">
        <v>2759</v>
      </c>
      <c r="C4024" t="s" s="834">
        <v>1010</v>
      </c>
      <c r="D4024" s="835">
        <v>46025</v>
      </c>
      <c r="E4024" t="s" s="834">
        <v>478</v>
      </c>
      <c r="F4024" t="s" s="834">
        <v>478</v>
      </c>
      <c r="G4024" s="570"/>
      <c r="H4024" s="570"/>
      <c r="I4024" s="570"/>
      <c r="J4024" s="570"/>
      <c r="K4024" s="570"/>
    </row>
    <row r="4025" ht="13.75" customHeight="1">
      <c r="A4025" s="833">
        <v>205</v>
      </c>
      <c r="B4025" t="s" s="834">
        <v>2759</v>
      </c>
      <c r="C4025" t="s" s="834">
        <v>1010</v>
      </c>
      <c r="D4025" s="835">
        <v>46026</v>
      </c>
      <c r="E4025" t="s" s="834">
        <v>478</v>
      </c>
      <c r="F4025" t="s" s="834">
        <v>478</v>
      </c>
      <c r="G4025" s="570"/>
      <c r="H4025" s="570"/>
      <c r="I4025" s="570"/>
      <c r="J4025" s="570"/>
      <c r="K4025" s="570"/>
    </row>
    <row r="4026" ht="13.75" customHeight="1">
      <c r="A4026" s="833">
        <v>205</v>
      </c>
      <c r="B4026" t="s" s="834">
        <v>2759</v>
      </c>
      <c r="C4026" t="s" s="834">
        <v>1010</v>
      </c>
      <c r="D4026" s="835">
        <v>46027</v>
      </c>
      <c r="E4026" s="836">
        <v>1.361747685185185</v>
      </c>
      <c r="F4026" s="836">
        <v>1.773703703703704</v>
      </c>
      <c r="G4026" s="570"/>
      <c r="H4026" s="570"/>
      <c r="I4026" s="570"/>
      <c r="J4026" s="570"/>
      <c r="K4026" s="570"/>
    </row>
    <row r="4027" ht="13.75" customHeight="1">
      <c r="A4027" t="s" s="834">
        <v>2760</v>
      </c>
      <c r="B4027" t="s" s="834">
        <v>2761</v>
      </c>
      <c r="C4027" t="s" s="834">
        <v>597</v>
      </c>
      <c r="D4027" s="570"/>
      <c r="E4027" s="570"/>
      <c r="F4027" s="570"/>
      <c r="G4027" s="570"/>
      <c r="H4027" s="570"/>
      <c r="I4027" s="570"/>
      <c r="J4027" s="570"/>
      <c r="K4027" s="570"/>
    </row>
    <row r="4028" ht="13.75" customHeight="1">
      <c r="A4028" s="833">
        <v>205</v>
      </c>
      <c r="B4028" t="s" s="834">
        <v>2759</v>
      </c>
      <c r="C4028" t="s" s="834">
        <v>1010</v>
      </c>
      <c r="D4028" s="835">
        <v>46028</v>
      </c>
      <c r="E4028" s="836">
        <v>1.381354166666667</v>
      </c>
      <c r="F4028" s="836">
        <v>1.773958333333333</v>
      </c>
      <c r="G4028" s="570"/>
      <c r="H4028" s="570"/>
      <c r="I4028" s="570"/>
      <c r="J4028" s="570"/>
      <c r="K4028" s="570"/>
    </row>
    <row r="4029" ht="13.75" customHeight="1">
      <c r="A4029" t="s" s="834">
        <v>2762</v>
      </c>
      <c r="B4029" t="s" s="834">
        <v>2763</v>
      </c>
      <c r="C4029" t="s" s="834">
        <v>966</v>
      </c>
      <c r="D4029" s="570"/>
      <c r="E4029" s="570"/>
      <c r="F4029" s="570"/>
      <c r="G4029" s="570"/>
      <c r="H4029" s="570"/>
      <c r="I4029" s="570"/>
      <c r="J4029" s="570"/>
      <c r="K4029" s="570"/>
    </row>
    <row r="4030" ht="13.75" customHeight="1">
      <c r="A4030" s="833">
        <v>205</v>
      </c>
      <c r="B4030" t="s" s="834">
        <v>2759</v>
      </c>
      <c r="C4030" t="s" s="834">
        <v>1010</v>
      </c>
      <c r="D4030" s="835">
        <v>46029</v>
      </c>
      <c r="E4030" s="836">
        <v>1.375092592592593</v>
      </c>
      <c r="F4030" s="836">
        <v>1.782048611111111</v>
      </c>
      <c r="G4030" s="570"/>
      <c r="H4030" s="570"/>
      <c r="I4030" s="570"/>
      <c r="J4030" s="570"/>
      <c r="K4030" s="570"/>
    </row>
    <row r="4031" ht="13.75" customHeight="1">
      <c r="A4031" t="s" s="834">
        <v>2764</v>
      </c>
      <c r="B4031" t="s" s="834">
        <v>2765</v>
      </c>
      <c r="C4031" t="s" s="834">
        <v>1113</v>
      </c>
      <c r="D4031" s="570"/>
      <c r="E4031" s="570"/>
      <c r="F4031" s="570"/>
      <c r="G4031" s="570"/>
      <c r="H4031" s="570"/>
      <c r="I4031" s="570"/>
      <c r="J4031" s="570"/>
      <c r="K4031" s="570"/>
    </row>
    <row r="4032" ht="13.75" customHeight="1">
      <c r="A4032" s="833">
        <v>205</v>
      </c>
      <c r="B4032" t="s" s="834">
        <v>2759</v>
      </c>
      <c r="C4032" t="s" s="834">
        <v>1010</v>
      </c>
      <c r="D4032" s="835">
        <v>46030</v>
      </c>
      <c r="E4032" s="836">
        <v>1.360092592592593</v>
      </c>
      <c r="F4032" s="836">
        <v>1.755486111111111</v>
      </c>
      <c r="G4032" s="570"/>
      <c r="H4032" s="570"/>
      <c r="I4032" s="570"/>
      <c r="J4032" s="570"/>
      <c r="K4032" s="570"/>
    </row>
    <row r="4033" ht="13.75" customHeight="1">
      <c r="A4033" t="s" s="834">
        <v>2766</v>
      </c>
      <c r="B4033" t="s" s="834">
        <v>2767</v>
      </c>
      <c r="C4033" t="s" s="834">
        <v>643</v>
      </c>
      <c r="D4033" s="570"/>
      <c r="E4033" s="570"/>
      <c r="F4033" s="570"/>
      <c r="G4033" s="570"/>
      <c r="H4033" s="570"/>
      <c r="I4033" s="570"/>
      <c r="J4033" s="570"/>
      <c r="K4033" s="570"/>
    </row>
    <row r="4034" ht="13.75" customHeight="1">
      <c r="A4034" s="833">
        <v>205</v>
      </c>
      <c r="B4034" t="s" s="834">
        <v>2759</v>
      </c>
      <c r="C4034" t="s" s="834">
        <v>1010</v>
      </c>
      <c r="D4034" s="835">
        <v>46031</v>
      </c>
      <c r="E4034" s="836">
        <v>1.361157407407407</v>
      </c>
      <c r="F4034" s="836">
        <v>1.763831018518518</v>
      </c>
      <c r="G4034" s="570"/>
      <c r="H4034" s="570"/>
      <c r="I4034" s="570"/>
      <c r="J4034" s="570"/>
      <c r="K4034" s="570"/>
    </row>
    <row r="4035" ht="13.75" customHeight="1">
      <c r="A4035" t="s" s="834">
        <v>2768</v>
      </c>
      <c r="B4035" t="s" s="834">
        <v>2769</v>
      </c>
      <c r="C4035" t="s" s="834">
        <v>861</v>
      </c>
      <c r="D4035" s="570"/>
      <c r="E4035" s="570"/>
      <c r="F4035" s="570"/>
      <c r="G4035" s="570"/>
      <c r="H4035" s="570"/>
      <c r="I4035" s="570"/>
      <c r="J4035" s="570"/>
      <c r="K4035" s="570"/>
    </row>
    <row r="4036" ht="13.75" customHeight="1">
      <c r="A4036" s="833">
        <v>205</v>
      </c>
      <c r="B4036" t="s" s="834">
        <v>2759</v>
      </c>
      <c r="C4036" t="s" s="834">
        <v>1010</v>
      </c>
      <c r="D4036" s="835">
        <v>46032</v>
      </c>
      <c r="E4036" s="836">
        <v>1.360752314814815</v>
      </c>
      <c r="F4036" s="836">
        <v>1.508530092592593</v>
      </c>
      <c r="G4036" s="570"/>
      <c r="H4036" s="570"/>
      <c r="I4036" s="570"/>
      <c r="J4036" s="570"/>
      <c r="K4036" s="570"/>
    </row>
    <row r="4037" ht="13.75" customHeight="1">
      <c r="A4037" t="s" s="834">
        <v>2770</v>
      </c>
      <c r="B4037" t="s" s="834">
        <v>2771</v>
      </c>
      <c r="C4037" t="s" s="834">
        <v>2772</v>
      </c>
      <c r="D4037" s="570"/>
      <c r="E4037" s="570"/>
      <c r="F4037" s="570"/>
      <c r="G4037" s="570"/>
      <c r="H4037" s="570"/>
      <c r="I4037" s="570"/>
      <c r="J4037" s="570"/>
      <c r="K4037" s="570"/>
    </row>
    <row r="4038" ht="13.75" customHeight="1">
      <c r="A4038" s="833">
        <v>205</v>
      </c>
      <c r="B4038" t="s" s="834">
        <v>2759</v>
      </c>
      <c r="C4038" t="s" s="834">
        <v>1010</v>
      </c>
      <c r="D4038" s="835">
        <v>46033</v>
      </c>
      <c r="E4038" t="s" s="834">
        <v>478</v>
      </c>
      <c r="F4038" t="s" s="834">
        <v>478</v>
      </c>
      <c r="G4038" s="570"/>
      <c r="H4038" s="570"/>
      <c r="I4038" s="570"/>
      <c r="J4038" s="570"/>
      <c r="K4038" s="570"/>
    </row>
    <row r="4039" ht="13.75" customHeight="1">
      <c r="A4039" s="833">
        <v>205</v>
      </c>
      <c r="B4039" t="s" s="834">
        <v>2759</v>
      </c>
      <c r="C4039" t="s" s="834">
        <v>1010</v>
      </c>
      <c r="D4039" s="835">
        <v>46034</v>
      </c>
      <c r="E4039" s="836">
        <v>1.361828703703704</v>
      </c>
      <c r="F4039" s="836">
        <v>1.759976851851852</v>
      </c>
      <c r="G4039" s="570"/>
      <c r="H4039" s="570"/>
      <c r="I4039" s="570"/>
      <c r="J4039" s="570"/>
      <c r="K4039" s="570"/>
    </row>
    <row r="4040" ht="13.75" customHeight="1">
      <c r="A4040" t="s" s="834">
        <v>2773</v>
      </c>
      <c r="B4040" t="s" s="834">
        <v>2530</v>
      </c>
      <c r="C4040" t="s" s="834">
        <v>688</v>
      </c>
      <c r="D4040" s="570"/>
      <c r="E4040" s="570"/>
      <c r="F4040" s="570"/>
      <c r="G4040" s="570"/>
      <c r="H4040" s="570"/>
      <c r="I4040" s="570"/>
      <c r="J4040" s="570"/>
      <c r="K4040" s="570"/>
    </row>
    <row r="4041" ht="13.75" customHeight="1">
      <c r="A4041" s="833">
        <v>205</v>
      </c>
      <c r="B4041" t="s" s="834">
        <v>2759</v>
      </c>
      <c r="C4041" t="s" s="834">
        <v>1010</v>
      </c>
      <c r="D4041" s="835">
        <v>46035</v>
      </c>
      <c r="E4041" s="836">
        <v>1.365127314814815</v>
      </c>
      <c r="F4041" s="836">
        <v>1.7690625</v>
      </c>
      <c r="G4041" s="570"/>
      <c r="H4041" s="570"/>
      <c r="I4041" s="570"/>
      <c r="J4041" s="570"/>
      <c r="K4041" s="570"/>
    </row>
    <row r="4042" ht="13.75" customHeight="1">
      <c r="A4042" t="s" s="834">
        <v>2774</v>
      </c>
      <c r="B4042" t="s" s="834">
        <v>2775</v>
      </c>
      <c r="C4042" t="s" s="834">
        <v>493</v>
      </c>
      <c r="D4042" s="570"/>
      <c r="E4042" s="570"/>
      <c r="F4042" s="570"/>
      <c r="G4042" s="570"/>
      <c r="H4042" s="570"/>
      <c r="I4042" s="570"/>
      <c r="J4042" s="570"/>
      <c r="K4042" s="570"/>
    </row>
    <row r="4043" ht="13.75" customHeight="1">
      <c r="A4043" s="833">
        <v>205</v>
      </c>
      <c r="B4043" t="s" s="834">
        <v>2759</v>
      </c>
      <c r="C4043" t="s" s="834">
        <v>1010</v>
      </c>
      <c r="D4043" s="835">
        <v>46036</v>
      </c>
      <c r="E4043" s="836">
        <v>1.36875</v>
      </c>
      <c r="F4043" s="836">
        <v>1.783680555555556</v>
      </c>
      <c r="G4043" s="570"/>
      <c r="H4043" s="570"/>
      <c r="I4043" s="570"/>
      <c r="J4043" s="570"/>
      <c r="K4043" s="570"/>
    </row>
    <row r="4044" ht="13.75" customHeight="1">
      <c r="A4044" t="s" s="834">
        <v>2776</v>
      </c>
      <c r="B4044" t="s" s="834">
        <v>2777</v>
      </c>
      <c r="C4044" t="s" s="834">
        <v>1124</v>
      </c>
      <c r="D4044" s="570"/>
      <c r="E4044" s="570"/>
      <c r="F4044" s="570"/>
      <c r="G4044" s="570"/>
      <c r="H4044" s="570"/>
      <c r="I4044" s="570"/>
      <c r="J4044" s="570"/>
      <c r="K4044" s="570"/>
    </row>
    <row r="4045" ht="13.75" customHeight="1">
      <c r="A4045" s="833">
        <v>205</v>
      </c>
      <c r="B4045" t="s" s="834">
        <v>2759</v>
      </c>
      <c r="C4045" t="s" s="834">
        <v>1010</v>
      </c>
      <c r="D4045" s="835">
        <v>46037</v>
      </c>
      <c r="E4045" s="836">
        <v>1.369016203703704</v>
      </c>
      <c r="F4045" s="836">
        <v>1.767291666666667</v>
      </c>
      <c r="G4045" s="570"/>
      <c r="H4045" s="570"/>
      <c r="I4045" s="570"/>
      <c r="J4045" s="570"/>
      <c r="K4045" s="570"/>
    </row>
    <row r="4046" ht="13.75" customHeight="1">
      <c r="A4046" t="s" s="834">
        <v>2778</v>
      </c>
      <c r="B4046" t="s" s="834">
        <v>2779</v>
      </c>
      <c r="C4046" t="s" s="834">
        <v>611</v>
      </c>
      <c r="D4046" s="570"/>
      <c r="E4046" s="570"/>
      <c r="F4046" s="570"/>
      <c r="G4046" s="570"/>
      <c r="H4046" s="570"/>
      <c r="I4046" s="570"/>
      <c r="J4046" s="570"/>
      <c r="K4046" s="570"/>
    </row>
    <row r="4047" ht="13.75" customHeight="1">
      <c r="A4047" s="833">
        <v>205</v>
      </c>
      <c r="B4047" t="s" s="834">
        <v>2759</v>
      </c>
      <c r="C4047" t="s" s="834">
        <v>1010</v>
      </c>
      <c r="D4047" s="835">
        <v>46038</v>
      </c>
      <c r="E4047" s="836">
        <v>1.368611111111111</v>
      </c>
      <c r="F4047" s="836">
        <v>1.781099537037037</v>
      </c>
      <c r="G4047" s="570"/>
      <c r="H4047" s="570"/>
      <c r="I4047" s="570"/>
      <c r="J4047" s="570"/>
      <c r="K4047" s="570"/>
    </row>
    <row r="4048" ht="13.75" customHeight="1">
      <c r="A4048" t="s" s="834">
        <v>2780</v>
      </c>
      <c r="B4048" t="s" s="834">
        <v>2781</v>
      </c>
      <c r="C4048" t="s" s="834">
        <v>1059</v>
      </c>
      <c r="D4048" s="570"/>
      <c r="E4048" s="570"/>
      <c r="F4048" s="570"/>
      <c r="G4048" s="570"/>
      <c r="H4048" s="570"/>
      <c r="I4048" s="570"/>
      <c r="J4048" s="570"/>
      <c r="K4048" s="570"/>
    </row>
    <row r="4049" ht="13.75" customHeight="1">
      <c r="A4049" s="833">
        <v>205</v>
      </c>
      <c r="B4049" t="s" s="834">
        <v>2759</v>
      </c>
      <c r="C4049" t="s" s="834">
        <v>1010</v>
      </c>
      <c r="D4049" s="835">
        <v>46039</v>
      </c>
      <c r="E4049" t="s" s="834">
        <v>478</v>
      </c>
      <c r="F4049" t="s" s="834">
        <v>478</v>
      </c>
      <c r="G4049" s="570"/>
      <c r="H4049" s="570"/>
      <c r="I4049" s="570"/>
      <c r="J4049" s="570"/>
      <c r="K4049" s="570"/>
    </row>
    <row r="4050" ht="13.75" customHeight="1">
      <c r="A4050" s="833">
        <v>205</v>
      </c>
      <c r="B4050" t="s" s="834">
        <v>2759</v>
      </c>
      <c r="C4050" t="s" s="834">
        <v>1010</v>
      </c>
      <c r="D4050" s="835">
        <v>46040</v>
      </c>
      <c r="E4050" t="s" s="834">
        <v>478</v>
      </c>
      <c r="F4050" t="s" s="834">
        <v>478</v>
      </c>
      <c r="G4050" s="570"/>
      <c r="H4050" s="570"/>
      <c r="I4050" s="570"/>
      <c r="J4050" s="570"/>
      <c r="K4050" s="570"/>
    </row>
    <row r="4051" ht="13.75" customHeight="1">
      <c r="A4051" s="833">
        <v>205</v>
      </c>
      <c r="B4051" t="s" s="834">
        <v>2759</v>
      </c>
      <c r="C4051" t="s" s="834">
        <v>1010</v>
      </c>
      <c r="D4051" s="835">
        <v>46041</v>
      </c>
      <c r="E4051" t="s" s="834">
        <v>478</v>
      </c>
      <c r="F4051" t="s" s="834">
        <v>478</v>
      </c>
      <c r="G4051" s="570"/>
      <c r="H4051" s="570"/>
      <c r="I4051" s="570"/>
      <c r="J4051" s="570"/>
      <c r="K4051" s="570"/>
    </row>
    <row r="4052" ht="13.75" customHeight="1">
      <c r="A4052" s="833">
        <v>205</v>
      </c>
      <c r="B4052" t="s" s="834">
        <v>2759</v>
      </c>
      <c r="C4052" t="s" s="834">
        <v>1010</v>
      </c>
      <c r="D4052" s="835">
        <v>46042</v>
      </c>
      <c r="E4052" t="s" s="834">
        <v>478</v>
      </c>
      <c r="F4052" t="s" s="834">
        <v>478</v>
      </c>
      <c r="G4052" s="570"/>
      <c r="H4052" s="570"/>
      <c r="I4052" s="570"/>
      <c r="J4052" s="570"/>
      <c r="K4052" s="570"/>
    </row>
    <row r="4053" ht="13.75" customHeight="1">
      <c r="A4053" s="833">
        <v>205</v>
      </c>
      <c r="B4053" t="s" s="834">
        <v>2759</v>
      </c>
      <c r="C4053" t="s" s="834">
        <v>1010</v>
      </c>
      <c r="D4053" s="835">
        <v>46043</v>
      </c>
      <c r="E4053" s="836">
        <v>1.360914351851852</v>
      </c>
      <c r="F4053" s="836">
        <v>1.776979166666667</v>
      </c>
      <c r="G4053" s="570"/>
      <c r="H4053" s="570"/>
      <c r="I4053" s="570"/>
      <c r="J4053" s="570"/>
      <c r="K4053" s="570"/>
    </row>
    <row r="4054" ht="13.75" customHeight="1">
      <c r="A4054" t="s" s="834">
        <v>2782</v>
      </c>
      <c r="B4054" t="s" s="834">
        <v>2783</v>
      </c>
      <c r="C4054" t="s" s="834">
        <v>652</v>
      </c>
      <c r="D4054" s="570"/>
      <c r="E4054" s="570"/>
      <c r="F4054" s="570"/>
      <c r="G4054" s="570"/>
      <c r="H4054" s="570"/>
      <c r="I4054" s="570"/>
      <c r="J4054" s="570"/>
      <c r="K4054" s="570"/>
    </row>
    <row r="4055" ht="13.75" customHeight="1">
      <c r="A4055" s="833">
        <v>205</v>
      </c>
      <c r="B4055" t="s" s="834">
        <v>2759</v>
      </c>
      <c r="C4055" t="s" s="834">
        <v>1010</v>
      </c>
      <c r="D4055" s="835">
        <v>46044</v>
      </c>
      <c r="E4055" s="836">
        <v>1.365486111111111</v>
      </c>
      <c r="F4055" s="836">
        <v>1.768333333333333</v>
      </c>
      <c r="G4055" s="570"/>
      <c r="H4055" s="570"/>
      <c r="I4055" s="570"/>
      <c r="J4055" s="570"/>
      <c r="K4055" s="570"/>
    </row>
    <row r="4056" ht="13.75" customHeight="1">
      <c r="A4056" t="s" s="834">
        <v>2784</v>
      </c>
      <c r="B4056" t="s" s="834">
        <v>2785</v>
      </c>
      <c r="C4056" t="s" s="834">
        <v>861</v>
      </c>
      <c r="D4056" s="570"/>
      <c r="E4056" s="570"/>
      <c r="F4056" s="570"/>
      <c r="G4056" s="570"/>
      <c r="H4056" s="570"/>
      <c r="I4056" s="570"/>
      <c r="J4056" s="570"/>
      <c r="K4056" s="570"/>
    </row>
    <row r="4057" ht="13.75" customHeight="1">
      <c r="A4057" s="833">
        <v>205</v>
      </c>
      <c r="B4057" t="s" s="834">
        <v>2759</v>
      </c>
      <c r="C4057" t="s" s="834">
        <v>1010</v>
      </c>
      <c r="D4057" s="835">
        <v>46045</v>
      </c>
      <c r="E4057" s="836">
        <v>1.3640625</v>
      </c>
      <c r="F4057" s="836">
        <v>1.781979166666667</v>
      </c>
      <c r="G4057" s="570"/>
      <c r="H4057" s="570"/>
      <c r="I4057" s="570"/>
      <c r="J4057" s="570"/>
      <c r="K4057" s="570"/>
    </row>
    <row r="4058" ht="13.75" customHeight="1">
      <c r="A4058" t="s" s="834">
        <v>2786</v>
      </c>
      <c r="B4058" t="s" s="834">
        <v>2787</v>
      </c>
      <c r="C4058" t="s" s="834">
        <v>1033</v>
      </c>
      <c r="D4058" s="570"/>
      <c r="E4058" s="570"/>
      <c r="F4058" s="570"/>
      <c r="G4058" s="570"/>
      <c r="H4058" s="570"/>
      <c r="I4058" s="570"/>
      <c r="J4058" s="570"/>
      <c r="K4058" s="570"/>
    </row>
    <row r="4059" ht="13.75" customHeight="1">
      <c r="A4059" s="833">
        <v>205</v>
      </c>
      <c r="B4059" t="s" s="834">
        <v>2759</v>
      </c>
      <c r="C4059" t="s" s="834">
        <v>1010</v>
      </c>
      <c r="D4059" s="835">
        <v>46046</v>
      </c>
      <c r="E4059" t="s" s="834">
        <v>478</v>
      </c>
      <c r="F4059" t="s" s="834">
        <v>478</v>
      </c>
      <c r="G4059" s="570"/>
      <c r="H4059" s="570"/>
      <c r="I4059" s="570"/>
      <c r="J4059" s="570"/>
      <c r="K4059" s="570"/>
    </row>
    <row r="4060" ht="13.75" customHeight="1">
      <c r="A4060" s="833">
        <v>205</v>
      </c>
      <c r="B4060" t="s" s="834">
        <v>2759</v>
      </c>
      <c r="C4060" t="s" s="834">
        <v>1010</v>
      </c>
      <c r="D4060" s="835">
        <v>46047</v>
      </c>
      <c r="E4060" t="s" s="834">
        <v>478</v>
      </c>
      <c r="F4060" t="s" s="834">
        <v>478</v>
      </c>
      <c r="G4060" s="570"/>
      <c r="H4060" s="570"/>
      <c r="I4060" s="570"/>
      <c r="J4060" s="570"/>
      <c r="K4060" s="570"/>
    </row>
    <row r="4061" ht="13.75" customHeight="1">
      <c r="A4061" s="833">
        <v>205</v>
      </c>
      <c r="B4061" t="s" s="834">
        <v>2759</v>
      </c>
      <c r="C4061" t="s" s="834">
        <v>1010</v>
      </c>
      <c r="D4061" s="835">
        <v>46048</v>
      </c>
      <c r="E4061" s="836">
        <v>1.359664351851852</v>
      </c>
      <c r="F4061" s="836">
        <v>1.759375</v>
      </c>
      <c r="G4061" s="570"/>
      <c r="H4061" s="570"/>
      <c r="I4061" s="570"/>
      <c r="J4061" s="570"/>
      <c r="K4061" s="570"/>
    </row>
    <row r="4062" ht="13.75" customHeight="1">
      <c r="A4062" t="s" s="834">
        <v>2788</v>
      </c>
      <c r="B4062" t="s" s="834">
        <v>2789</v>
      </c>
      <c r="C4062" t="s" s="834">
        <v>759</v>
      </c>
      <c r="D4062" s="570"/>
      <c r="E4062" s="570"/>
      <c r="F4062" s="570"/>
      <c r="G4062" s="570"/>
      <c r="H4062" s="570"/>
      <c r="I4062" s="570"/>
      <c r="J4062" s="570"/>
      <c r="K4062" s="570"/>
    </row>
    <row r="4063" ht="13.75" customHeight="1">
      <c r="A4063" s="833">
        <v>205</v>
      </c>
      <c r="B4063" t="s" s="834">
        <v>2759</v>
      </c>
      <c r="C4063" t="s" s="834">
        <v>1010</v>
      </c>
      <c r="D4063" s="835">
        <v>46049</v>
      </c>
      <c r="E4063" s="836">
        <v>1.360706018518518</v>
      </c>
      <c r="F4063" s="836">
        <v>1.754340277777778</v>
      </c>
      <c r="G4063" s="570"/>
      <c r="H4063" s="570"/>
      <c r="I4063" s="570"/>
      <c r="J4063" s="570"/>
      <c r="K4063" s="570"/>
    </row>
    <row r="4064" ht="13.75" customHeight="1">
      <c r="A4064" t="s" s="834">
        <v>2790</v>
      </c>
      <c r="B4064" t="s" s="834">
        <v>2791</v>
      </c>
      <c r="C4064" t="s" s="834">
        <v>518</v>
      </c>
      <c r="D4064" s="570"/>
      <c r="E4064" s="570"/>
      <c r="F4064" s="570"/>
      <c r="G4064" s="570"/>
      <c r="H4064" s="570"/>
      <c r="I4064" s="570"/>
      <c r="J4064" s="570"/>
      <c r="K4064" s="570"/>
    </row>
    <row r="4065" ht="13.75" customHeight="1">
      <c r="A4065" s="833">
        <v>205</v>
      </c>
      <c r="B4065" t="s" s="834">
        <v>2759</v>
      </c>
      <c r="C4065" t="s" s="834">
        <v>1010</v>
      </c>
      <c r="D4065" s="835">
        <v>46050</v>
      </c>
      <c r="E4065" s="836">
        <v>1.36181712962963</v>
      </c>
      <c r="F4065" s="836">
        <v>1.775462962962963</v>
      </c>
      <c r="G4065" s="570"/>
      <c r="H4065" s="570"/>
      <c r="I4065" s="570"/>
      <c r="J4065" s="570"/>
      <c r="K4065" s="570"/>
    </row>
    <row r="4066" ht="13.75" customHeight="1">
      <c r="A4066" t="s" s="834">
        <v>2792</v>
      </c>
      <c r="B4066" t="s" s="834">
        <v>2793</v>
      </c>
      <c r="C4066" t="s" s="834">
        <v>637</v>
      </c>
      <c r="D4066" s="570"/>
      <c r="E4066" s="570"/>
      <c r="F4066" s="570"/>
      <c r="G4066" s="570"/>
      <c r="H4066" s="570"/>
      <c r="I4066" s="570"/>
      <c r="J4066" s="570"/>
      <c r="K4066" s="570"/>
    </row>
    <row r="4067" ht="13.75" customHeight="1">
      <c r="A4067" s="833">
        <v>205</v>
      </c>
      <c r="B4067" t="s" s="834">
        <v>2759</v>
      </c>
      <c r="C4067" t="s" s="834">
        <v>1010</v>
      </c>
      <c r="D4067" s="835">
        <v>46051</v>
      </c>
      <c r="E4067" s="836">
        <v>1.37125</v>
      </c>
      <c r="F4067" s="836">
        <v>1.770347222222222</v>
      </c>
      <c r="G4067" s="570"/>
      <c r="H4067" s="570"/>
      <c r="I4067" s="570"/>
      <c r="J4067" s="570"/>
      <c r="K4067" s="570"/>
    </row>
    <row r="4068" ht="13.75" customHeight="1">
      <c r="A4068" t="s" s="834">
        <v>2794</v>
      </c>
      <c r="B4068" t="s" s="834">
        <v>2795</v>
      </c>
      <c r="C4068" t="s" s="834">
        <v>515</v>
      </c>
      <c r="D4068" s="570"/>
      <c r="E4068" s="570"/>
      <c r="F4068" s="570"/>
      <c r="G4068" s="570"/>
      <c r="H4068" s="570"/>
      <c r="I4068" s="570"/>
      <c r="J4068" s="570"/>
      <c r="K4068" s="570"/>
    </row>
    <row r="4069" ht="13.75" customHeight="1">
      <c r="A4069" s="833">
        <v>205</v>
      </c>
      <c r="B4069" t="s" s="834">
        <v>2759</v>
      </c>
      <c r="C4069" t="s" s="834">
        <v>1010</v>
      </c>
      <c r="D4069" s="835">
        <v>46052</v>
      </c>
      <c r="E4069" s="836">
        <v>1.371736111111111</v>
      </c>
      <c r="F4069" s="836">
        <v>1.786273148148148</v>
      </c>
      <c r="G4069" s="570"/>
      <c r="H4069" s="570"/>
      <c r="I4069" s="570"/>
      <c r="J4069" s="570"/>
      <c r="K4069" s="570"/>
    </row>
    <row r="4070" ht="13.75" customHeight="1">
      <c r="A4070" t="s" s="834">
        <v>2796</v>
      </c>
      <c r="B4070" t="s" s="834">
        <v>2797</v>
      </c>
      <c r="C4070" t="s" s="834">
        <v>1259</v>
      </c>
      <c r="D4070" s="570"/>
      <c r="E4070" s="570"/>
      <c r="F4070" s="570"/>
      <c r="G4070" s="570"/>
      <c r="H4070" s="570"/>
      <c r="I4070" s="570"/>
      <c r="J4070" s="570"/>
      <c r="K4070" s="570"/>
    </row>
    <row r="4071" ht="13.75" customHeight="1">
      <c r="A4071" s="833">
        <v>205</v>
      </c>
      <c r="B4071" t="s" s="834">
        <v>2759</v>
      </c>
      <c r="C4071" t="s" s="834">
        <v>1010</v>
      </c>
      <c r="D4071" s="835">
        <v>46053</v>
      </c>
      <c r="E4071" t="s" s="834">
        <v>478</v>
      </c>
      <c r="F4071" t="s" s="834">
        <v>478</v>
      </c>
      <c r="G4071" s="570"/>
      <c r="H4071" s="570"/>
      <c r="I4071" s="570"/>
      <c r="J4071" s="570"/>
      <c r="K4071" s="570"/>
    </row>
    <row r="4072" ht="13.75" customHeight="1">
      <c r="A4072" s="833">
        <v>205</v>
      </c>
      <c r="B4072" t="s" s="834">
        <v>2759</v>
      </c>
      <c r="C4072" t="s" s="834">
        <v>1010</v>
      </c>
      <c r="D4072" s="835">
        <v>46054</v>
      </c>
      <c r="E4072" t="s" s="834">
        <v>478</v>
      </c>
      <c r="F4072" t="s" s="834">
        <v>478</v>
      </c>
      <c r="G4072" s="570"/>
      <c r="H4072" s="570"/>
      <c r="I4072" s="570"/>
      <c r="J4072" s="570"/>
      <c r="K4072" s="570"/>
    </row>
    <row r="4073" ht="13.75" customHeight="1">
      <c r="A4073" s="833">
        <v>206</v>
      </c>
      <c r="B4073" t="s" s="834">
        <v>2798</v>
      </c>
      <c r="C4073" t="s" s="834">
        <v>700</v>
      </c>
      <c r="D4073" s="835">
        <v>46023</v>
      </c>
      <c r="E4073" t="s" s="834">
        <v>478</v>
      </c>
      <c r="F4073" t="s" s="834">
        <v>478</v>
      </c>
      <c r="G4073" s="570"/>
      <c r="H4073" s="570"/>
      <c r="I4073" s="570"/>
      <c r="J4073" s="570"/>
      <c r="K4073" s="570"/>
    </row>
    <row r="4074" ht="13.75" customHeight="1">
      <c r="A4074" s="833">
        <v>206</v>
      </c>
      <c r="B4074" t="s" s="834">
        <v>2798</v>
      </c>
      <c r="C4074" t="s" s="834">
        <v>700</v>
      </c>
      <c r="D4074" s="835">
        <v>46024</v>
      </c>
      <c r="E4074" t="s" s="834">
        <v>478</v>
      </c>
      <c r="F4074" t="s" s="834">
        <v>478</v>
      </c>
      <c r="G4074" s="570"/>
      <c r="H4074" s="570"/>
      <c r="I4074" s="570"/>
      <c r="J4074" s="570"/>
      <c r="K4074" s="570"/>
    </row>
    <row r="4075" ht="13.75" customHeight="1">
      <c r="A4075" s="833">
        <v>206</v>
      </c>
      <c r="B4075" t="s" s="834">
        <v>2798</v>
      </c>
      <c r="C4075" t="s" s="834">
        <v>700</v>
      </c>
      <c r="D4075" s="835">
        <v>46025</v>
      </c>
      <c r="E4075" t="s" s="834">
        <v>478</v>
      </c>
      <c r="F4075" t="s" s="834">
        <v>478</v>
      </c>
      <c r="G4075" s="570"/>
      <c r="H4075" s="570"/>
      <c r="I4075" s="570"/>
      <c r="J4075" s="570"/>
      <c r="K4075" s="570"/>
    </row>
    <row r="4076" ht="13.75" customHeight="1">
      <c r="A4076" s="833">
        <v>206</v>
      </c>
      <c r="B4076" t="s" s="834">
        <v>2798</v>
      </c>
      <c r="C4076" t="s" s="834">
        <v>700</v>
      </c>
      <c r="D4076" s="835">
        <v>46026</v>
      </c>
      <c r="E4076" t="s" s="834">
        <v>478</v>
      </c>
      <c r="F4076" t="s" s="834">
        <v>478</v>
      </c>
      <c r="G4076" s="570"/>
      <c r="H4076" s="570"/>
      <c r="I4076" s="570"/>
      <c r="J4076" s="570"/>
      <c r="K4076" s="570"/>
    </row>
    <row r="4077" ht="13.75" customHeight="1">
      <c r="A4077" s="833">
        <v>206</v>
      </c>
      <c r="B4077" t="s" s="834">
        <v>2798</v>
      </c>
      <c r="C4077" t="s" s="834">
        <v>700</v>
      </c>
      <c r="D4077" s="835">
        <v>46027</v>
      </c>
      <c r="E4077" s="836">
        <v>1.604791666666667</v>
      </c>
      <c r="F4077" t="s" s="834">
        <v>478</v>
      </c>
      <c r="G4077" s="570"/>
      <c r="H4077" s="570"/>
      <c r="I4077" s="570"/>
      <c r="J4077" s="570"/>
      <c r="K4077" s="570"/>
    </row>
    <row r="4078" ht="13.75" customHeight="1">
      <c r="A4078" t="s" s="834">
        <v>2799</v>
      </c>
      <c r="B4078" t="s" s="834">
        <v>485</v>
      </c>
      <c r="C4078" t="s" s="834">
        <v>486</v>
      </c>
      <c r="D4078" s="570"/>
      <c r="E4078" s="570"/>
      <c r="F4078" s="570"/>
      <c r="G4078" s="570"/>
      <c r="H4078" s="570"/>
      <c r="I4078" s="570"/>
      <c r="J4078" s="570"/>
      <c r="K4078" s="570"/>
    </row>
    <row r="4079" ht="13.75" customHeight="1">
      <c r="A4079" s="833">
        <v>206</v>
      </c>
      <c r="B4079" t="s" s="834">
        <v>2798</v>
      </c>
      <c r="C4079" t="s" s="834">
        <v>700</v>
      </c>
      <c r="D4079" s="835">
        <v>46028</v>
      </c>
      <c r="E4079" t="s" s="834">
        <v>478</v>
      </c>
      <c r="F4079" t="s" s="834">
        <v>478</v>
      </c>
      <c r="G4079" s="570"/>
      <c r="H4079" s="570"/>
      <c r="I4079" s="570"/>
      <c r="J4079" s="570"/>
      <c r="K4079" s="570"/>
    </row>
    <row r="4080" ht="13.75" customHeight="1">
      <c r="A4080" s="833">
        <v>206</v>
      </c>
      <c r="B4080" t="s" s="834">
        <v>2798</v>
      </c>
      <c r="C4080" t="s" s="834">
        <v>700</v>
      </c>
      <c r="D4080" s="835">
        <v>46029</v>
      </c>
      <c r="E4080" t="s" s="834">
        <v>478</v>
      </c>
      <c r="F4080" t="s" s="834">
        <v>478</v>
      </c>
      <c r="G4080" s="570"/>
      <c r="H4080" s="570"/>
      <c r="I4080" s="570"/>
      <c r="J4080" s="570"/>
      <c r="K4080" s="570"/>
    </row>
    <row r="4081" ht="13.75" customHeight="1">
      <c r="A4081" s="833">
        <v>206</v>
      </c>
      <c r="B4081" t="s" s="834">
        <v>2798</v>
      </c>
      <c r="C4081" t="s" s="834">
        <v>700</v>
      </c>
      <c r="D4081" s="835">
        <v>46030</v>
      </c>
      <c r="E4081" t="s" s="834">
        <v>478</v>
      </c>
      <c r="F4081" t="s" s="834">
        <v>478</v>
      </c>
      <c r="G4081" s="570"/>
      <c r="H4081" s="570"/>
      <c r="I4081" s="570"/>
      <c r="J4081" s="570"/>
      <c r="K4081" s="570"/>
    </row>
    <row r="4082" ht="13.75" customHeight="1">
      <c r="A4082" s="833">
        <v>206</v>
      </c>
      <c r="B4082" t="s" s="834">
        <v>2798</v>
      </c>
      <c r="C4082" t="s" s="834">
        <v>700</v>
      </c>
      <c r="D4082" s="835">
        <v>46031</v>
      </c>
      <c r="E4082" t="s" s="834">
        <v>478</v>
      </c>
      <c r="F4082" t="s" s="834">
        <v>478</v>
      </c>
      <c r="G4082" s="570"/>
      <c r="H4082" s="570"/>
      <c r="I4082" s="570"/>
      <c r="J4082" s="570"/>
      <c r="K4082" s="570"/>
    </row>
    <row r="4083" ht="13.75" customHeight="1">
      <c r="A4083" s="833">
        <v>206</v>
      </c>
      <c r="B4083" t="s" s="834">
        <v>2798</v>
      </c>
      <c r="C4083" t="s" s="834">
        <v>700</v>
      </c>
      <c r="D4083" s="835">
        <v>46032</v>
      </c>
      <c r="E4083" t="s" s="834">
        <v>478</v>
      </c>
      <c r="F4083" t="s" s="834">
        <v>478</v>
      </c>
      <c r="G4083" s="570"/>
      <c r="H4083" s="570"/>
      <c r="I4083" s="570"/>
      <c r="J4083" s="570"/>
      <c r="K4083" s="570"/>
    </row>
    <row r="4084" ht="13.75" customHeight="1">
      <c r="A4084" s="833">
        <v>206</v>
      </c>
      <c r="B4084" t="s" s="834">
        <v>2798</v>
      </c>
      <c r="C4084" t="s" s="834">
        <v>700</v>
      </c>
      <c r="D4084" s="835">
        <v>46033</v>
      </c>
      <c r="E4084" t="s" s="834">
        <v>478</v>
      </c>
      <c r="F4084" t="s" s="834">
        <v>478</v>
      </c>
      <c r="G4084" s="570"/>
      <c r="H4084" s="570"/>
      <c r="I4084" s="570"/>
      <c r="J4084" s="570"/>
      <c r="K4084" s="570"/>
    </row>
    <row r="4085" ht="13.75" customHeight="1">
      <c r="A4085" s="833">
        <v>206</v>
      </c>
      <c r="B4085" t="s" s="834">
        <v>2798</v>
      </c>
      <c r="C4085" t="s" s="834">
        <v>700</v>
      </c>
      <c r="D4085" s="835">
        <v>46034</v>
      </c>
      <c r="E4085" t="s" s="834">
        <v>478</v>
      </c>
      <c r="F4085" t="s" s="834">
        <v>478</v>
      </c>
      <c r="G4085" s="570"/>
      <c r="H4085" s="570"/>
      <c r="I4085" s="570"/>
      <c r="J4085" s="570"/>
      <c r="K4085" s="570"/>
    </row>
    <row r="4086" ht="13.75" customHeight="1">
      <c r="A4086" s="833">
        <v>206</v>
      </c>
      <c r="B4086" t="s" s="834">
        <v>2798</v>
      </c>
      <c r="C4086" t="s" s="834">
        <v>700</v>
      </c>
      <c r="D4086" s="835">
        <v>46035</v>
      </c>
      <c r="E4086" s="836">
        <v>1.461493055555556</v>
      </c>
      <c r="F4086" s="836">
        <v>1.682083333333333</v>
      </c>
      <c r="G4086" s="570"/>
      <c r="H4086" s="570"/>
      <c r="I4086" s="570"/>
      <c r="J4086" s="570"/>
      <c r="K4086" s="570"/>
    </row>
    <row r="4087" ht="13.75" customHeight="1">
      <c r="A4087" t="s" s="834">
        <v>2800</v>
      </c>
      <c r="B4087" t="s" s="834">
        <v>2801</v>
      </c>
      <c r="C4087" t="s" s="834">
        <v>1105</v>
      </c>
      <c r="D4087" s="570"/>
      <c r="E4087" s="570"/>
      <c r="F4087" s="570"/>
      <c r="G4087" s="570"/>
      <c r="H4087" s="570"/>
      <c r="I4087" s="570"/>
      <c r="J4087" s="570"/>
      <c r="K4087" s="570"/>
    </row>
    <row r="4088" ht="13.75" customHeight="1">
      <c r="A4088" s="833">
        <v>206</v>
      </c>
      <c r="B4088" t="s" s="834">
        <v>2798</v>
      </c>
      <c r="C4088" t="s" s="834">
        <v>700</v>
      </c>
      <c r="D4088" s="835">
        <v>46036</v>
      </c>
      <c r="E4088" s="836">
        <v>1.783564814814815</v>
      </c>
      <c r="F4088" s="836">
        <v>1.828842592592593</v>
      </c>
      <c r="G4088" s="570"/>
      <c r="H4088" s="570"/>
      <c r="I4088" s="570"/>
      <c r="J4088" s="570"/>
      <c r="K4088" s="570"/>
    </row>
    <row r="4089" ht="13.75" customHeight="1">
      <c r="A4089" t="s" s="834">
        <v>2802</v>
      </c>
      <c r="B4089" t="s" s="834">
        <v>2803</v>
      </c>
      <c r="C4089" t="s" s="834">
        <v>2804</v>
      </c>
      <c r="D4089" s="570"/>
      <c r="E4089" s="570"/>
      <c r="F4089" s="570"/>
      <c r="G4089" s="570"/>
      <c r="H4089" s="570"/>
      <c r="I4089" s="570"/>
      <c r="J4089" s="570"/>
      <c r="K4089" s="570"/>
    </row>
    <row r="4090" ht="13.75" customHeight="1">
      <c r="A4090" s="833">
        <v>206</v>
      </c>
      <c r="B4090" t="s" s="834">
        <v>2798</v>
      </c>
      <c r="C4090" t="s" s="834">
        <v>700</v>
      </c>
      <c r="D4090" s="835">
        <v>46037</v>
      </c>
      <c r="E4090" t="s" s="834">
        <v>478</v>
      </c>
      <c r="F4090" t="s" s="834">
        <v>478</v>
      </c>
      <c r="G4090" s="570"/>
      <c r="H4090" s="570"/>
      <c r="I4090" s="570"/>
      <c r="J4090" s="570"/>
      <c r="K4090" s="570"/>
    </row>
    <row r="4091" ht="13.75" customHeight="1">
      <c r="A4091" s="833">
        <v>206</v>
      </c>
      <c r="B4091" t="s" s="834">
        <v>2798</v>
      </c>
      <c r="C4091" t="s" s="834">
        <v>700</v>
      </c>
      <c r="D4091" s="835">
        <v>46038</v>
      </c>
      <c r="E4091" t="s" s="834">
        <v>478</v>
      </c>
      <c r="F4091" t="s" s="834">
        <v>478</v>
      </c>
      <c r="G4091" s="570"/>
      <c r="H4091" s="570"/>
      <c r="I4091" s="570"/>
      <c r="J4091" s="570"/>
      <c r="K4091" s="570"/>
    </row>
    <row r="4092" ht="13.75" customHeight="1">
      <c r="A4092" s="833">
        <v>206</v>
      </c>
      <c r="B4092" t="s" s="834">
        <v>2798</v>
      </c>
      <c r="C4092" t="s" s="834">
        <v>700</v>
      </c>
      <c r="D4092" s="835">
        <v>46039</v>
      </c>
      <c r="E4092" t="s" s="834">
        <v>478</v>
      </c>
      <c r="F4092" t="s" s="834">
        <v>478</v>
      </c>
      <c r="G4092" s="570"/>
      <c r="H4092" s="570"/>
      <c r="I4092" s="570"/>
      <c r="J4092" s="570"/>
      <c r="K4092" s="570"/>
    </row>
    <row r="4093" ht="13.75" customHeight="1">
      <c r="A4093" s="833">
        <v>206</v>
      </c>
      <c r="B4093" t="s" s="834">
        <v>2798</v>
      </c>
      <c r="C4093" t="s" s="834">
        <v>700</v>
      </c>
      <c r="D4093" s="835">
        <v>46040</v>
      </c>
      <c r="E4093" t="s" s="834">
        <v>478</v>
      </c>
      <c r="F4093" t="s" s="834">
        <v>478</v>
      </c>
      <c r="G4093" s="570"/>
      <c r="H4093" s="570"/>
      <c r="I4093" s="570"/>
      <c r="J4093" s="570"/>
      <c r="K4093" s="570"/>
    </row>
    <row r="4094" ht="13.75" customHeight="1">
      <c r="A4094" s="833">
        <v>206</v>
      </c>
      <c r="B4094" t="s" s="834">
        <v>2798</v>
      </c>
      <c r="C4094" t="s" s="834">
        <v>700</v>
      </c>
      <c r="D4094" s="835">
        <v>46041</v>
      </c>
      <c r="E4094" t="s" s="834">
        <v>478</v>
      </c>
      <c r="F4094" t="s" s="834">
        <v>478</v>
      </c>
      <c r="G4094" s="570"/>
      <c r="H4094" s="570"/>
      <c r="I4094" s="570"/>
      <c r="J4094" s="570"/>
      <c r="K4094" s="570"/>
    </row>
    <row r="4095" ht="13.75" customHeight="1">
      <c r="A4095" s="833">
        <v>206</v>
      </c>
      <c r="B4095" t="s" s="834">
        <v>2798</v>
      </c>
      <c r="C4095" t="s" s="834">
        <v>700</v>
      </c>
      <c r="D4095" s="835">
        <v>46042</v>
      </c>
      <c r="E4095" t="s" s="834">
        <v>478</v>
      </c>
      <c r="F4095" t="s" s="834">
        <v>478</v>
      </c>
      <c r="G4095" s="570"/>
      <c r="H4095" s="570"/>
      <c r="I4095" s="570"/>
      <c r="J4095" s="570"/>
      <c r="K4095" s="570"/>
    </row>
    <row r="4096" ht="13.75" customHeight="1">
      <c r="A4096" s="833">
        <v>206</v>
      </c>
      <c r="B4096" t="s" s="834">
        <v>2798</v>
      </c>
      <c r="C4096" t="s" s="834">
        <v>700</v>
      </c>
      <c r="D4096" s="835">
        <v>46043</v>
      </c>
      <c r="E4096" t="s" s="834">
        <v>478</v>
      </c>
      <c r="F4096" t="s" s="834">
        <v>478</v>
      </c>
      <c r="G4096" s="570"/>
      <c r="H4096" s="570"/>
      <c r="I4096" s="570"/>
      <c r="J4096" s="570"/>
      <c r="K4096" s="570"/>
    </row>
    <row r="4097" ht="13.75" customHeight="1">
      <c r="A4097" s="833">
        <v>206</v>
      </c>
      <c r="B4097" t="s" s="834">
        <v>2798</v>
      </c>
      <c r="C4097" t="s" s="834">
        <v>700</v>
      </c>
      <c r="D4097" s="835">
        <v>46044</v>
      </c>
      <c r="E4097" t="s" s="834">
        <v>478</v>
      </c>
      <c r="F4097" t="s" s="834">
        <v>478</v>
      </c>
      <c r="G4097" s="570"/>
      <c r="H4097" s="570"/>
      <c r="I4097" s="570"/>
      <c r="J4097" s="570"/>
      <c r="K4097" s="570"/>
    </row>
    <row r="4098" ht="13.75" customHeight="1">
      <c r="A4098" s="833">
        <v>206</v>
      </c>
      <c r="B4098" t="s" s="834">
        <v>2798</v>
      </c>
      <c r="C4098" t="s" s="834">
        <v>700</v>
      </c>
      <c r="D4098" s="835">
        <v>46045</v>
      </c>
      <c r="E4098" t="s" s="834">
        <v>478</v>
      </c>
      <c r="F4098" t="s" s="834">
        <v>478</v>
      </c>
      <c r="G4098" s="570"/>
      <c r="H4098" s="570"/>
      <c r="I4098" s="570"/>
      <c r="J4098" s="570"/>
      <c r="K4098" s="570"/>
    </row>
    <row r="4099" ht="13.75" customHeight="1">
      <c r="A4099" s="833">
        <v>206</v>
      </c>
      <c r="B4099" t="s" s="834">
        <v>2798</v>
      </c>
      <c r="C4099" t="s" s="834">
        <v>700</v>
      </c>
      <c r="D4099" s="835">
        <v>46046</v>
      </c>
      <c r="E4099" t="s" s="834">
        <v>478</v>
      </c>
      <c r="F4099" t="s" s="834">
        <v>478</v>
      </c>
      <c r="G4099" s="570"/>
      <c r="H4099" s="570"/>
      <c r="I4099" s="570"/>
      <c r="J4099" s="570"/>
      <c r="K4099" s="570"/>
    </row>
    <row r="4100" ht="13.75" customHeight="1">
      <c r="A4100" s="833">
        <v>206</v>
      </c>
      <c r="B4100" t="s" s="834">
        <v>2798</v>
      </c>
      <c r="C4100" t="s" s="834">
        <v>700</v>
      </c>
      <c r="D4100" s="835">
        <v>46047</v>
      </c>
      <c r="E4100" t="s" s="834">
        <v>478</v>
      </c>
      <c r="F4100" t="s" s="834">
        <v>478</v>
      </c>
      <c r="G4100" s="570"/>
      <c r="H4100" s="570"/>
      <c r="I4100" s="570"/>
      <c r="J4100" s="570"/>
      <c r="K4100" s="570"/>
    </row>
    <row r="4101" ht="13.75" customHeight="1">
      <c r="A4101" s="833">
        <v>206</v>
      </c>
      <c r="B4101" t="s" s="834">
        <v>2798</v>
      </c>
      <c r="C4101" t="s" s="834">
        <v>700</v>
      </c>
      <c r="D4101" s="835">
        <v>46048</v>
      </c>
      <c r="E4101" t="s" s="834">
        <v>478</v>
      </c>
      <c r="F4101" t="s" s="834">
        <v>478</v>
      </c>
      <c r="G4101" s="570"/>
      <c r="H4101" s="570"/>
      <c r="I4101" s="570"/>
      <c r="J4101" s="570"/>
      <c r="K4101" s="570"/>
    </row>
    <row r="4102" ht="13.75" customHeight="1">
      <c r="A4102" s="833">
        <v>206</v>
      </c>
      <c r="B4102" t="s" s="834">
        <v>2798</v>
      </c>
      <c r="C4102" t="s" s="834">
        <v>700</v>
      </c>
      <c r="D4102" s="835">
        <v>46049</v>
      </c>
      <c r="E4102" t="s" s="834">
        <v>478</v>
      </c>
      <c r="F4102" t="s" s="834">
        <v>478</v>
      </c>
      <c r="G4102" s="570"/>
      <c r="H4102" s="570"/>
      <c r="I4102" s="570"/>
      <c r="J4102" s="570"/>
      <c r="K4102" s="570"/>
    </row>
    <row r="4103" ht="13.75" customHeight="1">
      <c r="A4103" s="833">
        <v>206</v>
      </c>
      <c r="B4103" t="s" s="834">
        <v>2798</v>
      </c>
      <c r="C4103" t="s" s="834">
        <v>700</v>
      </c>
      <c r="D4103" s="835">
        <v>46050</v>
      </c>
      <c r="E4103" t="s" s="834">
        <v>478</v>
      </c>
      <c r="F4103" t="s" s="834">
        <v>478</v>
      </c>
      <c r="G4103" s="570"/>
      <c r="H4103" s="570"/>
      <c r="I4103" s="570"/>
      <c r="J4103" s="570"/>
      <c r="K4103" s="570"/>
    </row>
    <row r="4104" ht="13.75" customHeight="1">
      <c r="A4104" s="833">
        <v>206</v>
      </c>
      <c r="B4104" t="s" s="834">
        <v>2798</v>
      </c>
      <c r="C4104" t="s" s="834">
        <v>700</v>
      </c>
      <c r="D4104" s="835">
        <v>46051</v>
      </c>
      <c r="E4104" t="s" s="834">
        <v>478</v>
      </c>
      <c r="F4104" t="s" s="834">
        <v>478</v>
      </c>
      <c r="G4104" s="570"/>
      <c r="H4104" s="570"/>
      <c r="I4104" s="570"/>
      <c r="J4104" s="570"/>
      <c r="K4104" s="570"/>
    </row>
    <row r="4105" ht="13.75" customHeight="1">
      <c r="A4105" s="833">
        <v>206</v>
      </c>
      <c r="B4105" t="s" s="834">
        <v>2798</v>
      </c>
      <c r="C4105" t="s" s="834">
        <v>700</v>
      </c>
      <c r="D4105" s="835">
        <v>46052</v>
      </c>
      <c r="E4105" t="s" s="834">
        <v>478</v>
      </c>
      <c r="F4105" t="s" s="834">
        <v>478</v>
      </c>
      <c r="G4105" s="570"/>
      <c r="H4105" s="570"/>
      <c r="I4105" s="570"/>
      <c r="J4105" s="570"/>
      <c r="K4105" s="570"/>
    </row>
    <row r="4106" ht="13.75" customHeight="1">
      <c r="A4106" s="833">
        <v>206</v>
      </c>
      <c r="B4106" t="s" s="834">
        <v>2798</v>
      </c>
      <c r="C4106" t="s" s="834">
        <v>700</v>
      </c>
      <c r="D4106" s="835">
        <v>46053</v>
      </c>
      <c r="E4106" t="s" s="834">
        <v>478</v>
      </c>
      <c r="F4106" t="s" s="834">
        <v>478</v>
      </c>
      <c r="G4106" s="570"/>
      <c r="H4106" s="570"/>
      <c r="I4106" s="570"/>
      <c r="J4106" s="570"/>
      <c r="K4106" s="570"/>
    </row>
    <row r="4107" ht="13.75" customHeight="1">
      <c r="A4107" s="833">
        <v>206</v>
      </c>
      <c r="B4107" t="s" s="834">
        <v>2798</v>
      </c>
      <c r="C4107" t="s" s="834">
        <v>700</v>
      </c>
      <c r="D4107" s="835">
        <v>46054</v>
      </c>
      <c r="E4107" t="s" s="834">
        <v>478</v>
      </c>
      <c r="F4107" t="s" s="834">
        <v>478</v>
      </c>
      <c r="G4107" s="570"/>
      <c r="H4107" s="570"/>
      <c r="I4107" s="570"/>
      <c r="J4107" s="570"/>
      <c r="K4107" s="570"/>
    </row>
    <row r="4108" ht="13.75" customHeight="1">
      <c r="A4108" s="833">
        <v>208</v>
      </c>
      <c r="B4108" t="s" s="834">
        <v>2805</v>
      </c>
      <c r="C4108" t="s" s="834">
        <v>700</v>
      </c>
      <c r="D4108" s="835">
        <v>46023</v>
      </c>
      <c r="E4108" t="s" s="834">
        <v>478</v>
      </c>
      <c r="F4108" t="s" s="834">
        <v>478</v>
      </c>
      <c r="G4108" s="570"/>
      <c r="H4108" s="570"/>
      <c r="I4108" s="570"/>
      <c r="J4108" s="570"/>
      <c r="K4108" s="570"/>
    </row>
    <row r="4109" ht="13.75" customHeight="1">
      <c r="A4109" s="833">
        <v>208</v>
      </c>
      <c r="B4109" t="s" s="834">
        <v>2805</v>
      </c>
      <c r="C4109" t="s" s="834">
        <v>700</v>
      </c>
      <c r="D4109" s="835">
        <v>46024</v>
      </c>
      <c r="E4109" t="s" s="834">
        <v>478</v>
      </c>
      <c r="F4109" t="s" s="834">
        <v>478</v>
      </c>
      <c r="G4109" s="570"/>
      <c r="H4109" s="570"/>
      <c r="I4109" s="570"/>
      <c r="J4109" s="570"/>
      <c r="K4109" s="570"/>
    </row>
    <row r="4110" ht="13.75" customHeight="1">
      <c r="A4110" s="833">
        <v>208</v>
      </c>
      <c r="B4110" t="s" s="834">
        <v>2805</v>
      </c>
      <c r="C4110" t="s" s="834">
        <v>700</v>
      </c>
      <c r="D4110" s="835">
        <v>46025</v>
      </c>
      <c r="E4110" t="s" s="834">
        <v>478</v>
      </c>
      <c r="F4110" t="s" s="834">
        <v>478</v>
      </c>
      <c r="G4110" s="570"/>
      <c r="H4110" s="570"/>
      <c r="I4110" s="570"/>
      <c r="J4110" s="570"/>
      <c r="K4110" s="570"/>
    </row>
    <row r="4111" ht="13.75" customHeight="1">
      <c r="A4111" s="833">
        <v>208</v>
      </c>
      <c r="B4111" t="s" s="834">
        <v>2805</v>
      </c>
      <c r="C4111" t="s" s="834">
        <v>700</v>
      </c>
      <c r="D4111" s="835">
        <v>46026</v>
      </c>
      <c r="E4111" t="s" s="834">
        <v>478</v>
      </c>
      <c r="F4111" t="s" s="834">
        <v>478</v>
      </c>
      <c r="G4111" s="570"/>
      <c r="H4111" s="570"/>
      <c r="I4111" s="570"/>
      <c r="J4111" s="570"/>
      <c r="K4111" s="570"/>
    </row>
    <row r="4112" ht="13.75" customHeight="1">
      <c r="A4112" s="833">
        <v>208</v>
      </c>
      <c r="B4112" t="s" s="834">
        <v>2805</v>
      </c>
      <c r="C4112" t="s" s="834">
        <v>700</v>
      </c>
      <c r="D4112" s="835">
        <v>46027</v>
      </c>
      <c r="E4112" t="s" s="834">
        <v>478</v>
      </c>
      <c r="F4112" t="s" s="834">
        <v>478</v>
      </c>
      <c r="G4112" s="570"/>
      <c r="H4112" s="570"/>
      <c r="I4112" s="570"/>
      <c r="J4112" s="570"/>
      <c r="K4112" s="570"/>
    </row>
    <row r="4113" ht="13.75" customHeight="1">
      <c r="A4113" s="833">
        <v>208</v>
      </c>
      <c r="B4113" t="s" s="834">
        <v>2805</v>
      </c>
      <c r="C4113" t="s" s="834">
        <v>700</v>
      </c>
      <c r="D4113" s="835">
        <v>46028</v>
      </c>
      <c r="E4113" t="s" s="834">
        <v>478</v>
      </c>
      <c r="F4113" t="s" s="834">
        <v>478</v>
      </c>
      <c r="G4113" s="570"/>
      <c r="H4113" s="570"/>
      <c r="I4113" s="570"/>
      <c r="J4113" s="570"/>
      <c r="K4113" s="570"/>
    </row>
    <row r="4114" ht="13.75" customHeight="1">
      <c r="A4114" s="833">
        <v>208</v>
      </c>
      <c r="B4114" t="s" s="834">
        <v>2805</v>
      </c>
      <c r="C4114" t="s" s="834">
        <v>700</v>
      </c>
      <c r="D4114" s="835">
        <v>46029</v>
      </c>
      <c r="E4114" t="s" s="834">
        <v>478</v>
      </c>
      <c r="F4114" t="s" s="834">
        <v>478</v>
      </c>
      <c r="G4114" s="570"/>
      <c r="H4114" s="570"/>
      <c r="I4114" s="570"/>
      <c r="J4114" s="570"/>
      <c r="K4114" s="570"/>
    </row>
    <row r="4115" ht="13.75" customHeight="1">
      <c r="A4115" s="833">
        <v>208</v>
      </c>
      <c r="B4115" t="s" s="834">
        <v>2805</v>
      </c>
      <c r="C4115" t="s" s="834">
        <v>700</v>
      </c>
      <c r="D4115" s="835">
        <v>46030</v>
      </c>
      <c r="E4115" t="s" s="834">
        <v>478</v>
      </c>
      <c r="F4115" t="s" s="834">
        <v>478</v>
      </c>
      <c r="G4115" s="570"/>
      <c r="H4115" s="570"/>
      <c r="I4115" s="570"/>
      <c r="J4115" s="570"/>
      <c r="K4115" s="570"/>
    </row>
    <row r="4116" ht="13.75" customHeight="1">
      <c r="A4116" s="833">
        <v>208</v>
      </c>
      <c r="B4116" t="s" s="834">
        <v>2805</v>
      </c>
      <c r="C4116" t="s" s="834">
        <v>700</v>
      </c>
      <c r="D4116" s="835">
        <v>46031</v>
      </c>
      <c r="E4116" t="s" s="834">
        <v>478</v>
      </c>
      <c r="F4116" t="s" s="834">
        <v>478</v>
      </c>
      <c r="G4116" s="570"/>
      <c r="H4116" s="570"/>
      <c r="I4116" s="570"/>
      <c r="J4116" s="570"/>
      <c r="K4116" s="570"/>
    </row>
    <row r="4117" ht="13.75" customHeight="1">
      <c r="A4117" s="833">
        <v>208</v>
      </c>
      <c r="B4117" t="s" s="834">
        <v>2805</v>
      </c>
      <c r="C4117" t="s" s="834">
        <v>700</v>
      </c>
      <c r="D4117" s="835">
        <v>46032</v>
      </c>
      <c r="E4117" t="s" s="834">
        <v>478</v>
      </c>
      <c r="F4117" t="s" s="834">
        <v>478</v>
      </c>
      <c r="G4117" s="570"/>
      <c r="H4117" s="570"/>
      <c r="I4117" s="570"/>
      <c r="J4117" s="570"/>
      <c r="K4117" s="570"/>
    </row>
    <row r="4118" ht="13.75" customHeight="1">
      <c r="A4118" s="833">
        <v>208</v>
      </c>
      <c r="B4118" t="s" s="834">
        <v>2805</v>
      </c>
      <c r="C4118" t="s" s="834">
        <v>700</v>
      </c>
      <c r="D4118" s="835">
        <v>46033</v>
      </c>
      <c r="E4118" t="s" s="834">
        <v>478</v>
      </c>
      <c r="F4118" t="s" s="834">
        <v>478</v>
      </c>
      <c r="G4118" s="570"/>
      <c r="H4118" s="570"/>
      <c r="I4118" s="570"/>
      <c r="J4118" s="570"/>
      <c r="K4118" s="570"/>
    </row>
    <row r="4119" ht="13.75" customHeight="1">
      <c r="A4119" s="833">
        <v>208</v>
      </c>
      <c r="B4119" t="s" s="834">
        <v>2805</v>
      </c>
      <c r="C4119" t="s" s="834">
        <v>700</v>
      </c>
      <c r="D4119" s="835">
        <v>46034</v>
      </c>
      <c r="E4119" t="s" s="834">
        <v>478</v>
      </c>
      <c r="F4119" t="s" s="834">
        <v>478</v>
      </c>
      <c r="G4119" s="570"/>
      <c r="H4119" s="570"/>
      <c r="I4119" s="570"/>
      <c r="J4119" s="570"/>
      <c r="K4119" s="570"/>
    </row>
    <row r="4120" ht="13.75" customHeight="1">
      <c r="A4120" s="833">
        <v>208</v>
      </c>
      <c r="B4120" t="s" s="834">
        <v>2805</v>
      </c>
      <c r="C4120" t="s" s="834">
        <v>700</v>
      </c>
      <c r="D4120" s="835">
        <v>46035</v>
      </c>
      <c r="E4120" t="s" s="834">
        <v>478</v>
      </c>
      <c r="F4120" t="s" s="834">
        <v>478</v>
      </c>
      <c r="G4120" s="570"/>
      <c r="H4120" s="570"/>
      <c r="I4120" s="570"/>
      <c r="J4120" s="570"/>
      <c r="K4120" s="570"/>
    </row>
    <row r="4121" ht="13.75" customHeight="1">
      <c r="A4121" s="833">
        <v>208</v>
      </c>
      <c r="B4121" t="s" s="834">
        <v>2805</v>
      </c>
      <c r="C4121" t="s" s="834">
        <v>700</v>
      </c>
      <c r="D4121" s="835">
        <v>46036</v>
      </c>
      <c r="E4121" t="s" s="834">
        <v>478</v>
      </c>
      <c r="F4121" t="s" s="834">
        <v>478</v>
      </c>
      <c r="G4121" s="570"/>
      <c r="H4121" s="570"/>
      <c r="I4121" s="570"/>
      <c r="J4121" s="570"/>
      <c r="K4121" s="570"/>
    </row>
    <row r="4122" ht="13.75" customHeight="1">
      <c r="A4122" s="833">
        <v>208</v>
      </c>
      <c r="B4122" t="s" s="834">
        <v>2805</v>
      </c>
      <c r="C4122" t="s" s="834">
        <v>700</v>
      </c>
      <c r="D4122" s="835">
        <v>46037</v>
      </c>
      <c r="E4122" t="s" s="834">
        <v>478</v>
      </c>
      <c r="F4122" t="s" s="834">
        <v>478</v>
      </c>
      <c r="G4122" s="570"/>
      <c r="H4122" s="570"/>
      <c r="I4122" s="570"/>
      <c r="J4122" s="570"/>
      <c r="K4122" s="570"/>
    </row>
    <row r="4123" ht="13.75" customHeight="1">
      <c r="A4123" s="833">
        <v>208</v>
      </c>
      <c r="B4123" t="s" s="834">
        <v>2805</v>
      </c>
      <c r="C4123" t="s" s="834">
        <v>700</v>
      </c>
      <c r="D4123" s="835">
        <v>46038</v>
      </c>
      <c r="E4123" t="s" s="834">
        <v>478</v>
      </c>
      <c r="F4123" t="s" s="834">
        <v>478</v>
      </c>
      <c r="G4123" s="570"/>
      <c r="H4123" s="570"/>
      <c r="I4123" s="570"/>
      <c r="J4123" s="570"/>
      <c r="K4123" s="570"/>
    </row>
    <row r="4124" ht="13.75" customHeight="1">
      <c r="A4124" s="833">
        <v>208</v>
      </c>
      <c r="B4124" t="s" s="834">
        <v>2805</v>
      </c>
      <c r="C4124" t="s" s="834">
        <v>700</v>
      </c>
      <c r="D4124" s="835">
        <v>46039</v>
      </c>
      <c r="E4124" t="s" s="834">
        <v>478</v>
      </c>
      <c r="F4124" t="s" s="834">
        <v>478</v>
      </c>
      <c r="G4124" s="570"/>
      <c r="H4124" s="570"/>
      <c r="I4124" s="570"/>
      <c r="J4124" s="570"/>
      <c r="K4124" s="570"/>
    </row>
    <row r="4125" ht="13.75" customHeight="1">
      <c r="A4125" s="833">
        <v>208</v>
      </c>
      <c r="B4125" t="s" s="834">
        <v>2805</v>
      </c>
      <c r="C4125" t="s" s="834">
        <v>700</v>
      </c>
      <c r="D4125" s="835">
        <v>46040</v>
      </c>
      <c r="E4125" t="s" s="834">
        <v>478</v>
      </c>
      <c r="F4125" t="s" s="834">
        <v>478</v>
      </c>
      <c r="G4125" s="570"/>
      <c r="H4125" s="570"/>
      <c r="I4125" s="570"/>
      <c r="J4125" s="570"/>
      <c r="K4125" s="570"/>
    </row>
    <row r="4126" ht="13.75" customHeight="1">
      <c r="A4126" s="833">
        <v>208</v>
      </c>
      <c r="B4126" t="s" s="834">
        <v>2805</v>
      </c>
      <c r="C4126" t="s" s="834">
        <v>700</v>
      </c>
      <c r="D4126" s="835">
        <v>46041</v>
      </c>
      <c r="E4126" t="s" s="834">
        <v>478</v>
      </c>
      <c r="F4126" t="s" s="834">
        <v>478</v>
      </c>
      <c r="G4126" s="570"/>
      <c r="H4126" s="570"/>
      <c r="I4126" s="570"/>
      <c r="J4126" s="570"/>
      <c r="K4126" s="570"/>
    </row>
    <row r="4127" ht="13.75" customHeight="1">
      <c r="A4127" s="833">
        <v>208</v>
      </c>
      <c r="B4127" t="s" s="834">
        <v>2805</v>
      </c>
      <c r="C4127" t="s" s="834">
        <v>700</v>
      </c>
      <c r="D4127" s="835">
        <v>46042</v>
      </c>
      <c r="E4127" t="s" s="834">
        <v>478</v>
      </c>
      <c r="F4127" t="s" s="834">
        <v>478</v>
      </c>
      <c r="G4127" s="570"/>
      <c r="H4127" s="570"/>
      <c r="I4127" s="570"/>
      <c r="J4127" s="570"/>
      <c r="K4127" s="570"/>
    </row>
    <row r="4128" ht="13.75" customHeight="1">
      <c r="A4128" s="833">
        <v>208</v>
      </c>
      <c r="B4128" t="s" s="834">
        <v>2805</v>
      </c>
      <c r="C4128" t="s" s="834">
        <v>700</v>
      </c>
      <c r="D4128" s="835">
        <v>46043</v>
      </c>
      <c r="E4128" t="s" s="834">
        <v>478</v>
      </c>
      <c r="F4128" t="s" s="834">
        <v>478</v>
      </c>
      <c r="G4128" s="570"/>
      <c r="H4128" s="570"/>
      <c r="I4128" s="570"/>
      <c r="J4128" s="570"/>
      <c r="K4128" s="570"/>
    </row>
    <row r="4129" ht="13.75" customHeight="1">
      <c r="A4129" s="833">
        <v>208</v>
      </c>
      <c r="B4129" t="s" s="834">
        <v>2805</v>
      </c>
      <c r="C4129" t="s" s="834">
        <v>700</v>
      </c>
      <c r="D4129" s="835">
        <v>46044</v>
      </c>
      <c r="E4129" t="s" s="834">
        <v>478</v>
      </c>
      <c r="F4129" t="s" s="834">
        <v>478</v>
      </c>
      <c r="G4129" s="570"/>
      <c r="H4129" s="570"/>
      <c r="I4129" s="570"/>
      <c r="J4129" s="570"/>
      <c r="K4129" s="570"/>
    </row>
    <row r="4130" ht="13.75" customHeight="1">
      <c r="A4130" s="833">
        <v>208</v>
      </c>
      <c r="B4130" t="s" s="834">
        <v>2805</v>
      </c>
      <c r="C4130" t="s" s="834">
        <v>700</v>
      </c>
      <c r="D4130" s="835">
        <v>46045</v>
      </c>
      <c r="E4130" t="s" s="834">
        <v>478</v>
      </c>
      <c r="F4130" t="s" s="834">
        <v>478</v>
      </c>
      <c r="G4130" s="570"/>
      <c r="H4130" s="570"/>
      <c r="I4130" s="570"/>
      <c r="J4130" s="570"/>
      <c r="K4130" s="570"/>
    </row>
    <row r="4131" ht="13.75" customHeight="1">
      <c r="A4131" s="833">
        <v>208</v>
      </c>
      <c r="B4131" t="s" s="834">
        <v>2805</v>
      </c>
      <c r="C4131" t="s" s="834">
        <v>700</v>
      </c>
      <c r="D4131" s="835">
        <v>46046</v>
      </c>
      <c r="E4131" t="s" s="834">
        <v>478</v>
      </c>
      <c r="F4131" t="s" s="834">
        <v>478</v>
      </c>
      <c r="G4131" s="570"/>
      <c r="H4131" s="570"/>
      <c r="I4131" s="570"/>
      <c r="J4131" s="570"/>
      <c r="K4131" s="570"/>
    </row>
    <row r="4132" ht="13.75" customHeight="1">
      <c r="A4132" s="833">
        <v>208</v>
      </c>
      <c r="B4132" t="s" s="834">
        <v>2805</v>
      </c>
      <c r="C4132" t="s" s="834">
        <v>700</v>
      </c>
      <c r="D4132" s="835">
        <v>46047</v>
      </c>
      <c r="E4132" t="s" s="834">
        <v>478</v>
      </c>
      <c r="F4132" t="s" s="834">
        <v>478</v>
      </c>
      <c r="G4132" s="570"/>
      <c r="H4132" s="570"/>
      <c r="I4132" s="570"/>
      <c r="J4132" s="570"/>
      <c r="K4132" s="570"/>
    </row>
    <row r="4133" ht="13.75" customHeight="1">
      <c r="A4133" s="833">
        <v>208</v>
      </c>
      <c r="B4133" t="s" s="834">
        <v>2805</v>
      </c>
      <c r="C4133" t="s" s="834">
        <v>700</v>
      </c>
      <c r="D4133" s="835">
        <v>46048</v>
      </c>
      <c r="E4133" t="s" s="834">
        <v>478</v>
      </c>
      <c r="F4133" t="s" s="834">
        <v>478</v>
      </c>
      <c r="G4133" s="570"/>
      <c r="H4133" s="570"/>
      <c r="I4133" s="570"/>
      <c r="J4133" s="570"/>
      <c r="K4133" s="570"/>
    </row>
    <row r="4134" ht="13.75" customHeight="1">
      <c r="A4134" s="833">
        <v>208</v>
      </c>
      <c r="B4134" t="s" s="834">
        <v>2805</v>
      </c>
      <c r="C4134" t="s" s="834">
        <v>700</v>
      </c>
      <c r="D4134" s="835">
        <v>46049</v>
      </c>
      <c r="E4134" t="s" s="834">
        <v>478</v>
      </c>
      <c r="F4134" t="s" s="834">
        <v>478</v>
      </c>
      <c r="G4134" s="570"/>
      <c r="H4134" s="570"/>
      <c r="I4134" s="570"/>
      <c r="J4134" s="570"/>
      <c r="K4134" s="570"/>
    </row>
    <row r="4135" ht="13.75" customHeight="1">
      <c r="A4135" s="833">
        <v>208</v>
      </c>
      <c r="B4135" t="s" s="834">
        <v>2805</v>
      </c>
      <c r="C4135" t="s" s="834">
        <v>700</v>
      </c>
      <c r="D4135" s="835">
        <v>46050</v>
      </c>
      <c r="E4135" t="s" s="834">
        <v>478</v>
      </c>
      <c r="F4135" t="s" s="834">
        <v>478</v>
      </c>
      <c r="G4135" s="570"/>
      <c r="H4135" s="570"/>
      <c r="I4135" s="570"/>
      <c r="J4135" s="570"/>
      <c r="K4135" s="570"/>
    </row>
    <row r="4136" ht="13.75" customHeight="1">
      <c r="A4136" s="833">
        <v>208</v>
      </c>
      <c r="B4136" t="s" s="834">
        <v>2805</v>
      </c>
      <c r="C4136" t="s" s="834">
        <v>700</v>
      </c>
      <c r="D4136" s="835">
        <v>46051</v>
      </c>
      <c r="E4136" t="s" s="834">
        <v>478</v>
      </c>
      <c r="F4136" t="s" s="834">
        <v>478</v>
      </c>
      <c r="G4136" s="570"/>
      <c r="H4136" s="570"/>
      <c r="I4136" s="570"/>
      <c r="J4136" s="570"/>
      <c r="K4136" s="570"/>
    </row>
    <row r="4137" ht="13.75" customHeight="1">
      <c r="A4137" s="833">
        <v>208</v>
      </c>
      <c r="B4137" t="s" s="834">
        <v>2805</v>
      </c>
      <c r="C4137" t="s" s="834">
        <v>700</v>
      </c>
      <c r="D4137" s="835">
        <v>46052</v>
      </c>
      <c r="E4137" t="s" s="834">
        <v>478</v>
      </c>
      <c r="F4137" t="s" s="834">
        <v>478</v>
      </c>
      <c r="G4137" s="570"/>
      <c r="H4137" s="570"/>
      <c r="I4137" s="570"/>
      <c r="J4137" s="570"/>
      <c r="K4137" s="570"/>
    </row>
    <row r="4138" ht="13.75" customHeight="1">
      <c r="A4138" s="833">
        <v>208</v>
      </c>
      <c r="B4138" t="s" s="834">
        <v>2805</v>
      </c>
      <c r="C4138" t="s" s="834">
        <v>700</v>
      </c>
      <c r="D4138" s="835">
        <v>46053</v>
      </c>
      <c r="E4138" t="s" s="834">
        <v>478</v>
      </c>
      <c r="F4138" t="s" s="834">
        <v>478</v>
      </c>
      <c r="G4138" s="570"/>
      <c r="H4138" s="570"/>
      <c r="I4138" s="570"/>
      <c r="J4138" s="570"/>
      <c r="K4138" s="570"/>
    </row>
    <row r="4139" ht="13.75" customHeight="1">
      <c r="A4139" s="833">
        <v>208</v>
      </c>
      <c r="B4139" t="s" s="834">
        <v>2805</v>
      </c>
      <c r="C4139" t="s" s="834">
        <v>700</v>
      </c>
      <c r="D4139" s="835">
        <v>46054</v>
      </c>
      <c r="E4139" t="s" s="834">
        <v>478</v>
      </c>
      <c r="F4139" t="s" s="834">
        <v>478</v>
      </c>
      <c r="G4139" s="570"/>
      <c r="H4139" s="570"/>
      <c r="I4139" s="570"/>
      <c r="J4139" s="570"/>
      <c r="K4139" s="570"/>
    </row>
    <row r="4140" ht="13.75" customHeight="1">
      <c r="A4140" s="833">
        <v>213</v>
      </c>
      <c r="B4140" t="s" s="834">
        <v>2806</v>
      </c>
      <c r="C4140" t="s" s="834">
        <v>800</v>
      </c>
      <c r="D4140" s="835">
        <v>46023</v>
      </c>
      <c r="E4140" t="s" s="834">
        <v>478</v>
      </c>
      <c r="F4140" t="s" s="834">
        <v>478</v>
      </c>
      <c r="G4140" s="570"/>
      <c r="H4140" s="570"/>
      <c r="I4140" s="570"/>
      <c r="J4140" s="570"/>
      <c r="K4140" s="570"/>
    </row>
    <row r="4141" ht="13.75" customHeight="1">
      <c r="A4141" s="833">
        <v>213</v>
      </c>
      <c r="B4141" t="s" s="834">
        <v>2806</v>
      </c>
      <c r="C4141" t="s" s="834">
        <v>800</v>
      </c>
      <c r="D4141" s="835">
        <v>46024</v>
      </c>
      <c r="E4141" t="s" s="834">
        <v>478</v>
      </c>
      <c r="F4141" t="s" s="834">
        <v>478</v>
      </c>
      <c r="G4141" s="570"/>
      <c r="H4141" s="570"/>
      <c r="I4141" s="570"/>
      <c r="J4141" s="570"/>
      <c r="K4141" s="570"/>
    </row>
    <row r="4142" ht="13.75" customHeight="1">
      <c r="A4142" s="833">
        <v>213</v>
      </c>
      <c r="B4142" t="s" s="834">
        <v>2806</v>
      </c>
      <c r="C4142" t="s" s="834">
        <v>800</v>
      </c>
      <c r="D4142" s="835">
        <v>46025</v>
      </c>
      <c r="E4142" t="s" s="834">
        <v>478</v>
      </c>
      <c r="F4142" t="s" s="834">
        <v>478</v>
      </c>
      <c r="G4142" s="570"/>
      <c r="H4142" s="570"/>
      <c r="I4142" s="570"/>
      <c r="J4142" s="570"/>
      <c r="K4142" s="570"/>
    </row>
    <row r="4143" ht="13.75" customHeight="1">
      <c r="A4143" s="833">
        <v>213</v>
      </c>
      <c r="B4143" t="s" s="834">
        <v>2806</v>
      </c>
      <c r="C4143" t="s" s="834">
        <v>800</v>
      </c>
      <c r="D4143" s="835">
        <v>46026</v>
      </c>
      <c r="E4143" t="s" s="834">
        <v>478</v>
      </c>
      <c r="F4143" t="s" s="834">
        <v>478</v>
      </c>
      <c r="G4143" s="570"/>
      <c r="H4143" s="570"/>
      <c r="I4143" s="570"/>
      <c r="J4143" s="570"/>
      <c r="K4143" s="570"/>
    </row>
    <row r="4144" ht="13.75" customHeight="1">
      <c r="A4144" s="833">
        <v>213</v>
      </c>
      <c r="B4144" t="s" s="834">
        <v>2806</v>
      </c>
      <c r="C4144" t="s" s="834">
        <v>800</v>
      </c>
      <c r="D4144" s="835">
        <v>46027</v>
      </c>
      <c r="E4144" s="836">
        <v>1.360219907407407</v>
      </c>
      <c r="F4144" s="836">
        <v>1.7609375</v>
      </c>
      <c r="G4144" s="570"/>
      <c r="H4144" s="570"/>
      <c r="I4144" s="570"/>
      <c r="J4144" s="570"/>
      <c r="K4144" s="570"/>
    </row>
    <row r="4145" ht="13.75" customHeight="1">
      <c r="A4145" t="s" s="834">
        <v>2807</v>
      </c>
      <c r="B4145" t="s" s="834">
        <v>2808</v>
      </c>
      <c r="C4145" t="s" s="834">
        <v>606</v>
      </c>
      <c r="D4145" s="570"/>
      <c r="E4145" s="570"/>
      <c r="F4145" s="570"/>
      <c r="G4145" s="570"/>
      <c r="H4145" s="570"/>
      <c r="I4145" s="570"/>
      <c r="J4145" s="570"/>
      <c r="K4145" s="570"/>
    </row>
    <row r="4146" ht="13.75" customHeight="1">
      <c r="A4146" s="833">
        <v>213</v>
      </c>
      <c r="B4146" t="s" s="834">
        <v>2806</v>
      </c>
      <c r="C4146" t="s" s="834">
        <v>800</v>
      </c>
      <c r="D4146" s="835">
        <v>46028</v>
      </c>
      <c r="E4146" s="836">
        <v>1.355844907407407</v>
      </c>
      <c r="F4146" s="836">
        <v>1.766134259259259</v>
      </c>
      <c r="G4146" s="570"/>
      <c r="H4146" s="570"/>
      <c r="I4146" s="570"/>
      <c r="J4146" s="570"/>
      <c r="K4146" s="570"/>
    </row>
    <row r="4147" ht="13.75" customHeight="1">
      <c r="A4147" t="s" s="834">
        <v>2809</v>
      </c>
      <c r="B4147" t="s" s="834">
        <v>2810</v>
      </c>
      <c r="C4147" t="s" s="834">
        <v>1252</v>
      </c>
      <c r="D4147" s="570"/>
      <c r="E4147" s="570"/>
      <c r="F4147" s="570"/>
      <c r="G4147" s="570"/>
      <c r="H4147" s="570"/>
      <c r="I4147" s="570"/>
      <c r="J4147" s="570"/>
      <c r="K4147" s="570"/>
    </row>
    <row r="4148" ht="13.75" customHeight="1">
      <c r="A4148" s="833">
        <v>213</v>
      </c>
      <c r="B4148" t="s" s="834">
        <v>2806</v>
      </c>
      <c r="C4148" t="s" s="834">
        <v>800</v>
      </c>
      <c r="D4148" s="835">
        <v>46029</v>
      </c>
      <c r="E4148" s="836">
        <v>1.358518518518518</v>
      </c>
      <c r="F4148" s="836">
        <v>1.765300925925926</v>
      </c>
      <c r="G4148" s="570"/>
      <c r="H4148" s="570"/>
      <c r="I4148" s="570"/>
      <c r="J4148" s="570"/>
      <c r="K4148" s="570"/>
    </row>
    <row r="4149" ht="13.75" customHeight="1">
      <c r="A4149" t="s" s="834">
        <v>2811</v>
      </c>
      <c r="B4149" t="s" s="834">
        <v>2812</v>
      </c>
      <c r="C4149" t="s" s="834">
        <v>1113</v>
      </c>
      <c r="D4149" s="570"/>
      <c r="E4149" s="570"/>
      <c r="F4149" s="570"/>
      <c r="G4149" s="570"/>
      <c r="H4149" s="570"/>
      <c r="I4149" s="570"/>
      <c r="J4149" s="570"/>
      <c r="K4149" s="570"/>
    </row>
    <row r="4150" ht="13.75" customHeight="1">
      <c r="A4150" s="833">
        <v>213</v>
      </c>
      <c r="B4150" t="s" s="834">
        <v>2806</v>
      </c>
      <c r="C4150" t="s" s="834">
        <v>800</v>
      </c>
      <c r="D4150" s="835">
        <v>46030</v>
      </c>
      <c r="E4150" s="836">
        <v>1.358541666666667</v>
      </c>
      <c r="F4150" s="836">
        <v>1.769074074074074</v>
      </c>
      <c r="G4150" s="570"/>
      <c r="H4150" s="570"/>
      <c r="I4150" s="570"/>
      <c r="J4150" s="570"/>
      <c r="K4150" s="570"/>
    </row>
    <row r="4151" ht="13.75" customHeight="1">
      <c r="A4151" t="s" s="834">
        <v>2813</v>
      </c>
      <c r="B4151" t="s" s="834">
        <v>2814</v>
      </c>
      <c r="C4151" t="s" s="834">
        <v>1252</v>
      </c>
      <c r="D4151" s="570"/>
      <c r="E4151" s="570"/>
      <c r="F4151" s="570"/>
      <c r="G4151" s="570"/>
      <c r="H4151" s="570"/>
      <c r="I4151" s="570"/>
      <c r="J4151" s="570"/>
      <c r="K4151" s="570"/>
    </row>
    <row r="4152" ht="13.75" customHeight="1">
      <c r="A4152" s="833">
        <v>213</v>
      </c>
      <c r="B4152" t="s" s="834">
        <v>2806</v>
      </c>
      <c r="C4152" t="s" s="834">
        <v>800</v>
      </c>
      <c r="D4152" s="835">
        <v>46031</v>
      </c>
      <c r="E4152" s="836">
        <v>1.372361111111111</v>
      </c>
      <c r="F4152" s="836">
        <v>1.510428240740741</v>
      </c>
      <c r="G4152" s="570"/>
      <c r="H4152" s="570"/>
      <c r="I4152" s="570"/>
      <c r="J4152" s="570"/>
      <c r="K4152" s="570"/>
    </row>
    <row r="4153" ht="13.75" customHeight="1">
      <c r="A4153" t="s" s="834">
        <v>2815</v>
      </c>
      <c r="B4153" t="s" s="834">
        <v>2816</v>
      </c>
      <c r="C4153" t="s" s="834">
        <v>2817</v>
      </c>
      <c r="D4153" s="570"/>
      <c r="E4153" s="570"/>
      <c r="F4153" s="570"/>
      <c r="G4153" s="570"/>
      <c r="H4153" s="570"/>
      <c r="I4153" s="570"/>
      <c r="J4153" s="570"/>
      <c r="K4153" s="570"/>
    </row>
    <row r="4154" ht="13.75" customHeight="1">
      <c r="A4154" s="833">
        <v>213</v>
      </c>
      <c r="B4154" t="s" s="834">
        <v>2806</v>
      </c>
      <c r="C4154" t="s" s="834">
        <v>800</v>
      </c>
      <c r="D4154" s="835">
        <v>46032</v>
      </c>
      <c r="E4154" t="s" s="834">
        <v>478</v>
      </c>
      <c r="F4154" t="s" s="834">
        <v>478</v>
      </c>
      <c r="G4154" s="570"/>
      <c r="H4154" s="570"/>
      <c r="I4154" s="570"/>
      <c r="J4154" s="570"/>
      <c r="K4154" s="570"/>
    </row>
    <row r="4155" ht="13.75" customHeight="1">
      <c r="A4155" s="833">
        <v>213</v>
      </c>
      <c r="B4155" t="s" s="834">
        <v>2806</v>
      </c>
      <c r="C4155" t="s" s="834">
        <v>800</v>
      </c>
      <c r="D4155" s="835">
        <v>46033</v>
      </c>
      <c r="E4155" t="s" s="834">
        <v>478</v>
      </c>
      <c r="F4155" t="s" s="834">
        <v>478</v>
      </c>
      <c r="G4155" s="570"/>
      <c r="H4155" s="570"/>
      <c r="I4155" s="570"/>
      <c r="J4155" s="570"/>
      <c r="K4155" s="570"/>
    </row>
    <row r="4156" ht="13.75" customHeight="1">
      <c r="A4156" s="833">
        <v>213</v>
      </c>
      <c r="B4156" t="s" s="834">
        <v>2806</v>
      </c>
      <c r="C4156" t="s" s="834">
        <v>800</v>
      </c>
      <c r="D4156" s="835">
        <v>46034</v>
      </c>
      <c r="E4156" s="836">
        <v>1.359224537037037</v>
      </c>
      <c r="F4156" s="836">
        <v>1.773113425925926</v>
      </c>
      <c r="G4156" s="570"/>
      <c r="H4156" s="570"/>
      <c r="I4156" s="570"/>
      <c r="J4156" s="570"/>
      <c r="K4156" s="570"/>
    </row>
    <row r="4157" ht="13.75" customHeight="1">
      <c r="A4157" t="s" s="834">
        <v>2818</v>
      </c>
      <c r="B4157" t="s" s="834">
        <v>2819</v>
      </c>
      <c r="C4157" t="s" s="834">
        <v>637</v>
      </c>
      <c r="D4157" s="570"/>
      <c r="E4157" s="570"/>
      <c r="F4157" s="570"/>
      <c r="G4157" s="570"/>
      <c r="H4157" s="570"/>
      <c r="I4157" s="570"/>
      <c r="J4157" s="570"/>
      <c r="K4157" s="570"/>
    </row>
    <row r="4158" ht="13.75" customHeight="1">
      <c r="A4158" s="833">
        <v>213</v>
      </c>
      <c r="B4158" t="s" s="834">
        <v>2806</v>
      </c>
      <c r="C4158" t="s" s="834">
        <v>800</v>
      </c>
      <c r="D4158" s="835">
        <v>46035</v>
      </c>
      <c r="E4158" s="836">
        <v>1.35431712962963</v>
      </c>
      <c r="F4158" s="836">
        <v>1.763101851851852</v>
      </c>
      <c r="G4158" s="570"/>
      <c r="H4158" s="570"/>
      <c r="I4158" s="570"/>
      <c r="J4158" s="570"/>
      <c r="K4158" s="570"/>
    </row>
    <row r="4159" ht="13.75" customHeight="1">
      <c r="A4159" t="s" s="834">
        <v>2820</v>
      </c>
      <c r="B4159" t="s" s="834">
        <v>2821</v>
      </c>
      <c r="C4159" t="s" s="834">
        <v>600</v>
      </c>
      <c r="D4159" s="570"/>
      <c r="E4159" s="570"/>
      <c r="F4159" s="570"/>
      <c r="G4159" s="570"/>
      <c r="H4159" s="570"/>
      <c r="I4159" s="570"/>
      <c r="J4159" s="570"/>
      <c r="K4159" s="570"/>
    </row>
    <row r="4160" ht="13.75" customHeight="1">
      <c r="A4160" s="833">
        <v>213</v>
      </c>
      <c r="B4160" t="s" s="834">
        <v>2806</v>
      </c>
      <c r="C4160" t="s" s="834">
        <v>800</v>
      </c>
      <c r="D4160" s="835">
        <v>46036</v>
      </c>
      <c r="E4160" s="836">
        <v>1.355891203703704</v>
      </c>
      <c r="F4160" s="836">
        <v>1.755833333333333</v>
      </c>
      <c r="G4160" s="570"/>
      <c r="H4160" s="570"/>
      <c r="I4160" s="570"/>
      <c r="J4160" s="570"/>
      <c r="K4160" s="570"/>
    </row>
    <row r="4161" ht="13.75" customHeight="1">
      <c r="A4161" t="s" s="834">
        <v>2822</v>
      </c>
      <c r="B4161" t="s" s="834">
        <v>2823</v>
      </c>
      <c r="C4161" t="s" s="834">
        <v>759</v>
      </c>
      <c r="D4161" s="570"/>
      <c r="E4161" s="570"/>
      <c r="F4161" s="570"/>
      <c r="G4161" s="570"/>
      <c r="H4161" s="570"/>
      <c r="I4161" s="570"/>
      <c r="J4161" s="570"/>
      <c r="K4161" s="570"/>
    </row>
    <row r="4162" ht="13.75" customHeight="1">
      <c r="A4162" s="833">
        <v>213</v>
      </c>
      <c r="B4162" t="s" s="834">
        <v>2806</v>
      </c>
      <c r="C4162" t="s" s="834">
        <v>800</v>
      </c>
      <c r="D4162" s="835">
        <v>46037</v>
      </c>
      <c r="E4162" s="836">
        <v>1.361226851851852</v>
      </c>
      <c r="F4162" s="836">
        <v>1.783877314814815</v>
      </c>
      <c r="G4162" s="570"/>
      <c r="H4162" s="570"/>
      <c r="I4162" s="570"/>
      <c r="J4162" s="570"/>
      <c r="K4162" s="570"/>
    </row>
    <row r="4163" ht="13.75" customHeight="1">
      <c r="A4163" t="s" s="834">
        <v>2824</v>
      </c>
      <c r="B4163" t="s" s="834">
        <v>2825</v>
      </c>
      <c r="C4163" t="s" s="834">
        <v>971</v>
      </c>
      <c r="D4163" s="570"/>
      <c r="E4163" s="570"/>
      <c r="F4163" s="570"/>
      <c r="G4163" s="570"/>
      <c r="H4163" s="570"/>
      <c r="I4163" s="570"/>
      <c r="J4163" s="570"/>
      <c r="K4163" s="570"/>
    </row>
    <row r="4164" ht="13.75" customHeight="1">
      <c r="A4164" s="833">
        <v>213</v>
      </c>
      <c r="B4164" t="s" s="834">
        <v>2806</v>
      </c>
      <c r="C4164" t="s" s="834">
        <v>800</v>
      </c>
      <c r="D4164" s="835">
        <v>46038</v>
      </c>
      <c r="E4164" t="s" s="834">
        <v>478</v>
      </c>
      <c r="F4164" t="s" s="834">
        <v>478</v>
      </c>
      <c r="G4164" s="570"/>
      <c r="H4164" s="570"/>
      <c r="I4164" s="570"/>
      <c r="J4164" s="570"/>
      <c r="K4164" s="570"/>
    </row>
    <row r="4165" ht="13.75" customHeight="1">
      <c r="A4165" s="833">
        <v>213</v>
      </c>
      <c r="B4165" t="s" s="834">
        <v>2806</v>
      </c>
      <c r="C4165" t="s" s="834">
        <v>800</v>
      </c>
      <c r="D4165" s="835">
        <v>46039</v>
      </c>
      <c r="E4165" t="s" s="834">
        <v>478</v>
      </c>
      <c r="F4165" t="s" s="834">
        <v>478</v>
      </c>
      <c r="G4165" s="570"/>
      <c r="H4165" s="570"/>
      <c r="I4165" s="570"/>
      <c r="J4165" s="570"/>
      <c r="K4165" s="570"/>
    </row>
    <row r="4166" ht="13.75" customHeight="1">
      <c r="A4166" s="833">
        <v>213</v>
      </c>
      <c r="B4166" t="s" s="834">
        <v>2806</v>
      </c>
      <c r="C4166" t="s" s="834">
        <v>800</v>
      </c>
      <c r="D4166" s="835">
        <v>46040</v>
      </c>
      <c r="E4166" t="s" s="834">
        <v>478</v>
      </c>
      <c r="F4166" t="s" s="834">
        <v>478</v>
      </c>
      <c r="G4166" s="570"/>
      <c r="H4166" s="570"/>
      <c r="I4166" s="570"/>
      <c r="J4166" s="570"/>
      <c r="K4166" s="570"/>
    </row>
    <row r="4167" ht="13.75" customHeight="1">
      <c r="A4167" s="833">
        <v>213</v>
      </c>
      <c r="B4167" t="s" s="834">
        <v>2806</v>
      </c>
      <c r="C4167" t="s" s="834">
        <v>800</v>
      </c>
      <c r="D4167" s="835">
        <v>46041</v>
      </c>
      <c r="E4167" t="s" s="834">
        <v>478</v>
      </c>
      <c r="F4167" t="s" s="834">
        <v>478</v>
      </c>
      <c r="G4167" s="570"/>
      <c r="H4167" s="570"/>
      <c r="I4167" s="570"/>
      <c r="J4167" s="570"/>
      <c r="K4167" s="570"/>
    </row>
    <row r="4168" ht="13.75" customHeight="1">
      <c r="A4168" s="833">
        <v>213</v>
      </c>
      <c r="B4168" t="s" s="834">
        <v>2806</v>
      </c>
      <c r="C4168" t="s" s="834">
        <v>800</v>
      </c>
      <c r="D4168" s="835">
        <v>46042</v>
      </c>
      <c r="E4168" s="836">
        <v>1.361400462962963</v>
      </c>
      <c r="F4168" s="836">
        <v>1.760578703703704</v>
      </c>
      <c r="G4168" s="570"/>
      <c r="H4168" s="570"/>
      <c r="I4168" s="570"/>
      <c r="J4168" s="570"/>
      <c r="K4168" s="570"/>
    </row>
    <row r="4169" ht="13.75" customHeight="1">
      <c r="A4169" t="s" s="834">
        <v>2826</v>
      </c>
      <c r="B4169" t="s" s="834">
        <v>2827</v>
      </c>
      <c r="C4169" t="s" s="834">
        <v>515</v>
      </c>
      <c r="D4169" s="570"/>
      <c r="E4169" s="570"/>
      <c r="F4169" s="570"/>
      <c r="G4169" s="570"/>
      <c r="H4169" s="570"/>
      <c r="I4169" s="570"/>
      <c r="J4169" s="570"/>
      <c r="K4169" s="570"/>
    </row>
    <row r="4170" ht="13.75" customHeight="1">
      <c r="A4170" s="833">
        <v>213</v>
      </c>
      <c r="B4170" t="s" s="834">
        <v>2806</v>
      </c>
      <c r="C4170" t="s" s="834">
        <v>800</v>
      </c>
      <c r="D4170" s="835">
        <v>46043</v>
      </c>
      <c r="E4170" s="836">
        <v>1.353136574074074</v>
      </c>
      <c r="F4170" s="836">
        <v>1.754837962962963</v>
      </c>
      <c r="G4170" s="570"/>
      <c r="H4170" s="570"/>
      <c r="I4170" s="570"/>
      <c r="J4170" s="570"/>
      <c r="K4170" s="570"/>
    </row>
    <row r="4171" ht="13.75" customHeight="1">
      <c r="A4171" t="s" s="834">
        <v>2828</v>
      </c>
      <c r="B4171" t="s" s="834">
        <v>2829</v>
      </c>
      <c r="C4171" t="s" s="834">
        <v>697</v>
      </c>
      <c r="D4171" s="570"/>
      <c r="E4171" s="570"/>
      <c r="F4171" s="570"/>
      <c r="G4171" s="570"/>
      <c r="H4171" s="570"/>
      <c r="I4171" s="570"/>
      <c r="J4171" s="570"/>
      <c r="K4171" s="570"/>
    </row>
    <row r="4172" ht="13.75" customHeight="1">
      <c r="A4172" s="833">
        <v>213</v>
      </c>
      <c r="B4172" t="s" s="834">
        <v>2806</v>
      </c>
      <c r="C4172" t="s" s="834">
        <v>800</v>
      </c>
      <c r="D4172" s="835">
        <v>46044</v>
      </c>
      <c r="E4172" s="836">
        <v>1.357905092592593</v>
      </c>
      <c r="F4172" s="836">
        <v>1.790659722222222</v>
      </c>
      <c r="G4172" s="570"/>
      <c r="H4172" s="570"/>
      <c r="I4172" s="570"/>
      <c r="J4172" s="570"/>
      <c r="K4172" s="570"/>
    </row>
    <row r="4173" ht="13.75" customHeight="1">
      <c r="A4173" t="s" s="834">
        <v>2830</v>
      </c>
      <c r="B4173" t="s" s="834">
        <v>2831</v>
      </c>
      <c r="C4173" t="s" s="834">
        <v>1094</v>
      </c>
      <c r="D4173" s="570"/>
      <c r="E4173" s="570"/>
      <c r="F4173" s="570"/>
      <c r="G4173" s="570"/>
      <c r="H4173" s="570"/>
      <c r="I4173" s="570"/>
      <c r="J4173" s="570"/>
      <c r="K4173" s="570"/>
    </row>
    <row r="4174" ht="13.75" customHeight="1">
      <c r="A4174" s="833">
        <v>213</v>
      </c>
      <c r="B4174" t="s" s="834">
        <v>2806</v>
      </c>
      <c r="C4174" t="s" s="834">
        <v>800</v>
      </c>
      <c r="D4174" s="835">
        <v>46045</v>
      </c>
      <c r="E4174" t="s" s="834">
        <v>478</v>
      </c>
      <c r="F4174" t="s" s="834">
        <v>478</v>
      </c>
      <c r="G4174" s="570"/>
      <c r="H4174" s="570"/>
      <c r="I4174" s="570"/>
      <c r="J4174" s="570"/>
      <c r="K4174" s="570"/>
    </row>
    <row r="4175" ht="13.75" customHeight="1">
      <c r="A4175" s="833">
        <v>213</v>
      </c>
      <c r="B4175" t="s" s="834">
        <v>2806</v>
      </c>
      <c r="C4175" t="s" s="834">
        <v>800</v>
      </c>
      <c r="D4175" s="835">
        <v>46046</v>
      </c>
      <c r="E4175" t="s" s="834">
        <v>478</v>
      </c>
      <c r="F4175" t="s" s="834">
        <v>478</v>
      </c>
      <c r="G4175" s="570"/>
      <c r="H4175" s="570"/>
      <c r="I4175" s="570"/>
      <c r="J4175" s="570"/>
      <c r="K4175" s="570"/>
    </row>
    <row r="4176" ht="13.75" customHeight="1">
      <c r="A4176" s="833">
        <v>213</v>
      </c>
      <c r="B4176" t="s" s="834">
        <v>2806</v>
      </c>
      <c r="C4176" t="s" s="834">
        <v>800</v>
      </c>
      <c r="D4176" s="835">
        <v>46047</v>
      </c>
      <c r="E4176" t="s" s="834">
        <v>478</v>
      </c>
      <c r="F4176" t="s" s="834">
        <v>478</v>
      </c>
      <c r="G4176" s="570"/>
      <c r="H4176" s="570"/>
      <c r="I4176" s="570"/>
      <c r="J4176" s="570"/>
      <c r="K4176" s="570"/>
    </row>
    <row r="4177" ht="13.75" customHeight="1">
      <c r="A4177" s="833">
        <v>213</v>
      </c>
      <c r="B4177" t="s" s="834">
        <v>2806</v>
      </c>
      <c r="C4177" t="s" s="834">
        <v>800</v>
      </c>
      <c r="D4177" s="835">
        <v>46048</v>
      </c>
      <c r="E4177" s="836">
        <v>1.360543981481481</v>
      </c>
      <c r="F4177" s="836">
        <v>1.772256944444444</v>
      </c>
      <c r="G4177" s="570"/>
      <c r="H4177" s="570"/>
      <c r="I4177" s="570"/>
      <c r="J4177" s="570"/>
      <c r="K4177" s="570"/>
    </row>
    <row r="4178" ht="13.75" customHeight="1">
      <c r="A4178" t="s" s="834">
        <v>2832</v>
      </c>
      <c r="B4178" t="s" s="834">
        <v>2833</v>
      </c>
      <c r="C4178" t="s" s="834">
        <v>597</v>
      </c>
      <c r="D4178" s="570"/>
      <c r="E4178" s="570"/>
      <c r="F4178" s="570"/>
      <c r="G4178" s="570"/>
      <c r="H4178" s="570"/>
      <c r="I4178" s="570"/>
      <c r="J4178" s="570"/>
      <c r="K4178" s="570"/>
    </row>
    <row r="4179" ht="13.75" customHeight="1">
      <c r="A4179" s="833">
        <v>213</v>
      </c>
      <c r="B4179" t="s" s="834">
        <v>2806</v>
      </c>
      <c r="C4179" t="s" s="834">
        <v>800</v>
      </c>
      <c r="D4179" s="835">
        <v>46049</v>
      </c>
      <c r="E4179" s="836">
        <v>1.355428240740741</v>
      </c>
      <c r="F4179" s="836">
        <v>1.772916666666667</v>
      </c>
      <c r="G4179" s="570"/>
      <c r="H4179" s="570"/>
      <c r="I4179" s="570"/>
      <c r="J4179" s="570"/>
      <c r="K4179" s="570"/>
    </row>
    <row r="4180" ht="13.75" customHeight="1">
      <c r="A4180" t="s" s="834">
        <v>2834</v>
      </c>
      <c r="B4180" t="s" s="834">
        <v>2835</v>
      </c>
      <c r="C4180" t="s" s="834">
        <v>1285</v>
      </c>
      <c r="D4180" s="570"/>
      <c r="E4180" s="570"/>
      <c r="F4180" s="570"/>
      <c r="G4180" s="570"/>
      <c r="H4180" s="570"/>
      <c r="I4180" s="570"/>
      <c r="J4180" s="570"/>
      <c r="K4180" s="570"/>
    </row>
    <row r="4181" ht="13.75" customHeight="1">
      <c r="A4181" s="833">
        <v>213</v>
      </c>
      <c r="B4181" t="s" s="834">
        <v>2806</v>
      </c>
      <c r="C4181" t="s" s="834">
        <v>800</v>
      </c>
      <c r="D4181" s="835">
        <v>46050</v>
      </c>
      <c r="E4181" s="836">
        <v>1.356342592592592</v>
      </c>
      <c r="F4181" s="836">
        <v>1.761712962962963</v>
      </c>
      <c r="G4181" s="570"/>
      <c r="H4181" s="570"/>
      <c r="I4181" s="570"/>
      <c r="J4181" s="570"/>
      <c r="K4181" s="570"/>
    </row>
    <row r="4182" ht="13.75" customHeight="1">
      <c r="A4182" t="s" s="834">
        <v>2836</v>
      </c>
      <c r="B4182" t="s" s="834">
        <v>2837</v>
      </c>
      <c r="C4182" t="s" s="834">
        <v>1601</v>
      </c>
      <c r="D4182" s="570"/>
      <c r="E4182" s="570"/>
      <c r="F4182" s="570"/>
      <c r="G4182" s="570"/>
      <c r="H4182" s="570"/>
      <c r="I4182" s="570"/>
      <c r="J4182" s="570"/>
      <c r="K4182" s="570"/>
    </row>
    <row r="4183" ht="13.75" customHeight="1">
      <c r="A4183" s="833">
        <v>213</v>
      </c>
      <c r="B4183" t="s" s="834">
        <v>2806</v>
      </c>
      <c r="C4183" t="s" s="834">
        <v>800</v>
      </c>
      <c r="D4183" s="835">
        <v>46051</v>
      </c>
      <c r="E4183" s="836">
        <v>1.358842592592593</v>
      </c>
      <c r="F4183" s="836">
        <v>1.760104166666667</v>
      </c>
      <c r="G4183" s="570"/>
      <c r="H4183" s="570"/>
      <c r="I4183" s="570"/>
      <c r="J4183" s="570"/>
      <c r="K4183" s="570"/>
    </row>
    <row r="4184" ht="13.75" customHeight="1">
      <c r="A4184" t="s" s="834">
        <v>2838</v>
      </c>
      <c r="B4184" t="s" s="834">
        <v>2839</v>
      </c>
      <c r="C4184" t="s" s="834">
        <v>697</v>
      </c>
      <c r="D4184" s="570"/>
      <c r="E4184" s="570"/>
      <c r="F4184" s="570"/>
      <c r="G4184" s="570"/>
      <c r="H4184" s="570"/>
      <c r="I4184" s="570"/>
      <c r="J4184" s="570"/>
      <c r="K4184" s="570"/>
    </row>
    <row r="4185" ht="13.75" customHeight="1">
      <c r="A4185" s="833">
        <v>213</v>
      </c>
      <c r="B4185" t="s" s="834">
        <v>2806</v>
      </c>
      <c r="C4185" t="s" s="834">
        <v>800</v>
      </c>
      <c r="D4185" s="835">
        <v>46052</v>
      </c>
      <c r="E4185" t="s" s="834">
        <v>478</v>
      </c>
      <c r="F4185" t="s" s="834">
        <v>478</v>
      </c>
      <c r="G4185" s="570"/>
      <c r="H4185" s="570"/>
      <c r="I4185" s="570"/>
      <c r="J4185" s="570"/>
      <c r="K4185" s="570"/>
    </row>
    <row r="4186" ht="13.75" customHeight="1">
      <c r="A4186" s="833">
        <v>213</v>
      </c>
      <c r="B4186" t="s" s="834">
        <v>2806</v>
      </c>
      <c r="C4186" t="s" s="834">
        <v>800</v>
      </c>
      <c r="D4186" s="835">
        <v>46053</v>
      </c>
      <c r="E4186" t="s" s="834">
        <v>478</v>
      </c>
      <c r="F4186" t="s" s="834">
        <v>478</v>
      </c>
      <c r="G4186" s="570"/>
      <c r="H4186" s="570"/>
      <c r="I4186" s="570"/>
      <c r="J4186" s="570"/>
      <c r="K4186" s="570"/>
    </row>
    <row r="4187" ht="13.75" customHeight="1">
      <c r="A4187" s="833">
        <v>213</v>
      </c>
      <c r="B4187" t="s" s="834">
        <v>2806</v>
      </c>
      <c r="C4187" t="s" s="834">
        <v>800</v>
      </c>
      <c r="D4187" s="835">
        <v>46054</v>
      </c>
      <c r="E4187" t="s" s="834">
        <v>478</v>
      </c>
      <c r="F4187" t="s" s="834">
        <v>478</v>
      </c>
      <c r="G4187" s="570"/>
      <c r="H4187" s="570"/>
      <c r="I4187" s="570"/>
      <c r="J4187" s="570"/>
      <c r="K4187" s="570"/>
    </row>
    <row r="4188" ht="13.75" customHeight="1">
      <c r="A4188" s="833">
        <v>228</v>
      </c>
      <c r="B4188" t="s" s="834">
        <v>2840</v>
      </c>
      <c r="C4188" t="s" s="834">
        <v>892</v>
      </c>
      <c r="D4188" s="835">
        <v>46023</v>
      </c>
      <c r="E4188" t="s" s="834">
        <v>478</v>
      </c>
      <c r="F4188" t="s" s="834">
        <v>478</v>
      </c>
      <c r="G4188" s="570"/>
      <c r="H4188" s="570"/>
      <c r="I4188" s="570"/>
      <c r="J4188" s="570"/>
      <c r="K4188" s="570"/>
    </row>
    <row r="4189" ht="13.75" customHeight="1">
      <c r="A4189" s="833">
        <v>228</v>
      </c>
      <c r="B4189" t="s" s="834">
        <v>2840</v>
      </c>
      <c r="C4189" t="s" s="834">
        <v>892</v>
      </c>
      <c r="D4189" s="835">
        <v>46024</v>
      </c>
      <c r="E4189" t="s" s="834">
        <v>478</v>
      </c>
      <c r="F4189" t="s" s="834">
        <v>478</v>
      </c>
      <c r="G4189" s="570"/>
      <c r="H4189" s="570"/>
      <c r="I4189" s="570"/>
      <c r="J4189" s="570"/>
      <c r="K4189" s="570"/>
    </row>
    <row r="4190" ht="13.75" customHeight="1">
      <c r="A4190" s="833">
        <v>228</v>
      </c>
      <c r="B4190" t="s" s="834">
        <v>2840</v>
      </c>
      <c r="C4190" t="s" s="834">
        <v>892</v>
      </c>
      <c r="D4190" s="835">
        <v>46025</v>
      </c>
      <c r="E4190" t="s" s="834">
        <v>478</v>
      </c>
      <c r="F4190" t="s" s="834">
        <v>478</v>
      </c>
      <c r="G4190" s="570"/>
      <c r="H4190" s="570"/>
      <c r="I4190" s="570"/>
      <c r="J4190" s="570"/>
      <c r="K4190" s="570"/>
    </row>
    <row r="4191" ht="13.75" customHeight="1">
      <c r="A4191" s="833">
        <v>228</v>
      </c>
      <c r="B4191" t="s" s="834">
        <v>2840</v>
      </c>
      <c r="C4191" t="s" s="834">
        <v>892</v>
      </c>
      <c r="D4191" s="835">
        <v>46026</v>
      </c>
      <c r="E4191" t="s" s="834">
        <v>478</v>
      </c>
      <c r="F4191" t="s" s="834">
        <v>478</v>
      </c>
      <c r="G4191" s="570"/>
      <c r="H4191" s="570"/>
      <c r="I4191" s="570"/>
      <c r="J4191" s="570"/>
      <c r="K4191" s="570"/>
    </row>
    <row r="4192" ht="13.75" customHeight="1">
      <c r="A4192" s="833">
        <v>228</v>
      </c>
      <c r="B4192" t="s" s="834">
        <v>2840</v>
      </c>
      <c r="C4192" t="s" s="834">
        <v>892</v>
      </c>
      <c r="D4192" s="835">
        <v>46027</v>
      </c>
      <c r="E4192" s="836">
        <v>1.375555555555556</v>
      </c>
      <c r="F4192" s="836">
        <v>1.764861111111111</v>
      </c>
      <c r="G4192" s="570"/>
      <c r="H4192" s="570"/>
      <c r="I4192" s="570"/>
      <c r="J4192" s="570"/>
      <c r="K4192" s="570"/>
    </row>
    <row r="4193" ht="13.75" customHeight="1">
      <c r="A4193" t="s" s="834">
        <v>2841</v>
      </c>
      <c r="B4193" t="s" s="834">
        <v>2842</v>
      </c>
      <c r="C4193" t="s" s="834">
        <v>979</v>
      </c>
      <c r="D4193" s="570"/>
      <c r="E4193" s="570"/>
      <c r="F4193" s="570"/>
      <c r="G4193" s="570"/>
      <c r="H4193" s="570"/>
      <c r="I4193" s="570"/>
      <c r="J4193" s="570"/>
      <c r="K4193" s="570"/>
    </row>
    <row r="4194" ht="13.75" customHeight="1">
      <c r="A4194" s="833">
        <v>228</v>
      </c>
      <c r="B4194" t="s" s="834">
        <v>2840</v>
      </c>
      <c r="C4194" t="s" s="834">
        <v>892</v>
      </c>
      <c r="D4194" s="835">
        <v>46028</v>
      </c>
      <c r="E4194" s="836">
        <v>1.387349537037037</v>
      </c>
      <c r="F4194" s="836">
        <v>1.762106481481482</v>
      </c>
      <c r="G4194" s="570"/>
      <c r="H4194" s="570"/>
      <c r="I4194" s="570"/>
      <c r="J4194" s="570"/>
      <c r="K4194" s="570"/>
    </row>
    <row r="4195" ht="13.75" customHeight="1">
      <c r="A4195" t="s" s="834">
        <v>2843</v>
      </c>
      <c r="B4195" t="s" s="834">
        <v>2844</v>
      </c>
      <c r="C4195" t="s" s="834">
        <v>673</v>
      </c>
      <c r="D4195" s="570"/>
      <c r="E4195" s="570"/>
      <c r="F4195" s="570"/>
      <c r="G4195" s="570"/>
      <c r="H4195" s="570"/>
      <c r="I4195" s="570"/>
      <c r="J4195" s="570"/>
      <c r="K4195" s="570"/>
    </row>
    <row r="4196" ht="13.75" customHeight="1">
      <c r="A4196" s="833">
        <v>228</v>
      </c>
      <c r="B4196" t="s" s="834">
        <v>2840</v>
      </c>
      <c r="C4196" t="s" s="834">
        <v>892</v>
      </c>
      <c r="D4196" s="835">
        <v>46029</v>
      </c>
      <c r="E4196" t="s" s="834">
        <v>478</v>
      </c>
      <c r="F4196" t="s" s="834">
        <v>478</v>
      </c>
      <c r="G4196" s="570"/>
      <c r="H4196" s="570"/>
      <c r="I4196" s="570"/>
      <c r="J4196" s="570"/>
      <c r="K4196" s="570"/>
    </row>
    <row r="4197" ht="13.75" customHeight="1">
      <c r="A4197" s="833">
        <v>228</v>
      </c>
      <c r="B4197" t="s" s="834">
        <v>2840</v>
      </c>
      <c r="C4197" t="s" s="834">
        <v>892</v>
      </c>
      <c r="D4197" s="835">
        <v>46030</v>
      </c>
      <c r="E4197" s="836">
        <v>1.37900462962963</v>
      </c>
      <c r="F4197" s="836">
        <v>1.920173611111111</v>
      </c>
      <c r="G4197" s="570"/>
      <c r="H4197" s="570"/>
      <c r="I4197" s="570"/>
      <c r="J4197" s="570"/>
      <c r="K4197" s="570"/>
    </row>
    <row r="4198" ht="13.75" customHeight="1">
      <c r="A4198" t="s" s="834">
        <v>2845</v>
      </c>
      <c r="B4198" t="s" s="834">
        <v>2846</v>
      </c>
      <c r="C4198" t="s" s="834">
        <v>2847</v>
      </c>
      <c r="D4198" s="570"/>
      <c r="E4198" s="570"/>
      <c r="F4198" s="570"/>
      <c r="G4198" s="570"/>
      <c r="H4198" s="570"/>
      <c r="I4198" s="570"/>
      <c r="J4198" s="570"/>
      <c r="K4198" s="570"/>
    </row>
    <row r="4199" ht="13.75" customHeight="1">
      <c r="A4199" s="833">
        <v>228</v>
      </c>
      <c r="B4199" t="s" s="834">
        <v>2840</v>
      </c>
      <c r="C4199" t="s" s="834">
        <v>892</v>
      </c>
      <c r="D4199" s="835">
        <v>46031</v>
      </c>
      <c r="E4199" s="836">
        <v>1.367905092592593</v>
      </c>
      <c r="F4199" s="836">
        <v>1.890949074074074</v>
      </c>
      <c r="G4199" s="570"/>
      <c r="H4199" s="570"/>
      <c r="I4199" s="570"/>
      <c r="J4199" s="570"/>
      <c r="K4199" s="570"/>
    </row>
    <row r="4200" ht="13.75" customHeight="1">
      <c r="A4200" t="s" s="834">
        <v>2848</v>
      </c>
      <c r="B4200" t="s" s="834">
        <v>2849</v>
      </c>
      <c r="C4200" t="s" s="834">
        <v>1097</v>
      </c>
      <c r="D4200" s="570"/>
      <c r="E4200" s="570"/>
      <c r="F4200" s="570"/>
      <c r="G4200" s="570"/>
      <c r="H4200" s="570"/>
      <c r="I4200" s="570"/>
      <c r="J4200" s="570"/>
      <c r="K4200" s="570"/>
    </row>
    <row r="4201" ht="13.75" customHeight="1">
      <c r="A4201" s="833">
        <v>228</v>
      </c>
      <c r="B4201" t="s" s="834">
        <v>2840</v>
      </c>
      <c r="C4201" t="s" s="834">
        <v>892</v>
      </c>
      <c r="D4201" s="835">
        <v>46032</v>
      </c>
      <c r="E4201" s="836">
        <v>1.442847222222222</v>
      </c>
      <c r="F4201" t="s" s="834">
        <v>478</v>
      </c>
      <c r="G4201" s="570"/>
      <c r="H4201" s="570"/>
      <c r="I4201" s="570"/>
      <c r="J4201" s="570"/>
      <c r="K4201" s="570"/>
    </row>
    <row r="4202" ht="13.75" customHeight="1">
      <c r="A4202" t="s" s="834">
        <v>2850</v>
      </c>
      <c r="B4202" t="s" s="834">
        <v>485</v>
      </c>
      <c r="C4202" t="s" s="834">
        <v>486</v>
      </c>
      <c r="D4202" s="570"/>
      <c r="E4202" s="570"/>
      <c r="F4202" s="570"/>
      <c r="G4202" s="570"/>
      <c r="H4202" s="570"/>
      <c r="I4202" s="570"/>
      <c r="J4202" s="570"/>
      <c r="K4202" s="570"/>
    </row>
    <row r="4203" ht="13.75" customHeight="1">
      <c r="A4203" s="833">
        <v>228</v>
      </c>
      <c r="B4203" t="s" s="834">
        <v>2840</v>
      </c>
      <c r="C4203" t="s" s="834">
        <v>892</v>
      </c>
      <c r="D4203" s="835">
        <v>46033</v>
      </c>
      <c r="E4203" t="s" s="834">
        <v>478</v>
      </c>
      <c r="F4203" t="s" s="834">
        <v>478</v>
      </c>
      <c r="G4203" s="570"/>
      <c r="H4203" s="570"/>
      <c r="I4203" s="570"/>
      <c r="J4203" s="570"/>
      <c r="K4203" s="570"/>
    </row>
    <row r="4204" ht="13.75" customHeight="1">
      <c r="A4204" s="833">
        <v>228</v>
      </c>
      <c r="B4204" t="s" s="834">
        <v>2840</v>
      </c>
      <c r="C4204" t="s" s="834">
        <v>892</v>
      </c>
      <c r="D4204" s="835">
        <v>46034</v>
      </c>
      <c r="E4204" s="836">
        <v>1.369386574074074</v>
      </c>
      <c r="F4204" s="836">
        <v>1.861979166666667</v>
      </c>
      <c r="G4204" s="570"/>
      <c r="H4204" s="570"/>
      <c r="I4204" s="570"/>
      <c r="J4204" s="570"/>
      <c r="K4204" s="570"/>
    </row>
    <row r="4205" ht="13.75" customHeight="1">
      <c r="A4205" t="s" s="834">
        <v>2851</v>
      </c>
      <c r="B4205" t="s" s="834">
        <v>2852</v>
      </c>
      <c r="C4205" t="s" s="834">
        <v>2853</v>
      </c>
      <c r="D4205" s="570"/>
      <c r="E4205" s="570"/>
      <c r="F4205" s="570"/>
      <c r="G4205" s="570"/>
      <c r="H4205" s="570"/>
      <c r="I4205" s="570"/>
      <c r="J4205" s="570"/>
      <c r="K4205" s="570"/>
    </row>
    <row r="4206" ht="13.75" customHeight="1">
      <c r="A4206" s="833">
        <v>228</v>
      </c>
      <c r="B4206" t="s" s="834">
        <v>2840</v>
      </c>
      <c r="C4206" t="s" s="834">
        <v>892</v>
      </c>
      <c r="D4206" s="835">
        <v>46035</v>
      </c>
      <c r="E4206" s="836">
        <v>1.383275462962963</v>
      </c>
      <c r="F4206" s="836">
        <v>1.767893518518519</v>
      </c>
      <c r="G4206" s="570"/>
      <c r="H4206" s="570"/>
      <c r="I4206" s="570"/>
      <c r="J4206" s="570"/>
      <c r="K4206" s="570"/>
    </row>
    <row r="4207" ht="13.75" customHeight="1">
      <c r="A4207" t="s" s="834">
        <v>2854</v>
      </c>
      <c r="B4207" t="s" s="834">
        <v>2855</v>
      </c>
      <c r="C4207" t="s" s="834">
        <v>2452</v>
      </c>
      <c r="D4207" s="570"/>
      <c r="E4207" s="570"/>
      <c r="F4207" s="570"/>
      <c r="G4207" s="570"/>
      <c r="H4207" s="570"/>
      <c r="I4207" s="570"/>
      <c r="J4207" s="570"/>
      <c r="K4207" s="570"/>
    </row>
    <row r="4208" ht="13.75" customHeight="1">
      <c r="A4208" s="833">
        <v>228</v>
      </c>
      <c r="B4208" t="s" s="834">
        <v>2840</v>
      </c>
      <c r="C4208" t="s" s="834">
        <v>892</v>
      </c>
      <c r="D4208" s="835">
        <v>46036</v>
      </c>
      <c r="E4208" s="836">
        <v>1.576678240740741</v>
      </c>
      <c r="F4208" s="836">
        <v>1.927881944444445</v>
      </c>
      <c r="G4208" s="570"/>
      <c r="H4208" s="570"/>
      <c r="I4208" s="570"/>
      <c r="J4208" s="570"/>
      <c r="K4208" s="570"/>
    </row>
    <row r="4209" ht="13.75" customHeight="1">
      <c r="A4209" t="s" s="834">
        <v>2856</v>
      </c>
      <c r="B4209" t="s" s="834">
        <v>2857</v>
      </c>
      <c r="C4209" t="s" s="834">
        <v>764</v>
      </c>
      <c r="D4209" s="570"/>
      <c r="E4209" s="570"/>
      <c r="F4209" s="570"/>
      <c r="G4209" s="570"/>
      <c r="H4209" s="570"/>
      <c r="I4209" s="570"/>
      <c r="J4209" s="570"/>
      <c r="K4209" s="570"/>
    </row>
    <row r="4210" ht="13.75" customHeight="1">
      <c r="A4210" s="833">
        <v>228</v>
      </c>
      <c r="B4210" t="s" s="834">
        <v>2840</v>
      </c>
      <c r="C4210" t="s" s="834">
        <v>892</v>
      </c>
      <c r="D4210" s="835">
        <v>46037</v>
      </c>
      <c r="E4210" s="836">
        <v>1.417534722222222</v>
      </c>
      <c r="F4210" s="836">
        <v>1.780497685185185</v>
      </c>
      <c r="G4210" s="570"/>
      <c r="H4210" s="570"/>
      <c r="I4210" s="570"/>
      <c r="J4210" s="570"/>
      <c r="K4210" s="570"/>
    </row>
    <row r="4211" ht="13.75" customHeight="1">
      <c r="A4211" t="s" s="834">
        <v>2858</v>
      </c>
      <c r="B4211" t="s" s="834">
        <v>2859</v>
      </c>
      <c r="C4211" t="s" s="834">
        <v>2598</v>
      </c>
      <c r="D4211" s="570"/>
      <c r="E4211" s="570"/>
      <c r="F4211" s="570"/>
      <c r="G4211" s="570"/>
      <c r="H4211" s="570"/>
      <c r="I4211" s="570"/>
      <c r="J4211" s="570"/>
      <c r="K4211" s="570"/>
    </row>
    <row r="4212" ht="13.75" customHeight="1">
      <c r="A4212" s="833">
        <v>228</v>
      </c>
      <c r="B4212" t="s" s="834">
        <v>2840</v>
      </c>
      <c r="C4212" t="s" s="834">
        <v>892</v>
      </c>
      <c r="D4212" s="835">
        <v>46038</v>
      </c>
      <c r="E4212" s="836">
        <v>1.410856481481481</v>
      </c>
      <c r="F4212" s="836">
        <v>1.783553240740741</v>
      </c>
      <c r="G4212" s="570"/>
      <c r="H4212" s="570"/>
      <c r="I4212" s="570"/>
      <c r="J4212" s="570"/>
      <c r="K4212" s="570"/>
    </row>
    <row r="4213" ht="13.75" customHeight="1">
      <c r="A4213" t="s" s="834">
        <v>2860</v>
      </c>
      <c r="B4213" t="s" s="834">
        <v>2861</v>
      </c>
      <c r="C4213" t="s" s="834">
        <v>2862</v>
      </c>
      <c r="D4213" s="570"/>
      <c r="E4213" s="570"/>
      <c r="F4213" s="570"/>
      <c r="G4213" s="570"/>
      <c r="H4213" s="570"/>
      <c r="I4213" s="570"/>
      <c r="J4213" s="570"/>
      <c r="K4213" s="570"/>
    </row>
    <row r="4214" ht="13.75" customHeight="1">
      <c r="A4214" s="833">
        <v>228</v>
      </c>
      <c r="B4214" t="s" s="834">
        <v>2840</v>
      </c>
      <c r="C4214" t="s" s="834">
        <v>892</v>
      </c>
      <c r="D4214" s="835">
        <v>46039</v>
      </c>
      <c r="E4214" t="s" s="834">
        <v>478</v>
      </c>
      <c r="F4214" t="s" s="834">
        <v>478</v>
      </c>
      <c r="G4214" s="570"/>
      <c r="H4214" s="570"/>
      <c r="I4214" s="570"/>
      <c r="J4214" s="570"/>
      <c r="K4214" s="570"/>
    </row>
    <row r="4215" ht="13.75" customHeight="1">
      <c r="A4215" s="833">
        <v>228</v>
      </c>
      <c r="B4215" t="s" s="834">
        <v>2840</v>
      </c>
      <c r="C4215" t="s" s="834">
        <v>892</v>
      </c>
      <c r="D4215" s="835">
        <v>46040</v>
      </c>
      <c r="E4215" t="s" s="834">
        <v>478</v>
      </c>
      <c r="F4215" t="s" s="834">
        <v>478</v>
      </c>
      <c r="G4215" s="570"/>
      <c r="H4215" s="570"/>
      <c r="I4215" s="570"/>
      <c r="J4215" s="570"/>
      <c r="K4215" s="570"/>
    </row>
    <row r="4216" ht="13.75" customHeight="1">
      <c r="A4216" s="833">
        <v>228</v>
      </c>
      <c r="B4216" t="s" s="834">
        <v>2840</v>
      </c>
      <c r="C4216" t="s" s="834">
        <v>892</v>
      </c>
      <c r="D4216" s="835">
        <v>46041</v>
      </c>
      <c r="E4216" s="836">
        <v>1.419988425925926</v>
      </c>
      <c r="F4216" s="836">
        <v>1.784386574074074</v>
      </c>
      <c r="G4216" s="570"/>
      <c r="H4216" s="570"/>
      <c r="I4216" s="570"/>
      <c r="J4216" s="570"/>
      <c r="K4216" s="570"/>
    </row>
    <row r="4217" ht="13.75" customHeight="1">
      <c r="A4217" t="s" s="834">
        <v>2863</v>
      </c>
      <c r="B4217" t="s" s="834">
        <v>2864</v>
      </c>
      <c r="C4217" t="s" s="834">
        <v>2865</v>
      </c>
      <c r="D4217" s="570"/>
      <c r="E4217" s="570"/>
      <c r="F4217" s="570"/>
      <c r="G4217" s="570"/>
      <c r="H4217" s="570"/>
      <c r="I4217" s="570"/>
      <c r="J4217" s="570"/>
      <c r="K4217" s="570"/>
    </row>
    <row r="4218" ht="13.75" customHeight="1">
      <c r="A4218" s="833">
        <v>228</v>
      </c>
      <c r="B4218" t="s" s="834">
        <v>2840</v>
      </c>
      <c r="C4218" t="s" s="834">
        <v>892</v>
      </c>
      <c r="D4218" s="835">
        <v>46042</v>
      </c>
      <c r="E4218" s="836">
        <v>1.575486111111111</v>
      </c>
      <c r="F4218" s="836">
        <v>1.790555555555556</v>
      </c>
      <c r="G4218" s="570"/>
      <c r="H4218" s="570"/>
      <c r="I4218" s="570"/>
      <c r="J4218" s="570"/>
      <c r="K4218" s="570"/>
    </row>
    <row r="4219" ht="13.75" customHeight="1">
      <c r="A4219" t="s" s="834">
        <v>2866</v>
      </c>
      <c r="B4219" t="s" s="834">
        <v>2867</v>
      </c>
      <c r="C4219" t="s" s="834">
        <v>2868</v>
      </c>
      <c r="D4219" s="570"/>
      <c r="E4219" s="570"/>
      <c r="F4219" s="570"/>
      <c r="G4219" s="570"/>
      <c r="H4219" s="570"/>
      <c r="I4219" s="570"/>
      <c r="J4219" s="570"/>
      <c r="K4219" s="570"/>
    </row>
    <row r="4220" ht="13.75" customHeight="1">
      <c r="A4220" s="833">
        <v>228</v>
      </c>
      <c r="B4220" t="s" s="834">
        <v>2840</v>
      </c>
      <c r="C4220" t="s" s="834">
        <v>892</v>
      </c>
      <c r="D4220" s="835">
        <v>46043</v>
      </c>
      <c r="E4220" s="836">
        <v>1.423344907407407</v>
      </c>
      <c r="F4220" s="836">
        <v>1.808206018518518</v>
      </c>
      <c r="G4220" s="570"/>
      <c r="H4220" s="570"/>
      <c r="I4220" s="570"/>
      <c r="J4220" s="570"/>
      <c r="K4220" s="570"/>
    </row>
    <row r="4221" ht="13.75" customHeight="1">
      <c r="A4221" t="s" s="834">
        <v>2869</v>
      </c>
      <c r="B4221" t="s" s="834">
        <v>2870</v>
      </c>
      <c r="C4221" t="s" s="834">
        <v>2452</v>
      </c>
      <c r="D4221" s="570"/>
      <c r="E4221" s="570"/>
      <c r="F4221" s="570"/>
      <c r="G4221" s="570"/>
      <c r="H4221" s="570"/>
      <c r="I4221" s="570"/>
      <c r="J4221" s="570"/>
      <c r="K4221" s="570"/>
    </row>
    <row r="4222" ht="13.75" customHeight="1">
      <c r="A4222" s="833">
        <v>228</v>
      </c>
      <c r="B4222" t="s" s="834">
        <v>2840</v>
      </c>
      <c r="C4222" t="s" s="834">
        <v>892</v>
      </c>
      <c r="D4222" s="835">
        <v>46044</v>
      </c>
      <c r="E4222" s="836">
        <v>1.408194444444445</v>
      </c>
      <c r="F4222" s="836">
        <v>1.779074074074074</v>
      </c>
      <c r="G4222" s="570"/>
      <c r="H4222" s="570"/>
      <c r="I4222" s="570"/>
      <c r="J4222" s="570"/>
      <c r="K4222" s="570"/>
    </row>
    <row r="4223" ht="13.75" customHeight="1">
      <c r="A4223" t="s" s="834">
        <v>2871</v>
      </c>
      <c r="B4223" t="s" s="834">
        <v>2872</v>
      </c>
      <c r="C4223" t="s" s="834">
        <v>826</v>
      </c>
      <c r="D4223" s="570"/>
      <c r="E4223" s="570"/>
      <c r="F4223" s="570"/>
      <c r="G4223" s="570"/>
      <c r="H4223" s="570"/>
      <c r="I4223" s="570"/>
      <c r="J4223" s="570"/>
      <c r="K4223" s="570"/>
    </row>
    <row r="4224" ht="13.75" customHeight="1">
      <c r="A4224" s="833">
        <v>228</v>
      </c>
      <c r="B4224" t="s" s="834">
        <v>2840</v>
      </c>
      <c r="C4224" t="s" s="834">
        <v>892</v>
      </c>
      <c r="D4224" s="835">
        <v>46045</v>
      </c>
      <c r="E4224" s="836">
        <v>1.564282407407407</v>
      </c>
      <c r="F4224" s="836">
        <v>1.788356481481482</v>
      </c>
      <c r="G4224" s="570"/>
      <c r="H4224" s="570"/>
      <c r="I4224" s="570"/>
      <c r="J4224" s="570"/>
      <c r="K4224" s="570"/>
    </row>
    <row r="4225" ht="13.75" customHeight="1">
      <c r="A4225" t="s" s="834">
        <v>2873</v>
      </c>
      <c r="B4225" t="s" s="834">
        <v>2874</v>
      </c>
      <c r="C4225" t="s" s="834">
        <v>2875</v>
      </c>
      <c r="D4225" s="570"/>
      <c r="E4225" s="570"/>
      <c r="F4225" s="570"/>
      <c r="G4225" s="570"/>
      <c r="H4225" s="570"/>
      <c r="I4225" s="570"/>
      <c r="J4225" s="570"/>
      <c r="K4225" s="570"/>
    </row>
    <row r="4226" ht="13.75" customHeight="1">
      <c r="A4226" s="833">
        <v>228</v>
      </c>
      <c r="B4226" t="s" s="834">
        <v>2840</v>
      </c>
      <c r="C4226" t="s" s="834">
        <v>892</v>
      </c>
      <c r="D4226" s="835">
        <v>46046</v>
      </c>
      <c r="E4226" t="s" s="834">
        <v>478</v>
      </c>
      <c r="F4226" t="s" s="834">
        <v>478</v>
      </c>
      <c r="G4226" s="570"/>
      <c r="H4226" s="570"/>
      <c r="I4226" s="570"/>
      <c r="J4226" s="570"/>
      <c r="K4226" s="570"/>
    </row>
    <row r="4227" ht="13.75" customHeight="1">
      <c r="A4227" s="833">
        <v>228</v>
      </c>
      <c r="B4227" t="s" s="834">
        <v>2840</v>
      </c>
      <c r="C4227" t="s" s="834">
        <v>892</v>
      </c>
      <c r="D4227" s="835">
        <v>46047</v>
      </c>
      <c r="E4227" t="s" s="834">
        <v>478</v>
      </c>
      <c r="F4227" t="s" s="834">
        <v>478</v>
      </c>
      <c r="G4227" s="570"/>
      <c r="H4227" s="570"/>
      <c r="I4227" s="570"/>
      <c r="J4227" s="570"/>
      <c r="K4227" s="570"/>
    </row>
    <row r="4228" ht="13.75" customHeight="1">
      <c r="A4228" s="833">
        <v>228</v>
      </c>
      <c r="B4228" t="s" s="834">
        <v>2840</v>
      </c>
      <c r="C4228" t="s" s="834">
        <v>892</v>
      </c>
      <c r="D4228" s="835">
        <v>46048</v>
      </c>
      <c r="E4228" t="s" s="834">
        <v>478</v>
      </c>
      <c r="F4228" t="s" s="834">
        <v>478</v>
      </c>
      <c r="G4228" s="570"/>
      <c r="H4228" s="570"/>
      <c r="I4228" s="570"/>
      <c r="J4228" s="570"/>
      <c r="K4228" s="570"/>
    </row>
    <row r="4229" ht="13.75" customHeight="1">
      <c r="A4229" s="833">
        <v>228</v>
      </c>
      <c r="B4229" t="s" s="834">
        <v>2840</v>
      </c>
      <c r="C4229" t="s" s="834">
        <v>892</v>
      </c>
      <c r="D4229" s="835">
        <v>46049</v>
      </c>
      <c r="E4229" t="s" s="834">
        <v>478</v>
      </c>
      <c r="F4229" t="s" s="834">
        <v>478</v>
      </c>
      <c r="G4229" s="570"/>
      <c r="H4229" s="570"/>
      <c r="I4229" s="570"/>
      <c r="J4229" s="570"/>
      <c r="K4229" s="570"/>
    </row>
    <row r="4230" ht="13.75" customHeight="1">
      <c r="A4230" s="833">
        <v>228</v>
      </c>
      <c r="B4230" t="s" s="834">
        <v>2840</v>
      </c>
      <c r="C4230" t="s" s="834">
        <v>892</v>
      </c>
      <c r="D4230" s="835">
        <v>46050</v>
      </c>
      <c r="E4230" s="836">
        <v>1.392303240740741</v>
      </c>
      <c r="F4230" s="836">
        <v>1.816990740740741</v>
      </c>
      <c r="G4230" s="570"/>
      <c r="H4230" s="570"/>
      <c r="I4230" s="570"/>
      <c r="J4230" s="570"/>
      <c r="K4230" s="570"/>
    </row>
    <row r="4231" ht="13.75" customHeight="1">
      <c r="A4231" t="s" s="834">
        <v>2876</v>
      </c>
      <c r="B4231" t="s" s="834">
        <v>2877</v>
      </c>
      <c r="C4231" t="s" s="834">
        <v>629</v>
      </c>
      <c r="D4231" s="570"/>
      <c r="E4231" s="570"/>
      <c r="F4231" s="570"/>
      <c r="G4231" s="570"/>
      <c r="H4231" s="570"/>
      <c r="I4231" s="570"/>
      <c r="J4231" s="570"/>
      <c r="K4231" s="570"/>
    </row>
    <row r="4232" ht="13.75" customHeight="1">
      <c r="A4232" s="833">
        <v>228</v>
      </c>
      <c r="B4232" t="s" s="834">
        <v>2840</v>
      </c>
      <c r="C4232" t="s" s="834">
        <v>892</v>
      </c>
      <c r="D4232" s="835">
        <v>46051</v>
      </c>
      <c r="E4232" s="836">
        <v>1.398020833333333</v>
      </c>
      <c r="F4232" s="836">
        <v>1.780740740740741</v>
      </c>
      <c r="G4232" s="570"/>
      <c r="H4232" s="570"/>
      <c r="I4232" s="570"/>
      <c r="J4232" s="570"/>
      <c r="K4232" s="570"/>
    </row>
    <row r="4233" ht="13.75" customHeight="1">
      <c r="A4233" t="s" s="834">
        <v>2878</v>
      </c>
      <c r="B4233" t="s" s="834">
        <v>2879</v>
      </c>
      <c r="C4233" t="s" s="834">
        <v>540</v>
      </c>
      <c r="D4233" s="570"/>
      <c r="E4233" s="570"/>
      <c r="F4233" s="570"/>
      <c r="G4233" s="570"/>
      <c r="H4233" s="570"/>
      <c r="I4233" s="570"/>
      <c r="J4233" s="570"/>
      <c r="K4233" s="570"/>
    </row>
    <row r="4234" ht="13.75" customHeight="1">
      <c r="A4234" s="833">
        <v>228</v>
      </c>
      <c r="B4234" t="s" s="834">
        <v>2840</v>
      </c>
      <c r="C4234" t="s" s="834">
        <v>892</v>
      </c>
      <c r="D4234" s="835">
        <v>46052</v>
      </c>
      <c r="E4234" s="836">
        <v>1.414722222222222</v>
      </c>
      <c r="F4234" s="836">
        <v>1.791469907407407</v>
      </c>
      <c r="G4234" s="570"/>
      <c r="H4234" s="570"/>
      <c r="I4234" s="570"/>
      <c r="J4234" s="570"/>
      <c r="K4234" s="570"/>
    </row>
    <row r="4235" ht="13.75" customHeight="1">
      <c r="A4235" t="s" s="834">
        <v>2880</v>
      </c>
      <c r="B4235" t="s" s="834">
        <v>2881</v>
      </c>
      <c r="C4235" t="s" s="834">
        <v>846</v>
      </c>
      <c r="D4235" s="570"/>
      <c r="E4235" s="570"/>
      <c r="F4235" s="570"/>
      <c r="G4235" s="570"/>
      <c r="H4235" s="570"/>
      <c r="I4235" s="570"/>
      <c r="J4235" s="570"/>
      <c r="K4235" s="570"/>
    </row>
    <row r="4236" ht="13.75" customHeight="1">
      <c r="A4236" s="833">
        <v>228</v>
      </c>
      <c r="B4236" t="s" s="834">
        <v>2840</v>
      </c>
      <c r="C4236" t="s" s="834">
        <v>892</v>
      </c>
      <c r="D4236" s="835">
        <v>46053</v>
      </c>
      <c r="E4236" t="s" s="834">
        <v>478</v>
      </c>
      <c r="F4236" t="s" s="834">
        <v>478</v>
      </c>
      <c r="G4236" s="570"/>
      <c r="H4236" s="570"/>
      <c r="I4236" s="570"/>
      <c r="J4236" s="570"/>
      <c r="K4236" s="570"/>
    </row>
    <row r="4237" ht="13.75" customHeight="1">
      <c r="A4237" s="833">
        <v>228</v>
      </c>
      <c r="B4237" t="s" s="834">
        <v>2840</v>
      </c>
      <c r="C4237" t="s" s="834">
        <v>892</v>
      </c>
      <c r="D4237" s="835">
        <v>46054</v>
      </c>
      <c r="E4237" t="s" s="834">
        <v>478</v>
      </c>
      <c r="F4237" t="s" s="834">
        <v>478</v>
      </c>
      <c r="G4237" s="570"/>
      <c r="H4237" s="570"/>
      <c r="I4237" s="570"/>
      <c r="J4237" s="570"/>
      <c r="K4237" s="570"/>
    </row>
    <row r="4238" ht="13.75" customHeight="1">
      <c r="A4238" s="833">
        <v>229</v>
      </c>
      <c r="B4238" t="s" s="834">
        <v>2882</v>
      </c>
      <c r="C4238" t="s" s="834">
        <v>1571</v>
      </c>
      <c r="D4238" s="835">
        <v>46023</v>
      </c>
      <c r="E4238" t="s" s="834">
        <v>478</v>
      </c>
      <c r="F4238" t="s" s="834">
        <v>478</v>
      </c>
      <c r="G4238" s="570"/>
      <c r="H4238" s="570"/>
      <c r="I4238" s="570"/>
      <c r="J4238" s="570"/>
      <c r="K4238" s="570"/>
    </row>
    <row r="4239" ht="13.75" customHeight="1">
      <c r="A4239" s="833">
        <v>229</v>
      </c>
      <c r="B4239" t="s" s="834">
        <v>2882</v>
      </c>
      <c r="C4239" t="s" s="834">
        <v>1571</v>
      </c>
      <c r="D4239" s="835">
        <v>46024</v>
      </c>
      <c r="E4239" t="s" s="834">
        <v>478</v>
      </c>
      <c r="F4239" t="s" s="834">
        <v>478</v>
      </c>
      <c r="G4239" s="570"/>
      <c r="H4239" s="570"/>
      <c r="I4239" s="570"/>
      <c r="J4239" s="570"/>
      <c r="K4239" s="570"/>
    </row>
    <row r="4240" ht="13.75" customHeight="1">
      <c r="A4240" s="833">
        <v>229</v>
      </c>
      <c r="B4240" t="s" s="834">
        <v>2882</v>
      </c>
      <c r="C4240" t="s" s="834">
        <v>1571</v>
      </c>
      <c r="D4240" s="835">
        <v>46025</v>
      </c>
      <c r="E4240" t="s" s="834">
        <v>478</v>
      </c>
      <c r="F4240" t="s" s="834">
        <v>478</v>
      </c>
      <c r="G4240" s="570"/>
      <c r="H4240" s="570"/>
      <c r="I4240" s="570"/>
      <c r="J4240" s="570"/>
      <c r="K4240" s="570"/>
    </row>
    <row r="4241" ht="13.75" customHeight="1">
      <c r="A4241" s="833">
        <v>229</v>
      </c>
      <c r="B4241" t="s" s="834">
        <v>2882</v>
      </c>
      <c r="C4241" t="s" s="834">
        <v>1571</v>
      </c>
      <c r="D4241" s="835">
        <v>46026</v>
      </c>
      <c r="E4241" t="s" s="834">
        <v>478</v>
      </c>
      <c r="F4241" t="s" s="834">
        <v>478</v>
      </c>
      <c r="G4241" s="570"/>
      <c r="H4241" s="570"/>
      <c r="I4241" s="570"/>
      <c r="J4241" s="570"/>
      <c r="K4241" s="570"/>
    </row>
    <row r="4242" ht="13.75" customHeight="1">
      <c r="A4242" s="833">
        <v>229</v>
      </c>
      <c r="B4242" t="s" s="834">
        <v>2882</v>
      </c>
      <c r="C4242" t="s" s="834">
        <v>1571</v>
      </c>
      <c r="D4242" s="835">
        <v>46027</v>
      </c>
      <c r="E4242" s="836">
        <v>1.478900462962963</v>
      </c>
      <c r="F4242" s="836">
        <v>1.753101851851852</v>
      </c>
      <c r="G4242" s="570"/>
      <c r="H4242" s="570"/>
      <c r="I4242" s="570"/>
      <c r="J4242" s="570"/>
      <c r="K4242" s="570"/>
    </row>
    <row r="4243" ht="13.75" customHeight="1">
      <c r="A4243" t="s" s="834">
        <v>2883</v>
      </c>
      <c r="B4243" t="s" s="834">
        <v>2884</v>
      </c>
      <c r="C4243" t="s" s="834">
        <v>2885</v>
      </c>
      <c r="D4243" s="570"/>
      <c r="E4243" s="570"/>
      <c r="F4243" s="570"/>
      <c r="G4243" s="570"/>
      <c r="H4243" s="570"/>
      <c r="I4243" s="570"/>
      <c r="J4243" s="570"/>
      <c r="K4243" s="570"/>
    </row>
    <row r="4244" ht="13.75" customHeight="1">
      <c r="A4244" s="833">
        <v>229</v>
      </c>
      <c r="B4244" t="s" s="834">
        <v>2882</v>
      </c>
      <c r="C4244" t="s" s="834">
        <v>1571</v>
      </c>
      <c r="D4244" s="835">
        <v>46028</v>
      </c>
      <c r="E4244" s="836">
        <v>1.352511574074074</v>
      </c>
      <c r="F4244" s="836">
        <v>1.891412037037037</v>
      </c>
      <c r="G4244" s="570"/>
      <c r="H4244" s="570"/>
      <c r="I4244" s="570"/>
      <c r="J4244" s="570"/>
      <c r="K4244" s="570"/>
    </row>
    <row r="4245" ht="13.75" customHeight="1">
      <c r="A4245" t="s" s="834">
        <v>2886</v>
      </c>
      <c r="B4245" t="s" s="834">
        <v>2887</v>
      </c>
      <c r="C4245" t="s" s="834">
        <v>2188</v>
      </c>
      <c r="D4245" s="570"/>
      <c r="E4245" s="570"/>
      <c r="F4245" s="570"/>
      <c r="G4245" s="570"/>
      <c r="H4245" s="570"/>
      <c r="I4245" s="570"/>
      <c r="J4245" s="570"/>
      <c r="K4245" s="570"/>
    </row>
    <row r="4246" ht="13.75" customHeight="1">
      <c r="A4246" s="833">
        <v>229</v>
      </c>
      <c r="B4246" t="s" s="834">
        <v>2882</v>
      </c>
      <c r="C4246" t="s" s="834">
        <v>1571</v>
      </c>
      <c r="D4246" s="835">
        <v>46029</v>
      </c>
      <c r="E4246" s="836">
        <v>1.394560185185185</v>
      </c>
      <c r="F4246" s="836">
        <v>1.754155092592593</v>
      </c>
      <c r="G4246" s="570"/>
      <c r="H4246" s="570"/>
      <c r="I4246" s="570"/>
      <c r="J4246" s="570"/>
      <c r="K4246" s="570"/>
    </row>
    <row r="4247" ht="13.75" customHeight="1">
      <c r="A4247" t="s" s="834">
        <v>2888</v>
      </c>
      <c r="B4247" t="s" s="834">
        <v>2889</v>
      </c>
      <c r="C4247" t="s" s="834">
        <v>2589</v>
      </c>
      <c r="D4247" s="570"/>
      <c r="E4247" s="570"/>
      <c r="F4247" s="570"/>
      <c r="G4247" s="570"/>
      <c r="H4247" s="570"/>
      <c r="I4247" s="570"/>
      <c r="J4247" s="570"/>
      <c r="K4247" s="570"/>
    </row>
    <row r="4248" ht="13.75" customHeight="1">
      <c r="A4248" s="833">
        <v>229</v>
      </c>
      <c r="B4248" t="s" s="834">
        <v>2882</v>
      </c>
      <c r="C4248" t="s" s="834">
        <v>1571</v>
      </c>
      <c r="D4248" s="835">
        <v>46030</v>
      </c>
      <c r="E4248" s="836">
        <v>1.351157407407408</v>
      </c>
      <c r="F4248" s="836">
        <v>1.756446759259259</v>
      </c>
      <c r="G4248" s="570"/>
      <c r="H4248" s="570"/>
      <c r="I4248" s="570"/>
      <c r="J4248" s="570"/>
      <c r="K4248" s="570"/>
    </row>
    <row r="4249" ht="13.75" customHeight="1">
      <c r="A4249" t="s" s="834">
        <v>2890</v>
      </c>
      <c r="B4249" t="s" s="834">
        <v>2891</v>
      </c>
      <c r="C4249" t="s" s="834">
        <v>1601</v>
      </c>
      <c r="D4249" s="570"/>
      <c r="E4249" s="570"/>
      <c r="F4249" s="570"/>
      <c r="G4249" s="570"/>
      <c r="H4249" s="570"/>
      <c r="I4249" s="570"/>
      <c r="J4249" s="570"/>
      <c r="K4249" s="570"/>
    </row>
    <row r="4250" ht="13.75" customHeight="1">
      <c r="A4250" s="833">
        <v>229</v>
      </c>
      <c r="B4250" t="s" s="834">
        <v>2882</v>
      </c>
      <c r="C4250" t="s" s="834">
        <v>1571</v>
      </c>
      <c r="D4250" s="835">
        <v>46031</v>
      </c>
      <c r="E4250" s="836">
        <v>1.351168981481481</v>
      </c>
      <c r="F4250" s="836">
        <v>1.756006944444445</v>
      </c>
      <c r="G4250" s="570"/>
      <c r="H4250" s="570"/>
      <c r="I4250" s="570"/>
      <c r="J4250" s="570"/>
      <c r="K4250" s="570"/>
    </row>
    <row r="4251" ht="13.75" customHeight="1">
      <c r="A4251" t="s" s="834">
        <v>2892</v>
      </c>
      <c r="B4251" t="s" s="834">
        <v>2893</v>
      </c>
      <c r="C4251" t="s" s="834">
        <v>582</v>
      </c>
      <c r="D4251" s="570"/>
      <c r="E4251" s="570"/>
      <c r="F4251" s="570"/>
      <c r="G4251" s="570"/>
      <c r="H4251" s="570"/>
      <c r="I4251" s="570"/>
      <c r="J4251" s="570"/>
      <c r="K4251" s="570"/>
    </row>
    <row r="4252" ht="13.75" customHeight="1">
      <c r="A4252" s="833">
        <v>229</v>
      </c>
      <c r="B4252" t="s" s="834">
        <v>2882</v>
      </c>
      <c r="C4252" t="s" s="834">
        <v>1571</v>
      </c>
      <c r="D4252" s="835">
        <v>46032</v>
      </c>
      <c r="E4252" s="836">
        <v>1.349618055555555</v>
      </c>
      <c r="F4252" s="836">
        <v>1.755381944444444</v>
      </c>
      <c r="G4252" s="570"/>
      <c r="H4252" s="570"/>
      <c r="I4252" s="570"/>
      <c r="J4252" s="570"/>
      <c r="K4252" s="570"/>
    </row>
    <row r="4253" ht="13.75" customHeight="1">
      <c r="A4253" t="s" s="834">
        <v>2894</v>
      </c>
      <c r="B4253" t="s" s="834">
        <v>2895</v>
      </c>
      <c r="C4253" t="s" s="834">
        <v>1601</v>
      </c>
      <c r="D4253" s="570"/>
      <c r="E4253" s="570"/>
      <c r="F4253" s="570"/>
      <c r="G4253" s="570"/>
      <c r="H4253" s="570"/>
      <c r="I4253" s="570"/>
      <c r="J4253" s="570"/>
      <c r="K4253" s="570"/>
    </row>
    <row r="4254" ht="13.75" customHeight="1">
      <c r="A4254" s="833">
        <v>229</v>
      </c>
      <c r="B4254" t="s" s="834">
        <v>2882</v>
      </c>
      <c r="C4254" t="s" s="834">
        <v>1571</v>
      </c>
      <c r="D4254" s="835">
        <v>46033</v>
      </c>
      <c r="E4254" t="s" s="834">
        <v>478</v>
      </c>
      <c r="F4254" t="s" s="834">
        <v>478</v>
      </c>
      <c r="G4254" s="570"/>
      <c r="H4254" s="570"/>
      <c r="I4254" s="570"/>
      <c r="J4254" s="570"/>
      <c r="K4254" s="570"/>
    </row>
    <row r="4255" ht="13.75" customHeight="1">
      <c r="A4255" s="833">
        <v>229</v>
      </c>
      <c r="B4255" t="s" s="834">
        <v>2882</v>
      </c>
      <c r="C4255" t="s" s="834">
        <v>1571</v>
      </c>
      <c r="D4255" s="835">
        <v>46034</v>
      </c>
      <c r="E4255" s="836">
        <v>1.352314814814815</v>
      </c>
      <c r="F4255" s="836">
        <v>1.733715277777778</v>
      </c>
      <c r="G4255" s="570"/>
      <c r="H4255" s="570"/>
      <c r="I4255" s="570"/>
      <c r="J4255" s="570"/>
      <c r="K4255" s="570"/>
    </row>
    <row r="4256" ht="13.75" customHeight="1">
      <c r="A4256" t="s" s="834">
        <v>2896</v>
      </c>
      <c r="B4256" t="s" s="834">
        <v>2897</v>
      </c>
      <c r="C4256" t="s" s="834">
        <v>843</v>
      </c>
      <c r="D4256" s="570"/>
      <c r="E4256" s="570"/>
      <c r="F4256" s="570"/>
      <c r="G4256" s="570"/>
      <c r="H4256" s="570"/>
      <c r="I4256" s="570"/>
      <c r="J4256" s="570"/>
      <c r="K4256" s="570"/>
    </row>
    <row r="4257" ht="13.75" customHeight="1">
      <c r="A4257" s="833">
        <v>229</v>
      </c>
      <c r="B4257" t="s" s="834">
        <v>2882</v>
      </c>
      <c r="C4257" t="s" s="834">
        <v>1571</v>
      </c>
      <c r="D4257" s="835">
        <v>46035</v>
      </c>
      <c r="E4257" s="836">
        <v>1.354351851851852</v>
      </c>
      <c r="F4257" s="836">
        <v>1.733668981481482</v>
      </c>
      <c r="G4257" s="570"/>
      <c r="H4257" s="570"/>
      <c r="I4257" s="570"/>
      <c r="J4257" s="570"/>
      <c r="K4257" s="570"/>
    </row>
    <row r="4258" ht="13.75" customHeight="1">
      <c r="A4258" t="s" s="834">
        <v>2898</v>
      </c>
      <c r="B4258" t="s" s="834">
        <v>2899</v>
      </c>
      <c r="C4258" t="s" s="834">
        <v>549</v>
      </c>
      <c r="D4258" s="570"/>
      <c r="E4258" s="570"/>
      <c r="F4258" s="570"/>
      <c r="G4258" s="570"/>
      <c r="H4258" s="570"/>
      <c r="I4258" s="570"/>
      <c r="J4258" s="570"/>
      <c r="K4258" s="570"/>
    </row>
    <row r="4259" ht="13.75" customHeight="1">
      <c r="A4259" s="833">
        <v>229</v>
      </c>
      <c r="B4259" t="s" s="834">
        <v>2882</v>
      </c>
      <c r="C4259" t="s" s="834">
        <v>1571</v>
      </c>
      <c r="D4259" s="835">
        <v>46036</v>
      </c>
      <c r="E4259" s="836">
        <v>1.352337962962963</v>
      </c>
      <c r="F4259" s="836">
        <v>1.730520833333333</v>
      </c>
      <c r="G4259" s="570"/>
      <c r="H4259" s="570"/>
      <c r="I4259" s="570"/>
      <c r="J4259" s="570"/>
      <c r="K4259" s="570"/>
    </row>
    <row r="4260" ht="13.75" customHeight="1">
      <c r="A4260" t="s" s="834">
        <v>2900</v>
      </c>
      <c r="B4260" t="s" s="834">
        <v>2901</v>
      </c>
      <c r="C4260" t="s" s="834">
        <v>562</v>
      </c>
      <c r="D4260" s="570"/>
      <c r="E4260" s="570"/>
      <c r="F4260" s="570"/>
      <c r="G4260" s="570"/>
      <c r="H4260" s="570"/>
      <c r="I4260" s="570"/>
      <c r="J4260" s="570"/>
      <c r="K4260" s="570"/>
    </row>
    <row r="4261" ht="13.75" customHeight="1">
      <c r="A4261" s="833">
        <v>229</v>
      </c>
      <c r="B4261" t="s" s="834">
        <v>2882</v>
      </c>
      <c r="C4261" t="s" s="834">
        <v>1571</v>
      </c>
      <c r="D4261" s="835">
        <v>46037</v>
      </c>
      <c r="E4261" s="836">
        <v>1.354444444444444</v>
      </c>
      <c r="F4261" s="836">
        <v>1.866122685185185</v>
      </c>
      <c r="G4261" s="570"/>
      <c r="H4261" s="570"/>
      <c r="I4261" s="570"/>
      <c r="J4261" s="570"/>
      <c r="K4261" s="570"/>
    </row>
    <row r="4262" ht="13.75" customHeight="1">
      <c r="A4262" t="s" s="834">
        <v>2902</v>
      </c>
      <c r="B4262" t="s" s="834">
        <v>2903</v>
      </c>
      <c r="C4262" t="s" s="834">
        <v>2904</v>
      </c>
      <c r="D4262" s="570"/>
      <c r="E4262" s="570"/>
      <c r="F4262" s="570"/>
      <c r="G4262" s="570"/>
      <c r="H4262" s="570"/>
      <c r="I4262" s="570"/>
      <c r="J4262" s="570"/>
      <c r="K4262" s="570"/>
    </row>
    <row r="4263" ht="13.75" customHeight="1">
      <c r="A4263" s="833">
        <v>229</v>
      </c>
      <c r="B4263" t="s" s="834">
        <v>2882</v>
      </c>
      <c r="C4263" t="s" s="834">
        <v>1571</v>
      </c>
      <c r="D4263" s="835">
        <v>46038</v>
      </c>
      <c r="E4263" s="836">
        <v>1.439571759259259</v>
      </c>
      <c r="F4263" s="836">
        <v>1.756851851851852</v>
      </c>
      <c r="G4263" s="570"/>
      <c r="H4263" s="570"/>
      <c r="I4263" s="570"/>
      <c r="J4263" s="570"/>
      <c r="K4263" s="570"/>
    </row>
    <row r="4264" ht="13.75" customHeight="1">
      <c r="A4264" t="s" s="834">
        <v>2905</v>
      </c>
      <c r="B4264" t="s" s="834">
        <v>2906</v>
      </c>
      <c r="C4264" t="s" s="834">
        <v>2907</v>
      </c>
      <c r="D4264" s="570"/>
      <c r="E4264" s="570"/>
      <c r="F4264" s="570"/>
      <c r="G4264" s="570"/>
      <c r="H4264" s="570"/>
      <c r="I4264" s="570"/>
      <c r="J4264" s="570"/>
      <c r="K4264" s="570"/>
    </row>
    <row r="4265" ht="13.75" customHeight="1">
      <c r="A4265" s="833">
        <v>229</v>
      </c>
      <c r="B4265" t="s" s="834">
        <v>2882</v>
      </c>
      <c r="C4265" t="s" s="834">
        <v>1571</v>
      </c>
      <c r="D4265" s="835">
        <v>46039</v>
      </c>
      <c r="E4265" t="s" s="834">
        <v>478</v>
      </c>
      <c r="F4265" t="s" s="834">
        <v>478</v>
      </c>
      <c r="G4265" s="570"/>
      <c r="H4265" s="570"/>
      <c r="I4265" s="570"/>
      <c r="J4265" s="570"/>
      <c r="K4265" s="570"/>
    </row>
    <row r="4266" ht="13.75" customHeight="1">
      <c r="A4266" s="833">
        <v>229</v>
      </c>
      <c r="B4266" t="s" s="834">
        <v>2882</v>
      </c>
      <c r="C4266" t="s" s="834">
        <v>1571</v>
      </c>
      <c r="D4266" s="835">
        <v>46040</v>
      </c>
      <c r="E4266" t="s" s="834">
        <v>478</v>
      </c>
      <c r="F4266" t="s" s="834">
        <v>478</v>
      </c>
      <c r="G4266" s="570"/>
      <c r="H4266" s="570"/>
      <c r="I4266" s="570"/>
      <c r="J4266" s="570"/>
      <c r="K4266" s="570"/>
    </row>
    <row r="4267" ht="13.75" customHeight="1">
      <c r="A4267" s="833">
        <v>229</v>
      </c>
      <c r="B4267" t="s" s="834">
        <v>2882</v>
      </c>
      <c r="C4267" t="s" s="834">
        <v>1571</v>
      </c>
      <c r="D4267" s="835">
        <v>46041</v>
      </c>
      <c r="E4267" s="836">
        <v>1.35369212962963</v>
      </c>
      <c r="F4267" s="836">
        <v>1.752569444444444</v>
      </c>
      <c r="G4267" s="570"/>
      <c r="H4267" s="570"/>
      <c r="I4267" s="570"/>
      <c r="J4267" s="570"/>
      <c r="K4267" s="570"/>
    </row>
    <row r="4268" ht="13.75" customHeight="1">
      <c r="A4268" t="s" s="834">
        <v>2908</v>
      </c>
      <c r="B4268" t="s" s="834">
        <v>2909</v>
      </c>
      <c r="C4268" t="s" s="834">
        <v>611</v>
      </c>
      <c r="D4268" s="570"/>
      <c r="E4268" s="570"/>
      <c r="F4268" s="570"/>
      <c r="G4268" s="570"/>
      <c r="H4268" s="570"/>
      <c r="I4268" s="570"/>
      <c r="J4268" s="570"/>
      <c r="K4268" s="570"/>
    </row>
    <row r="4269" ht="13.75" customHeight="1">
      <c r="A4269" s="833">
        <v>229</v>
      </c>
      <c r="B4269" t="s" s="834">
        <v>2882</v>
      </c>
      <c r="C4269" t="s" s="834">
        <v>1571</v>
      </c>
      <c r="D4269" s="835">
        <v>46042</v>
      </c>
      <c r="E4269" s="836">
        <v>1.354837962962963</v>
      </c>
      <c r="F4269" s="836">
        <v>1.755428240740741</v>
      </c>
      <c r="G4269" s="570"/>
      <c r="H4269" s="570"/>
      <c r="I4269" s="570"/>
      <c r="J4269" s="570"/>
      <c r="K4269" s="570"/>
    </row>
    <row r="4270" ht="13.75" customHeight="1">
      <c r="A4270" t="s" s="834">
        <v>2910</v>
      </c>
      <c r="B4270" t="s" s="834">
        <v>2911</v>
      </c>
      <c r="C4270" t="s" s="834">
        <v>606</v>
      </c>
      <c r="D4270" s="570"/>
      <c r="E4270" s="570"/>
      <c r="F4270" s="570"/>
      <c r="G4270" s="570"/>
      <c r="H4270" s="570"/>
      <c r="I4270" s="570"/>
      <c r="J4270" s="570"/>
      <c r="K4270" s="570"/>
    </row>
    <row r="4271" ht="13.75" customHeight="1">
      <c r="A4271" s="833">
        <v>229</v>
      </c>
      <c r="B4271" t="s" s="834">
        <v>2882</v>
      </c>
      <c r="C4271" t="s" s="834">
        <v>1571</v>
      </c>
      <c r="D4271" s="835">
        <v>46043</v>
      </c>
      <c r="E4271" s="836">
        <v>1.350451388888889</v>
      </c>
      <c r="F4271" s="836">
        <v>1.75474537037037</v>
      </c>
      <c r="G4271" s="570"/>
      <c r="H4271" s="570"/>
      <c r="I4271" s="570"/>
      <c r="J4271" s="570"/>
      <c r="K4271" s="570"/>
    </row>
    <row r="4272" ht="13.75" customHeight="1">
      <c r="A4272" t="s" s="834">
        <v>2912</v>
      </c>
      <c r="B4272" t="s" s="834">
        <v>2913</v>
      </c>
      <c r="C4272" t="s" s="834">
        <v>493</v>
      </c>
      <c r="D4272" s="570"/>
      <c r="E4272" s="570"/>
      <c r="F4272" s="570"/>
      <c r="G4272" s="570"/>
      <c r="H4272" s="570"/>
      <c r="I4272" s="570"/>
      <c r="J4272" s="570"/>
      <c r="K4272" s="570"/>
    </row>
    <row r="4273" ht="13.75" customHeight="1">
      <c r="A4273" s="833">
        <v>229</v>
      </c>
      <c r="B4273" t="s" s="834">
        <v>2882</v>
      </c>
      <c r="C4273" t="s" s="834">
        <v>1571</v>
      </c>
      <c r="D4273" s="835">
        <v>46044</v>
      </c>
      <c r="E4273" s="836">
        <v>1.352071759259259</v>
      </c>
      <c r="F4273" s="836">
        <v>1.757280092592592</v>
      </c>
      <c r="G4273" s="570"/>
      <c r="H4273" s="570"/>
      <c r="I4273" s="570"/>
      <c r="J4273" s="570"/>
      <c r="K4273" s="570"/>
    </row>
    <row r="4274" ht="13.75" customHeight="1">
      <c r="A4274" t="s" s="834">
        <v>2914</v>
      </c>
      <c r="B4274" t="s" s="834">
        <v>2915</v>
      </c>
      <c r="C4274" t="s" s="834">
        <v>1601</v>
      </c>
      <c r="D4274" s="570"/>
      <c r="E4274" s="570"/>
      <c r="F4274" s="570"/>
      <c r="G4274" s="570"/>
      <c r="H4274" s="570"/>
      <c r="I4274" s="570"/>
      <c r="J4274" s="570"/>
      <c r="K4274" s="570"/>
    </row>
    <row r="4275" ht="13.75" customHeight="1">
      <c r="A4275" s="833">
        <v>229</v>
      </c>
      <c r="B4275" t="s" s="834">
        <v>2882</v>
      </c>
      <c r="C4275" t="s" s="834">
        <v>1571</v>
      </c>
      <c r="D4275" s="835">
        <v>46045</v>
      </c>
      <c r="E4275" s="836">
        <v>1.353796296296296</v>
      </c>
      <c r="F4275" s="836">
        <v>1.75462962962963</v>
      </c>
      <c r="G4275" s="570"/>
      <c r="H4275" s="570"/>
      <c r="I4275" s="570"/>
      <c r="J4275" s="570"/>
      <c r="K4275" s="570"/>
    </row>
    <row r="4276" ht="13.75" customHeight="1">
      <c r="A4276" t="s" s="834">
        <v>2916</v>
      </c>
      <c r="B4276" t="s" s="834">
        <v>2917</v>
      </c>
      <c r="C4276" t="s" s="834">
        <v>606</v>
      </c>
      <c r="D4276" s="570"/>
      <c r="E4276" s="570"/>
      <c r="F4276" s="570"/>
      <c r="G4276" s="570"/>
      <c r="H4276" s="570"/>
      <c r="I4276" s="570"/>
      <c r="J4276" s="570"/>
      <c r="K4276" s="570"/>
    </row>
    <row r="4277" ht="13.75" customHeight="1">
      <c r="A4277" s="833">
        <v>229</v>
      </c>
      <c r="B4277" t="s" s="834">
        <v>2882</v>
      </c>
      <c r="C4277" t="s" s="834">
        <v>1571</v>
      </c>
      <c r="D4277" s="835">
        <v>46046</v>
      </c>
      <c r="E4277" t="s" s="834">
        <v>478</v>
      </c>
      <c r="F4277" t="s" s="834">
        <v>478</v>
      </c>
      <c r="G4277" s="570"/>
      <c r="H4277" s="570"/>
      <c r="I4277" s="570"/>
      <c r="J4277" s="570"/>
      <c r="K4277" s="570"/>
    </row>
    <row r="4278" ht="13.75" customHeight="1">
      <c r="A4278" s="833">
        <v>229</v>
      </c>
      <c r="B4278" t="s" s="834">
        <v>2882</v>
      </c>
      <c r="C4278" t="s" s="834">
        <v>1571</v>
      </c>
      <c r="D4278" s="835">
        <v>46047</v>
      </c>
      <c r="E4278" t="s" s="834">
        <v>478</v>
      </c>
      <c r="F4278" t="s" s="834">
        <v>478</v>
      </c>
      <c r="G4278" s="570"/>
      <c r="H4278" s="570"/>
      <c r="I4278" s="570"/>
      <c r="J4278" s="570"/>
      <c r="K4278" s="570"/>
    </row>
    <row r="4279" ht="13.75" customHeight="1">
      <c r="A4279" s="833">
        <v>229</v>
      </c>
      <c r="B4279" t="s" s="834">
        <v>2882</v>
      </c>
      <c r="C4279" t="s" s="834">
        <v>1571</v>
      </c>
      <c r="D4279" s="835">
        <v>46048</v>
      </c>
      <c r="E4279" s="836">
        <v>1.354548611111111</v>
      </c>
      <c r="F4279" s="836">
        <v>1.757013888888889</v>
      </c>
      <c r="G4279" s="570"/>
      <c r="H4279" s="570"/>
      <c r="I4279" s="570"/>
      <c r="J4279" s="570"/>
      <c r="K4279" s="570"/>
    </row>
    <row r="4280" ht="13.75" customHeight="1">
      <c r="A4280" t="s" s="834">
        <v>2918</v>
      </c>
      <c r="B4280" t="s" s="834">
        <v>2919</v>
      </c>
      <c r="C4280" t="s" s="834">
        <v>861</v>
      </c>
      <c r="D4280" s="570"/>
      <c r="E4280" s="570"/>
      <c r="F4280" s="570"/>
      <c r="G4280" s="570"/>
      <c r="H4280" s="570"/>
      <c r="I4280" s="570"/>
      <c r="J4280" s="570"/>
      <c r="K4280" s="570"/>
    </row>
    <row r="4281" ht="13.75" customHeight="1">
      <c r="A4281" s="833">
        <v>229</v>
      </c>
      <c r="B4281" t="s" s="834">
        <v>2882</v>
      </c>
      <c r="C4281" t="s" s="834">
        <v>1571</v>
      </c>
      <c r="D4281" s="835">
        <v>46049</v>
      </c>
      <c r="E4281" s="836">
        <v>1.354236111111111</v>
      </c>
      <c r="F4281" s="836">
        <v>1.75744212962963</v>
      </c>
      <c r="G4281" s="570"/>
      <c r="H4281" s="570"/>
      <c r="I4281" s="570"/>
      <c r="J4281" s="570"/>
      <c r="K4281" s="570"/>
    </row>
    <row r="4282" ht="13.75" customHeight="1">
      <c r="A4282" t="s" s="834">
        <v>2920</v>
      </c>
      <c r="B4282" t="s" s="834">
        <v>2921</v>
      </c>
      <c r="C4282" t="s" s="834">
        <v>590</v>
      </c>
      <c r="D4282" s="570"/>
      <c r="E4282" s="570"/>
      <c r="F4282" s="570"/>
      <c r="G4282" s="570"/>
      <c r="H4282" s="570"/>
      <c r="I4282" s="570"/>
      <c r="J4282" s="570"/>
      <c r="K4282" s="570"/>
    </row>
    <row r="4283" ht="13.75" customHeight="1">
      <c r="A4283" s="833">
        <v>229</v>
      </c>
      <c r="B4283" t="s" s="834">
        <v>2882</v>
      </c>
      <c r="C4283" t="s" s="834">
        <v>1571</v>
      </c>
      <c r="D4283" s="835">
        <v>46050</v>
      </c>
      <c r="E4283" s="836">
        <v>1.351712962962963</v>
      </c>
      <c r="F4283" s="836">
        <v>1.761956018518518</v>
      </c>
      <c r="G4283" s="570"/>
      <c r="H4283" s="570"/>
      <c r="I4283" s="570"/>
      <c r="J4283" s="570"/>
      <c r="K4283" s="570"/>
    </row>
    <row r="4284" ht="13.75" customHeight="1">
      <c r="A4284" t="s" s="834">
        <v>2922</v>
      </c>
      <c r="B4284" t="s" s="834">
        <v>2923</v>
      </c>
      <c r="C4284" t="s" s="834">
        <v>1252</v>
      </c>
      <c r="D4284" s="570"/>
      <c r="E4284" s="570"/>
      <c r="F4284" s="570"/>
      <c r="G4284" s="570"/>
      <c r="H4284" s="570"/>
      <c r="I4284" s="570"/>
      <c r="J4284" s="570"/>
      <c r="K4284" s="570"/>
    </row>
    <row r="4285" ht="13.75" customHeight="1">
      <c r="A4285" s="833">
        <v>229</v>
      </c>
      <c r="B4285" t="s" s="834">
        <v>2882</v>
      </c>
      <c r="C4285" t="s" s="834">
        <v>1571</v>
      </c>
      <c r="D4285" s="835">
        <v>46051</v>
      </c>
      <c r="E4285" s="836">
        <v>1.352615740740741</v>
      </c>
      <c r="F4285" s="836">
        <v>1.755578703703704</v>
      </c>
      <c r="G4285" s="570"/>
      <c r="H4285" s="570"/>
      <c r="I4285" s="570"/>
      <c r="J4285" s="570"/>
      <c r="K4285" s="570"/>
    </row>
    <row r="4286" ht="13.75" customHeight="1">
      <c r="A4286" t="s" s="834">
        <v>2924</v>
      </c>
      <c r="B4286" t="s" s="834">
        <v>2925</v>
      </c>
      <c r="C4286" t="s" s="834">
        <v>861</v>
      </c>
      <c r="D4286" s="570"/>
      <c r="E4286" s="570"/>
      <c r="F4286" s="570"/>
      <c r="G4286" s="570"/>
      <c r="H4286" s="570"/>
      <c r="I4286" s="570"/>
      <c r="J4286" s="570"/>
      <c r="K4286" s="570"/>
    </row>
    <row r="4287" ht="13.75" customHeight="1">
      <c r="A4287" s="833">
        <v>229</v>
      </c>
      <c r="B4287" t="s" s="834">
        <v>2882</v>
      </c>
      <c r="C4287" t="s" s="834">
        <v>1571</v>
      </c>
      <c r="D4287" s="835">
        <v>46052</v>
      </c>
      <c r="E4287" s="836">
        <v>1.352708333333333</v>
      </c>
      <c r="F4287" s="836">
        <v>1.770428240740741</v>
      </c>
      <c r="G4287" s="570"/>
      <c r="H4287" s="570"/>
      <c r="I4287" s="570"/>
      <c r="J4287" s="570"/>
      <c r="K4287" s="570"/>
    </row>
    <row r="4288" ht="13.75" customHeight="1">
      <c r="A4288" t="s" s="834">
        <v>2926</v>
      </c>
      <c r="B4288" t="s" s="834">
        <v>2927</v>
      </c>
      <c r="C4288" t="s" s="834">
        <v>1033</v>
      </c>
      <c r="D4288" s="570"/>
      <c r="E4288" s="570"/>
      <c r="F4288" s="570"/>
      <c r="G4288" s="570"/>
      <c r="H4288" s="570"/>
      <c r="I4288" s="570"/>
      <c r="J4288" s="570"/>
      <c r="K4288" s="570"/>
    </row>
    <row r="4289" ht="13.75" customHeight="1">
      <c r="A4289" s="833">
        <v>229</v>
      </c>
      <c r="B4289" t="s" s="834">
        <v>2882</v>
      </c>
      <c r="C4289" t="s" s="834">
        <v>1571</v>
      </c>
      <c r="D4289" s="835">
        <v>46053</v>
      </c>
      <c r="E4289" t="s" s="834">
        <v>478</v>
      </c>
      <c r="F4289" t="s" s="834">
        <v>478</v>
      </c>
      <c r="G4289" s="570"/>
      <c r="H4289" s="570"/>
      <c r="I4289" s="570"/>
      <c r="J4289" s="570"/>
      <c r="K4289" s="570"/>
    </row>
    <row r="4290" ht="13.75" customHeight="1">
      <c r="A4290" s="833">
        <v>229</v>
      </c>
      <c r="B4290" t="s" s="834">
        <v>2882</v>
      </c>
      <c r="C4290" t="s" s="834">
        <v>1571</v>
      </c>
      <c r="D4290" s="835">
        <v>46054</v>
      </c>
      <c r="E4290" t="s" s="834">
        <v>478</v>
      </c>
      <c r="F4290" t="s" s="834">
        <v>478</v>
      </c>
      <c r="G4290" s="570"/>
      <c r="H4290" s="570"/>
      <c r="I4290" s="570"/>
      <c r="J4290" s="570"/>
      <c r="K4290" s="570"/>
    </row>
    <row r="4291" ht="13.75" customHeight="1">
      <c r="A4291" s="833">
        <v>232</v>
      </c>
      <c r="B4291" t="s" s="834">
        <v>2928</v>
      </c>
      <c r="C4291" t="s" s="834">
        <v>1752</v>
      </c>
      <c r="D4291" s="835">
        <v>46023</v>
      </c>
      <c r="E4291" t="s" s="834">
        <v>478</v>
      </c>
      <c r="F4291" t="s" s="834">
        <v>478</v>
      </c>
      <c r="G4291" s="570"/>
      <c r="H4291" s="570"/>
      <c r="I4291" s="570"/>
      <c r="J4291" s="570"/>
      <c r="K4291" s="570"/>
    </row>
    <row r="4292" ht="13.75" customHeight="1">
      <c r="A4292" s="833">
        <v>232</v>
      </c>
      <c r="B4292" t="s" s="834">
        <v>2928</v>
      </c>
      <c r="C4292" t="s" s="834">
        <v>1752</v>
      </c>
      <c r="D4292" s="835">
        <v>46024</v>
      </c>
      <c r="E4292" t="s" s="834">
        <v>478</v>
      </c>
      <c r="F4292" t="s" s="834">
        <v>478</v>
      </c>
      <c r="G4292" s="570"/>
      <c r="H4292" s="570"/>
      <c r="I4292" s="570"/>
      <c r="J4292" s="570"/>
      <c r="K4292" s="570"/>
    </row>
    <row r="4293" ht="13.75" customHeight="1">
      <c r="A4293" s="833">
        <v>232</v>
      </c>
      <c r="B4293" t="s" s="834">
        <v>2928</v>
      </c>
      <c r="C4293" t="s" s="834">
        <v>1752</v>
      </c>
      <c r="D4293" s="835">
        <v>46025</v>
      </c>
      <c r="E4293" t="s" s="834">
        <v>478</v>
      </c>
      <c r="F4293" t="s" s="834">
        <v>478</v>
      </c>
      <c r="G4293" s="570"/>
      <c r="H4293" s="570"/>
      <c r="I4293" s="570"/>
      <c r="J4293" s="570"/>
      <c r="K4293" s="570"/>
    </row>
    <row r="4294" ht="13.75" customHeight="1">
      <c r="A4294" s="833">
        <v>232</v>
      </c>
      <c r="B4294" t="s" s="834">
        <v>2928</v>
      </c>
      <c r="C4294" t="s" s="834">
        <v>1752</v>
      </c>
      <c r="D4294" s="835">
        <v>46026</v>
      </c>
      <c r="E4294" t="s" s="834">
        <v>478</v>
      </c>
      <c r="F4294" t="s" s="834">
        <v>478</v>
      </c>
      <c r="G4294" s="570"/>
      <c r="H4294" s="570"/>
      <c r="I4294" s="570"/>
      <c r="J4294" s="570"/>
      <c r="K4294" s="570"/>
    </row>
    <row r="4295" ht="13.75" customHeight="1">
      <c r="A4295" s="833">
        <v>232</v>
      </c>
      <c r="B4295" t="s" s="834">
        <v>2928</v>
      </c>
      <c r="C4295" t="s" s="834">
        <v>1752</v>
      </c>
      <c r="D4295" s="835">
        <v>46027</v>
      </c>
      <c r="E4295" s="836">
        <v>1.375231481481481</v>
      </c>
      <c r="F4295" s="836">
        <v>1.764525462962963</v>
      </c>
      <c r="G4295" s="570"/>
      <c r="H4295" s="570"/>
      <c r="I4295" s="570"/>
      <c r="J4295" s="570"/>
      <c r="K4295" s="570"/>
    </row>
    <row r="4296" ht="13.75" customHeight="1">
      <c r="A4296" t="s" s="834">
        <v>2929</v>
      </c>
      <c r="B4296" t="s" s="834">
        <v>2930</v>
      </c>
      <c r="C4296" t="s" s="834">
        <v>979</v>
      </c>
      <c r="D4296" s="570"/>
      <c r="E4296" s="570"/>
      <c r="F4296" s="570"/>
      <c r="G4296" s="570"/>
      <c r="H4296" s="570"/>
      <c r="I4296" s="570"/>
      <c r="J4296" s="570"/>
      <c r="K4296" s="570"/>
    </row>
    <row r="4297" ht="13.75" customHeight="1">
      <c r="A4297" s="833">
        <v>232</v>
      </c>
      <c r="B4297" t="s" s="834">
        <v>2928</v>
      </c>
      <c r="C4297" t="s" s="834">
        <v>1752</v>
      </c>
      <c r="D4297" s="835">
        <v>46028</v>
      </c>
      <c r="E4297" s="836">
        <v>1.376284722222222</v>
      </c>
      <c r="F4297" s="836">
        <v>1.768622685185185</v>
      </c>
      <c r="G4297" s="570"/>
      <c r="H4297" s="570"/>
      <c r="I4297" s="570"/>
      <c r="J4297" s="570"/>
      <c r="K4297" s="570"/>
    </row>
    <row r="4298" ht="13.75" customHeight="1">
      <c r="A4298" t="s" s="834">
        <v>2931</v>
      </c>
      <c r="B4298" t="s" s="834">
        <v>2932</v>
      </c>
      <c r="C4298" t="s" s="834">
        <v>966</v>
      </c>
      <c r="D4298" s="570"/>
      <c r="E4298" s="570"/>
      <c r="F4298" s="570"/>
      <c r="G4298" s="570"/>
      <c r="H4298" s="570"/>
      <c r="I4298" s="570"/>
      <c r="J4298" s="570"/>
      <c r="K4298" s="570"/>
    </row>
    <row r="4299" ht="13.75" customHeight="1">
      <c r="A4299" s="833">
        <v>232</v>
      </c>
      <c r="B4299" t="s" s="834">
        <v>2928</v>
      </c>
      <c r="C4299" t="s" s="834">
        <v>1752</v>
      </c>
      <c r="D4299" s="835">
        <v>46029</v>
      </c>
      <c r="E4299" s="836">
        <v>1.368784722222222</v>
      </c>
      <c r="F4299" s="836">
        <v>1.756006944444445</v>
      </c>
      <c r="G4299" s="570"/>
      <c r="H4299" s="570"/>
      <c r="I4299" s="570"/>
      <c r="J4299" s="570"/>
      <c r="K4299" s="570"/>
    </row>
    <row r="4300" ht="13.75" customHeight="1">
      <c r="A4300" t="s" s="834">
        <v>2933</v>
      </c>
      <c r="B4300" t="s" s="834">
        <v>2934</v>
      </c>
      <c r="C4300" t="s" s="834">
        <v>640</v>
      </c>
      <c r="D4300" s="570"/>
      <c r="E4300" s="570"/>
      <c r="F4300" s="570"/>
      <c r="G4300" s="570"/>
      <c r="H4300" s="570"/>
      <c r="I4300" s="570"/>
      <c r="J4300" s="570"/>
      <c r="K4300" s="570"/>
    </row>
    <row r="4301" ht="13.75" customHeight="1">
      <c r="A4301" s="833">
        <v>232</v>
      </c>
      <c r="B4301" t="s" s="834">
        <v>2928</v>
      </c>
      <c r="C4301" t="s" s="834">
        <v>1752</v>
      </c>
      <c r="D4301" s="835">
        <v>46030</v>
      </c>
      <c r="E4301" s="836">
        <v>1.380717592592593</v>
      </c>
      <c r="F4301" s="836">
        <v>1.762407407407407</v>
      </c>
      <c r="G4301" s="570"/>
      <c r="H4301" s="570"/>
      <c r="I4301" s="570"/>
      <c r="J4301" s="570"/>
      <c r="K4301" s="570"/>
    </row>
    <row r="4302" ht="13.75" customHeight="1">
      <c r="A4302" t="s" s="834">
        <v>2935</v>
      </c>
      <c r="B4302" t="s" s="834">
        <v>2936</v>
      </c>
      <c r="C4302" t="s" s="834">
        <v>816</v>
      </c>
      <c r="D4302" s="570"/>
      <c r="E4302" s="570"/>
      <c r="F4302" s="570"/>
      <c r="G4302" s="570"/>
      <c r="H4302" s="570"/>
      <c r="I4302" s="570"/>
      <c r="J4302" s="570"/>
      <c r="K4302" s="570"/>
    </row>
    <row r="4303" ht="13.75" customHeight="1">
      <c r="A4303" s="833">
        <v>232</v>
      </c>
      <c r="B4303" t="s" s="834">
        <v>2928</v>
      </c>
      <c r="C4303" t="s" s="834">
        <v>1752</v>
      </c>
      <c r="D4303" s="835">
        <v>46031</v>
      </c>
      <c r="E4303" s="836">
        <v>1.349224537037037</v>
      </c>
      <c r="F4303" s="836">
        <v>1.787546296296296</v>
      </c>
      <c r="G4303" s="570"/>
      <c r="H4303" s="570"/>
      <c r="I4303" s="570"/>
      <c r="J4303" s="570"/>
      <c r="K4303" s="570"/>
    </row>
    <row r="4304" ht="13.75" customHeight="1">
      <c r="A4304" t="s" s="834">
        <v>2937</v>
      </c>
      <c r="B4304" t="s" s="834">
        <v>2938</v>
      </c>
      <c r="C4304" t="s" s="834">
        <v>1030</v>
      </c>
      <c r="D4304" s="570"/>
      <c r="E4304" s="570"/>
      <c r="F4304" s="570"/>
      <c r="G4304" s="570"/>
      <c r="H4304" s="570"/>
      <c r="I4304" s="570"/>
      <c r="J4304" s="570"/>
      <c r="K4304" s="570"/>
    </row>
    <row r="4305" ht="13.75" customHeight="1">
      <c r="A4305" s="833">
        <v>232</v>
      </c>
      <c r="B4305" t="s" s="834">
        <v>2928</v>
      </c>
      <c r="C4305" t="s" s="834">
        <v>1752</v>
      </c>
      <c r="D4305" s="835">
        <v>46032</v>
      </c>
      <c r="E4305" s="836">
        <v>1.606168981481481</v>
      </c>
      <c r="F4305" s="836">
        <v>1.789548611111111</v>
      </c>
      <c r="G4305" s="570"/>
      <c r="H4305" s="570"/>
      <c r="I4305" s="570"/>
      <c r="J4305" s="570"/>
      <c r="K4305" s="570"/>
    </row>
    <row r="4306" ht="13.75" customHeight="1">
      <c r="A4306" t="s" s="834">
        <v>2939</v>
      </c>
      <c r="B4306" t="s" s="834">
        <v>2940</v>
      </c>
      <c r="C4306" t="s" s="834">
        <v>2941</v>
      </c>
      <c r="D4306" s="570"/>
      <c r="E4306" s="570"/>
      <c r="F4306" s="570"/>
      <c r="G4306" s="570"/>
      <c r="H4306" s="570"/>
      <c r="I4306" s="570"/>
      <c r="J4306" s="570"/>
      <c r="K4306" s="570"/>
    </row>
    <row r="4307" ht="13.75" customHeight="1">
      <c r="A4307" s="833">
        <v>232</v>
      </c>
      <c r="B4307" t="s" s="834">
        <v>2928</v>
      </c>
      <c r="C4307" t="s" s="834">
        <v>1752</v>
      </c>
      <c r="D4307" s="835">
        <v>46033</v>
      </c>
      <c r="E4307" t="s" s="834">
        <v>478</v>
      </c>
      <c r="F4307" t="s" s="834">
        <v>478</v>
      </c>
      <c r="G4307" s="570"/>
      <c r="H4307" s="570"/>
      <c r="I4307" s="570"/>
      <c r="J4307" s="570"/>
      <c r="K4307" s="570"/>
    </row>
    <row r="4308" ht="13.75" customHeight="1">
      <c r="A4308" s="833">
        <v>232</v>
      </c>
      <c r="B4308" t="s" s="834">
        <v>2928</v>
      </c>
      <c r="C4308" t="s" s="834">
        <v>1752</v>
      </c>
      <c r="D4308" s="835">
        <v>46034</v>
      </c>
      <c r="E4308" s="836">
        <v>1.368819444444444</v>
      </c>
      <c r="F4308" s="836">
        <v>1.769710648148148</v>
      </c>
      <c r="G4308" s="570"/>
      <c r="H4308" s="570"/>
      <c r="I4308" s="570"/>
      <c r="J4308" s="570"/>
      <c r="K4308" s="570"/>
    </row>
    <row r="4309" ht="13.75" customHeight="1">
      <c r="A4309" t="s" s="834">
        <v>2942</v>
      </c>
      <c r="B4309" t="s" s="834">
        <v>2943</v>
      </c>
      <c r="C4309" t="s" s="834">
        <v>606</v>
      </c>
      <c r="D4309" s="570"/>
      <c r="E4309" s="570"/>
      <c r="F4309" s="570"/>
      <c r="G4309" s="570"/>
      <c r="H4309" s="570"/>
      <c r="I4309" s="570"/>
      <c r="J4309" s="570"/>
      <c r="K4309" s="570"/>
    </row>
    <row r="4310" ht="13.75" customHeight="1">
      <c r="A4310" s="833">
        <v>232</v>
      </c>
      <c r="B4310" t="s" s="834">
        <v>2928</v>
      </c>
      <c r="C4310" t="s" s="834">
        <v>1752</v>
      </c>
      <c r="D4310" s="835">
        <v>46035</v>
      </c>
      <c r="E4310" s="836">
        <v>1.75681712962963</v>
      </c>
      <c r="F4310" t="s" s="834">
        <v>478</v>
      </c>
      <c r="G4310" s="570"/>
      <c r="H4310" s="570"/>
      <c r="I4310" s="570"/>
      <c r="J4310" s="570"/>
      <c r="K4310" s="570"/>
    </row>
    <row r="4311" ht="13.75" customHeight="1">
      <c r="A4311" t="s" s="834">
        <v>2944</v>
      </c>
      <c r="B4311" t="s" s="834">
        <v>485</v>
      </c>
      <c r="C4311" t="s" s="834">
        <v>486</v>
      </c>
      <c r="D4311" s="570"/>
      <c r="E4311" s="570"/>
      <c r="F4311" s="570"/>
      <c r="G4311" s="570"/>
      <c r="H4311" s="570"/>
      <c r="I4311" s="570"/>
      <c r="J4311" s="570"/>
      <c r="K4311" s="570"/>
    </row>
    <row r="4312" ht="13.75" customHeight="1">
      <c r="A4312" s="833">
        <v>232</v>
      </c>
      <c r="B4312" t="s" s="834">
        <v>2928</v>
      </c>
      <c r="C4312" t="s" s="834">
        <v>1752</v>
      </c>
      <c r="D4312" s="835">
        <v>46036</v>
      </c>
      <c r="E4312" s="836">
        <v>1.369155092592593</v>
      </c>
      <c r="F4312" s="836">
        <v>1.757025462962963</v>
      </c>
      <c r="G4312" s="570"/>
      <c r="H4312" s="570"/>
      <c r="I4312" s="570"/>
      <c r="J4312" s="570"/>
      <c r="K4312" s="570"/>
    </row>
    <row r="4313" ht="13.75" customHeight="1">
      <c r="A4313" t="s" s="834">
        <v>2945</v>
      </c>
      <c r="B4313" t="s" s="834">
        <v>2946</v>
      </c>
      <c r="C4313" t="s" s="834">
        <v>716</v>
      </c>
      <c r="D4313" s="570"/>
      <c r="E4313" s="570"/>
      <c r="F4313" s="570"/>
      <c r="G4313" s="570"/>
      <c r="H4313" s="570"/>
      <c r="I4313" s="570"/>
      <c r="J4313" s="570"/>
      <c r="K4313" s="570"/>
    </row>
    <row r="4314" ht="13.75" customHeight="1">
      <c r="A4314" s="833">
        <v>232</v>
      </c>
      <c r="B4314" t="s" s="834">
        <v>2928</v>
      </c>
      <c r="C4314" t="s" s="834">
        <v>1752</v>
      </c>
      <c r="D4314" s="835">
        <v>46037</v>
      </c>
      <c r="E4314" s="836">
        <v>1.363009259259259</v>
      </c>
      <c r="F4314" s="836">
        <v>1.754143518518518</v>
      </c>
      <c r="G4314" s="570"/>
      <c r="H4314" s="570"/>
      <c r="I4314" s="570"/>
      <c r="J4314" s="570"/>
      <c r="K4314" s="570"/>
    </row>
    <row r="4315" ht="13.75" customHeight="1">
      <c r="A4315" t="s" s="834">
        <v>2947</v>
      </c>
      <c r="B4315" t="s" s="834">
        <v>2948</v>
      </c>
      <c r="C4315" t="s" s="834">
        <v>668</v>
      </c>
      <c r="D4315" s="570"/>
      <c r="E4315" s="570"/>
      <c r="F4315" s="570"/>
      <c r="G4315" s="570"/>
      <c r="H4315" s="570"/>
      <c r="I4315" s="570"/>
      <c r="J4315" s="570"/>
      <c r="K4315" s="570"/>
    </row>
    <row r="4316" ht="13.75" customHeight="1">
      <c r="A4316" s="833">
        <v>232</v>
      </c>
      <c r="B4316" t="s" s="834">
        <v>2928</v>
      </c>
      <c r="C4316" t="s" s="834">
        <v>1752</v>
      </c>
      <c r="D4316" s="835">
        <v>46038</v>
      </c>
      <c r="E4316" s="836">
        <v>1.371759259259259</v>
      </c>
      <c r="F4316" s="836">
        <v>1.766701388888889</v>
      </c>
      <c r="G4316" s="570"/>
      <c r="H4316" s="570"/>
      <c r="I4316" s="570"/>
      <c r="J4316" s="570"/>
      <c r="K4316" s="570"/>
    </row>
    <row r="4317" ht="13.75" customHeight="1">
      <c r="A4317" t="s" s="834">
        <v>2949</v>
      </c>
      <c r="B4317" t="s" s="834">
        <v>2950</v>
      </c>
      <c r="C4317" t="s" s="834">
        <v>643</v>
      </c>
      <c r="D4317" s="570"/>
      <c r="E4317" s="570"/>
      <c r="F4317" s="570"/>
      <c r="G4317" s="570"/>
      <c r="H4317" s="570"/>
      <c r="I4317" s="570"/>
      <c r="J4317" s="570"/>
      <c r="K4317" s="570"/>
    </row>
    <row r="4318" ht="13.75" customHeight="1">
      <c r="A4318" s="833">
        <v>232</v>
      </c>
      <c r="B4318" t="s" s="834">
        <v>2928</v>
      </c>
      <c r="C4318" t="s" s="834">
        <v>1752</v>
      </c>
      <c r="D4318" s="835">
        <v>46039</v>
      </c>
      <c r="E4318" t="s" s="834">
        <v>478</v>
      </c>
      <c r="F4318" t="s" s="834">
        <v>478</v>
      </c>
      <c r="G4318" s="570"/>
      <c r="H4318" s="570"/>
      <c r="I4318" s="570"/>
      <c r="J4318" s="570"/>
      <c r="K4318" s="570"/>
    </row>
    <row r="4319" ht="13.75" customHeight="1">
      <c r="A4319" s="833">
        <v>232</v>
      </c>
      <c r="B4319" t="s" s="834">
        <v>2928</v>
      </c>
      <c r="C4319" t="s" s="834">
        <v>1752</v>
      </c>
      <c r="D4319" s="835">
        <v>46040</v>
      </c>
      <c r="E4319" t="s" s="834">
        <v>478</v>
      </c>
      <c r="F4319" t="s" s="834">
        <v>478</v>
      </c>
      <c r="G4319" s="570"/>
      <c r="H4319" s="570"/>
      <c r="I4319" s="570"/>
      <c r="J4319" s="570"/>
      <c r="K4319" s="570"/>
    </row>
    <row r="4320" ht="13.75" customHeight="1">
      <c r="A4320" s="833">
        <v>232</v>
      </c>
      <c r="B4320" t="s" s="834">
        <v>2928</v>
      </c>
      <c r="C4320" t="s" s="834">
        <v>1752</v>
      </c>
      <c r="D4320" s="835">
        <v>46041</v>
      </c>
      <c r="E4320" s="836">
        <v>1.370011574074074</v>
      </c>
      <c r="F4320" s="836">
        <v>1.760127314814815</v>
      </c>
      <c r="G4320" s="570"/>
      <c r="H4320" s="570"/>
      <c r="I4320" s="570"/>
      <c r="J4320" s="570"/>
      <c r="K4320" s="570"/>
    </row>
    <row r="4321" ht="13.75" customHeight="1">
      <c r="A4321" t="s" s="834">
        <v>2951</v>
      </c>
      <c r="B4321" t="s" s="834">
        <v>2952</v>
      </c>
      <c r="C4321" t="s" s="834">
        <v>901</v>
      </c>
      <c r="D4321" s="570"/>
      <c r="E4321" s="570"/>
      <c r="F4321" s="570"/>
      <c r="G4321" s="570"/>
      <c r="H4321" s="570"/>
      <c r="I4321" s="570"/>
      <c r="J4321" s="570"/>
      <c r="K4321" s="570"/>
    </row>
    <row r="4322" ht="13.75" customHeight="1">
      <c r="A4322" s="833">
        <v>232</v>
      </c>
      <c r="B4322" t="s" s="834">
        <v>2928</v>
      </c>
      <c r="C4322" t="s" s="834">
        <v>1752</v>
      </c>
      <c r="D4322" s="835">
        <v>46042</v>
      </c>
      <c r="E4322" s="836">
        <v>1.369155092592593</v>
      </c>
      <c r="F4322" s="836">
        <v>1.753414351851852</v>
      </c>
      <c r="G4322" s="570"/>
      <c r="H4322" s="570"/>
      <c r="I4322" s="570"/>
      <c r="J4322" s="570"/>
      <c r="K4322" s="570"/>
    </row>
    <row r="4323" ht="13.75" customHeight="1">
      <c r="A4323" t="s" s="834">
        <v>2953</v>
      </c>
      <c r="B4323" t="s" s="834">
        <v>2954</v>
      </c>
      <c r="C4323" t="s" s="834">
        <v>984</v>
      </c>
      <c r="D4323" s="570"/>
      <c r="E4323" s="570"/>
      <c r="F4323" s="570"/>
      <c r="G4323" s="570"/>
      <c r="H4323" s="570"/>
      <c r="I4323" s="570"/>
      <c r="J4323" s="570"/>
      <c r="K4323" s="570"/>
    </row>
    <row r="4324" ht="13.75" customHeight="1">
      <c r="A4324" s="833">
        <v>232</v>
      </c>
      <c r="B4324" t="s" s="834">
        <v>2928</v>
      </c>
      <c r="C4324" t="s" s="834">
        <v>1752</v>
      </c>
      <c r="D4324" s="835">
        <v>46043</v>
      </c>
      <c r="E4324" s="836">
        <v>1.368206018518519</v>
      </c>
      <c r="F4324" s="836">
        <v>1.766724537037037</v>
      </c>
      <c r="G4324" s="570"/>
      <c r="H4324" s="570"/>
      <c r="I4324" s="570"/>
      <c r="J4324" s="570"/>
      <c r="K4324" s="570"/>
    </row>
    <row r="4325" ht="13.75" customHeight="1">
      <c r="A4325" t="s" s="834">
        <v>2955</v>
      </c>
      <c r="B4325" t="s" s="834">
        <v>2956</v>
      </c>
      <c r="C4325" t="s" s="834">
        <v>611</v>
      </c>
      <c r="D4325" s="570"/>
      <c r="E4325" s="570"/>
      <c r="F4325" s="570"/>
      <c r="G4325" s="570"/>
      <c r="H4325" s="570"/>
      <c r="I4325" s="570"/>
      <c r="J4325" s="570"/>
      <c r="K4325" s="570"/>
    </row>
    <row r="4326" ht="13.75" customHeight="1">
      <c r="A4326" s="833">
        <v>232</v>
      </c>
      <c r="B4326" t="s" s="834">
        <v>2928</v>
      </c>
      <c r="C4326" t="s" s="834">
        <v>1752</v>
      </c>
      <c r="D4326" s="835">
        <v>46044</v>
      </c>
      <c r="E4326" s="836">
        <v>1.37287037037037</v>
      </c>
      <c r="F4326" s="836">
        <v>1.757581018518519</v>
      </c>
      <c r="G4326" s="570"/>
      <c r="H4326" s="570"/>
      <c r="I4326" s="570"/>
      <c r="J4326" s="570"/>
      <c r="K4326" s="570"/>
    </row>
    <row r="4327" ht="13.75" customHeight="1">
      <c r="A4327" t="s" s="834">
        <v>2957</v>
      </c>
      <c r="B4327" t="s" s="834">
        <v>2958</v>
      </c>
      <c r="C4327" t="s" s="834">
        <v>2452</v>
      </c>
      <c r="D4327" s="570"/>
      <c r="E4327" s="570"/>
      <c r="F4327" s="570"/>
      <c r="G4327" s="570"/>
      <c r="H4327" s="570"/>
      <c r="I4327" s="570"/>
      <c r="J4327" s="570"/>
      <c r="K4327" s="570"/>
    </row>
    <row r="4328" ht="13.75" customHeight="1">
      <c r="A4328" s="833">
        <v>232</v>
      </c>
      <c r="B4328" t="s" s="834">
        <v>2928</v>
      </c>
      <c r="C4328" t="s" s="834">
        <v>1752</v>
      </c>
      <c r="D4328" s="835">
        <v>46045</v>
      </c>
      <c r="E4328" s="836">
        <v>1.363009259259259</v>
      </c>
      <c r="F4328" s="836">
        <v>1.759513888888889</v>
      </c>
      <c r="G4328" s="570"/>
      <c r="H4328" s="570"/>
      <c r="I4328" s="570"/>
      <c r="J4328" s="570"/>
      <c r="K4328" s="570"/>
    </row>
    <row r="4329" ht="13.75" customHeight="1">
      <c r="A4329" t="s" s="834">
        <v>2959</v>
      </c>
      <c r="B4329" t="s" s="834">
        <v>2960</v>
      </c>
      <c r="C4329" t="s" s="834">
        <v>683</v>
      </c>
      <c r="D4329" s="570"/>
      <c r="E4329" s="570"/>
      <c r="F4329" s="570"/>
      <c r="G4329" s="570"/>
      <c r="H4329" s="570"/>
      <c r="I4329" s="570"/>
      <c r="J4329" s="570"/>
      <c r="K4329" s="570"/>
    </row>
    <row r="4330" ht="13.75" customHeight="1">
      <c r="A4330" s="833">
        <v>232</v>
      </c>
      <c r="B4330" t="s" s="834">
        <v>2928</v>
      </c>
      <c r="C4330" t="s" s="834">
        <v>1752</v>
      </c>
      <c r="D4330" s="835">
        <v>46046</v>
      </c>
      <c r="E4330" t="s" s="834">
        <v>478</v>
      </c>
      <c r="F4330" t="s" s="834">
        <v>478</v>
      </c>
      <c r="G4330" s="570"/>
      <c r="H4330" s="570"/>
      <c r="I4330" s="570"/>
      <c r="J4330" s="570"/>
      <c r="K4330" s="570"/>
    </row>
    <row r="4331" ht="13.75" customHeight="1">
      <c r="A4331" s="833">
        <v>232</v>
      </c>
      <c r="B4331" t="s" s="834">
        <v>2928</v>
      </c>
      <c r="C4331" t="s" s="834">
        <v>1752</v>
      </c>
      <c r="D4331" s="835">
        <v>46047</v>
      </c>
      <c r="E4331" t="s" s="834">
        <v>478</v>
      </c>
      <c r="F4331" t="s" s="834">
        <v>478</v>
      </c>
      <c r="G4331" s="570"/>
      <c r="H4331" s="570"/>
      <c r="I4331" s="570"/>
      <c r="J4331" s="570"/>
      <c r="K4331" s="570"/>
    </row>
    <row r="4332" ht="13.75" customHeight="1">
      <c r="A4332" s="833">
        <v>232</v>
      </c>
      <c r="B4332" t="s" s="834">
        <v>2928</v>
      </c>
      <c r="C4332" t="s" s="834">
        <v>1752</v>
      </c>
      <c r="D4332" s="835">
        <v>46048</v>
      </c>
      <c r="E4332" s="836">
        <v>1.3790625</v>
      </c>
      <c r="F4332" s="836">
        <v>1.756493055555556</v>
      </c>
      <c r="G4332" s="570"/>
      <c r="H4332" s="570"/>
      <c r="I4332" s="570"/>
      <c r="J4332" s="570"/>
      <c r="K4332" s="570"/>
    </row>
    <row r="4333" ht="13.75" customHeight="1">
      <c r="A4333" t="s" s="834">
        <v>2961</v>
      </c>
      <c r="B4333" t="s" s="834">
        <v>2962</v>
      </c>
      <c r="C4333" t="s" s="834">
        <v>543</v>
      </c>
      <c r="D4333" s="570"/>
      <c r="E4333" s="570"/>
      <c r="F4333" s="570"/>
      <c r="G4333" s="570"/>
      <c r="H4333" s="570"/>
      <c r="I4333" s="570"/>
      <c r="J4333" s="570"/>
      <c r="K4333" s="570"/>
    </row>
    <row r="4334" ht="13.75" customHeight="1">
      <c r="A4334" s="833">
        <v>232</v>
      </c>
      <c r="B4334" t="s" s="834">
        <v>2928</v>
      </c>
      <c r="C4334" t="s" s="834">
        <v>1752</v>
      </c>
      <c r="D4334" s="835">
        <v>46049</v>
      </c>
      <c r="E4334" s="836">
        <v>1.369155092592593</v>
      </c>
      <c r="F4334" s="836">
        <v>1.75775462962963</v>
      </c>
      <c r="G4334" s="570"/>
      <c r="H4334" s="570"/>
      <c r="I4334" s="570"/>
      <c r="J4334" s="570"/>
      <c r="K4334" s="570"/>
    </row>
    <row r="4335" ht="13.75" customHeight="1">
      <c r="A4335" t="s" s="834">
        <v>2963</v>
      </c>
      <c r="B4335" t="s" s="834">
        <v>2964</v>
      </c>
      <c r="C4335" t="s" s="834">
        <v>1490</v>
      </c>
      <c r="D4335" s="570"/>
      <c r="E4335" s="570"/>
      <c r="F4335" s="570"/>
      <c r="G4335" s="570"/>
      <c r="H4335" s="570"/>
      <c r="I4335" s="570"/>
      <c r="J4335" s="570"/>
      <c r="K4335" s="570"/>
    </row>
    <row r="4336" ht="13.75" customHeight="1">
      <c r="A4336" s="833">
        <v>232</v>
      </c>
      <c r="B4336" t="s" s="834">
        <v>2928</v>
      </c>
      <c r="C4336" t="s" s="834">
        <v>1752</v>
      </c>
      <c r="D4336" s="835">
        <v>46050</v>
      </c>
      <c r="E4336" s="836">
        <v>1.361516203703704</v>
      </c>
      <c r="F4336" s="836">
        <v>1.762152777777778</v>
      </c>
      <c r="G4336" s="570"/>
      <c r="H4336" s="570"/>
      <c r="I4336" s="570"/>
      <c r="J4336" s="570"/>
      <c r="K4336" s="570"/>
    </row>
    <row r="4337" ht="13.75" customHeight="1">
      <c r="A4337" t="s" s="834">
        <v>2965</v>
      </c>
      <c r="B4337" t="s" s="834">
        <v>2966</v>
      </c>
      <c r="C4337" t="s" s="834">
        <v>606</v>
      </c>
      <c r="D4337" s="570"/>
      <c r="E4337" s="570"/>
      <c r="F4337" s="570"/>
      <c r="G4337" s="570"/>
      <c r="H4337" s="570"/>
      <c r="I4337" s="570"/>
      <c r="J4337" s="570"/>
      <c r="K4337" s="570"/>
    </row>
    <row r="4338" ht="13.75" customHeight="1">
      <c r="A4338" s="833">
        <v>232</v>
      </c>
      <c r="B4338" t="s" s="834">
        <v>2928</v>
      </c>
      <c r="C4338" t="s" s="834">
        <v>1752</v>
      </c>
      <c r="D4338" s="835">
        <v>46051</v>
      </c>
      <c r="E4338" s="836">
        <v>1.373078703703704</v>
      </c>
      <c r="F4338" s="836">
        <v>1.764166666666667</v>
      </c>
      <c r="G4338" s="570"/>
      <c r="H4338" s="570"/>
      <c r="I4338" s="570"/>
      <c r="J4338" s="570"/>
      <c r="K4338" s="570"/>
    </row>
    <row r="4339" ht="13.75" customHeight="1">
      <c r="A4339" t="s" s="834">
        <v>2967</v>
      </c>
      <c r="B4339" t="s" s="834">
        <v>2968</v>
      </c>
      <c r="C4339" t="s" s="834">
        <v>668</v>
      </c>
      <c r="D4339" s="570"/>
      <c r="E4339" s="570"/>
      <c r="F4339" s="570"/>
      <c r="G4339" s="570"/>
      <c r="H4339" s="570"/>
      <c r="I4339" s="570"/>
      <c r="J4339" s="570"/>
      <c r="K4339" s="570"/>
    </row>
    <row r="4340" ht="13.75" customHeight="1">
      <c r="A4340" s="833">
        <v>232</v>
      </c>
      <c r="B4340" t="s" s="834">
        <v>2928</v>
      </c>
      <c r="C4340" t="s" s="834">
        <v>1752</v>
      </c>
      <c r="D4340" s="835">
        <v>46052</v>
      </c>
      <c r="E4340" s="836">
        <v>1.360555555555556</v>
      </c>
      <c r="F4340" s="836">
        <v>1.809375</v>
      </c>
      <c r="G4340" s="570"/>
      <c r="H4340" s="570"/>
      <c r="I4340" s="570"/>
      <c r="J4340" s="570"/>
      <c r="K4340" s="570"/>
    </row>
    <row r="4341" ht="13.75" customHeight="1">
      <c r="A4341" t="s" s="834">
        <v>2969</v>
      </c>
      <c r="B4341" t="s" s="834">
        <v>2970</v>
      </c>
      <c r="C4341" t="s" s="834">
        <v>483</v>
      </c>
      <c r="D4341" s="570"/>
      <c r="E4341" s="570"/>
      <c r="F4341" s="570"/>
      <c r="G4341" s="570"/>
      <c r="H4341" s="570"/>
      <c r="I4341" s="570"/>
      <c r="J4341" s="570"/>
      <c r="K4341" s="570"/>
    </row>
    <row r="4342" ht="13.75" customHeight="1">
      <c r="A4342" s="833">
        <v>232</v>
      </c>
      <c r="B4342" t="s" s="834">
        <v>2928</v>
      </c>
      <c r="C4342" t="s" s="834">
        <v>1752</v>
      </c>
      <c r="D4342" s="835">
        <v>46053</v>
      </c>
      <c r="E4342" t="s" s="834">
        <v>478</v>
      </c>
      <c r="F4342" t="s" s="834">
        <v>478</v>
      </c>
      <c r="G4342" s="570"/>
      <c r="H4342" s="570"/>
      <c r="I4342" s="570"/>
      <c r="J4342" s="570"/>
      <c r="K4342" s="570"/>
    </row>
    <row r="4343" ht="13.75" customHeight="1">
      <c r="A4343" s="833">
        <v>232</v>
      </c>
      <c r="B4343" t="s" s="834">
        <v>2928</v>
      </c>
      <c r="C4343" t="s" s="834">
        <v>1752</v>
      </c>
      <c r="D4343" s="835">
        <v>46054</v>
      </c>
      <c r="E4343" t="s" s="834">
        <v>478</v>
      </c>
      <c r="F4343" t="s" s="834">
        <v>478</v>
      </c>
      <c r="G4343" s="570"/>
      <c r="H4343" s="570"/>
      <c r="I4343" s="570"/>
      <c r="J4343" s="570"/>
      <c r="K4343" s="570"/>
    </row>
    <row r="4344" ht="13.75" customHeight="1">
      <c r="A4344" s="833">
        <v>233</v>
      </c>
      <c r="B4344" t="s" s="834">
        <v>2971</v>
      </c>
      <c r="C4344" t="s" s="834">
        <v>147</v>
      </c>
      <c r="D4344" s="835">
        <v>46023</v>
      </c>
      <c r="E4344" t="s" s="834">
        <v>478</v>
      </c>
      <c r="F4344" t="s" s="834">
        <v>478</v>
      </c>
      <c r="G4344" s="570"/>
      <c r="H4344" s="570"/>
      <c r="I4344" s="570"/>
      <c r="J4344" s="570"/>
      <c r="K4344" s="570"/>
    </row>
    <row r="4345" ht="13.75" customHeight="1">
      <c r="A4345" s="833">
        <v>233</v>
      </c>
      <c r="B4345" t="s" s="834">
        <v>2971</v>
      </c>
      <c r="C4345" t="s" s="834">
        <v>147</v>
      </c>
      <c r="D4345" s="835">
        <v>46024</v>
      </c>
      <c r="E4345" t="s" s="834">
        <v>478</v>
      </c>
      <c r="F4345" t="s" s="834">
        <v>478</v>
      </c>
      <c r="G4345" s="570"/>
      <c r="H4345" s="570"/>
      <c r="I4345" s="570"/>
      <c r="J4345" s="570"/>
      <c r="K4345" s="570"/>
    </row>
    <row r="4346" ht="13.75" customHeight="1">
      <c r="A4346" s="833">
        <v>233</v>
      </c>
      <c r="B4346" t="s" s="834">
        <v>2971</v>
      </c>
      <c r="C4346" t="s" s="834">
        <v>147</v>
      </c>
      <c r="D4346" s="835">
        <v>46025</v>
      </c>
      <c r="E4346" t="s" s="834">
        <v>478</v>
      </c>
      <c r="F4346" t="s" s="834">
        <v>478</v>
      </c>
      <c r="G4346" s="570"/>
      <c r="H4346" s="570"/>
      <c r="I4346" s="570"/>
      <c r="J4346" s="570"/>
      <c r="K4346" s="570"/>
    </row>
    <row r="4347" ht="13.75" customHeight="1">
      <c r="A4347" s="833">
        <v>233</v>
      </c>
      <c r="B4347" t="s" s="834">
        <v>2971</v>
      </c>
      <c r="C4347" t="s" s="834">
        <v>147</v>
      </c>
      <c r="D4347" s="835">
        <v>46026</v>
      </c>
      <c r="E4347" t="s" s="834">
        <v>478</v>
      </c>
      <c r="F4347" t="s" s="834">
        <v>478</v>
      </c>
      <c r="G4347" s="570"/>
      <c r="H4347" s="570"/>
      <c r="I4347" s="570"/>
      <c r="J4347" s="570"/>
      <c r="K4347" s="570"/>
    </row>
    <row r="4348" ht="13.75" customHeight="1">
      <c r="A4348" s="833">
        <v>233</v>
      </c>
      <c r="B4348" t="s" s="834">
        <v>2971</v>
      </c>
      <c r="C4348" t="s" s="834">
        <v>147</v>
      </c>
      <c r="D4348" s="835">
        <v>46027</v>
      </c>
      <c r="E4348" s="836">
        <v>1.470462962962963</v>
      </c>
      <c r="F4348" s="836">
        <v>1.76318287037037</v>
      </c>
      <c r="G4348" s="570"/>
      <c r="H4348" s="570"/>
      <c r="I4348" s="570"/>
      <c r="J4348" s="570"/>
      <c r="K4348" s="570"/>
    </row>
    <row r="4349" ht="13.75" customHeight="1">
      <c r="A4349" t="s" s="834">
        <v>2972</v>
      </c>
      <c r="B4349" t="s" s="834">
        <v>2973</v>
      </c>
      <c r="C4349" t="s" s="834">
        <v>2163</v>
      </c>
      <c r="D4349" s="570"/>
      <c r="E4349" s="570"/>
      <c r="F4349" s="570"/>
      <c r="G4349" s="570"/>
      <c r="H4349" s="570"/>
      <c r="I4349" s="570"/>
      <c r="J4349" s="570"/>
      <c r="K4349" s="570"/>
    </row>
    <row r="4350" ht="13.75" customHeight="1">
      <c r="A4350" s="833">
        <v>233</v>
      </c>
      <c r="B4350" t="s" s="834">
        <v>2971</v>
      </c>
      <c r="C4350" t="s" s="834">
        <v>147</v>
      </c>
      <c r="D4350" s="835">
        <v>46028</v>
      </c>
      <c r="E4350" s="836">
        <v>1.503958333333333</v>
      </c>
      <c r="F4350" s="836">
        <v>1.755486111111111</v>
      </c>
      <c r="G4350" s="570"/>
      <c r="H4350" s="570"/>
      <c r="I4350" s="570"/>
      <c r="J4350" s="570"/>
      <c r="K4350" s="570"/>
    </row>
    <row r="4351" ht="13.75" customHeight="1">
      <c r="A4351" t="s" s="834">
        <v>2974</v>
      </c>
      <c r="B4351" t="s" s="834">
        <v>2975</v>
      </c>
      <c r="C4351" t="s" s="834">
        <v>2976</v>
      </c>
      <c r="D4351" s="570"/>
      <c r="E4351" s="570"/>
      <c r="F4351" s="570"/>
      <c r="G4351" s="570"/>
      <c r="H4351" s="570"/>
      <c r="I4351" s="570"/>
      <c r="J4351" s="570"/>
      <c r="K4351" s="570"/>
    </row>
    <row r="4352" ht="13.75" customHeight="1">
      <c r="A4352" s="833">
        <v>233</v>
      </c>
      <c r="B4352" t="s" s="834">
        <v>2971</v>
      </c>
      <c r="C4352" t="s" s="834">
        <v>147</v>
      </c>
      <c r="D4352" s="835">
        <v>46029</v>
      </c>
      <c r="E4352" s="836">
        <v>1.801319444444444</v>
      </c>
      <c r="F4352" t="s" s="834">
        <v>478</v>
      </c>
      <c r="G4352" s="570"/>
      <c r="H4352" s="570"/>
      <c r="I4352" s="570"/>
      <c r="J4352" s="570"/>
      <c r="K4352" s="570"/>
    </row>
    <row r="4353" ht="13.75" customHeight="1">
      <c r="A4353" t="s" s="834">
        <v>2977</v>
      </c>
      <c r="B4353" t="s" s="834">
        <v>485</v>
      </c>
      <c r="C4353" t="s" s="834">
        <v>486</v>
      </c>
      <c r="D4353" s="570"/>
      <c r="E4353" s="570"/>
      <c r="F4353" s="570"/>
      <c r="G4353" s="570"/>
      <c r="H4353" s="570"/>
      <c r="I4353" s="570"/>
      <c r="J4353" s="570"/>
      <c r="K4353" s="570"/>
    </row>
    <row r="4354" ht="13.75" customHeight="1">
      <c r="A4354" s="833">
        <v>233</v>
      </c>
      <c r="B4354" t="s" s="834">
        <v>2971</v>
      </c>
      <c r="C4354" t="s" s="834">
        <v>147</v>
      </c>
      <c r="D4354" s="835">
        <v>46030</v>
      </c>
      <c r="E4354" t="s" s="834">
        <v>478</v>
      </c>
      <c r="F4354" t="s" s="834">
        <v>478</v>
      </c>
      <c r="G4354" s="570"/>
      <c r="H4354" s="570"/>
      <c r="I4354" s="570"/>
      <c r="J4354" s="570"/>
      <c r="K4354" s="570"/>
    </row>
    <row r="4355" ht="13.75" customHeight="1">
      <c r="A4355" s="833">
        <v>233</v>
      </c>
      <c r="B4355" t="s" s="834">
        <v>2971</v>
      </c>
      <c r="C4355" t="s" s="834">
        <v>147</v>
      </c>
      <c r="D4355" s="835">
        <v>46031</v>
      </c>
      <c r="E4355" s="836">
        <v>1.759699074074074</v>
      </c>
      <c r="F4355" t="s" s="834">
        <v>478</v>
      </c>
      <c r="G4355" s="570"/>
      <c r="H4355" s="570"/>
      <c r="I4355" s="570"/>
      <c r="J4355" s="570"/>
      <c r="K4355" s="570"/>
    </row>
    <row r="4356" ht="13.75" customHeight="1">
      <c r="A4356" t="s" s="834">
        <v>2978</v>
      </c>
      <c r="B4356" t="s" s="834">
        <v>485</v>
      </c>
      <c r="C4356" t="s" s="834">
        <v>486</v>
      </c>
      <c r="D4356" s="570"/>
      <c r="E4356" s="570"/>
      <c r="F4356" s="570"/>
      <c r="G4356" s="570"/>
      <c r="H4356" s="570"/>
      <c r="I4356" s="570"/>
      <c r="J4356" s="570"/>
      <c r="K4356" s="570"/>
    </row>
    <row r="4357" ht="13.75" customHeight="1">
      <c r="A4357" s="833">
        <v>233</v>
      </c>
      <c r="B4357" t="s" s="834">
        <v>2971</v>
      </c>
      <c r="C4357" t="s" s="834">
        <v>147</v>
      </c>
      <c r="D4357" s="835">
        <v>46032</v>
      </c>
      <c r="E4357" t="s" s="834">
        <v>478</v>
      </c>
      <c r="F4357" t="s" s="834">
        <v>478</v>
      </c>
      <c r="G4357" s="570"/>
      <c r="H4357" s="570"/>
      <c r="I4357" s="570"/>
      <c r="J4357" s="570"/>
      <c r="K4357" s="570"/>
    </row>
    <row r="4358" ht="13.75" customHeight="1">
      <c r="A4358" s="833">
        <v>233</v>
      </c>
      <c r="B4358" t="s" s="834">
        <v>2971</v>
      </c>
      <c r="C4358" t="s" s="834">
        <v>147</v>
      </c>
      <c r="D4358" s="835">
        <v>46033</v>
      </c>
      <c r="E4358" t="s" s="834">
        <v>478</v>
      </c>
      <c r="F4358" t="s" s="834">
        <v>478</v>
      </c>
      <c r="G4358" s="570"/>
      <c r="H4358" s="570"/>
      <c r="I4358" s="570"/>
      <c r="J4358" s="570"/>
      <c r="K4358" s="570"/>
    </row>
    <row r="4359" ht="13.75" customHeight="1">
      <c r="A4359" s="833">
        <v>233</v>
      </c>
      <c r="B4359" t="s" s="834">
        <v>2971</v>
      </c>
      <c r="C4359" t="s" s="834">
        <v>147</v>
      </c>
      <c r="D4359" s="835">
        <v>46034</v>
      </c>
      <c r="E4359" t="s" s="834">
        <v>478</v>
      </c>
      <c r="F4359" t="s" s="834">
        <v>478</v>
      </c>
      <c r="G4359" s="570"/>
      <c r="H4359" s="570"/>
      <c r="I4359" s="570"/>
      <c r="J4359" s="570"/>
      <c r="K4359" s="570"/>
    </row>
    <row r="4360" ht="13.75" customHeight="1">
      <c r="A4360" s="833">
        <v>233</v>
      </c>
      <c r="B4360" t="s" s="834">
        <v>2971</v>
      </c>
      <c r="C4360" t="s" s="834">
        <v>147</v>
      </c>
      <c r="D4360" s="835">
        <v>46035</v>
      </c>
      <c r="E4360" t="s" s="834">
        <v>478</v>
      </c>
      <c r="F4360" t="s" s="834">
        <v>478</v>
      </c>
      <c r="G4360" s="570"/>
      <c r="H4360" s="570"/>
      <c r="I4360" s="570"/>
      <c r="J4360" s="570"/>
      <c r="K4360" s="570"/>
    </row>
    <row r="4361" ht="13.75" customHeight="1">
      <c r="A4361" s="833">
        <v>233</v>
      </c>
      <c r="B4361" t="s" s="834">
        <v>2971</v>
      </c>
      <c r="C4361" t="s" s="834">
        <v>147</v>
      </c>
      <c r="D4361" s="835">
        <v>46036</v>
      </c>
      <c r="E4361" s="836">
        <v>1.434537037037037</v>
      </c>
      <c r="F4361" s="836">
        <v>1.75162037037037</v>
      </c>
      <c r="G4361" s="570"/>
      <c r="H4361" s="570"/>
      <c r="I4361" s="570"/>
      <c r="J4361" s="570"/>
      <c r="K4361" s="570"/>
    </row>
    <row r="4362" ht="13.75" customHeight="1">
      <c r="A4362" t="s" s="834">
        <v>2979</v>
      </c>
      <c r="B4362" t="s" s="834">
        <v>2980</v>
      </c>
      <c r="C4362" t="s" s="834">
        <v>2907</v>
      </c>
      <c r="D4362" s="570"/>
      <c r="E4362" s="570"/>
      <c r="F4362" s="570"/>
      <c r="G4362" s="570"/>
      <c r="H4362" s="570"/>
      <c r="I4362" s="570"/>
      <c r="J4362" s="570"/>
      <c r="K4362" s="570"/>
    </row>
    <row r="4363" ht="13.75" customHeight="1">
      <c r="A4363" s="833">
        <v>233</v>
      </c>
      <c r="B4363" t="s" s="834">
        <v>2971</v>
      </c>
      <c r="C4363" t="s" s="834">
        <v>147</v>
      </c>
      <c r="D4363" s="835">
        <v>46037</v>
      </c>
      <c r="E4363" t="s" s="834">
        <v>478</v>
      </c>
      <c r="F4363" t="s" s="834">
        <v>478</v>
      </c>
      <c r="G4363" s="570"/>
      <c r="H4363" s="570"/>
      <c r="I4363" s="570"/>
      <c r="J4363" s="570"/>
      <c r="K4363" s="570"/>
    </row>
    <row r="4364" ht="13.75" customHeight="1">
      <c r="A4364" s="833">
        <v>233</v>
      </c>
      <c r="B4364" t="s" s="834">
        <v>2971</v>
      </c>
      <c r="C4364" t="s" s="834">
        <v>147</v>
      </c>
      <c r="D4364" s="835">
        <v>46038</v>
      </c>
      <c r="E4364" s="836">
        <v>1.587083333333333</v>
      </c>
      <c r="F4364" s="836">
        <v>1.75193287037037</v>
      </c>
      <c r="G4364" s="570"/>
      <c r="H4364" s="570"/>
      <c r="I4364" s="570"/>
      <c r="J4364" s="570"/>
      <c r="K4364" s="570"/>
    </row>
    <row r="4365" ht="13.75" customHeight="1">
      <c r="A4365" t="s" s="834">
        <v>2981</v>
      </c>
      <c r="B4365" t="s" s="834">
        <v>2982</v>
      </c>
      <c r="C4365" t="s" s="834">
        <v>2983</v>
      </c>
      <c r="D4365" s="570"/>
      <c r="E4365" s="570"/>
      <c r="F4365" s="570"/>
      <c r="G4365" s="570"/>
      <c r="H4365" s="570"/>
      <c r="I4365" s="570"/>
      <c r="J4365" s="570"/>
      <c r="K4365" s="570"/>
    </row>
    <row r="4366" ht="13.75" customHeight="1">
      <c r="A4366" s="833">
        <v>233</v>
      </c>
      <c r="B4366" t="s" s="834">
        <v>2971</v>
      </c>
      <c r="C4366" t="s" s="834">
        <v>147</v>
      </c>
      <c r="D4366" s="835">
        <v>46039</v>
      </c>
      <c r="E4366" t="s" s="834">
        <v>478</v>
      </c>
      <c r="F4366" t="s" s="834">
        <v>478</v>
      </c>
      <c r="G4366" s="570"/>
      <c r="H4366" s="570"/>
      <c r="I4366" s="570"/>
      <c r="J4366" s="570"/>
      <c r="K4366" s="570"/>
    </row>
    <row r="4367" ht="13.75" customHeight="1">
      <c r="A4367" s="833">
        <v>233</v>
      </c>
      <c r="B4367" t="s" s="834">
        <v>2971</v>
      </c>
      <c r="C4367" t="s" s="834">
        <v>147</v>
      </c>
      <c r="D4367" s="835">
        <v>46040</v>
      </c>
      <c r="E4367" t="s" s="834">
        <v>478</v>
      </c>
      <c r="F4367" t="s" s="834">
        <v>478</v>
      </c>
      <c r="G4367" s="570"/>
      <c r="H4367" s="570"/>
      <c r="I4367" s="570"/>
      <c r="J4367" s="570"/>
      <c r="K4367" s="570"/>
    </row>
    <row r="4368" ht="13.75" customHeight="1">
      <c r="A4368" s="833">
        <v>233</v>
      </c>
      <c r="B4368" t="s" s="834">
        <v>2971</v>
      </c>
      <c r="C4368" t="s" s="834">
        <v>147</v>
      </c>
      <c r="D4368" s="835">
        <v>46041</v>
      </c>
      <c r="E4368" s="836">
        <v>1.575474537037037</v>
      </c>
      <c r="F4368" s="836">
        <v>1.794282407407407</v>
      </c>
      <c r="G4368" s="570"/>
      <c r="H4368" s="570"/>
      <c r="I4368" s="570"/>
      <c r="J4368" s="570"/>
      <c r="K4368" s="570"/>
    </row>
    <row r="4369" ht="13.75" customHeight="1">
      <c r="A4369" t="s" s="834">
        <v>2984</v>
      </c>
      <c r="B4369" t="s" s="834">
        <v>2985</v>
      </c>
      <c r="C4369" t="s" s="834">
        <v>2669</v>
      </c>
      <c r="D4369" s="570"/>
      <c r="E4369" s="570"/>
      <c r="F4369" s="570"/>
      <c r="G4369" s="570"/>
      <c r="H4369" s="570"/>
      <c r="I4369" s="570"/>
      <c r="J4369" s="570"/>
      <c r="K4369" s="570"/>
    </row>
    <row r="4370" ht="13.75" customHeight="1">
      <c r="A4370" s="833">
        <v>233</v>
      </c>
      <c r="B4370" t="s" s="834">
        <v>2971</v>
      </c>
      <c r="C4370" t="s" s="834">
        <v>147</v>
      </c>
      <c r="D4370" s="835">
        <v>46042</v>
      </c>
      <c r="E4370" s="836">
        <v>1.6175</v>
      </c>
      <c r="F4370" s="836">
        <v>1.772199074074074</v>
      </c>
      <c r="G4370" s="570"/>
      <c r="H4370" s="570"/>
      <c r="I4370" s="570"/>
      <c r="J4370" s="570"/>
      <c r="K4370" s="570"/>
    </row>
    <row r="4371" ht="13.75" customHeight="1">
      <c r="A4371" t="s" s="834">
        <v>2986</v>
      </c>
      <c r="B4371" t="s" s="834">
        <v>2987</v>
      </c>
      <c r="C4371" t="s" s="834">
        <v>2988</v>
      </c>
      <c r="D4371" s="570"/>
      <c r="E4371" s="570"/>
      <c r="F4371" s="570"/>
      <c r="G4371" s="570"/>
      <c r="H4371" s="570"/>
      <c r="I4371" s="570"/>
      <c r="J4371" s="570"/>
      <c r="K4371" s="570"/>
    </row>
    <row r="4372" ht="13.75" customHeight="1">
      <c r="A4372" s="833">
        <v>233</v>
      </c>
      <c r="B4372" t="s" s="834">
        <v>2971</v>
      </c>
      <c r="C4372" t="s" s="834">
        <v>147</v>
      </c>
      <c r="D4372" s="835">
        <v>46043</v>
      </c>
      <c r="E4372" t="s" s="834">
        <v>478</v>
      </c>
      <c r="F4372" t="s" s="834">
        <v>478</v>
      </c>
      <c r="G4372" s="570"/>
      <c r="H4372" s="570"/>
      <c r="I4372" s="570"/>
      <c r="J4372" s="570"/>
      <c r="K4372" s="570"/>
    </row>
    <row r="4373" ht="13.75" customHeight="1">
      <c r="A4373" s="833">
        <v>233</v>
      </c>
      <c r="B4373" t="s" s="834">
        <v>2971</v>
      </c>
      <c r="C4373" t="s" s="834">
        <v>147</v>
      </c>
      <c r="D4373" s="835">
        <v>46044</v>
      </c>
      <c r="E4373" t="s" s="834">
        <v>478</v>
      </c>
      <c r="F4373" t="s" s="834">
        <v>478</v>
      </c>
      <c r="G4373" s="570"/>
      <c r="H4373" s="570"/>
      <c r="I4373" s="570"/>
      <c r="J4373" s="570"/>
      <c r="K4373" s="570"/>
    </row>
    <row r="4374" ht="13.75" customHeight="1">
      <c r="A4374" s="833">
        <v>233</v>
      </c>
      <c r="B4374" t="s" s="834">
        <v>2971</v>
      </c>
      <c r="C4374" t="s" s="834">
        <v>147</v>
      </c>
      <c r="D4374" s="835">
        <v>46045</v>
      </c>
      <c r="E4374" t="s" s="834">
        <v>478</v>
      </c>
      <c r="F4374" t="s" s="834">
        <v>478</v>
      </c>
      <c r="G4374" s="570"/>
      <c r="H4374" s="570"/>
      <c r="I4374" s="570"/>
      <c r="J4374" s="570"/>
      <c r="K4374" s="570"/>
    </row>
    <row r="4375" ht="13.75" customHeight="1">
      <c r="A4375" s="833">
        <v>233</v>
      </c>
      <c r="B4375" t="s" s="834">
        <v>2971</v>
      </c>
      <c r="C4375" t="s" s="834">
        <v>147</v>
      </c>
      <c r="D4375" s="835">
        <v>46046</v>
      </c>
      <c r="E4375" t="s" s="834">
        <v>478</v>
      </c>
      <c r="F4375" t="s" s="834">
        <v>478</v>
      </c>
      <c r="G4375" s="570"/>
      <c r="H4375" s="570"/>
      <c r="I4375" s="570"/>
      <c r="J4375" s="570"/>
      <c r="K4375" s="570"/>
    </row>
    <row r="4376" ht="13.75" customHeight="1">
      <c r="A4376" s="833">
        <v>233</v>
      </c>
      <c r="B4376" t="s" s="834">
        <v>2971</v>
      </c>
      <c r="C4376" t="s" s="834">
        <v>147</v>
      </c>
      <c r="D4376" s="835">
        <v>46047</v>
      </c>
      <c r="E4376" t="s" s="834">
        <v>478</v>
      </c>
      <c r="F4376" t="s" s="834">
        <v>478</v>
      </c>
      <c r="G4376" s="570"/>
      <c r="H4376" s="570"/>
      <c r="I4376" s="570"/>
      <c r="J4376" s="570"/>
      <c r="K4376" s="570"/>
    </row>
    <row r="4377" ht="13.75" customHeight="1">
      <c r="A4377" s="833">
        <v>233</v>
      </c>
      <c r="B4377" t="s" s="834">
        <v>2971</v>
      </c>
      <c r="C4377" t="s" s="834">
        <v>147</v>
      </c>
      <c r="D4377" s="835">
        <v>46048</v>
      </c>
      <c r="E4377" t="s" s="834">
        <v>478</v>
      </c>
      <c r="F4377" t="s" s="834">
        <v>478</v>
      </c>
      <c r="G4377" s="570"/>
      <c r="H4377" s="570"/>
      <c r="I4377" s="570"/>
      <c r="J4377" s="570"/>
      <c r="K4377" s="570"/>
    </row>
    <row r="4378" ht="13.75" customHeight="1">
      <c r="A4378" s="833">
        <v>233</v>
      </c>
      <c r="B4378" t="s" s="834">
        <v>2971</v>
      </c>
      <c r="C4378" t="s" s="834">
        <v>147</v>
      </c>
      <c r="D4378" s="835">
        <v>46049</v>
      </c>
      <c r="E4378" t="s" s="834">
        <v>478</v>
      </c>
      <c r="F4378" t="s" s="834">
        <v>478</v>
      </c>
      <c r="G4378" s="570"/>
      <c r="H4378" s="570"/>
      <c r="I4378" s="570"/>
      <c r="J4378" s="570"/>
      <c r="K4378" s="570"/>
    </row>
    <row r="4379" ht="13.75" customHeight="1">
      <c r="A4379" s="833">
        <v>233</v>
      </c>
      <c r="B4379" t="s" s="834">
        <v>2971</v>
      </c>
      <c r="C4379" t="s" s="834">
        <v>147</v>
      </c>
      <c r="D4379" s="835">
        <v>46050</v>
      </c>
      <c r="E4379" t="s" s="834">
        <v>478</v>
      </c>
      <c r="F4379" t="s" s="834">
        <v>478</v>
      </c>
      <c r="G4379" s="570"/>
      <c r="H4379" s="570"/>
      <c r="I4379" s="570"/>
      <c r="J4379" s="570"/>
      <c r="K4379" s="570"/>
    </row>
    <row r="4380" ht="13.75" customHeight="1">
      <c r="A4380" s="833">
        <v>233</v>
      </c>
      <c r="B4380" t="s" s="834">
        <v>2971</v>
      </c>
      <c r="C4380" t="s" s="834">
        <v>147</v>
      </c>
      <c r="D4380" s="835">
        <v>46051</v>
      </c>
      <c r="E4380" t="s" s="834">
        <v>478</v>
      </c>
      <c r="F4380" t="s" s="834">
        <v>478</v>
      </c>
      <c r="G4380" s="570"/>
      <c r="H4380" s="570"/>
      <c r="I4380" s="570"/>
      <c r="J4380" s="570"/>
      <c r="K4380" s="570"/>
    </row>
    <row r="4381" ht="13.75" customHeight="1">
      <c r="A4381" s="833">
        <v>233</v>
      </c>
      <c r="B4381" t="s" s="834">
        <v>2971</v>
      </c>
      <c r="C4381" t="s" s="834">
        <v>147</v>
      </c>
      <c r="D4381" s="835">
        <v>46052</v>
      </c>
      <c r="E4381" t="s" s="834">
        <v>478</v>
      </c>
      <c r="F4381" t="s" s="834">
        <v>478</v>
      </c>
      <c r="G4381" s="570"/>
      <c r="H4381" s="570"/>
      <c r="I4381" s="570"/>
      <c r="J4381" s="570"/>
      <c r="K4381" s="570"/>
    </row>
    <row r="4382" ht="13.75" customHeight="1">
      <c r="A4382" s="833">
        <v>233</v>
      </c>
      <c r="B4382" t="s" s="834">
        <v>2971</v>
      </c>
      <c r="C4382" t="s" s="834">
        <v>147</v>
      </c>
      <c r="D4382" s="835">
        <v>46053</v>
      </c>
      <c r="E4382" t="s" s="834">
        <v>478</v>
      </c>
      <c r="F4382" t="s" s="834">
        <v>478</v>
      </c>
      <c r="G4382" s="570"/>
      <c r="H4382" s="570"/>
      <c r="I4382" s="570"/>
      <c r="J4382" s="570"/>
      <c r="K4382" s="570"/>
    </row>
    <row r="4383" ht="13.75" customHeight="1">
      <c r="A4383" s="833">
        <v>233</v>
      </c>
      <c r="B4383" t="s" s="834">
        <v>2971</v>
      </c>
      <c r="C4383" t="s" s="834">
        <v>147</v>
      </c>
      <c r="D4383" s="835">
        <v>46054</v>
      </c>
      <c r="E4383" t="s" s="834">
        <v>478</v>
      </c>
      <c r="F4383" t="s" s="834">
        <v>478</v>
      </c>
      <c r="G4383" s="570"/>
      <c r="H4383" s="570"/>
      <c r="I4383" s="570"/>
      <c r="J4383" s="570"/>
      <c r="K4383" s="570"/>
    </row>
    <row r="4384" ht="13.75" customHeight="1">
      <c r="A4384" s="833">
        <v>24</v>
      </c>
      <c r="B4384" t="s" s="834">
        <v>2989</v>
      </c>
      <c r="C4384" t="s" s="834">
        <v>477</v>
      </c>
      <c r="D4384" s="835">
        <v>46023</v>
      </c>
      <c r="E4384" t="s" s="834">
        <v>478</v>
      </c>
      <c r="F4384" t="s" s="834">
        <v>478</v>
      </c>
      <c r="G4384" s="570"/>
      <c r="H4384" s="570"/>
      <c r="I4384" s="570"/>
      <c r="J4384" s="570"/>
      <c r="K4384" s="570"/>
    </row>
    <row r="4385" ht="13.75" customHeight="1">
      <c r="A4385" s="833">
        <v>24</v>
      </c>
      <c r="B4385" t="s" s="834">
        <v>2989</v>
      </c>
      <c r="C4385" t="s" s="834">
        <v>477</v>
      </c>
      <c r="D4385" s="835">
        <v>46024</v>
      </c>
      <c r="E4385" t="s" s="834">
        <v>478</v>
      </c>
      <c r="F4385" t="s" s="834">
        <v>478</v>
      </c>
      <c r="G4385" s="570"/>
      <c r="H4385" s="570"/>
      <c r="I4385" s="570"/>
      <c r="J4385" s="570"/>
      <c r="K4385" s="570"/>
    </row>
    <row r="4386" ht="13.75" customHeight="1">
      <c r="A4386" s="833">
        <v>24</v>
      </c>
      <c r="B4386" t="s" s="834">
        <v>2989</v>
      </c>
      <c r="C4386" t="s" s="834">
        <v>477</v>
      </c>
      <c r="D4386" s="835">
        <v>46025</v>
      </c>
      <c r="E4386" t="s" s="834">
        <v>478</v>
      </c>
      <c r="F4386" t="s" s="834">
        <v>478</v>
      </c>
      <c r="G4386" s="570"/>
      <c r="H4386" s="570"/>
      <c r="I4386" s="570"/>
      <c r="J4386" s="570"/>
      <c r="K4386" s="570"/>
    </row>
    <row r="4387" ht="13.75" customHeight="1">
      <c r="A4387" s="833">
        <v>24</v>
      </c>
      <c r="B4387" t="s" s="834">
        <v>2989</v>
      </c>
      <c r="C4387" t="s" s="834">
        <v>477</v>
      </c>
      <c r="D4387" s="835">
        <v>46026</v>
      </c>
      <c r="E4387" t="s" s="834">
        <v>478</v>
      </c>
      <c r="F4387" t="s" s="834">
        <v>478</v>
      </c>
      <c r="G4387" s="570"/>
      <c r="H4387" s="570"/>
      <c r="I4387" s="570"/>
      <c r="J4387" s="570"/>
      <c r="K4387" s="570"/>
    </row>
    <row r="4388" ht="13.75" customHeight="1">
      <c r="A4388" s="833">
        <v>24</v>
      </c>
      <c r="B4388" t="s" s="834">
        <v>2989</v>
      </c>
      <c r="C4388" t="s" s="834">
        <v>477</v>
      </c>
      <c r="D4388" s="835">
        <v>46027</v>
      </c>
      <c r="E4388" t="s" s="834">
        <v>478</v>
      </c>
      <c r="F4388" t="s" s="834">
        <v>478</v>
      </c>
      <c r="G4388" s="570"/>
      <c r="H4388" s="570"/>
      <c r="I4388" s="570"/>
      <c r="J4388" s="570"/>
      <c r="K4388" s="570"/>
    </row>
    <row r="4389" ht="13.75" customHeight="1">
      <c r="A4389" s="833">
        <v>24</v>
      </c>
      <c r="B4389" t="s" s="834">
        <v>2989</v>
      </c>
      <c r="C4389" t="s" s="834">
        <v>477</v>
      </c>
      <c r="D4389" s="835">
        <v>46028</v>
      </c>
      <c r="E4389" t="s" s="834">
        <v>478</v>
      </c>
      <c r="F4389" t="s" s="834">
        <v>478</v>
      </c>
      <c r="G4389" s="570"/>
      <c r="H4389" s="570"/>
      <c r="I4389" s="570"/>
      <c r="J4389" s="570"/>
      <c r="K4389" s="570"/>
    </row>
    <row r="4390" ht="13.75" customHeight="1">
      <c r="A4390" s="833">
        <v>24</v>
      </c>
      <c r="B4390" t="s" s="834">
        <v>2989</v>
      </c>
      <c r="C4390" t="s" s="834">
        <v>477</v>
      </c>
      <c r="D4390" s="835">
        <v>46029</v>
      </c>
      <c r="E4390" t="s" s="834">
        <v>478</v>
      </c>
      <c r="F4390" t="s" s="834">
        <v>478</v>
      </c>
      <c r="G4390" s="570"/>
      <c r="H4390" s="570"/>
      <c r="I4390" s="570"/>
      <c r="J4390" s="570"/>
      <c r="K4390" s="570"/>
    </row>
    <row r="4391" ht="13.75" customHeight="1">
      <c r="A4391" s="833">
        <v>24</v>
      </c>
      <c r="B4391" t="s" s="834">
        <v>2989</v>
      </c>
      <c r="C4391" t="s" s="834">
        <v>477</v>
      </c>
      <c r="D4391" s="835">
        <v>46030</v>
      </c>
      <c r="E4391" t="s" s="834">
        <v>478</v>
      </c>
      <c r="F4391" t="s" s="834">
        <v>478</v>
      </c>
      <c r="G4391" s="570"/>
      <c r="H4391" s="570"/>
      <c r="I4391" s="570"/>
      <c r="J4391" s="570"/>
      <c r="K4391" s="570"/>
    </row>
    <row r="4392" ht="13.75" customHeight="1">
      <c r="A4392" s="833">
        <v>24</v>
      </c>
      <c r="B4392" t="s" s="834">
        <v>2989</v>
      </c>
      <c r="C4392" t="s" s="834">
        <v>477</v>
      </c>
      <c r="D4392" s="835">
        <v>46031</v>
      </c>
      <c r="E4392" t="s" s="834">
        <v>478</v>
      </c>
      <c r="F4392" t="s" s="834">
        <v>478</v>
      </c>
      <c r="G4392" s="570"/>
      <c r="H4392" s="570"/>
      <c r="I4392" s="570"/>
      <c r="J4392" s="570"/>
      <c r="K4392" s="570"/>
    </row>
    <row r="4393" ht="13.75" customHeight="1">
      <c r="A4393" s="833">
        <v>24</v>
      </c>
      <c r="B4393" t="s" s="834">
        <v>2989</v>
      </c>
      <c r="C4393" t="s" s="834">
        <v>477</v>
      </c>
      <c r="D4393" s="835">
        <v>46032</v>
      </c>
      <c r="E4393" t="s" s="834">
        <v>478</v>
      </c>
      <c r="F4393" t="s" s="834">
        <v>478</v>
      </c>
      <c r="G4393" s="570"/>
      <c r="H4393" s="570"/>
      <c r="I4393" s="570"/>
      <c r="J4393" s="570"/>
      <c r="K4393" s="570"/>
    </row>
    <row r="4394" ht="13.75" customHeight="1">
      <c r="A4394" s="833">
        <v>24</v>
      </c>
      <c r="B4394" t="s" s="834">
        <v>2989</v>
      </c>
      <c r="C4394" t="s" s="834">
        <v>477</v>
      </c>
      <c r="D4394" s="835">
        <v>46033</v>
      </c>
      <c r="E4394" t="s" s="834">
        <v>478</v>
      </c>
      <c r="F4394" t="s" s="834">
        <v>478</v>
      </c>
      <c r="G4394" s="570"/>
      <c r="H4394" s="570"/>
      <c r="I4394" s="570"/>
      <c r="J4394" s="570"/>
      <c r="K4394" s="570"/>
    </row>
    <row r="4395" ht="13.75" customHeight="1">
      <c r="A4395" s="833">
        <v>24</v>
      </c>
      <c r="B4395" t="s" s="834">
        <v>2989</v>
      </c>
      <c r="C4395" t="s" s="834">
        <v>477</v>
      </c>
      <c r="D4395" s="835">
        <v>46034</v>
      </c>
      <c r="E4395" t="s" s="834">
        <v>478</v>
      </c>
      <c r="F4395" t="s" s="834">
        <v>478</v>
      </c>
      <c r="G4395" s="570"/>
      <c r="H4395" s="570"/>
      <c r="I4395" s="570"/>
      <c r="J4395" s="570"/>
      <c r="K4395" s="570"/>
    </row>
    <row r="4396" ht="13.75" customHeight="1">
      <c r="A4396" s="833">
        <v>24</v>
      </c>
      <c r="B4396" t="s" s="834">
        <v>2989</v>
      </c>
      <c r="C4396" t="s" s="834">
        <v>477</v>
      </c>
      <c r="D4396" s="835">
        <v>46035</v>
      </c>
      <c r="E4396" t="s" s="834">
        <v>478</v>
      </c>
      <c r="F4396" t="s" s="834">
        <v>478</v>
      </c>
      <c r="G4396" s="570"/>
      <c r="H4396" s="570"/>
      <c r="I4396" s="570"/>
      <c r="J4396" s="570"/>
      <c r="K4396" s="570"/>
    </row>
    <row r="4397" ht="13.75" customHeight="1">
      <c r="A4397" s="833">
        <v>24</v>
      </c>
      <c r="B4397" t="s" s="834">
        <v>2989</v>
      </c>
      <c r="C4397" t="s" s="834">
        <v>477</v>
      </c>
      <c r="D4397" s="835">
        <v>46036</v>
      </c>
      <c r="E4397" t="s" s="834">
        <v>478</v>
      </c>
      <c r="F4397" t="s" s="834">
        <v>478</v>
      </c>
      <c r="G4397" s="570"/>
      <c r="H4397" s="570"/>
      <c r="I4397" s="570"/>
      <c r="J4397" s="570"/>
      <c r="K4397" s="570"/>
    </row>
    <row r="4398" ht="13.75" customHeight="1">
      <c r="A4398" s="833">
        <v>24</v>
      </c>
      <c r="B4398" t="s" s="834">
        <v>2989</v>
      </c>
      <c r="C4398" t="s" s="834">
        <v>477</v>
      </c>
      <c r="D4398" s="835">
        <v>46037</v>
      </c>
      <c r="E4398" t="s" s="834">
        <v>478</v>
      </c>
      <c r="F4398" t="s" s="834">
        <v>478</v>
      </c>
      <c r="G4398" s="570"/>
      <c r="H4398" s="570"/>
      <c r="I4398" s="570"/>
      <c r="J4398" s="570"/>
      <c r="K4398" s="570"/>
    </row>
    <row r="4399" ht="13.75" customHeight="1">
      <c r="A4399" s="833">
        <v>24</v>
      </c>
      <c r="B4399" t="s" s="834">
        <v>2989</v>
      </c>
      <c r="C4399" t="s" s="834">
        <v>477</v>
      </c>
      <c r="D4399" s="835">
        <v>46038</v>
      </c>
      <c r="E4399" t="s" s="834">
        <v>478</v>
      </c>
      <c r="F4399" t="s" s="834">
        <v>478</v>
      </c>
      <c r="G4399" s="570"/>
      <c r="H4399" s="570"/>
      <c r="I4399" s="570"/>
      <c r="J4399" s="570"/>
      <c r="K4399" s="570"/>
    </row>
    <row r="4400" ht="13.75" customHeight="1">
      <c r="A4400" s="833">
        <v>24</v>
      </c>
      <c r="B4400" t="s" s="834">
        <v>2989</v>
      </c>
      <c r="C4400" t="s" s="834">
        <v>477</v>
      </c>
      <c r="D4400" s="835">
        <v>46039</v>
      </c>
      <c r="E4400" t="s" s="834">
        <v>478</v>
      </c>
      <c r="F4400" t="s" s="834">
        <v>478</v>
      </c>
      <c r="G4400" s="570"/>
      <c r="H4400" s="570"/>
      <c r="I4400" s="570"/>
      <c r="J4400" s="570"/>
      <c r="K4400" s="570"/>
    </row>
    <row r="4401" ht="13.75" customHeight="1">
      <c r="A4401" s="833">
        <v>24</v>
      </c>
      <c r="B4401" t="s" s="834">
        <v>2989</v>
      </c>
      <c r="C4401" t="s" s="834">
        <v>477</v>
      </c>
      <c r="D4401" s="835">
        <v>46040</v>
      </c>
      <c r="E4401" t="s" s="834">
        <v>478</v>
      </c>
      <c r="F4401" t="s" s="834">
        <v>478</v>
      </c>
      <c r="G4401" s="570"/>
      <c r="H4401" s="570"/>
      <c r="I4401" s="570"/>
      <c r="J4401" s="570"/>
      <c r="K4401" s="570"/>
    </row>
    <row r="4402" ht="13.75" customHeight="1">
      <c r="A4402" s="833">
        <v>24</v>
      </c>
      <c r="B4402" t="s" s="834">
        <v>2989</v>
      </c>
      <c r="C4402" t="s" s="834">
        <v>477</v>
      </c>
      <c r="D4402" s="835">
        <v>46041</v>
      </c>
      <c r="E4402" t="s" s="834">
        <v>478</v>
      </c>
      <c r="F4402" t="s" s="834">
        <v>478</v>
      </c>
      <c r="G4402" s="570"/>
      <c r="H4402" s="570"/>
      <c r="I4402" s="570"/>
      <c r="J4402" s="570"/>
      <c r="K4402" s="570"/>
    </row>
    <row r="4403" ht="13.75" customHeight="1">
      <c r="A4403" s="833">
        <v>24</v>
      </c>
      <c r="B4403" t="s" s="834">
        <v>2989</v>
      </c>
      <c r="C4403" t="s" s="834">
        <v>477</v>
      </c>
      <c r="D4403" s="835">
        <v>46042</v>
      </c>
      <c r="E4403" t="s" s="834">
        <v>478</v>
      </c>
      <c r="F4403" t="s" s="834">
        <v>478</v>
      </c>
      <c r="G4403" s="570"/>
      <c r="H4403" s="570"/>
      <c r="I4403" s="570"/>
      <c r="J4403" s="570"/>
      <c r="K4403" s="570"/>
    </row>
    <row r="4404" ht="13.75" customHeight="1">
      <c r="A4404" s="833">
        <v>24</v>
      </c>
      <c r="B4404" t="s" s="834">
        <v>2989</v>
      </c>
      <c r="C4404" t="s" s="834">
        <v>477</v>
      </c>
      <c r="D4404" s="835">
        <v>46043</v>
      </c>
      <c r="E4404" t="s" s="834">
        <v>478</v>
      </c>
      <c r="F4404" t="s" s="834">
        <v>478</v>
      </c>
      <c r="G4404" s="570"/>
      <c r="H4404" s="570"/>
      <c r="I4404" s="570"/>
      <c r="J4404" s="570"/>
      <c r="K4404" s="570"/>
    </row>
    <row r="4405" ht="13.75" customHeight="1">
      <c r="A4405" s="833">
        <v>24</v>
      </c>
      <c r="B4405" t="s" s="834">
        <v>2989</v>
      </c>
      <c r="C4405" t="s" s="834">
        <v>477</v>
      </c>
      <c r="D4405" s="835">
        <v>46044</v>
      </c>
      <c r="E4405" t="s" s="834">
        <v>478</v>
      </c>
      <c r="F4405" t="s" s="834">
        <v>478</v>
      </c>
      <c r="G4405" s="570"/>
      <c r="H4405" s="570"/>
      <c r="I4405" s="570"/>
      <c r="J4405" s="570"/>
      <c r="K4405" s="570"/>
    </row>
    <row r="4406" ht="13.75" customHeight="1">
      <c r="A4406" s="833">
        <v>24</v>
      </c>
      <c r="B4406" t="s" s="834">
        <v>2989</v>
      </c>
      <c r="C4406" t="s" s="834">
        <v>477</v>
      </c>
      <c r="D4406" s="835">
        <v>46045</v>
      </c>
      <c r="E4406" t="s" s="834">
        <v>478</v>
      </c>
      <c r="F4406" t="s" s="834">
        <v>478</v>
      </c>
      <c r="G4406" s="570"/>
      <c r="H4406" s="570"/>
      <c r="I4406" s="570"/>
      <c r="J4406" s="570"/>
      <c r="K4406" s="570"/>
    </row>
    <row r="4407" ht="13.75" customHeight="1">
      <c r="A4407" s="833">
        <v>24</v>
      </c>
      <c r="B4407" t="s" s="834">
        <v>2989</v>
      </c>
      <c r="C4407" t="s" s="834">
        <v>477</v>
      </c>
      <c r="D4407" s="835">
        <v>46046</v>
      </c>
      <c r="E4407" t="s" s="834">
        <v>478</v>
      </c>
      <c r="F4407" t="s" s="834">
        <v>478</v>
      </c>
      <c r="G4407" s="570"/>
      <c r="H4407" s="570"/>
      <c r="I4407" s="570"/>
      <c r="J4407" s="570"/>
      <c r="K4407" s="570"/>
    </row>
    <row r="4408" ht="13.75" customHeight="1">
      <c r="A4408" s="833">
        <v>24</v>
      </c>
      <c r="B4408" t="s" s="834">
        <v>2989</v>
      </c>
      <c r="C4408" t="s" s="834">
        <v>477</v>
      </c>
      <c r="D4408" s="835">
        <v>46047</v>
      </c>
      <c r="E4408" t="s" s="834">
        <v>478</v>
      </c>
      <c r="F4408" t="s" s="834">
        <v>478</v>
      </c>
      <c r="G4408" s="570"/>
      <c r="H4408" s="570"/>
      <c r="I4408" s="570"/>
      <c r="J4408" s="570"/>
      <c r="K4408" s="570"/>
    </row>
    <row r="4409" ht="13.75" customHeight="1">
      <c r="A4409" s="833">
        <v>24</v>
      </c>
      <c r="B4409" t="s" s="834">
        <v>2989</v>
      </c>
      <c r="C4409" t="s" s="834">
        <v>477</v>
      </c>
      <c r="D4409" s="835">
        <v>46048</v>
      </c>
      <c r="E4409" t="s" s="834">
        <v>478</v>
      </c>
      <c r="F4409" t="s" s="834">
        <v>478</v>
      </c>
      <c r="G4409" s="570"/>
      <c r="H4409" s="570"/>
      <c r="I4409" s="570"/>
      <c r="J4409" s="570"/>
      <c r="K4409" s="570"/>
    </row>
    <row r="4410" ht="13.75" customHeight="1">
      <c r="A4410" s="833">
        <v>24</v>
      </c>
      <c r="B4410" t="s" s="834">
        <v>2989</v>
      </c>
      <c r="C4410" t="s" s="834">
        <v>477</v>
      </c>
      <c r="D4410" s="835">
        <v>46049</v>
      </c>
      <c r="E4410" t="s" s="834">
        <v>478</v>
      </c>
      <c r="F4410" t="s" s="834">
        <v>478</v>
      </c>
      <c r="G4410" s="570"/>
      <c r="H4410" s="570"/>
      <c r="I4410" s="570"/>
      <c r="J4410" s="570"/>
      <c r="K4410" s="570"/>
    </row>
    <row r="4411" ht="13.75" customHeight="1">
      <c r="A4411" s="833">
        <v>24</v>
      </c>
      <c r="B4411" t="s" s="834">
        <v>2989</v>
      </c>
      <c r="C4411" t="s" s="834">
        <v>477</v>
      </c>
      <c r="D4411" s="835">
        <v>46050</v>
      </c>
      <c r="E4411" t="s" s="834">
        <v>478</v>
      </c>
      <c r="F4411" t="s" s="834">
        <v>478</v>
      </c>
      <c r="G4411" s="570"/>
      <c r="H4411" s="570"/>
      <c r="I4411" s="570"/>
      <c r="J4411" s="570"/>
      <c r="K4411" s="570"/>
    </row>
    <row r="4412" ht="13.75" customHeight="1">
      <c r="A4412" s="833">
        <v>24</v>
      </c>
      <c r="B4412" t="s" s="834">
        <v>2989</v>
      </c>
      <c r="C4412" t="s" s="834">
        <v>477</v>
      </c>
      <c r="D4412" s="835">
        <v>46051</v>
      </c>
      <c r="E4412" t="s" s="834">
        <v>478</v>
      </c>
      <c r="F4412" t="s" s="834">
        <v>478</v>
      </c>
      <c r="G4412" s="570"/>
      <c r="H4412" s="570"/>
      <c r="I4412" s="570"/>
      <c r="J4412" s="570"/>
      <c r="K4412" s="570"/>
    </row>
    <row r="4413" ht="13.75" customHeight="1">
      <c r="A4413" s="833">
        <v>24</v>
      </c>
      <c r="B4413" t="s" s="834">
        <v>2989</v>
      </c>
      <c r="C4413" t="s" s="834">
        <v>477</v>
      </c>
      <c r="D4413" s="835">
        <v>46052</v>
      </c>
      <c r="E4413" t="s" s="834">
        <v>478</v>
      </c>
      <c r="F4413" t="s" s="834">
        <v>478</v>
      </c>
      <c r="G4413" s="570"/>
      <c r="H4413" s="570"/>
      <c r="I4413" s="570"/>
      <c r="J4413" s="570"/>
      <c r="K4413" s="570"/>
    </row>
    <row r="4414" ht="13.75" customHeight="1">
      <c r="A4414" s="833">
        <v>24</v>
      </c>
      <c r="B4414" t="s" s="834">
        <v>2989</v>
      </c>
      <c r="C4414" t="s" s="834">
        <v>477</v>
      </c>
      <c r="D4414" s="835">
        <v>46053</v>
      </c>
      <c r="E4414" t="s" s="834">
        <v>478</v>
      </c>
      <c r="F4414" t="s" s="834">
        <v>478</v>
      </c>
      <c r="G4414" s="570"/>
      <c r="H4414" s="570"/>
      <c r="I4414" s="570"/>
      <c r="J4414" s="570"/>
      <c r="K4414" s="570"/>
    </row>
    <row r="4415" ht="13.75" customHeight="1">
      <c r="A4415" s="833">
        <v>24</v>
      </c>
      <c r="B4415" t="s" s="834">
        <v>2989</v>
      </c>
      <c r="C4415" t="s" s="834">
        <v>477</v>
      </c>
      <c r="D4415" s="835">
        <v>46054</v>
      </c>
      <c r="E4415" t="s" s="834">
        <v>478</v>
      </c>
      <c r="F4415" t="s" s="834">
        <v>478</v>
      </c>
      <c r="G4415" s="570"/>
      <c r="H4415" s="570"/>
      <c r="I4415" s="570"/>
      <c r="J4415" s="570"/>
      <c r="K4415" s="570"/>
    </row>
    <row r="4416" ht="13.75" customHeight="1">
      <c r="A4416" s="833">
        <v>242</v>
      </c>
      <c r="B4416" t="s" s="834">
        <v>2990</v>
      </c>
      <c r="C4416" t="s" s="834">
        <v>1702</v>
      </c>
      <c r="D4416" s="835">
        <v>46023</v>
      </c>
      <c r="E4416" t="s" s="834">
        <v>478</v>
      </c>
      <c r="F4416" t="s" s="834">
        <v>478</v>
      </c>
      <c r="G4416" s="570"/>
      <c r="H4416" s="570"/>
      <c r="I4416" s="570"/>
      <c r="J4416" s="570"/>
      <c r="K4416" s="570"/>
    </row>
    <row r="4417" ht="13.75" customHeight="1">
      <c r="A4417" s="833">
        <v>242</v>
      </c>
      <c r="B4417" t="s" s="834">
        <v>2990</v>
      </c>
      <c r="C4417" t="s" s="834">
        <v>1702</v>
      </c>
      <c r="D4417" s="835">
        <v>46024</v>
      </c>
      <c r="E4417" t="s" s="834">
        <v>478</v>
      </c>
      <c r="F4417" t="s" s="834">
        <v>478</v>
      </c>
      <c r="G4417" s="570"/>
      <c r="H4417" s="570"/>
      <c r="I4417" s="570"/>
      <c r="J4417" s="570"/>
      <c r="K4417" s="570"/>
    </row>
    <row r="4418" ht="13.75" customHeight="1">
      <c r="A4418" s="833">
        <v>242</v>
      </c>
      <c r="B4418" t="s" s="834">
        <v>2990</v>
      </c>
      <c r="C4418" t="s" s="834">
        <v>1702</v>
      </c>
      <c r="D4418" s="835">
        <v>46025</v>
      </c>
      <c r="E4418" t="s" s="834">
        <v>478</v>
      </c>
      <c r="F4418" t="s" s="834">
        <v>478</v>
      </c>
      <c r="G4418" s="570"/>
      <c r="H4418" s="570"/>
      <c r="I4418" s="570"/>
      <c r="J4418" s="570"/>
      <c r="K4418" s="570"/>
    </row>
    <row r="4419" ht="13.75" customHeight="1">
      <c r="A4419" s="833">
        <v>242</v>
      </c>
      <c r="B4419" t="s" s="834">
        <v>2990</v>
      </c>
      <c r="C4419" t="s" s="834">
        <v>1702</v>
      </c>
      <c r="D4419" s="835">
        <v>46026</v>
      </c>
      <c r="E4419" t="s" s="834">
        <v>478</v>
      </c>
      <c r="F4419" t="s" s="834">
        <v>478</v>
      </c>
      <c r="G4419" s="570"/>
      <c r="H4419" s="570"/>
      <c r="I4419" s="570"/>
      <c r="J4419" s="570"/>
      <c r="K4419" s="570"/>
    </row>
    <row r="4420" ht="13.75" customHeight="1">
      <c r="A4420" s="833">
        <v>242</v>
      </c>
      <c r="B4420" t="s" s="834">
        <v>2990</v>
      </c>
      <c r="C4420" t="s" s="834">
        <v>1702</v>
      </c>
      <c r="D4420" s="835">
        <v>46027</v>
      </c>
      <c r="E4420" t="s" s="834">
        <v>478</v>
      </c>
      <c r="F4420" t="s" s="834">
        <v>478</v>
      </c>
      <c r="G4420" s="570"/>
      <c r="H4420" s="570"/>
      <c r="I4420" s="570"/>
      <c r="J4420" s="570"/>
      <c r="K4420" s="570"/>
    </row>
    <row r="4421" ht="13.75" customHeight="1">
      <c r="A4421" s="833">
        <v>242</v>
      </c>
      <c r="B4421" t="s" s="834">
        <v>2990</v>
      </c>
      <c r="C4421" t="s" s="834">
        <v>1702</v>
      </c>
      <c r="D4421" s="835">
        <v>46028</v>
      </c>
      <c r="E4421" s="836">
        <v>1.788368055555555</v>
      </c>
      <c r="F4421" t="s" s="834">
        <v>478</v>
      </c>
      <c r="G4421" s="570"/>
      <c r="H4421" s="570"/>
      <c r="I4421" s="570"/>
      <c r="J4421" s="570"/>
      <c r="K4421" s="570"/>
    </row>
    <row r="4422" ht="13.75" customHeight="1">
      <c r="A4422" t="s" s="834">
        <v>2991</v>
      </c>
      <c r="B4422" t="s" s="834">
        <v>485</v>
      </c>
      <c r="C4422" t="s" s="834">
        <v>486</v>
      </c>
      <c r="D4422" s="570"/>
      <c r="E4422" s="570"/>
      <c r="F4422" s="570"/>
      <c r="G4422" s="570"/>
      <c r="H4422" s="570"/>
      <c r="I4422" s="570"/>
      <c r="J4422" s="570"/>
      <c r="K4422" s="570"/>
    </row>
    <row r="4423" ht="13.75" customHeight="1">
      <c r="A4423" s="833">
        <v>242</v>
      </c>
      <c r="B4423" t="s" s="834">
        <v>2990</v>
      </c>
      <c r="C4423" t="s" s="834">
        <v>1702</v>
      </c>
      <c r="D4423" s="835">
        <v>46029</v>
      </c>
      <c r="E4423" t="s" s="834">
        <v>478</v>
      </c>
      <c r="F4423" t="s" s="834">
        <v>478</v>
      </c>
      <c r="G4423" s="570"/>
      <c r="H4423" s="570"/>
      <c r="I4423" s="570"/>
      <c r="J4423" s="570"/>
      <c r="K4423" s="570"/>
    </row>
    <row r="4424" ht="13.75" customHeight="1">
      <c r="A4424" s="833">
        <v>242</v>
      </c>
      <c r="B4424" t="s" s="834">
        <v>2990</v>
      </c>
      <c r="C4424" t="s" s="834">
        <v>1702</v>
      </c>
      <c r="D4424" s="835">
        <v>46030</v>
      </c>
      <c r="E4424" t="s" s="834">
        <v>478</v>
      </c>
      <c r="F4424" t="s" s="834">
        <v>478</v>
      </c>
      <c r="G4424" s="570"/>
      <c r="H4424" s="570"/>
      <c r="I4424" s="570"/>
      <c r="J4424" s="570"/>
      <c r="K4424" s="570"/>
    </row>
    <row r="4425" ht="13.75" customHeight="1">
      <c r="A4425" s="833">
        <v>242</v>
      </c>
      <c r="B4425" t="s" s="834">
        <v>2990</v>
      </c>
      <c r="C4425" t="s" s="834">
        <v>1702</v>
      </c>
      <c r="D4425" s="835">
        <v>46031</v>
      </c>
      <c r="E4425" s="836">
        <v>1.719537037037037</v>
      </c>
      <c r="F4425" s="836">
        <v>1.719583333333333</v>
      </c>
      <c r="G4425" s="570"/>
      <c r="H4425" s="570"/>
      <c r="I4425" s="570"/>
      <c r="J4425" s="570"/>
      <c r="K4425" s="570"/>
    </row>
    <row r="4426" ht="13.75" customHeight="1">
      <c r="A4426" t="s" s="834">
        <v>2992</v>
      </c>
      <c r="B4426" t="s" s="834">
        <v>2993</v>
      </c>
      <c r="C4426" t="s" s="834">
        <v>486</v>
      </c>
      <c r="D4426" s="570"/>
      <c r="E4426" s="570"/>
      <c r="F4426" s="570"/>
      <c r="G4426" s="570"/>
      <c r="H4426" s="570"/>
      <c r="I4426" s="570"/>
      <c r="J4426" s="570"/>
      <c r="K4426" s="570"/>
    </row>
    <row r="4427" ht="13.75" customHeight="1">
      <c r="A4427" s="833">
        <v>242</v>
      </c>
      <c r="B4427" t="s" s="834">
        <v>2990</v>
      </c>
      <c r="C4427" t="s" s="834">
        <v>1702</v>
      </c>
      <c r="D4427" s="835">
        <v>46032</v>
      </c>
      <c r="E4427" t="s" s="834">
        <v>478</v>
      </c>
      <c r="F4427" t="s" s="834">
        <v>478</v>
      </c>
      <c r="G4427" s="570"/>
      <c r="H4427" s="570"/>
      <c r="I4427" s="570"/>
      <c r="J4427" s="570"/>
      <c r="K4427" s="570"/>
    </row>
    <row r="4428" ht="13.75" customHeight="1">
      <c r="A4428" s="833">
        <v>242</v>
      </c>
      <c r="B4428" t="s" s="834">
        <v>2990</v>
      </c>
      <c r="C4428" t="s" s="834">
        <v>1702</v>
      </c>
      <c r="D4428" s="835">
        <v>46033</v>
      </c>
      <c r="E4428" t="s" s="834">
        <v>478</v>
      </c>
      <c r="F4428" t="s" s="834">
        <v>478</v>
      </c>
      <c r="G4428" s="570"/>
      <c r="H4428" s="570"/>
      <c r="I4428" s="570"/>
      <c r="J4428" s="570"/>
      <c r="K4428" s="570"/>
    </row>
    <row r="4429" ht="13.75" customHeight="1">
      <c r="A4429" s="833">
        <v>242</v>
      </c>
      <c r="B4429" t="s" s="834">
        <v>2990</v>
      </c>
      <c r="C4429" t="s" s="834">
        <v>1702</v>
      </c>
      <c r="D4429" s="835">
        <v>46034</v>
      </c>
      <c r="E4429" s="836">
        <v>1.449918981481481</v>
      </c>
      <c r="F4429" s="836">
        <v>1.612164351851852</v>
      </c>
      <c r="G4429" s="570"/>
      <c r="H4429" s="570"/>
      <c r="I4429" s="570"/>
      <c r="J4429" s="570"/>
      <c r="K4429" s="570"/>
    </row>
    <row r="4430" ht="13.75" customHeight="1">
      <c r="A4430" t="s" s="834">
        <v>2994</v>
      </c>
      <c r="B4430" t="s" s="834">
        <v>2995</v>
      </c>
      <c r="C4430" t="s" s="834">
        <v>2996</v>
      </c>
      <c r="D4430" s="570"/>
      <c r="E4430" s="570"/>
      <c r="F4430" s="570"/>
      <c r="G4430" s="570"/>
      <c r="H4430" s="570"/>
      <c r="I4430" s="570"/>
      <c r="J4430" s="570"/>
      <c r="K4430" s="570"/>
    </row>
    <row r="4431" ht="13.75" customHeight="1">
      <c r="A4431" s="833">
        <v>242</v>
      </c>
      <c r="B4431" t="s" s="834">
        <v>2990</v>
      </c>
      <c r="C4431" t="s" s="834">
        <v>1702</v>
      </c>
      <c r="D4431" s="835">
        <v>46035</v>
      </c>
      <c r="E4431" s="836">
        <v>1.508483796296296</v>
      </c>
      <c r="F4431" s="836">
        <v>1.763472222222222</v>
      </c>
      <c r="G4431" s="570"/>
      <c r="H4431" s="570"/>
      <c r="I4431" s="570"/>
      <c r="J4431" s="570"/>
      <c r="K4431" s="570"/>
    </row>
    <row r="4432" ht="13.75" customHeight="1">
      <c r="A4432" t="s" s="834">
        <v>2997</v>
      </c>
      <c r="B4432" t="s" s="834">
        <v>2998</v>
      </c>
      <c r="C4432" t="s" s="834">
        <v>2999</v>
      </c>
      <c r="D4432" s="570"/>
      <c r="E4432" s="570"/>
      <c r="F4432" s="570"/>
      <c r="G4432" s="570"/>
      <c r="H4432" s="570"/>
      <c r="I4432" s="570"/>
      <c r="J4432" s="570"/>
      <c r="K4432" s="570"/>
    </row>
    <row r="4433" ht="13.75" customHeight="1">
      <c r="A4433" s="833">
        <v>242</v>
      </c>
      <c r="B4433" t="s" s="834">
        <v>2990</v>
      </c>
      <c r="C4433" t="s" s="834">
        <v>1702</v>
      </c>
      <c r="D4433" s="835">
        <v>46036</v>
      </c>
      <c r="E4433" t="s" s="834">
        <v>478</v>
      </c>
      <c r="F4433" t="s" s="834">
        <v>478</v>
      </c>
      <c r="G4433" s="570"/>
      <c r="H4433" s="570"/>
      <c r="I4433" s="570"/>
      <c r="J4433" s="570"/>
      <c r="K4433" s="570"/>
    </row>
    <row r="4434" ht="13.75" customHeight="1">
      <c r="A4434" s="833">
        <v>242</v>
      </c>
      <c r="B4434" t="s" s="834">
        <v>2990</v>
      </c>
      <c r="C4434" t="s" s="834">
        <v>1702</v>
      </c>
      <c r="D4434" s="835">
        <v>46037</v>
      </c>
      <c r="E4434" s="836">
        <v>1.565763888888889</v>
      </c>
      <c r="F4434" t="s" s="834">
        <v>478</v>
      </c>
      <c r="G4434" s="570"/>
      <c r="H4434" s="570"/>
      <c r="I4434" s="570"/>
      <c r="J4434" s="570"/>
      <c r="K4434" s="570"/>
    </row>
    <row r="4435" ht="13.75" customHeight="1">
      <c r="A4435" t="s" s="834">
        <v>3000</v>
      </c>
      <c r="B4435" t="s" s="834">
        <v>485</v>
      </c>
      <c r="C4435" t="s" s="834">
        <v>486</v>
      </c>
      <c r="D4435" s="570"/>
      <c r="E4435" s="570"/>
      <c r="F4435" s="570"/>
      <c r="G4435" s="570"/>
      <c r="H4435" s="570"/>
      <c r="I4435" s="570"/>
      <c r="J4435" s="570"/>
      <c r="K4435" s="570"/>
    </row>
    <row r="4436" ht="13.75" customHeight="1">
      <c r="A4436" s="833">
        <v>242</v>
      </c>
      <c r="B4436" t="s" s="834">
        <v>2990</v>
      </c>
      <c r="C4436" t="s" s="834">
        <v>1702</v>
      </c>
      <c r="D4436" s="835">
        <v>46038</v>
      </c>
      <c r="E4436" t="s" s="834">
        <v>478</v>
      </c>
      <c r="F4436" t="s" s="834">
        <v>478</v>
      </c>
      <c r="G4436" s="570"/>
      <c r="H4436" s="570"/>
      <c r="I4436" s="570"/>
      <c r="J4436" s="570"/>
      <c r="K4436" s="570"/>
    </row>
    <row r="4437" ht="13.75" customHeight="1">
      <c r="A4437" s="833">
        <v>242</v>
      </c>
      <c r="B4437" t="s" s="834">
        <v>2990</v>
      </c>
      <c r="C4437" t="s" s="834">
        <v>1702</v>
      </c>
      <c r="D4437" s="835">
        <v>46039</v>
      </c>
      <c r="E4437" t="s" s="834">
        <v>478</v>
      </c>
      <c r="F4437" t="s" s="834">
        <v>478</v>
      </c>
      <c r="G4437" s="570"/>
      <c r="H4437" s="570"/>
      <c r="I4437" s="570"/>
      <c r="J4437" s="570"/>
      <c r="K4437" s="570"/>
    </row>
    <row r="4438" ht="13.75" customHeight="1">
      <c r="A4438" s="833">
        <v>242</v>
      </c>
      <c r="B4438" t="s" s="834">
        <v>2990</v>
      </c>
      <c r="C4438" t="s" s="834">
        <v>1702</v>
      </c>
      <c r="D4438" s="835">
        <v>46040</v>
      </c>
      <c r="E4438" t="s" s="834">
        <v>478</v>
      </c>
      <c r="F4438" t="s" s="834">
        <v>478</v>
      </c>
      <c r="G4438" s="570"/>
      <c r="H4438" s="570"/>
      <c r="I4438" s="570"/>
      <c r="J4438" s="570"/>
      <c r="K4438" s="570"/>
    </row>
    <row r="4439" ht="13.75" customHeight="1">
      <c r="A4439" s="833">
        <v>242</v>
      </c>
      <c r="B4439" t="s" s="834">
        <v>2990</v>
      </c>
      <c r="C4439" t="s" s="834">
        <v>1702</v>
      </c>
      <c r="D4439" s="835">
        <v>46041</v>
      </c>
      <c r="E4439" t="s" s="834">
        <v>478</v>
      </c>
      <c r="F4439" t="s" s="834">
        <v>478</v>
      </c>
      <c r="G4439" s="570"/>
      <c r="H4439" s="570"/>
      <c r="I4439" s="570"/>
      <c r="J4439" s="570"/>
      <c r="K4439" s="570"/>
    </row>
    <row r="4440" ht="13.75" customHeight="1">
      <c r="A4440" s="833">
        <v>242</v>
      </c>
      <c r="B4440" t="s" s="834">
        <v>2990</v>
      </c>
      <c r="C4440" t="s" s="834">
        <v>1702</v>
      </c>
      <c r="D4440" s="835">
        <v>46042</v>
      </c>
      <c r="E4440" s="836">
        <v>1.785925925925926</v>
      </c>
      <c r="F4440" s="836">
        <v>1.785972222222222</v>
      </c>
      <c r="G4440" s="570"/>
      <c r="H4440" s="570"/>
      <c r="I4440" s="570"/>
      <c r="J4440" s="570"/>
      <c r="K4440" s="570"/>
    </row>
    <row r="4441" ht="13.75" customHeight="1">
      <c r="A4441" t="s" s="834">
        <v>3001</v>
      </c>
      <c r="B4441" t="s" s="834">
        <v>3002</v>
      </c>
      <c r="C4441" t="s" s="834">
        <v>486</v>
      </c>
      <c r="D4441" s="570"/>
      <c r="E4441" s="570"/>
      <c r="F4441" s="570"/>
      <c r="G4441" s="570"/>
      <c r="H4441" s="570"/>
      <c r="I4441" s="570"/>
      <c r="J4441" s="570"/>
      <c r="K4441" s="570"/>
    </row>
    <row r="4442" ht="13.75" customHeight="1">
      <c r="A4442" s="833">
        <v>242</v>
      </c>
      <c r="B4442" t="s" s="834">
        <v>2990</v>
      </c>
      <c r="C4442" t="s" s="834">
        <v>1702</v>
      </c>
      <c r="D4442" s="835">
        <v>46043</v>
      </c>
      <c r="E4442" s="836">
        <v>1.59806712962963</v>
      </c>
      <c r="F4442" t="s" s="834">
        <v>478</v>
      </c>
      <c r="G4442" s="570"/>
      <c r="H4442" s="570"/>
      <c r="I4442" s="570"/>
      <c r="J4442" s="570"/>
      <c r="K4442" s="570"/>
    </row>
    <row r="4443" ht="13.75" customHeight="1">
      <c r="A4443" t="s" s="834">
        <v>3003</v>
      </c>
      <c r="B4443" t="s" s="834">
        <v>485</v>
      </c>
      <c r="C4443" t="s" s="834">
        <v>486</v>
      </c>
      <c r="D4443" s="570"/>
      <c r="E4443" s="570"/>
      <c r="F4443" s="570"/>
      <c r="G4443" s="570"/>
      <c r="H4443" s="570"/>
      <c r="I4443" s="570"/>
      <c r="J4443" s="570"/>
      <c r="K4443" s="570"/>
    </row>
    <row r="4444" ht="13.75" customHeight="1">
      <c r="A4444" s="833">
        <v>242</v>
      </c>
      <c r="B4444" t="s" s="834">
        <v>2990</v>
      </c>
      <c r="C4444" t="s" s="834">
        <v>1702</v>
      </c>
      <c r="D4444" s="835">
        <v>46044</v>
      </c>
      <c r="E4444" s="836">
        <v>1.703217592592593</v>
      </c>
      <c r="F4444" t="s" s="834">
        <v>478</v>
      </c>
      <c r="G4444" s="570"/>
      <c r="H4444" s="570"/>
      <c r="I4444" s="570"/>
      <c r="J4444" s="570"/>
      <c r="K4444" s="570"/>
    </row>
    <row r="4445" ht="13.75" customHeight="1">
      <c r="A4445" t="s" s="834">
        <v>3004</v>
      </c>
      <c r="B4445" t="s" s="834">
        <v>485</v>
      </c>
      <c r="C4445" t="s" s="834">
        <v>486</v>
      </c>
      <c r="D4445" s="570"/>
      <c r="E4445" s="570"/>
      <c r="F4445" s="570"/>
      <c r="G4445" s="570"/>
      <c r="H4445" s="570"/>
      <c r="I4445" s="570"/>
      <c r="J4445" s="570"/>
      <c r="K4445" s="570"/>
    </row>
    <row r="4446" ht="13.75" customHeight="1">
      <c r="A4446" s="833">
        <v>242</v>
      </c>
      <c r="B4446" t="s" s="834">
        <v>2990</v>
      </c>
      <c r="C4446" t="s" s="834">
        <v>1702</v>
      </c>
      <c r="D4446" s="835">
        <v>46045</v>
      </c>
      <c r="E4446" s="836">
        <v>1.670601851851852</v>
      </c>
      <c r="F4446" s="836">
        <v>1.671111111111111</v>
      </c>
      <c r="G4446" s="570"/>
      <c r="H4446" s="570"/>
      <c r="I4446" s="570"/>
      <c r="J4446" s="570"/>
      <c r="K4446" s="570"/>
    </row>
    <row r="4447" ht="13.75" customHeight="1">
      <c r="A4447" t="s" s="834">
        <v>3005</v>
      </c>
      <c r="B4447" t="s" s="834">
        <v>3006</v>
      </c>
      <c r="C4447" t="s" s="834">
        <v>805</v>
      </c>
      <c r="D4447" s="570"/>
      <c r="E4447" s="570"/>
      <c r="F4447" s="570"/>
      <c r="G4447" s="570"/>
      <c r="H4447" s="570"/>
      <c r="I4447" s="570"/>
      <c r="J4447" s="570"/>
      <c r="K4447" s="570"/>
    </row>
    <row r="4448" ht="13.75" customHeight="1">
      <c r="A4448" s="833">
        <v>242</v>
      </c>
      <c r="B4448" t="s" s="834">
        <v>2990</v>
      </c>
      <c r="C4448" t="s" s="834">
        <v>1702</v>
      </c>
      <c r="D4448" s="835">
        <v>46046</v>
      </c>
      <c r="E4448" t="s" s="834">
        <v>478</v>
      </c>
      <c r="F4448" t="s" s="834">
        <v>478</v>
      </c>
      <c r="G4448" s="570"/>
      <c r="H4448" s="570"/>
      <c r="I4448" s="570"/>
      <c r="J4448" s="570"/>
      <c r="K4448" s="570"/>
    </row>
    <row r="4449" ht="13.75" customHeight="1">
      <c r="A4449" s="833">
        <v>242</v>
      </c>
      <c r="B4449" t="s" s="834">
        <v>2990</v>
      </c>
      <c r="C4449" t="s" s="834">
        <v>1702</v>
      </c>
      <c r="D4449" s="835">
        <v>46047</v>
      </c>
      <c r="E4449" t="s" s="834">
        <v>478</v>
      </c>
      <c r="F4449" t="s" s="834">
        <v>478</v>
      </c>
      <c r="G4449" s="570"/>
      <c r="H4449" s="570"/>
      <c r="I4449" s="570"/>
      <c r="J4449" s="570"/>
      <c r="K4449" s="570"/>
    </row>
    <row r="4450" ht="13.75" customHeight="1">
      <c r="A4450" s="833">
        <v>242</v>
      </c>
      <c r="B4450" t="s" s="834">
        <v>2990</v>
      </c>
      <c r="C4450" t="s" s="834">
        <v>1702</v>
      </c>
      <c r="D4450" s="835">
        <v>46048</v>
      </c>
      <c r="E4450" s="836">
        <v>1.584722222222222</v>
      </c>
      <c r="F4450" s="836">
        <v>1.584768518518519</v>
      </c>
      <c r="G4450" s="570"/>
      <c r="H4450" s="570"/>
      <c r="I4450" s="570"/>
      <c r="J4450" s="570"/>
      <c r="K4450" s="570"/>
    </row>
    <row r="4451" ht="13.75" customHeight="1">
      <c r="A4451" t="s" s="834">
        <v>3007</v>
      </c>
      <c r="B4451" t="s" s="834">
        <v>3008</v>
      </c>
      <c r="C4451" t="s" s="834">
        <v>486</v>
      </c>
      <c r="D4451" s="570"/>
      <c r="E4451" s="570"/>
      <c r="F4451" s="570"/>
      <c r="G4451" s="570"/>
      <c r="H4451" s="570"/>
      <c r="I4451" s="570"/>
      <c r="J4451" s="570"/>
      <c r="K4451" s="570"/>
    </row>
    <row r="4452" ht="13.75" customHeight="1">
      <c r="A4452" s="833">
        <v>242</v>
      </c>
      <c r="B4452" t="s" s="834">
        <v>2990</v>
      </c>
      <c r="C4452" t="s" s="834">
        <v>1702</v>
      </c>
      <c r="D4452" s="835">
        <v>46049</v>
      </c>
      <c r="E4452" t="s" s="834">
        <v>478</v>
      </c>
      <c r="F4452" t="s" s="834">
        <v>478</v>
      </c>
      <c r="G4452" s="570"/>
      <c r="H4452" s="570"/>
      <c r="I4452" s="570"/>
      <c r="J4452" s="570"/>
      <c r="K4452" s="570"/>
    </row>
    <row r="4453" ht="13.75" customHeight="1">
      <c r="A4453" s="833">
        <v>242</v>
      </c>
      <c r="B4453" t="s" s="834">
        <v>2990</v>
      </c>
      <c r="C4453" t="s" s="834">
        <v>1702</v>
      </c>
      <c r="D4453" s="835">
        <v>46050</v>
      </c>
      <c r="E4453" s="836">
        <v>1.501458333333333</v>
      </c>
      <c r="F4453" s="836">
        <v>1.501921296296296</v>
      </c>
      <c r="G4453" s="570"/>
      <c r="H4453" s="570"/>
      <c r="I4453" s="570"/>
      <c r="J4453" s="570"/>
      <c r="K4453" s="570"/>
    </row>
    <row r="4454" ht="13.75" customHeight="1">
      <c r="A4454" t="s" s="834">
        <v>3009</v>
      </c>
      <c r="B4454" t="s" s="834">
        <v>3010</v>
      </c>
      <c r="C4454" t="s" s="834">
        <v>805</v>
      </c>
      <c r="D4454" s="570"/>
      <c r="E4454" s="570"/>
      <c r="F4454" s="570"/>
      <c r="G4454" s="570"/>
      <c r="H4454" s="570"/>
      <c r="I4454" s="570"/>
      <c r="J4454" s="570"/>
      <c r="K4454" s="570"/>
    </row>
    <row r="4455" ht="13.75" customHeight="1">
      <c r="A4455" s="833">
        <v>242</v>
      </c>
      <c r="B4455" t="s" s="834">
        <v>2990</v>
      </c>
      <c r="C4455" t="s" s="834">
        <v>1702</v>
      </c>
      <c r="D4455" s="835">
        <v>46051</v>
      </c>
      <c r="E4455" t="s" s="834">
        <v>478</v>
      </c>
      <c r="F4455" t="s" s="834">
        <v>478</v>
      </c>
      <c r="G4455" s="570"/>
      <c r="H4455" s="570"/>
      <c r="I4455" s="570"/>
      <c r="J4455" s="570"/>
      <c r="K4455" s="570"/>
    </row>
    <row r="4456" ht="13.75" customHeight="1">
      <c r="A4456" s="833">
        <v>242</v>
      </c>
      <c r="B4456" t="s" s="834">
        <v>2990</v>
      </c>
      <c r="C4456" t="s" s="834">
        <v>1702</v>
      </c>
      <c r="D4456" s="835">
        <v>46052</v>
      </c>
      <c r="E4456" s="836">
        <v>1.739317129629629</v>
      </c>
      <c r="F4456" t="s" s="834">
        <v>478</v>
      </c>
      <c r="G4456" s="570"/>
      <c r="H4456" s="570"/>
      <c r="I4456" s="570"/>
      <c r="J4456" s="570"/>
      <c r="K4456" s="570"/>
    </row>
    <row r="4457" ht="13.75" customHeight="1">
      <c r="A4457" t="s" s="834">
        <v>3011</v>
      </c>
      <c r="B4457" t="s" s="834">
        <v>485</v>
      </c>
      <c r="C4457" t="s" s="834">
        <v>486</v>
      </c>
      <c r="D4457" s="570"/>
      <c r="E4457" s="570"/>
      <c r="F4457" s="570"/>
      <c r="G4457" s="570"/>
      <c r="H4457" s="570"/>
      <c r="I4457" s="570"/>
      <c r="J4457" s="570"/>
      <c r="K4457" s="570"/>
    </row>
    <row r="4458" ht="13.75" customHeight="1">
      <c r="A4458" s="833">
        <v>242</v>
      </c>
      <c r="B4458" t="s" s="834">
        <v>2990</v>
      </c>
      <c r="C4458" t="s" s="834">
        <v>1702</v>
      </c>
      <c r="D4458" s="835">
        <v>46053</v>
      </c>
      <c r="E4458" t="s" s="834">
        <v>478</v>
      </c>
      <c r="F4458" t="s" s="834">
        <v>478</v>
      </c>
      <c r="G4458" s="570"/>
      <c r="H4458" s="570"/>
      <c r="I4458" s="570"/>
      <c r="J4458" s="570"/>
      <c r="K4458" s="570"/>
    </row>
    <row r="4459" ht="13.75" customHeight="1">
      <c r="A4459" s="833">
        <v>242</v>
      </c>
      <c r="B4459" t="s" s="834">
        <v>2990</v>
      </c>
      <c r="C4459" t="s" s="834">
        <v>1702</v>
      </c>
      <c r="D4459" s="835">
        <v>46054</v>
      </c>
      <c r="E4459" t="s" s="834">
        <v>478</v>
      </c>
      <c r="F4459" t="s" s="834">
        <v>478</v>
      </c>
      <c r="G4459" s="570"/>
      <c r="H4459" s="570"/>
      <c r="I4459" s="570"/>
      <c r="J4459" s="570"/>
      <c r="K4459" s="570"/>
    </row>
    <row r="4460" ht="13.75" customHeight="1">
      <c r="A4460" s="833">
        <v>243</v>
      </c>
      <c r="B4460" t="s" s="834">
        <v>3012</v>
      </c>
      <c r="C4460" t="s" s="834">
        <v>700</v>
      </c>
      <c r="D4460" s="835">
        <v>46023</v>
      </c>
      <c r="E4460" t="s" s="834">
        <v>478</v>
      </c>
      <c r="F4460" t="s" s="834">
        <v>478</v>
      </c>
      <c r="G4460" s="570"/>
      <c r="H4460" s="570"/>
      <c r="I4460" s="570"/>
      <c r="J4460" s="570"/>
      <c r="K4460" s="570"/>
    </row>
    <row r="4461" ht="13.75" customHeight="1">
      <c r="A4461" s="833">
        <v>243</v>
      </c>
      <c r="B4461" t="s" s="834">
        <v>3012</v>
      </c>
      <c r="C4461" t="s" s="834">
        <v>700</v>
      </c>
      <c r="D4461" s="835">
        <v>46024</v>
      </c>
      <c r="E4461" t="s" s="834">
        <v>478</v>
      </c>
      <c r="F4461" t="s" s="834">
        <v>478</v>
      </c>
      <c r="G4461" s="570"/>
      <c r="H4461" s="570"/>
      <c r="I4461" s="570"/>
      <c r="J4461" s="570"/>
      <c r="K4461" s="570"/>
    </row>
    <row r="4462" ht="13.75" customHeight="1">
      <c r="A4462" s="833">
        <v>243</v>
      </c>
      <c r="B4462" t="s" s="834">
        <v>3012</v>
      </c>
      <c r="C4462" t="s" s="834">
        <v>700</v>
      </c>
      <c r="D4462" s="835">
        <v>46025</v>
      </c>
      <c r="E4462" t="s" s="834">
        <v>478</v>
      </c>
      <c r="F4462" t="s" s="834">
        <v>478</v>
      </c>
      <c r="G4462" s="570"/>
      <c r="H4462" s="570"/>
      <c r="I4462" s="570"/>
      <c r="J4462" s="570"/>
      <c r="K4462" s="570"/>
    </row>
    <row r="4463" ht="13.75" customHeight="1">
      <c r="A4463" s="833">
        <v>243</v>
      </c>
      <c r="B4463" t="s" s="834">
        <v>3012</v>
      </c>
      <c r="C4463" t="s" s="834">
        <v>700</v>
      </c>
      <c r="D4463" s="835">
        <v>46026</v>
      </c>
      <c r="E4463" t="s" s="834">
        <v>478</v>
      </c>
      <c r="F4463" t="s" s="834">
        <v>478</v>
      </c>
      <c r="G4463" s="570"/>
      <c r="H4463" s="570"/>
      <c r="I4463" s="570"/>
      <c r="J4463" s="570"/>
      <c r="K4463" s="570"/>
    </row>
    <row r="4464" ht="13.75" customHeight="1">
      <c r="A4464" s="833">
        <v>243</v>
      </c>
      <c r="B4464" t="s" s="834">
        <v>3012</v>
      </c>
      <c r="C4464" t="s" s="834">
        <v>700</v>
      </c>
      <c r="D4464" s="835">
        <v>46027</v>
      </c>
      <c r="E4464" s="836">
        <v>1.378275462962963</v>
      </c>
      <c r="F4464" s="836">
        <v>1.828784722222222</v>
      </c>
      <c r="G4464" s="570"/>
      <c r="H4464" s="570"/>
      <c r="I4464" s="570"/>
      <c r="J4464" s="570"/>
      <c r="K4464" s="570"/>
    </row>
    <row r="4465" ht="13.75" customHeight="1">
      <c r="A4465" t="s" s="834">
        <v>3013</v>
      </c>
      <c r="B4465" t="s" s="834">
        <v>3014</v>
      </c>
      <c r="C4465" t="s" s="834">
        <v>2572</v>
      </c>
      <c r="D4465" s="570"/>
      <c r="E4465" s="570"/>
      <c r="F4465" s="570"/>
      <c r="G4465" s="570"/>
      <c r="H4465" s="570"/>
      <c r="I4465" s="570"/>
      <c r="J4465" s="570"/>
      <c r="K4465" s="570"/>
    </row>
    <row r="4466" ht="13.75" customHeight="1">
      <c r="A4466" s="833">
        <v>243</v>
      </c>
      <c r="B4466" t="s" s="834">
        <v>3012</v>
      </c>
      <c r="C4466" t="s" s="834">
        <v>700</v>
      </c>
      <c r="D4466" s="835">
        <v>46028</v>
      </c>
      <c r="E4466" s="836">
        <v>1.404305555555555</v>
      </c>
      <c r="F4466" s="836">
        <v>1.775856481481481</v>
      </c>
      <c r="G4466" s="570"/>
      <c r="H4466" s="570"/>
      <c r="I4466" s="570"/>
      <c r="J4466" s="570"/>
      <c r="K4466" s="570"/>
    </row>
    <row r="4467" ht="13.75" customHeight="1">
      <c r="A4467" t="s" s="834">
        <v>3015</v>
      </c>
      <c r="B4467" t="s" s="834">
        <v>3016</v>
      </c>
      <c r="C4467" t="s" s="834">
        <v>1249</v>
      </c>
      <c r="D4467" s="570"/>
      <c r="E4467" s="570"/>
      <c r="F4467" s="570"/>
      <c r="G4467" s="570"/>
      <c r="H4467" s="570"/>
      <c r="I4467" s="570"/>
      <c r="J4467" s="570"/>
      <c r="K4467" s="570"/>
    </row>
    <row r="4468" ht="13.75" customHeight="1">
      <c r="A4468" s="833">
        <v>243</v>
      </c>
      <c r="B4468" t="s" s="834">
        <v>3012</v>
      </c>
      <c r="C4468" t="s" s="834">
        <v>700</v>
      </c>
      <c r="D4468" s="835">
        <v>46029</v>
      </c>
      <c r="E4468" s="836">
        <v>1.580659722222222</v>
      </c>
      <c r="F4468" s="836">
        <v>1.85162037037037</v>
      </c>
      <c r="G4468" s="570"/>
      <c r="H4468" s="570"/>
      <c r="I4468" s="570"/>
      <c r="J4468" s="570"/>
      <c r="K4468" s="570"/>
    </row>
    <row r="4469" ht="13.75" customHeight="1">
      <c r="A4469" t="s" s="834">
        <v>3017</v>
      </c>
      <c r="B4469" t="s" s="834">
        <v>3018</v>
      </c>
      <c r="C4469" t="s" s="834">
        <v>3019</v>
      </c>
      <c r="D4469" s="570"/>
      <c r="E4469" s="570"/>
      <c r="F4469" s="570"/>
      <c r="G4469" s="570"/>
      <c r="H4469" s="570"/>
      <c r="I4469" s="570"/>
      <c r="J4469" s="570"/>
      <c r="K4469" s="570"/>
    </row>
    <row r="4470" ht="13.75" customHeight="1">
      <c r="A4470" s="833">
        <v>243</v>
      </c>
      <c r="B4470" t="s" s="834">
        <v>3012</v>
      </c>
      <c r="C4470" t="s" s="834">
        <v>700</v>
      </c>
      <c r="D4470" s="835">
        <v>46030</v>
      </c>
      <c r="E4470" s="836">
        <v>1.568784722222222</v>
      </c>
      <c r="F4470" s="836">
        <v>1.832743055555556</v>
      </c>
      <c r="G4470" s="570"/>
      <c r="H4470" s="570"/>
      <c r="I4470" s="570"/>
      <c r="J4470" s="570"/>
      <c r="K4470" s="570"/>
    </row>
    <row r="4471" ht="13.75" customHeight="1">
      <c r="A4471" t="s" s="834">
        <v>3020</v>
      </c>
      <c r="B4471" t="s" s="834">
        <v>3021</v>
      </c>
      <c r="C4471" t="s" s="834">
        <v>3022</v>
      </c>
      <c r="D4471" s="570"/>
      <c r="E4471" s="570"/>
      <c r="F4471" s="570"/>
      <c r="G4471" s="570"/>
      <c r="H4471" s="570"/>
      <c r="I4471" s="570"/>
      <c r="J4471" s="570"/>
      <c r="K4471" s="570"/>
    </row>
    <row r="4472" ht="13.75" customHeight="1">
      <c r="A4472" s="833">
        <v>243</v>
      </c>
      <c r="B4472" t="s" s="834">
        <v>3012</v>
      </c>
      <c r="C4472" t="s" s="834">
        <v>700</v>
      </c>
      <c r="D4472" s="835">
        <v>46031</v>
      </c>
      <c r="E4472" s="836">
        <v>1.607152777777778</v>
      </c>
      <c r="F4472" s="836">
        <v>1.763518518518518</v>
      </c>
      <c r="G4472" s="570"/>
      <c r="H4472" s="570"/>
      <c r="I4472" s="570"/>
      <c r="J4472" s="570"/>
      <c r="K4472" s="570"/>
    </row>
    <row r="4473" ht="13.75" customHeight="1">
      <c r="A4473" t="s" s="834">
        <v>3023</v>
      </c>
      <c r="B4473" t="s" s="834">
        <v>3024</v>
      </c>
      <c r="C4473" t="s" s="834">
        <v>3025</v>
      </c>
      <c r="D4473" s="570"/>
      <c r="E4473" s="570"/>
      <c r="F4473" s="570"/>
      <c r="G4473" s="570"/>
      <c r="H4473" s="570"/>
      <c r="I4473" s="570"/>
      <c r="J4473" s="570"/>
      <c r="K4473" s="570"/>
    </row>
    <row r="4474" ht="13.75" customHeight="1">
      <c r="A4474" s="833">
        <v>243</v>
      </c>
      <c r="B4474" t="s" s="834">
        <v>3012</v>
      </c>
      <c r="C4474" t="s" s="834">
        <v>700</v>
      </c>
      <c r="D4474" s="835">
        <v>46032</v>
      </c>
      <c r="E4474" t="s" s="834">
        <v>478</v>
      </c>
      <c r="F4474" t="s" s="834">
        <v>478</v>
      </c>
      <c r="G4474" s="570"/>
      <c r="H4474" s="570"/>
      <c r="I4474" s="570"/>
      <c r="J4474" s="570"/>
      <c r="K4474" s="570"/>
    </row>
    <row r="4475" ht="13.75" customHeight="1">
      <c r="A4475" s="833">
        <v>243</v>
      </c>
      <c r="B4475" t="s" s="834">
        <v>3012</v>
      </c>
      <c r="C4475" t="s" s="834">
        <v>700</v>
      </c>
      <c r="D4475" s="835">
        <v>46033</v>
      </c>
      <c r="E4475" s="836">
        <v>1.615625</v>
      </c>
      <c r="F4475" s="836">
        <v>1.759965277777778</v>
      </c>
      <c r="G4475" s="570"/>
      <c r="H4475" s="570"/>
      <c r="I4475" s="570"/>
      <c r="J4475" s="570"/>
      <c r="K4475" s="570"/>
    </row>
    <row r="4476" ht="13.75" customHeight="1">
      <c r="A4476" t="s" s="834">
        <v>3026</v>
      </c>
      <c r="B4476" t="s" s="834">
        <v>3027</v>
      </c>
      <c r="C4476" t="s" s="834">
        <v>1993</v>
      </c>
      <c r="D4476" s="570"/>
      <c r="E4476" s="570"/>
      <c r="F4476" s="570"/>
      <c r="G4476" s="570"/>
      <c r="H4476" s="570"/>
      <c r="I4476" s="570"/>
      <c r="J4476" s="570"/>
      <c r="K4476" s="570"/>
    </row>
    <row r="4477" ht="13.75" customHeight="1">
      <c r="A4477" s="833">
        <v>243</v>
      </c>
      <c r="B4477" t="s" s="834">
        <v>3012</v>
      </c>
      <c r="C4477" t="s" s="834">
        <v>700</v>
      </c>
      <c r="D4477" s="835">
        <v>46034</v>
      </c>
      <c r="E4477" s="836">
        <v>1.565335648148148</v>
      </c>
      <c r="F4477" s="836">
        <v>1.856331018518519</v>
      </c>
      <c r="G4477" s="570"/>
      <c r="H4477" s="570"/>
      <c r="I4477" s="570"/>
      <c r="J4477" s="570"/>
      <c r="K4477" s="570"/>
    </row>
    <row r="4478" ht="13.75" customHeight="1">
      <c r="A4478" t="s" s="834">
        <v>3028</v>
      </c>
      <c r="B4478" t="s" s="834">
        <v>3029</v>
      </c>
      <c r="C4478" t="s" s="834">
        <v>3030</v>
      </c>
      <c r="D4478" s="570"/>
      <c r="E4478" s="570"/>
      <c r="F4478" s="570"/>
      <c r="G4478" s="570"/>
      <c r="H4478" s="570"/>
      <c r="I4478" s="570"/>
      <c r="J4478" s="570"/>
      <c r="K4478" s="570"/>
    </row>
    <row r="4479" ht="13.75" customHeight="1">
      <c r="A4479" s="833">
        <v>243</v>
      </c>
      <c r="B4479" t="s" s="834">
        <v>3012</v>
      </c>
      <c r="C4479" t="s" s="834">
        <v>700</v>
      </c>
      <c r="D4479" s="835">
        <v>46035</v>
      </c>
      <c r="E4479" s="836">
        <v>1.35681712962963</v>
      </c>
      <c r="F4479" s="836">
        <v>1.857951388888889</v>
      </c>
      <c r="G4479" s="570"/>
      <c r="H4479" s="570"/>
      <c r="I4479" s="570"/>
      <c r="J4479" s="570"/>
      <c r="K4479" s="570"/>
    </row>
    <row r="4480" ht="13.75" customHeight="1">
      <c r="A4480" t="s" s="834">
        <v>3031</v>
      </c>
      <c r="B4480" t="s" s="834">
        <v>3032</v>
      </c>
      <c r="C4480" t="s" s="834">
        <v>3033</v>
      </c>
      <c r="D4480" s="570"/>
      <c r="E4480" s="570"/>
      <c r="F4480" s="570"/>
      <c r="G4480" s="570"/>
      <c r="H4480" s="570"/>
      <c r="I4480" s="570"/>
      <c r="J4480" s="570"/>
      <c r="K4480" s="570"/>
    </row>
    <row r="4481" ht="13.75" customHeight="1">
      <c r="A4481" s="833">
        <v>243</v>
      </c>
      <c r="B4481" t="s" s="834">
        <v>3012</v>
      </c>
      <c r="C4481" t="s" s="834">
        <v>700</v>
      </c>
      <c r="D4481" s="835">
        <v>46036</v>
      </c>
      <c r="E4481" s="836">
        <v>1.347615740740741</v>
      </c>
      <c r="F4481" s="836">
        <v>1.929375</v>
      </c>
      <c r="G4481" s="570"/>
      <c r="H4481" s="570"/>
      <c r="I4481" s="570"/>
      <c r="J4481" s="570"/>
      <c r="K4481" s="570"/>
    </row>
    <row r="4482" ht="13.75" customHeight="1">
      <c r="A4482" t="s" s="834">
        <v>3034</v>
      </c>
      <c r="B4482" t="s" s="834">
        <v>3035</v>
      </c>
      <c r="C4482" t="s" s="834">
        <v>3036</v>
      </c>
      <c r="D4482" s="570"/>
      <c r="E4482" s="570"/>
      <c r="F4482" s="570"/>
      <c r="G4482" s="570"/>
      <c r="H4482" s="570"/>
      <c r="I4482" s="570"/>
      <c r="J4482" s="570"/>
      <c r="K4482" s="570"/>
    </row>
    <row r="4483" ht="13.75" customHeight="1">
      <c r="A4483" s="833">
        <v>243</v>
      </c>
      <c r="B4483" t="s" s="834">
        <v>3012</v>
      </c>
      <c r="C4483" t="s" s="834">
        <v>700</v>
      </c>
      <c r="D4483" s="835">
        <v>46037</v>
      </c>
      <c r="E4483" s="836">
        <v>1.359803240740741</v>
      </c>
      <c r="F4483" s="836">
        <v>1.793460648148148</v>
      </c>
      <c r="G4483" s="570"/>
      <c r="H4483" s="570"/>
      <c r="I4483" s="570"/>
      <c r="J4483" s="570"/>
      <c r="K4483" s="570"/>
    </row>
    <row r="4484" ht="13.75" customHeight="1">
      <c r="A4484" t="s" s="834">
        <v>3037</v>
      </c>
      <c r="B4484" t="s" s="834">
        <v>3038</v>
      </c>
      <c r="C4484" t="s" s="834">
        <v>1149</v>
      </c>
      <c r="D4484" s="570"/>
      <c r="E4484" s="570"/>
      <c r="F4484" s="570"/>
      <c r="G4484" s="570"/>
      <c r="H4484" s="570"/>
      <c r="I4484" s="570"/>
      <c r="J4484" s="570"/>
      <c r="K4484" s="570"/>
    </row>
    <row r="4485" ht="13.75" customHeight="1">
      <c r="A4485" s="833">
        <v>243</v>
      </c>
      <c r="B4485" t="s" s="834">
        <v>3012</v>
      </c>
      <c r="C4485" t="s" s="834">
        <v>700</v>
      </c>
      <c r="D4485" s="835">
        <v>46038</v>
      </c>
      <c r="E4485" s="836">
        <v>1.362581018518519</v>
      </c>
      <c r="F4485" s="836">
        <v>1.794085648148148</v>
      </c>
      <c r="G4485" s="570"/>
      <c r="H4485" s="570"/>
      <c r="I4485" s="570"/>
      <c r="J4485" s="570"/>
      <c r="K4485" s="570"/>
    </row>
    <row r="4486" ht="13.75" customHeight="1">
      <c r="A4486" t="s" s="834">
        <v>3039</v>
      </c>
      <c r="B4486" t="s" s="834">
        <v>3040</v>
      </c>
      <c r="C4486" t="s" s="834">
        <v>2318</v>
      </c>
      <c r="D4486" s="570"/>
      <c r="E4486" s="570"/>
      <c r="F4486" s="570"/>
      <c r="G4486" s="570"/>
      <c r="H4486" s="570"/>
      <c r="I4486" s="570"/>
      <c r="J4486" s="570"/>
      <c r="K4486" s="570"/>
    </row>
    <row r="4487" ht="13.75" customHeight="1">
      <c r="A4487" s="833">
        <v>243</v>
      </c>
      <c r="B4487" t="s" s="834">
        <v>3012</v>
      </c>
      <c r="C4487" t="s" s="834">
        <v>700</v>
      </c>
      <c r="D4487" s="835">
        <v>46039</v>
      </c>
      <c r="E4487" t="s" s="834">
        <v>478</v>
      </c>
      <c r="F4487" t="s" s="834">
        <v>478</v>
      </c>
      <c r="G4487" s="570"/>
      <c r="H4487" s="570"/>
      <c r="I4487" s="570"/>
      <c r="J4487" s="570"/>
      <c r="K4487" s="570"/>
    </row>
    <row r="4488" ht="13.75" customHeight="1">
      <c r="A4488" s="833">
        <v>243</v>
      </c>
      <c r="B4488" t="s" s="834">
        <v>3012</v>
      </c>
      <c r="C4488" t="s" s="834">
        <v>700</v>
      </c>
      <c r="D4488" s="835">
        <v>46040</v>
      </c>
      <c r="E4488" t="s" s="834">
        <v>478</v>
      </c>
      <c r="F4488" t="s" s="834">
        <v>478</v>
      </c>
      <c r="G4488" s="570"/>
      <c r="H4488" s="570"/>
      <c r="I4488" s="570"/>
      <c r="J4488" s="570"/>
      <c r="K4488" s="570"/>
    </row>
    <row r="4489" ht="13.75" customHeight="1">
      <c r="A4489" s="833">
        <v>243</v>
      </c>
      <c r="B4489" t="s" s="834">
        <v>3012</v>
      </c>
      <c r="C4489" t="s" s="834">
        <v>700</v>
      </c>
      <c r="D4489" s="835">
        <v>46041</v>
      </c>
      <c r="E4489" s="836">
        <v>1.570763888888889</v>
      </c>
      <c r="F4489" s="836">
        <v>1.850081018518519</v>
      </c>
      <c r="G4489" s="570"/>
      <c r="H4489" s="570"/>
      <c r="I4489" s="570"/>
      <c r="J4489" s="570"/>
      <c r="K4489" s="570"/>
    </row>
    <row r="4490" ht="13.75" customHeight="1">
      <c r="A4490" t="s" s="834">
        <v>3041</v>
      </c>
      <c r="B4490" t="s" s="834">
        <v>3042</v>
      </c>
      <c r="C4490" t="s" s="834">
        <v>3043</v>
      </c>
      <c r="D4490" s="570"/>
      <c r="E4490" s="570"/>
      <c r="F4490" s="570"/>
      <c r="G4490" s="570"/>
      <c r="H4490" s="570"/>
      <c r="I4490" s="570"/>
      <c r="J4490" s="570"/>
      <c r="K4490" s="570"/>
    </row>
    <row r="4491" ht="13.75" customHeight="1">
      <c r="A4491" s="833">
        <v>243</v>
      </c>
      <c r="B4491" t="s" s="834">
        <v>3012</v>
      </c>
      <c r="C4491" t="s" s="834">
        <v>700</v>
      </c>
      <c r="D4491" s="835">
        <v>46042</v>
      </c>
      <c r="E4491" s="836">
        <v>1.357233796296296</v>
      </c>
      <c r="F4491" s="836">
        <v>1.86505787037037</v>
      </c>
      <c r="G4491" s="570"/>
      <c r="H4491" s="570"/>
      <c r="I4491" s="570"/>
      <c r="J4491" s="570"/>
      <c r="K4491" s="570"/>
    </row>
    <row r="4492" ht="13.75" customHeight="1">
      <c r="A4492" t="s" s="834">
        <v>3044</v>
      </c>
      <c r="B4492" t="s" s="834">
        <v>3045</v>
      </c>
      <c r="C4492" t="s" s="834">
        <v>3046</v>
      </c>
      <c r="D4492" s="570"/>
      <c r="E4492" s="570"/>
      <c r="F4492" s="570"/>
      <c r="G4492" s="570"/>
      <c r="H4492" s="570"/>
      <c r="I4492" s="570"/>
      <c r="J4492" s="570"/>
      <c r="K4492" s="570"/>
    </row>
    <row r="4493" ht="13.75" customHeight="1">
      <c r="A4493" s="833">
        <v>243</v>
      </c>
      <c r="B4493" t="s" s="834">
        <v>3012</v>
      </c>
      <c r="C4493" t="s" s="834">
        <v>700</v>
      </c>
      <c r="D4493" s="835">
        <v>46043</v>
      </c>
      <c r="E4493" s="836">
        <v>1.567256944444444</v>
      </c>
      <c r="F4493" s="836">
        <v>1.841747685185185</v>
      </c>
      <c r="G4493" s="570"/>
      <c r="H4493" s="570"/>
      <c r="I4493" s="570"/>
      <c r="J4493" s="570"/>
      <c r="K4493" s="570"/>
    </row>
    <row r="4494" ht="13.75" customHeight="1">
      <c r="A4494" t="s" s="834">
        <v>3047</v>
      </c>
      <c r="B4494" t="s" s="834">
        <v>3048</v>
      </c>
      <c r="C4494" t="s" s="834">
        <v>2885</v>
      </c>
      <c r="D4494" s="570"/>
      <c r="E4494" s="570"/>
      <c r="F4494" s="570"/>
      <c r="G4494" s="570"/>
      <c r="H4494" s="570"/>
      <c r="I4494" s="570"/>
      <c r="J4494" s="570"/>
      <c r="K4494" s="570"/>
    </row>
    <row r="4495" ht="13.75" customHeight="1">
      <c r="A4495" s="833">
        <v>243</v>
      </c>
      <c r="B4495" t="s" s="834">
        <v>3012</v>
      </c>
      <c r="C4495" t="s" s="834">
        <v>700</v>
      </c>
      <c r="D4495" s="835">
        <v>46044</v>
      </c>
      <c r="E4495" s="836">
        <v>1.695763888888889</v>
      </c>
      <c r="F4495" s="836">
        <v>1.850601851851852</v>
      </c>
      <c r="G4495" s="570"/>
      <c r="H4495" s="570"/>
      <c r="I4495" s="570"/>
      <c r="J4495" s="570"/>
      <c r="K4495" s="570"/>
    </row>
    <row r="4496" ht="13.75" customHeight="1">
      <c r="A4496" t="s" s="834">
        <v>3049</v>
      </c>
      <c r="B4496" t="s" s="834">
        <v>3050</v>
      </c>
      <c r="C4496" t="s" s="834">
        <v>2988</v>
      </c>
      <c r="D4496" s="570"/>
      <c r="E4496" s="570"/>
      <c r="F4496" s="570"/>
      <c r="G4496" s="570"/>
      <c r="H4496" s="570"/>
      <c r="I4496" s="570"/>
      <c r="J4496" s="570"/>
      <c r="K4496" s="570"/>
    </row>
    <row r="4497" ht="13.75" customHeight="1">
      <c r="A4497" s="833">
        <v>243</v>
      </c>
      <c r="B4497" t="s" s="834">
        <v>3012</v>
      </c>
      <c r="C4497" t="s" s="834">
        <v>700</v>
      </c>
      <c r="D4497" s="835">
        <v>46045</v>
      </c>
      <c r="E4497" t="s" s="834">
        <v>478</v>
      </c>
      <c r="F4497" t="s" s="834">
        <v>478</v>
      </c>
      <c r="G4497" s="570"/>
      <c r="H4497" s="570"/>
      <c r="I4497" s="570"/>
      <c r="J4497" s="570"/>
      <c r="K4497" s="570"/>
    </row>
    <row r="4498" ht="13.75" customHeight="1">
      <c r="A4498" s="833">
        <v>243</v>
      </c>
      <c r="B4498" t="s" s="834">
        <v>3012</v>
      </c>
      <c r="C4498" t="s" s="834">
        <v>700</v>
      </c>
      <c r="D4498" s="835">
        <v>46046</v>
      </c>
      <c r="E4498" t="s" s="834">
        <v>478</v>
      </c>
      <c r="F4498" t="s" s="834">
        <v>478</v>
      </c>
      <c r="G4498" s="570"/>
      <c r="H4498" s="570"/>
      <c r="I4498" s="570"/>
      <c r="J4498" s="570"/>
      <c r="K4498" s="570"/>
    </row>
    <row r="4499" ht="13.75" customHeight="1">
      <c r="A4499" s="833">
        <v>243</v>
      </c>
      <c r="B4499" t="s" s="834">
        <v>3012</v>
      </c>
      <c r="C4499" t="s" s="834">
        <v>700</v>
      </c>
      <c r="D4499" s="835">
        <v>46047</v>
      </c>
      <c r="E4499" s="836">
        <v>1.587337962962963</v>
      </c>
      <c r="F4499" s="836">
        <v>1.721956018518519</v>
      </c>
      <c r="G4499" s="570"/>
      <c r="H4499" s="570"/>
      <c r="I4499" s="570"/>
      <c r="J4499" s="570"/>
      <c r="K4499" s="570"/>
    </row>
    <row r="4500" ht="13.75" customHeight="1">
      <c r="A4500" t="s" s="834">
        <v>3051</v>
      </c>
      <c r="B4500" t="s" s="834">
        <v>3052</v>
      </c>
      <c r="C4500" t="s" s="834">
        <v>3053</v>
      </c>
      <c r="D4500" s="570"/>
      <c r="E4500" s="570"/>
      <c r="F4500" s="570"/>
      <c r="G4500" s="570"/>
      <c r="H4500" s="570"/>
      <c r="I4500" s="570"/>
      <c r="J4500" s="570"/>
      <c r="K4500" s="570"/>
    </row>
    <row r="4501" ht="13.75" customHeight="1">
      <c r="A4501" s="833">
        <v>243</v>
      </c>
      <c r="B4501" t="s" s="834">
        <v>3012</v>
      </c>
      <c r="C4501" t="s" s="834">
        <v>700</v>
      </c>
      <c r="D4501" s="835">
        <v>46048</v>
      </c>
      <c r="E4501" s="836">
        <v>1.379490740740741</v>
      </c>
      <c r="F4501" s="836">
        <v>1.825555555555556</v>
      </c>
      <c r="G4501" s="570"/>
      <c r="H4501" s="570"/>
      <c r="I4501" s="570"/>
      <c r="J4501" s="570"/>
      <c r="K4501" s="570"/>
    </row>
    <row r="4502" ht="13.75" customHeight="1">
      <c r="A4502" t="s" s="834">
        <v>3054</v>
      </c>
      <c r="B4502" t="s" s="834">
        <v>3055</v>
      </c>
      <c r="C4502" t="s" s="834">
        <v>1542</v>
      </c>
      <c r="D4502" s="570"/>
      <c r="E4502" s="570"/>
      <c r="F4502" s="570"/>
      <c r="G4502" s="570"/>
      <c r="H4502" s="570"/>
      <c r="I4502" s="570"/>
      <c r="J4502" s="570"/>
      <c r="K4502" s="570"/>
    </row>
    <row r="4503" ht="13.75" customHeight="1">
      <c r="A4503" s="833">
        <v>243</v>
      </c>
      <c r="B4503" t="s" s="834">
        <v>3012</v>
      </c>
      <c r="C4503" t="s" s="834">
        <v>700</v>
      </c>
      <c r="D4503" s="835">
        <v>46049</v>
      </c>
      <c r="E4503" s="836">
        <v>1.567407407407407</v>
      </c>
      <c r="F4503" s="836">
        <v>1.737673611111111</v>
      </c>
      <c r="G4503" s="570"/>
      <c r="H4503" s="570"/>
      <c r="I4503" s="570"/>
      <c r="J4503" s="570"/>
      <c r="K4503" s="570"/>
    </row>
    <row r="4504" ht="13.75" customHeight="1">
      <c r="A4504" t="s" s="834">
        <v>3056</v>
      </c>
      <c r="B4504" t="s" s="834">
        <v>3057</v>
      </c>
      <c r="C4504" t="s" s="834">
        <v>3058</v>
      </c>
      <c r="D4504" s="570"/>
      <c r="E4504" s="570"/>
      <c r="F4504" s="570"/>
      <c r="G4504" s="570"/>
      <c r="H4504" s="570"/>
      <c r="I4504" s="570"/>
      <c r="J4504" s="570"/>
      <c r="K4504" s="570"/>
    </row>
    <row r="4505" ht="13.75" customHeight="1">
      <c r="A4505" s="833">
        <v>243</v>
      </c>
      <c r="B4505" t="s" s="834">
        <v>3012</v>
      </c>
      <c r="C4505" t="s" s="834">
        <v>700</v>
      </c>
      <c r="D4505" s="835">
        <v>46050</v>
      </c>
      <c r="E4505" s="836">
        <v>1.662546296296296</v>
      </c>
      <c r="F4505" s="836">
        <v>1.82130787037037</v>
      </c>
      <c r="G4505" s="570"/>
      <c r="H4505" s="570"/>
      <c r="I4505" s="570"/>
      <c r="J4505" s="570"/>
      <c r="K4505" s="570"/>
    </row>
    <row r="4506" ht="13.75" customHeight="1">
      <c r="A4506" t="s" s="834">
        <v>3059</v>
      </c>
      <c r="B4506" t="s" s="834">
        <v>3060</v>
      </c>
      <c r="C4506" t="s" s="834">
        <v>3061</v>
      </c>
      <c r="D4506" s="570"/>
      <c r="E4506" s="570"/>
      <c r="F4506" s="570"/>
      <c r="G4506" s="570"/>
      <c r="H4506" s="570"/>
      <c r="I4506" s="570"/>
      <c r="J4506" s="570"/>
      <c r="K4506" s="570"/>
    </row>
    <row r="4507" ht="13.75" customHeight="1">
      <c r="A4507" s="833">
        <v>243</v>
      </c>
      <c r="B4507" t="s" s="834">
        <v>3012</v>
      </c>
      <c r="C4507" t="s" s="834">
        <v>700</v>
      </c>
      <c r="D4507" s="835">
        <v>46051</v>
      </c>
      <c r="E4507" s="836">
        <v>1.390497685185185</v>
      </c>
      <c r="F4507" s="836">
        <v>1.792361111111111</v>
      </c>
      <c r="G4507" s="570"/>
      <c r="H4507" s="570"/>
      <c r="I4507" s="570"/>
      <c r="J4507" s="570"/>
      <c r="K4507" s="570"/>
    </row>
    <row r="4508" ht="13.75" customHeight="1">
      <c r="A4508" t="s" s="834">
        <v>3062</v>
      </c>
      <c r="B4508" t="s" s="834">
        <v>3063</v>
      </c>
      <c r="C4508" t="s" s="834">
        <v>772</v>
      </c>
      <c r="D4508" s="570"/>
      <c r="E4508" s="570"/>
      <c r="F4508" s="570"/>
      <c r="G4508" s="570"/>
      <c r="H4508" s="570"/>
      <c r="I4508" s="570"/>
      <c r="J4508" s="570"/>
      <c r="K4508" s="570"/>
    </row>
    <row r="4509" ht="13.75" customHeight="1">
      <c r="A4509" s="833">
        <v>243</v>
      </c>
      <c r="B4509" t="s" s="834">
        <v>3012</v>
      </c>
      <c r="C4509" t="s" s="834">
        <v>700</v>
      </c>
      <c r="D4509" s="835">
        <v>46052</v>
      </c>
      <c r="E4509" t="s" s="834">
        <v>478</v>
      </c>
      <c r="F4509" t="s" s="834">
        <v>478</v>
      </c>
      <c r="G4509" s="570"/>
      <c r="H4509" s="570"/>
      <c r="I4509" s="570"/>
      <c r="J4509" s="570"/>
      <c r="K4509" s="570"/>
    </row>
    <row r="4510" ht="13.75" customHeight="1">
      <c r="A4510" s="833">
        <v>243</v>
      </c>
      <c r="B4510" t="s" s="834">
        <v>3012</v>
      </c>
      <c r="C4510" t="s" s="834">
        <v>700</v>
      </c>
      <c r="D4510" s="835">
        <v>46053</v>
      </c>
      <c r="E4510" t="s" s="834">
        <v>478</v>
      </c>
      <c r="F4510" t="s" s="834">
        <v>478</v>
      </c>
      <c r="G4510" s="570"/>
      <c r="H4510" s="570"/>
      <c r="I4510" s="570"/>
      <c r="J4510" s="570"/>
      <c r="K4510" s="570"/>
    </row>
    <row r="4511" ht="13.75" customHeight="1">
      <c r="A4511" s="833">
        <v>243</v>
      </c>
      <c r="B4511" t="s" s="834">
        <v>3012</v>
      </c>
      <c r="C4511" t="s" s="834">
        <v>700</v>
      </c>
      <c r="D4511" s="835">
        <v>46054</v>
      </c>
      <c r="E4511" s="836">
        <v>1.628981481481481</v>
      </c>
      <c r="F4511" s="836">
        <v>1.692581018518518</v>
      </c>
      <c r="G4511" s="570"/>
      <c r="H4511" s="570"/>
      <c r="I4511" s="570"/>
      <c r="J4511" s="570"/>
      <c r="K4511" s="570"/>
    </row>
    <row r="4512" ht="13.75" customHeight="1">
      <c r="A4512" t="s" s="834">
        <v>3064</v>
      </c>
      <c r="B4512" t="s" s="834">
        <v>3065</v>
      </c>
      <c r="C4512" t="s" s="834">
        <v>3066</v>
      </c>
      <c r="D4512" s="570"/>
      <c r="E4512" s="570"/>
      <c r="F4512" s="570"/>
      <c r="G4512" s="570"/>
      <c r="H4512" s="570"/>
      <c r="I4512" s="570"/>
      <c r="J4512" s="570"/>
      <c r="K4512" s="570"/>
    </row>
    <row r="4513" ht="13.75" customHeight="1">
      <c r="A4513" s="833">
        <v>250</v>
      </c>
      <c r="B4513" t="s" s="834">
        <v>3067</v>
      </c>
      <c r="C4513" t="s" s="834">
        <v>1571</v>
      </c>
      <c r="D4513" s="835">
        <v>46023</v>
      </c>
      <c r="E4513" t="s" s="834">
        <v>478</v>
      </c>
      <c r="F4513" t="s" s="834">
        <v>478</v>
      </c>
      <c r="G4513" s="570"/>
      <c r="H4513" s="570"/>
      <c r="I4513" s="570"/>
      <c r="J4513" s="570"/>
      <c r="K4513" s="570"/>
    </row>
    <row r="4514" ht="13.75" customHeight="1">
      <c r="A4514" s="833">
        <v>250</v>
      </c>
      <c r="B4514" t="s" s="834">
        <v>3067</v>
      </c>
      <c r="C4514" t="s" s="834">
        <v>1571</v>
      </c>
      <c r="D4514" s="835">
        <v>46024</v>
      </c>
      <c r="E4514" t="s" s="834">
        <v>478</v>
      </c>
      <c r="F4514" t="s" s="834">
        <v>478</v>
      </c>
      <c r="G4514" s="570"/>
      <c r="H4514" s="570"/>
      <c r="I4514" s="570"/>
      <c r="J4514" s="570"/>
      <c r="K4514" s="570"/>
    </row>
    <row r="4515" ht="13.75" customHeight="1">
      <c r="A4515" s="833">
        <v>250</v>
      </c>
      <c r="B4515" t="s" s="834">
        <v>3067</v>
      </c>
      <c r="C4515" t="s" s="834">
        <v>1571</v>
      </c>
      <c r="D4515" s="835">
        <v>46025</v>
      </c>
      <c r="E4515" t="s" s="834">
        <v>478</v>
      </c>
      <c r="F4515" t="s" s="834">
        <v>478</v>
      </c>
      <c r="G4515" s="570"/>
      <c r="H4515" s="570"/>
      <c r="I4515" s="570"/>
      <c r="J4515" s="570"/>
      <c r="K4515" s="570"/>
    </row>
    <row r="4516" ht="13.75" customHeight="1">
      <c r="A4516" s="833">
        <v>250</v>
      </c>
      <c r="B4516" t="s" s="834">
        <v>3067</v>
      </c>
      <c r="C4516" t="s" s="834">
        <v>1571</v>
      </c>
      <c r="D4516" s="835">
        <v>46026</v>
      </c>
      <c r="E4516" t="s" s="834">
        <v>478</v>
      </c>
      <c r="F4516" t="s" s="834">
        <v>478</v>
      </c>
      <c r="G4516" s="570"/>
      <c r="H4516" s="570"/>
      <c r="I4516" s="570"/>
      <c r="J4516" s="570"/>
      <c r="K4516" s="570"/>
    </row>
    <row r="4517" ht="13.75" customHeight="1">
      <c r="A4517" s="833">
        <v>250</v>
      </c>
      <c r="B4517" t="s" s="834">
        <v>3067</v>
      </c>
      <c r="C4517" t="s" s="834">
        <v>1571</v>
      </c>
      <c r="D4517" s="835">
        <v>46027</v>
      </c>
      <c r="E4517" t="s" s="834">
        <v>478</v>
      </c>
      <c r="F4517" t="s" s="834">
        <v>478</v>
      </c>
      <c r="G4517" s="570"/>
      <c r="H4517" s="570"/>
      <c r="I4517" s="570"/>
      <c r="J4517" s="570"/>
      <c r="K4517" s="570"/>
    </row>
    <row r="4518" ht="13.75" customHeight="1">
      <c r="A4518" s="833">
        <v>250</v>
      </c>
      <c r="B4518" t="s" s="834">
        <v>3067</v>
      </c>
      <c r="C4518" t="s" s="834">
        <v>1571</v>
      </c>
      <c r="D4518" s="835">
        <v>46028</v>
      </c>
      <c r="E4518" s="836">
        <v>1.893564814814815</v>
      </c>
      <c r="F4518" s="836">
        <v>1.893611111111111</v>
      </c>
      <c r="G4518" s="570"/>
      <c r="H4518" s="570"/>
      <c r="I4518" s="570"/>
      <c r="J4518" s="570"/>
      <c r="K4518" s="570"/>
    </row>
    <row r="4519" ht="13.75" customHeight="1">
      <c r="A4519" t="s" s="834">
        <v>3068</v>
      </c>
      <c r="B4519" t="s" s="834">
        <v>3069</v>
      </c>
      <c r="C4519" t="s" s="834">
        <v>486</v>
      </c>
      <c r="D4519" s="570"/>
      <c r="E4519" s="570"/>
      <c r="F4519" s="570"/>
      <c r="G4519" s="570"/>
      <c r="H4519" s="570"/>
      <c r="I4519" s="570"/>
      <c r="J4519" s="570"/>
      <c r="K4519" s="570"/>
    </row>
    <row r="4520" ht="13.75" customHeight="1">
      <c r="A4520" s="833">
        <v>250</v>
      </c>
      <c r="B4520" t="s" s="834">
        <v>3067</v>
      </c>
      <c r="C4520" t="s" s="834">
        <v>1571</v>
      </c>
      <c r="D4520" s="835">
        <v>46029</v>
      </c>
      <c r="E4520" s="836">
        <v>1.446261574074074</v>
      </c>
      <c r="F4520" s="836">
        <v>1.773530092592593</v>
      </c>
      <c r="G4520" s="570"/>
      <c r="H4520" s="570"/>
      <c r="I4520" s="570"/>
      <c r="J4520" s="570"/>
      <c r="K4520" s="570"/>
    </row>
    <row r="4521" ht="13.75" customHeight="1">
      <c r="A4521" t="s" s="834">
        <v>3070</v>
      </c>
      <c r="B4521" t="s" s="834">
        <v>3071</v>
      </c>
      <c r="C4521" t="s" s="834">
        <v>1925</v>
      </c>
      <c r="D4521" s="570"/>
      <c r="E4521" s="570"/>
      <c r="F4521" s="570"/>
      <c r="G4521" s="570"/>
      <c r="H4521" s="570"/>
      <c r="I4521" s="570"/>
      <c r="J4521" s="570"/>
      <c r="K4521" s="570"/>
    </row>
    <row r="4522" ht="13.75" customHeight="1">
      <c r="A4522" s="833">
        <v>250</v>
      </c>
      <c r="B4522" t="s" s="834">
        <v>3067</v>
      </c>
      <c r="C4522" t="s" s="834">
        <v>1571</v>
      </c>
      <c r="D4522" s="835">
        <v>46030</v>
      </c>
      <c r="E4522" s="836">
        <v>1.353472222222222</v>
      </c>
      <c r="F4522" s="836">
        <v>1.7734375</v>
      </c>
      <c r="G4522" s="570"/>
      <c r="H4522" s="570"/>
      <c r="I4522" s="570"/>
      <c r="J4522" s="570"/>
      <c r="K4522" s="570"/>
    </row>
    <row r="4523" ht="13.75" customHeight="1">
      <c r="A4523" t="s" s="834">
        <v>3072</v>
      </c>
      <c r="B4523" t="s" s="834">
        <v>3073</v>
      </c>
      <c r="C4523" t="s" s="834">
        <v>1906</v>
      </c>
      <c r="D4523" s="570"/>
      <c r="E4523" s="570"/>
      <c r="F4523" s="570"/>
      <c r="G4523" s="570"/>
      <c r="H4523" s="570"/>
      <c r="I4523" s="570"/>
      <c r="J4523" s="570"/>
      <c r="K4523" s="570"/>
    </row>
    <row r="4524" ht="13.75" customHeight="1">
      <c r="A4524" s="833">
        <v>250</v>
      </c>
      <c r="B4524" t="s" s="834">
        <v>3067</v>
      </c>
      <c r="C4524" t="s" s="834">
        <v>1571</v>
      </c>
      <c r="D4524" s="835">
        <v>46031</v>
      </c>
      <c r="E4524" s="836">
        <v>1.351273148148148</v>
      </c>
      <c r="F4524" s="836">
        <v>1.768206018518518</v>
      </c>
      <c r="G4524" s="570"/>
      <c r="H4524" s="570"/>
      <c r="I4524" s="570"/>
      <c r="J4524" s="570"/>
      <c r="K4524" s="570"/>
    </row>
    <row r="4525" ht="13.75" customHeight="1">
      <c r="A4525" t="s" s="834">
        <v>3074</v>
      </c>
      <c r="B4525" t="s" s="834">
        <v>3075</v>
      </c>
      <c r="C4525" t="s" s="834">
        <v>530</v>
      </c>
      <c r="D4525" s="570"/>
      <c r="E4525" s="570"/>
      <c r="F4525" s="570"/>
      <c r="G4525" s="570"/>
      <c r="H4525" s="570"/>
      <c r="I4525" s="570"/>
      <c r="J4525" s="570"/>
      <c r="K4525" s="570"/>
    </row>
    <row r="4526" ht="13.75" customHeight="1">
      <c r="A4526" s="833">
        <v>250</v>
      </c>
      <c r="B4526" t="s" s="834">
        <v>3067</v>
      </c>
      <c r="C4526" t="s" s="834">
        <v>1571</v>
      </c>
      <c r="D4526" s="835">
        <v>46032</v>
      </c>
      <c r="E4526" s="836">
        <v>1.35287037037037</v>
      </c>
      <c r="F4526" s="836">
        <v>1.694710648148148</v>
      </c>
      <c r="G4526" s="570"/>
      <c r="H4526" s="570"/>
      <c r="I4526" s="570"/>
      <c r="J4526" s="570"/>
      <c r="K4526" s="570"/>
    </row>
    <row r="4527" ht="13.75" customHeight="1">
      <c r="A4527" t="s" s="834">
        <v>3076</v>
      </c>
      <c r="B4527" t="s" s="834">
        <v>3077</v>
      </c>
      <c r="C4527" t="s" s="834">
        <v>713</v>
      </c>
      <c r="D4527" s="570"/>
      <c r="E4527" s="570"/>
      <c r="F4527" s="570"/>
      <c r="G4527" s="570"/>
      <c r="H4527" s="570"/>
      <c r="I4527" s="570"/>
      <c r="J4527" s="570"/>
      <c r="K4527" s="570"/>
    </row>
    <row r="4528" ht="13.75" customHeight="1">
      <c r="A4528" s="833">
        <v>250</v>
      </c>
      <c r="B4528" t="s" s="834">
        <v>3067</v>
      </c>
      <c r="C4528" t="s" s="834">
        <v>1571</v>
      </c>
      <c r="D4528" s="835">
        <v>46033</v>
      </c>
      <c r="E4528" t="s" s="834">
        <v>478</v>
      </c>
      <c r="F4528" t="s" s="834">
        <v>478</v>
      </c>
      <c r="G4528" s="570"/>
      <c r="H4528" s="570"/>
      <c r="I4528" s="570"/>
      <c r="J4528" s="570"/>
      <c r="K4528" s="570"/>
    </row>
    <row r="4529" ht="13.75" customHeight="1">
      <c r="A4529" s="833">
        <v>250</v>
      </c>
      <c r="B4529" t="s" s="834">
        <v>3067</v>
      </c>
      <c r="C4529" t="s" s="834">
        <v>1571</v>
      </c>
      <c r="D4529" s="835">
        <v>46034</v>
      </c>
      <c r="E4529" s="836">
        <v>1.351990740740741</v>
      </c>
      <c r="F4529" s="836">
        <v>1.697395833333333</v>
      </c>
      <c r="G4529" s="570"/>
      <c r="H4529" s="570"/>
      <c r="I4529" s="570"/>
      <c r="J4529" s="570"/>
      <c r="K4529" s="570"/>
    </row>
    <row r="4530" ht="13.75" customHeight="1">
      <c r="A4530" t="s" s="834">
        <v>3078</v>
      </c>
      <c r="B4530" t="s" s="834">
        <v>3079</v>
      </c>
      <c r="C4530" t="s" s="834">
        <v>3080</v>
      </c>
      <c r="D4530" s="570"/>
      <c r="E4530" s="570"/>
      <c r="F4530" s="570"/>
      <c r="G4530" s="570"/>
      <c r="H4530" s="570"/>
      <c r="I4530" s="570"/>
      <c r="J4530" s="570"/>
      <c r="K4530" s="570"/>
    </row>
    <row r="4531" ht="13.75" customHeight="1">
      <c r="A4531" s="833">
        <v>250</v>
      </c>
      <c r="B4531" t="s" s="834">
        <v>3067</v>
      </c>
      <c r="C4531" t="s" s="834">
        <v>1571</v>
      </c>
      <c r="D4531" s="835">
        <v>46035</v>
      </c>
      <c r="E4531" s="836">
        <v>1.355150462962963</v>
      </c>
      <c r="F4531" s="836">
        <v>1.757592592592593</v>
      </c>
      <c r="G4531" s="570"/>
      <c r="H4531" s="570"/>
      <c r="I4531" s="570"/>
      <c r="J4531" s="570"/>
      <c r="K4531" s="570"/>
    </row>
    <row r="4532" ht="13.75" customHeight="1">
      <c r="A4532" t="s" s="834">
        <v>3081</v>
      </c>
      <c r="B4532" t="s" s="834">
        <v>3082</v>
      </c>
      <c r="C4532" t="s" s="834">
        <v>861</v>
      </c>
      <c r="D4532" s="570"/>
      <c r="E4532" s="570"/>
      <c r="F4532" s="570"/>
      <c r="G4532" s="570"/>
      <c r="H4532" s="570"/>
      <c r="I4532" s="570"/>
      <c r="J4532" s="570"/>
      <c r="K4532" s="570"/>
    </row>
    <row r="4533" ht="13.75" customHeight="1">
      <c r="A4533" s="833">
        <v>250</v>
      </c>
      <c r="B4533" t="s" s="834">
        <v>3067</v>
      </c>
      <c r="C4533" t="s" s="834">
        <v>1571</v>
      </c>
      <c r="D4533" s="835">
        <v>46036</v>
      </c>
      <c r="E4533" s="836">
        <v>1.35244212962963</v>
      </c>
      <c r="F4533" s="836">
        <v>1.796446759259259</v>
      </c>
      <c r="G4533" s="570"/>
      <c r="H4533" s="570"/>
      <c r="I4533" s="570"/>
      <c r="J4533" s="570"/>
      <c r="K4533" s="570"/>
    </row>
    <row r="4534" ht="13.75" customHeight="1">
      <c r="A4534" t="s" s="834">
        <v>3083</v>
      </c>
      <c r="B4534" t="s" s="834">
        <v>3084</v>
      </c>
      <c r="C4534" t="s" s="834">
        <v>497</v>
      </c>
      <c r="D4534" s="570"/>
      <c r="E4534" s="570"/>
      <c r="F4534" s="570"/>
      <c r="G4534" s="570"/>
      <c r="H4534" s="570"/>
      <c r="I4534" s="570"/>
      <c r="J4534" s="570"/>
      <c r="K4534" s="570"/>
    </row>
    <row r="4535" ht="13.75" customHeight="1">
      <c r="A4535" s="833">
        <v>250</v>
      </c>
      <c r="B4535" t="s" s="834">
        <v>3067</v>
      </c>
      <c r="C4535" t="s" s="834">
        <v>1571</v>
      </c>
      <c r="D4535" s="835">
        <v>46037</v>
      </c>
      <c r="E4535" s="836">
        <v>1.275104166666667</v>
      </c>
      <c r="F4535" s="836">
        <v>1.275277777777778</v>
      </c>
      <c r="G4535" s="570"/>
      <c r="H4535" s="570"/>
      <c r="I4535" s="570"/>
      <c r="J4535" s="570"/>
      <c r="K4535" s="570"/>
    </row>
    <row r="4536" ht="13.75" customHeight="1">
      <c r="A4536" t="s" s="834">
        <v>3085</v>
      </c>
      <c r="B4536" t="s" s="834">
        <v>3086</v>
      </c>
      <c r="C4536" t="s" s="834">
        <v>486</v>
      </c>
      <c r="D4536" s="570"/>
      <c r="E4536" s="570"/>
      <c r="F4536" s="570"/>
      <c r="G4536" s="570"/>
      <c r="H4536" s="570"/>
      <c r="I4536" s="570"/>
      <c r="J4536" s="570"/>
      <c r="K4536" s="570"/>
    </row>
    <row r="4537" ht="13.75" customHeight="1">
      <c r="A4537" s="833">
        <v>250</v>
      </c>
      <c r="B4537" t="s" s="834">
        <v>3067</v>
      </c>
      <c r="C4537" t="s" s="834">
        <v>1571</v>
      </c>
      <c r="D4537" s="835">
        <v>46038</v>
      </c>
      <c r="E4537" s="836">
        <v>1.009976851851852</v>
      </c>
      <c r="F4537" t="s" s="834">
        <v>478</v>
      </c>
      <c r="G4537" s="570"/>
      <c r="H4537" s="570"/>
      <c r="I4537" s="570"/>
      <c r="J4537" s="570"/>
      <c r="K4537" s="570"/>
    </row>
    <row r="4538" ht="13.75" customHeight="1">
      <c r="A4538" t="s" s="834">
        <v>3087</v>
      </c>
      <c r="B4538" t="s" s="834">
        <v>485</v>
      </c>
      <c r="C4538" t="s" s="834">
        <v>486</v>
      </c>
      <c r="D4538" s="570"/>
      <c r="E4538" s="570"/>
      <c r="F4538" s="570"/>
      <c r="G4538" s="570"/>
      <c r="H4538" s="570"/>
      <c r="I4538" s="570"/>
      <c r="J4538" s="570"/>
      <c r="K4538" s="570"/>
    </row>
    <row r="4539" ht="13.75" customHeight="1">
      <c r="A4539" s="833">
        <v>250</v>
      </c>
      <c r="B4539" t="s" s="834">
        <v>3067</v>
      </c>
      <c r="C4539" t="s" s="834">
        <v>1571</v>
      </c>
      <c r="D4539" s="835">
        <v>46039</v>
      </c>
      <c r="E4539" s="836">
        <v>1.622418981481482</v>
      </c>
      <c r="F4539" s="836">
        <v>1.622534722222222</v>
      </c>
      <c r="G4539" s="570"/>
      <c r="H4539" s="570"/>
      <c r="I4539" s="570"/>
      <c r="J4539" s="570"/>
      <c r="K4539" s="570"/>
    </row>
    <row r="4540" ht="13.75" customHeight="1">
      <c r="A4540" t="s" s="834">
        <v>3088</v>
      </c>
      <c r="B4540" t="s" s="834">
        <v>3089</v>
      </c>
      <c r="C4540" t="s" s="834">
        <v>486</v>
      </c>
      <c r="D4540" s="570"/>
      <c r="E4540" s="570"/>
      <c r="F4540" s="570"/>
      <c r="G4540" s="570"/>
      <c r="H4540" s="570"/>
      <c r="I4540" s="570"/>
      <c r="J4540" s="570"/>
      <c r="K4540" s="570"/>
    </row>
    <row r="4541" ht="13.75" customHeight="1">
      <c r="A4541" s="833">
        <v>250</v>
      </c>
      <c r="B4541" t="s" s="834">
        <v>3067</v>
      </c>
      <c r="C4541" t="s" s="834">
        <v>1571</v>
      </c>
      <c r="D4541" s="835">
        <v>46040</v>
      </c>
      <c r="E4541" t="s" s="834">
        <v>478</v>
      </c>
      <c r="F4541" t="s" s="834">
        <v>478</v>
      </c>
      <c r="G4541" s="570"/>
      <c r="H4541" s="570"/>
      <c r="I4541" s="570"/>
      <c r="J4541" s="570"/>
      <c r="K4541" s="570"/>
    </row>
    <row r="4542" ht="13.75" customHeight="1">
      <c r="A4542" s="833">
        <v>250</v>
      </c>
      <c r="B4542" t="s" s="834">
        <v>3067</v>
      </c>
      <c r="C4542" t="s" s="834">
        <v>1571</v>
      </c>
      <c r="D4542" s="835">
        <v>46041</v>
      </c>
      <c r="E4542" s="836">
        <v>1.350972222222222</v>
      </c>
      <c r="F4542" s="836">
        <v>1.692175925925926</v>
      </c>
      <c r="G4542" s="570"/>
      <c r="H4542" s="570"/>
      <c r="I4542" s="570"/>
      <c r="J4542" s="570"/>
      <c r="K4542" s="570"/>
    </row>
    <row r="4543" ht="13.75" customHeight="1">
      <c r="A4543" t="s" s="834">
        <v>3090</v>
      </c>
      <c r="B4543" t="s" s="834">
        <v>3091</v>
      </c>
      <c r="C4543" t="s" s="834">
        <v>578</v>
      </c>
      <c r="D4543" s="570"/>
      <c r="E4543" s="570"/>
      <c r="F4543" s="570"/>
      <c r="G4543" s="570"/>
      <c r="H4543" s="570"/>
      <c r="I4543" s="570"/>
      <c r="J4543" s="570"/>
      <c r="K4543" s="570"/>
    </row>
    <row r="4544" ht="13.75" customHeight="1">
      <c r="A4544" s="833">
        <v>250</v>
      </c>
      <c r="B4544" t="s" s="834">
        <v>3067</v>
      </c>
      <c r="C4544" t="s" s="834">
        <v>1571</v>
      </c>
      <c r="D4544" s="835">
        <v>46042</v>
      </c>
      <c r="E4544" s="836">
        <v>1.354930555555556</v>
      </c>
      <c r="F4544" s="836">
        <v>1.760081018518519</v>
      </c>
      <c r="G4544" s="570"/>
      <c r="H4544" s="570"/>
      <c r="I4544" s="570"/>
      <c r="J4544" s="570"/>
      <c r="K4544" s="570"/>
    </row>
    <row r="4545" ht="13.75" customHeight="1">
      <c r="A4545" t="s" s="834">
        <v>3092</v>
      </c>
      <c r="B4545" t="s" s="834">
        <v>3093</v>
      </c>
      <c r="C4545" t="s" s="834">
        <v>582</v>
      </c>
      <c r="D4545" s="570"/>
      <c r="E4545" s="570"/>
      <c r="F4545" s="570"/>
      <c r="G4545" s="570"/>
      <c r="H4545" s="570"/>
      <c r="I4545" s="570"/>
      <c r="J4545" s="570"/>
      <c r="K4545" s="570"/>
    </row>
    <row r="4546" ht="13.75" customHeight="1">
      <c r="A4546" s="833">
        <v>250</v>
      </c>
      <c r="B4546" t="s" s="834">
        <v>3067</v>
      </c>
      <c r="C4546" t="s" s="834">
        <v>1571</v>
      </c>
      <c r="D4546" s="835">
        <v>46043</v>
      </c>
      <c r="E4546" s="836">
        <v>1.350555555555556</v>
      </c>
      <c r="F4546" s="836">
        <v>1.760115740740741</v>
      </c>
      <c r="G4546" s="570"/>
      <c r="H4546" s="570"/>
      <c r="I4546" s="570"/>
      <c r="J4546" s="570"/>
      <c r="K4546" s="570"/>
    </row>
    <row r="4547" ht="13.75" customHeight="1">
      <c r="A4547" t="s" s="834">
        <v>3094</v>
      </c>
      <c r="B4547" t="s" s="834">
        <v>3095</v>
      </c>
      <c r="C4547" t="s" s="834">
        <v>1119</v>
      </c>
      <c r="D4547" s="570"/>
      <c r="E4547" s="570"/>
      <c r="F4547" s="570"/>
      <c r="G4547" s="570"/>
      <c r="H4547" s="570"/>
      <c r="I4547" s="570"/>
      <c r="J4547" s="570"/>
      <c r="K4547" s="570"/>
    </row>
    <row r="4548" ht="13.75" customHeight="1">
      <c r="A4548" s="833">
        <v>250</v>
      </c>
      <c r="B4548" t="s" s="834">
        <v>3067</v>
      </c>
      <c r="C4548" t="s" s="834">
        <v>1571</v>
      </c>
      <c r="D4548" s="835">
        <v>46044</v>
      </c>
      <c r="E4548" s="836">
        <v>1.35431712962963</v>
      </c>
      <c r="F4548" s="836">
        <v>1.761238425925926</v>
      </c>
      <c r="G4548" s="570"/>
      <c r="H4548" s="570"/>
      <c r="I4548" s="570"/>
      <c r="J4548" s="570"/>
      <c r="K4548" s="570"/>
    </row>
    <row r="4549" ht="13.75" customHeight="1">
      <c r="A4549" t="s" s="834">
        <v>3096</v>
      </c>
      <c r="B4549" t="s" s="834">
        <v>3097</v>
      </c>
      <c r="C4549" t="s" s="834">
        <v>1113</v>
      </c>
      <c r="D4549" s="570"/>
      <c r="E4549" s="570"/>
      <c r="F4549" s="570"/>
      <c r="G4549" s="570"/>
      <c r="H4549" s="570"/>
      <c r="I4549" s="570"/>
      <c r="J4549" s="570"/>
      <c r="K4549" s="570"/>
    </row>
    <row r="4550" ht="13.75" customHeight="1">
      <c r="A4550" s="833">
        <v>250</v>
      </c>
      <c r="B4550" t="s" s="834">
        <v>3067</v>
      </c>
      <c r="C4550" t="s" s="834">
        <v>1571</v>
      </c>
      <c r="D4550" s="835">
        <v>46045</v>
      </c>
      <c r="E4550" s="836">
        <v>1.354594907407408</v>
      </c>
      <c r="F4550" s="836">
        <v>1.758599537037037</v>
      </c>
      <c r="G4550" s="570"/>
      <c r="H4550" s="570"/>
      <c r="I4550" s="570"/>
      <c r="J4550" s="570"/>
      <c r="K4550" s="570"/>
    </row>
    <row r="4551" ht="13.75" customHeight="1">
      <c r="A4551" t="s" s="834">
        <v>3098</v>
      </c>
      <c r="B4551" t="s" s="834">
        <v>3099</v>
      </c>
      <c r="C4551" t="s" s="834">
        <v>493</v>
      </c>
      <c r="D4551" s="570"/>
      <c r="E4551" s="570"/>
      <c r="F4551" s="570"/>
      <c r="G4551" s="570"/>
      <c r="H4551" s="570"/>
      <c r="I4551" s="570"/>
      <c r="J4551" s="570"/>
      <c r="K4551" s="570"/>
    </row>
    <row r="4552" ht="13.75" customHeight="1">
      <c r="A4552" s="833">
        <v>250</v>
      </c>
      <c r="B4552" t="s" s="834">
        <v>3067</v>
      </c>
      <c r="C4552" t="s" s="834">
        <v>1571</v>
      </c>
      <c r="D4552" s="835">
        <v>46046</v>
      </c>
      <c r="E4552" t="s" s="834">
        <v>478</v>
      </c>
      <c r="F4552" t="s" s="834">
        <v>478</v>
      </c>
      <c r="G4552" s="570"/>
      <c r="H4552" s="570"/>
      <c r="I4552" s="570"/>
      <c r="J4552" s="570"/>
      <c r="K4552" s="570"/>
    </row>
    <row r="4553" ht="13.75" customHeight="1">
      <c r="A4553" s="833">
        <v>250</v>
      </c>
      <c r="B4553" t="s" s="834">
        <v>3067</v>
      </c>
      <c r="C4553" t="s" s="834">
        <v>1571</v>
      </c>
      <c r="D4553" s="835">
        <v>46047</v>
      </c>
      <c r="E4553" t="s" s="834">
        <v>478</v>
      </c>
      <c r="F4553" t="s" s="834">
        <v>478</v>
      </c>
      <c r="G4553" s="570"/>
      <c r="H4553" s="570"/>
      <c r="I4553" s="570"/>
      <c r="J4553" s="570"/>
      <c r="K4553" s="570"/>
    </row>
    <row r="4554" ht="13.75" customHeight="1">
      <c r="A4554" s="833">
        <v>250</v>
      </c>
      <c r="B4554" t="s" s="834">
        <v>3067</v>
      </c>
      <c r="C4554" t="s" s="834">
        <v>1571</v>
      </c>
      <c r="D4554" s="835">
        <v>46048</v>
      </c>
      <c r="E4554" s="836">
        <v>1.369282407407407</v>
      </c>
      <c r="F4554" s="836">
        <v>1.75681712962963</v>
      </c>
      <c r="G4554" s="570"/>
      <c r="H4554" s="570"/>
      <c r="I4554" s="570"/>
      <c r="J4554" s="570"/>
      <c r="K4554" s="570"/>
    </row>
    <row r="4555" ht="13.75" customHeight="1">
      <c r="A4555" t="s" s="834">
        <v>3100</v>
      </c>
      <c r="B4555" t="s" s="834">
        <v>3101</v>
      </c>
      <c r="C4555" t="s" s="834">
        <v>640</v>
      </c>
      <c r="D4555" s="570"/>
      <c r="E4555" s="570"/>
      <c r="F4555" s="570"/>
      <c r="G4555" s="570"/>
      <c r="H4555" s="570"/>
      <c r="I4555" s="570"/>
      <c r="J4555" s="570"/>
      <c r="K4555" s="570"/>
    </row>
    <row r="4556" ht="13.75" customHeight="1">
      <c r="A4556" s="833">
        <v>250</v>
      </c>
      <c r="B4556" t="s" s="834">
        <v>3067</v>
      </c>
      <c r="C4556" t="s" s="834">
        <v>1571</v>
      </c>
      <c r="D4556" s="835">
        <v>46049</v>
      </c>
      <c r="E4556" s="836">
        <v>1.354293981481482</v>
      </c>
      <c r="F4556" s="836">
        <v>1.757349537037037</v>
      </c>
      <c r="G4556" s="570"/>
      <c r="H4556" s="570"/>
      <c r="I4556" s="570"/>
      <c r="J4556" s="570"/>
      <c r="K4556" s="570"/>
    </row>
    <row r="4557" ht="13.75" customHeight="1">
      <c r="A4557" t="s" s="834">
        <v>3102</v>
      </c>
      <c r="B4557" t="s" s="834">
        <v>3103</v>
      </c>
      <c r="C4557" t="s" s="834">
        <v>861</v>
      </c>
      <c r="D4557" s="570"/>
      <c r="E4557" s="570"/>
      <c r="F4557" s="570"/>
      <c r="G4557" s="570"/>
      <c r="H4557" s="570"/>
      <c r="I4557" s="570"/>
      <c r="J4557" s="570"/>
      <c r="K4557" s="570"/>
    </row>
    <row r="4558" ht="13.75" customHeight="1">
      <c r="A4558" s="833">
        <v>250</v>
      </c>
      <c r="B4558" t="s" s="834">
        <v>3067</v>
      </c>
      <c r="C4558" t="s" s="834">
        <v>1571</v>
      </c>
      <c r="D4558" s="835">
        <v>46050</v>
      </c>
      <c r="E4558" s="836">
        <v>1.353032407407407</v>
      </c>
      <c r="F4558" s="836">
        <v>1.731793981481482</v>
      </c>
      <c r="G4558" s="570"/>
      <c r="H4558" s="570"/>
      <c r="I4558" s="570"/>
      <c r="J4558" s="570"/>
      <c r="K4558" s="570"/>
    </row>
    <row r="4559" ht="13.75" customHeight="1">
      <c r="A4559" t="s" s="834">
        <v>3104</v>
      </c>
      <c r="B4559" t="s" s="834">
        <v>3105</v>
      </c>
      <c r="C4559" t="s" s="834">
        <v>562</v>
      </c>
      <c r="D4559" s="570"/>
      <c r="E4559" s="570"/>
      <c r="F4559" s="570"/>
      <c r="G4559" s="570"/>
      <c r="H4559" s="570"/>
      <c r="I4559" s="570"/>
      <c r="J4559" s="570"/>
      <c r="K4559" s="570"/>
    </row>
    <row r="4560" ht="13.75" customHeight="1">
      <c r="A4560" s="833">
        <v>250</v>
      </c>
      <c r="B4560" t="s" s="834">
        <v>3067</v>
      </c>
      <c r="C4560" t="s" s="834">
        <v>1571</v>
      </c>
      <c r="D4560" s="835">
        <v>46051</v>
      </c>
      <c r="E4560" s="836">
        <v>1.352673611111111</v>
      </c>
      <c r="F4560" s="836">
        <v>1.7371875</v>
      </c>
      <c r="G4560" s="570"/>
      <c r="H4560" s="570"/>
      <c r="I4560" s="570"/>
      <c r="J4560" s="570"/>
      <c r="K4560" s="570"/>
    </row>
    <row r="4561" ht="13.75" customHeight="1">
      <c r="A4561" t="s" s="834">
        <v>3106</v>
      </c>
      <c r="B4561" t="s" s="834">
        <v>3107</v>
      </c>
      <c r="C4561" t="s" s="834">
        <v>2452</v>
      </c>
      <c r="D4561" s="570"/>
      <c r="E4561" s="570"/>
      <c r="F4561" s="570"/>
      <c r="G4561" s="570"/>
      <c r="H4561" s="570"/>
      <c r="I4561" s="570"/>
      <c r="J4561" s="570"/>
      <c r="K4561" s="570"/>
    </row>
    <row r="4562" ht="13.75" customHeight="1">
      <c r="A4562" s="833">
        <v>250</v>
      </c>
      <c r="B4562" t="s" s="834">
        <v>3067</v>
      </c>
      <c r="C4562" t="s" s="834">
        <v>1571</v>
      </c>
      <c r="D4562" s="835">
        <v>46052</v>
      </c>
      <c r="E4562" s="836">
        <v>1.56150462962963</v>
      </c>
      <c r="F4562" s="836">
        <v>1.91037037037037</v>
      </c>
      <c r="G4562" s="570"/>
      <c r="H4562" s="570"/>
      <c r="I4562" s="570"/>
      <c r="J4562" s="570"/>
      <c r="K4562" s="570"/>
    </row>
    <row r="4563" ht="13.75" customHeight="1">
      <c r="A4563" t="s" s="834">
        <v>3108</v>
      </c>
      <c r="B4563" t="s" s="834">
        <v>3109</v>
      </c>
      <c r="C4563" t="s" s="834">
        <v>2629</v>
      </c>
      <c r="D4563" s="570"/>
      <c r="E4563" s="570"/>
      <c r="F4563" s="570"/>
      <c r="G4563" s="570"/>
      <c r="H4563" s="570"/>
      <c r="I4563" s="570"/>
      <c r="J4563" s="570"/>
      <c r="K4563" s="570"/>
    </row>
    <row r="4564" ht="13.75" customHeight="1">
      <c r="A4564" s="833">
        <v>250</v>
      </c>
      <c r="B4564" t="s" s="834">
        <v>3067</v>
      </c>
      <c r="C4564" t="s" s="834">
        <v>1571</v>
      </c>
      <c r="D4564" s="835">
        <v>46053</v>
      </c>
      <c r="E4564" t="s" s="834">
        <v>478</v>
      </c>
      <c r="F4564" t="s" s="834">
        <v>478</v>
      </c>
      <c r="G4564" s="570"/>
      <c r="H4564" s="570"/>
      <c r="I4564" s="570"/>
      <c r="J4564" s="570"/>
      <c r="K4564" s="570"/>
    </row>
    <row r="4565" ht="13.75" customHeight="1">
      <c r="A4565" s="833">
        <v>250</v>
      </c>
      <c r="B4565" t="s" s="834">
        <v>3067</v>
      </c>
      <c r="C4565" t="s" s="834">
        <v>1571</v>
      </c>
      <c r="D4565" s="835">
        <v>46054</v>
      </c>
      <c r="E4565" t="s" s="834">
        <v>478</v>
      </c>
      <c r="F4565" t="s" s="834">
        <v>478</v>
      </c>
      <c r="G4565" s="570"/>
      <c r="H4565" s="570"/>
      <c r="I4565" s="570"/>
      <c r="J4565" s="570"/>
      <c r="K4565" s="570"/>
    </row>
    <row r="4566" ht="13.75" customHeight="1">
      <c r="A4566" s="833">
        <v>251</v>
      </c>
      <c r="B4566" t="s" s="834">
        <v>3110</v>
      </c>
      <c r="C4566" t="s" s="834">
        <v>1010</v>
      </c>
      <c r="D4566" s="835">
        <v>46023</v>
      </c>
      <c r="E4566" t="s" s="834">
        <v>478</v>
      </c>
      <c r="F4566" t="s" s="834">
        <v>478</v>
      </c>
      <c r="G4566" s="570"/>
      <c r="H4566" s="570"/>
      <c r="I4566" s="570"/>
      <c r="J4566" s="570"/>
      <c r="K4566" s="570"/>
    </row>
    <row r="4567" ht="13.75" customHeight="1">
      <c r="A4567" s="833">
        <v>251</v>
      </c>
      <c r="B4567" t="s" s="834">
        <v>3110</v>
      </c>
      <c r="C4567" t="s" s="834">
        <v>1010</v>
      </c>
      <c r="D4567" s="835">
        <v>46024</v>
      </c>
      <c r="E4567" t="s" s="834">
        <v>478</v>
      </c>
      <c r="F4567" t="s" s="834">
        <v>478</v>
      </c>
      <c r="G4567" s="570"/>
      <c r="H4567" s="570"/>
      <c r="I4567" s="570"/>
      <c r="J4567" s="570"/>
      <c r="K4567" s="570"/>
    </row>
    <row r="4568" ht="13.75" customHeight="1">
      <c r="A4568" s="833">
        <v>251</v>
      </c>
      <c r="B4568" t="s" s="834">
        <v>3110</v>
      </c>
      <c r="C4568" t="s" s="834">
        <v>1010</v>
      </c>
      <c r="D4568" s="835">
        <v>46025</v>
      </c>
      <c r="E4568" t="s" s="834">
        <v>478</v>
      </c>
      <c r="F4568" t="s" s="834">
        <v>478</v>
      </c>
      <c r="G4568" s="570"/>
      <c r="H4568" s="570"/>
      <c r="I4568" s="570"/>
      <c r="J4568" s="570"/>
      <c r="K4568" s="570"/>
    </row>
    <row r="4569" ht="13.75" customHeight="1">
      <c r="A4569" s="833">
        <v>251</v>
      </c>
      <c r="B4569" t="s" s="834">
        <v>3110</v>
      </c>
      <c r="C4569" t="s" s="834">
        <v>1010</v>
      </c>
      <c r="D4569" s="835">
        <v>46026</v>
      </c>
      <c r="E4569" t="s" s="834">
        <v>478</v>
      </c>
      <c r="F4569" t="s" s="834">
        <v>478</v>
      </c>
      <c r="G4569" s="570"/>
      <c r="H4569" s="570"/>
      <c r="I4569" s="570"/>
      <c r="J4569" s="570"/>
      <c r="K4569" s="570"/>
    </row>
    <row r="4570" ht="13.75" customHeight="1">
      <c r="A4570" s="833">
        <v>251</v>
      </c>
      <c r="B4570" t="s" s="834">
        <v>3110</v>
      </c>
      <c r="C4570" t="s" s="834">
        <v>1010</v>
      </c>
      <c r="D4570" s="835">
        <v>46027</v>
      </c>
      <c r="E4570" s="836">
        <v>1.37337962962963</v>
      </c>
      <c r="F4570" s="836">
        <v>1.774097222222222</v>
      </c>
      <c r="G4570" s="570"/>
      <c r="H4570" s="570"/>
      <c r="I4570" s="570"/>
      <c r="J4570" s="570"/>
      <c r="K4570" s="570"/>
    </row>
    <row r="4571" ht="13.75" customHeight="1">
      <c r="A4571" t="s" s="834">
        <v>3111</v>
      </c>
      <c r="B4571" t="s" s="834">
        <v>3112</v>
      </c>
      <c r="C4571" t="s" s="834">
        <v>606</v>
      </c>
      <c r="D4571" s="570"/>
      <c r="E4571" s="570"/>
      <c r="F4571" s="570"/>
      <c r="G4571" s="570"/>
      <c r="H4571" s="570"/>
      <c r="I4571" s="570"/>
      <c r="J4571" s="570"/>
      <c r="K4571" s="570"/>
    </row>
    <row r="4572" ht="13.75" customHeight="1">
      <c r="A4572" s="833">
        <v>251</v>
      </c>
      <c r="B4572" t="s" s="834">
        <v>3110</v>
      </c>
      <c r="C4572" t="s" s="834">
        <v>1010</v>
      </c>
      <c r="D4572" s="835">
        <v>46028</v>
      </c>
      <c r="E4572" s="836">
        <v>1.36599537037037</v>
      </c>
      <c r="F4572" s="836">
        <v>1.755555555555556</v>
      </c>
      <c r="G4572" s="570"/>
      <c r="H4572" s="570"/>
      <c r="I4572" s="570"/>
      <c r="J4572" s="570"/>
      <c r="K4572" s="570"/>
    </row>
    <row r="4573" ht="13.75" customHeight="1">
      <c r="A4573" t="s" s="834">
        <v>3113</v>
      </c>
      <c r="B4573" t="s" s="834">
        <v>3114</v>
      </c>
      <c r="C4573" t="s" s="834">
        <v>979</v>
      </c>
      <c r="D4573" s="570"/>
      <c r="E4573" s="570"/>
      <c r="F4573" s="570"/>
      <c r="G4573" s="570"/>
      <c r="H4573" s="570"/>
      <c r="I4573" s="570"/>
      <c r="J4573" s="570"/>
      <c r="K4573" s="570"/>
    </row>
    <row r="4574" ht="13.75" customHeight="1">
      <c r="A4574" s="833">
        <v>251</v>
      </c>
      <c r="B4574" t="s" s="834">
        <v>3110</v>
      </c>
      <c r="C4574" t="s" s="834">
        <v>1010</v>
      </c>
      <c r="D4574" s="835">
        <v>46029</v>
      </c>
      <c r="E4574" s="836">
        <v>1.35974537037037</v>
      </c>
      <c r="F4574" s="836">
        <v>1.757893518518518</v>
      </c>
      <c r="G4574" s="570"/>
      <c r="H4574" s="570"/>
      <c r="I4574" s="570"/>
      <c r="J4574" s="570"/>
      <c r="K4574" s="570"/>
    </row>
    <row r="4575" ht="13.75" customHeight="1">
      <c r="A4575" t="s" s="834">
        <v>3115</v>
      </c>
      <c r="B4575" t="s" s="834">
        <v>3116</v>
      </c>
      <c r="C4575" t="s" s="834">
        <v>688</v>
      </c>
      <c r="D4575" s="570"/>
      <c r="E4575" s="570"/>
      <c r="F4575" s="570"/>
      <c r="G4575" s="570"/>
      <c r="H4575" s="570"/>
      <c r="I4575" s="570"/>
      <c r="J4575" s="570"/>
      <c r="K4575" s="570"/>
    </row>
    <row r="4576" ht="13.75" customHeight="1">
      <c r="A4576" s="833">
        <v>251</v>
      </c>
      <c r="B4576" t="s" s="834">
        <v>3110</v>
      </c>
      <c r="C4576" t="s" s="834">
        <v>1010</v>
      </c>
      <c r="D4576" s="835">
        <v>46030</v>
      </c>
      <c r="E4576" s="836">
        <v>1.367696759259259</v>
      </c>
      <c r="F4576" s="836">
        <v>1.756712962962963</v>
      </c>
      <c r="G4576" s="570"/>
      <c r="H4576" s="570"/>
      <c r="I4576" s="570"/>
      <c r="J4576" s="570"/>
      <c r="K4576" s="570"/>
    </row>
    <row r="4577" ht="13.75" customHeight="1">
      <c r="A4577" t="s" s="834">
        <v>3117</v>
      </c>
      <c r="B4577" t="s" s="834">
        <v>3118</v>
      </c>
      <c r="C4577" t="s" s="834">
        <v>1490</v>
      </c>
      <c r="D4577" s="570"/>
      <c r="E4577" s="570"/>
      <c r="F4577" s="570"/>
      <c r="G4577" s="570"/>
      <c r="H4577" s="570"/>
      <c r="I4577" s="570"/>
      <c r="J4577" s="570"/>
      <c r="K4577" s="570"/>
    </row>
    <row r="4578" ht="13.75" customHeight="1">
      <c r="A4578" s="833">
        <v>251</v>
      </c>
      <c r="B4578" t="s" s="834">
        <v>3110</v>
      </c>
      <c r="C4578" t="s" s="834">
        <v>1010</v>
      </c>
      <c r="D4578" s="835">
        <v>46031</v>
      </c>
      <c r="E4578" s="836">
        <v>1.355798611111111</v>
      </c>
      <c r="F4578" s="836">
        <v>1.756458333333333</v>
      </c>
      <c r="G4578" s="570"/>
      <c r="H4578" s="570"/>
      <c r="I4578" s="570"/>
      <c r="J4578" s="570"/>
      <c r="K4578" s="570"/>
    </row>
    <row r="4579" ht="13.75" customHeight="1">
      <c r="A4579" t="s" s="834">
        <v>3119</v>
      </c>
      <c r="B4579" t="s" s="834">
        <v>3120</v>
      </c>
      <c r="C4579" t="s" s="834">
        <v>606</v>
      </c>
      <c r="D4579" s="570"/>
      <c r="E4579" s="570"/>
      <c r="F4579" s="570"/>
      <c r="G4579" s="570"/>
      <c r="H4579" s="570"/>
      <c r="I4579" s="570"/>
      <c r="J4579" s="570"/>
      <c r="K4579" s="570"/>
    </row>
    <row r="4580" ht="13.75" customHeight="1">
      <c r="A4580" s="833">
        <v>251</v>
      </c>
      <c r="B4580" t="s" s="834">
        <v>3110</v>
      </c>
      <c r="C4580" t="s" s="834">
        <v>1010</v>
      </c>
      <c r="D4580" s="835">
        <v>46032</v>
      </c>
      <c r="E4580" s="836">
        <v>1.35818287037037</v>
      </c>
      <c r="F4580" s="836">
        <v>1.506979166666667</v>
      </c>
      <c r="G4580" s="570"/>
      <c r="H4580" s="570"/>
      <c r="I4580" s="570"/>
      <c r="J4580" s="570"/>
      <c r="K4580" s="570"/>
    </row>
    <row r="4581" ht="13.75" customHeight="1">
      <c r="A4581" t="s" s="834">
        <v>3121</v>
      </c>
      <c r="B4581" t="s" s="834">
        <v>3122</v>
      </c>
      <c r="C4581" t="s" s="834">
        <v>3123</v>
      </c>
      <c r="D4581" s="570"/>
      <c r="E4581" s="570"/>
      <c r="F4581" s="570"/>
      <c r="G4581" s="570"/>
      <c r="H4581" s="570"/>
      <c r="I4581" s="570"/>
      <c r="J4581" s="570"/>
      <c r="K4581" s="570"/>
    </row>
    <row r="4582" ht="13.75" customHeight="1">
      <c r="A4582" s="833">
        <v>251</v>
      </c>
      <c r="B4582" t="s" s="834">
        <v>3110</v>
      </c>
      <c r="C4582" t="s" s="834">
        <v>1010</v>
      </c>
      <c r="D4582" s="835">
        <v>46033</v>
      </c>
      <c r="E4582" t="s" s="834">
        <v>478</v>
      </c>
      <c r="F4582" t="s" s="834">
        <v>478</v>
      </c>
      <c r="G4582" s="570"/>
      <c r="H4582" s="570"/>
      <c r="I4582" s="570"/>
      <c r="J4582" s="570"/>
      <c r="K4582" s="570"/>
    </row>
    <row r="4583" ht="13.75" customHeight="1">
      <c r="A4583" s="833">
        <v>251</v>
      </c>
      <c r="B4583" t="s" s="834">
        <v>3110</v>
      </c>
      <c r="C4583" t="s" s="834">
        <v>1010</v>
      </c>
      <c r="D4583" s="835">
        <v>46034</v>
      </c>
      <c r="E4583" s="836">
        <v>1.36056712962963</v>
      </c>
      <c r="F4583" s="836">
        <v>1.753854166666667</v>
      </c>
      <c r="G4583" s="570"/>
      <c r="H4583" s="570"/>
      <c r="I4583" s="570"/>
      <c r="J4583" s="570"/>
      <c r="K4583" s="570"/>
    </row>
    <row r="4584" ht="13.75" customHeight="1">
      <c r="A4584" t="s" s="834">
        <v>3124</v>
      </c>
      <c r="B4584" t="s" s="834">
        <v>3125</v>
      </c>
      <c r="C4584" t="s" s="834">
        <v>1019</v>
      </c>
      <c r="D4584" s="570"/>
      <c r="E4584" s="570"/>
      <c r="F4584" s="570"/>
      <c r="G4584" s="570"/>
      <c r="H4584" s="570"/>
      <c r="I4584" s="570"/>
      <c r="J4584" s="570"/>
      <c r="K4584" s="570"/>
    </row>
    <row r="4585" ht="13.75" customHeight="1">
      <c r="A4585" s="833">
        <v>251</v>
      </c>
      <c r="B4585" t="s" s="834">
        <v>3110</v>
      </c>
      <c r="C4585" t="s" s="834">
        <v>1010</v>
      </c>
      <c r="D4585" s="835">
        <v>46035</v>
      </c>
      <c r="E4585" s="836">
        <v>1.352673611111111</v>
      </c>
      <c r="F4585" s="836">
        <v>1.754085648148148</v>
      </c>
      <c r="G4585" s="570"/>
      <c r="H4585" s="570"/>
      <c r="I4585" s="570"/>
      <c r="J4585" s="570"/>
      <c r="K4585" s="570"/>
    </row>
    <row r="4586" ht="13.75" customHeight="1">
      <c r="A4586" t="s" s="834">
        <v>3126</v>
      </c>
      <c r="B4586" t="s" s="834">
        <v>3127</v>
      </c>
      <c r="C4586" t="s" s="834">
        <v>697</v>
      </c>
      <c r="D4586" s="570"/>
      <c r="E4586" s="570"/>
      <c r="F4586" s="570"/>
      <c r="G4586" s="570"/>
      <c r="H4586" s="570"/>
      <c r="I4586" s="570"/>
      <c r="J4586" s="570"/>
      <c r="K4586" s="570"/>
    </row>
    <row r="4587" ht="13.75" customHeight="1">
      <c r="A4587" s="833">
        <v>251</v>
      </c>
      <c r="B4587" t="s" s="834">
        <v>3110</v>
      </c>
      <c r="C4587" t="s" s="834">
        <v>1010</v>
      </c>
      <c r="D4587" s="835">
        <v>46036</v>
      </c>
      <c r="E4587" s="836">
        <v>1.361157407407407</v>
      </c>
      <c r="F4587" s="836">
        <v>1.757256944444444</v>
      </c>
      <c r="G4587" s="570"/>
      <c r="H4587" s="570"/>
      <c r="I4587" s="570"/>
      <c r="J4587" s="570"/>
      <c r="K4587" s="570"/>
    </row>
    <row r="4588" ht="13.75" customHeight="1">
      <c r="A4588" t="s" s="834">
        <v>3128</v>
      </c>
      <c r="B4588" t="s" s="834">
        <v>3129</v>
      </c>
      <c r="C4588" t="s" s="834">
        <v>634</v>
      </c>
      <c r="D4588" s="570"/>
      <c r="E4588" s="570"/>
      <c r="F4588" s="570"/>
      <c r="G4588" s="570"/>
      <c r="H4588" s="570"/>
      <c r="I4588" s="570"/>
      <c r="J4588" s="570"/>
      <c r="K4588" s="570"/>
    </row>
    <row r="4589" ht="13.75" customHeight="1">
      <c r="A4589" s="833">
        <v>251</v>
      </c>
      <c r="B4589" t="s" s="834">
        <v>3110</v>
      </c>
      <c r="C4589" t="s" s="834">
        <v>1010</v>
      </c>
      <c r="D4589" s="835">
        <v>46037</v>
      </c>
      <c r="E4589" s="836">
        <v>1.563113425925926</v>
      </c>
      <c r="F4589" s="836">
        <v>1.755462962962963</v>
      </c>
      <c r="G4589" s="570"/>
      <c r="H4589" s="570"/>
      <c r="I4589" s="570"/>
      <c r="J4589" s="570"/>
      <c r="K4589" s="570"/>
    </row>
    <row r="4590" ht="13.75" customHeight="1">
      <c r="A4590" t="s" s="834">
        <v>3130</v>
      </c>
      <c r="B4590" t="s" s="834">
        <v>3131</v>
      </c>
      <c r="C4590" t="s" s="834">
        <v>1217</v>
      </c>
      <c r="D4590" s="570"/>
      <c r="E4590" s="570"/>
      <c r="F4590" s="570"/>
      <c r="G4590" s="570"/>
      <c r="H4590" s="570"/>
      <c r="I4590" s="570"/>
      <c r="J4590" s="570"/>
      <c r="K4590" s="570"/>
    </row>
    <row r="4591" ht="13.75" customHeight="1">
      <c r="A4591" s="833">
        <v>251</v>
      </c>
      <c r="B4591" t="s" s="834">
        <v>3110</v>
      </c>
      <c r="C4591" t="s" s="834">
        <v>1010</v>
      </c>
      <c r="D4591" s="835">
        <v>46038</v>
      </c>
      <c r="E4591" s="836">
        <v>1.359467592592593</v>
      </c>
      <c r="F4591" s="836">
        <v>1.781122685185185</v>
      </c>
      <c r="G4591" s="570"/>
      <c r="H4591" s="570"/>
      <c r="I4591" s="570"/>
      <c r="J4591" s="570"/>
      <c r="K4591" s="570"/>
    </row>
    <row r="4592" ht="13.75" customHeight="1">
      <c r="A4592" t="s" s="834">
        <v>3132</v>
      </c>
      <c r="B4592" t="s" s="834">
        <v>3133</v>
      </c>
      <c r="C4592" t="s" s="834">
        <v>620</v>
      </c>
      <c r="D4592" s="570"/>
      <c r="E4592" s="570"/>
      <c r="F4592" s="570"/>
      <c r="G4592" s="570"/>
      <c r="H4592" s="570"/>
      <c r="I4592" s="570"/>
      <c r="J4592" s="570"/>
      <c r="K4592" s="570"/>
    </row>
    <row r="4593" ht="13.75" customHeight="1">
      <c r="A4593" s="833">
        <v>251</v>
      </c>
      <c r="B4593" t="s" s="834">
        <v>3110</v>
      </c>
      <c r="C4593" t="s" s="834">
        <v>1010</v>
      </c>
      <c r="D4593" s="835">
        <v>46039</v>
      </c>
      <c r="E4593" t="s" s="834">
        <v>478</v>
      </c>
      <c r="F4593" t="s" s="834">
        <v>478</v>
      </c>
      <c r="G4593" s="570"/>
      <c r="H4593" s="570"/>
      <c r="I4593" s="570"/>
      <c r="J4593" s="570"/>
      <c r="K4593" s="570"/>
    </row>
    <row r="4594" ht="13.75" customHeight="1">
      <c r="A4594" s="833">
        <v>251</v>
      </c>
      <c r="B4594" t="s" s="834">
        <v>3110</v>
      </c>
      <c r="C4594" t="s" s="834">
        <v>1010</v>
      </c>
      <c r="D4594" s="835">
        <v>46040</v>
      </c>
      <c r="E4594" t="s" s="834">
        <v>478</v>
      </c>
      <c r="F4594" t="s" s="834">
        <v>478</v>
      </c>
      <c r="G4594" s="570"/>
      <c r="H4594" s="570"/>
      <c r="I4594" s="570"/>
      <c r="J4594" s="570"/>
      <c r="K4594" s="570"/>
    </row>
    <row r="4595" ht="13.75" customHeight="1">
      <c r="A4595" s="833">
        <v>251</v>
      </c>
      <c r="B4595" t="s" s="834">
        <v>3110</v>
      </c>
      <c r="C4595" t="s" s="834">
        <v>1010</v>
      </c>
      <c r="D4595" s="835">
        <v>46041</v>
      </c>
      <c r="E4595" s="836">
        <v>1.361666666666667</v>
      </c>
      <c r="F4595" s="836">
        <v>1.7553125</v>
      </c>
      <c r="G4595" s="570"/>
      <c r="H4595" s="570"/>
      <c r="I4595" s="570"/>
      <c r="J4595" s="570"/>
      <c r="K4595" s="570"/>
    </row>
    <row r="4596" ht="13.75" customHeight="1">
      <c r="A4596" t="s" s="834">
        <v>3134</v>
      </c>
      <c r="B4596" t="s" s="834">
        <v>3135</v>
      </c>
      <c r="C4596" t="s" s="834">
        <v>518</v>
      </c>
      <c r="D4596" s="570"/>
      <c r="E4596" s="570"/>
      <c r="F4596" s="570"/>
      <c r="G4596" s="570"/>
      <c r="H4596" s="570"/>
      <c r="I4596" s="570"/>
      <c r="J4596" s="570"/>
      <c r="K4596" s="570"/>
    </row>
    <row r="4597" ht="13.75" customHeight="1">
      <c r="A4597" s="833">
        <v>251</v>
      </c>
      <c r="B4597" t="s" s="834">
        <v>3110</v>
      </c>
      <c r="C4597" t="s" s="834">
        <v>1010</v>
      </c>
      <c r="D4597" s="835">
        <v>46042</v>
      </c>
      <c r="E4597" s="836">
        <v>1.361423611111111</v>
      </c>
      <c r="F4597" s="836">
        <v>1.759224537037037</v>
      </c>
      <c r="G4597" s="570"/>
      <c r="H4597" s="570"/>
      <c r="I4597" s="570"/>
      <c r="J4597" s="570"/>
      <c r="K4597" s="570"/>
    </row>
    <row r="4598" ht="13.75" customHeight="1">
      <c r="A4598" t="s" s="834">
        <v>3136</v>
      </c>
      <c r="B4598" t="s" s="834">
        <v>3137</v>
      </c>
      <c r="C4598" t="s" s="834">
        <v>688</v>
      </c>
      <c r="D4598" s="570"/>
      <c r="E4598" s="570"/>
      <c r="F4598" s="570"/>
      <c r="G4598" s="570"/>
      <c r="H4598" s="570"/>
      <c r="I4598" s="570"/>
      <c r="J4598" s="570"/>
      <c r="K4598" s="570"/>
    </row>
    <row r="4599" ht="13.75" customHeight="1">
      <c r="A4599" s="833">
        <v>251</v>
      </c>
      <c r="B4599" t="s" s="834">
        <v>3110</v>
      </c>
      <c r="C4599" t="s" s="834">
        <v>1010</v>
      </c>
      <c r="D4599" s="835">
        <v>46043</v>
      </c>
      <c r="E4599" s="836">
        <v>1.359710648148148</v>
      </c>
      <c r="F4599" s="836">
        <v>1.755509259259259</v>
      </c>
      <c r="G4599" s="570"/>
      <c r="H4599" s="570"/>
      <c r="I4599" s="570"/>
      <c r="J4599" s="570"/>
      <c r="K4599" s="570"/>
    </row>
    <row r="4600" ht="13.75" customHeight="1">
      <c r="A4600" t="s" s="834">
        <v>3138</v>
      </c>
      <c r="B4600" t="s" s="834">
        <v>3139</v>
      </c>
      <c r="C4600" t="s" s="834">
        <v>634</v>
      </c>
      <c r="D4600" s="570"/>
      <c r="E4600" s="570"/>
      <c r="F4600" s="570"/>
      <c r="G4600" s="570"/>
      <c r="H4600" s="570"/>
      <c r="I4600" s="570"/>
      <c r="J4600" s="570"/>
      <c r="K4600" s="570"/>
    </row>
    <row r="4601" ht="13.75" customHeight="1">
      <c r="A4601" s="833">
        <v>251</v>
      </c>
      <c r="B4601" t="s" s="834">
        <v>3110</v>
      </c>
      <c r="C4601" t="s" s="834">
        <v>1010</v>
      </c>
      <c r="D4601" s="835">
        <v>46044</v>
      </c>
      <c r="E4601" s="836">
        <v>1.361215277777778</v>
      </c>
      <c r="F4601" s="836">
        <v>1.756331018518519</v>
      </c>
      <c r="G4601" s="570"/>
      <c r="H4601" s="570"/>
      <c r="I4601" s="570"/>
      <c r="J4601" s="570"/>
      <c r="K4601" s="570"/>
    </row>
    <row r="4602" ht="13.75" customHeight="1">
      <c r="A4602" t="s" s="834">
        <v>3140</v>
      </c>
      <c r="B4602" t="s" s="834">
        <v>3141</v>
      </c>
      <c r="C4602" t="s" s="834">
        <v>643</v>
      </c>
      <c r="D4602" s="570"/>
      <c r="E4602" s="570"/>
      <c r="F4602" s="570"/>
      <c r="G4602" s="570"/>
      <c r="H4602" s="570"/>
      <c r="I4602" s="570"/>
      <c r="J4602" s="570"/>
      <c r="K4602" s="570"/>
    </row>
    <row r="4603" ht="13.75" customHeight="1">
      <c r="A4603" s="833">
        <v>251</v>
      </c>
      <c r="B4603" t="s" s="834">
        <v>3110</v>
      </c>
      <c r="C4603" t="s" s="834">
        <v>1010</v>
      </c>
      <c r="D4603" s="835">
        <v>46045</v>
      </c>
      <c r="E4603" s="836">
        <v>1.36400462962963</v>
      </c>
      <c r="F4603" s="836">
        <v>1.782106481481482</v>
      </c>
      <c r="G4603" s="570"/>
      <c r="H4603" s="570"/>
      <c r="I4603" s="570"/>
      <c r="J4603" s="570"/>
      <c r="K4603" s="570"/>
    </row>
    <row r="4604" ht="13.75" customHeight="1">
      <c r="A4604" t="s" s="834">
        <v>3142</v>
      </c>
      <c r="B4604" t="s" s="834">
        <v>3143</v>
      </c>
      <c r="C4604" t="s" s="834">
        <v>1033</v>
      </c>
      <c r="D4604" s="570"/>
      <c r="E4604" s="570"/>
      <c r="F4604" s="570"/>
      <c r="G4604" s="570"/>
      <c r="H4604" s="570"/>
      <c r="I4604" s="570"/>
      <c r="J4604" s="570"/>
      <c r="K4604" s="570"/>
    </row>
    <row r="4605" ht="13.75" customHeight="1">
      <c r="A4605" s="833">
        <v>251</v>
      </c>
      <c r="B4605" t="s" s="834">
        <v>3110</v>
      </c>
      <c r="C4605" t="s" s="834">
        <v>1010</v>
      </c>
      <c r="D4605" s="835">
        <v>46046</v>
      </c>
      <c r="E4605" t="s" s="834">
        <v>478</v>
      </c>
      <c r="F4605" t="s" s="834">
        <v>478</v>
      </c>
      <c r="G4605" s="570"/>
      <c r="H4605" s="570"/>
      <c r="I4605" s="570"/>
      <c r="J4605" s="570"/>
      <c r="K4605" s="570"/>
    </row>
    <row r="4606" ht="13.75" customHeight="1">
      <c r="A4606" s="833">
        <v>251</v>
      </c>
      <c r="B4606" t="s" s="834">
        <v>3110</v>
      </c>
      <c r="C4606" t="s" s="834">
        <v>1010</v>
      </c>
      <c r="D4606" s="835">
        <v>46047</v>
      </c>
      <c r="E4606" t="s" s="834">
        <v>478</v>
      </c>
      <c r="F4606" t="s" s="834">
        <v>478</v>
      </c>
      <c r="G4606" s="570"/>
      <c r="H4606" s="570"/>
      <c r="I4606" s="570"/>
      <c r="J4606" s="570"/>
      <c r="K4606" s="570"/>
    </row>
    <row r="4607" ht="13.75" customHeight="1">
      <c r="A4607" s="833">
        <v>251</v>
      </c>
      <c r="B4607" t="s" s="834">
        <v>3110</v>
      </c>
      <c r="C4607" t="s" s="834">
        <v>1010</v>
      </c>
      <c r="D4607" s="835">
        <v>46048</v>
      </c>
      <c r="E4607" s="836">
        <v>1.361493055555556</v>
      </c>
      <c r="F4607" s="836">
        <v>1.759421296296296</v>
      </c>
      <c r="G4607" s="570"/>
      <c r="H4607" s="570"/>
      <c r="I4607" s="570"/>
      <c r="J4607" s="570"/>
      <c r="K4607" s="570"/>
    </row>
    <row r="4608" ht="13.75" customHeight="1">
      <c r="A4608" t="s" s="834">
        <v>3144</v>
      </c>
      <c r="B4608" t="s" s="834">
        <v>3145</v>
      </c>
      <c r="C4608" t="s" s="834">
        <v>688</v>
      </c>
      <c r="D4608" s="570"/>
      <c r="E4608" s="570"/>
      <c r="F4608" s="570"/>
      <c r="G4608" s="570"/>
      <c r="H4608" s="570"/>
      <c r="I4608" s="570"/>
      <c r="J4608" s="570"/>
      <c r="K4608" s="570"/>
    </row>
    <row r="4609" ht="13.75" customHeight="1">
      <c r="A4609" s="833">
        <v>251</v>
      </c>
      <c r="B4609" t="s" s="834">
        <v>3110</v>
      </c>
      <c r="C4609" t="s" s="834">
        <v>1010</v>
      </c>
      <c r="D4609" s="835">
        <v>46049</v>
      </c>
      <c r="E4609" s="836">
        <v>1.367685185185185</v>
      </c>
      <c r="F4609" s="836">
        <v>1.758993055555556</v>
      </c>
      <c r="G4609" s="570"/>
      <c r="H4609" s="570"/>
      <c r="I4609" s="570"/>
      <c r="J4609" s="570"/>
      <c r="K4609" s="570"/>
    </row>
    <row r="4610" ht="13.75" customHeight="1">
      <c r="A4610" t="s" s="834">
        <v>3146</v>
      </c>
      <c r="B4610" t="s" s="834">
        <v>3147</v>
      </c>
      <c r="C4610" t="s" s="834">
        <v>668</v>
      </c>
      <c r="D4610" s="570"/>
      <c r="E4610" s="570"/>
      <c r="F4610" s="570"/>
      <c r="G4610" s="570"/>
      <c r="H4610" s="570"/>
      <c r="I4610" s="570"/>
      <c r="J4610" s="570"/>
      <c r="K4610" s="570"/>
    </row>
    <row r="4611" ht="13.75" customHeight="1">
      <c r="A4611" s="833">
        <v>251</v>
      </c>
      <c r="B4611" t="s" s="834">
        <v>3110</v>
      </c>
      <c r="C4611" t="s" s="834">
        <v>1010</v>
      </c>
      <c r="D4611" s="835">
        <v>46050</v>
      </c>
      <c r="E4611" s="836">
        <v>1.361469907407407</v>
      </c>
      <c r="F4611" s="836">
        <v>1.761180555555556</v>
      </c>
      <c r="G4611" s="570"/>
      <c r="H4611" s="570"/>
      <c r="I4611" s="570"/>
      <c r="J4611" s="570"/>
      <c r="K4611" s="570"/>
    </row>
    <row r="4612" ht="13.75" customHeight="1">
      <c r="A4612" t="s" s="834">
        <v>3148</v>
      </c>
      <c r="B4612" t="s" s="834">
        <v>3149</v>
      </c>
      <c r="C4612" t="s" s="834">
        <v>759</v>
      </c>
      <c r="D4612" s="570"/>
      <c r="E4612" s="570"/>
      <c r="F4612" s="570"/>
      <c r="G4612" s="570"/>
      <c r="H4612" s="570"/>
      <c r="I4612" s="570"/>
      <c r="J4612" s="570"/>
      <c r="K4612" s="570"/>
    </row>
    <row r="4613" ht="13.75" customHeight="1">
      <c r="A4613" s="833">
        <v>251</v>
      </c>
      <c r="B4613" t="s" s="834">
        <v>3110</v>
      </c>
      <c r="C4613" t="s" s="834">
        <v>1010</v>
      </c>
      <c r="D4613" s="835">
        <v>46051</v>
      </c>
      <c r="E4613" s="836">
        <v>1.357118055555556</v>
      </c>
      <c r="F4613" s="836">
        <v>1.755347222222222</v>
      </c>
      <c r="G4613" s="570"/>
      <c r="H4613" s="570"/>
      <c r="I4613" s="570"/>
      <c r="J4613" s="570"/>
      <c r="K4613" s="570"/>
    </row>
    <row r="4614" ht="13.75" customHeight="1">
      <c r="A4614" t="s" s="834">
        <v>3150</v>
      </c>
      <c r="B4614" t="s" s="834">
        <v>3151</v>
      </c>
      <c r="C4614" t="s" s="834">
        <v>688</v>
      </c>
      <c r="D4614" s="570"/>
      <c r="E4614" s="570"/>
      <c r="F4614" s="570"/>
      <c r="G4614" s="570"/>
      <c r="H4614" s="570"/>
      <c r="I4614" s="570"/>
      <c r="J4614" s="570"/>
      <c r="K4614" s="570"/>
    </row>
    <row r="4615" ht="13.75" customHeight="1">
      <c r="A4615" s="833">
        <v>251</v>
      </c>
      <c r="B4615" t="s" s="834">
        <v>3110</v>
      </c>
      <c r="C4615" t="s" s="834">
        <v>1010</v>
      </c>
      <c r="D4615" s="835">
        <v>46052</v>
      </c>
      <c r="E4615" s="836">
        <v>1.558854166666667</v>
      </c>
      <c r="F4615" s="836">
        <v>1.78650462962963</v>
      </c>
      <c r="G4615" s="570"/>
      <c r="H4615" s="570"/>
      <c r="I4615" s="570"/>
      <c r="J4615" s="570"/>
      <c r="K4615" s="570"/>
    </row>
    <row r="4616" ht="13.75" customHeight="1">
      <c r="A4616" t="s" s="834">
        <v>3152</v>
      </c>
      <c r="B4616" t="s" s="834">
        <v>3153</v>
      </c>
      <c r="C4616" t="s" s="834">
        <v>1108</v>
      </c>
      <c r="D4616" s="570"/>
      <c r="E4616" s="570"/>
      <c r="F4616" s="570"/>
      <c r="G4616" s="570"/>
      <c r="H4616" s="570"/>
      <c r="I4616" s="570"/>
      <c r="J4616" s="570"/>
      <c r="K4616" s="570"/>
    </row>
    <row r="4617" ht="13.75" customHeight="1">
      <c r="A4617" s="833">
        <v>251</v>
      </c>
      <c r="B4617" t="s" s="834">
        <v>3110</v>
      </c>
      <c r="C4617" t="s" s="834">
        <v>1010</v>
      </c>
      <c r="D4617" s="835">
        <v>46053</v>
      </c>
      <c r="E4617" t="s" s="834">
        <v>478</v>
      </c>
      <c r="F4617" t="s" s="834">
        <v>478</v>
      </c>
      <c r="G4617" s="570"/>
      <c r="H4617" s="570"/>
      <c r="I4617" s="570"/>
      <c r="J4617" s="570"/>
      <c r="K4617" s="570"/>
    </row>
    <row r="4618" ht="13.75" customHeight="1">
      <c r="A4618" s="833">
        <v>251</v>
      </c>
      <c r="B4618" t="s" s="834">
        <v>3110</v>
      </c>
      <c r="C4618" t="s" s="834">
        <v>1010</v>
      </c>
      <c r="D4618" s="835">
        <v>46054</v>
      </c>
      <c r="E4618" t="s" s="834">
        <v>478</v>
      </c>
      <c r="F4618" t="s" s="834">
        <v>478</v>
      </c>
      <c r="G4618" s="570"/>
      <c r="H4618" s="570"/>
      <c r="I4618" s="570"/>
      <c r="J4618" s="570"/>
      <c r="K4618" s="570"/>
    </row>
    <row r="4619" ht="13.75" customHeight="1">
      <c r="A4619" s="833">
        <v>252</v>
      </c>
      <c r="B4619" t="s" s="834">
        <v>3154</v>
      </c>
      <c r="C4619" t="s" s="834">
        <v>1010</v>
      </c>
      <c r="D4619" s="835">
        <v>46023</v>
      </c>
      <c r="E4619" t="s" s="834">
        <v>478</v>
      </c>
      <c r="F4619" t="s" s="834">
        <v>478</v>
      </c>
      <c r="G4619" s="570"/>
      <c r="H4619" s="570"/>
      <c r="I4619" s="570"/>
      <c r="J4619" s="570"/>
      <c r="K4619" s="570"/>
    </row>
    <row r="4620" ht="13.75" customHeight="1">
      <c r="A4620" s="833">
        <v>252</v>
      </c>
      <c r="B4620" t="s" s="834">
        <v>3154</v>
      </c>
      <c r="C4620" t="s" s="834">
        <v>1010</v>
      </c>
      <c r="D4620" s="835">
        <v>46024</v>
      </c>
      <c r="E4620" t="s" s="834">
        <v>478</v>
      </c>
      <c r="F4620" t="s" s="834">
        <v>478</v>
      </c>
      <c r="G4620" s="570"/>
      <c r="H4620" s="570"/>
      <c r="I4620" s="570"/>
      <c r="J4620" s="570"/>
      <c r="K4620" s="570"/>
    </row>
    <row r="4621" ht="13.75" customHeight="1">
      <c r="A4621" s="833">
        <v>252</v>
      </c>
      <c r="B4621" t="s" s="834">
        <v>3154</v>
      </c>
      <c r="C4621" t="s" s="834">
        <v>1010</v>
      </c>
      <c r="D4621" s="835">
        <v>46025</v>
      </c>
      <c r="E4621" t="s" s="834">
        <v>478</v>
      </c>
      <c r="F4621" t="s" s="834">
        <v>478</v>
      </c>
      <c r="G4621" s="570"/>
      <c r="H4621" s="570"/>
      <c r="I4621" s="570"/>
      <c r="J4621" s="570"/>
      <c r="K4621" s="570"/>
    </row>
    <row r="4622" ht="13.75" customHeight="1">
      <c r="A4622" s="833">
        <v>252</v>
      </c>
      <c r="B4622" t="s" s="834">
        <v>3154</v>
      </c>
      <c r="C4622" t="s" s="834">
        <v>1010</v>
      </c>
      <c r="D4622" s="835">
        <v>46026</v>
      </c>
      <c r="E4622" t="s" s="834">
        <v>478</v>
      </c>
      <c r="F4622" t="s" s="834">
        <v>478</v>
      </c>
      <c r="G4622" s="570"/>
      <c r="H4622" s="570"/>
      <c r="I4622" s="570"/>
      <c r="J4622" s="570"/>
      <c r="K4622" s="570"/>
    </row>
    <row r="4623" ht="13.75" customHeight="1">
      <c r="A4623" s="833">
        <v>252</v>
      </c>
      <c r="B4623" t="s" s="834">
        <v>3154</v>
      </c>
      <c r="C4623" t="s" s="834">
        <v>1010</v>
      </c>
      <c r="D4623" s="835">
        <v>46027</v>
      </c>
      <c r="E4623" s="836">
        <v>1.542847222222222</v>
      </c>
      <c r="F4623" s="836">
        <v>1.794502314814815</v>
      </c>
      <c r="G4623" s="570"/>
      <c r="H4623" s="570"/>
      <c r="I4623" s="570"/>
      <c r="J4623" s="570"/>
      <c r="K4623" s="570"/>
    </row>
    <row r="4624" ht="13.75" customHeight="1">
      <c r="A4624" t="s" s="834">
        <v>3155</v>
      </c>
      <c r="B4624" t="s" s="834">
        <v>3156</v>
      </c>
      <c r="C4624" t="s" s="834">
        <v>2976</v>
      </c>
      <c r="D4624" s="570"/>
      <c r="E4624" s="570"/>
      <c r="F4624" s="570"/>
      <c r="G4624" s="570"/>
      <c r="H4624" s="570"/>
      <c r="I4624" s="570"/>
      <c r="J4624" s="570"/>
      <c r="K4624" s="570"/>
    </row>
    <row r="4625" ht="13.75" customHeight="1">
      <c r="A4625" s="833">
        <v>252</v>
      </c>
      <c r="B4625" t="s" s="834">
        <v>3154</v>
      </c>
      <c r="C4625" t="s" s="834">
        <v>1010</v>
      </c>
      <c r="D4625" s="835">
        <v>46028</v>
      </c>
      <c r="E4625" s="836">
        <v>1.818344907407407</v>
      </c>
      <c r="F4625" s="836">
        <v>1.81837962962963</v>
      </c>
      <c r="G4625" s="570"/>
      <c r="H4625" s="570"/>
      <c r="I4625" s="570"/>
      <c r="J4625" s="570"/>
      <c r="K4625" s="570"/>
    </row>
    <row r="4626" ht="13.75" customHeight="1">
      <c r="A4626" t="s" s="834">
        <v>3157</v>
      </c>
      <c r="B4626" t="s" s="834">
        <v>3158</v>
      </c>
      <c r="C4626" t="s" s="834">
        <v>486</v>
      </c>
      <c r="D4626" s="570"/>
      <c r="E4626" s="570"/>
      <c r="F4626" s="570"/>
      <c r="G4626" s="570"/>
      <c r="H4626" s="570"/>
      <c r="I4626" s="570"/>
      <c r="J4626" s="570"/>
      <c r="K4626" s="570"/>
    </row>
    <row r="4627" ht="13.75" customHeight="1">
      <c r="A4627" s="833">
        <v>252</v>
      </c>
      <c r="B4627" t="s" s="834">
        <v>3154</v>
      </c>
      <c r="C4627" t="s" s="834">
        <v>1010</v>
      </c>
      <c r="D4627" s="835">
        <v>46029</v>
      </c>
      <c r="E4627" s="836">
        <v>1.373078703703704</v>
      </c>
      <c r="F4627" t="s" s="834">
        <v>478</v>
      </c>
      <c r="G4627" s="570"/>
      <c r="H4627" s="570"/>
      <c r="I4627" s="570"/>
      <c r="J4627" s="570"/>
      <c r="K4627" s="570"/>
    </row>
    <row r="4628" ht="13.75" customHeight="1">
      <c r="A4628" t="s" s="834">
        <v>3159</v>
      </c>
      <c r="B4628" t="s" s="834">
        <v>485</v>
      </c>
      <c r="C4628" t="s" s="834">
        <v>486</v>
      </c>
      <c r="D4628" s="570"/>
      <c r="E4628" s="570"/>
      <c r="F4628" s="570"/>
      <c r="G4628" s="570"/>
      <c r="H4628" s="570"/>
      <c r="I4628" s="570"/>
      <c r="J4628" s="570"/>
      <c r="K4628" s="570"/>
    </row>
    <row r="4629" ht="13.75" customHeight="1">
      <c r="A4629" s="833">
        <v>252</v>
      </c>
      <c r="B4629" t="s" s="834">
        <v>3154</v>
      </c>
      <c r="C4629" t="s" s="834">
        <v>1010</v>
      </c>
      <c r="D4629" s="835">
        <v>46030</v>
      </c>
      <c r="E4629" s="836">
        <v>1.369675925925926</v>
      </c>
      <c r="F4629" s="836">
        <v>1.772881944444444</v>
      </c>
      <c r="G4629" s="570"/>
      <c r="H4629" s="570"/>
      <c r="I4629" s="570"/>
      <c r="J4629" s="570"/>
      <c r="K4629" s="570"/>
    </row>
    <row r="4630" ht="13.75" customHeight="1">
      <c r="A4630" t="s" s="834">
        <v>3160</v>
      </c>
      <c r="B4630" t="s" s="834">
        <v>3161</v>
      </c>
      <c r="C4630" t="s" s="834">
        <v>590</v>
      </c>
      <c r="D4630" s="570"/>
      <c r="E4630" s="570"/>
      <c r="F4630" s="570"/>
      <c r="G4630" s="570"/>
      <c r="H4630" s="570"/>
      <c r="I4630" s="570"/>
      <c r="J4630" s="570"/>
      <c r="K4630" s="570"/>
    </row>
    <row r="4631" ht="13.75" customHeight="1">
      <c r="A4631" s="833">
        <v>252</v>
      </c>
      <c r="B4631" t="s" s="834">
        <v>3154</v>
      </c>
      <c r="C4631" t="s" s="834">
        <v>1010</v>
      </c>
      <c r="D4631" s="835">
        <v>46031</v>
      </c>
      <c r="E4631" s="836">
        <v>1.513240740740741</v>
      </c>
      <c r="F4631" t="s" s="834">
        <v>478</v>
      </c>
      <c r="G4631" s="570"/>
      <c r="H4631" s="570"/>
      <c r="I4631" s="570"/>
      <c r="J4631" s="570"/>
      <c r="K4631" s="570"/>
    </row>
    <row r="4632" ht="13.75" customHeight="1">
      <c r="A4632" t="s" s="834">
        <v>3162</v>
      </c>
      <c r="B4632" t="s" s="834">
        <v>485</v>
      </c>
      <c r="C4632" t="s" s="834">
        <v>486</v>
      </c>
      <c r="D4632" s="570"/>
      <c r="E4632" s="570"/>
      <c r="F4632" s="570"/>
      <c r="G4632" s="570"/>
      <c r="H4632" s="570"/>
      <c r="I4632" s="570"/>
      <c r="J4632" s="570"/>
      <c r="K4632" s="570"/>
    </row>
    <row r="4633" ht="13.75" customHeight="1">
      <c r="A4633" s="833">
        <v>252</v>
      </c>
      <c r="B4633" t="s" s="834">
        <v>3154</v>
      </c>
      <c r="C4633" t="s" s="834">
        <v>1010</v>
      </c>
      <c r="D4633" s="835">
        <v>46032</v>
      </c>
      <c r="E4633" t="s" s="834">
        <v>478</v>
      </c>
      <c r="F4633" t="s" s="834">
        <v>478</v>
      </c>
      <c r="G4633" s="570"/>
      <c r="H4633" s="570"/>
      <c r="I4633" s="570"/>
      <c r="J4633" s="570"/>
      <c r="K4633" s="570"/>
    </row>
    <row r="4634" ht="13.75" customHeight="1">
      <c r="A4634" s="833">
        <v>252</v>
      </c>
      <c r="B4634" t="s" s="834">
        <v>3154</v>
      </c>
      <c r="C4634" t="s" s="834">
        <v>1010</v>
      </c>
      <c r="D4634" s="835">
        <v>46033</v>
      </c>
      <c r="E4634" t="s" s="834">
        <v>478</v>
      </c>
      <c r="F4634" t="s" s="834">
        <v>478</v>
      </c>
      <c r="G4634" s="570"/>
      <c r="H4634" s="570"/>
      <c r="I4634" s="570"/>
      <c r="J4634" s="570"/>
      <c r="K4634" s="570"/>
    </row>
    <row r="4635" ht="13.75" customHeight="1">
      <c r="A4635" s="833">
        <v>252</v>
      </c>
      <c r="B4635" t="s" s="834">
        <v>3154</v>
      </c>
      <c r="C4635" t="s" s="834">
        <v>1010</v>
      </c>
      <c r="D4635" s="835">
        <v>46034</v>
      </c>
      <c r="E4635" t="s" s="834">
        <v>478</v>
      </c>
      <c r="F4635" t="s" s="834">
        <v>478</v>
      </c>
      <c r="G4635" s="570"/>
      <c r="H4635" s="570"/>
      <c r="I4635" s="570"/>
      <c r="J4635" s="570"/>
      <c r="K4635" s="570"/>
    </row>
    <row r="4636" ht="13.75" customHeight="1">
      <c r="A4636" s="833">
        <v>252</v>
      </c>
      <c r="B4636" t="s" s="834">
        <v>3154</v>
      </c>
      <c r="C4636" t="s" s="834">
        <v>1010</v>
      </c>
      <c r="D4636" s="835">
        <v>46035</v>
      </c>
      <c r="E4636" s="836">
        <v>1.530625</v>
      </c>
      <c r="F4636" s="836">
        <v>1.784039351851852</v>
      </c>
      <c r="G4636" s="570"/>
      <c r="H4636" s="570"/>
      <c r="I4636" s="570"/>
      <c r="J4636" s="570"/>
      <c r="K4636" s="570"/>
    </row>
    <row r="4637" ht="13.75" customHeight="1">
      <c r="A4637" t="s" s="834">
        <v>3163</v>
      </c>
      <c r="B4637" t="s" s="834">
        <v>3164</v>
      </c>
      <c r="C4637" t="s" s="834">
        <v>3165</v>
      </c>
      <c r="D4637" s="570"/>
      <c r="E4637" s="570"/>
      <c r="F4637" s="570"/>
      <c r="G4637" s="570"/>
      <c r="H4637" s="570"/>
      <c r="I4637" s="570"/>
      <c r="J4637" s="570"/>
      <c r="K4637" s="570"/>
    </row>
    <row r="4638" ht="13.75" customHeight="1">
      <c r="A4638" s="833">
        <v>252</v>
      </c>
      <c r="B4638" t="s" s="834">
        <v>3154</v>
      </c>
      <c r="C4638" t="s" s="834">
        <v>1010</v>
      </c>
      <c r="D4638" s="835">
        <v>46036</v>
      </c>
      <c r="E4638" s="836">
        <v>1.363310185185185</v>
      </c>
      <c r="F4638" s="836">
        <v>1.364305555555556</v>
      </c>
      <c r="G4638" s="570"/>
      <c r="H4638" s="570"/>
      <c r="I4638" s="570"/>
      <c r="J4638" s="570"/>
      <c r="K4638" s="570"/>
    </row>
    <row r="4639" ht="13.75" customHeight="1">
      <c r="A4639" t="s" s="834">
        <v>3166</v>
      </c>
      <c r="B4639" t="s" s="834">
        <v>3167</v>
      </c>
      <c r="C4639" t="s" s="834">
        <v>805</v>
      </c>
      <c r="D4639" s="570"/>
      <c r="E4639" s="570"/>
      <c r="F4639" s="570"/>
      <c r="G4639" s="570"/>
      <c r="H4639" s="570"/>
      <c r="I4639" s="570"/>
      <c r="J4639" s="570"/>
      <c r="K4639" s="570"/>
    </row>
    <row r="4640" ht="13.75" customHeight="1">
      <c r="A4640" s="833">
        <v>252</v>
      </c>
      <c r="B4640" t="s" s="834">
        <v>3154</v>
      </c>
      <c r="C4640" t="s" s="834">
        <v>1010</v>
      </c>
      <c r="D4640" s="835">
        <v>46037</v>
      </c>
      <c r="E4640" s="836">
        <v>1.822789351851852</v>
      </c>
      <c r="F4640" s="836">
        <v>1.822951388888889</v>
      </c>
      <c r="G4640" s="570"/>
      <c r="H4640" s="570"/>
      <c r="I4640" s="570"/>
      <c r="J4640" s="570"/>
      <c r="K4640" s="570"/>
    </row>
    <row r="4641" ht="13.75" customHeight="1">
      <c r="A4641" t="s" s="834">
        <v>3168</v>
      </c>
      <c r="B4641" t="s" s="834">
        <v>3169</v>
      </c>
      <c r="C4641" t="s" s="834">
        <v>486</v>
      </c>
      <c r="D4641" s="570"/>
      <c r="E4641" s="570"/>
      <c r="F4641" s="570"/>
      <c r="G4641" s="570"/>
      <c r="H4641" s="570"/>
      <c r="I4641" s="570"/>
      <c r="J4641" s="570"/>
      <c r="K4641" s="570"/>
    </row>
    <row r="4642" ht="13.75" customHeight="1">
      <c r="A4642" s="833">
        <v>252</v>
      </c>
      <c r="B4642" t="s" s="834">
        <v>3154</v>
      </c>
      <c r="C4642" t="s" s="834">
        <v>1010</v>
      </c>
      <c r="D4642" s="835">
        <v>46038</v>
      </c>
      <c r="E4642" t="s" s="834">
        <v>478</v>
      </c>
      <c r="F4642" t="s" s="834">
        <v>478</v>
      </c>
      <c r="G4642" s="570"/>
      <c r="H4642" s="570"/>
      <c r="I4642" s="570"/>
      <c r="J4642" s="570"/>
      <c r="K4642" s="570"/>
    </row>
    <row r="4643" ht="13.75" customHeight="1">
      <c r="A4643" s="833">
        <v>252</v>
      </c>
      <c r="B4643" t="s" s="834">
        <v>3154</v>
      </c>
      <c r="C4643" t="s" s="834">
        <v>1010</v>
      </c>
      <c r="D4643" s="835">
        <v>46039</v>
      </c>
      <c r="E4643" t="s" s="834">
        <v>478</v>
      </c>
      <c r="F4643" t="s" s="834">
        <v>478</v>
      </c>
      <c r="G4643" s="570"/>
      <c r="H4643" s="570"/>
      <c r="I4643" s="570"/>
      <c r="J4643" s="570"/>
      <c r="K4643" s="570"/>
    </row>
    <row r="4644" ht="13.75" customHeight="1">
      <c r="A4644" s="833">
        <v>252</v>
      </c>
      <c r="B4644" t="s" s="834">
        <v>3154</v>
      </c>
      <c r="C4644" t="s" s="834">
        <v>1010</v>
      </c>
      <c r="D4644" s="835">
        <v>46040</v>
      </c>
      <c r="E4644" t="s" s="834">
        <v>478</v>
      </c>
      <c r="F4644" t="s" s="834">
        <v>478</v>
      </c>
      <c r="G4644" s="570"/>
      <c r="H4644" s="570"/>
      <c r="I4644" s="570"/>
      <c r="J4644" s="570"/>
      <c r="K4644" s="570"/>
    </row>
    <row r="4645" ht="13.75" customHeight="1">
      <c r="A4645" s="833">
        <v>252</v>
      </c>
      <c r="B4645" t="s" s="834">
        <v>3154</v>
      </c>
      <c r="C4645" t="s" s="834">
        <v>1010</v>
      </c>
      <c r="D4645" s="835">
        <v>46041</v>
      </c>
      <c r="E4645" s="836">
        <v>1.583831018518518</v>
      </c>
      <c r="F4645" s="836">
        <v>1.784085648148148</v>
      </c>
      <c r="G4645" s="570"/>
      <c r="H4645" s="570"/>
      <c r="I4645" s="570"/>
      <c r="J4645" s="570"/>
      <c r="K4645" s="570"/>
    </row>
    <row r="4646" ht="13.75" customHeight="1">
      <c r="A4646" t="s" s="834">
        <v>3170</v>
      </c>
      <c r="B4646" t="s" s="834">
        <v>3171</v>
      </c>
      <c r="C4646" t="s" s="834">
        <v>3172</v>
      </c>
      <c r="D4646" s="570"/>
      <c r="E4646" s="570"/>
      <c r="F4646" s="570"/>
      <c r="G4646" s="570"/>
      <c r="H4646" s="570"/>
      <c r="I4646" s="570"/>
      <c r="J4646" s="570"/>
      <c r="K4646" s="570"/>
    </row>
    <row r="4647" ht="13.75" customHeight="1">
      <c r="A4647" s="833">
        <v>252</v>
      </c>
      <c r="B4647" t="s" s="834">
        <v>3154</v>
      </c>
      <c r="C4647" t="s" s="834">
        <v>1010</v>
      </c>
      <c r="D4647" s="835">
        <v>46042</v>
      </c>
      <c r="E4647" t="s" s="834">
        <v>478</v>
      </c>
      <c r="F4647" t="s" s="834">
        <v>478</v>
      </c>
      <c r="G4647" s="570"/>
      <c r="H4647" s="570"/>
      <c r="I4647" s="570"/>
      <c r="J4647" s="570"/>
      <c r="K4647" s="570"/>
    </row>
    <row r="4648" ht="13.75" customHeight="1">
      <c r="A4648" s="833">
        <v>252</v>
      </c>
      <c r="B4648" t="s" s="834">
        <v>3154</v>
      </c>
      <c r="C4648" t="s" s="834">
        <v>1010</v>
      </c>
      <c r="D4648" s="835">
        <v>46043</v>
      </c>
      <c r="E4648" t="s" s="834">
        <v>478</v>
      </c>
      <c r="F4648" t="s" s="834">
        <v>478</v>
      </c>
      <c r="G4648" s="570"/>
      <c r="H4648" s="570"/>
      <c r="I4648" s="570"/>
      <c r="J4648" s="570"/>
      <c r="K4648" s="570"/>
    </row>
    <row r="4649" ht="13.75" customHeight="1">
      <c r="A4649" s="833">
        <v>252</v>
      </c>
      <c r="B4649" t="s" s="834">
        <v>3154</v>
      </c>
      <c r="C4649" t="s" s="834">
        <v>1010</v>
      </c>
      <c r="D4649" s="835">
        <v>46044</v>
      </c>
      <c r="E4649" t="s" s="834">
        <v>478</v>
      </c>
      <c r="F4649" t="s" s="834">
        <v>478</v>
      </c>
      <c r="G4649" s="570"/>
      <c r="H4649" s="570"/>
      <c r="I4649" s="570"/>
      <c r="J4649" s="570"/>
      <c r="K4649" s="570"/>
    </row>
    <row r="4650" ht="13.75" customHeight="1">
      <c r="A4650" s="833">
        <v>252</v>
      </c>
      <c r="B4650" t="s" s="834">
        <v>3154</v>
      </c>
      <c r="C4650" t="s" s="834">
        <v>1010</v>
      </c>
      <c r="D4650" s="835">
        <v>46045</v>
      </c>
      <c r="E4650" t="s" s="834">
        <v>478</v>
      </c>
      <c r="F4650" t="s" s="834">
        <v>478</v>
      </c>
      <c r="G4650" s="570"/>
      <c r="H4650" s="570"/>
      <c r="I4650" s="570"/>
      <c r="J4650" s="570"/>
      <c r="K4650" s="570"/>
    </row>
    <row r="4651" ht="13.75" customHeight="1">
      <c r="A4651" s="833">
        <v>252</v>
      </c>
      <c r="B4651" t="s" s="834">
        <v>3154</v>
      </c>
      <c r="C4651" t="s" s="834">
        <v>1010</v>
      </c>
      <c r="D4651" s="835">
        <v>46046</v>
      </c>
      <c r="E4651" t="s" s="834">
        <v>478</v>
      </c>
      <c r="F4651" t="s" s="834">
        <v>478</v>
      </c>
      <c r="G4651" s="570"/>
      <c r="H4651" s="570"/>
      <c r="I4651" s="570"/>
      <c r="J4651" s="570"/>
      <c r="K4651" s="570"/>
    </row>
    <row r="4652" ht="13.75" customHeight="1">
      <c r="A4652" s="833">
        <v>252</v>
      </c>
      <c r="B4652" t="s" s="834">
        <v>3154</v>
      </c>
      <c r="C4652" t="s" s="834">
        <v>1010</v>
      </c>
      <c r="D4652" s="835">
        <v>46047</v>
      </c>
      <c r="E4652" t="s" s="834">
        <v>478</v>
      </c>
      <c r="F4652" t="s" s="834">
        <v>478</v>
      </c>
      <c r="G4652" s="570"/>
      <c r="H4652" s="570"/>
      <c r="I4652" s="570"/>
      <c r="J4652" s="570"/>
      <c r="K4652" s="570"/>
    </row>
    <row r="4653" ht="13.75" customHeight="1">
      <c r="A4653" s="833">
        <v>252</v>
      </c>
      <c r="B4653" t="s" s="834">
        <v>3154</v>
      </c>
      <c r="C4653" t="s" s="834">
        <v>1010</v>
      </c>
      <c r="D4653" s="835">
        <v>46048</v>
      </c>
      <c r="E4653" t="s" s="834">
        <v>478</v>
      </c>
      <c r="F4653" t="s" s="834">
        <v>478</v>
      </c>
      <c r="G4653" s="570"/>
      <c r="H4653" s="570"/>
      <c r="I4653" s="570"/>
      <c r="J4653" s="570"/>
      <c r="K4653" s="570"/>
    </row>
    <row r="4654" ht="13.75" customHeight="1">
      <c r="A4654" s="833">
        <v>252</v>
      </c>
      <c r="B4654" t="s" s="834">
        <v>3154</v>
      </c>
      <c r="C4654" t="s" s="834">
        <v>1010</v>
      </c>
      <c r="D4654" s="835">
        <v>46049</v>
      </c>
      <c r="E4654" s="836">
        <v>1.786435185185185</v>
      </c>
      <c r="F4654" s="836">
        <v>1.786967592592593</v>
      </c>
      <c r="G4654" s="570"/>
      <c r="H4654" s="570"/>
      <c r="I4654" s="570"/>
      <c r="J4654" s="570"/>
      <c r="K4654" s="570"/>
    </row>
    <row r="4655" ht="13.75" customHeight="1">
      <c r="A4655" t="s" s="834">
        <v>3173</v>
      </c>
      <c r="B4655" t="s" s="834">
        <v>3174</v>
      </c>
      <c r="C4655" t="s" s="834">
        <v>805</v>
      </c>
      <c r="D4655" s="570"/>
      <c r="E4655" s="570"/>
      <c r="F4655" s="570"/>
      <c r="G4655" s="570"/>
      <c r="H4655" s="570"/>
      <c r="I4655" s="570"/>
      <c r="J4655" s="570"/>
      <c r="K4655" s="570"/>
    </row>
    <row r="4656" ht="13.75" customHeight="1">
      <c r="A4656" s="833">
        <v>252</v>
      </c>
      <c r="B4656" t="s" s="834">
        <v>3154</v>
      </c>
      <c r="C4656" t="s" s="834">
        <v>1010</v>
      </c>
      <c r="D4656" s="835">
        <v>46050</v>
      </c>
      <c r="E4656" s="836">
        <v>1.513009259259259</v>
      </c>
      <c r="F4656" s="836">
        <v>1.785439814814815</v>
      </c>
      <c r="G4656" s="570"/>
      <c r="H4656" s="570"/>
      <c r="I4656" s="570"/>
      <c r="J4656" s="570"/>
      <c r="K4656" s="570"/>
    </row>
    <row r="4657" ht="13.75" customHeight="1">
      <c r="A4657" t="s" s="834">
        <v>3175</v>
      </c>
      <c r="B4657" t="s" s="834">
        <v>3176</v>
      </c>
      <c r="C4657" t="s" s="834">
        <v>3177</v>
      </c>
      <c r="D4657" s="570"/>
      <c r="E4657" s="570"/>
      <c r="F4657" s="570"/>
      <c r="G4657" s="570"/>
      <c r="H4657" s="570"/>
      <c r="I4657" s="570"/>
      <c r="J4657" s="570"/>
      <c r="K4657" s="570"/>
    </row>
    <row r="4658" ht="13.75" customHeight="1">
      <c r="A4658" s="833">
        <v>252</v>
      </c>
      <c r="B4658" t="s" s="834">
        <v>3154</v>
      </c>
      <c r="C4658" t="s" s="834">
        <v>1010</v>
      </c>
      <c r="D4658" s="835">
        <v>46051</v>
      </c>
      <c r="E4658" s="836">
        <v>1.835694444444445</v>
      </c>
      <c r="F4658" t="s" s="834">
        <v>478</v>
      </c>
      <c r="G4658" s="570"/>
      <c r="H4658" s="570"/>
      <c r="I4658" s="570"/>
      <c r="J4658" s="570"/>
      <c r="K4658" s="570"/>
    </row>
    <row r="4659" ht="13.75" customHeight="1">
      <c r="A4659" t="s" s="834">
        <v>3178</v>
      </c>
      <c r="B4659" t="s" s="834">
        <v>485</v>
      </c>
      <c r="C4659" t="s" s="834">
        <v>486</v>
      </c>
      <c r="D4659" s="570"/>
      <c r="E4659" s="570"/>
      <c r="F4659" s="570"/>
      <c r="G4659" s="570"/>
      <c r="H4659" s="570"/>
      <c r="I4659" s="570"/>
      <c r="J4659" s="570"/>
      <c r="K4659" s="570"/>
    </row>
    <row r="4660" ht="13.75" customHeight="1">
      <c r="A4660" s="833">
        <v>252</v>
      </c>
      <c r="B4660" t="s" s="834">
        <v>3154</v>
      </c>
      <c r="C4660" t="s" s="834">
        <v>1010</v>
      </c>
      <c r="D4660" s="835">
        <v>46052</v>
      </c>
      <c r="E4660" t="s" s="834">
        <v>478</v>
      </c>
      <c r="F4660" t="s" s="834">
        <v>478</v>
      </c>
      <c r="G4660" s="570"/>
      <c r="H4660" s="570"/>
      <c r="I4660" s="570"/>
      <c r="J4660" s="570"/>
      <c r="K4660" s="570"/>
    </row>
    <row r="4661" ht="13.75" customHeight="1">
      <c r="A4661" s="833">
        <v>252</v>
      </c>
      <c r="B4661" t="s" s="834">
        <v>3154</v>
      </c>
      <c r="C4661" t="s" s="834">
        <v>1010</v>
      </c>
      <c r="D4661" s="835">
        <v>46053</v>
      </c>
      <c r="E4661" t="s" s="834">
        <v>478</v>
      </c>
      <c r="F4661" t="s" s="834">
        <v>478</v>
      </c>
      <c r="G4661" s="570"/>
      <c r="H4661" s="570"/>
      <c r="I4661" s="570"/>
      <c r="J4661" s="570"/>
      <c r="K4661" s="570"/>
    </row>
    <row r="4662" ht="13.75" customHeight="1">
      <c r="A4662" s="833">
        <v>252</v>
      </c>
      <c r="B4662" t="s" s="834">
        <v>3154</v>
      </c>
      <c r="C4662" t="s" s="834">
        <v>1010</v>
      </c>
      <c r="D4662" s="835">
        <v>46054</v>
      </c>
      <c r="E4662" t="s" s="834">
        <v>478</v>
      </c>
      <c r="F4662" t="s" s="834">
        <v>478</v>
      </c>
      <c r="G4662" s="570"/>
      <c r="H4662" s="570"/>
      <c r="I4662" s="570"/>
      <c r="J4662" s="570"/>
      <c r="K4662" s="570"/>
    </row>
    <row r="4663" ht="13.75" customHeight="1">
      <c r="A4663" s="833">
        <v>253</v>
      </c>
      <c r="B4663" t="s" s="834">
        <v>3179</v>
      </c>
      <c r="C4663" t="s" s="834">
        <v>1010</v>
      </c>
      <c r="D4663" s="835">
        <v>46023</v>
      </c>
      <c r="E4663" t="s" s="834">
        <v>478</v>
      </c>
      <c r="F4663" t="s" s="834">
        <v>478</v>
      </c>
      <c r="G4663" s="570"/>
      <c r="H4663" s="570"/>
      <c r="I4663" s="570"/>
      <c r="J4663" s="570"/>
      <c r="K4663" s="570"/>
    </row>
    <row r="4664" ht="13.75" customHeight="1">
      <c r="A4664" s="833">
        <v>253</v>
      </c>
      <c r="B4664" t="s" s="834">
        <v>3179</v>
      </c>
      <c r="C4664" t="s" s="834">
        <v>1010</v>
      </c>
      <c r="D4664" s="835">
        <v>46024</v>
      </c>
      <c r="E4664" t="s" s="834">
        <v>478</v>
      </c>
      <c r="F4664" t="s" s="834">
        <v>478</v>
      </c>
      <c r="G4664" s="570"/>
      <c r="H4664" s="570"/>
      <c r="I4664" s="570"/>
      <c r="J4664" s="570"/>
      <c r="K4664" s="570"/>
    </row>
    <row r="4665" ht="13.75" customHeight="1">
      <c r="A4665" s="833">
        <v>253</v>
      </c>
      <c r="B4665" t="s" s="834">
        <v>3179</v>
      </c>
      <c r="C4665" t="s" s="834">
        <v>1010</v>
      </c>
      <c r="D4665" s="835">
        <v>46025</v>
      </c>
      <c r="E4665" t="s" s="834">
        <v>478</v>
      </c>
      <c r="F4665" t="s" s="834">
        <v>478</v>
      </c>
      <c r="G4665" s="570"/>
      <c r="H4665" s="570"/>
      <c r="I4665" s="570"/>
      <c r="J4665" s="570"/>
      <c r="K4665" s="570"/>
    </row>
    <row r="4666" ht="13.75" customHeight="1">
      <c r="A4666" s="833">
        <v>253</v>
      </c>
      <c r="B4666" t="s" s="834">
        <v>3179</v>
      </c>
      <c r="C4666" t="s" s="834">
        <v>1010</v>
      </c>
      <c r="D4666" s="835">
        <v>46026</v>
      </c>
      <c r="E4666" t="s" s="834">
        <v>478</v>
      </c>
      <c r="F4666" t="s" s="834">
        <v>478</v>
      </c>
      <c r="G4666" s="570"/>
      <c r="H4666" s="570"/>
      <c r="I4666" s="570"/>
      <c r="J4666" s="570"/>
      <c r="K4666" s="570"/>
    </row>
    <row r="4667" ht="13.75" customHeight="1">
      <c r="A4667" s="833">
        <v>253</v>
      </c>
      <c r="B4667" t="s" s="834">
        <v>3179</v>
      </c>
      <c r="C4667" t="s" s="834">
        <v>1010</v>
      </c>
      <c r="D4667" s="835">
        <v>46027</v>
      </c>
      <c r="E4667" s="836">
        <v>1.355648148148148</v>
      </c>
      <c r="F4667" s="836">
        <v>1.774525462962963</v>
      </c>
      <c r="G4667" s="570"/>
      <c r="H4667" s="570"/>
      <c r="I4667" s="570"/>
      <c r="J4667" s="570"/>
      <c r="K4667" s="570"/>
    </row>
    <row r="4668" ht="13.75" customHeight="1">
      <c r="A4668" t="s" s="834">
        <v>3180</v>
      </c>
      <c r="B4668" t="s" s="834">
        <v>3181</v>
      </c>
      <c r="C4668" t="s" s="834">
        <v>1280</v>
      </c>
      <c r="D4668" s="570"/>
      <c r="E4668" s="570"/>
      <c r="F4668" s="570"/>
      <c r="G4668" s="570"/>
      <c r="H4668" s="570"/>
      <c r="I4668" s="570"/>
      <c r="J4668" s="570"/>
      <c r="K4668" s="570"/>
    </row>
    <row r="4669" ht="13.75" customHeight="1">
      <c r="A4669" s="833">
        <v>253</v>
      </c>
      <c r="B4669" t="s" s="834">
        <v>3179</v>
      </c>
      <c r="C4669" t="s" s="834">
        <v>1010</v>
      </c>
      <c r="D4669" s="835">
        <v>46028</v>
      </c>
      <c r="E4669" s="836">
        <v>1.333009259259259</v>
      </c>
      <c r="F4669" s="836">
        <v>1.771134259259259</v>
      </c>
      <c r="G4669" s="570"/>
      <c r="H4669" s="570"/>
      <c r="I4669" s="570"/>
      <c r="J4669" s="570"/>
      <c r="K4669" s="570"/>
    </row>
    <row r="4670" ht="13.75" customHeight="1">
      <c r="A4670" t="s" s="834">
        <v>3182</v>
      </c>
      <c r="B4670" t="s" s="834">
        <v>3183</v>
      </c>
      <c r="C4670" t="s" s="834">
        <v>1030</v>
      </c>
      <c r="D4670" s="570"/>
      <c r="E4670" s="570"/>
      <c r="F4670" s="570"/>
      <c r="G4670" s="570"/>
      <c r="H4670" s="570"/>
      <c r="I4670" s="570"/>
      <c r="J4670" s="570"/>
      <c r="K4670" s="570"/>
    </row>
    <row r="4671" ht="13.75" customHeight="1">
      <c r="A4671" s="833">
        <v>253</v>
      </c>
      <c r="B4671" t="s" s="834">
        <v>3179</v>
      </c>
      <c r="C4671" t="s" s="834">
        <v>1010</v>
      </c>
      <c r="D4671" s="835">
        <v>46029</v>
      </c>
      <c r="E4671" s="836">
        <v>1.35494212962963</v>
      </c>
      <c r="F4671" s="836">
        <v>1.755891203703704</v>
      </c>
      <c r="G4671" s="570"/>
      <c r="H4671" s="570"/>
      <c r="I4671" s="570"/>
      <c r="J4671" s="570"/>
      <c r="K4671" s="570"/>
    </row>
    <row r="4672" ht="13.75" customHeight="1">
      <c r="A4672" t="s" s="834">
        <v>3184</v>
      </c>
      <c r="B4672" t="s" s="834">
        <v>3185</v>
      </c>
      <c r="C4672" t="s" s="834">
        <v>606</v>
      </c>
      <c r="D4672" s="570"/>
      <c r="E4672" s="570"/>
      <c r="F4672" s="570"/>
      <c r="G4672" s="570"/>
      <c r="H4672" s="570"/>
      <c r="I4672" s="570"/>
      <c r="J4672" s="570"/>
      <c r="K4672" s="570"/>
    </row>
    <row r="4673" ht="13.75" customHeight="1">
      <c r="A4673" s="833">
        <v>253</v>
      </c>
      <c r="B4673" t="s" s="834">
        <v>3179</v>
      </c>
      <c r="C4673" t="s" s="834">
        <v>1010</v>
      </c>
      <c r="D4673" s="835">
        <v>46030</v>
      </c>
      <c r="E4673" s="836">
        <v>1.361319444444445</v>
      </c>
      <c r="F4673" s="836">
        <v>1.759722222222222</v>
      </c>
      <c r="G4673" s="570"/>
      <c r="H4673" s="570"/>
      <c r="I4673" s="570"/>
      <c r="J4673" s="570"/>
      <c r="K4673" s="570"/>
    </row>
    <row r="4674" ht="13.75" customHeight="1">
      <c r="A4674" t="s" s="834">
        <v>3186</v>
      </c>
      <c r="B4674" t="s" s="834">
        <v>3187</v>
      </c>
      <c r="C4674" t="s" s="834">
        <v>611</v>
      </c>
      <c r="D4674" s="570"/>
      <c r="E4674" s="570"/>
      <c r="F4674" s="570"/>
      <c r="G4674" s="570"/>
      <c r="H4674" s="570"/>
      <c r="I4674" s="570"/>
      <c r="J4674" s="570"/>
      <c r="K4674" s="570"/>
    </row>
    <row r="4675" ht="13.75" customHeight="1">
      <c r="A4675" s="833">
        <v>253</v>
      </c>
      <c r="B4675" t="s" s="834">
        <v>3179</v>
      </c>
      <c r="C4675" t="s" s="834">
        <v>1010</v>
      </c>
      <c r="D4675" s="835">
        <v>46031</v>
      </c>
      <c r="E4675" s="836">
        <v>1.36662037037037</v>
      </c>
      <c r="F4675" s="836">
        <v>1.762858796296296</v>
      </c>
      <c r="G4675" s="570"/>
      <c r="H4675" s="570"/>
      <c r="I4675" s="570"/>
      <c r="J4675" s="570"/>
      <c r="K4675" s="570"/>
    </row>
    <row r="4676" ht="13.75" customHeight="1">
      <c r="A4676" t="s" s="834">
        <v>3188</v>
      </c>
      <c r="B4676" t="s" s="834">
        <v>3189</v>
      </c>
      <c r="C4676" t="s" s="834">
        <v>683</v>
      </c>
      <c r="D4676" s="570"/>
      <c r="E4676" s="570"/>
      <c r="F4676" s="570"/>
      <c r="G4676" s="570"/>
      <c r="H4676" s="570"/>
      <c r="I4676" s="570"/>
      <c r="J4676" s="570"/>
      <c r="K4676" s="570"/>
    </row>
    <row r="4677" ht="13.75" customHeight="1">
      <c r="A4677" s="833">
        <v>253</v>
      </c>
      <c r="B4677" t="s" s="834">
        <v>3179</v>
      </c>
      <c r="C4677" t="s" s="834">
        <v>1010</v>
      </c>
      <c r="D4677" s="835">
        <v>46032</v>
      </c>
      <c r="E4677" s="836">
        <v>1.358206018518519</v>
      </c>
      <c r="F4677" s="836">
        <v>1.770428240740741</v>
      </c>
      <c r="G4677" s="570"/>
      <c r="H4677" s="570"/>
      <c r="I4677" s="570"/>
      <c r="J4677" s="570"/>
      <c r="K4677" s="570"/>
    </row>
    <row r="4678" ht="13.75" customHeight="1">
      <c r="A4678" t="s" s="834">
        <v>3190</v>
      </c>
      <c r="B4678" t="s" s="834">
        <v>3191</v>
      </c>
      <c r="C4678" t="s" s="834">
        <v>1059</v>
      </c>
      <c r="D4678" s="570"/>
      <c r="E4678" s="570"/>
      <c r="F4678" s="570"/>
      <c r="G4678" s="570"/>
      <c r="H4678" s="570"/>
      <c r="I4678" s="570"/>
      <c r="J4678" s="570"/>
      <c r="K4678" s="570"/>
    </row>
    <row r="4679" ht="13.75" customHeight="1">
      <c r="A4679" s="833">
        <v>253</v>
      </c>
      <c r="B4679" t="s" s="834">
        <v>3179</v>
      </c>
      <c r="C4679" t="s" s="834">
        <v>1010</v>
      </c>
      <c r="D4679" s="835">
        <v>46033</v>
      </c>
      <c r="E4679" t="s" s="834">
        <v>478</v>
      </c>
      <c r="F4679" t="s" s="834">
        <v>478</v>
      </c>
      <c r="G4679" s="570"/>
      <c r="H4679" s="570"/>
      <c r="I4679" s="570"/>
      <c r="J4679" s="570"/>
      <c r="K4679" s="570"/>
    </row>
    <row r="4680" ht="13.75" customHeight="1">
      <c r="A4680" s="833">
        <v>253</v>
      </c>
      <c r="B4680" t="s" s="834">
        <v>3179</v>
      </c>
      <c r="C4680" t="s" s="834">
        <v>1010</v>
      </c>
      <c r="D4680" s="835">
        <v>46034</v>
      </c>
      <c r="E4680" s="836">
        <v>1.358831018518519</v>
      </c>
      <c r="F4680" s="836">
        <v>1.760335648148148</v>
      </c>
      <c r="G4680" s="570"/>
      <c r="H4680" s="570"/>
      <c r="I4680" s="570"/>
      <c r="J4680" s="570"/>
      <c r="K4680" s="570"/>
    </row>
    <row r="4681" ht="13.75" customHeight="1">
      <c r="A4681" t="s" s="834">
        <v>3192</v>
      </c>
      <c r="B4681" t="s" s="834">
        <v>3193</v>
      </c>
      <c r="C4681" t="s" s="834">
        <v>697</v>
      </c>
      <c r="D4681" s="570"/>
      <c r="E4681" s="570"/>
      <c r="F4681" s="570"/>
      <c r="G4681" s="570"/>
      <c r="H4681" s="570"/>
      <c r="I4681" s="570"/>
      <c r="J4681" s="570"/>
      <c r="K4681" s="570"/>
    </row>
    <row r="4682" ht="13.75" customHeight="1">
      <c r="A4682" s="833">
        <v>253</v>
      </c>
      <c r="B4682" t="s" s="834">
        <v>3179</v>
      </c>
      <c r="C4682" t="s" s="834">
        <v>1010</v>
      </c>
      <c r="D4682" s="835">
        <v>46035</v>
      </c>
      <c r="E4682" s="836">
        <v>1.358877314814815</v>
      </c>
      <c r="F4682" s="836">
        <v>1.755277777777778</v>
      </c>
      <c r="G4682" s="570"/>
      <c r="H4682" s="570"/>
      <c r="I4682" s="570"/>
      <c r="J4682" s="570"/>
      <c r="K4682" s="570"/>
    </row>
    <row r="4683" ht="13.75" customHeight="1">
      <c r="A4683" t="s" s="834">
        <v>3194</v>
      </c>
      <c r="B4683" t="s" s="834">
        <v>3195</v>
      </c>
      <c r="C4683" t="s" s="834">
        <v>683</v>
      </c>
      <c r="D4683" s="570"/>
      <c r="E4683" s="570"/>
      <c r="F4683" s="570"/>
      <c r="G4683" s="570"/>
      <c r="H4683" s="570"/>
      <c r="I4683" s="570"/>
      <c r="J4683" s="570"/>
      <c r="K4683" s="570"/>
    </row>
    <row r="4684" ht="13.75" customHeight="1">
      <c r="A4684" s="833">
        <v>253</v>
      </c>
      <c r="B4684" t="s" s="834">
        <v>3179</v>
      </c>
      <c r="C4684" t="s" s="834">
        <v>1010</v>
      </c>
      <c r="D4684" s="835">
        <v>46036</v>
      </c>
      <c r="E4684" s="836">
        <v>1.369201388888889</v>
      </c>
      <c r="F4684" s="836">
        <v>1.765497685185185</v>
      </c>
      <c r="G4684" s="570"/>
      <c r="H4684" s="570"/>
      <c r="I4684" s="570"/>
      <c r="J4684" s="570"/>
      <c r="K4684" s="570"/>
    </row>
    <row r="4685" ht="13.75" customHeight="1">
      <c r="A4685" t="s" s="834">
        <v>3196</v>
      </c>
      <c r="B4685" t="s" s="834">
        <v>3197</v>
      </c>
      <c r="C4685" t="s" s="834">
        <v>683</v>
      </c>
      <c r="D4685" s="570"/>
      <c r="E4685" s="570"/>
      <c r="F4685" s="570"/>
      <c r="G4685" s="570"/>
      <c r="H4685" s="570"/>
      <c r="I4685" s="570"/>
      <c r="J4685" s="570"/>
      <c r="K4685" s="570"/>
    </row>
    <row r="4686" ht="13.75" customHeight="1">
      <c r="A4686" s="833">
        <v>253</v>
      </c>
      <c r="B4686" t="s" s="834">
        <v>3179</v>
      </c>
      <c r="C4686" t="s" s="834">
        <v>1010</v>
      </c>
      <c r="D4686" s="835">
        <v>46037</v>
      </c>
      <c r="E4686" s="836">
        <v>1.355416666666667</v>
      </c>
      <c r="F4686" s="836">
        <v>1.758356481481481</v>
      </c>
      <c r="G4686" s="570"/>
      <c r="H4686" s="570"/>
      <c r="I4686" s="570"/>
      <c r="J4686" s="570"/>
      <c r="K4686" s="570"/>
    </row>
    <row r="4687" ht="13.75" customHeight="1">
      <c r="A4687" t="s" s="834">
        <v>3198</v>
      </c>
      <c r="B4687" t="s" s="834">
        <v>3199</v>
      </c>
      <c r="C4687" t="s" s="834">
        <v>861</v>
      </c>
      <c r="D4687" s="570"/>
      <c r="E4687" s="570"/>
      <c r="F4687" s="570"/>
      <c r="G4687" s="570"/>
      <c r="H4687" s="570"/>
      <c r="I4687" s="570"/>
      <c r="J4687" s="570"/>
      <c r="K4687" s="570"/>
    </row>
    <row r="4688" ht="13.75" customHeight="1">
      <c r="A4688" s="833">
        <v>253</v>
      </c>
      <c r="B4688" t="s" s="834">
        <v>3179</v>
      </c>
      <c r="C4688" t="s" s="834">
        <v>1010</v>
      </c>
      <c r="D4688" s="835">
        <v>46038</v>
      </c>
      <c r="E4688" s="836">
        <v>1.359444444444444</v>
      </c>
      <c r="F4688" s="836">
        <v>1.772997685185185</v>
      </c>
      <c r="G4688" s="570"/>
      <c r="H4688" s="570"/>
      <c r="I4688" s="570"/>
      <c r="J4688" s="570"/>
      <c r="K4688" s="570"/>
    </row>
    <row r="4689" ht="13.75" customHeight="1">
      <c r="A4689" t="s" s="834">
        <v>3200</v>
      </c>
      <c r="B4689" t="s" s="834">
        <v>3201</v>
      </c>
      <c r="C4689" t="s" s="834">
        <v>637</v>
      </c>
      <c r="D4689" s="570"/>
      <c r="E4689" s="570"/>
      <c r="F4689" s="570"/>
      <c r="G4689" s="570"/>
      <c r="H4689" s="570"/>
      <c r="I4689" s="570"/>
      <c r="J4689" s="570"/>
      <c r="K4689" s="570"/>
    </row>
    <row r="4690" ht="13.75" customHeight="1">
      <c r="A4690" s="833">
        <v>253</v>
      </c>
      <c r="B4690" t="s" s="834">
        <v>3179</v>
      </c>
      <c r="C4690" t="s" s="834">
        <v>1010</v>
      </c>
      <c r="D4690" s="835">
        <v>46039</v>
      </c>
      <c r="E4690" t="s" s="834">
        <v>478</v>
      </c>
      <c r="F4690" t="s" s="834">
        <v>478</v>
      </c>
      <c r="G4690" s="570"/>
      <c r="H4690" s="570"/>
      <c r="I4690" s="570"/>
      <c r="J4690" s="570"/>
      <c r="K4690" s="570"/>
    </row>
    <row r="4691" ht="13.75" customHeight="1">
      <c r="A4691" s="833">
        <v>253</v>
      </c>
      <c r="B4691" t="s" s="834">
        <v>3179</v>
      </c>
      <c r="C4691" t="s" s="834">
        <v>1010</v>
      </c>
      <c r="D4691" s="835">
        <v>46040</v>
      </c>
      <c r="E4691" t="s" s="834">
        <v>478</v>
      </c>
      <c r="F4691" t="s" s="834">
        <v>478</v>
      </c>
      <c r="G4691" s="570"/>
      <c r="H4691" s="570"/>
      <c r="I4691" s="570"/>
      <c r="J4691" s="570"/>
      <c r="K4691" s="570"/>
    </row>
    <row r="4692" ht="13.75" customHeight="1">
      <c r="A4692" s="833">
        <v>253</v>
      </c>
      <c r="B4692" t="s" s="834">
        <v>3179</v>
      </c>
      <c r="C4692" t="s" s="834">
        <v>1010</v>
      </c>
      <c r="D4692" s="835">
        <v>46041</v>
      </c>
      <c r="E4692" s="836">
        <v>1.369386574074074</v>
      </c>
      <c r="F4692" s="836">
        <v>1.771030092592593</v>
      </c>
      <c r="G4692" s="570"/>
      <c r="H4692" s="570"/>
      <c r="I4692" s="570"/>
      <c r="J4692" s="570"/>
      <c r="K4692" s="570"/>
    </row>
    <row r="4693" ht="13.75" customHeight="1">
      <c r="A4693" t="s" s="834">
        <v>3202</v>
      </c>
      <c r="B4693" t="s" s="834">
        <v>3203</v>
      </c>
      <c r="C4693" t="s" s="834">
        <v>697</v>
      </c>
      <c r="D4693" s="570"/>
      <c r="E4693" s="570"/>
      <c r="F4693" s="570"/>
      <c r="G4693" s="570"/>
      <c r="H4693" s="570"/>
      <c r="I4693" s="570"/>
      <c r="J4693" s="570"/>
      <c r="K4693" s="570"/>
    </row>
    <row r="4694" ht="13.75" customHeight="1">
      <c r="A4694" s="833">
        <v>253</v>
      </c>
      <c r="B4694" t="s" s="834">
        <v>3179</v>
      </c>
      <c r="C4694" t="s" s="834">
        <v>1010</v>
      </c>
      <c r="D4694" s="835">
        <v>46042</v>
      </c>
      <c r="E4694" s="836">
        <v>1.360497685185185</v>
      </c>
      <c r="F4694" s="836">
        <v>1.760891203703704</v>
      </c>
      <c r="G4694" s="570"/>
      <c r="H4694" s="570"/>
      <c r="I4694" s="570"/>
      <c r="J4694" s="570"/>
      <c r="K4694" s="570"/>
    </row>
    <row r="4695" ht="13.75" customHeight="1">
      <c r="A4695" t="s" s="834">
        <v>3204</v>
      </c>
      <c r="B4695" t="s" s="834">
        <v>3205</v>
      </c>
      <c r="C4695" t="s" s="834">
        <v>606</v>
      </c>
      <c r="D4695" s="570"/>
      <c r="E4695" s="570"/>
      <c r="F4695" s="570"/>
      <c r="G4695" s="570"/>
      <c r="H4695" s="570"/>
      <c r="I4695" s="570"/>
      <c r="J4695" s="570"/>
      <c r="K4695" s="570"/>
    </row>
    <row r="4696" ht="13.75" customHeight="1">
      <c r="A4696" s="833">
        <v>253</v>
      </c>
      <c r="B4696" t="s" s="834">
        <v>3179</v>
      </c>
      <c r="C4696" t="s" s="834">
        <v>1010</v>
      </c>
      <c r="D4696" s="835">
        <v>46043</v>
      </c>
      <c r="E4696" s="836">
        <v>1.357013888888889</v>
      </c>
      <c r="F4696" s="836">
        <v>1.767256944444445</v>
      </c>
      <c r="G4696" s="570"/>
      <c r="H4696" s="570"/>
      <c r="I4696" s="570"/>
      <c r="J4696" s="570"/>
      <c r="K4696" s="570"/>
    </row>
    <row r="4697" ht="13.75" customHeight="1">
      <c r="A4697" t="s" s="834">
        <v>3206</v>
      </c>
      <c r="B4697" t="s" s="834">
        <v>3207</v>
      </c>
      <c r="C4697" t="s" s="834">
        <v>1252</v>
      </c>
      <c r="D4697" s="570"/>
      <c r="E4697" s="570"/>
      <c r="F4697" s="570"/>
      <c r="G4697" s="570"/>
      <c r="H4697" s="570"/>
      <c r="I4697" s="570"/>
      <c r="J4697" s="570"/>
      <c r="K4697" s="570"/>
    </row>
    <row r="4698" ht="13.75" customHeight="1">
      <c r="A4698" s="833">
        <v>253</v>
      </c>
      <c r="B4698" t="s" s="834">
        <v>3179</v>
      </c>
      <c r="C4698" t="s" s="834">
        <v>1010</v>
      </c>
      <c r="D4698" s="835">
        <v>46044</v>
      </c>
      <c r="E4698" s="836">
        <v>1.361261574074074</v>
      </c>
      <c r="F4698" s="836">
        <v>1.763726851851852</v>
      </c>
      <c r="G4698" s="570"/>
      <c r="H4698" s="570"/>
      <c r="I4698" s="570"/>
      <c r="J4698" s="570"/>
      <c r="K4698" s="570"/>
    </row>
    <row r="4699" ht="13.75" customHeight="1">
      <c r="A4699" t="s" s="834">
        <v>3208</v>
      </c>
      <c r="B4699" t="s" s="834">
        <v>3209</v>
      </c>
      <c r="C4699" t="s" s="834">
        <v>861</v>
      </c>
      <c r="D4699" s="570"/>
      <c r="E4699" s="570"/>
      <c r="F4699" s="570"/>
      <c r="G4699" s="570"/>
      <c r="H4699" s="570"/>
      <c r="I4699" s="570"/>
      <c r="J4699" s="570"/>
      <c r="K4699" s="570"/>
    </row>
    <row r="4700" ht="13.75" customHeight="1">
      <c r="A4700" s="833">
        <v>253</v>
      </c>
      <c r="B4700" t="s" s="834">
        <v>3179</v>
      </c>
      <c r="C4700" t="s" s="834">
        <v>1010</v>
      </c>
      <c r="D4700" s="835">
        <v>46045</v>
      </c>
      <c r="E4700" s="836">
        <v>1.361493055555556</v>
      </c>
      <c r="F4700" s="836">
        <v>1.779583333333333</v>
      </c>
      <c r="G4700" s="570"/>
      <c r="H4700" s="570"/>
      <c r="I4700" s="570"/>
      <c r="J4700" s="570"/>
      <c r="K4700" s="570"/>
    </row>
    <row r="4701" ht="13.75" customHeight="1">
      <c r="A4701" t="s" s="834">
        <v>3210</v>
      </c>
      <c r="B4701" t="s" s="834">
        <v>3211</v>
      </c>
      <c r="C4701" t="s" s="834">
        <v>1033</v>
      </c>
      <c r="D4701" s="570"/>
      <c r="E4701" s="570"/>
      <c r="F4701" s="570"/>
      <c r="G4701" s="570"/>
      <c r="H4701" s="570"/>
      <c r="I4701" s="570"/>
      <c r="J4701" s="570"/>
      <c r="K4701" s="570"/>
    </row>
    <row r="4702" ht="13.75" customHeight="1">
      <c r="A4702" s="833">
        <v>253</v>
      </c>
      <c r="B4702" t="s" s="834">
        <v>3179</v>
      </c>
      <c r="C4702" t="s" s="834">
        <v>1010</v>
      </c>
      <c r="D4702" s="835">
        <v>46046</v>
      </c>
      <c r="E4702" t="s" s="834">
        <v>478</v>
      </c>
      <c r="F4702" t="s" s="834">
        <v>478</v>
      </c>
      <c r="G4702" s="570"/>
      <c r="H4702" s="570"/>
      <c r="I4702" s="570"/>
      <c r="J4702" s="570"/>
      <c r="K4702" s="570"/>
    </row>
    <row r="4703" ht="13.75" customHeight="1">
      <c r="A4703" s="833">
        <v>253</v>
      </c>
      <c r="B4703" t="s" s="834">
        <v>3179</v>
      </c>
      <c r="C4703" t="s" s="834">
        <v>1010</v>
      </c>
      <c r="D4703" s="835">
        <v>46047</v>
      </c>
      <c r="E4703" t="s" s="834">
        <v>478</v>
      </c>
      <c r="F4703" t="s" s="834">
        <v>478</v>
      </c>
      <c r="G4703" s="570"/>
      <c r="H4703" s="570"/>
      <c r="I4703" s="570"/>
      <c r="J4703" s="570"/>
      <c r="K4703" s="570"/>
    </row>
    <row r="4704" ht="13.75" customHeight="1">
      <c r="A4704" s="833">
        <v>253</v>
      </c>
      <c r="B4704" t="s" s="834">
        <v>3179</v>
      </c>
      <c r="C4704" t="s" s="834">
        <v>1010</v>
      </c>
      <c r="D4704" s="835">
        <v>46048</v>
      </c>
      <c r="E4704" t="s" s="834">
        <v>478</v>
      </c>
      <c r="F4704" t="s" s="834">
        <v>478</v>
      </c>
      <c r="G4704" s="570"/>
      <c r="H4704" s="570"/>
      <c r="I4704" s="570"/>
      <c r="J4704" s="570"/>
      <c r="K4704" s="570"/>
    </row>
    <row r="4705" ht="13.75" customHeight="1">
      <c r="A4705" s="833">
        <v>253</v>
      </c>
      <c r="B4705" t="s" s="834">
        <v>3179</v>
      </c>
      <c r="C4705" t="s" s="834">
        <v>1010</v>
      </c>
      <c r="D4705" s="835">
        <v>46049</v>
      </c>
      <c r="E4705" s="836">
        <v>1.347384259259259</v>
      </c>
      <c r="F4705" s="836">
        <v>1.756979166666667</v>
      </c>
      <c r="G4705" s="570"/>
      <c r="H4705" s="570"/>
      <c r="I4705" s="570"/>
      <c r="J4705" s="570"/>
      <c r="K4705" s="570"/>
    </row>
    <row r="4706" ht="13.75" customHeight="1">
      <c r="A4706" t="s" s="834">
        <v>3212</v>
      </c>
      <c r="B4706" t="s" s="834">
        <v>3213</v>
      </c>
      <c r="C4706" t="s" s="834">
        <v>1119</v>
      </c>
      <c r="D4706" s="570"/>
      <c r="E4706" s="570"/>
      <c r="F4706" s="570"/>
      <c r="G4706" s="570"/>
      <c r="H4706" s="570"/>
      <c r="I4706" s="570"/>
      <c r="J4706" s="570"/>
      <c r="K4706" s="570"/>
    </row>
    <row r="4707" ht="13.75" customHeight="1">
      <c r="A4707" s="833">
        <v>253</v>
      </c>
      <c r="B4707" t="s" s="834">
        <v>3179</v>
      </c>
      <c r="C4707" t="s" s="834">
        <v>1010</v>
      </c>
      <c r="D4707" s="835">
        <v>46050</v>
      </c>
      <c r="E4707" s="836">
        <v>1.367673611111111</v>
      </c>
      <c r="F4707" s="836">
        <v>1.760266203703704</v>
      </c>
      <c r="G4707" s="570"/>
      <c r="H4707" s="570"/>
      <c r="I4707" s="570"/>
      <c r="J4707" s="570"/>
      <c r="K4707" s="570"/>
    </row>
    <row r="4708" ht="13.75" customHeight="1">
      <c r="A4708" t="s" s="834">
        <v>3214</v>
      </c>
      <c r="B4708" t="s" s="834">
        <v>3215</v>
      </c>
      <c r="C4708" t="s" s="834">
        <v>966</v>
      </c>
      <c r="D4708" s="570"/>
      <c r="E4708" s="570"/>
      <c r="F4708" s="570"/>
      <c r="G4708" s="570"/>
      <c r="H4708" s="570"/>
      <c r="I4708" s="570"/>
      <c r="J4708" s="570"/>
      <c r="K4708" s="570"/>
    </row>
    <row r="4709" ht="13.75" customHeight="1">
      <c r="A4709" s="833">
        <v>253</v>
      </c>
      <c r="B4709" t="s" s="834">
        <v>3179</v>
      </c>
      <c r="C4709" t="s" s="834">
        <v>1010</v>
      </c>
      <c r="D4709" s="835">
        <v>46051</v>
      </c>
      <c r="E4709" s="836">
        <v>1.367094907407407</v>
      </c>
      <c r="F4709" s="836">
        <v>1.753773148148148</v>
      </c>
      <c r="G4709" s="570"/>
      <c r="H4709" s="570"/>
      <c r="I4709" s="570"/>
      <c r="J4709" s="570"/>
      <c r="K4709" s="570"/>
    </row>
    <row r="4710" ht="13.75" customHeight="1">
      <c r="A4710" t="s" s="834">
        <v>3216</v>
      </c>
      <c r="B4710" t="s" s="834">
        <v>3217</v>
      </c>
      <c r="C4710" t="s" s="834">
        <v>995</v>
      </c>
      <c r="D4710" s="570"/>
      <c r="E4710" s="570"/>
      <c r="F4710" s="570"/>
      <c r="G4710" s="570"/>
      <c r="H4710" s="570"/>
      <c r="I4710" s="570"/>
      <c r="J4710" s="570"/>
      <c r="K4710" s="570"/>
    </row>
    <row r="4711" ht="13.75" customHeight="1">
      <c r="A4711" s="833">
        <v>253</v>
      </c>
      <c r="B4711" t="s" s="834">
        <v>3179</v>
      </c>
      <c r="C4711" t="s" s="834">
        <v>1010</v>
      </c>
      <c r="D4711" s="835">
        <v>46052</v>
      </c>
      <c r="E4711" s="836">
        <v>1.362893518518518</v>
      </c>
      <c r="F4711" s="836">
        <v>1.788645833333333</v>
      </c>
      <c r="G4711" s="570"/>
      <c r="H4711" s="570"/>
      <c r="I4711" s="570"/>
      <c r="J4711" s="570"/>
      <c r="K4711" s="570"/>
    </row>
    <row r="4712" ht="13.75" customHeight="1">
      <c r="A4712" t="s" s="834">
        <v>3218</v>
      </c>
      <c r="B4712" t="s" s="834">
        <v>3219</v>
      </c>
      <c r="C4712" t="s" s="834">
        <v>2028</v>
      </c>
      <c r="D4712" s="570"/>
      <c r="E4712" s="570"/>
      <c r="F4712" s="570"/>
      <c r="G4712" s="570"/>
      <c r="H4712" s="570"/>
      <c r="I4712" s="570"/>
      <c r="J4712" s="570"/>
      <c r="K4712" s="570"/>
    </row>
    <row r="4713" ht="13.75" customHeight="1">
      <c r="A4713" s="833">
        <v>253</v>
      </c>
      <c r="B4713" t="s" s="834">
        <v>3179</v>
      </c>
      <c r="C4713" t="s" s="834">
        <v>1010</v>
      </c>
      <c r="D4713" s="835">
        <v>46053</v>
      </c>
      <c r="E4713" t="s" s="834">
        <v>478</v>
      </c>
      <c r="F4713" t="s" s="834">
        <v>478</v>
      </c>
      <c r="G4713" s="570"/>
      <c r="H4713" s="570"/>
      <c r="I4713" s="570"/>
      <c r="J4713" s="570"/>
      <c r="K4713" s="570"/>
    </row>
    <row r="4714" ht="13.75" customHeight="1">
      <c r="A4714" s="833">
        <v>253</v>
      </c>
      <c r="B4714" t="s" s="834">
        <v>3179</v>
      </c>
      <c r="C4714" t="s" s="834">
        <v>1010</v>
      </c>
      <c r="D4714" s="835">
        <v>46054</v>
      </c>
      <c r="E4714" t="s" s="834">
        <v>478</v>
      </c>
      <c r="F4714" t="s" s="834">
        <v>478</v>
      </c>
      <c r="G4714" s="570"/>
      <c r="H4714" s="570"/>
      <c r="I4714" s="570"/>
      <c r="J4714" s="570"/>
      <c r="K4714" s="570"/>
    </row>
    <row r="4715" ht="13.75" customHeight="1">
      <c r="A4715" s="833">
        <v>254</v>
      </c>
      <c r="B4715" t="s" s="834">
        <v>3220</v>
      </c>
      <c r="C4715" t="s" s="834">
        <v>959</v>
      </c>
      <c r="D4715" s="835">
        <v>46023</v>
      </c>
      <c r="E4715" t="s" s="834">
        <v>478</v>
      </c>
      <c r="F4715" t="s" s="834">
        <v>478</v>
      </c>
      <c r="G4715" s="570"/>
      <c r="H4715" s="570"/>
      <c r="I4715" s="570"/>
      <c r="J4715" s="570"/>
      <c r="K4715" s="570"/>
    </row>
    <row r="4716" ht="13.75" customHeight="1">
      <c r="A4716" s="833">
        <v>254</v>
      </c>
      <c r="B4716" t="s" s="834">
        <v>3220</v>
      </c>
      <c r="C4716" t="s" s="834">
        <v>959</v>
      </c>
      <c r="D4716" s="835">
        <v>46024</v>
      </c>
      <c r="E4716" t="s" s="834">
        <v>478</v>
      </c>
      <c r="F4716" t="s" s="834">
        <v>478</v>
      </c>
      <c r="G4716" s="570"/>
      <c r="H4716" s="570"/>
      <c r="I4716" s="570"/>
      <c r="J4716" s="570"/>
      <c r="K4716" s="570"/>
    </row>
    <row r="4717" ht="13.75" customHeight="1">
      <c r="A4717" s="833">
        <v>254</v>
      </c>
      <c r="B4717" t="s" s="834">
        <v>3220</v>
      </c>
      <c r="C4717" t="s" s="834">
        <v>959</v>
      </c>
      <c r="D4717" s="835">
        <v>46025</v>
      </c>
      <c r="E4717" t="s" s="834">
        <v>478</v>
      </c>
      <c r="F4717" t="s" s="834">
        <v>478</v>
      </c>
      <c r="G4717" s="570"/>
      <c r="H4717" s="570"/>
      <c r="I4717" s="570"/>
      <c r="J4717" s="570"/>
      <c r="K4717" s="570"/>
    </row>
    <row r="4718" ht="13.75" customHeight="1">
      <c r="A4718" s="833">
        <v>254</v>
      </c>
      <c r="B4718" t="s" s="834">
        <v>3220</v>
      </c>
      <c r="C4718" t="s" s="834">
        <v>959</v>
      </c>
      <c r="D4718" s="835">
        <v>46026</v>
      </c>
      <c r="E4718" t="s" s="834">
        <v>478</v>
      </c>
      <c r="F4718" t="s" s="834">
        <v>478</v>
      </c>
      <c r="G4718" s="570"/>
      <c r="H4718" s="570"/>
      <c r="I4718" s="570"/>
      <c r="J4718" s="570"/>
      <c r="K4718" s="570"/>
    </row>
    <row r="4719" ht="13.75" customHeight="1">
      <c r="A4719" s="833">
        <v>254</v>
      </c>
      <c r="B4719" t="s" s="834">
        <v>3220</v>
      </c>
      <c r="C4719" t="s" s="834">
        <v>959</v>
      </c>
      <c r="D4719" s="835">
        <v>46027</v>
      </c>
      <c r="E4719" s="836">
        <v>1.349965277777778</v>
      </c>
      <c r="F4719" s="836">
        <v>1.75724537037037</v>
      </c>
      <c r="G4719" s="570"/>
      <c r="H4719" s="570"/>
      <c r="I4719" s="570"/>
      <c r="J4719" s="570"/>
      <c r="K4719" s="570"/>
    </row>
    <row r="4720" ht="13.75" customHeight="1">
      <c r="A4720" t="s" s="834">
        <v>3221</v>
      </c>
      <c r="B4720" t="s" s="834">
        <v>3222</v>
      </c>
      <c r="C4720" t="s" s="834">
        <v>1113</v>
      </c>
      <c r="D4720" s="570"/>
      <c r="E4720" s="570"/>
      <c r="F4720" s="570"/>
      <c r="G4720" s="570"/>
      <c r="H4720" s="570"/>
      <c r="I4720" s="570"/>
      <c r="J4720" s="570"/>
      <c r="K4720" s="570"/>
    </row>
    <row r="4721" ht="13.75" customHeight="1">
      <c r="A4721" s="833">
        <v>254</v>
      </c>
      <c r="B4721" t="s" s="834">
        <v>3220</v>
      </c>
      <c r="C4721" t="s" s="834">
        <v>959</v>
      </c>
      <c r="D4721" s="835">
        <v>46028</v>
      </c>
      <c r="E4721" s="836">
        <v>1.349618055555555</v>
      </c>
      <c r="F4721" s="836">
        <v>1.757048611111111</v>
      </c>
      <c r="G4721" s="570"/>
      <c r="H4721" s="570"/>
      <c r="I4721" s="570"/>
      <c r="J4721" s="570"/>
      <c r="K4721" s="570"/>
    </row>
    <row r="4722" ht="13.75" customHeight="1">
      <c r="A4722" t="s" s="834">
        <v>3223</v>
      </c>
      <c r="B4722" t="s" s="834">
        <v>3224</v>
      </c>
      <c r="C4722" t="s" s="834">
        <v>882</v>
      </c>
      <c r="D4722" s="570"/>
      <c r="E4722" s="570"/>
      <c r="F4722" s="570"/>
      <c r="G4722" s="570"/>
      <c r="H4722" s="570"/>
      <c r="I4722" s="570"/>
      <c r="J4722" s="570"/>
      <c r="K4722" s="570"/>
    </row>
    <row r="4723" ht="13.75" customHeight="1">
      <c r="A4723" s="833">
        <v>254</v>
      </c>
      <c r="B4723" t="s" s="834">
        <v>3220</v>
      </c>
      <c r="C4723" t="s" s="834">
        <v>959</v>
      </c>
      <c r="D4723" s="835">
        <v>46029</v>
      </c>
      <c r="E4723" s="836">
        <v>1.3515625</v>
      </c>
      <c r="F4723" s="836">
        <v>1.7309375</v>
      </c>
      <c r="G4723" s="570"/>
      <c r="H4723" s="570"/>
      <c r="I4723" s="570"/>
      <c r="J4723" s="570"/>
      <c r="K4723" s="570"/>
    </row>
    <row r="4724" ht="13.75" customHeight="1">
      <c r="A4724" t="s" s="834">
        <v>3225</v>
      </c>
      <c r="B4724" t="s" s="834">
        <v>3226</v>
      </c>
      <c r="C4724" t="s" s="834">
        <v>549</v>
      </c>
      <c r="D4724" s="570"/>
      <c r="E4724" s="570"/>
      <c r="F4724" s="570"/>
      <c r="G4724" s="570"/>
      <c r="H4724" s="570"/>
      <c r="I4724" s="570"/>
      <c r="J4724" s="570"/>
      <c r="K4724" s="570"/>
    </row>
    <row r="4725" ht="13.75" customHeight="1">
      <c r="A4725" s="833">
        <v>254</v>
      </c>
      <c r="B4725" t="s" s="834">
        <v>3220</v>
      </c>
      <c r="C4725" t="s" s="834">
        <v>959</v>
      </c>
      <c r="D4725" s="835">
        <v>46030</v>
      </c>
      <c r="E4725" s="836">
        <v>1.355393518518519</v>
      </c>
      <c r="F4725" s="836">
        <v>1.758425925925926</v>
      </c>
      <c r="G4725" s="570"/>
      <c r="H4725" s="570"/>
      <c r="I4725" s="570"/>
      <c r="J4725" s="570"/>
      <c r="K4725" s="570"/>
    </row>
    <row r="4726" ht="13.75" customHeight="1">
      <c r="A4726" t="s" s="834">
        <v>3227</v>
      </c>
      <c r="B4726" t="s" s="834">
        <v>3228</v>
      </c>
      <c r="C4726" t="s" s="834">
        <v>861</v>
      </c>
      <c r="D4726" s="570"/>
      <c r="E4726" s="570"/>
      <c r="F4726" s="570"/>
      <c r="G4726" s="570"/>
      <c r="H4726" s="570"/>
      <c r="I4726" s="570"/>
      <c r="J4726" s="570"/>
      <c r="K4726" s="570"/>
    </row>
    <row r="4727" ht="13.75" customHeight="1">
      <c r="A4727" s="833">
        <v>254</v>
      </c>
      <c r="B4727" t="s" s="834">
        <v>3220</v>
      </c>
      <c r="C4727" t="s" s="834">
        <v>959</v>
      </c>
      <c r="D4727" s="835">
        <v>46031</v>
      </c>
      <c r="E4727" s="836">
        <v>1.775590277777778</v>
      </c>
      <c r="F4727" t="s" s="834">
        <v>478</v>
      </c>
      <c r="G4727" s="570"/>
      <c r="H4727" s="570"/>
      <c r="I4727" s="570"/>
      <c r="J4727" s="570"/>
      <c r="K4727" s="570"/>
    </row>
    <row r="4728" ht="13.75" customHeight="1">
      <c r="A4728" t="s" s="834">
        <v>3229</v>
      </c>
      <c r="B4728" t="s" s="834">
        <v>485</v>
      </c>
      <c r="C4728" t="s" s="834">
        <v>486</v>
      </c>
      <c r="D4728" s="570"/>
      <c r="E4728" s="570"/>
      <c r="F4728" s="570"/>
      <c r="G4728" s="570"/>
      <c r="H4728" s="570"/>
      <c r="I4728" s="570"/>
      <c r="J4728" s="570"/>
      <c r="K4728" s="570"/>
    </row>
    <row r="4729" ht="13.75" customHeight="1">
      <c r="A4729" s="833">
        <v>254</v>
      </c>
      <c r="B4729" t="s" s="834">
        <v>3220</v>
      </c>
      <c r="C4729" t="s" s="834">
        <v>959</v>
      </c>
      <c r="D4729" s="835">
        <v>46032</v>
      </c>
      <c r="E4729" s="836">
        <v>1.371122685185185</v>
      </c>
      <c r="F4729" s="836">
        <v>1.75306712962963</v>
      </c>
      <c r="G4729" s="570"/>
      <c r="H4729" s="570"/>
      <c r="I4729" s="570"/>
      <c r="J4729" s="570"/>
      <c r="K4729" s="570"/>
    </row>
    <row r="4730" ht="13.75" customHeight="1">
      <c r="A4730" t="s" s="834">
        <v>3230</v>
      </c>
      <c r="B4730" t="s" s="834">
        <v>3231</v>
      </c>
      <c r="C4730" t="s" s="834">
        <v>816</v>
      </c>
      <c r="D4730" s="570"/>
      <c r="E4730" s="570"/>
      <c r="F4730" s="570"/>
      <c r="G4730" s="570"/>
      <c r="H4730" s="570"/>
      <c r="I4730" s="570"/>
      <c r="J4730" s="570"/>
      <c r="K4730" s="570"/>
    </row>
    <row r="4731" ht="13.75" customHeight="1">
      <c r="A4731" s="833">
        <v>254</v>
      </c>
      <c r="B4731" t="s" s="834">
        <v>3220</v>
      </c>
      <c r="C4731" t="s" s="834">
        <v>959</v>
      </c>
      <c r="D4731" s="835">
        <v>46033</v>
      </c>
      <c r="E4731" t="s" s="834">
        <v>478</v>
      </c>
      <c r="F4731" t="s" s="834">
        <v>478</v>
      </c>
      <c r="G4731" s="570"/>
      <c r="H4731" s="570"/>
      <c r="I4731" s="570"/>
      <c r="J4731" s="570"/>
      <c r="K4731" s="570"/>
    </row>
    <row r="4732" ht="13.75" customHeight="1">
      <c r="A4732" s="833">
        <v>254</v>
      </c>
      <c r="B4732" t="s" s="834">
        <v>3220</v>
      </c>
      <c r="C4732" t="s" s="834">
        <v>959</v>
      </c>
      <c r="D4732" s="835">
        <v>46034</v>
      </c>
      <c r="E4732" s="836">
        <v>1.352407407407407</v>
      </c>
      <c r="F4732" s="836">
        <v>1.762638888888889</v>
      </c>
      <c r="G4732" s="570"/>
      <c r="H4732" s="570"/>
      <c r="I4732" s="570"/>
      <c r="J4732" s="570"/>
      <c r="K4732" s="570"/>
    </row>
    <row r="4733" ht="13.75" customHeight="1">
      <c r="A4733" t="s" s="834">
        <v>3232</v>
      </c>
      <c r="B4733" t="s" s="834">
        <v>3233</v>
      </c>
      <c r="C4733" t="s" s="834">
        <v>1252</v>
      </c>
      <c r="D4733" s="570"/>
      <c r="E4733" s="570"/>
      <c r="F4733" s="570"/>
      <c r="G4733" s="570"/>
      <c r="H4733" s="570"/>
      <c r="I4733" s="570"/>
      <c r="J4733" s="570"/>
      <c r="K4733" s="570"/>
    </row>
    <row r="4734" ht="13.75" customHeight="1">
      <c r="A4734" s="833">
        <v>254</v>
      </c>
      <c r="B4734" t="s" s="834">
        <v>3220</v>
      </c>
      <c r="C4734" t="s" s="834">
        <v>959</v>
      </c>
      <c r="D4734" s="835">
        <v>46035</v>
      </c>
      <c r="E4734" s="836">
        <v>1.352511574074074</v>
      </c>
      <c r="F4734" s="836">
        <v>1.755046296296296</v>
      </c>
      <c r="G4734" s="570"/>
      <c r="H4734" s="570"/>
      <c r="I4734" s="570"/>
      <c r="J4734" s="570"/>
      <c r="K4734" s="570"/>
    </row>
    <row r="4735" ht="13.75" customHeight="1">
      <c r="A4735" t="s" s="834">
        <v>3234</v>
      </c>
      <c r="B4735" t="s" s="834">
        <v>3235</v>
      </c>
      <c r="C4735" t="s" s="834">
        <v>861</v>
      </c>
      <c r="D4735" s="570"/>
      <c r="E4735" s="570"/>
      <c r="F4735" s="570"/>
      <c r="G4735" s="570"/>
      <c r="H4735" s="570"/>
      <c r="I4735" s="570"/>
      <c r="J4735" s="570"/>
      <c r="K4735" s="570"/>
    </row>
    <row r="4736" ht="13.75" customHeight="1">
      <c r="A4736" s="833">
        <v>254</v>
      </c>
      <c r="B4736" t="s" s="834">
        <v>3220</v>
      </c>
      <c r="C4736" t="s" s="834">
        <v>959</v>
      </c>
      <c r="D4736" s="835">
        <v>46036</v>
      </c>
      <c r="E4736" s="836">
        <v>1.34587962962963</v>
      </c>
      <c r="F4736" s="836">
        <v>1.754988425925926</v>
      </c>
      <c r="G4736" s="570"/>
      <c r="H4736" s="570"/>
      <c r="I4736" s="570"/>
      <c r="J4736" s="570"/>
      <c r="K4736" s="570"/>
    </row>
    <row r="4737" ht="13.75" customHeight="1">
      <c r="A4737" t="s" s="834">
        <v>3236</v>
      </c>
      <c r="B4737" t="s" s="834">
        <v>3237</v>
      </c>
      <c r="C4737" t="s" s="834">
        <v>600</v>
      </c>
      <c r="D4737" s="570"/>
      <c r="E4737" s="570"/>
      <c r="F4737" s="570"/>
      <c r="G4737" s="570"/>
      <c r="H4737" s="570"/>
      <c r="I4737" s="570"/>
      <c r="J4737" s="570"/>
      <c r="K4737" s="570"/>
    </row>
    <row r="4738" ht="13.75" customHeight="1">
      <c r="A4738" s="833">
        <v>254</v>
      </c>
      <c r="B4738" t="s" s="834">
        <v>3220</v>
      </c>
      <c r="C4738" t="s" s="834">
        <v>959</v>
      </c>
      <c r="D4738" s="835">
        <v>46037</v>
      </c>
      <c r="E4738" s="836">
        <v>1.349479166666667</v>
      </c>
      <c r="F4738" s="836">
        <v>1.752222222222222</v>
      </c>
      <c r="G4738" s="570"/>
      <c r="H4738" s="570"/>
      <c r="I4738" s="570"/>
      <c r="J4738" s="570"/>
      <c r="K4738" s="570"/>
    </row>
    <row r="4739" ht="13.75" customHeight="1">
      <c r="A4739" t="s" s="834">
        <v>3238</v>
      </c>
      <c r="B4739" t="s" s="834">
        <v>3239</v>
      </c>
      <c r="C4739" t="s" s="834">
        <v>861</v>
      </c>
      <c r="D4739" s="570"/>
      <c r="E4739" s="570"/>
      <c r="F4739" s="570"/>
      <c r="G4739" s="570"/>
      <c r="H4739" s="570"/>
      <c r="I4739" s="570"/>
      <c r="J4739" s="570"/>
      <c r="K4739" s="570"/>
    </row>
    <row r="4740" ht="13.75" customHeight="1">
      <c r="A4740" s="833">
        <v>254</v>
      </c>
      <c r="B4740" t="s" s="834">
        <v>3220</v>
      </c>
      <c r="C4740" t="s" s="834">
        <v>959</v>
      </c>
      <c r="D4740" s="835">
        <v>46038</v>
      </c>
      <c r="E4740" s="836">
        <v>1.347233796296296</v>
      </c>
      <c r="F4740" s="836">
        <v>1.754282407407407</v>
      </c>
      <c r="G4740" s="570"/>
      <c r="H4740" s="570"/>
      <c r="I4740" s="570"/>
      <c r="J4740" s="570"/>
      <c r="K4740" s="570"/>
    </row>
    <row r="4741" ht="13.75" customHeight="1">
      <c r="A4741" t="s" s="834">
        <v>3240</v>
      </c>
      <c r="B4741" t="s" s="834">
        <v>3241</v>
      </c>
      <c r="C4741" t="s" s="834">
        <v>1113</v>
      </c>
      <c r="D4741" s="570"/>
      <c r="E4741" s="570"/>
      <c r="F4741" s="570"/>
      <c r="G4741" s="570"/>
      <c r="H4741" s="570"/>
      <c r="I4741" s="570"/>
      <c r="J4741" s="570"/>
      <c r="K4741" s="570"/>
    </row>
    <row r="4742" ht="13.75" customHeight="1">
      <c r="A4742" s="833">
        <v>254</v>
      </c>
      <c r="B4742" t="s" s="834">
        <v>3220</v>
      </c>
      <c r="C4742" t="s" s="834">
        <v>959</v>
      </c>
      <c r="D4742" s="835">
        <v>46039</v>
      </c>
      <c r="E4742" t="s" s="834">
        <v>478</v>
      </c>
      <c r="F4742" t="s" s="834">
        <v>478</v>
      </c>
      <c r="G4742" s="570"/>
      <c r="H4742" s="570"/>
      <c r="I4742" s="570"/>
      <c r="J4742" s="570"/>
      <c r="K4742" s="570"/>
    </row>
    <row r="4743" ht="13.75" customHeight="1">
      <c r="A4743" s="833">
        <v>254</v>
      </c>
      <c r="B4743" t="s" s="834">
        <v>3220</v>
      </c>
      <c r="C4743" t="s" s="834">
        <v>959</v>
      </c>
      <c r="D4743" s="835">
        <v>46040</v>
      </c>
      <c r="E4743" t="s" s="834">
        <v>478</v>
      </c>
      <c r="F4743" t="s" s="834">
        <v>478</v>
      </c>
      <c r="G4743" s="570"/>
      <c r="H4743" s="570"/>
      <c r="I4743" s="570"/>
      <c r="J4743" s="570"/>
      <c r="K4743" s="570"/>
    </row>
    <row r="4744" ht="13.75" customHeight="1">
      <c r="A4744" s="833">
        <v>254</v>
      </c>
      <c r="B4744" t="s" s="834">
        <v>3220</v>
      </c>
      <c r="C4744" t="s" s="834">
        <v>959</v>
      </c>
      <c r="D4744" s="835">
        <v>46041</v>
      </c>
      <c r="E4744" s="836">
        <v>1.364675925925926</v>
      </c>
      <c r="F4744" s="836">
        <v>1.756018518518518</v>
      </c>
      <c r="G4744" s="570"/>
      <c r="H4744" s="570"/>
      <c r="I4744" s="570"/>
      <c r="J4744" s="570"/>
      <c r="K4744" s="570"/>
    </row>
    <row r="4745" ht="13.75" customHeight="1">
      <c r="A4745" t="s" s="834">
        <v>3242</v>
      </c>
      <c r="B4745" t="s" s="834">
        <v>3243</v>
      </c>
      <c r="C4745" t="s" s="834">
        <v>1056</v>
      </c>
      <c r="D4745" s="570"/>
      <c r="E4745" s="570"/>
      <c r="F4745" s="570"/>
      <c r="G4745" s="570"/>
      <c r="H4745" s="570"/>
      <c r="I4745" s="570"/>
      <c r="J4745" s="570"/>
      <c r="K4745" s="570"/>
    </row>
    <row r="4746" ht="13.75" customHeight="1">
      <c r="A4746" s="833">
        <v>254</v>
      </c>
      <c r="B4746" t="s" s="834">
        <v>3220</v>
      </c>
      <c r="C4746" t="s" s="834">
        <v>959</v>
      </c>
      <c r="D4746" s="835">
        <v>46042</v>
      </c>
      <c r="E4746" s="836">
        <v>1.351446759259259</v>
      </c>
      <c r="F4746" s="836">
        <v>1.752615740740741</v>
      </c>
      <c r="G4746" s="570"/>
      <c r="H4746" s="570"/>
      <c r="I4746" s="570"/>
      <c r="J4746" s="570"/>
      <c r="K4746" s="570"/>
    </row>
    <row r="4747" ht="13.75" customHeight="1">
      <c r="A4747" t="s" s="834">
        <v>3244</v>
      </c>
      <c r="B4747" t="s" s="834">
        <v>3245</v>
      </c>
      <c r="C4747" t="s" s="834">
        <v>697</v>
      </c>
      <c r="D4747" s="570"/>
      <c r="E4747" s="570"/>
      <c r="F4747" s="570"/>
      <c r="G4747" s="570"/>
      <c r="H4747" s="570"/>
      <c r="I4747" s="570"/>
      <c r="J4747" s="570"/>
      <c r="K4747" s="570"/>
    </row>
    <row r="4748" ht="13.75" customHeight="1">
      <c r="A4748" s="833">
        <v>254</v>
      </c>
      <c r="B4748" t="s" s="834">
        <v>3220</v>
      </c>
      <c r="C4748" t="s" s="834">
        <v>959</v>
      </c>
      <c r="D4748" s="835">
        <v>46043</v>
      </c>
      <c r="E4748" s="836">
        <v>1.350706018518518</v>
      </c>
      <c r="F4748" s="836">
        <v>1.753113425925926</v>
      </c>
      <c r="G4748" s="570"/>
      <c r="H4748" s="570"/>
      <c r="I4748" s="570"/>
      <c r="J4748" s="570"/>
      <c r="K4748" s="570"/>
    </row>
    <row r="4749" ht="13.75" customHeight="1">
      <c r="A4749" t="s" s="834">
        <v>3246</v>
      </c>
      <c r="B4749" t="s" s="834">
        <v>3247</v>
      </c>
      <c r="C4749" t="s" s="834">
        <v>772</v>
      </c>
      <c r="D4749" s="570"/>
      <c r="E4749" s="570"/>
      <c r="F4749" s="570"/>
      <c r="G4749" s="570"/>
      <c r="H4749" s="570"/>
      <c r="I4749" s="570"/>
      <c r="J4749" s="570"/>
      <c r="K4749" s="570"/>
    </row>
    <row r="4750" ht="13.75" customHeight="1">
      <c r="A4750" s="833">
        <v>254</v>
      </c>
      <c r="B4750" t="s" s="834">
        <v>3220</v>
      </c>
      <c r="C4750" t="s" s="834">
        <v>959</v>
      </c>
      <c r="D4750" s="835">
        <v>46044</v>
      </c>
      <c r="E4750" s="836">
        <v>1.351157407407408</v>
      </c>
      <c r="F4750" s="836">
        <v>1.754166666666667</v>
      </c>
      <c r="G4750" s="570"/>
      <c r="H4750" s="570"/>
      <c r="I4750" s="570"/>
      <c r="J4750" s="570"/>
      <c r="K4750" s="570"/>
    </row>
    <row r="4751" ht="13.75" customHeight="1">
      <c r="A4751" t="s" s="834">
        <v>3248</v>
      </c>
      <c r="B4751" t="s" s="834">
        <v>3249</v>
      </c>
      <c r="C4751" t="s" s="834">
        <v>861</v>
      </c>
      <c r="D4751" s="570"/>
      <c r="E4751" s="570"/>
      <c r="F4751" s="570"/>
      <c r="G4751" s="570"/>
      <c r="H4751" s="570"/>
      <c r="I4751" s="570"/>
      <c r="J4751" s="570"/>
      <c r="K4751" s="570"/>
    </row>
    <row r="4752" ht="13.75" customHeight="1">
      <c r="A4752" s="833">
        <v>254</v>
      </c>
      <c r="B4752" t="s" s="834">
        <v>3220</v>
      </c>
      <c r="C4752" t="s" s="834">
        <v>959</v>
      </c>
      <c r="D4752" s="835">
        <v>46045</v>
      </c>
      <c r="E4752" s="836">
        <v>1.353715277777778</v>
      </c>
      <c r="F4752" s="836">
        <v>1.755150462962963</v>
      </c>
      <c r="G4752" s="570"/>
      <c r="H4752" s="570"/>
      <c r="I4752" s="570"/>
      <c r="J4752" s="570"/>
      <c r="K4752" s="570"/>
    </row>
    <row r="4753" ht="13.75" customHeight="1">
      <c r="A4753" t="s" s="834">
        <v>3250</v>
      </c>
      <c r="B4753" t="s" s="834">
        <v>3251</v>
      </c>
      <c r="C4753" t="s" s="834">
        <v>697</v>
      </c>
      <c r="D4753" s="570"/>
      <c r="E4753" s="570"/>
      <c r="F4753" s="570"/>
      <c r="G4753" s="570"/>
      <c r="H4753" s="570"/>
      <c r="I4753" s="570"/>
      <c r="J4753" s="570"/>
      <c r="K4753" s="570"/>
    </row>
    <row r="4754" ht="13.75" customHeight="1">
      <c r="A4754" s="833">
        <v>254</v>
      </c>
      <c r="B4754" t="s" s="834">
        <v>3220</v>
      </c>
      <c r="C4754" t="s" s="834">
        <v>959</v>
      </c>
      <c r="D4754" s="835">
        <v>46046</v>
      </c>
      <c r="E4754" t="s" s="834">
        <v>478</v>
      </c>
      <c r="F4754" t="s" s="834">
        <v>478</v>
      </c>
      <c r="G4754" s="570"/>
      <c r="H4754" s="570"/>
      <c r="I4754" s="570"/>
      <c r="J4754" s="570"/>
      <c r="K4754" s="570"/>
    </row>
    <row r="4755" ht="13.75" customHeight="1">
      <c r="A4755" s="833">
        <v>254</v>
      </c>
      <c r="B4755" t="s" s="834">
        <v>3220</v>
      </c>
      <c r="C4755" t="s" s="834">
        <v>959</v>
      </c>
      <c r="D4755" s="835">
        <v>46047</v>
      </c>
      <c r="E4755" t="s" s="834">
        <v>478</v>
      </c>
      <c r="F4755" t="s" s="834">
        <v>478</v>
      </c>
      <c r="G4755" s="570"/>
      <c r="H4755" s="570"/>
      <c r="I4755" s="570"/>
      <c r="J4755" s="570"/>
      <c r="K4755" s="570"/>
    </row>
    <row r="4756" ht="13.75" customHeight="1">
      <c r="A4756" s="833">
        <v>254</v>
      </c>
      <c r="B4756" t="s" s="834">
        <v>3220</v>
      </c>
      <c r="C4756" t="s" s="834">
        <v>959</v>
      </c>
      <c r="D4756" s="835">
        <v>46048</v>
      </c>
      <c r="E4756" s="836">
        <v>1.356851851851852</v>
      </c>
      <c r="F4756" s="836">
        <v>1.751331018518518</v>
      </c>
      <c r="G4756" s="570"/>
      <c r="H4756" s="570"/>
      <c r="I4756" s="570"/>
      <c r="J4756" s="570"/>
      <c r="K4756" s="570"/>
    </row>
    <row r="4757" ht="13.75" customHeight="1">
      <c r="A4757" t="s" s="834">
        <v>3252</v>
      </c>
      <c r="B4757" t="s" s="834">
        <v>3253</v>
      </c>
      <c r="C4757" t="s" s="834">
        <v>512</v>
      </c>
      <c r="D4757" s="570"/>
      <c r="E4757" s="570"/>
      <c r="F4757" s="570"/>
      <c r="G4757" s="570"/>
      <c r="H4757" s="570"/>
      <c r="I4757" s="570"/>
      <c r="J4757" s="570"/>
      <c r="K4757" s="570"/>
    </row>
    <row r="4758" ht="13.75" customHeight="1">
      <c r="A4758" s="833">
        <v>254</v>
      </c>
      <c r="B4758" t="s" s="834">
        <v>3220</v>
      </c>
      <c r="C4758" t="s" s="834">
        <v>959</v>
      </c>
      <c r="D4758" s="835">
        <v>46049</v>
      </c>
      <c r="E4758" s="836">
        <v>1.370578703703704</v>
      </c>
      <c r="F4758" s="836">
        <v>1.754178240740741</v>
      </c>
      <c r="G4758" s="570"/>
      <c r="H4758" s="570"/>
      <c r="I4758" s="570"/>
      <c r="J4758" s="570"/>
      <c r="K4758" s="570"/>
    </row>
    <row r="4759" ht="13.75" customHeight="1">
      <c r="A4759" t="s" s="834">
        <v>3254</v>
      </c>
      <c r="B4759" t="s" s="834">
        <v>3255</v>
      </c>
      <c r="C4759" t="s" s="834">
        <v>812</v>
      </c>
      <c r="D4759" s="570"/>
      <c r="E4759" s="570"/>
      <c r="F4759" s="570"/>
      <c r="G4759" s="570"/>
      <c r="H4759" s="570"/>
      <c r="I4759" s="570"/>
      <c r="J4759" s="570"/>
      <c r="K4759" s="570"/>
    </row>
    <row r="4760" ht="13.75" customHeight="1">
      <c r="A4760" s="833">
        <v>254</v>
      </c>
      <c r="B4760" t="s" s="834">
        <v>3220</v>
      </c>
      <c r="C4760" t="s" s="834">
        <v>959</v>
      </c>
      <c r="D4760" s="835">
        <v>46050</v>
      </c>
      <c r="E4760" s="836">
        <v>1.352199074074074</v>
      </c>
      <c r="F4760" s="836">
        <v>1.757789351851852</v>
      </c>
      <c r="G4760" s="570"/>
      <c r="H4760" s="570"/>
      <c r="I4760" s="570"/>
      <c r="J4760" s="570"/>
      <c r="K4760" s="570"/>
    </row>
    <row r="4761" ht="13.75" customHeight="1">
      <c r="A4761" t="s" s="834">
        <v>3256</v>
      </c>
      <c r="B4761" t="s" s="834">
        <v>3257</v>
      </c>
      <c r="C4761" t="s" s="834">
        <v>1601</v>
      </c>
      <c r="D4761" s="570"/>
      <c r="E4761" s="570"/>
      <c r="F4761" s="570"/>
      <c r="G4761" s="570"/>
      <c r="H4761" s="570"/>
      <c r="I4761" s="570"/>
      <c r="J4761" s="570"/>
      <c r="K4761" s="570"/>
    </row>
    <row r="4762" ht="13.75" customHeight="1">
      <c r="A4762" s="833">
        <v>254</v>
      </c>
      <c r="B4762" t="s" s="834">
        <v>3220</v>
      </c>
      <c r="C4762" t="s" s="834">
        <v>959</v>
      </c>
      <c r="D4762" s="835">
        <v>46051</v>
      </c>
      <c r="E4762" s="836">
        <v>1.348009259259259</v>
      </c>
      <c r="F4762" s="836">
        <v>1.750497685185185</v>
      </c>
      <c r="G4762" s="570"/>
      <c r="H4762" s="570"/>
      <c r="I4762" s="570"/>
      <c r="J4762" s="570"/>
      <c r="K4762" s="570"/>
    </row>
    <row r="4763" ht="13.75" customHeight="1">
      <c r="A4763" t="s" s="834">
        <v>3258</v>
      </c>
      <c r="B4763" t="s" s="834">
        <v>3259</v>
      </c>
      <c r="C4763" t="s" s="834">
        <v>861</v>
      </c>
      <c r="D4763" s="570"/>
      <c r="E4763" s="570"/>
      <c r="F4763" s="570"/>
      <c r="G4763" s="570"/>
      <c r="H4763" s="570"/>
      <c r="I4763" s="570"/>
      <c r="J4763" s="570"/>
      <c r="K4763" s="570"/>
    </row>
    <row r="4764" ht="13.75" customHeight="1">
      <c r="A4764" s="833">
        <v>254</v>
      </c>
      <c r="B4764" t="s" s="834">
        <v>3220</v>
      </c>
      <c r="C4764" t="s" s="834">
        <v>959</v>
      </c>
      <c r="D4764" s="835">
        <v>46052</v>
      </c>
      <c r="E4764" s="836">
        <v>1.352025462962963</v>
      </c>
      <c r="F4764" s="836">
        <v>1.75587962962963</v>
      </c>
      <c r="G4764" s="570"/>
      <c r="H4764" s="570"/>
      <c r="I4764" s="570"/>
      <c r="J4764" s="570"/>
      <c r="K4764" s="570"/>
    </row>
    <row r="4765" ht="13.75" customHeight="1">
      <c r="A4765" t="s" s="834">
        <v>3260</v>
      </c>
      <c r="B4765" t="s" s="834">
        <v>3261</v>
      </c>
      <c r="C4765" t="s" s="834">
        <v>493</v>
      </c>
      <c r="D4765" s="570"/>
      <c r="E4765" s="570"/>
      <c r="F4765" s="570"/>
      <c r="G4765" s="570"/>
      <c r="H4765" s="570"/>
      <c r="I4765" s="570"/>
      <c r="J4765" s="570"/>
      <c r="K4765" s="570"/>
    </row>
    <row r="4766" ht="13.75" customHeight="1">
      <c r="A4766" s="833">
        <v>254</v>
      </c>
      <c r="B4766" t="s" s="834">
        <v>3220</v>
      </c>
      <c r="C4766" t="s" s="834">
        <v>959</v>
      </c>
      <c r="D4766" s="835">
        <v>46053</v>
      </c>
      <c r="E4766" t="s" s="834">
        <v>478</v>
      </c>
      <c r="F4766" t="s" s="834">
        <v>478</v>
      </c>
      <c r="G4766" s="570"/>
      <c r="H4766" s="570"/>
      <c r="I4766" s="570"/>
      <c r="J4766" s="570"/>
      <c r="K4766" s="570"/>
    </row>
    <row r="4767" ht="13.75" customHeight="1">
      <c r="A4767" s="833">
        <v>254</v>
      </c>
      <c r="B4767" t="s" s="834">
        <v>3220</v>
      </c>
      <c r="C4767" t="s" s="834">
        <v>959</v>
      </c>
      <c r="D4767" s="835">
        <v>46054</v>
      </c>
      <c r="E4767" t="s" s="834">
        <v>478</v>
      </c>
      <c r="F4767" t="s" s="834">
        <v>478</v>
      </c>
      <c r="G4767" s="570"/>
      <c r="H4767" s="570"/>
      <c r="I4767" s="570"/>
      <c r="J4767" s="570"/>
      <c r="K4767" s="570"/>
    </row>
    <row r="4768" ht="13.75" customHeight="1">
      <c r="A4768" s="833">
        <v>255</v>
      </c>
      <c r="B4768" t="s" s="834">
        <v>3262</v>
      </c>
      <c r="C4768" t="s" s="834">
        <v>1010</v>
      </c>
      <c r="D4768" s="835">
        <v>46023</v>
      </c>
      <c r="E4768" t="s" s="834">
        <v>478</v>
      </c>
      <c r="F4768" t="s" s="834">
        <v>478</v>
      </c>
      <c r="G4768" s="570"/>
      <c r="H4768" s="570"/>
      <c r="I4768" s="570"/>
      <c r="J4768" s="570"/>
      <c r="K4768" s="570"/>
    </row>
    <row r="4769" ht="13.75" customHeight="1">
      <c r="A4769" s="833">
        <v>255</v>
      </c>
      <c r="B4769" t="s" s="834">
        <v>3262</v>
      </c>
      <c r="C4769" t="s" s="834">
        <v>1010</v>
      </c>
      <c r="D4769" s="835">
        <v>46024</v>
      </c>
      <c r="E4769" t="s" s="834">
        <v>478</v>
      </c>
      <c r="F4769" t="s" s="834">
        <v>478</v>
      </c>
      <c r="G4769" s="570"/>
      <c r="H4769" s="570"/>
      <c r="I4769" s="570"/>
      <c r="J4769" s="570"/>
      <c r="K4769" s="570"/>
    </row>
    <row r="4770" ht="13.75" customHeight="1">
      <c r="A4770" s="833">
        <v>255</v>
      </c>
      <c r="B4770" t="s" s="834">
        <v>3262</v>
      </c>
      <c r="C4770" t="s" s="834">
        <v>1010</v>
      </c>
      <c r="D4770" s="835">
        <v>46025</v>
      </c>
      <c r="E4770" t="s" s="834">
        <v>478</v>
      </c>
      <c r="F4770" t="s" s="834">
        <v>478</v>
      </c>
      <c r="G4770" s="570"/>
      <c r="H4770" s="570"/>
      <c r="I4770" s="570"/>
      <c r="J4770" s="570"/>
      <c r="K4770" s="570"/>
    </row>
    <row r="4771" ht="13.75" customHeight="1">
      <c r="A4771" s="833">
        <v>255</v>
      </c>
      <c r="B4771" t="s" s="834">
        <v>3262</v>
      </c>
      <c r="C4771" t="s" s="834">
        <v>1010</v>
      </c>
      <c r="D4771" s="835">
        <v>46026</v>
      </c>
      <c r="E4771" t="s" s="834">
        <v>478</v>
      </c>
      <c r="F4771" t="s" s="834">
        <v>478</v>
      </c>
      <c r="G4771" s="570"/>
      <c r="H4771" s="570"/>
      <c r="I4771" s="570"/>
      <c r="J4771" s="570"/>
      <c r="K4771" s="570"/>
    </row>
    <row r="4772" ht="13.75" customHeight="1">
      <c r="A4772" s="833">
        <v>255</v>
      </c>
      <c r="B4772" t="s" s="834">
        <v>3262</v>
      </c>
      <c r="C4772" t="s" s="834">
        <v>1010</v>
      </c>
      <c r="D4772" s="835">
        <v>46027</v>
      </c>
      <c r="E4772" s="836">
        <v>1.387337962962963</v>
      </c>
      <c r="F4772" s="836">
        <v>1.757268518518519</v>
      </c>
      <c r="G4772" s="570"/>
      <c r="H4772" s="570"/>
      <c r="I4772" s="570"/>
      <c r="J4772" s="570"/>
      <c r="K4772" s="570"/>
    </row>
    <row r="4773" ht="13.75" customHeight="1">
      <c r="A4773" t="s" s="834">
        <v>3263</v>
      </c>
      <c r="B4773" t="s" s="834">
        <v>3264</v>
      </c>
      <c r="C4773" t="s" s="834">
        <v>1480</v>
      </c>
      <c r="D4773" s="570"/>
      <c r="E4773" s="570"/>
      <c r="F4773" s="570"/>
      <c r="G4773" s="570"/>
      <c r="H4773" s="570"/>
      <c r="I4773" s="570"/>
      <c r="J4773" s="570"/>
      <c r="K4773" s="570"/>
    </row>
    <row r="4774" ht="13.75" customHeight="1">
      <c r="A4774" s="833">
        <v>255</v>
      </c>
      <c r="B4774" t="s" s="834">
        <v>3262</v>
      </c>
      <c r="C4774" t="s" s="834">
        <v>1010</v>
      </c>
      <c r="D4774" s="835">
        <v>46028</v>
      </c>
      <c r="E4774" s="836">
        <v>1.37818287037037</v>
      </c>
      <c r="F4774" s="836">
        <v>1.758761574074074</v>
      </c>
      <c r="G4774" s="570"/>
      <c r="H4774" s="570"/>
      <c r="I4774" s="570"/>
      <c r="J4774" s="570"/>
      <c r="K4774" s="570"/>
    </row>
    <row r="4775" ht="13.75" customHeight="1">
      <c r="A4775" t="s" s="834">
        <v>3265</v>
      </c>
      <c r="B4775" t="s" s="834">
        <v>3266</v>
      </c>
      <c r="C4775" t="s" s="834">
        <v>537</v>
      </c>
      <c r="D4775" s="570"/>
      <c r="E4775" s="570"/>
      <c r="F4775" s="570"/>
      <c r="G4775" s="570"/>
      <c r="H4775" s="570"/>
      <c r="I4775" s="570"/>
      <c r="J4775" s="570"/>
      <c r="K4775" s="570"/>
    </row>
    <row r="4776" ht="13.75" customHeight="1">
      <c r="A4776" s="833">
        <v>255</v>
      </c>
      <c r="B4776" t="s" s="834">
        <v>3262</v>
      </c>
      <c r="C4776" t="s" s="834">
        <v>1010</v>
      </c>
      <c r="D4776" s="835">
        <v>46029</v>
      </c>
      <c r="E4776" s="836">
        <v>1.379074074074074</v>
      </c>
      <c r="F4776" s="836">
        <v>1.830069444444444</v>
      </c>
      <c r="G4776" s="570"/>
      <c r="H4776" s="570"/>
      <c r="I4776" s="570"/>
      <c r="J4776" s="570"/>
      <c r="K4776" s="570"/>
    </row>
    <row r="4777" ht="13.75" customHeight="1">
      <c r="A4777" t="s" s="834">
        <v>3267</v>
      </c>
      <c r="B4777" t="s" s="834">
        <v>3268</v>
      </c>
      <c r="C4777" t="s" s="834">
        <v>2572</v>
      </c>
      <c r="D4777" s="570"/>
      <c r="E4777" s="570"/>
      <c r="F4777" s="570"/>
      <c r="G4777" s="570"/>
      <c r="H4777" s="570"/>
      <c r="I4777" s="570"/>
      <c r="J4777" s="570"/>
      <c r="K4777" s="570"/>
    </row>
    <row r="4778" ht="13.75" customHeight="1">
      <c r="A4778" s="833">
        <v>255</v>
      </c>
      <c r="B4778" t="s" s="834">
        <v>3262</v>
      </c>
      <c r="C4778" t="s" s="834">
        <v>1010</v>
      </c>
      <c r="D4778" s="835">
        <v>46030</v>
      </c>
      <c r="E4778" s="836">
        <v>1.380902777777778</v>
      </c>
      <c r="F4778" s="836">
        <v>1.852060185185185</v>
      </c>
      <c r="G4778" s="570"/>
      <c r="H4778" s="570"/>
      <c r="I4778" s="570"/>
      <c r="J4778" s="570"/>
      <c r="K4778" s="570"/>
    </row>
    <row r="4779" ht="13.75" customHeight="1">
      <c r="A4779" t="s" s="834">
        <v>3269</v>
      </c>
      <c r="B4779" t="s" s="834">
        <v>3270</v>
      </c>
      <c r="C4779" t="s" s="834">
        <v>2305</v>
      </c>
      <c r="D4779" s="570"/>
      <c r="E4779" s="570"/>
      <c r="F4779" s="570"/>
      <c r="G4779" s="570"/>
      <c r="H4779" s="570"/>
      <c r="I4779" s="570"/>
      <c r="J4779" s="570"/>
      <c r="K4779" s="570"/>
    </row>
    <row r="4780" ht="13.75" customHeight="1">
      <c r="A4780" s="833">
        <v>255</v>
      </c>
      <c r="B4780" t="s" s="834">
        <v>3262</v>
      </c>
      <c r="C4780" t="s" s="834">
        <v>1010</v>
      </c>
      <c r="D4780" s="835">
        <v>46031</v>
      </c>
      <c r="E4780" s="836">
        <v>1.364247685185185</v>
      </c>
      <c r="F4780" s="836">
        <v>1.783842592592593</v>
      </c>
      <c r="G4780" s="570"/>
      <c r="H4780" s="570"/>
      <c r="I4780" s="570"/>
      <c r="J4780" s="570"/>
      <c r="K4780" s="570"/>
    </row>
    <row r="4781" ht="13.75" customHeight="1">
      <c r="A4781" t="s" s="834">
        <v>3271</v>
      </c>
      <c r="B4781" t="s" s="834">
        <v>3272</v>
      </c>
      <c r="C4781" t="s" s="834">
        <v>1016</v>
      </c>
      <c r="D4781" s="570"/>
      <c r="E4781" s="570"/>
      <c r="F4781" s="570"/>
      <c r="G4781" s="570"/>
      <c r="H4781" s="570"/>
      <c r="I4781" s="570"/>
      <c r="J4781" s="570"/>
      <c r="K4781" s="570"/>
    </row>
    <row r="4782" ht="13.75" customHeight="1">
      <c r="A4782" s="833">
        <v>255</v>
      </c>
      <c r="B4782" t="s" s="834">
        <v>3262</v>
      </c>
      <c r="C4782" t="s" s="834">
        <v>1010</v>
      </c>
      <c r="D4782" s="835">
        <v>46032</v>
      </c>
      <c r="E4782" s="836">
        <v>1.356145833333333</v>
      </c>
      <c r="F4782" s="836">
        <v>1.753113425925926</v>
      </c>
      <c r="G4782" s="570"/>
      <c r="H4782" s="570"/>
      <c r="I4782" s="570"/>
      <c r="J4782" s="570"/>
      <c r="K4782" s="570"/>
    </row>
    <row r="4783" ht="13.75" customHeight="1">
      <c r="A4783" t="s" s="834">
        <v>3273</v>
      </c>
      <c r="B4783" t="s" s="834">
        <v>3274</v>
      </c>
      <c r="C4783" t="s" s="834">
        <v>747</v>
      </c>
      <c r="D4783" s="570"/>
      <c r="E4783" s="570"/>
      <c r="F4783" s="570"/>
      <c r="G4783" s="570"/>
      <c r="H4783" s="570"/>
      <c r="I4783" s="570"/>
      <c r="J4783" s="570"/>
      <c r="K4783" s="570"/>
    </row>
    <row r="4784" ht="13.75" customHeight="1">
      <c r="A4784" s="833">
        <v>255</v>
      </c>
      <c r="B4784" t="s" s="834">
        <v>3262</v>
      </c>
      <c r="C4784" t="s" s="834">
        <v>1010</v>
      </c>
      <c r="D4784" s="835">
        <v>46033</v>
      </c>
      <c r="E4784" t="s" s="834">
        <v>478</v>
      </c>
      <c r="F4784" t="s" s="834">
        <v>478</v>
      </c>
      <c r="G4784" s="570"/>
      <c r="H4784" s="570"/>
      <c r="I4784" s="570"/>
      <c r="J4784" s="570"/>
      <c r="K4784" s="570"/>
    </row>
    <row r="4785" ht="13.75" customHeight="1">
      <c r="A4785" s="833">
        <v>255</v>
      </c>
      <c r="B4785" t="s" s="834">
        <v>3262</v>
      </c>
      <c r="C4785" t="s" s="834">
        <v>1010</v>
      </c>
      <c r="D4785" s="835">
        <v>46034</v>
      </c>
      <c r="E4785" s="836">
        <v>1.373252314814815</v>
      </c>
      <c r="F4785" s="836">
        <v>1.823310185185185</v>
      </c>
      <c r="G4785" s="570"/>
      <c r="H4785" s="570"/>
      <c r="I4785" s="570"/>
      <c r="J4785" s="570"/>
      <c r="K4785" s="570"/>
    </row>
    <row r="4786" ht="13.75" customHeight="1">
      <c r="A4786" t="s" s="834">
        <v>3275</v>
      </c>
      <c r="B4786" t="s" s="834">
        <v>3276</v>
      </c>
      <c r="C4786" t="s" s="834">
        <v>1823</v>
      </c>
      <c r="D4786" s="570"/>
      <c r="E4786" s="570"/>
      <c r="F4786" s="570"/>
      <c r="G4786" s="570"/>
      <c r="H4786" s="570"/>
      <c r="I4786" s="570"/>
      <c r="J4786" s="570"/>
      <c r="K4786" s="570"/>
    </row>
    <row r="4787" ht="13.75" customHeight="1">
      <c r="A4787" s="833">
        <v>255</v>
      </c>
      <c r="B4787" t="s" s="834">
        <v>3262</v>
      </c>
      <c r="C4787" t="s" s="834">
        <v>1010</v>
      </c>
      <c r="D4787" s="835">
        <v>46035</v>
      </c>
      <c r="E4787" s="836">
        <v>1.368240740740741</v>
      </c>
      <c r="F4787" s="836">
        <v>1.777118055555555</v>
      </c>
      <c r="G4787" s="570"/>
      <c r="H4787" s="570"/>
      <c r="I4787" s="570"/>
      <c r="J4787" s="570"/>
      <c r="K4787" s="570"/>
    </row>
    <row r="4788" ht="13.75" customHeight="1">
      <c r="A4788" t="s" s="834">
        <v>3277</v>
      </c>
      <c r="B4788" t="s" s="834">
        <v>3278</v>
      </c>
      <c r="C4788" t="s" s="834">
        <v>600</v>
      </c>
      <c r="D4788" s="570"/>
      <c r="E4788" s="570"/>
      <c r="F4788" s="570"/>
      <c r="G4788" s="570"/>
      <c r="H4788" s="570"/>
      <c r="I4788" s="570"/>
      <c r="J4788" s="570"/>
      <c r="K4788" s="570"/>
    </row>
    <row r="4789" ht="13.75" customHeight="1">
      <c r="A4789" s="833">
        <v>255</v>
      </c>
      <c r="B4789" t="s" s="834">
        <v>3262</v>
      </c>
      <c r="C4789" t="s" s="834">
        <v>1010</v>
      </c>
      <c r="D4789" s="835">
        <v>46036</v>
      </c>
      <c r="E4789" s="836">
        <v>1.364849537037037</v>
      </c>
      <c r="F4789" s="836">
        <v>1.945891203703704</v>
      </c>
      <c r="G4789" s="570"/>
      <c r="H4789" s="570"/>
      <c r="I4789" s="570"/>
      <c r="J4789" s="570"/>
      <c r="K4789" s="570"/>
    </row>
    <row r="4790" ht="13.75" customHeight="1">
      <c r="A4790" t="s" s="834">
        <v>3279</v>
      </c>
      <c r="B4790" t="s" s="834">
        <v>3280</v>
      </c>
      <c r="C4790" t="s" s="834">
        <v>3281</v>
      </c>
      <c r="D4790" s="570"/>
      <c r="E4790" s="570"/>
      <c r="F4790" s="570"/>
      <c r="G4790" s="570"/>
      <c r="H4790" s="570"/>
      <c r="I4790" s="570"/>
      <c r="J4790" s="570"/>
      <c r="K4790" s="570"/>
    </row>
    <row r="4791" ht="13.75" customHeight="1">
      <c r="A4791" s="833">
        <v>255</v>
      </c>
      <c r="B4791" t="s" s="834">
        <v>3262</v>
      </c>
      <c r="C4791" t="s" s="834">
        <v>1010</v>
      </c>
      <c r="D4791" s="835">
        <v>46037</v>
      </c>
      <c r="E4791" s="836">
        <v>1.558252314814815</v>
      </c>
      <c r="F4791" s="836">
        <v>1.752314814814815</v>
      </c>
      <c r="G4791" s="570"/>
      <c r="H4791" s="570"/>
      <c r="I4791" s="570"/>
      <c r="J4791" s="570"/>
      <c r="K4791" s="570"/>
    </row>
    <row r="4792" ht="13.75" customHeight="1">
      <c r="A4792" t="s" s="834">
        <v>3282</v>
      </c>
      <c r="B4792" t="s" s="834">
        <v>3283</v>
      </c>
      <c r="C4792" t="s" s="834">
        <v>3284</v>
      </c>
      <c r="D4792" s="570"/>
      <c r="E4792" s="570"/>
      <c r="F4792" s="570"/>
      <c r="G4792" s="570"/>
      <c r="H4792" s="570"/>
      <c r="I4792" s="570"/>
      <c r="J4792" s="570"/>
      <c r="K4792" s="570"/>
    </row>
    <row r="4793" ht="13.75" customHeight="1">
      <c r="A4793" s="833">
        <v>255</v>
      </c>
      <c r="B4793" t="s" s="834">
        <v>3262</v>
      </c>
      <c r="C4793" t="s" s="834">
        <v>1010</v>
      </c>
      <c r="D4793" s="835">
        <v>46038</v>
      </c>
      <c r="E4793" s="836">
        <v>1.386284722222222</v>
      </c>
      <c r="F4793" s="836">
        <v>1.754236111111111</v>
      </c>
      <c r="G4793" s="570"/>
      <c r="H4793" s="570"/>
      <c r="I4793" s="570"/>
      <c r="J4793" s="570"/>
      <c r="K4793" s="570"/>
    </row>
    <row r="4794" ht="13.75" customHeight="1">
      <c r="A4794" t="s" s="834">
        <v>3285</v>
      </c>
      <c r="B4794" t="s" s="834">
        <v>3286</v>
      </c>
      <c r="C4794" t="s" s="834">
        <v>1174</v>
      </c>
      <c r="D4794" s="570"/>
      <c r="E4794" s="570"/>
      <c r="F4794" s="570"/>
      <c r="G4794" s="570"/>
      <c r="H4794" s="570"/>
      <c r="I4794" s="570"/>
      <c r="J4794" s="570"/>
      <c r="K4794" s="570"/>
    </row>
    <row r="4795" ht="13.75" customHeight="1">
      <c r="A4795" s="833">
        <v>255</v>
      </c>
      <c r="B4795" t="s" s="834">
        <v>3262</v>
      </c>
      <c r="C4795" t="s" s="834">
        <v>1010</v>
      </c>
      <c r="D4795" s="835">
        <v>46039</v>
      </c>
      <c r="E4795" t="s" s="834">
        <v>478</v>
      </c>
      <c r="F4795" t="s" s="834">
        <v>478</v>
      </c>
      <c r="G4795" s="570"/>
      <c r="H4795" s="570"/>
      <c r="I4795" s="570"/>
      <c r="J4795" s="570"/>
      <c r="K4795" s="570"/>
    </row>
    <row r="4796" ht="13.75" customHeight="1">
      <c r="A4796" s="833">
        <v>255</v>
      </c>
      <c r="B4796" t="s" s="834">
        <v>3262</v>
      </c>
      <c r="C4796" t="s" s="834">
        <v>1010</v>
      </c>
      <c r="D4796" s="835">
        <v>46040</v>
      </c>
      <c r="E4796" t="s" s="834">
        <v>478</v>
      </c>
      <c r="F4796" t="s" s="834">
        <v>478</v>
      </c>
      <c r="G4796" s="570"/>
      <c r="H4796" s="570"/>
      <c r="I4796" s="570"/>
      <c r="J4796" s="570"/>
      <c r="K4796" s="570"/>
    </row>
    <row r="4797" ht="13.75" customHeight="1">
      <c r="A4797" s="833">
        <v>255</v>
      </c>
      <c r="B4797" t="s" s="834">
        <v>3262</v>
      </c>
      <c r="C4797" t="s" s="834">
        <v>1010</v>
      </c>
      <c r="D4797" s="835">
        <v>46041</v>
      </c>
      <c r="E4797" s="836">
        <v>1.365127314814815</v>
      </c>
      <c r="F4797" s="836">
        <v>1.755648148148148</v>
      </c>
      <c r="G4797" s="570"/>
      <c r="H4797" s="570"/>
      <c r="I4797" s="570"/>
      <c r="J4797" s="570"/>
      <c r="K4797" s="570"/>
    </row>
    <row r="4798" ht="13.75" customHeight="1">
      <c r="A4798" t="s" s="834">
        <v>3287</v>
      </c>
      <c r="B4798" t="s" s="834">
        <v>3288</v>
      </c>
      <c r="C4798" t="s" s="834">
        <v>901</v>
      </c>
      <c r="D4798" s="570"/>
      <c r="E4798" s="570"/>
      <c r="F4798" s="570"/>
      <c r="G4798" s="570"/>
      <c r="H4798" s="570"/>
      <c r="I4798" s="570"/>
      <c r="J4798" s="570"/>
      <c r="K4798" s="570"/>
    </row>
    <row r="4799" ht="13.75" customHeight="1">
      <c r="A4799" s="833">
        <v>255</v>
      </c>
      <c r="B4799" t="s" s="834">
        <v>3262</v>
      </c>
      <c r="C4799" t="s" s="834">
        <v>1010</v>
      </c>
      <c r="D4799" s="835">
        <v>46042</v>
      </c>
      <c r="E4799" s="836">
        <v>1.35474537037037</v>
      </c>
      <c r="F4799" s="836">
        <v>1.7534375</v>
      </c>
      <c r="G4799" s="570"/>
      <c r="H4799" s="570"/>
      <c r="I4799" s="570"/>
      <c r="J4799" s="570"/>
      <c r="K4799" s="570"/>
    </row>
    <row r="4800" ht="13.75" customHeight="1">
      <c r="A4800" t="s" s="834">
        <v>3289</v>
      </c>
      <c r="B4800" t="s" s="834">
        <v>3290</v>
      </c>
      <c r="C4800" t="s" s="834">
        <v>611</v>
      </c>
      <c r="D4800" s="570"/>
      <c r="E4800" s="570"/>
      <c r="F4800" s="570"/>
      <c r="G4800" s="570"/>
      <c r="H4800" s="570"/>
      <c r="I4800" s="570"/>
      <c r="J4800" s="570"/>
      <c r="K4800" s="570"/>
    </row>
    <row r="4801" ht="13.75" customHeight="1">
      <c r="A4801" s="833">
        <v>255</v>
      </c>
      <c r="B4801" t="s" s="834">
        <v>3262</v>
      </c>
      <c r="C4801" t="s" s="834">
        <v>1010</v>
      </c>
      <c r="D4801" s="835">
        <v>46043</v>
      </c>
      <c r="E4801" s="836">
        <v>1.368414351851852</v>
      </c>
      <c r="F4801" s="836">
        <v>1.932789351851852</v>
      </c>
      <c r="G4801" s="570"/>
      <c r="H4801" s="570"/>
      <c r="I4801" s="570"/>
      <c r="J4801" s="570"/>
      <c r="K4801" s="570"/>
    </row>
    <row r="4802" ht="13.75" customHeight="1">
      <c r="A4802" t="s" s="834">
        <v>3291</v>
      </c>
      <c r="B4802" t="s" s="834">
        <v>3292</v>
      </c>
      <c r="C4802" t="s" s="834">
        <v>3293</v>
      </c>
      <c r="D4802" s="570"/>
      <c r="E4802" s="570"/>
      <c r="F4802" s="570"/>
      <c r="G4802" s="570"/>
      <c r="H4802" s="570"/>
      <c r="I4802" s="570"/>
      <c r="J4802" s="570"/>
      <c r="K4802" s="570"/>
    </row>
    <row r="4803" ht="13.75" customHeight="1">
      <c r="A4803" s="833">
        <v>255</v>
      </c>
      <c r="B4803" t="s" s="834">
        <v>3262</v>
      </c>
      <c r="C4803" t="s" s="834">
        <v>1010</v>
      </c>
      <c r="D4803" s="835">
        <v>46044</v>
      </c>
      <c r="E4803" s="836">
        <v>1.38994212962963</v>
      </c>
      <c r="F4803" s="836">
        <v>1.921770833333333</v>
      </c>
      <c r="G4803" s="570"/>
      <c r="H4803" s="570"/>
      <c r="I4803" s="570"/>
      <c r="J4803" s="570"/>
      <c r="K4803" s="570"/>
    </row>
    <row r="4804" ht="13.75" customHeight="1">
      <c r="A4804" t="s" s="834">
        <v>3294</v>
      </c>
      <c r="B4804" t="s" s="834">
        <v>3295</v>
      </c>
      <c r="C4804" t="s" s="834">
        <v>3296</v>
      </c>
      <c r="D4804" s="570"/>
      <c r="E4804" s="570"/>
      <c r="F4804" s="570"/>
      <c r="G4804" s="570"/>
      <c r="H4804" s="570"/>
      <c r="I4804" s="570"/>
      <c r="J4804" s="570"/>
      <c r="K4804" s="570"/>
    </row>
    <row r="4805" ht="13.75" customHeight="1">
      <c r="A4805" s="833">
        <v>255</v>
      </c>
      <c r="B4805" t="s" s="834">
        <v>3262</v>
      </c>
      <c r="C4805" t="s" s="834">
        <v>1010</v>
      </c>
      <c r="D4805" s="835">
        <v>46045</v>
      </c>
      <c r="E4805" s="836">
        <v>1.351377314814815</v>
      </c>
      <c r="F4805" s="836">
        <v>1.933148148148148</v>
      </c>
      <c r="G4805" s="570"/>
      <c r="H4805" s="570"/>
      <c r="I4805" s="570"/>
      <c r="J4805" s="570"/>
      <c r="K4805" s="570"/>
    </row>
    <row r="4806" ht="13.75" customHeight="1">
      <c r="A4806" t="s" s="834">
        <v>3297</v>
      </c>
      <c r="B4806" t="s" s="834">
        <v>3298</v>
      </c>
      <c r="C4806" t="s" s="834">
        <v>3036</v>
      </c>
      <c r="D4806" s="570"/>
      <c r="E4806" s="570"/>
      <c r="F4806" s="570"/>
      <c r="G4806" s="570"/>
      <c r="H4806" s="570"/>
      <c r="I4806" s="570"/>
      <c r="J4806" s="570"/>
      <c r="K4806" s="570"/>
    </row>
    <row r="4807" ht="13.75" customHeight="1">
      <c r="A4807" s="833">
        <v>255</v>
      </c>
      <c r="B4807" t="s" s="834">
        <v>3262</v>
      </c>
      <c r="C4807" t="s" s="834">
        <v>1010</v>
      </c>
      <c r="D4807" s="835">
        <v>46046</v>
      </c>
      <c r="E4807" t="s" s="834">
        <v>478</v>
      </c>
      <c r="F4807" t="s" s="834">
        <v>478</v>
      </c>
      <c r="G4807" s="570"/>
      <c r="H4807" s="570"/>
      <c r="I4807" s="570"/>
      <c r="J4807" s="570"/>
      <c r="K4807" s="570"/>
    </row>
    <row r="4808" ht="13.75" customHeight="1">
      <c r="A4808" s="833">
        <v>255</v>
      </c>
      <c r="B4808" t="s" s="834">
        <v>3262</v>
      </c>
      <c r="C4808" t="s" s="834">
        <v>1010</v>
      </c>
      <c r="D4808" s="835">
        <v>46047</v>
      </c>
      <c r="E4808" t="s" s="834">
        <v>478</v>
      </c>
      <c r="F4808" t="s" s="834">
        <v>478</v>
      </c>
      <c r="G4808" s="570"/>
      <c r="H4808" s="570"/>
      <c r="I4808" s="570"/>
      <c r="J4808" s="570"/>
      <c r="K4808" s="570"/>
    </row>
    <row r="4809" ht="13.75" customHeight="1">
      <c r="A4809" s="833">
        <v>255</v>
      </c>
      <c r="B4809" t="s" s="834">
        <v>3262</v>
      </c>
      <c r="C4809" t="s" s="834">
        <v>1010</v>
      </c>
      <c r="D4809" s="835">
        <v>46048</v>
      </c>
      <c r="E4809" s="836">
        <v>1.386759259259259</v>
      </c>
      <c r="F4809" t="s" s="834">
        <v>478</v>
      </c>
      <c r="G4809" s="570"/>
      <c r="H4809" s="570"/>
      <c r="I4809" s="570"/>
      <c r="J4809" s="570"/>
      <c r="K4809" s="570"/>
    </row>
    <row r="4810" ht="13.75" customHeight="1">
      <c r="A4810" t="s" s="834">
        <v>3299</v>
      </c>
      <c r="B4810" t="s" s="834">
        <v>485</v>
      </c>
      <c r="C4810" t="s" s="834">
        <v>486</v>
      </c>
      <c r="D4810" s="570"/>
      <c r="E4810" s="570"/>
      <c r="F4810" s="570"/>
      <c r="G4810" s="570"/>
      <c r="H4810" s="570"/>
      <c r="I4810" s="570"/>
      <c r="J4810" s="570"/>
      <c r="K4810" s="570"/>
    </row>
    <row r="4811" ht="13.75" customHeight="1">
      <c r="A4811" s="833">
        <v>255</v>
      </c>
      <c r="B4811" t="s" s="834">
        <v>3262</v>
      </c>
      <c r="C4811" t="s" s="834">
        <v>1010</v>
      </c>
      <c r="D4811" s="835">
        <v>46049</v>
      </c>
      <c r="E4811" s="836">
        <v>1.376261574074074</v>
      </c>
      <c r="F4811" s="836">
        <v>1.754212962962963</v>
      </c>
      <c r="G4811" s="570"/>
      <c r="H4811" s="570"/>
      <c r="I4811" s="570"/>
      <c r="J4811" s="570"/>
      <c r="K4811" s="570"/>
    </row>
    <row r="4812" ht="13.75" customHeight="1">
      <c r="A4812" t="s" s="834">
        <v>3300</v>
      </c>
      <c r="B4812" t="s" s="834">
        <v>3301</v>
      </c>
      <c r="C4812" t="s" s="834">
        <v>543</v>
      </c>
      <c r="D4812" s="570"/>
      <c r="E4812" s="570"/>
      <c r="F4812" s="570"/>
      <c r="G4812" s="570"/>
      <c r="H4812" s="570"/>
      <c r="I4812" s="570"/>
      <c r="J4812" s="570"/>
      <c r="K4812" s="570"/>
    </row>
    <row r="4813" ht="13.75" customHeight="1">
      <c r="A4813" s="833">
        <v>255</v>
      </c>
      <c r="B4813" t="s" s="834">
        <v>3262</v>
      </c>
      <c r="C4813" t="s" s="834">
        <v>1010</v>
      </c>
      <c r="D4813" s="835">
        <v>46050</v>
      </c>
      <c r="E4813" s="836">
        <v>1.575162037037037</v>
      </c>
      <c r="F4813" s="836">
        <v>1.761643518518519</v>
      </c>
      <c r="G4813" s="570"/>
      <c r="H4813" s="570"/>
      <c r="I4813" s="570"/>
      <c r="J4813" s="570"/>
      <c r="K4813" s="570"/>
    </row>
    <row r="4814" ht="13.75" customHeight="1">
      <c r="A4814" t="s" s="834">
        <v>3302</v>
      </c>
      <c r="B4814" t="s" s="834">
        <v>3303</v>
      </c>
      <c r="C4814" t="s" s="834">
        <v>1957</v>
      </c>
      <c r="D4814" s="570"/>
      <c r="E4814" s="570"/>
      <c r="F4814" s="570"/>
      <c r="G4814" s="570"/>
      <c r="H4814" s="570"/>
      <c r="I4814" s="570"/>
      <c r="J4814" s="570"/>
      <c r="K4814" s="570"/>
    </row>
    <row r="4815" ht="13.75" customHeight="1">
      <c r="A4815" s="833">
        <v>255</v>
      </c>
      <c r="B4815" t="s" s="834">
        <v>3262</v>
      </c>
      <c r="C4815" t="s" s="834">
        <v>1010</v>
      </c>
      <c r="D4815" s="835">
        <v>46051</v>
      </c>
      <c r="E4815" s="836">
        <v>1.377546296296296</v>
      </c>
      <c r="F4815" s="836">
        <v>1.751203703703704</v>
      </c>
      <c r="G4815" s="570"/>
      <c r="H4815" s="570"/>
      <c r="I4815" s="570"/>
      <c r="J4815" s="570"/>
      <c r="K4815" s="570"/>
    </row>
    <row r="4816" ht="13.75" customHeight="1">
      <c r="A4816" t="s" s="834">
        <v>3304</v>
      </c>
      <c r="B4816" t="s" s="834">
        <v>3305</v>
      </c>
      <c r="C4816" t="s" s="834">
        <v>552</v>
      </c>
      <c r="D4816" s="570"/>
      <c r="E4816" s="570"/>
      <c r="F4816" s="570"/>
      <c r="G4816" s="570"/>
      <c r="H4816" s="570"/>
      <c r="I4816" s="570"/>
      <c r="J4816" s="570"/>
      <c r="K4816" s="570"/>
    </row>
    <row r="4817" ht="13.75" customHeight="1">
      <c r="A4817" s="833">
        <v>255</v>
      </c>
      <c r="B4817" t="s" s="834">
        <v>3262</v>
      </c>
      <c r="C4817" t="s" s="834">
        <v>1010</v>
      </c>
      <c r="D4817" s="835">
        <v>46052</v>
      </c>
      <c r="E4817" s="836">
        <v>1.371550925925926</v>
      </c>
      <c r="F4817" s="836">
        <v>1.755856481481481</v>
      </c>
      <c r="G4817" s="570"/>
      <c r="H4817" s="570"/>
      <c r="I4817" s="570"/>
      <c r="J4817" s="570"/>
      <c r="K4817" s="570"/>
    </row>
    <row r="4818" ht="13.75" customHeight="1">
      <c r="A4818" t="s" s="834">
        <v>3306</v>
      </c>
      <c r="B4818" t="s" s="834">
        <v>3307</v>
      </c>
      <c r="C4818" t="s" s="834">
        <v>984</v>
      </c>
      <c r="D4818" s="570"/>
      <c r="E4818" s="570"/>
      <c r="F4818" s="570"/>
      <c r="G4818" s="570"/>
      <c r="H4818" s="570"/>
      <c r="I4818" s="570"/>
      <c r="J4818" s="570"/>
      <c r="K4818" s="570"/>
    </row>
    <row r="4819" ht="13.75" customHeight="1">
      <c r="A4819" s="833">
        <v>255</v>
      </c>
      <c r="B4819" t="s" s="834">
        <v>3262</v>
      </c>
      <c r="C4819" t="s" s="834">
        <v>1010</v>
      </c>
      <c r="D4819" s="835">
        <v>46053</v>
      </c>
      <c r="E4819" t="s" s="834">
        <v>478</v>
      </c>
      <c r="F4819" t="s" s="834">
        <v>478</v>
      </c>
      <c r="G4819" s="570"/>
      <c r="H4819" s="570"/>
      <c r="I4819" s="570"/>
      <c r="J4819" s="570"/>
      <c r="K4819" s="570"/>
    </row>
    <row r="4820" ht="13.75" customHeight="1">
      <c r="A4820" s="833">
        <v>255</v>
      </c>
      <c r="B4820" t="s" s="834">
        <v>3262</v>
      </c>
      <c r="C4820" t="s" s="834">
        <v>1010</v>
      </c>
      <c r="D4820" s="835">
        <v>46054</v>
      </c>
      <c r="E4820" s="836">
        <v>1.561053240740741</v>
      </c>
      <c r="F4820" s="836">
        <v>1.844178240740741</v>
      </c>
      <c r="G4820" s="570"/>
      <c r="H4820" s="570"/>
      <c r="I4820" s="570"/>
      <c r="J4820" s="570"/>
      <c r="K4820" s="570"/>
    </row>
    <row r="4821" ht="13.75" customHeight="1">
      <c r="A4821" t="s" s="834">
        <v>3308</v>
      </c>
      <c r="B4821" t="s" s="834">
        <v>3309</v>
      </c>
      <c r="C4821" t="s" s="834">
        <v>3310</v>
      </c>
      <c r="D4821" s="570"/>
      <c r="E4821" s="570"/>
      <c r="F4821" s="570"/>
      <c r="G4821" s="570"/>
      <c r="H4821" s="570"/>
      <c r="I4821" s="570"/>
      <c r="J4821" s="570"/>
      <c r="K4821" s="570"/>
    </row>
    <row r="4822" ht="13.75" customHeight="1">
      <c r="A4822" s="833">
        <v>267</v>
      </c>
      <c r="B4822" t="s" s="834">
        <v>3311</v>
      </c>
      <c r="C4822" t="s" s="834">
        <v>1010</v>
      </c>
      <c r="D4822" s="835">
        <v>46023</v>
      </c>
      <c r="E4822" t="s" s="834">
        <v>478</v>
      </c>
      <c r="F4822" t="s" s="834">
        <v>478</v>
      </c>
      <c r="G4822" s="570"/>
      <c r="H4822" s="570"/>
      <c r="I4822" s="570"/>
      <c r="J4822" s="570"/>
      <c r="K4822" s="570"/>
    </row>
    <row r="4823" ht="13.75" customHeight="1">
      <c r="A4823" s="833">
        <v>267</v>
      </c>
      <c r="B4823" t="s" s="834">
        <v>3311</v>
      </c>
      <c r="C4823" t="s" s="834">
        <v>1010</v>
      </c>
      <c r="D4823" s="835">
        <v>46024</v>
      </c>
      <c r="E4823" t="s" s="834">
        <v>478</v>
      </c>
      <c r="F4823" t="s" s="834">
        <v>478</v>
      </c>
      <c r="G4823" s="570"/>
      <c r="H4823" s="570"/>
      <c r="I4823" s="570"/>
      <c r="J4823" s="570"/>
      <c r="K4823" s="570"/>
    </row>
    <row r="4824" ht="13.75" customHeight="1">
      <c r="A4824" s="833">
        <v>267</v>
      </c>
      <c r="B4824" t="s" s="834">
        <v>3311</v>
      </c>
      <c r="C4824" t="s" s="834">
        <v>1010</v>
      </c>
      <c r="D4824" s="835">
        <v>46025</v>
      </c>
      <c r="E4824" t="s" s="834">
        <v>478</v>
      </c>
      <c r="F4824" t="s" s="834">
        <v>478</v>
      </c>
      <c r="G4824" s="570"/>
      <c r="H4824" s="570"/>
      <c r="I4824" s="570"/>
      <c r="J4824" s="570"/>
      <c r="K4824" s="570"/>
    </row>
    <row r="4825" ht="13.75" customHeight="1">
      <c r="A4825" s="833">
        <v>267</v>
      </c>
      <c r="B4825" t="s" s="834">
        <v>3311</v>
      </c>
      <c r="C4825" t="s" s="834">
        <v>1010</v>
      </c>
      <c r="D4825" s="835">
        <v>46026</v>
      </c>
      <c r="E4825" t="s" s="834">
        <v>478</v>
      </c>
      <c r="F4825" t="s" s="834">
        <v>478</v>
      </c>
      <c r="G4825" s="570"/>
      <c r="H4825" s="570"/>
      <c r="I4825" s="570"/>
      <c r="J4825" s="570"/>
      <c r="K4825" s="570"/>
    </row>
    <row r="4826" ht="13.75" customHeight="1">
      <c r="A4826" s="833">
        <v>267</v>
      </c>
      <c r="B4826" t="s" s="834">
        <v>3311</v>
      </c>
      <c r="C4826" t="s" s="834">
        <v>1010</v>
      </c>
      <c r="D4826" s="835">
        <v>46027</v>
      </c>
      <c r="E4826" s="836">
        <v>1.360173611111111</v>
      </c>
      <c r="F4826" s="836">
        <v>1.80244212962963</v>
      </c>
      <c r="G4826" s="570"/>
      <c r="H4826" s="570"/>
      <c r="I4826" s="570"/>
      <c r="J4826" s="570"/>
      <c r="K4826" s="570"/>
    </row>
    <row r="4827" ht="13.75" customHeight="1">
      <c r="A4827" t="s" s="834">
        <v>3312</v>
      </c>
      <c r="B4827" t="s" s="834">
        <v>3313</v>
      </c>
      <c r="C4827" t="s" s="834">
        <v>2722</v>
      </c>
      <c r="D4827" s="570"/>
      <c r="E4827" s="570"/>
      <c r="F4827" s="570"/>
      <c r="G4827" s="570"/>
      <c r="H4827" s="570"/>
      <c r="I4827" s="570"/>
      <c r="J4827" s="570"/>
      <c r="K4827" s="570"/>
    </row>
    <row r="4828" ht="13.75" customHeight="1">
      <c r="A4828" s="833">
        <v>267</v>
      </c>
      <c r="B4828" t="s" s="834">
        <v>3311</v>
      </c>
      <c r="C4828" t="s" s="834">
        <v>1010</v>
      </c>
      <c r="D4828" s="835">
        <v>46028</v>
      </c>
      <c r="E4828" s="836">
        <v>1.364756944444445</v>
      </c>
      <c r="F4828" s="836">
        <v>1.84880787037037</v>
      </c>
      <c r="G4828" s="570"/>
      <c r="H4828" s="570"/>
      <c r="I4828" s="570"/>
      <c r="J4828" s="570"/>
      <c r="K4828" s="570"/>
    </row>
    <row r="4829" ht="13.75" customHeight="1">
      <c r="A4829" t="s" s="834">
        <v>3314</v>
      </c>
      <c r="B4829" t="s" s="834">
        <v>3315</v>
      </c>
      <c r="C4829" t="s" s="834">
        <v>3316</v>
      </c>
      <c r="D4829" s="570"/>
      <c r="E4829" s="570"/>
      <c r="F4829" s="570"/>
      <c r="G4829" s="570"/>
      <c r="H4829" s="570"/>
      <c r="I4829" s="570"/>
      <c r="J4829" s="570"/>
      <c r="K4829" s="570"/>
    </row>
    <row r="4830" ht="13.75" customHeight="1">
      <c r="A4830" s="833">
        <v>267</v>
      </c>
      <c r="B4830" t="s" s="834">
        <v>3311</v>
      </c>
      <c r="C4830" t="s" s="834">
        <v>1010</v>
      </c>
      <c r="D4830" s="835">
        <v>46029</v>
      </c>
      <c r="E4830" s="836">
        <v>1.364606481481482</v>
      </c>
      <c r="F4830" s="836">
        <v>1.794594907407407</v>
      </c>
      <c r="G4830" s="570"/>
      <c r="H4830" s="570"/>
      <c r="I4830" s="570"/>
      <c r="J4830" s="570"/>
      <c r="K4830" s="570"/>
    </row>
    <row r="4831" ht="13.75" customHeight="1">
      <c r="A4831" t="s" s="834">
        <v>3317</v>
      </c>
      <c r="B4831" t="s" s="834">
        <v>3318</v>
      </c>
      <c r="C4831" t="s" s="834">
        <v>509</v>
      </c>
      <c r="D4831" s="570"/>
      <c r="E4831" s="570"/>
      <c r="F4831" s="570"/>
      <c r="G4831" s="570"/>
      <c r="H4831" s="570"/>
      <c r="I4831" s="570"/>
      <c r="J4831" s="570"/>
      <c r="K4831" s="570"/>
    </row>
    <row r="4832" ht="13.75" customHeight="1">
      <c r="A4832" s="833">
        <v>267</v>
      </c>
      <c r="B4832" t="s" s="834">
        <v>3311</v>
      </c>
      <c r="C4832" t="s" s="834">
        <v>1010</v>
      </c>
      <c r="D4832" s="835">
        <v>46030</v>
      </c>
      <c r="E4832" s="836">
        <v>1.371689814814815</v>
      </c>
      <c r="F4832" s="836">
        <v>1.762395833333333</v>
      </c>
      <c r="G4832" s="570"/>
      <c r="H4832" s="570"/>
      <c r="I4832" s="570"/>
      <c r="J4832" s="570"/>
      <c r="K4832" s="570"/>
    </row>
    <row r="4833" ht="13.75" customHeight="1">
      <c r="A4833" t="s" s="834">
        <v>3319</v>
      </c>
      <c r="B4833" t="s" s="834">
        <v>3320</v>
      </c>
      <c r="C4833" t="s" s="834">
        <v>668</v>
      </c>
      <c r="D4833" s="570"/>
      <c r="E4833" s="570"/>
      <c r="F4833" s="570"/>
      <c r="G4833" s="570"/>
      <c r="H4833" s="570"/>
      <c r="I4833" s="570"/>
      <c r="J4833" s="570"/>
      <c r="K4833" s="570"/>
    </row>
    <row r="4834" ht="13.75" customHeight="1">
      <c r="A4834" s="833">
        <v>267</v>
      </c>
      <c r="B4834" t="s" s="834">
        <v>3311</v>
      </c>
      <c r="C4834" t="s" s="834">
        <v>1010</v>
      </c>
      <c r="D4834" s="835">
        <v>46031</v>
      </c>
      <c r="E4834" s="836">
        <v>1.377881944444444</v>
      </c>
      <c r="F4834" s="836">
        <v>1.787025462962963</v>
      </c>
      <c r="G4834" s="570"/>
      <c r="H4834" s="570"/>
      <c r="I4834" s="570"/>
      <c r="J4834" s="570"/>
      <c r="K4834" s="570"/>
    </row>
    <row r="4835" ht="13.75" customHeight="1">
      <c r="A4835" t="s" s="834">
        <v>3321</v>
      </c>
      <c r="B4835" t="s" s="834">
        <v>3322</v>
      </c>
      <c r="C4835" t="s" s="834">
        <v>600</v>
      </c>
      <c r="D4835" s="570"/>
      <c r="E4835" s="570"/>
      <c r="F4835" s="570"/>
      <c r="G4835" s="570"/>
      <c r="H4835" s="570"/>
      <c r="I4835" s="570"/>
      <c r="J4835" s="570"/>
      <c r="K4835" s="570"/>
    </row>
    <row r="4836" ht="13.75" customHeight="1">
      <c r="A4836" s="833">
        <v>267</v>
      </c>
      <c r="B4836" t="s" s="834">
        <v>3311</v>
      </c>
      <c r="C4836" t="s" s="834">
        <v>1010</v>
      </c>
      <c r="D4836" s="835">
        <v>46032</v>
      </c>
      <c r="E4836" s="836">
        <v>1.368587962962963</v>
      </c>
      <c r="F4836" s="836">
        <v>1.807673611111111</v>
      </c>
      <c r="G4836" s="570"/>
      <c r="H4836" s="570"/>
      <c r="I4836" s="570"/>
      <c r="J4836" s="570"/>
      <c r="K4836" s="570"/>
    </row>
    <row r="4837" ht="13.75" customHeight="1">
      <c r="A4837" t="s" s="834">
        <v>3323</v>
      </c>
      <c r="B4837" t="s" s="834">
        <v>3324</v>
      </c>
      <c r="C4837" t="s" s="834">
        <v>1013</v>
      </c>
      <c r="D4837" s="570"/>
      <c r="E4837" s="570"/>
      <c r="F4837" s="570"/>
      <c r="G4837" s="570"/>
      <c r="H4837" s="570"/>
      <c r="I4837" s="570"/>
      <c r="J4837" s="570"/>
      <c r="K4837" s="570"/>
    </row>
    <row r="4838" ht="13.75" customHeight="1">
      <c r="A4838" s="833">
        <v>267</v>
      </c>
      <c r="B4838" t="s" s="834">
        <v>3311</v>
      </c>
      <c r="C4838" t="s" s="834">
        <v>1010</v>
      </c>
      <c r="D4838" s="835">
        <v>46033</v>
      </c>
      <c r="E4838" t="s" s="834">
        <v>478</v>
      </c>
      <c r="F4838" t="s" s="834">
        <v>478</v>
      </c>
      <c r="G4838" s="570"/>
      <c r="H4838" s="570"/>
      <c r="I4838" s="570"/>
      <c r="J4838" s="570"/>
      <c r="K4838" s="570"/>
    </row>
    <row r="4839" ht="13.75" customHeight="1">
      <c r="A4839" s="833">
        <v>267</v>
      </c>
      <c r="B4839" t="s" s="834">
        <v>3311</v>
      </c>
      <c r="C4839" t="s" s="834">
        <v>1010</v>
      </c>
      <c r="D4839" s="835">
        <v>46034</v>
      </c>
      <c r="E4839" s="836">
        <v>1.360601851851852</v>
      </c>
      <c r="F4839" s="836">
        <v>1.775798611111111</v>
      </c>
      <c r="G4839" s="570"/>
      <c r="H4839" s="570"/>
      <c r="I4839" s="570"/>
      <c r="J4839" s="570"/>
      <c r="K4839" s="570"/>
    </row>
    <row r="4840" ht="13.75" customHeight="1">
      <c r="A4840" t="s" s="834">
        <v>3325</v>
      </c>
      <c r="B4840" t="s" s="834">
        <v>3326</v>
      </c>
      <c r="C4840" t="s" s="834">
        <v>1124</v>
      </c>
      <c r="D4840" s="570"/>
      <c r="E4840" s="570"/>
      <c r="F4840" s="570"/>
      <c r="G4840" s="570"/>
      <c r="H4840" s="570"/>
      <c r="I4840" s="570"/>
      <c r="J4840" s="570"/>
      <c r="K4840" s="570"/>
    </row>
    <row r="4841" ht="13.75" customHeight="1">
      <c r="A4841" s="833">
        <v>267</v>
      </c>
      <c r="B4841" t="s" s="834">
        <v>3311</v>
      </c>
      <c r="C4841" t="s" s="834">
        <v>1010</v>
      </c>
      <c r="D4841" s="835">
        <v>46035</v>
      </c>
      <c r="E4841" t="s" s="834">
        <v>478</v>
      </c>
      <c r="F4841" t="s" s="834">
        <v>478</v>
      </c>
      <c r="G4841" s="570"/>
      <c r="H4841" s="570"/>
      <c r="I4841" s="570"/>
      <c r="J4841" s="570"/>
      <c r="K4841" s="570"/>
    </row>
    <row r="4842" ht="13.75" customHeight="1">
      <c r="A4842" s="833">
        <v>267</v>
      </c>
      <c r="B4842" t="s" s="834">
        <v>3311</v>
      </c>
      <c r="C4842" t="s" s="834">
        <v>1010</v>
      </c>
      <c r="D4842" s="835">
        <v>46036</v>
      </c>
      <c r="E4842" s="836">
        <v>1.368715277777778</v>
      </c>
      <c r="F4842" s="836">
        <v>1.790092592592593</v>
      </c>
      <c r="G4842" s="570"/>
      <c r="H4842" s="570"/>
      <c r="I4842" s="570"/>
      <c r="J4842" s="570"/>
      <c r="K4842" s="570"/>
    </row>
    <row r="4843" ht="13.75" customHeight="1">
      <c r="A4843" t="s" s="834">
        <v>3327</v>
      </c>
      <c r="B4843" t="s" s="834">
        <v>3328</v>
      </c>
      <c r="C4843" t="s" s="834">
        <v>620</v>
      </c>
      <c r="D4843" s="570"/>
      <c r="E4843" s="570"/>
      <c r="F4843" s="570"/>
      <c r="G4843" s="570"/>
      <c r="H4843" s="570"/>
      <c r="I4843" s="570"/>
      <c r="J4843" s="570"/>
      <c r="K4843" s="570"/>
    </row>
    <row r="4844" ht="13.75" customHeight="1">
      <c r="A4844" s="833">
        <v>267</v>
      </c>
      <c r="B4844" t="s" s="834">
        <v>3311</v>
      </c>
      <c r="C4844" t="s" s="834">
        <v>1010</v>
      </c>
      <c r="D4844" s="835">
        <v>46037</v>
      </c>
      <c r="E4844" s="836">
        <v>1.366527777777778</v>
      </c>
      <c r="F4844" s="836">
        <v>1.877766203703704</v>
      </c>
      <c r="G4844" s="570"/>
      <c r="H4844" s="570"/>
      <c r="I4844" s="570"/>
      <c r="J4844" s="570"/>
      <c r="K4844" s="570"/>
    </row>
    <row r="4845" ht="13.75" customHeight="1">
      <c r="A4845" t="s" s="834">
        <v>3329</v>
      </c>
      <c r="B4845" t="s" s="834">
        <v>3330</v>
      </c>
      <c r="C4845" t="s" s="834">
        <v>2217</v>
      </c>
      <c r="D4845" s="570"/>
      <c r="E4845" s="570"/>
      <c r="F4845" s="570"/>
      <c r="G4845" s="570"/>
      <c r="H4845" s="570"/>
      <c r="I4845" s="570"/>
      <c r="J4845" s="570"/>
      <c r="K4845" s="570"/>
    </row>
    <row r="4846" ht="13.75" customHeight="1">
      <c r="A4846" s="833">
        <v>267</v>
      </c>
      <c r="B4846" t="s" s="834">
        <v>3311</v>
      </c>
      <c r="C4846" t="s" s="834">
        <v>1010</v>
      </c>
      <c r="D4846" s="835">
        <v>46038</v>
      </c>
      <c r="E4846" s="836">
        <v>1.366435185185185</v>
      </c>
      <c r="F4846" s="836">
        <v>1.815</v>
      </c>
      <c r="G4846" s="570"/>
      <c r="H4846" s="570"/>
      <c r="I4846" s="570"/>
      <c r="J4846" s="570"/>
      <c r="K4846" s="570"/>
    </row>
    <row r="4847" ht="13.75" customHeight="1">
      <c r="A4847" t="s" s="834">
        <v>3331</v>
      </c>
      <c r="B4847" t="s" s="834">
        <v>3332</v>
      </c>
      <c r="C4847" t="s" s="834">
        <v>483</v>
      </c>
      <c r="D4847" s="570"/>
      <c r="E4847" s="570"/>
      <c r="F4847" s="570"/>
      <c r="G4847" s="570"/>
      <c r="H4847" s="570"/>
      <c r="I4847" s="570"/>
      <c r="J4847" s="570"/>
      <c r="K4847" s="570"/>
    </row>
    <row r="4848" ht="13.75" customHeight="1">
      <c r="A4848" s="833">
        <v>267</v>
      </c>
      <c r="B4848" t="s" s="834">
        <v>3311</v>
      </c>
      <c r="C4848" t="s" s="834">
        <v>1010</v>
      </c>
      <c r="D4848" s="835">
        <v>46039</v>
      </c>
      <c r="E4848" t="s" s="834">
        <v>478</v>
      </c>
      <c r="F4848" t="s" s="834">
        <v>478</v>
      </c>
      <c r="G4848" s="570"/>
      <c r="H4848" s="570"/>
      <c r="I4848" s="570"/>
      <c r="J4848" s="570"/>
      <c r="K4848" s="570"/>
    </row>
    <row r="4849" ht="13.75" customHeight="1">
      <c r="A4849" s="833">
        <v>267</v>
      </c>
      <c r="B4849" t="s" s="834">
        <v>3311</v>
      </c>
      <c r="C4849" t="s" s="834">
        <v>1010</v>
      </c>
      <c r="D4849" s="835">
        <v>46040</v>
      </c>
      <c r="E4849" t="s" s="834">
        <v>478</v>
      </c>
      <c r="F4849" t="s" s="834">
        <v>478</v>
      </c>
      <c r="G4849" s="570"/>
      <c r="H4849" s="570"/>
      <c r="I4849" s="570"/>
      <c r="J4849" s="570"/>
      <c r="K4849" s="570"/>
    </row>
    <row r="4850" ht="13.75" customHeight="1">
      <c r="A4850" s="833">
        <v>267</v>
      </c>
      <c r="B4850" t="s" s="834">
        <v>3311</v>
      </c>
      <c r="C4850" t="s" s="834">
        <v>1010</v>
      </c>
      <c r="D4850" s="835">
        <v>46041</v>
      </c>
      <c r="E4850" s="836">
        <v>1.359837962962963</v>
      </c>
      <c r="F4850" s="836">
        <v>1.788252314814815</v>
      </c>
      <c r="G4850" s="570"/>
      <c r="H4850" s="570"/>
      <c r="I4850" s="570"/>
      <c r="J4850" s="570"/>
      <c r="K4850" s="570"/>
    </row>
    <row r="4851" ht="13.75" customHeight="1">
      <c r="A4851" t="s" s="834">
        <v>3333</v>
      </c>
      <c r="B4851" t="s" s="834">
        <v>3334</v>
      </c>
      <c r="C4851" t="s" s="834">
        <v>1580</v>
      </c>
      <c r="D4851" s="570"/>
      <c r="E4851" s="570"/>
      <c r="F4851" s="570"/>
      <c r="G4851" s="570"/>
      <c r="H4851" s="570"/>
      <c r="I4851" s="570"/>
      <c r="J4851" s="570"/>
      <c r="K4851" s="570"/>
    </row>
    <row r="4852" ht="13.75" customHeight="1">
      <c r="A4852" s="833">
        <v>267</v>
      </c>
      <c r="B4852" t="s" s="834">
        <v>3311</v>
      </c>
      <c r="C4852" t="s" s="834">
        <v>1010</v>
      </c>
      <c r="D4852" s="835">
        <v>46042</v>
      </c>
      <c r="E4852" s="836">
        <v>1.364386574074074</v>
      </c>
      <c r="F4852" s="836">
        <v>1.829155092592593</v>
      </c>
      <c r="G4852" s="570"/>
      <c r="H4852" s="570"/>
      <c r="I4852" s="570"/>
      <c r="J4852" s="570"/>
      <c r="K4852" s="570"/>
    </row>
    <row r="4853" ht="13.75" customHeight="1">
      <c r="A4853" t="s" s="834">
        <v>3335</v>
      </c>
      <c r="B4853" t="s" s="834">
        <v>3336</v>
      </c>
      <c r="C4853" t="s" s="834">
        <v>1967</v>
      </c>
      <c r="D4853" s="570"/>
      <c r="E4853" s="570"/>
      <c r="F4853" s="570"/>
      <c r="G4853" s="570"/>
      <c r="H4853" s="570"/>
      <c r="I4853" s="570"/>
      <c r="J4853" s="570"/>
      <c r="K4853" s="570"/>
    </row>
    <row r="4854" ht="13.75" customHeight="1">
      <c r="A4854" s="833">
        <v>267</v>
      </c>
      <c r="B4854" t="s" s="834">
        <v>3311</v>
      </c>
      <c r="C4854" t="s" s="834">
        <v>1010</v>
      </c>
      <c r="D4854" s="835">
        <v>46043</v>
      </c>
      <c r="E4854" s="836">
        <v>1.363449074074074</v>
      </c>
      <c r="F4854" s="836">
        <v>1.797696759259259</v>
      </c>
      <c r="G4854" s="570"/>
      <c r="H4854" s="570"/>
      <c r="I4854" s="570"/>
      <c r="J4854" s="570"/>
      <c r="K4854" s="570"/>
    </row>
    <row r="4855" ht="13.75" customHeight="1">
      <c r="A4855" t="s" s="834">
        <v>3337</v>
      </c>
      <c r="B4855" t="s" s="834">
        <v>3338</v>
      </c>
      <c r="C4855" t="s" s="834">
        <v>895</v>
      </c>
      <c r="D4855" s="570"/>
      <c r="E4855" s="570"/>
      <c r="F4855" s="570"/>
      <c r="G4855" s="570"/>
      <c r="H4855" s="570"/>
      <c r="I4855" s="570"/>
      <c r="J4855" s="570"/>
      <c r="K4855" s="570"/>
    </row>
    <row r="4856" ht="13.75" customHeight="1">
      <c r="A4856" s="833">
        <v>267</v>
      </c>
      <c r="B4856" t="s" s="834">
        <v>3311</v>
      </c>
      <c r="C4856" t="s" s="834">
        <v>1010</v>
      </c>
      <c r="D4856" s="835">
        <v>46044</v>
      </c>
      <c r="E4856" s="836">
        <v>1.364618055555556</v>
      </c>
      <c r="F4856" s="836">
        <v>1.791296296296296</v>
      </c>
      <c r="G4856" s="570"/>
      <c r="H4856" s="570"/>
      <c r="I4856" s="570"/>
      <c r="J4856" s="570"/>
      <c r="K4856" s="570"/>
    </row>
    <row r="4857" ht="13.75" customHeight="1">
      <c r="A4857" t="s" s="834">
        <v>3339</v>
      </c>
      <c r="B4857" t="s" s="834">
        <v>3340</v>
      </c>
      <c r="C4857" t="s" s="834">
        <v>1549</v>
      </c>
      <c r="D4857" s="570"/>
      <c r="E4857" s="570"/>
      <c r="F4857" s="570"/>
      <c r="G4857" s="570"/>
      <c r="H4857" s="570"/>
      <c r="I4857" s="570"/>
      <c r="J4857" s="570"/>
      <c r="K4857" s="570"/>
    </row>
    <row r="4858" ht="13.75" customHeight="1">
      <c r="A4858" s="833">
        <v>267</v>
      </c>
      <c r="B4858" t="s" s="834">
        <v>3311</v>
      </c>
      <c r="C4858" t="s" s="834">
        <v>1010</v>
      </c>
      <c r="D4858" s="835">
        <v>46045</v>
      </c>
      <c r="E4858" t="s" s="834">
        <v>478</v>
      </c>
      <c r="F4858" t="s" s="834">
        <v>478</v>
      </c>
      <c r="G4858" s="570"/>
      <c r="H4858" s="570"/>
      <c r="I4858" s="570"/>
      <c r="J4858" s="570"/>
      <c r="K4858" s="570"/>
    </row>
    <row r="4859" ht="13.75" customHeight="1">
      <c r="A4859" s="833">
        <v>267</v>
      </c>
      <c r="B4859" t="s" s="834">
        <v>3311</v>
      </c>
      <c r="C4859" t="s" s="834">
        <v>1010</v>
      </c>
      <c r="D4859" s="835">
        <v>46046</v>
      </c>
      <c r="E4859" t="s" s="834">
        <v>478</v>
      </c>
      <c r="F4859" t="s" s="834">
        <v>478</v>
      </c>
      <c r="G4859" s="570"/>
      <c r="H4859" s="570"/>
      <c r="I4859" s="570"/>
      <c r="J4859" s="570"/>
      <c r="K4859" s="570"/>
    </row>
    <row r="4860" ht="13.75" customHeight="1">
      <c r="A4860" s="833">
        <v>267</v>
      </c>
      <c r="B4860" t="s" s="834">
        <v>3311</v>
      </c>
      <c r="C4860" t="s" s="834">
        <v>1010</v>
      </c>
      <c r="D4860" s="835">
        <v>46047</v>
      </c>
      <c r="E4860" t="s" s="834">
        <v>478</v>
      </c>
      <c r="F4860" t="s" s="834">
        <v>478</v>
      </c>
      <c r="G4860" s="570"/>
      <c r="H4860" s="570"/>
      <c r="I4860" s="570"/>
      <c r="J4860" s="570"/>
      <c r="K4860" s="570"/>
    </row>
    <row r="4861" ht="13.75" customHeight="1">
      <c r="A4861" s="833">
        <v>267</v>
      </c>
      <c r="B4861" t="s" s="834">
        <v>3311</v>
      </c>
      <c r="C4861" t="s" s="834">
        <v>1010</v>
      </c>
      <c r="D4861" s="835">
        <v>46048</v>
      </c>
      <c r="E4861" t="s" s="834">
        <v>478</v>
      </c>
      <c r="F4861" t="s" s="834">
        <v>478</v>
      </c>
      <c r="G4861" s="570"/>
      <c r="H4861" s="570"/>
      <c r="I4861" s="570"/>
      <c r="J4861" s="570"/>
      <c r="K4861" s="570"/>
    </row>
    <row r="4862" ht="13.75" customHeight="1">
      <c r="A4862" s="833">
        <v>267</v>
      </c>
      <c r="B4862" t="s" s="834">
        <v>3311</v>
      </c>
      <c r="C4862" t="s" s="834">
        <v>1010</v>
      </c>
      <c r="D4862" s="835">
        <v>46049</v>
      </c>
      <c r="E4862" t="s" s="834">
        <v>478</v>
      </c>
      <c r="F4862" t="s" s="834">
        <v>478</v>
      </c>
      <c r="G4862" s="570"/>
      <c r="H4862" s="570"/>
      <c r="I4862" s="570"/>
      <c r="J4862" s="570"/>
      <c r="K4862" s="570"/>
    </row>
    <row r="4863" ht="13.75" customHeight="1">
      <c r="A4863" s="833">
        <v>267</v>
      </c>
      <c r="B4863" t="s" s="834">
        <v>3311</v>
      </c>
      <c r="C4863" t="s" s="834">
        <v>1010</v>
      </c>
      <c r="D4863" s="835">
        <v>46050</v>
      </c>
      <c r="E4863" s="836">
        <v>1.360844907407407</v>
      </c>
      <c r="F4863" s="836">
        <v>1.785381944444445</v>
      </c>
      <c r="G4863" s="570"/>
      <c r="H4863" s="570"/>
      <c r="I4863" s="570"/>
      <c r="J4863" s="570"/>
      <c r="K4863" s="570"/>
    </row>
    <row r="4864" ht="13.75" customHeight="1">
      <c r="A4864" t="s" s="834">
        <v>3341</v>
      </c>
      <c r="B4864" t="s" s="834">
        <v>3342</v>
      </c>
      <c r="C4864" t="s" s="834">
        <v>623</v>
      </c>
      <c r="D4864" s="570"/>
      <c r="E4864" s="570"/>
      <c r="F4864" s="570"/>
      <c r="G4864" s="570"/>
      <c r="H4864" s="570"/>
      <c r="I4864" s="570"/>
      <c r="J4864" s="570"/>
      <c r="K4864" s="570"/>
    </row>
    <row r="4865" ht="13.75" customHeight="1">
      <c r="A4865" s="833">
        <v>267</v>
      </c>
      <c r="B4865" t="s" s="834">
        <v>3311</v>
      </c>
      <c r="C4865" t="s" s="834">
        <v>1010</v>
      </c>
      <c r="D4865" s="835">
        <v>46051</v>
      </c>
      <c r="E4865" s="836">
        <v>1.365902777777778</v>
      </c>
      <c r="F4865" s="836">
        <v>1.8353125</v>
      </c>
      <c r="G4865" s="570"/>
      <c r="H4865" s="570"/>
      <c r="I4865" s="570"/>
      <c r="J4865" s="570"/>
      <c r="K4865" s="570"/>
    </row>
    <row r="4866" ht="13.75" customHeight="1">
      <c r="A4866" t="s" s="834">
        <v>3343</v>
      </c>
      <c r="B4866" t="s" s="834">
        <v>3344</v>
      </c>
      <c r="C4866" t="s" s="834">
        <v>3345</v>
      </c>
      <c r="D4866" s="570"/>
      <c r="E4866" s="570"/>
      <c r="F4866" s="570"/>
      <c r="G4866" s="570"/>
      <c r="H4866" s="570"/>
      <c r="I4866" s="570"/>
      <c r="J4866" s="570"/>
      <c r="K4866" s="570"/>
    </row>
    <row r="4867" ht="13.75" customHeight="1">
      <c r="A4867" s="833">
        <v>267</v>
      </c>
      <c r="B4867" t="s" s="834">
        <v>3311</v>
      </c>
      <c r="C4867" t="s" s="834">
        <v>1010</v>
      </c>
      <c r="D4867" s="835">
        <v>46052</v>
      </c>
      <c r="E4867" s="836">
        <v>1.362928240740741</v>
      </c>
      <c r="F4867" s="836">
        <v>1.824965277777778</v>
      </c>
      <c r="G4867" s="570"/>
      <c r="H4867" s="570"/>
      <c r="I4867" s="570"/>
      <c r="J4867" s="570"/>
      <c r="K4867" s="570"/>
    </row>
    <row r="4868" ht="13.75" customHeight="1">
      <c r="A4868" t="s" s="834">
        <v>3346</v>
      </c>
      <c r="B4868" t="s" s="834">
        <v>3347</v>
      </c>
      <c r="C4868" t="s" s="834">
        <v>3348</v>
      </c>
      <c r="D4868" s="570"/>
      <c r="E4868" s="570"/>
      <c r="F4868" s="570"/>
      <c r="G4868" s="570"/>
      <c r="H4868" s="570"/>
      <c r="I4868" s="570"/>
      <c r="J4868" s="570"/>
      <c r="K4868" s="570"/>
    </row>
    <row r="4869" ht="13.75" customHeight="1">
      <c r="A4869" s="833">
        <v>267</v>
      </c>
      <c r="B4869" t="s" s="834">
        <v>3311</v>
      </c>
      <c r="C4869" t="s" s="834">
        <v>1010</v>
      </c>
      <c r="D4869" s="835">
        <v>46053</v>
      </c>
      <c r="E4869" t="s" s="834">
        <v>478</v>
      </c>
      <c r="F4869" t="s" s="834">
        <v>478</v>
      </c>
      <c r="G4869" s="570"/>
      <c r="H4869" s="570"/>
      <c r="I4869" s="570"/>
      <c r="J4869" s="570"/>
      <c r="K4869" s="570"/>
    </row>
    <row r="4870" ht="13.75" customHeight="1">
      <c r="A4870" s="833">
        <v>267</v>
      </c>
      <c r="B4870" t="s" s="834">
        <v>3311</v>
      </c>
      <c r="C4870" t="s" s="834">
        <v>1010</v>
      </c>
      <c r="D4870" s="835">
        <v>46054</v>
      </c>
      <c r="E4870" t="s" s="834">
        <v>478</v>
      </c>
      <c r="F4870" t="s" s="834">
        <v>478</v>
      </c>
      <c r="G4870" s="570"/>
      <c r="H4870" s="570"/>
      <c r="I4870" s="570"/>
      <c r="J4870" s="570"/>
      <c r="K4870" s="570"/>
    </row>
    <row r="4871" ht="13.75" customHeight="1">
      <c r="A4871" s="833">
        <v>268</v>
      </c>
      <c r="B4871" t="s" s="834">
        <v>3349</v>
      </c>
      <c r="C4871" t="s" s="834">
        <v>1010</v>
      </c>
      <c r="D4871" s="835">
        <v>46023</v>
      </c>
      <c r="E4871" t="s" s="834">
        <v>478</v>
      </c>
      <c r="F4871" t="s" s="834">
        <v>478</v>
      </c>
      <c r="G4871" s="570"/>
      <c r="H4871" s="570"/>
      <c r="I4871" s="570"/>
      <c r="J4871" s="570"/>
      <c r="K4871" s="570"/>
    </row>
    <row r="4872" ht="13.75" customHeight="1">
      <c r="A4872" s="833">
        <v>268</v>
      </c>
      <c r="B4872" t="s" s="834">
        <v>3349</v>
      </c>
      <c r="C4872" t="s" s="834">
        <v>1010</v>
      </c>
      <c r="D4872" s="835">
        <v>46024</v>
      </c>
      <c r="E4872" t="s" s="834">
        <v>478</v>
      </c>
      <c r="F4872" t="s" s="834">
        <v>478</v>
      </c>
      <c r="G4872" s="570"/>
      <c r="H4872" s="570"/>
      <c r="I4872" s="570"/>
      <c r="J4872" s="570"/>
      <c r="K4872" s="570"/>
    </row>
    <row r="4873" ht="13.75" customHeight="1">
      <c r="A4873" s="833">
        <v>268</v>
      </c>
      <c r="B4873" t="s" s="834">
        <v>3349</v>
      </c>
      <c r="C4873" t="s" s="834">
        <v>1010</v>
      </c>
      <c r="D4873" s="835">
        <v>46025</v>
      </c>
      <c r="E4873" t="s" s="834">
        <v>478</v>
      </c>
      <c r="F4873" t="s" s="834">
        <v>478</v>
      </c>
      <c r="G4873" s="570"/>
      <c r="H4873" s="570"/>
      <c r="I4873" s="570"/>
      <c r="J4873" s="570"/>
      <c r="K4873" s="570"/>
    </row>
    <row r="4874" ht="13.75" customHeight="1">
      <c r="A4874" s="833">
        <v>268</v>
      </c>
      <c r="B4874" t="s" s="834">
        <v>3349</v>
      </c>
      <c r="C4874" t="s" s="834">
        <v>1010</v>
      </c>
      <c r="D4874" s="835">
        <v>46026</v>
      </c>
      <c r="E4874" t="s" s="834">
        <v>478</v>
      </c>
      <c r="F4874" t="s" s="834">
        <v>478</v>
      </c>
      <c r="G4874" s="570"/>
      <c r="H4874" s="570"/>
      <c r="I4874" s="570"/>
      <c r="J4874" s="570"/>
      <c r="K4874" s="570"/>
    </row>
    <row r="4875" ht="13.75" customHeight="1">
      <c r="A4875" s="833">
        <v>268</v>
      </c>
      <c r="B4875" t="s" s="834">
        <v>3349</v>
      </c>
      <c r="C4875" t="s" s="834">
        <v>1010</v>
      </c>
      <c r="D4875" s="835">
        <v>46027</v>
      </c>
      <c r="E4875" s="836">
        <v>1.374166666666667</v>
      </c>
      <c r="F4875" s="836">
        <v>1.770763888888889</v>
      </c>
      <c r="G4875" s="570"/>
      <c r="H4875" s="570"/>
      <c r="I4875" s="570"/>
      <c r="J4875" s="570"/>
      <c r="K4875" s="570"/>
    </row>
    <row r="4876" ht="13.75" customHeight="1">
      <c r="A4876" t="s" s="834">
        <v>3350</v>
      </c>
      <c r="B4876" t="s" s="834">
        <v>3351</v>
      </c>
      <c r="C4876" t="s" s="834">
        <v>683</v>
      </c>
      <c r="D4876" s="570"/>
      <c r="E4876" s="570"/>
      <c r="F4876" s="570"/>
      <c r="G4876" s="570"/>
      <c r="H4876" s="570"/>
      <c r="I4876" s="570"/>
      <c r="J4876" s="570"/>
      <c r="K4876" s="570"/>
    </row>
    <row r="4877" ht="13.75" customHeight="1">
      <c r="A4877" s="833">
        <v>268</v>
      </c>
      <c r="B4877" t="s" s="834">
        <v>3349</v>
      </c>
      <c r="C4877" t="s" s="834">
        <v>1010</v>
      </c>
      <c r="D4877" s="835">
        <v>46028</v>
      </c>
      <c r="E4877" s="836">
        <v>1.378506944444444</v>
      </c>
      <c r="F4877" s="836">
        <v>1.769560185185185</v>
      </c>
      <c r="G4877" s="570"/>
      <c r="H4877" s="570"/>
      <c r="I4877" s="570"/>
      <c r="J4877" s="570"/>
      <c r="K4877" s="570"/>
    </row>
    <row r="4878" ht="13.75" customHeight="1">
      <c r="A4878" t="s" s="834">
        <v>3352</v>
      </c>
      <c r="B4878" t="s" s="834">
        <v>3353</v>
      </c>
      <c r="C4878" t="s" s="834">
        <v>668</v>
      </c>
      <c r="D4878" s="570"/>
      <c r="E4878" s="570"/>
      <c r="F4878" s="570"/>
      <c r="G4878" s="570"/>
      <c r="H4878" s="570"/>
      <c r="I4878" s="570"/>
      <c r="J4878" s="570"/>
      <c r="K4878" s="570"/>
    </row>
    <row r="4879" ht="13.75" customHeight="1">
      <c r="A4879" s="833">
        <v>268</v>
      </c>
      <c r="B4879" t="s" s="834">
        <v>3349</v>
      </c>
      <c r="C4879" t="s" s="834">
        <v>1010</v>
      </c>
      <c r="D4879" s="835">
        <v>46029</v>
      </c>
      <c r="E4879" s="836">
        <v>1.387002314814815</v>
      </c>
      <c r="F4879" s="836">
        <v>1.794652777777778</v>
      </c>
      <c r="G4879" s="570"/>
      <c r="H4879" s="570"/>
      <c r="I4879" s="570"/>
      <c r="J4879" s="570"/>
      <c r="K4879" s="570"/>
    </row>
    <row r="4880" ht="13.75" customHeight="1">
      <c r="A4880" t="s" s="834">
        <v>3354</v>
      </c>
      <c r="B4880" t="s" s="834">
        <v>3355</v>
      </c>
      <c r="C4880" t="s" s="834">
        <v>882</v>
      </c>
      <c r="D4880" s="570"/>
      <c r="E4880" s="570"/>
      <c r="F4880" s="570"/>
      <c r="G4880" s="570"/>
      <c r="H4880" s="570"/>
      <c r="I4880" s="570"/>
      <c r="J4880" s="570"/>
      <c r="K4880" s="570"/>
    </row>
    <row r="4881" ht="13.75" customHeight="1">
      <c r="A4881" s="833">
        <v>268</v>
      </c>
      <c r="B4881" t="s" s="834">
        <v>3349</v>
      </c>
      <c r="C4881" t="s" s="834">
        <v>1010</v>
      </c>
      <c r="D4881" s="835">
        <v>46030</v>
      </c>
      <c r="E4881" s="836">
        <v>1.369525462962963</v>
      </c>
      <c r="F4881" s="836">
        <v>1.848414351851852</v>
      </c>
      <c r="G4881" s="570"/>
      <c r="H4881" s="570"/>
      <c r="I4881" s="570"/>
      <c r="J4881" s="570"/>
      <c r="K4881" s="570"/>
    </row>
    <row r="4882" ht="13.75" customHeight="1">
      <c r="A4882" t="s" s="834">
        <v>3356</v>
      </c>
      <c r="B4882" t="s" s="834">
        <v>3357</v>
      </c>
      <c r="C4882" t="s" s="834">
        <v>2488</v>
      </c>
      <c r="D4882" s="570"/>
      <c r="E4882" s="570"/>
      <c r="F4882" s="570"/>
      <c r="G4882" s="570"/>
      <c r="H4882" s="570"/>
      <c r="I4882" s="570"/>
      <c r="J4882" s="570"/>
      <c r="K4882" s="570"/>
    </row>
    <row r="4883" ht="13.75" customHeight="1">
      <c r="A4883" s="833">
        <v>268</v>
      </c>
      <c r="B4883" t="s" s="834">
        <v>3349</v>
      </c>
      <c r="C4883" t="s" s="834">
        <v>1010</v>
      </c>
      <c r="D4883" s="835">
        <v>46031</v>
      </c>
      <c r="E4883" s="836">
        <v>1.375787037037037</v>
      </c>
      <c r="F4883" s="836">
        <v>1.804085648148148</v>
      </c>
      <c r="G4883" s="570"/>
      <c r="H4883" s="570"/>
      <c r="I4883" s="570"/>
      <c r="J4883" s="570"/>
      <c r="K4883" s="570"/>
    </row>
    <row r="4884" ht="13.75" customHeight="1">
      <c r="A4884" t="s" s="834">
        <v>3358</v>
      </c>
      <c r="B4884" t="s" s="834">
        <v>3359</v>
      </c>
      <c r="C4884" t="s" s="834">
        <v>1580</v>
      </c>
      <c r="D4884" s="570"/>
      <c r="E4884" s="570"/>
      <c r="F4884" s="570"/>
      <c r="G4884" s="570"/>
      <c r="H4884" s="570"/>
      <c r="I4884" s="570"/>
      <c r="J4884" s="570"/>
      <c r="K4884" s="570"/>
    </row>
    <row r="4885" ht="13.75" customHeight="1">
      <c r="A4885" s="833">
        <v>268</v>
      </c>
      <c r="B4885" t="s" s="834">
        <v>3349</v>
      </c>
      <c r="C4885" t="s" s="834">
        <v>1010</v>
      </c>
      <c r="D4885" s="835">
        <v>46032</v>
      </c>
      <c r="E4885" s="836">
        <v>1.370983796296296</v>
      </c>
      <c r="F4885" s="836">
        <v>1.807708333333333</v>
      </c>
      <c r="G4885" s="570"/>
      <c r="H4885" s="570"/>
      <c r="I4885" s="570"/>
      <c r="J4885" s="570"/>
      <c r="K4885" s="570"/>
    </row>
    <row r="4886" ht="13.75" customHeight="1">
      <c r="A4886" t="s" s="834">
        <v>3360</v>
      </c>
      <c r="B4886" t="s" s="834">
        <v>3361</v>
      </c>
      <c r="C4886" t="s" s="834">
        <v>500</v>
      </c>
      <c r="D4886" s="570"/>
      <c r="E4886" s="570"/>
      <c r="F4886" s="570"/>
      <c r="G4886" s="570"/>
      <c r="H4886" s="570"/>
      <c r="I4886" s="570"/>
      <c r="J4886" s="570"/>
      <c r="K4886" s="570"/>
    </row>
    <row r="4887" ht="13.75" customHeight="1">
      <c r="A4887" s="833">
        <v>268</v>
      </c>
      <c r="B4887" t="s" s="834">
        <v>3349</v>
      </c>
      <c r="C4887" t="s" s="834">
        <v>1010</v>
      </c>
      <c r="D4887" s="835">
        <v>46033</v>
      </c>
      <c r="E4887" t="s" s="834">
        <v>478</v>
      </c>
      <c r="F4887" t="s" s="834">
        <v>478</v>
      </c>
      <c r="G4887" s="570"/>
      <c r="H4887" s="570"/>
      <c r="I4887" s="570"/>
      <c r="J4887" s="570"/>
      <c r="K4887" s="570"/>
    </row>
    <row r="4888" ht="13.75" customHeight="1">
      <c r="A4888" s="833">
        <v>268</v>
      </c>
      <c r="B4888" t="s" s="834">
        <v>3349</v>
      </c>
      <c r="C4888" t="s" s="834">
        <v>1010</v>
      </c>
      <c r="D4888" s="835">
        <v>46034</v>
      </c>
      <c r="E4888" s="836">
        <v>1.367199074074074</v>
      </c>
      <c r="F4888" s="836">
        <v>1.775694444444444</v>
      </c>
      <c r="G4888" s="570"/>
      <c r="H4888" s="570"/>
      <c r="I4888" s="570"/>
      <c r="J4888" s="570"/>
      <c r="K4888" s="570"/>
    </row>
    <row r="4889" ht="13.75" customHeight="1">
      <c r="A4889" t="s" s="834">
        <v>3362</v>
      </c>
      <c r="B4889" t="s" s="834">
        <v>3363</v>
      </c>
      <c r="C4889" t="s" s="834">
        <v>1330</v>
      </c>
      <c r="D4889" s="570"/>
      <c r="E4889" s="570"/>
      <c r="F4889" s="570"/>
      <c r="G4889" s="570"/>
      <c r="H4889" s="570"/>
      <c r="I4889" s="570"/>
      <c r="J4889" s="570"/>
      <c r="K4889" s="570"/>
    </row>
    <row r="4890" ht="13.75" customHeight="1">
      <c r="A4890" s="833">
        <v>268</v>
      </c>
      <c r="B4890" t="s" s="834">
        <v>3349</v>
      </c>
      <c r="C4890" t="s" s="834">
        <v>1010</v>
      </c>
      <c r="D4890" s="835">
        <v>46035</v>
      </c>
      <c r="E4890" s="836">
        <v>1.363981481481481</v>
      </c>
      <c r="F4890" s="836">
        <v>1.805138888888889</v>
      </c>
      <c r="G4890" s="570"/>
      <c r="H4890" s="570"/>
      <c r="I4890" s="570"/>
      <c r="J4890" s="570"/>
      <c r="K4890" s="570"/>
    </row>
    <row r="4891" ht="13.75" customHeight="1">
      <c r="A4891" t="s" s="834">
        <v>3364</v>
      </c>
      <c r="B4891" t="s" s="834">
        <v>3365</v>
      </c>
      <c r="C4891" t="s" s="834">
        <v>1834</v>
      </c>
      <c r="D4891" s="570"/>
      <c r="E4891" s="570"/>
      <c r="F4891" s="570"/>
      <c r="G4891" s="570"/>
      <c r="H4891" s="570"/>
      <c r="I4891" s="570"/>
      <c r="J4891" s="570"/>
      <c r="K4891" s="570"/>
    </row>
    <row r="4892" ht="13.75" customHeight="1">
      <c r="A4892" s="833">
        <v>268</v>
      </c>
      <c r="B4892" t="s" s="834">
        <v>3349</v>
      </c>
      <c r="C4892" t="s" s="834">
        <v>1010</v>
      </c>
      <c r="D4892" s="835">
        <v>46036</v>
      </c>
      <c r="E4892" s="836">
        <v>1.370775462962963</v>
      </c>
      <c r="F4892" s="836">
        <v>1.790115740740741</v>
      </c>
      <c r="G4892" s="570"/>
      <c r="H4892" s="570"/>
      <c r="I4892" s="570"/>
      <c r="J4892" s="570"/>
      <c r="K4892" s="570"/>
    </row>
    <row r="4893" ht="13.75" customHeight="1">
      <c r="A4893" t="s" s="834">
        <v>3366</v>
      </c>
      <c r="B4893" t="s" s="834">
        <v>3367</v>
      </c>
      <c r="C4893" t="s" s="834">
        <v>1016</v>
      </c>
      <c r="D4893" s="570"/>
      <c r="E4893" s="570"/>
      <c r="F4893" s="570"/>
      <c r="G4893" s="570"/>
      <c r="H4893" s="570"/>
      <c r="I4893" s="570"/>
      <c r="J4893" s="570"/>
      <c r="K4893" s="570"/>
    </row>
    <row r="4894" ht="13.75" customHeight="1">
      <c r="A4894" s="833">
        <v>268</v>
      </c>
      <c r="B4894" t="s" s="834">
        <v>3349</v>
      </c>
      <c r="C4894" t="s" s="834">
        <v>1010</v>
      </c>
      <c r="D4894" s="835">
        <v>46037</v>
      </c>
      <c r="E4894" s="836">
        <v>1.372164351851852</v>
      </c>
      <c r="F4894" s="836">
        <v>1.8496875</v>
      </c>
      <c r="G4894" s="570"/>
      <c r="H4894" s="570"/>
      <c r="I4894" s="570"/>
      <c r="J4894" s="570"/>
      <c r="K4894" s="570"/>
    </row>
    <row r="4895" ht="13.75" customHeight="1">
      <c r="A4895" t="s" s="834">
        <v>3368</v>
      </c>
      <c r="B4895" t="s" s="834">
        <v>3369</v>
      </c>
      <c r="C4895" t="s" s="834">
        <v>1818</v>
      </c>
      <c r="D4895" s="570"/>
      <c r="E4895" s="570"/>
      <c r="F4895" s="570"/>
      <c r="G4895" s="570"/>
      <c r="H4895" s="570"/>
      <c r="I4895" s="570"/>
      <c r="J4895" s="570"/>
      <c r="K4895" s="570"/>
    </row>
    <row r="4896" ht="13.75" customHeight="1">
      <c r="A4896" s="833">
        <v>268</v>
      </c>
      <c r="B4896" t="s" s="834">
        <v>3349</v>
      </c>
      <c r="C4896" t="s" s="834">
        <v>1010</v>
      </c>
      <c r="D4896" s="835">
        <v>46038</v>
      </c>
      <c r="E4896" s="836">
        <v>1.373159722222222</v>
      </c>
      <c r="F4896" s="836">
        <v>1.7625</v>
      </c>
      <c r="G4896" s="570"/>
      <c r="H4896" s="570"/>
      <c r="I4896" s="570"/>
      <c r="J4896" s="570"/>
      <c r="K4896" s="570"/>
    </row>
    <row r="4897" ht="13.75" customHeight="1">
      <c r="A4897" t="s" s="834">
        <v>3370</v>
      </c>
      <c r="B4897" t="s" s="834">
        <v>3371</v>
      </c>
      <c r="C4897" t="s" s="834">
        <v>979</v>
      </c>
      <c r="D4897" s="570"/>
      <c r="E4897" s="570"/>
      <c r="F4897" s="570"/>
      <c r="G4897" s="570"/>
      <c r="H4897" s="570"/>
      <c r="I4897" s="570"/>
      <c r="J4897" s="570"/>
      <c r="K4897" s="570"/>
    </row>
    <row r="4898" ht="13.75" customHeight="1">
      <c r="A4898" s="833">
        <v>268</v>
      </c>
      <c r="B4898" t="s" s="834">
        <v>3349</v>
      </c>
      <c r="C4898" t="s" s="834">
        <v>1010</v>
      </c>
      <c r="D4898" s="835">
        <v>46039</v>
      </c>
      <c r="E4898" t="s" s="834">
        <v>478</v>
      </c>
      <c r="F4898" t="s" s="834">
        <v>478</v>
      </c>
      <c r="G4898" s="570"/>
      <c r="H4898" s="570"/>
      <c r="I4898" s="570"/>
      <c r="J4898" s="570"/>
      <c r="K4898" s="570"/>
    </row>
    <row r="4899" ht="13.75" customHeight="1">
      <c r="A4899" s="833">
        <v>268</v>
      </c>
      <c r="B4899" t="s" s="834">
        <v>3349</v>
      </c>
      <c r="C4899" t="s" s="834">
        <v>1010</v>
      </c>
      <c r="D4899" s="835">
        <v>46040</v>
      </c>
      <c r="E4899" t="s" s="834">
        <v>478</v>
      </c>
      <c r="F4899" t="s" s="834">
        <v>478</v>
      </c>
      <c r="G4899" s="570"/>
      <c r="H4899" s="570"/>
      <c r="I4899" s="570"/>
      <c r="J4899" s="570"/>
      <c r="K4899" s="570"/>
    </row>
    <row r="4900" ht="13.75" customHeight="1">
      <c r="A4900" s="833">
        <v>268</v>
      </c>
      <c r="B4900" t="s" s="834">
        <v>3349</v>
      </c>
      <c r="C4900" t="s" s="834">
        <v>1010</v>
      </c>
      <c r="D4900" s="835">
        <v>46041</v>
      </c>
      <c r="E4900" s="836">
        <v>1.371469907407407</v>
      </c>
      <c r="F4900" s="836">
        <v>1.506493055555556</v>
      </c>
      <c r="G4900" s="570"/>
      <c r="H4900" s="570"/>
      <c r="I4900" s="570"/>
      <c r="J4900" s="570"/>
      <c r="K4900" s="570"/>
    </row>
    <row r="4901" ht="13.75" customHeight="1">
      <c r="A4901" t="s" s="834">
        <v>3372</v>
      </c>
      <c r="B4901" t="s" s="834">
        <v>3373</v>
      </c>
      <c r="C4901" t="s" s="834">
        <v>3053</v>
      </c>
      <c r="D4901" s="570"/>
      <c r="E4901" s="570"/>
      <c r="F4901" s="570"/>
      <c r="G4901" s="570"/>
      <c r="H4901" s="570"/>
      <c r="I4901" s="570"/>
      <c r="J4901" s="570"/>
      <c r="K4901" s="570"/>
    </row>
    <row r="4902" ht="13.75" customHeight="1">
      <c r="A4902" s="833">
        <v>268</v>
      </c>
      <c r="B4902" t="s" s="834">
        <v>3349</v>
      </c>
      <c r="C4902" t="s" s="834">
        <v>1010</v>
      </c>
      <c r="D4902" s="835">
        <v>46042</v>
      </c>
      <c r="E4902" s="836">
        <v>1.372222222222222</v>
      </c>
      <c r="F4902" s="836">
        <v>1.75244212962963</v>
      </c>
      <c r="G4902" s="570"/>
      <c r="H4902" s="570"/>
      <c r="I4902" s="570"/>
      <c r="J4902" s="570"/>
      <c r="K4902" s="570"/>
    </row>
    <row r="4903" ht="13.75" customHeight="1">
      <c r="A4903" t="s" s="834">
        <v>3374</v>
      </c>
      <c r="B4903" t="s" s="834">
        <v>3375</v>
      </c>
      <c r="C4903" t="s" s="834">
        <v>537</v>
      </c>
      <c r="D4903" s="570"/>
      <c r="E4903" s="570"/>
      <c r="F4903" s="570"/>
      <c r="G4903" s="570"/>
      <c r="H4903" s="570"/>
      <c r="I4903" s="570"/>
      <c r="J4903" s="570"/>
      <c r="K4903" s="570"/>
    </row>
    <row r="4904" ht="13.75" customHeight="1">
      <c r="A4904" s="833">
        <v>268</v>
      </c>
      <c r="B4904" t="s" s="834">
        <v>3349</v>
      </c>
      <c r="C4904" t="s" s="834">
        <v>1010</v>
      </c>
      <c r="D4904" s="835">
        <v>46043</v>
      </c>
      <c r="E4904" s="836">
        <v>1.371412037037037</v>
      </c>
      <c r="F4904" s="836">
        <v>1.774537037037037</v>
      </c>
      <c r="G4904" s="570"/>
      <c r="H4904" s="570"/>
      <c r="I4904" s="570"/>
      <c r="J4904" s="570"/>
      <c r="K4904" s="570"/>
    </row>
    <row r="4905" ht="13.75" customHeight="1">
      <c r="A4905" t="s" s="834">
        <v>3376</v>
      </c>
      <c r="B4905" t="s" s="834">
        <v>3377</v>
      </c>
      <c r="C4905" t="s" s="834">
        <v>590</v>
      </c>
      <c r="D4905" s="570"/>
      <c r="E4905" s="570"/>
      <c r="F4905" s="570"/>
      <c r="G4905" s="570"/>
      <c r="H4905" s="570"/>
      <c r="I4905" s="570"/>
      <c r="J4905" s="570"/>
      <c r="K4905" s="570"/>
    </row>
    <row r="4906" ht="13.75" customHeight="1">
      <c r="A4906" s="833">
        <v>268</v>
      </c>
      <c r="B4906" t="s" s="834">
        <v>3349</v>
      </c>
      <c r="C4906" t="s" s="834">
        <v>1010</v>
      </c>
      <c r="D4906" s="835">
        <v>46044</v>
      </c>
      <c r="E4906" s="836">
        <v>1.372893518518518</v>
      </c>
      <c r="F4906" s="836">
        <v>1.791319444444444</v>
      </c>
      <c r="G4906" s="570"/>
      <c r="H4906" s="570"/>
      <c r="I4906" s="570"/>
      <c r="J4906" s="570"/>
      <c r="K4906" s="570"/>
    </row>
    <row r="4907" ht="13.75" customHeight="1">
      <c r="A4907" t="s" s="834">
        <v>3378</v>
      </c>
      <c r="B4907" t="s" s="834">
        <v>3379</v>
      </c>
      <c r="C4907" t="s" s="834">
        <v>1280</v>
      </c>
      <c r="D4907" s="570"/>
      <c r="E4907" s="570"/>
      <c r="F4907" s="570"/>
      <c r="G4907" s="570"/>
      <c r="H4907" s="570"/>
      <c r="I4907" s="570"/>
      <c r="J4907" s="570"/>
      <c r="K4907" s="570"/>
    </row>
    <row r="4908" ht="13.75" customHeight="1">
      <c r="A4908" s="833">
        <v>268</v>
      </c>
      <c r="B4908" t="s" s="834">
        <v>3349</v>
      </c>
      <c r="C4908" t="s" s="834">
        <v>1010</v>
      </c>
      <c r="D4908" s="835">
        <v>46045</v>
      </c>
      <c r="E4908" s="836">
        <v>1.367627314814815</v>
      </c>
      <c r="F4908" s="836">
        <v>1.835173611111111</v>
      </c>
      <c r="G4908" s="570"/>
      <c r="H4908" s="570"/>
      <c r="I4908" s="570"/>
      <c r="J4908" s="570"/>
      <c r="K4908" s="570"/>
    </row>
    <row r="4909" ht="13.75" customHeight="1">
      <c r="A4909" t="s" s="834">
        <v>3380</v>
      </c>
      <c r="B4909" t="s" s="834">
        <v>3381</v>
      </c>
      <c r="C4909" t="s" s="834">
        <v>2195</v>
      </c>
      <c r="D4909" s="570"/>
      <c r="E4909" s="570"/>
      <c r="F4909" s="570"/>
      <c r="G4909" s="570"/>
      <c r="H4909" s="570"/>
      <c r="I4909" s="570"/>
      <c r="J4909" s="570"/>
      <c r="K4909" s="570"/>
    </row>
    <row r="4910" ht="13.75" customHeight="1">
      <c r="A4910" s="833">
        <v>268</v>
      </c>
      <c r="B4910" t="s" s="834">
        <v>3349</v>
      </c>
      <c r="C4910" t="s" s="834">
        <v>1010</v>
      </c>
      <c r="D4910" s="835">
        <v>46046</v>
      </c>
      <c r="E4910" t="s" s="834">
        <v>478</v>
      </c>
      <c r="F4910" t="s" s="834">
        <v>478</v>
      </c>
      <c r="G4910" s="570"/>
      <c r="H4910" s="570"/>
      <c r="I4910" s="570"/>
      <c r="J4910" s="570"/>
      <c r="K4910" s="570"/>
    </row>
    <row r="4911" ht="13.75" customHeight="1">
      <c r="A4911" s="833">
        <v>268</v>
      </c>
      <c r="B4911" t="s" s="834">
        <v>3349</v>
      </c>
      <c r="C4911" t="s" s="834">
        <v>1010</v>
      </c>
      <c r="D4911" s="835">
        <v>46047</v>
      </c>
      <c r="E4911" t="s" s="834">
        <v>478</v>
      </c>
      <c r="F4911" t="s" s="834">
        <v>478</v>
      </c>
      <c r="G4911" s="570"/>
      <c r="H4911" s="570"/>
      <c r="I4911" s="570"/>
      <c r="J4911" s="570"/>
      <c r="K4911" s="570"/>
    </row>
    <row r="4912" ht="13.75" customHeight="1">
      <c r="A4912" s="833">
        <v>268</v>
      </c>
      <c r="B4912" t="s" s="834">
        <v>3349</v>
      </c>
      <c r="C4912" t="s" s="834">
        <v>1010</v>
      </c>
      <c r="D4912" s="835">
        <v>46048</v>
      </c>
      <c r="E4912" t="s" s="834">
        <v>478</v>
      </c>
      <c r="F4912" t="s" s="834">
        <v>478</v>
      </c>
      <c r="G4912" s="570"/>
      <c r="H4912" s="570"/>
      <c r="I4912" s="570"/>
      <c r="J4912" s="570"/>
      <c r="K4912" s="570"/>
    </row>
    <row r="4913" ht="13.75" customHeight="1">
      <c r="A4913" s="833">
        <v>268</v>
      </c>
      <c r="B4913" t="s" s="834">
        <v>3349</v>
      </c>
      <c r="C4913" t="s" s="834">
        <v>1010</v>
      </c>
      <c r="D4913" s="835">
        <v>46049</v>
      </c>
      <c r="E4913" s="836">
        <v>1.369224537037037</v>
      </c>
      <c r="F4913" s="836">
        <v>1.765983796296296</v>
      </c>
      <c r="G4913" s="570"/>
      <c r="H4913" s="570"/>
      <c r="I4913" s="570"/>
      <c r="J4913" s="570"/>
      <c r="K4913" s="570"/>
    </row>
    <row r="4914" ht="13.75" customHeight="1">
      <c r="A4914" t="s" s="834">
        <v>3382</v>
      </c>
      <c r="B4914" t="s" s="834">
        <v>3383</v>
      </c>
      <c r="C4914" t="s" s="834">
        <v>683</v>
      </c>
      <c r="D4914" s="570"/>
      <c r="E4914" s="570"/>
      <c r="F4914" s="570"/>
      <c r="G4914" s="570"/>
      <c r="H4914" s="570"/>
      <c r="I4914" s="570"/>
      <c r="J4914" s="570"/>
      <c r="K4914" s="570"/>
    </row>
    <row r="4915" ht="13.75" customHeight="1">
      <c r="A4915" s="833">
        <v>268</v>
      </c>
      <c r="B4915" t="s" s="834">
        <v>3349</v>
      </c>
      <c r="C4915" t="s" s="834">
        <v>1010</v>
      </c>
      <c r="D4915" s="835">
        <v>46050</v>
      </c>
      <c r="E4915" s="836">
        <v>1.373819444444444</v>
      </c>
      <c r="F4915" s="836">
        <v>1.785405092592593</v>
      </c>
      <c r="G4915" s="570"/>
      <c r="H4915" s="570"/>
      <c r="I4915" s="570"/>
      <c r="J4915" s="570"/>
      <c r="K4915" s="570"/>
    </row>
    <row r="4916" ht="13.75" customHeight="1">
      <c r="A4916" t="s" s="834">
        <v>3384</v>
      </c>
      <c r="B4916" t="s" s="834">
        <v>3385</v>
      </c>
      <c r="C4916" t="s" s="834">
        <v>597</v>
      </c>
      <c r="D4916" s="570"/>
      <c r="E4916" s="570"/>
      <c r="F4916" s="570"/>
      <c r="G4916" s="570"/>
      <c r="H4916" s="570"/>
      <c r="I4916" s="570"/>
      <c r="J4916" s="570"/>
      <c r="K4916" s="570"/>
    </row>
    <row r="4917" ht="13.75" customHeight="1">
      <c r="A4917" s="833">
        <v>268</v>
      </c>
      <c r="B4917" t="s" s="834">
        <v>3349</v>
      </c>
      <c r="C4917" t="s" s="834">
        <v>1010</v>
      </c>
      <c r="D4917" s="835">
        <v>46051</v>
      </c>
      <c r="E4917" s="836">
        <v>1.367881944444445</v>
      </c>
      <c r="F4917" s="836">
        <v>1.835405092592592</v>
      </c>
      <c r="G4917" s="570"/>
      <c r="H4917" s="570"/>
      <c r="I4917" s="570"/>
      <c r="J4917" s="570"/>
      <c r="K4917" s="570"/>
    </row>
    <row r="4918" ht="13.75" customHeight="1">
      <c r="A4918" t="s" s="834">
        <v>3386</v>
      </c>
      <c r="B4918" t="s" s="834">
        <v>3387</v>
      </c>
      <c r="C4918" t="s" s="834">
        <v>2195</v>
      </c>
      <c r="D4918" s="570"/>
      <c r="E4918" s="570"/>
      <c r="F4918" s="570"/>
      <c r="G4918" s="570"/>
      <c r="H4918" s="570"/>
      <c r="I4918" s="570"/>
      <c r="J4918" s="570"/>
      <c r="K4918" s="570"/>
    </row>
    <row r="4919" ht="13.75" customHeight="1">
      <c r="A4919" s="833">
        <v>268</v>
      </c>
      <c r="B4919" t="s" s="834">
        <v>3349</v>
      </c>
      <c r="C4919" t="s" s="834">
        <v>1010</v>
      </c>
      <c r="D4919" s="835">
        <v>46052</v>
      </c>
      <c r="E4919" s="836">
        <v>1.373668981481482</v>
      </c>
      <c r="F4919" s="836">
        <v>1.825</v>
      </c>
      <c r="G4919" s="570"/>
      <c r="H4919" s="570"/>
      <c r="I4919" s="570"/>
      <c r="J4919" s="570"/>
      <c r="K4919" s="570"/>
    </row>
    <row r="4920" ht="13.75" customHeight="1">
      <c r="A4920" t="s" s="834">
        <v>3388</v>
      </c>
      <c r="B4920" t="s" s="834">
        <v>3389</v>
      </c>
      <c r="C4920" t="s" s="834">
        <v>3390</v>
      </c>
      <c r="D4920" s="570"/>
      <c r="E4920" s="570"/>
      <c r="F4920" s="570"/>
      <c r="G4920" s="570"/>
      <c r="H4920" s="570"/>
      <c r="I4920" s="570"/>
      <c r="J4920" s="570"/>
      <c r="K4920" s="570"/>
    </row>
    <row r="4921" ht="13.75" customHeight="1">
      <c r="A4921" s="833">
        <v>268</v>
      </c>
      <c r="B4921" t="s" s="834">
        <v>3349</v>
      </c>
      <c r="C4921" t="s" s="834">
        <v>1010</v>
      </c>
      <c r="D4921" s="835">
        <v>46053</v>
      </c>
      <c r="E4921" t="s" s="834">
        <v>478</v>
      </c>
      <c r="F4921" t="s" s="834">
        <v>478</v>
      </c>
      <c r="G4921" s="570"/>
      <c r="H4921" s="570"/>
      <c r="I4921" s="570"/>
      <c r="J4921" s="570"/>
      <c r="K4921" s="570"/>
    </row>
    <row r="4922" ht="13.75" customHeight="1">
      <c r="A4922" s="833">
        <v>268</v>
      </c>
      <c r="B4922" t="s" s="834">
        <v>3349</v>
      </c>
      <c r="C4922" t="s" s="834">
        <v>1010</v>
      </c>
      <c r="D4922" s="835">
        <v>46054</v>
      </c>
      <c r="E4922" t="s" s="834">
        <v>478</v>
      </c>
      <c r="F4922" t="s" s="834">
        <v>478</v>
      </c>
      <c r="G4922" s="570"/>
      <c r="H4922" s="570"/>
      <c r="I4922" s="570"/>
      <c r="J4922" s="570"/>
      <c r="K4922" s="570"/>
    </row>
    <row r="4923" ht="13.75" customHeight="1">
      <c r="A4923" s="833">
        <v>269</v>
      </c>
      <c r="B4923" t="s" s="834">
        <v>3391</v>
      </c>
      <c r="C4923" t="s" s="834">
        <v>700</v>
      </c>
      <c r="D4923" s="835">
        <v>46023</v>
      </c>
      <c r="E4923" t="s" s="834">
        <v>478</v>
      </c>
      <c r="F4923" t="s" s="834">
        <v>478</v>
      </c>
      <c r="G4923" s="570"/>
      <c r="H4923" s="570"/>
      <c r="I4923" s="570"/>
      <c r="J4923" s="570"/>
      <c r="K4923" s="570"/>
    </row>
    <row r="4924" ht="13.75" customHeight="1">
      <c r="A4924" s="833">
        <v>269</v>
      </c>
      <c r="B4924" t="s" s="834">
        <v>3391</v>
      </c>
      <c r="C4924" t="s" s="834">
        <v>700</v>
      </c>
      <c r="D4924" s="835">
        <v>46024</v>
      </c>
      <c r="E4924" t="s" s="834">
        <v>478</v>
      </c>
      <c r="F4924" t="s" s="834">
        <v>478</v>
      </c>
      <c r="G4924" s="570"/>
      <c r="H4924" s="570"/>
      <c r="I4924" s="570"/>
      <c r="J4924" s="570"/>
      <c r="K4924" s="570"/>
    </row>
    <row r="4925" ht="13.75" customHeight="1">
      <c r="A4925" s="833">
        <v>269</v>
      </c>
      <c r="B4925" t="s" s="834">
        <v>3391</v>
      </c>
      <c r="C4925" t="s" s="834">
        <v>700</v>
      </c>
      <c r="D4925" s="835">
        <v>46025</v>
      </c>
      <c r="E4925" t="s" s="834">
        <v>478</v>
      </c>
      <c r="F4925" t="s" s="834">
        <v>478</v>
      </c>
      <c r="G4925" s="570"/>
      <c r="H4925" s="570"/>
      <c r="I4925" s="570"/>
      <c r="J4925" s="570"/>
      <c r="K4925" s="570"/>
    </row>
    <row r="4926" ht="13.75" customHeight="1">
      <c r="A4926" s="833">
        <v>269</v>
      </c>
      <c r="B4926" t="s" s="834">
        <v>3391</v>
      </c>
      <c r="C4926" t="s" s="834">
        <v>700</v>
      </c>
      <c r="D4926" s="835">
        <v>46026</v>
      </c>
      <c r="E4926" t="s" s="834">
        <v>478</v>
      </c>
      <c r="F4926" t="s" s="834">
        <v>478</v>
      </c>
      <c r="G4926" s="570"/>
      <c r="H4926" s="570"/>
      <c r="I4926" s="570"/>
      <c r="J4926" s="570"/>
      <c r="K4926" s="570"/>
    </row>
    <row r="4927" ht="13.75" customHeight="1">
      <c r="A4927" s="833">
        <v>269</v>
      </c>
      <c r="B4927" t="s" s="834">
        <v>3391</v>
      </c>
      <c r="C4927" t="s" s="834">
        <v>700</v>
      </c>
      <c r="D4927" s="835">
        <v>46027</v>
      </c>
      <c r="E4927" s="836">
        <v>1.399942129629629</v>
      </c>
      <c r="F4927" s="836">
        <v>1.76431712962963</v>
      </c>
      <c r="G4927" s="570"/>
      <c r="H4927" s="570"/>
      <c r="I4927" s="570"/>
      <c r="J4927" s="570"/>
      <c r="K4927" s="570"/>
    </row>
    <row r="4928" ht="13.75" customHeight="1">
      <c r="A4928" t="s" s="834">
        <v>3392</v>
      </c>
      <c r="B4928" t="s" s="834">
        <v>3393</v>
      </c>
      <c r="C4928" t="s" s="834">
        <v>2865</v>
      </c>
      <c r="D4928" s="570"/>
      <c r="E4928" s="570"/>
      <c r="F4928" s="570"/>
      <c r="G4928" s="570"/>
      <c r="H4928" s="570"/>
      <c r="I4928" s="570"/>
      <c r="J4928" s="570"/>
      <c r="K4928" s="570"/>
    </row>
    <row r="4929" ht="13.75" customHeight="1">
      <c r="A4929" s="833">
        <v>269</v>
      </c>
      <c r="B4929" t="s" s="834">
        <v>3391</v>
      </c>
      <c r="C4929" t="s" s="834">
        <v>700</v>
      </c>
      <c r="D4929" s="835">
        <v>46028</v>
      </c>
      <c r="E4929" s="836">
        <v>1.408460648148148</v>
      </c>
      <c r="F4929" s="836">
        <v>1.770543981481481</v>
      </c>
      <c r="G4929" s="570"/>
      <c r="H4929" s="570"/>
      <c r="I4929" s="570"/>
      <c r="J4929" s="570"/>
      <c r="K4929" s="570"/>
    </row>
    <row r="4930" ht="13.75" customHeight="1">
      <c r="A4930" t="s" s="834">
        <v>3394</v>
      </c>
      <c r="B4930" t="s" s="834">
        <v>3395</v>
      </c>
      <c r="C4930" t="s" s="834">
        <v>2350</v>
      </c>
      <c r="D4930" s="570"/>
      <c r="E4930" s="570"/>
      <c r="F4930" s="570"/>
      <c r="G4930" s="570"/>
      <c r="H4930" s="570"/>
      <c r="I4930" s="570"/>
      <c r="J4930" s="570"/>
      <c r="K4930" s="570"/>
    </row>
    <row r="4931" ht="13.75" customHeight="1">
      <c r="A4931" s="833">
        <v>269</v>
      </c>
      <c r="B4931" t="s" s="834">
        <v>3391</v>
      </c>
      <c r="C4931" t="s" s="834">
        <v>700</v>
      </c>
      <c r="D4931" s="835">
        <v>46029</v>
      </c>
      <c r="E4931" s="836">
        <v>1.570648148148148</v>
      </c>
      <c r="F4931" s="836">
        <v>1.855532407407408</v>
      </c>
      <c r="G4931" s="570"/>
      <c r="H4931" s="570"/>
      <c r="I4931" s="570"/>
      <c r="J4931" s="570"/>
      <c r="K4931" s="570"/>
    </row>
    <row r="4932" ht="13.75" customHeight="1">
      <c r="A4932" t="s" s="834">
        <v>3396</v>
      </c>
      <c r="B4932" t="s" s="834">
        <v>3397</v>
      </c>
      <c r="C4932" t="s" s="834">
        <v>3398</v>
      </c>
      <c r="D4932" s="570"/>
      <c r="E4932" s="570"/>
      <c r="F4932" s="570"/>
      <c r="G4932" s="570"/>
      <c r="H4932" s="570"/>
      <c r="I4932" s="570"/>
      <c r="J4932" s="570"/>
      <c r="K4932" s="570"/>
    </row>
    <row r="4933" ht="13.75" customHeight="1">
      <c r="A4933" s="833">
        <v>269</v>
      </c>
      <c r="B4933" t="s" s="834">
        <v>3391</v>
      </c>
      <c r="C4933" t="s" s="834">
        <v>700</v>
      </c>
      <c r="D4933" s="835">
        <v>46030</v>
      </c>
      <c r="E4933" s="836">
        <v>1.574826388888889</v>
      </c>
      <c r="F4933" s="836">
        <v>1.877222222222222</v>
      </c>
      <c r="G4933" s="570"/>
      <c r="H4933" s="570"/>
      <c r="I4933" s="570"/>
      <c r="J4933" s="570"/>
      <c r="K4933" s="570"/>
    </row>
    <row r="4934" ht="13.75" customHeight="1">
      <c r="A4934" t="s" s="834">
        <v>3399</v>
      </c>
      <c r="B4934" t="s" s="834">
        <v>3400</v>
      </c>
      <c r="C4934" t="s" s="834">
        <v>3401</v>
      </c>
      <c r="D4934" s="570"/>
      <c r="E4934" s="570"/>
      <c r="F4934" s="570"/>
      <c r="G4934" s="570"/>
      <c r="H4934" s="570"/>
      <c r="I4934" s="570"/>
      <c r="J4934" s="570"/>
      <c r="K4934" s="570"/>
    </row>
    <row r="4935" ht="13.75" customHeight="1">
      <c r="A4935" s="833">
        <v>269</v>
      </c>
      <c r="B4935" t="s" s="834">
        <v>3391</v>
      </c>
      <c r="C4935" t="s" s="834">
        <v>700</v>
      </c>
      <c r="D4935" s="835">
        <v>46031</v>
      </c>
      <c r="E4935" s="836">
        <v>1.629421296296296</v>
      </c>
      <c r="F4935" s="836">
        <v>1.874502314814815</v>
      </c>
      <c r="G4935" s="570"/>
      <c r="H4935" s="570"/>
      <c r="I4935" s="570"/>
      <c r="J4935" s="570"/>
      <c r="K4935" s="570"/>
    </row>
    <row r="4936" ht="13.75" customHeight="1">
      <c r="A4936" t="s" s="834">
        <v>3402</v>
      </c>
      <c r="B4936" t="s" s="834">
        <v>3403</v>
      </c>
      <c r="C4936" t="s" s="834">
        <v>3404</v>
      </c>
      <c r="D4936" s="570"/>
      <c r="E4936" s="570"/>
      <c r="F4936" s="570"/>
      <c r="G4936" s="570"/>
      <c r="H4936" s="570"/>
      <c r="I4936" s="570"/>
      <c r="J4936" s="570"/>
      <c r="K4936" s="570"/>
    </row>
    <row r="4937" ht="13.75" customHeight="1">
      <c r="A4937" s="833">
        <v>269</v>
      </c>
      <c r="B4937" t="s" s="834">
        <v>3391</v>
      </c>
      <c r="C4937" t="s" s="834">
        <v>700</v>
      </c>
      <c r="D4937" s="835">
        <v>46032</v>
      </c>
      <c r="E4937" s="836">
        <v>1.601967592592592</v>
      </c>
      <c r="F4937" s="836">
        <v>1.674224537037037</v>
      </c>
      <c r="G4937" s="570"/>
      <c r="H4937" s="570"/>
      <c r="I4937" s="570"/>
      <c r="J4937" s="570"/>
      <c r="K4937" s="570"/>
    </row>
    <row r="4938" ht="13.75" customHeight="1">
      <c r="A4938" t="s" s="834">
        <v>3405</v>
      </c>
      <c r="B4938" t="s" s="834">
        <v>3406</v>
      </c>
      <c r="C4938" t="s" s="834">
        <v>3407</v>
      </c>
      <c r="D4938" s="570"/>
      <c r="E4938" s="570"/>
      <c r="F4938" s="570"/>
      <c r="G4938" s="570"/>
      <c r="H4938" s="570"/>
      <c r="I4938" s="570"/>
      <c r="J4938" s="570"/>
      <c r="K4938" s="570"/>
    </row>
    <row r="4939" ht="13.75" customHeight="1">
      <c r="A4939" s="833">
        <v>269</v>
      </c>
      <c r="B4939" t="s" s="834">
        <v>3391</v>
      </c>
      <c r="C4939" t="s" s="834">
        <v>700</v>
      </c>
      <c r="D4939" s="835">
        <v>46033</v>
      </c>
      <c r="E4939" t="s" s="834">
        <v>478</v>
      </c>
      <c r="F4939" t="s" s="834">
        <v>478</v>
      </c>
      <c r="G4939" s="570"/>
      <c r="H4939" s="570"/>
      <c r="I4939" s="570"/>
      <c r="J4939" s="570"/>
      <c r="K4939" s="570"/>
    </row>
    <row r="4940" ht="13.75" customHeight="1">
      <c r="A4940" s="833">
        <v>269</v>
      </c>
      <c r="B4940" t="s" s="834">
        <v>3391</v>
      </c>
      <c r="C4940" t="s" s="834">
        <v>700</v>
      </c>
      <c r="D4940" s="835">
        <v>46034</v>
      </c>
      <c r="E4940" s="836">
        <v>1.570069444444445</v>
      </c>
      <c r="F4940" s="836">
        <v>1.896666666666667</v>
      </c>
      <c r="G4940" s="570"/>
      <c r="H4940" s="570"/>
      <c r="I4940" s="570"/>
      <c r="J4940" s="570"/>
      <c r="K4940" s="570"/>
    </row>
    <row r="4941" ht="13.75" customHeight="1">
      <c r="A4941" t="s" s="834">
        <v>3408</v>
      </c>
      <c r="B4941" t="s" s="834">
        <v>3409</v>
      </c>
      <c r="C4941" t="s" s="834">
        <v>3410</v>
      </c>
      <c r="D4941" s="570"/>
      <c r="E4941" s="570"/>
      <c r="F4941" s="570"/>
      <c r="G4941" s="570"/>
      <c r="H4941" s="570"/>
      <c r="I4941" s="570"/>
      <c r="J4941" s="570"/>
      <c r="K4941" s="570"/>
    </row>
    <row r="4942" ht="13.75" customHeight="1">
      <c r="A4942" s="833">
        <v>269</v>
      </c>
      <c r="B4942" t="s" s="834">
        <v>3391</v>
      </c>
      <c r="C4942" t="s" s="834">
        <v>700</v>
      </c>
      <c r="D4942" s="835">
        <v>46035</v>
      </c>
      <c r="E4942" s="836">
        <v>1.362986111111111</v>
      </c>
      <c r="F4942" s="836">
        <v>1.918726851851852</v>
      </c>
      <c r="G4942" s="570"/>
      <c r="H4942" s="570"/>
      <c r="I4942" s="570"/>
      <c r="J4942" s="570"/>
      <c r="K4942" s="570"/>
    </row>
    <row r="4943" ht="13.75" customHeight="1">
      <c r="A4943" t="s" s="834">
        <v>3411</v>
      </c>
      <c r="B4943" t="s" s="834">
        <v>3412</v>
      </c>
      <c r="C4943" t="s" s="834">
        <v>3413</v>
      </c>
      <c r="D4943" s="570"/>
      <c r="E4943" s="570"/>
      <c r="F4943" s="570"/>
      <c r="G4943" s="570"/>
      <c r="H4943" s="570"/>
      <c r="I4943" s="570"/>
      <c r="J4943" s="570"/>
      <c r="K4943" s="570"/>
    </row>
    <row r="4944" ht="13.75" customHeight="1">
      <c r="A4944" s="833">
        <v>269</v>
      </c>
      <c r="B4944" t="s" s="834">
        <v>3391</v>
      </c>
      <c r="C4944" t="s" s="834">
        <v>700</v>
      </c>
      <c r="D4944" s="835">
        <v>46036</v>
      </c>
      <c r="E4944" s="836">
        <v>1.366423611111111</v>
      </c>
      <c r="F4944" s="836">
        <v>1.91912037037037</v>
      </c>
      <c r="G4944" s="570"/>
      <c r="H4944" s="570"/>
      <c r="I4944" s="570"/>
      <c r="J4944" s="570"/>
      <c r="K4944" s="570"/>
    </row>
    <row r="4945" ht="13.75" customHeight="1">
      <c r="A4945" t="s" s="834">
        <v>3414</v>
      </c>
      <c r="B4945" t="s" s="834">
        <v>3415</v>
      </c>
      <c r="C4945" t="s" s="834">
        <v>3416</v>
      </c>
      <c r="D4945" s="570"/>
      <c r="E4945" s="570"/>
      <c r="F4945" s="570"/>
      <c r="G4945" s="570"/>
      <c r="H4945" s="570"/>
      <c r="I4945" s="570"/>
      <c r="J4945" s="570"/>
      <c r="K4945" s="570"/>
    </row>
    <row r="4946" ht="13.75" customHeight="1">
      <c r="A4946" s="833">
        <v>269</v>
      </c>
      <c r="B4946" t="s" s="834">
        <v>3391</v>
      </c>
      <c r="C4946" t="s" s="834">
        <v>700</v>
      </c>
      <c r="D4946" s="835">
        <v>46037</v>
      </c>
      <c r="E4946" s="836">
        <v>1.363206018518519</v>
      </c>
      <c r="F4946" s="836">
        <v>1.807094907407407</v>
      </c>
      <c r="G4946" s="570"/>
      <c r="H4946" s="570"/>
      <c r="I4946" s="570"/>
      <c r="J4946" s="570"/>
      <c r="K4946" s="570"/>
    </row>
    <row r="4947" ht="13.75" customHeight="1">
      <c r="A4947" t="s" s="834">
        <v>3417</v>
      </c>
      <c r="B4947" t="s" s="834">
        <v>3418</v>
      </c>
      <c r="C4947" t="s" s="834">
        <v>497</v>
      </c>
      <c r="D4947" s="570"/>
      <c r="E4947" s="570"/>
      <c r="F4947" s="570"/>
      <c r="G4947" s="570"/>
      <c r="H4947" s="570"/>
      <c r="I4947" s="570"/>
      <c r="J4947" s="570"/>
      <c r="K4947" s="570"/>
    </row>
    <row r="4948" ht="13.75" customHeight="1">
      <c r="A4948" s="833">
        <v>269</v>
      </c>
      <c r="B4948" t="s" s="834">
        <v>3391</v>
      </c>
      <c r="C4948" t="s" s="834">
        <v>700</v>
      </c>
      <c r="D4948" s="835">
        <v>46038</v>
      </c>
      <c r="E4948" s="836">
        <v>1.370081018518519</v>
      </c>
      <c r="F4948" s="836">
        <v>1.479513888888889</v>
      </c>
      <c r="G4948" s="570"/>
      <c r="H4948" s="570"/>
      <c r="I4948" s="570"/>
      <c r="J4948" s="570"/>
      <c r="K4948" s="570"/>
    </row>
    <row r="4949" ht="13.75" customHeight="1">
      <c r="A4949" t="s" s="834">
        <v>3419</v>
      </c>
      <c r="B4949" t="s" s="834">
        <v>3420</v>
      </c>
      <c r="C4949" t="s" s="834">
        <v>3421</v>
      </c>
      <c r="D4949" s="570"/>
      <c r="E4949" s="570"/>
      <c r="F4949" s="570"/>
      <c r="G4949" s="570"/>
      <c r="H4949" s="570"/>
      <c r="I4949" s="570"/>
      <c r="J4949" s="570"/>
      <c r="K4949" s="570"/>
    </row>
    <row r="4950" ht="13.75" customHeight="1">
      <c r="A4950" s="833">
        <v>269</v>
      </c>
      <c r="B4950" t="s" s="834">
        <v>3391</v>
      </c>
      <c r="C4950" t="s" s="834">
        <v>700</v>
      </c>
      <c r="D4950" s="835">
        <v>46039</v>
      </c>
      <c r="E4950" s="836">
        <v>1.564722222222222</v>
      </c>
      <c r="F4950" s="836">
        <v>1.776759259259259</v>
      </c>
      <c r="G4950" s="570"/>
      <c r="H4950" s="570"/>
      <c r="I4950" s="570"/>
      <c r="J4950" s="570"/>
      <c r="K4950" s="570"/>
    </row>
    <row r="4951" ht="13.75" customHeight="1">
      <c r="A4951" t="s" s="834">
        <v>3422</v>
      </c>
      <c r="B4951" t="s" s="834">
        <v>3423</v>
      </c>
      <c r="C4951" t="s" s="834">
        <v>3424</v>
      </c>
      <c r="D4951" s="570"/>
      <c r="E4951" s="570"/>
      <c r="F4951" s="570"/>
      <c r="G4951" s="570"/>
      <c r="H4951" s="570"/>
      <c r="I4951" s="570"/>
      <c r="J4951" s="570"/>
      <c r="K4951" s="570"/>
    </row>
    <row r="4952" ht="13.75" customHeight="1">
      <c r="A4952" s="833">
        <v>269</v>
      </c>
      <c r="B4952" t="s" s="834">
        <v>3391</v>
      </c>
      <c r="C4952" t="s" s="834">
        <v>700</v>
      </c>
      <c r="D4952" s="835">
        <v>46040</v>
      </c>
      <c r="E4952" s="836">
        <v>1.597546296296296</v>
      </c>
      <c r="F4952" s="836">
        <v>1.702638888888889</v>
      </c>
      <c r="G4952" s="570"/>
      <c r="H4952" s="570"/>
      <c r="I4952" s="570"/>
      <c r="J4952" s="570"/>
      <c r="K4952" s="570"/>
    </row>
    <row r="4953" ht="13.75" customHeight="1">
      <c r="A4953" t="s" s="834">
        <v>3425</v>
      </c>
      <c r="B4953" t="s" s="834">
        <v>3426</v>
      </c>
      <c r="C4953" t="s" s="834">
        <v>3427</v>
      </c>
      <c r="D4953" s="570"/>
      <c r="E4953" s="570"/>
      <c r="F4953" s="570"/>
      <c r="G4953" s="570"/>
      <c r="H4953" s="570"/>
      <c r="I4953" s="570"/>
      <c r="J4953" s="570"/>
      <c r="K4953" s="570"/>
    </row>
    <row r="4954" ht="13.75" customHeight="1">
      <c r="A4954" s="833">
        <v>269</v>
      </c>
      <c r="B4954" t="s" s="834">
        <v>3391</v>
      </c>
      <c r="C4954" t="s" s="834">
        <v>700</v>
      </c>
      <c r="D4954" s="835">
        <v>46041</v>
      </c>
      <c r="E4954" s="836">
        <v>1.566493055555556</v>
      </c>
      <c r="F4954" s="836">
        <v>1.839328703703704</v>
      </c>
      <c r="G4954" s="570"/>
      <c r="H4954" s="570"/>
      <c r="I4954" s="570"/>
      <c r="J4954" s="570"/>
      <c r="K4954" s="570"/>
    </row>
    <row r="4955" ht="13.75" customHeight="1">
      <c r="A4955" t="s" s="834">
        <v>3428</v>
      </c>
      <c r="B4955" t="s" s="834">
        <v>3429</v>
      </c>
      <c r="C4955" t="s" s="834">
        <v>3430</v>
      </c>
      <c r="D4955" s="570"/>
      <c r="E4955" s="570"/>
      <c r="F4955" s="570"/>
      <c r="G4955" s="570"/>
      <c r="H4955" s="570"/>
      <c r="I4955" s="570"/>
      <c r="J4955" s="570"/>
      <c r="K4955" s="570"/>
    </row>
    <row r="4956" ht="13.75" customHeight="1">
      <c r="A4956" s="833">
        <v>269</v>
      </c>
      <c r="B4956" t="s" s="834">
        <v>3391</v>
      </c>
      <c r="C4956" t="s" s="834">
        <v>700</v>
      </c>
      <c r="D4956" s="835">
        <v>46042</v>
      </c>
      <c r="E4956" s="836">
        <v>1.365648148148148</v>
      </c>
      <c r="F4956" s="836">
        <v>1.773113425925926</v>
      </c>
      <c r="G4956" s="570"/>
      <c r="H4956" s="570"/>
      <c r="I4956" s="570"/>
      <c r="J4956" s="570"/>
      <c r="K4956" s="570"/>
    </row>
    <row r="4957" ht="13.75" customHeight="1">
      <c r="A4957" t="s" s="834">
        <v>3431</v>
      </c>
      <c r="B4957" t="s" s="834">
        <v>3432</v>
      </c>
      <c r="C4957" t="s" s="834">
        <v>882</v>
      </c>
      <c r="D4957" s="570"/>
      <c r="E4957" s="570"/>
      <c r="F4957" s="570"/>
      <c r="G4957" s="570"/>
      <c r="H4957" s="570"/>
      <c r="I4957" s="570"/>
      <c r="J4957" s="570"/>
      <c r="K4957" s="570"/>
    </row>
    <row r="4958" ht="13.75" customHeight="1">
      <c r="A4958" s="833">
        <v>269</v>
      </c>
      <c r="B4958" t="s" s="834">
        <v>3391</v>
      </c>
      <c r="C4958" t="s" s="834">
        <v>700</v>
      </c>
      <c r="D4958" s="835">
        <v>46043</v>
      </c>
      <c r="E4958" t="s" s="834">
        <v>478</v>
      </c>
      <c r="F4958" t="s" s="834">
        <v>478</v>
      </c>
      <c r="G4958" s="570"/>
      <c r="H4958" s="570"/>
      <c r="I4958" s="570"/>
      <c r="J4958" s="570"/>
      <c r="K4958" s="570"/>
    </row>
    <row r="4959" ht="13.75" customHeight="1">
      <c r="A4959" s="833">
        <v>269</v>
      </c>
      <c r="B4959" t="s" s="834">
        <v>3391</v>
      </c>
      <c r="C4959" t="s" s="834">
        <v>700</v>
      </c>
      <c r="D4959" s="835">
        <v>46044</v>
      </c>
      <c r="E4959" s="836">
        <v>1.565949074074074</v>
      </c>
      <c r="F4959" s="836">
        <v>1.813634259259259</v>
      </c>
      <c r="G4959" s="570"/>
      <c r="H4959" s="570"/>
      <c r="I4959" s="570"/>
      <c r="J4959" s="570"/>
      <c r="K4959" s="570"/>
    </row>
    <row r="4960" ht="13.75" customHeight="1">
      <c r="A4960" t="s" s="834">
        <v>3433</v>
      </c>
      <c r="B4960" t="s" s="834">
        <v>3434</v>
      </c>
      <c r="C4960" t="s" s="834">
        <v>3435</v>
      </c>
      <c r="D4960" s="570"/>
      <c r="E4960" s="570"/>
      <c r="F4960" s="570"/>
      <c r="G4960" s="570"/>
      <c r="H4960" s="570"/>
      <c r="I4960" s="570"/>
      <c r="J4960" s="570"/>
      <c r="K4960" s="570"/>
    </row>
    <row r="4961" ht="13.75" customHeight="1">
      <c r="A4961" s="833">
        <v>269</v>
      </c>
      <c r="B4961" t="s" s="834">
        <v>3391</v>
      </c>
      <c r="C4961" t="s" s="834">
        <v>700</v>
      </c>
      <c r="D4961" s="835">
        <v>46045</v>
      </c>
      <c r="E4961" t="s" s="834">
        <v>478</v>
      </c>
      <c r="F4961" t="s" s="834">
        <v>478</v>
      </c>
      <c r="G4961" s="570"/>
      <c r="H4961" s="570"/>
      <c r="I4961" s="570"/>
      <c r="J4961" s="570"/>
      <c r="K4961" s="570"/>
    </row>
    <row r="4962" ht="13.75" customHeight="1">
      <c r="A4962" s="833">
        <v>269</v>
      </c>
      <c r="B4962" t="s" s="834">
        <v>3391</v>
      </c>
      <c r="C4962" t="s" s="834">
        <v>700</v>
      </c>
      <c r="D4962" s="835">
        <v>46046</v>
      </c>
      <c r="E4962" s="836">
        <v>1.61462962962963</v>
      </c>
      <c r="F4962" s="836">
        <v>1.829050925925926</v>
      </c>
      <c r="G4962" s="570"/>
      <c r="H4962" s="570"/>
      <c r="I4962" s="570"/>
      <c r="J4962" s="570"/>
      <c r="K4962" s="570"/>
    </row>
    <row r="4963" ht="13.75" customHeight="1">
      <c r="A4963" t="s" s="834">
        <v>3436</v>
      </c>
      <c r="B4963" t="s" s="834">
        <v>3437</v>
      </c>
      <c r="C4963" t="s" s="834">
        <v>1783</v>
      </c>
      <c r="D4963" s="570"/>
      <c r="E4963" s="570"/>
      <c r="F4963" s="570"/>
      <c r="G4963" s="570"/>
      <c r="H4963" s="570"/>
      <c r="I4963" s="570"/>
      <c r="J4963" s="570"/>
      <c r="K4963" s="570"/>
    </row>
    <row r="4964" ht="13.75" customHeight="1">
      <c r="A4964" s="833">
        <v>269</v>
      </c>
      <c r="B4964" t="s" s="834">
        <v>3391</v>
      </c>
      <c r="C4964" t="s" s="834">
        <v>700</v>
      </c>
      <c r="D4964" s="835">
        <v>46047</v>
      </c>
      <c r="E4964" s="836">
        <v>1.589097222222222</v>
      </c>
      <c r="F4964" s="836">
        <v>1.631527777777778</v>
      </c>
      <c r="G4964" s="570"/>
      <c r="H4964" s="570"/>
      <c r="I4964" s="570"/>
      <c r="J4964" s="570"/>
      <c r="K4964" s="570"/>
    </row>
    <row r="4965" ht="13.75" customHeight="1">
      <c r="A4965" t="s" s="834">
        <v>3438</v>
      </c>
      <c r="B4965" t="s" s="834">
        <v>3439</v>
      </c>
      <c r="C4965" t="s" s="834">
        <v>3440</v>
      </c>
      <c r="D4965" s="570"/>
      <c r="E4965" s="570"/>
      <c r="F4965" s="570"/>
      <c r="G4965" s="570"/>
      <c r="H4965" s="570"/>
      <c r="I4965" s="570"/>
      <c r="J4965" s="570"/>
      <c r="K4965" s="570"/>
    </row>
    <row r="4966" ht="13.75" customHeight="1">
      <c r="A4966" s="833">
        <v>269</v>
      </c>
      <c r="B4966" t="s" s="834">
        <v>3391</v>
      </c>
      <c r="C4966" t="s" s="834">
        <v>700</v>
      </c>
      <c r="D4966" s="835">
        <v>46048</v>
      </c>
      <c r="E4966" s="836">
        <v>1.574861111111111</v>
      </c>
      <c r="F4966" s="836">
        <v>1.826377314814815</v>
      </c>
      <c r="G4966" s="570"/>
      <c r="H4966" s="570"/>
      <c r="I4966" s="570"/>
      <c r="J4966" s="570"/>
      <c r="K4966" s="570"/>
    </row>
    <row r="4967" ht="13.75" customHeight="1">
      <c r="A4967" t="s" s="834">
        <v>3441</v>
      </c>
      <c r="B4967" t="s" s="834">
        <v>3442</v>
      </c>
      <c r="C4967" t="s" s="834">
        <v>2976</v>
      </c>
      <c r="D4967" s="570"/>
      <c r="E4967" s="570"/>
      <c r="F4967" s="570"/>
      <c r="G4967" s="570"/>
      <c r="H4967" s="570"/>
      <c r="I4967" s="570"/>
      <c r="J4967" s="570"/>
      <c r="K4967" s="570"/>
    </row>
    <row r="4968" ht="13.75" customHeight="1">
      <c r="A4968" s="833">
        <v>269</v>
      </c>
      <c r="B4968" t="s" s="834">
        <v>3391</v>
      </c>
      <c r="C4968" t="s" s="834">
        <v>700</v>
      </c>
      <c r="D4968" s="835">
        <v>46049</v>
      </c>
      <c r="E4968" s="836">
        <v>1.571736111111111</v>
      </c>
      <c r="F4968" s="836">
        <v>1.839363425925926</v>
      </c>
      <c r="G4968" s="570"/>
      <c r="H4968" s="570"/>
      <c r="I4968" s="570"/>
      <c r="J4968" s="570"/>
      <c r="K4968" s="570"/>
    </row>
    <row r="4969" ht="13.75" customHeight="1">
      <c r="A4969" t="s" s="834">
        <v>3443</v>
      </c>
      <c r="B4969" t="s" s="834">
        <v>3444</v>
      </c>
      <c r="C4969" t="s" s="834">
        <v>3445</v>
      </c>
      <c r="D4969" s="570"/>
      <c r="E4969" s="570"/>
      <c r="F4969" s="570"/>
      <c r="G4969" s="570"/>
      <c r="H4969" s="570"/>
      <c r="I4969" s="570"/>
      <c r="J4969" s="570"/>
      <c r="K4969" s="570"/>
    </row>
    <row r="4970" ht="13.75" customHeight="1">
      <c r="A4970" s="833">
        <v>269</v>
      </c>
      <c r="B4970" t="s" s="834">
        <v>3391</v>
      </c>
      <c r="C4970" t="s" s="834">
        <v>700</v>
      </c>
      <c r="D4970" s="835">
        <v>46050</v>
      </c>
      <c r="E4970" s="836">
        <v>1.608530092592593</v>
      </c>
      <c r="F4970" s="836">
        <v>1.821342592592593</v>
      </c>
      <c r="G4970" s="570"/>
      <c r="H4970" s="570"/>
      <c r="I4970" s="570"/>
      <c r="J4970" s="570"/>
      <c r="K4970" s="570"/>
    </row>
    <row r="4971" ht="13.75" customHeight="1">
      <c r="A4971" t="s" s="834">
        <v>3446</v>
      </c>
      <c r="B4971" t="s" s="834">
        <v>3447</v>
      </c>
      <c r="C4971" t="s" s="834">
        <v>3448</v>
      </c>
      <c r="D4971" s="570"/>
      <c r="E4971" s="570"/>
      <c r="F4971" s="570"/>
      <c r="G4971" s="570"/>
      <c r="H4971" s="570"/>
      <c r="I4971" s="570"/>
      <c r="J4971" s="570"/>
      <c r="K4971" s="570"/>
    </row>
    <row r="4972" ht="13.75" customHeight="1">
      <c r="A4972" s="833">
        <v>269</v>
      </c>
      <c r="B4972" t="s" s="834">
        <v>3391</v>
      </c>
      <c r="C4972" t="s" s="834">
        <v>700</v>
      </c>
      <c r="D4972" s="835">
        <v>46051</v>
      </c>
      <c r="E4972" s="836">
        <v>1.548923611111111</v>
      </c>
      <c r="F4972" s="836">
        <v>1.833611111111111</v>
      </c>
      <c r="G4972" s="570"/>
      <c r="H4972" s="570"/>
      <c r="I4972" s="570"/>
      <c r="J4972" s="570"/>
      <c r="K4972" s="570"/>
    </row>
    <row r="4973" ht="13.75" customHeight="1">
      <c r="A4973" t="s" s="834">
        <v>3449</v>
      </c>
      <c r="B4973" t="s" s="834">
        <v>3450</v>
      </c>
      <c r="C4973" t="s" s="834">
        <v>3398</v>
      </c>
      <c r="D4973" s="570"/>
      <c r="E4973" s="570"/>
      <c r="F4973" s="570"/>
      <c r="G4973" s="570"/>
      <c r="H4973" s="570"/>
      <c r="I4973" s="570"/>
      <c r="J4973" s="570"/>
      <c r="K4973" s="570"/>
    </row>
    <row r="4974" ht="13.75" customHeight="1">
      <c r="A4974" s="833">
        <v>269</v>
      </c>
      <c r="B4974" t="s" s="834">
        <v>3391</v>
      </c>
      <c r="C4974" t="s" s="834">
        <v>700</v>
      </c>
      <c r="D4974" s="835">
        <v>46052</v>
      </c>
      <c r="E4974" t="s" s="834">
        <v>478</v>
      </c>
      <c r="F4974" t="s" s="834">
        <v>478</v>
      </c>
      <c r="G4974" s="570"/>
      <c r="H4974" s="570"/>
      <c r="I4974" s="570"/>
      <c r="J4974" s="570"/>
      <c r="K4974" s="570"/>
    </row>
    <row r="4975" ht="13.75" customHeight="1">
      <c r="A4975" s="833">
        <v>269</v>
      </c>
      <c r="B4975" t="s" s="834">
        <v>3391</v>
      </c>
      <c r="C4975" t="s" s="834">
        <v>700</v>
      </c>
      <c r="D4975" s="835">
        <v>46053</v>
      </c>
      <c r="E4975" t="s" s="834">
        <v>478</v>
      </c>
      <c r="F4975" t="s" s="834">
        <v>478</v>
      </c>
      <c r="G4975" s="570"/>
      <c r="H4975" s="570"/>
      <c r="I4975" s="570"/>
      <c r="J4975" s="570"/>
      <c r="K4975" s="570"/>
    </row>
    <row r="4976" ht="13.75" customHeight="1">
      <c r="A4976" s="833">
        <v>269</v>
      </c>
      <c r="B4976" t="s" s="834">
        <v>3391</v>
      </c>
      <c r="C4976" t="s" s="834">
        <v>700</v>
      </c>
      <c r="D4976" s="835">
        <v>46054</v>
      </c>
      <c r="E4976" t="s" s="834">
        <v>478</v>
      </c>
      <c r="F4976" t="s" s="834">
        <v>478</v>
      </c>
      <c r="G4976" s="570"/>
      <c r="H4976" s="570"/>
      <c r="I4976" s="570"/>
      <c r="J4976" s="570"/>
      <c r="K4976" s="570"/>
    </row>
    <row r="4977" ht="13.75" customHeight="1">
      <c r="A4977" s="833">
        <v>272</v>
      </c>
      <c r="B4977" t="s" s="834">
        <v>3451</v>
      </c>
      <c r="C4977" t="s" s="834">
        <v>1571</v>
      </c>
      <c r="D4977" s="835">
        <v>46023</v>
      </c>
      <c r="E4977" t="s" s="834">
        <v>478</v>
      </c>
      <c r="F4977" t="s" s="834">
        <v>478</v>
      </c>
      <c r="G4977" s="570"/>
      <c r="H4977" s="570"/>
      <c r="I4977" s="570"/>
      <c r="J4977" s="570"/>
      <c r="K4977" s="570"/>
    </row>
    <row r="4978" ht="13.75" customHeight="1">
      <c r="A4978" s="833">
        <v>272</v>
      </c>
      <c r="B4978" t="s" s="834">
        <v>3451</v>
      </c>
      <c r="C4978" t="s" s="834">
        <v>1571</v>
      </c>
      <c r="D4978" s="835">
        <v>46024</v>
      </c>
      <c r="E4978" t="s" s="834">
        <v>478</v>
      </c>
      <c r="F4978" t="s" s="834">
        <v>478</v>
      </c>
      <c r="G4978" s="570"/>
      <c r="H4978" s="570"/>
      <c r="I4978" s="570"/>
      <c r="J4978" s="570"/>
      <c r="K4978" s="570"/>
    </row>
    <row r="4979" ht="13.75" customHeight="1">
      <c r="A4979" s="833">
        <v>272</v>
      </c>
      <c r="B4979" t="s" s="834">
        <v>3451</v>
      </c>
      <c r="C4979" t="s" s="834">
        <v>1571</v>
      </c>
      <c r="D4979" s="835">
        <v>46025</v>
      </c>
      <c r="E4979" t="s" s="834">
        <v>478</v>
      </c>
      <c r="F4979" t="s" s="834">
        <v>478</v>
      </c>
      <c r="G4979" s="570"/>
      <c r="H4979" s="570"/>
      <c r="I4979" s="570"/>
      <c r="J4979" s="570"/>
      <c r="K4979" s="570"/>
    </row>
    <row r="4980" ht="13.75" customHeight="1">
      <c r="A4980" s="833">
        <v>272</v>
      </c>
      <c r="B4980" t="s" s="834">
        <v>3451</v>
      </c>
      <c r="C4980" t="s" s="834">
        <v>1571</v>
      </c>
      <c r="D4980" s="835">
        <v>46026</v>
      </c>
      <c r="E4980" t="s" s="834">
        <v>478</v>
      </c>
      <c r="F4980" t="s" s="834">
        <v>478</v>
      </c>
      <c r="G4980" s="570"/>
      <c r="H4980" s="570"/>
      <c r="I4980" s="570"/>
      <c r="J4980" s="570"/>
      <c r="K4980" s="570"/>
    </row>
    <row r="4981" ht="13.75" customHeight="1">
      <c r="A4981" s="833">
        <v>272</v>
      </c>
      <c r="B4981" t="s" s="834">
        <v>3451</v>
      </c>
      <c r="C4981" t="s" s="834">
        <v>1571</v>
      </c>
      <c r="D4981" s="835">
        <v>46027</v>
      </c>
      <c r="E4981" s="836">
        <v>1.464664351851852</v>
      </c>
      <c r="F4981" s="836">
        <v>1.502928240740741</v>
      </c>
      <c r="G4981" s="570"/>
      <c r="H4981" s="570"/>
      <c r="I4981" s="570"/>
      <c r="J4981" s="570"/>
      <c r="K4981" s="570"/>
    </row>
    <row r="4982" ht="13.75" customHeight="1">
      <c r="A4982" t="s" s="834">
        <v>3452</v>
      </c>
      <c r="B4982" t="s" s="834">
        <v>3453</v>
      </c>
      <c r="C4982" t="s" s="834">
        <v>3454</v>
      </c>
      <c r="D4982" s="570"/>
      <c r="E4982" s="570"/>
      <c r="F4982" s="570"/>
      <c r="G4982" s="570"/>
      <c r="H4982" s="570"/>
      <c r="I4982" s="570"/>
      <c r="J4982" s="570"/>
      <c r="K4982" s="570"/>
    </row>
    <row r="4983" ht="13.75" customHeight="1">
      <c r="A4983" s="833">
        <v>272</v>
      </c>
      <c r="B4983" t="s" s="834">
        <v>3451</v>
      </c>
      <c r="C4983" t="s" s="834">
        <v>1571</v>
      </c>
      <c r="D4983" s="835">
        <v>46028</v>
      </c>
      <c r="E4983" s="836">
        <v>1.568622685185185</v>
      </c>
      <c r="F4983" s="836">
        <v>1.893252314814815</v>
      </c>
      <c r="G4983" s="570"/>
      <c r="H4983" s="570"/>
      <c r="I4983" s="570"/>
      <c r="J4983" s="570"/>
      <c r="K4983" s="570"/>
    </row>
    <row r="4984" ht="13.75" customHeight="1">
      <c r="A4984" t="s" s="834">
        <v>3455</v>
      </c>
      <c r="B4984" t="s" s="834">
        <v>3456</v>
      </c>
      <c r="C4984" t="s" s="834">
        <v>3457</v>
      </c>
      <c r="D4984" s="570"/>
      <c r="E4984" s="570"/>
      <c r="F4984" s="570"/>
      <c r="G4984" s="570"/>
      <c r="H4984" s="570"/>
      <c r="I4984" s="570"/>
      <c r="J4984" s="570"/>
      <c r="K4984" s="570"/>
    </row>
    <row r="4985" ht="13.75" customHeight="1">
      <c r="A4985" s="833">
        <v>272</v>
      </c>
      <c r="B4985" t="s" s="834">
        <v>3451</v>
      </c>
      <c r="C4985" t="s" s="834">
        <v>1571</v>
      </c>
      <c r="D4985" s="835">
        <v>46029</v>
      </c>
      <c r="E4985" s="836">
        <v>1.765289351851852</v>
      </c>
      <c r="F4985" t="s" s="834">
        <v>478</v>
      </c>
      <c r="G4985" s="570"/>
      <c r="H4985" s="570"/>
      <c r="I4985" s="570"/>
      <c r="J4985" s="570"/>
      <c r="K4985" s="570"/>
    </row>
    <row r="4986" ht="13.75" customHeight="1">
      <c r="A4986" t="s" s="834">
        <v>3458</v>
      </c>
      <c r="B4986" t="s" s="834">
        <v>485</v>
      </c>
      <c r="C4986" t="s" s="834">
        <v>486</v>
      </c>
      <c r="D4986" s="570"/>
      <c r="E4986" s="570"/>
      <c r="F4986" s="570"/>
      <c r="G4986" s="570"/>
      <c r="H4986" s="570"/>
      <c r="I4986" s="570"/>
      <c r="J4986" s="570"/>
      <c r="K4986" s="570"/>
    </row>
    <row r="4987" ht="13.75" customHeight="1">
      <c r="A4987" s="833">
        <v>272</v>
      </c>
      <c r="B4987" t="s" s="834">
        <v>3451</v>
      </c>
      <c r="C4987" t="s" s="834">
        <v>1571</v>
      </c>
      <c r="D4987" s="835">
        <v>46030</v>
      </c>
      <c r="E4987" s="836">
        <v>1.774664351851852</v>
      </c>
      <c r="F4987" t="s" s="834">
        <v>478</v>
      </c>
      <c r="G4987" s="570"/>
      <c r="H4987" s="570"/>
      <c r="I4987" s="570"/>
      <c r="J4987" s="570"/>
      <c r="K4987" s="570"/>
    </row>
    <row r="4988" ht="13.75" customHeight="1">
      <c r="A4988" t="s" s="834">
        <v>3459</v>
      </c>
      <c r="B4988" t="s" s="834">
        <v>485</v>
      </c>
      <c r="C4988" t="s" s="834">
        <v>486</v>
      </c>
      <c r="D4988" s="570"/>
      <c r="E4988" s="570"/>
      <c r="F4988" s="570"/>
      <c r="G4988" s="570"/>
      <c r="H4988" s="570"/>
      <c r="I4988" s="570"/>
      <c r="J4988" s="570"/>
      <c r="K4988" s="570"/>
    </row>
    <row r="4989" ht="13.75" customHeight="1">
      <c r="A4989" s="833">
        <v>272</v>
      </c>
      <c r="B4989" t="s" s="834">
        <v>3451</v>
      </c>
      <c r="C4989" t="s" s="834">
        <v>1571</v>
      </c>
      <c r="D4989" s="835">
        <v>46031</v>
      </c>
      <c r="E4989" s="836">
        <v>1.483796296296296</v>
      </c>
      <c r="F4989" s="836">
        <v>1.768032407407407</v>
      </c>
      <c r="G4989" s="570"/>
      <c r="H4989" s="570"/>
      <c r="I4989" s="570"/>
      <c r="J4989" s="570"/>
      <c r="K4989" s="570"/>
    </row>
    <row r="4990" ht="13.75" customHeight="1">
      <c r="A4990" t="s" s="834">
        <v>3460</v>
      </c>
      <c r="B4990" t="s" s="834">
        <v>3461</v>
      </c>
      <c r="C4990" t="s" s="834">
        <v>3462</v>
      </c>
      <c r="D4990" s="570"/>
      <c r="E4990" s="570"/>
      <c r="F4990" s="570"/>
      <c r="G4990" s="570"/>
      <c r="H4990" s="570"/>
      <c r="I4990" s="570"/>
      <c r="J4990" s="570"/>
      <c r="K4990" s="570"/>
    </row>
    <row r="4991" ht="13.75" customHeight="1">
      <c r="A4991" s="833">
        <v>272</v>
      </c>
      <c r="B4991" t="s" s="834">
        <v>3451</v>
      </c>
      <c r="C4991" t="s" s="834">
        <v>1571</v>
      </c>
      <c r="D4991" s="835">
        <v>46032</v>
      </c>
      <c r="E4991" s="836">
        <v>1.415138888888889</v>
      </c>
      <c r="F4991" s="836">
        <v>1.67837962962963</v>
      </c>
      <c r="G4991" s="570"/>
      <c r="H4991" s="570"/>
      <c r="I4991" s="570"/>
      <c r="J4991" s="570"/>
      <c r="K4991" s="570"/>
    </row>
    <row r="4992" ht="13.75" customHeight="1">
      <c r="A4992" t="s" s="834">
        <v>3463</v>
      </c>
      <c r="B4992" t="s" s="834">
        <v>3464</v>
      </c>
      <c r="C4992" t="s" s="834">
        <v>3465</v>
      </c>
      <c r="D4992" s="570"/>
      <c r="E4992" s="570"/>
      <c r="F4992" s="570"/>
      <c r="G4992" s="570"/>
      <c r="H4992" s="570"/>
      <c r="I4992" s="570"/>
      <c r="J4992" s="570"/>
      <c r="K4992" s="570"/>
    </row>
    <row r="4993" ht="13.75" customHeight="1">
      <c r="A4993" s="833">
        <v>272</v>
      </c>
      <c r="B4993" t="s" s="834">
        <v>3451</v>
      </c>
      <c r="C4993" t="s" s="834">
        <v>1571</v>
      </c>
      <c r="D4993" s="835">
        <v>46033</v>
      </c>
      <c r="E4993" t="s" s="834">
        <v>478</v>
      </c>
      <c r="F4993" t="s" s="834">
        <v>478</v>
      </c>
      <c r="G4993" s="570"/>
      <c r="H4993" s="570"/>
      <c r="I4993" s="570"/>
      <c r="J4993" s="570"/>
      <c r="K4993" s="570"/>
    </row>
    <row r="4994" ht="13.75" customHeight="1">
      <c r="A4994" s="833">
        <v>272</v>
      </c>
      <c r="B4994" t="s" s="834">
        <v>3451</v>
      </c>
      <c r="C4994" t="s" s="834">
        <v>1571</v>
      </c>
      <c r="D4994" s="835">
        <v>46034</v>
      </c>
      <c r="E4994" t="s" s="834">
        <v>478</v>
      </c>
      <c r="F4994" t="s" s="834">
        <v>478</v>
      </c>
      <c r="G4994" s="570"/>
      <c r="H4994" s="570"/>
      <c r="I4994" s="570"/>
      <c r="J4994" s="570"/>
      <c r="K4994" s="570"/>
    </row>
    <row r="4995" ht="13.75" customHeight="1">
      <c r="A4995" s="833">
        <v>272</v>
      </c>
      <c r="B4995" t="s" s="834">
        <v>3451</v>
      </c>
      <c r="C4995" t="s" s="834">
        <v>1571</v>
      </c>
      <c r="D4995" s="835">
        <v>46035</v>
      </c>
      <c r="E4995" s="836">
        <v>1.696099537037037</v>
      </c>
      <c r="F4995" s="836">
        <v>1.710358796296296</v>
      </c>
      <c r="G4995" s="570"/>
      <c r="H4995" s="570"/>
      <c r="I4995" s="570"/>
      <c r="J4995" s="570"/>
      <c r="K4995" s="570"/>
    </row>
    <row r="4996" ht="13.75" customHeight="1">
      <c r="A4996" t="s" s="834">
        <v>3466</v>
      </c>
      <c r="B4996" t="s" s="834">
        <v>3467</v>
      </c>
      <c r="C4996" t="s" s="834">
        <v>3468</v>
      </c>
      <c r="D4996" s="570"/>
      <c r="E4996" s="570"/>
      <c r="F4996" s="570"/>
      <c r="G4996" s="570"/>
      <c r="H4996" s="570"/>
      <c r="I4996" s="570"/>
      <c r="J4996" s="570"/>
      <c r="K4996" s="570"/>
    </row>
    <row r="4997" ht="13.75" customHeight="1">
      <c r="A4997" s="833">
        <v>272</v>
      </c>
      <c r="B4997" t="s" s="834">
        <v>3451</v>
      </c>
      <c r="C4997" t="s" s="834">
        <v>1571</v>
      </c>
      <c r="D4997" s="835">
        <v>46036</v>
      </c>
      <c r="E4997" t="s" s="834">
        <v>478</v>
      </c>
      <c r="F4997" t="s" s="834">
        <v>478</v>
      </c>
      <c r="G4997" s="570"/>
      <c r="H4997" s="570"/>
      <c r="I4997" s="570"/>
      <c r="J4997" s="570"/>
      <c r="K4997" s="570"/>
    </row>
    <row r="4998" ht="13.75" customHeight="1">
      <c r="A4998" s="833">
        <v>272</v>
      </c>
      <c r="B4998" t="s" s="834">
        <v>3451</v>
      </c>
      <c r="C4998" t="s" s="834">
        <v>1571</v>
      </c>
      <c r="D4998" s="835">
        <v>46037</v>
      </c>
      <c r="E4998" s="836">
        <v>1.417511574074074</v>
      </c>
      <c r="F4998" s="836">
        <v>1.653506944444445</v>
      </c>
      <c r="G4998" s="570"/>
      <c r="H4998" s="570"/>
      <c r="I4998" s="570"/>
      <c r="J4998" s="570"/>
      <c r="K4998" s="570"/>
    </row>
    <row r="4999" ht="13.75" customHeight="1">
      <c r="A4999" t="s" s="834">
        <v>3469</v>
      </c>
      <c r="B4999" t="s" s="834">
        <v>3470</v>
      </c>
      <c r="C4999" t="s" s="834">
        <v>3471</v>
      </c>
      <c r="D4999" s="570"/>
      <c r="E4999" s="570"/>
      <c r="F4999" s="570"/>
      <c r="G4999" s="570"/>
      <c r="H4999" s="570"/>
      <c r="I4999" s="570"/>
      <c r="J4999" s="570"/>
      <c r="K4999" s="570"/>
    </row>
    <row r="5000" ht="13.75" customHeight="1">
      <c r="A5000" s="833">
        <v>272</v>
      </c>
      <c r="B5000" t="s" s="834">
        <v>3451</v>
      </c>
      <c r="C5000" t="s" s="834">
        <v>1571</v>
      </c>
      <c r="D5000" s="835">
        <v>46038</v>
      </c>
      <c r="E5000" s="836">
        <v>1.01</v>
      </c>
      <c r="F5000" t="s" s="834">
        <v>478</v>
      </c>
      <c r="G5000" s="570"/>
      <c r="H5000" s="570"/>
      <c r="I5000" s="570"/>
      <c r="J5000" s="570"/>
      <c r="K5000" s="570"/>
    </row>
    <row r="5001" ht="13.75" customHeight="1">
      <c r="A5001" t="s" s="834">
        <v>3472</v>
      </c>
      <c r="B5001" t="s" s="834">
        <v>485</v>
      </c>
      <c r="C5001" t="s" s="834">
        <v>486</v>
      </c>
      <c r="D5001" s="570"/>
      <c r="E5001" s="570"/>
      <c r="F5001" s="570"/>
      <c r="G5001" s="570"/>
      <c r="H5001" s="570"/>
      <c r="I5001" s="570"/>
      <c r="J5001" s="570"/>
      <c r="K5001" s="570"/>
    </row>
    <row r="5002" ht="13.75" customHeight="1">
      <c r="A5002" s="833">
        <v>272</v>
      </c>
      <c r="B5002" t="s" s="834">
        <v>3451</v>
      </c>
      <c r="C5002" t="s" s="834">
        <v>1571</v>
      </c>
      <c r="D5002" s="835">
        <v>46039</v>
      </c>
      <c r="E5002" t="s" s="834">
        <v>478</v>
      </c>
      <c r="F5002" t="s" s="834">
        <v>478</v>
      </c>
      <c r="G5002" s="570"/>
      <c r="H5002" s="570"/>
      <c r="I5002" s="570"/>
      <c r="J5002" s="570"/>
      <c r="K5002" s="570"/>
    </row>
    <row r="5003" ht="13.75" customHeight="1">
      <c r="A5003" s="833">
        <v>272</v>
      </c>
      <c r="B5003" t="s" s="834">
        <v>3451</v>
      </c>
      <c r="C5003" t="s" s="834">
        <v>1571</v>
      </c>
      <c r="D5003" s="835">
        <v>46040</v>
      </c>
      <c r="E5003" t="s" s="834">
        <v>478</v>
      </c>
      <c r="F5003" t="s" s="834">
        <v>478</v>
      </c>
      <c r="G5003" s="570"/>
      <c r="H5003" s="570"/>
      <c r="I5003" s="570"/>
      <c r="J5003" s="570"/>
      <c r="K5003" s="570"/>
    </row>
    <row r="5004" ht="13.75" customHeight="1">
      <c r="A5004" s="833">
        <v>272</v>
      </c>
      <c r="B5004" t="s" s="834">
        <v>3451</v>
      </c>
      <c r="C5004" t="s" s="834">
        <v>1571</v>
      </c>
      <c r="D5004" s="835">
        <v>46041</v>
      </c>
      <c r="E5004" t="s" s="834">
        <v>478</v>
      </c>
      <c r="F5004" t="s" s="834">
        <v>478</v>
      </c>
      <c r="G5004" s="570"/>
      <c r="H5004" s="570"/>
      <c r="I5004" s="570"/>
      <c r="J5004" s="570"/>
      <c r="K5004" s="570"/>
    </row>
    <row r="5005" ht="13.75" customHeight="1">
      <c r="A5005" s="833">
        <v>272</v>
      </c>
      <c r="B5005" t="s" s="834">
        <v>3451</v>
      </c>
      <c r="C5005" t="s" s="834">
        <v>1571</v>
      </c>
      <c r="D5005" s="835">
        <v>46042</v>
      </c>
      <c r="E5005" s="836">
        <v>1.604027777777778</v>
      </c>
      <c r="F5005" s="836">
        <v>1.759270833333333</v>
      </c>
      <c r="G5005" s="570"/>
      <c r="H5005" s="570"/>
      <c r="I5005" s="570"/>
      <c r="J5005" s="570"/>
      <c r="K5005" s="570"/>
    </row>
    <row r="5006" ht="13.75" customHeight="1">
      <c r="A5006" t="s" s="834">
        <v>3473</v>
      </c>
      <c r="B5006" t="s" s="834">
        <v>3474</v>
      </c>
      <c r="C5006" t="s" s="834">
        <v>1627</v>
      </c>
      <c r="D5006" s="570"/>
      <c r="E5006" s="570"/>
      <c r="F5006" s="570"/>
      <c r="G5006" s="570"/>
      <c r="H5006" s="570"/>
      <c r="I5006" s="570"/>
      <c r="J5006" s="570"/>
      <c r="K5006" s="570"/>
    </row>
    <row r="5007" ht="13.75" customHeight="1">
      <c r="A5007" s="833">
        <v>272</v>
      </c>
      <c r="B5007" t="s" s="834">
        <v>3451</v>
      </c>
      <c r="C5007" t="s" s="834">
        <v>1571</v>
      </c>
      <c r="D5007" s="835">
        <v>46043</v>
      </c>
      <c r="E5007" s="836">
        <v>1.760138888888889</v>
      </c>
      <c r="F5007" t="s" s="834">
        <v>478</v>
      </c>
      <c r="G5007" s="570"/>
      <c r="H5007" s="570"/>
      <c r="I5007" s="570"/>
      <c r="J5007" s="570"/>
      <c r="K5007" s="570"/>
    </row>
    <row r="5008" ht="13.75" customHeight="1">
      <c r="A5008" t="s" s="834">
        <v>3475</v>
      </c>
      <c r="B5008" t="s" s="834">
        <v>485</v>
      </c>
      <c r="C5008" t="s" s="834">
        <v>486</v>
      </c>
      <c r="D5008" s="570"/>
      <c r="E5008" s="570"/>
      <c r="F5008" s="570"/>
      <c r="G5008" s="570"/>
      <c r="H5008" s="570"/>
      <c r="I5008" s="570"/>
      <c r="J5008" s="570"/>
      <c r="K5008" s="570"/>
    </row>
    <row r="5009" ht="13.75" customHeight="1">
      <c r="A5009" s="833">
        <v>272</v>
      </c>
      <c r="B5009" t="s" s="834">
        <v>3451</v>
      </c>
      <c r="C5009" t="s" s="834">
        <v>1571</v>
      </c>
      <c r="D5009" s="835">
        <v>46044</v>
      </c>
      <c r="E5009" s="836">
        <v>1.772199074074074</v>
      </c>
      <c r="F5009" s="836">
        <v>1.772604166666667</v>
      </c>
      <c r="G5009" s="570"/>
      <c r="H5009" s="570"/>
      <c r="I5009" s="570"/>
      <c r="J5009" s="570"/>
      <c r="K5009" s="570"/>
    </row>
    <row r="5010" ht="13.75" customHeight="1">
      <c r="A5010" t="s" s="834">
        <v>3476</v>
      </c>
      <c r="B5010" t="s" s="834">
        <v>3477</v>
      </c>
      <c r="C5010" t="s" s="834">
        <v>805</v>
      </c>
      <c r="D5010" s="570"/>
      <c r="E5010" s="570"/>
      <c r="F5010" s="570"/>
      <c r="G5010" s="570"/>
      <c r="H5010" s="570"/>
      <c r="I5010" s="570"/>
      <c r="J5010" s="570"/>
      <c r="K5010" s="570"/>
    </row>
    <row r="5011" ht="13.75" customHeight="1">
      <c r="A5011" s="833">
        <v>272</v>
      </c>
      <c r="B5011" t="s" s="834">
        <v>3451</v>
      </c>
      <c r="C5011" t="s" s="834">
        <v>1571</v>
      </c>
      <c r="D5011" s="835">
        <v>46045</v>
      </c>
      <c r="E5011" s="836">
        <v>1.484236111111111</v>
      </c>
      <c r="F5011" t="s" s="834">
        <v>478</v>
      </c>
      <c r="G5011" s="570"/>
      <c r="H5011" s="570"/>
      <c r="I5011" s="570"/>
      <c r="J5011" s="570"/>
      <c r="K5011" s="570"/>
    </row>
    <row r="5012" ht="13.75" customHeight="1">
      <c r="A5012" t="s" s="834">
        <v>3478</v>
      </c>
      <c r="B5012" t="s" s="834">
        <v>485</v>
      </c>
      <c r="C5012" t="s" s="834">
        <v>486</v>
      </c>
      <c r="D5012" s="570"/>
      <c r="E5012" s="570"/>
      <c r="F5012" s="570"/>
      <c r="G5012" s="570"/>
      <c r="H5012" s="570"/>
      <c r="I5012" s="570"/>
      <c r="J5012" s="570"/>
      <c r="K5012" s="570"/>
    </row>
    <row r="5013" ht="13.75" customHeight="1">
      <c r="A5013" s="833">
        <v>272</v>
      </c>
      <c r="B5013" t="s" s="834">
        <v>3451</v>
      </c>
      <c r="C5013" t="s" s="834">
        <v>1571</v>
      </c>
      <c r="D5013" s="835">
        <v>46046</v>
      </c>
      <c r="E5013" t="s" s="834">
        <v>478</v>
      </c>
      <c r="F5013" t="s" s="834">
        <v>478</v>
      </c>
      <c r="G5013" s="570"/>
      <c r="H5013" s="570"/>
      <c r="I5013" s="570"/>
      <c r="J5013" s="570"/>
      <c r="K5013" s="570"/>
    </row>
    <row r="5014" ht="13.75" customHeight="1">
      <c r="A5014" s="833">
        <v>272</v>
      </c>
      <c r="B5014" t="s" s="834">
        <v>3451</v>
      </c>
      <c r="C5014" t="s" s="834">
        <v>1571</v>
      </c>
      <c r="D5014" s="835">
        <v>46047</v>
      </c>
      <c r="E5014" t="s" s="834">
        <v>478</v>
      </c>
      <c r="F5014" t="s" s="834">
        <v>478</v>
      </c>
      <c r="G5014" s="570"/>
      <c r="H5014" s="570"/>
      <c r="I5014" s="570"/>
      <c r="J5014" s="570"/>
      <c r="K5014" s="570"/>
    </row>
    <row r="5015" ht="13.75" customHeight="1">
      <c r="A5015" s="833">
        <v>272</v>
      </c>
      <c r="B5015" t="s" s="834">
        <v>3451</v>
      </c>
      <c r="C5015" t="s" s="834">
        <v>1571</v>
      </c>
      <c r="D5015" s="835">
        <v>46048</v>
      </c>
      <c r="E5015" t="s" s="834">
        <v>478</v>
      </c>
      <c r="F5015" t="s" s="834">
        <v>478</v>
      </c>
      <c r="G5015" s="570"/>
      <c r="H5015" s="570"/>
      <c r="I5015" s="570"/>
      <c r="J5015" s="570"/>
      <c r="K5015" s="570"/>
    </row>
    <row r="5016" ht="13.75" customHeight="1">
      <c r="A5016" s="833">
        <v>272</v>
      </c>
      <c r="B5016" t="s" s="834">
        <v>3451</v>
      </c>
      <c r="C5016" t="s" s="834">
        <v>1571</v>
      </c>
      <c r="D5016" s="835">
        <v>46049</v>
      </c>
      <c r="E5016" s="836">
        <v>1.494826388888889</v>
      </c>
      <c r="F5016" s="836">
        <v>1.757893518518518</v>
      </c>
      <c r="G5016" s="570"/>
      <c r="H5016" s="570"/>
      <c r="I5016" s="570"/>
      <c r="J5016" s="570"/>
      <c r="K5016" s="570"/>
    </row>
    <row r="5017" ht="13.75" customHeight="1">
      <c r="A5017" t="s" s="834">
        <v>3479</v>
      </c>
      <c r="B5017" t="s" s="834">
        <v>3480</v>
      </c>
      <c r="C5017" t="s" s="834">
        <v>3465</v>
      </c>
      <c r="D5017" s="570"/>
      <c r="E5017" s="570"/>
      <c r="F5017" s="570"/>
      <c r="G5017" s="570"/>
      <c r="H5017" s="570"/>
      <c r="I5017" s="570"/>
      <c r="J5017" s="570"/>
      <c r="K5017" s="570"/>
    </row>
    <row r="5018" ht="13.75" customHeight="1">
      <c r="A5018" s="833">
        <v>272</v>
      </c>
      <c r="B5018" t="s" s="834">
        <v>3451</v>
      </c>
      <c r="C5018" t="s" s="834">
        <v>1571</v>
      </c>
      <c r="D5018" s="835">
        <v>46050</v>
      </c>
      <c r="E5018" t="s" s="834">
        <v>478</v>
      </c>
      <c r="F5018" t="s" s="834">
        <v>478</v>
      </c>
      <c r="G5018" s="570"/>
      <c r="H5018" s="570"/>
      <c r="I5018" s="570"/>
      <c r="J5018" s="570"/>
      <c r="K5018" s="570"/>
    </row>
    <row r="5019" ht="13.75" customHeight="1">
      <c r="A5019" s="833">
        <v>272</v>
      </c>
      <c r="B5019" t="s" s="834">
        <v>3451</v>
      </c>
      <c r="C5019" t="s" s="834">
        <v>1571</v>
      </c>
      <c r="D5019" s="835">
        <v>46051</v>
      </c>
      <c r="E5019" s="836">
        <v>1.50224537037037</v>
      </c>
      <c r="F5019" s="836">
        <v>1.764189814814815</v>
      </c>
      <c r="G5019" s="570"/>
      <c r="H5019" s="570"/>
      <c r="I5019" s="570"/>
      <c r="J5019" s="570"/>
      <c r="K5019" s="570"/>
    </row>
    <row r="5020" ht="13.75" customHeight="1">
      <c r="A5020" t="s" s="834">
        <v>3481</v>
      </c>
      <c r="B5020" t="s" s="834">
        <v>3482</v>
      </c>
      <c r="C5020" t="s" s="834">
        <v>3483</v>
      </c>
      <c r="D5020" s="570"/>
      <c r="E5020" s="570"/>
      <c r="F5020" s="570"/>
      <c r="G5020" s="570"/>
      <c r="H5020" s="570"/>
      <c r="I5020" s="570"/>
      <c r="J5020" s="570"/>
      <c r="K5020" s="570"/>
    </row>
    <row r="5021" ht="13.75" customHeight="1">
      <c r="A5021" s="833">
        <v>272</v>
      </c>
      <c r="B5021" t="s" s="834">
        <v>3451</v>
      </c>
      <c r="C5021" t="s" s="834">
        <v>1571</v>
      </c>
      <c r="D5021" s="835">
        <v>46052</v>
      </c>
      <c r="E5021" s="836">
        <v>1.505439814814815</v>
      </c>
      <c r="F5021" s="836">
        <v>1.786597222222222</v>
      </c>
      <c r="G5021" s="570"/>
      <c r="H5021" s="570"/>
      <c r="I5021" s="570"/>
      <c r="J5021" s="570"/>
      <c r="K5021" s="570"/>
    </row>
    <row r="5022" ht="13.75" customHeight="1">
      <c r="A5022" t="s" s="834">
        <v>3484</v>
      </c>
      <c r="B5022" t="s" s="834">
        <v>3485</v>
      </c>
      <c r="C5022" t="s" s="834">
        <v>3486</v>
      </c>
      <c r="D5022" s="570"/>
      <c r="E5022" s="570"/>
      <c r="F5022" s="570"/>
      <c r="G5022" s="570"/>
      <c r="H5022" s="570"/>
      <c r="I5022" s="570"/>
      <c r="J5022" s="570"/>
      <c r="K5022" s="570"/>
    </row>
    <row r="5023" ht="13.75" customHeight="1">
      <c r="A5023" s="833">
        <v>272</v>
      </c>
      <c r="B5023" t="s" s="834">
        <v>3451</v>
      </c>
      <c r="C5023" t="s" s="834">
        <v>1571</v>
      </c>
      <c r="D5023" s="835">
        <v>46053</v>
      </c>
      <c r="E5023" t="s" s="834">
        <v>478</v>
      </c>
      <c r="F5023" t="s" s="834">
        <v>478</v>
      </c>
      <c r="G5023" s="570"/>
      <c r="H5023" s="570"/>
      <c r="I5023" s="570"/>
      <c r="J5023" s="570"/>
      <c r="K5023" s="570"/>
    </row>
    <row r="5024" ht="13.75" customHeight="1">
      <c r="A5024" s="833">
        <v>272</v>
      </c>
      <c r="B5024" t="s" s="834">
        <v>3451</v>
      </c>
      <c r="C5024" t="s" s="834">
        <v>1571</v>
      </c>
      <c r="D5024" s="835">
        <v>46054</v>
      </c>
      <c r="E5024" s="836">
        <v>1.988680555555556</v>
      </c>
      <c r="F5024" s="836">
        <v>1.988715277777778</v>
      </c>
      <c r="G5024" s="570"/>
      <c r="H5024" s="570"/>
      <c r="I5024" s="570"/>
      <c r="J5024" s="570"/>
      <c r="K5024" s="570"/>
    </row>
    <row r="5025" ht="13.75" customHeight="1">
      <c r="A5025" t="s" s="834">
        <v>3487</v>
      </c>
      <c r="B5025" t="s" s="834">
        <v>3488</v>
      </c>
      <c r="C5025" t="s" s="834">
        <v>486</v>
      </c>
      <c r="D5025" s="570"/>
      <c r="E5025" s="570"/>
      <c r="F5025" s="570"/>
      <c r="G5025" s="570"/>
      <c r="H5025" s="570"/>
      <c r="I5025" s="570"/>
      <c r="J5025" s="570"/>
      <c r="K5025" s="570"/>
    </row>
    <row r="5026" ht="13.75" customHeight="1">
      <c r="A5026" s="833">
        <v>273</v>
      </c>
      <c r="B5026" t="s" s="834">
        <v>3489</v>
      </c>
      <c r="C5026" t="s" s="834">
        <v>800</v>
      </c>
      <c r="D5026" s="835">
        <v>46023</v>
      </c>
      <c r="E5026" t="s" s="834">
        <v>478</v>
      </c>
      <c r="F5026" t="s" s="834">
        <v>478</v>
      </c>
      <c r="G5026" s="570"/>
      <c r="H5026" s="570"/>
      <c r="I5026" s="570"/>
      <c r="J5026" s="570"/>
      <c r="K5026" s="570"/>
    </row>
    <row r="5027" ht="13.75" customHeight="1">
      <c r="A5027" s="833">
        <v>273</v>
      </c>
      <c r="B5027" t="s" s="834">
        <v>3489</v>
      </c>
      <c r="C5027" t="s" s="834">
        <v>800</v>
      </c>
      <c r="D5027" s="835">
        <v>46024</v>
      </c>
      <c r="E5027" t="s" s="834">
        <v>478</v>
      </c>
      <c r="F5027" t="s" s="834">
        <v>478</v>
      </c>
      <c r="G5027" s="570"/>
      <c r="H5027" s="570"/>
      <c r="I5027" s="570"/>
      <c r="J5027" s="570"/>
      <c r="K5027" s="570"/>
    </row>
    <row r="5028" ht="13.75" customHeight="1">
      <c r="A5028" s="833">
        <v>273</v>
      </c>
      <c r="B5028" t="s" s="834">
        <v>3489</v>
      </c>
      <c r="C5028" t="s" s="834">
        <v>800</v>
      </c>
      <c r="D5028" s="835">
        <v>46025</v>
      </c>
      <c r="E5028" s="836">
        <v>1.336469907407407</v>
      </c>
      <c r="F5028" s="836">
        <v>1.414560185185185</v>
      </c>
      <c r="G5028" s="570"/>
      <c r="H5028" s="570"/>
      <c r="I5028" s="570"/>
      <c r="J5028" s="570"/>
      <c r="K5028" s="570"/>
    </row>
    <row r="5029" ht="13.75" customHeight="1">
      <c r="A5029" t="s" s="834">
        <v>3490</v>
      </c>
      <c r="B5029" t="s" s="834">
        <v>3491</v>
      </c>
      <c r="C5029" t="s" s="834">
        <v>3492</v>
      </c>
      <c r="D5029" s="570"/>
      <c r="E5029" s="570"/>
      <c r="F5029" s="570"/>
      <c r="G5029" s="570"/>
      <c r="H5029" s="570"/>
      <c r="I5029" s="570"/>
      <c r="J5029" s="570"/>
      <c r="K5029" s="570"/>
    </row>
    <row r="5030" ht="13.75" customHeight="1">
      <c r="A5030" s="833">
        <v>273</v>
      </c>
      <c r="B5030" t="s" s="834">
        <v>3489</v>
      </c>
      <c r="C5030" t="s" s="834">
        <v>800</v>
      </c>
      <c r="D5030" s="835">
        <v>46026</v>
      </c>
      <c r="E5030" t="s" s="834">
        <v>478</v>
      </c>
      <c r="F5030" t="s" s="834">
        <v>478</v>
      </c>
      <c r="G5030" s="570"/>
      <c r="H5030" s="570"/>
      <c r="I5030" s="570"/>
      <c r="J5030" s="570"/>
      <c r="K5030" s="570"/>
    </row>
    <row r="5031" ht="13.75" customHeight="1">
      <c r="A5031" s="833">
        <v>273</v>
      </c>
      <c r="B5031" t="s" s="834">
        <v>3489</v>
      </c>
      <c r="C5031" t="s" s="834">
        <v>800</v>
      </c>
      <c r="D5031" s="835">
        <v>46027</v>
      </c>
      <c r="E5031" s="836">
        <v>1.351215277777778</v>
      </c>
      <c r="F5031" s="836">
        <v>1.625196759259259</v>
      </c>
      <c r="G5031" s="570"/>
      <c r="H5031" s="570"/>
      <c r="I5031" s="570"/>
      <c r="J5031" s="570"/>
      <c r="K5031" s="570"/>
    </row>
    <row r="5032" ht="13.75" customHeight="1">
      <c r="A5032" t="s" s="834">
        <v>3493</v>
      </c>
      <c r="B5032" t="s" s="834">
        <v>3494</v>
      </c>
      <c r="C5032" t="s" s="834">
        <v>2885</v>
      </c>
      <c r="D5032" s="570"/>
      <c r="E5032" s="570"/>
      <c r="F5032" s="570"/>
      <c r="G5032" s="570"/>
      <c r="H5032" s="570"/>
      <c r="I5032" s="570"/>
      <c r="J5032" s="570"/>
      <c r="K5032" s="570"/>
    </row>
    <row r="5033" ht="13.75" customHeight="1">
      <c r="A5033" s="833">
        <v>273</v>
      </c>
      <c r="B5033" t="s" s="834">
        <v>3489</v>
      </c>
      <c r="C5033" t="s" s="834">
        <v>800</v>
      </c>
      <c r="D5033" s="835">
        <v>46028</v>
      </c>
      <c r="E5033" s="836">
        <v>1.351377314814815</v>
      </c>
      <c r="F5033" s="836">
        <v>1.625185185185185</v>
      </c>
      <c r="G5033" s="570"/>
      <c r="H5033" s="570"/>
      <c r="I5033" s="570"/>
      <c r="J5033" s="570"/>
      <c r="K5033" s="570"/>
    </row>
    <row r="5034" ht="13.75" customHeight="1">
      <c r="A5034" t="s" s="834">
        <v>3495</v>
      </c>
      <c r="B5034" t="s" s="834">
        <v>3496</v>
      </c>
      <c r="C5034" t="s" s="834">
        <v>3497</v>
      </c>
      <c r="D5034" s="570"/>
      <c r="E5034" s="570"/>
      <c r="F5034" s="570"/>
      <c r="G5034" s="570"/>
      <c r="H5034" s="570"/>
      <c r="I5034" s="570"/>
      <c r="J5034" s="570"/>
      <c r="K5034" s="570"/>
    </row>
    <row r="5035" ht="13.75" customHeight="1">
      <c r="A5035" s="833">
        <v>273</v>
      </c>
      <c r="B5035" t="s" s="834">
        <v>3489</v>
      </c>
      <c r="C5035" t="s" s="834">
        <v>800</v>
      </c>
      <c r="D5035" s="835">
        <v>46029</v>
      </c>
      <c r="E5035" s="836">
        <v>1.351134259259259</v>
      </c>
      <c r="F5035" s="836">
        <v>1.626666666666667</v>
      </c>
      <c r="G5035" s="570"/>
      <c r="H5035" s="570"/>
      <c r="I5035" s="570"/>
      <c r="J5035" s="570"/>
      <c r="K5035" s="570"/>
    </row>
    <row r="5036" ht="13.75" customHeight="1">
      <c r="A5036" t="s" s="834">
        <v>3498</v>
      </c>
      <c r="B5036" t="s" s="834">
        <v>3499</v>
      </c>
      <c r="C5036" t="s" s="834">
        <v>3500</v>
      </c>
      <c r="D5036" s="570"/>
      <c r="E5036" s="570"/>
      <c r="F5036" s="570"/>
      <c r="G5036" s="570"/>
      <c r="H5036" s="570"/>
      <c r="I5036" s="570"/>
      <c r="J5036" s="570"/>
      <c r="K5036" s="570"/>
    </row>
    <row r="5037" ht="13.75" customHeight="1">
      <c r="A5037" s="833">
        <v>273</v>
      </c>
      <c r="B5037" t="s" s="834">
        <v>3489</v>
      </c>
      <c r="C5037" t="s" s="834">
        <v>800</v>
      </c>
      <c r="D5037" s="835">
        <v>46030</v>
      </c>
      <c r="E5037" s="836">
        <v>1.351076388888889</v>
      </c>
      <c r="F5037" s="836">
        <v>1.638668981481481</v>
      </c>
      <c r="G5037" s="570"/>
      <c r="H5037" s="570"/>
      <c r="I5037" s="570"/>
      <c r="J5037" s="570"/>
      <c r="K5037" s="570"/>
    </row>
    <row r="5038" ht="13.75" customHeight="1">
      <c r="A5038" t="s" s="834">
        <v>3501</v>
      </c>
      <c r="B5038" t="s" s="834">
        <v>3502</v>
      </c>
      <c r="C5038" t="s" s="834">
        <v>3503</v>
      </c>
      <c r="D5038" s="570"/>
      <c r="E5038" s="570"/>
      <c r="F5038" s="570"/>
      <c r="G5038" s="570"/>
      <c r="H5038" s="570"/>
      <c r="I5038" s="570"/>
      <c r="J5038" s="570"/>
      <c r="K5038" s="570"/>
    </row>
    <row r="5039" ht="13.75" customHeight="1">
      <c r="A5039" s="833">
        <v>273</v>
      </c>
      <c r="B5039" t="s" s="834">
        <v>3489</v>
      </c>
      <c r="C5039" t="s" s="834">
        <v>800</v>
      </c>
      <c r="D5039" s="835">
        <v>46031</v>
      </c>
      <c r="E5039" s="836">
        <v>1.351076388888889</v>
      </c>
      <c r="F5039" s="836">
        <v>1.625023148148148</v>
      </c>
      <c r="G5039" s="570"/>
      <c r="H5039" s="570"/>
      <c r="I5039" s="570"/>
      <c r="J5039" s="570"/>
      <c r="K5039" s="570"/>
    </row>
    <row r="5040" ht="13.75" customHeight="1">
      <c r="A5040" t="s" s="834">
        <v>3504</v>
      </c>
      <c r="B5040" t="s" s="834">
        <v>3505</v>
      </c>
      <c r="C5040" t="s" s="834">
        <v>3497</v>
      </c>
      <c r="D5040" s="570"/>
      <c r="E5040" s="570"/>
      <c r="F5040" s="570"/>
      <c r="G5040" s="570"/>
      <c r="H5040" s="570"/>
      <c r="I5040" s="570"/>
      <c r="J5040" s="570"/>
      <c r="K5040" s="570"/>
    </row>
    <row r="5041" ht="13.75" customHeight="1">
      <c r="A5041" s="833">
        <v>273</v>
      </c>
      <c r="B5041" t="s" s="834">
        <v>3489</v>
      </c>
      <c r="C5041" t="s" s="834">
        <v>800</v>
      </c>
      <c r="D5041" s="835">
        <v>46032</v>
      </c>
      <c r="E5041" s="836">
        <v>1.346030092592593</v>
      </c>
      <c r="F5041" s="836">
        <v>1.628587962962963</v>
      </c>
      <c r="G5041" s="570"/>
      <c r="H5041" s="570"/>
      <c r="I5041" s="570"/>
      <c r="J5041" s="570"/>
      <c r="K5041" s="570"/>
    </row>
    <row r="5042" ht="13.75" customHeight="1">
      <c r="A5042" t="s" s="834">
        <v>3506</v>
      </c>
      <c r="B5042" t="s" s="834">
        <v>3507</v>
      </c>
      <c r="C5042" t="s" s="834">
        <v>3508</v>
      </c>
      <c r="D5042" s="570"/>
      <c r="E5042" s="570"/>
      <c r="F5042" s="570"/>
      <c r="G5042" s="570"/>
      <c r="H5042" s="570"/>
      <c r="I5042" s="570"/>
      <c r="J5042" s="570"/>
      <c r="K5042" s="570"/>
    </row>
    <row r="5043" ht="13.75" customHeight="1">
      <c r="A5043" s="833">
        <v>273</v>
      </c>
      <c r="B5043" t="s" s="834">
        <v>3489</v>
      </c>
      <c r="C5043" t="s" s="834">
        <v>800</v>
      </c>
      <c r="D5043" s="835">
        <v>46033</v>
      </c>
      <c r="E5043" t="s" s="834">
        <v>478</v>
      </c>
      <c r="F5043" t="s" s="834">
        <v>478</v>
      </c>
      <c r="G5043" s="570"/>
      <c r="H5043" s="570"/>
      <c r="I5043" s="570"/>
      <c r="J5043" s="570"/>
      <c r="K5043" s="570"/>
    </row>
    <row r="5044" ht="13.75" customHeight="1">
      <c r="A5044" s="833">
        <v>273</v>
      </c>
      <c r="B5044" t="s" s="834">
        <v>3489</v>
      </c>
      <c r="C5044" t="s" s="834">
        <v>800</v>
      </c>
      <c r="D5044" s="835">
        <v>46034</v>
      </c>
      <c r="E5044" s="836">
        <v>1.350729166666667</v>
      </c>
      <c r="F5044" s="836">
        <v>1.625405092592592</v>
      </c>
      <c r="G5044" s="570"/>
      <c r="H5044" s="570"/>
      <c r="I5044" s="570"/>
      <c r="J5044" s="570"/>
      <c r="K5044" s="570"/>
    </row>
    <row r="5045" ht="13.75" customHeight="1">
      <c r="A5045" t="s" s="834">
        <v>3509</v>
      </c>
      <c r="B5045" t="s" s="834">
        <v>3510</v>
      </c>
      <c r="C5045" t="s" s="834">
        <v>3511</v>
      </c>
      <c r="D5045" s="570"/>
      <c r="E5045" s="570"/>
      <c r="F5045" s="570"/>
      <c r="G5045" s="570"/>
      <c r="H5045" s="570"/>
      <c r="I5045" s="570"/>
      <c r="J5045" s="570"/>
      <c r="K5045" s="570"/>
    </row>
    <row r="5046" ht="13.75" customHeight="1">
      <c r="A5046" s="833">
        <v>273</v>
      </c>
      <c r="B5046" t="s" s="834">
        <v>3489</v>
      </c>
      <c r="C5046" t="s" s="834">
        <v>800</v>
      </c>
      <c r="D5046" s="835">
        <v>46035</v>
      </c>
      <c r="E5046" s="836">
        <v>1.3509375</v>
      </c>
      <c r="F5046" s="836">
        <v>1.624606481481481</v>
      </c>
      <c r="G5046" s="570"/>
      <c r="H5046" s="570"/>
      <c r="I5046" s="570"/>
      <c r="J5046" s="570"/>
      <c r="K5046" s="570"/>
    </row>
    <row r="5047" ht="13.75" customHeight="1">
      <c r="A5047" t="s" s="834">
        <v>3512</v>
      </c>
      <c r="B5047" t="s" s="834">
        <v>3513</v>
      </c>
      <c r="C5047" t="s" s="834">
        <v>3497</v>
      </c>
      <c r="D5047" s="570"/>
      <c r="E5047" s="570"/>
      <c r="F5047" s="570"/>
      <c r="G5047" s="570"/>
      <c r="H5047" s="570"/>
      <c r="I5047" s="570"/>
      <c r="J5047" s="570"/>
      <c r="K5047" s="570"/>
    </row>
    <row r="5048" ht="13.75" customHeight="1">
      <c r="A5048" s="833">
        <v>273</v>
      </c>
      <c r="B5048" t="s" s="834">
        <v>3489</v>
      </c>
      <c r="C5048" t="s" s="834">
        <v>800</v>
      </c>
      <c r="D5048" s="835">
        <v>46036</v>
      </c>
      <c r="E5048" s="836">
        <v>1.350949074074074</v>
      </c>
      <c r="F5048" s="836">
        <v>1.627430555555556</v>
      </c>
      <c r="G5048" s="570"/>
      <c r="H5048" s="570"/>
      <c r="I5048" s="570"/>
      <c r="J5048" s="570"/>
      <c r="K5048" s="570"/>
    </row>
    <row r="5049" ht="13.75" customHeight="1">
      <c r="A5049" t="s" s="834">
        <v>3514</v>
      </c>
      <c r="B5049" t="s" s="834">
        <v>3515</v>
      </c>
      <c r="C5049" t="s" s="834">
        <v>3516</v>
      </c>
      <c r="D5049" s="570"/>
      <c r="E5049" s="570"/>
      <c r="F5049" s="570"/>
      <c r="G5049" s="570"/>
      <c r="H5049" s="570"/>
      <c r="I5049" s="570"/>
      <c r="J5049" s="570"/>
      <c r="K5049" s="570"/>
    </row>
    <row r="5050" ht="13.75" customHeight="1">
      <c r="A5050" s="833">
        <v>273</v>
      </c>
      <c r="B5050" t="s" s="834">
        <v>3489</v>
      </c>
      <c r="C5050" t="s" s="834">
        <v>800</v>
      </c>
      <c r="D5050" s="835">
        <v>46037</v>
      </c>
      <c r="E5050" s="836">
        <v>1.351006944444444</v>
      </c>
      <c r="F5050" s="836">
        <v>1.627361111111111</v>
      </c>
      <c r="G5050" s="570"/>
      <c r="H5050" s="570"/>
      <c r="I5050" s="570"/>
      <c r="J5050" s="570"/>
      <c r="K5050" s="570"/>
    </row>
    <row r="5051" ht="13.75" customHeight="1">
      <c r="A5051" t="s" s="834">
        <v>3517</v>
      </c>
      <c r="B5051" t="s" s="834">
        <v>3518</v>
      </c>
      <c r="C5051" t="s" s="834">
        <v>3516</v>
      </c>
      <c r="D5051" s="570"/>
      <c r="E5051" s="570"/>
      <c r="F5051" s="570"/>
      <c r="G5051" s="570"/>
      <c r="H5051" s="570"/>
      <c r="I5051" s="570"/>
      <c r="J5051" s="570"/>
      <c r="K5051" s="570"/>
    </row>
    <row r="5052" ht="13.75" customHeight="1">
      <c r="A5052" s="833">
        <v>273</v>
      </c>
      <c r="B5052" t="s" s="834">
        <v>3489</v>
      </c>
      <c r="C5052" t="s" s="834">
        <v>800</v>
      </c>
      <c r="D5052" s="835">
        <v>46038</v>
      </c>
      <c r="E5052" s="836">
        <v>1.351296296296296</v>
      </c>
      <c r="F5052" s="836">
        <v>1.626585648148148</v>
      </c>
      <c r="G5052" s="570"/>
      <c r="H5052" s="570"/>
      <c r="I5052" s="570"/>
      <c r="J5052" s="570"/>
      <c r="K5052" s="570"/>
    </row>
    <row r="5053" ht="13.75" customHeight="1">
      <c r="A5053" t="s" s="834">
        <v>3519</v>
      </c>
      <c r="B5053" t="s" s="834">
        <v>3520</v>
      </c>
      <c r="C5053" t="s" s="834">
        <v>3511</v>
      </c>
      <c r="D5053" s="570"/>
      <c r="E5053" s="570"/>
      <c r="F5053" s="570"/>
      <c r="G5053" s="570"/>
      <c r="H5053" s="570"/>
      <c r="I5053" s="570"/>
      <c r="J5053" s="570"/>
      <c r="K5053" s="570"/>
    </row>
    <row r="5054" ht="13.75" customHeight="1">
      <c r="A5054" s="833">
        <v>273</v>
      </c>
      <c r="B5054" t="s" s="834">
        <v>3489</v>
      </c>
      <c r="C5054" t="s" s="834">
        <v>800</v>
      </c>
      <c r="D5054" s="835">
        <v>46039</v>
      </c>
      <c r="E5054" s="836">
        <v>1.341793981481481</v>
      </c>
      <c r="F5054" s="836">
        <v>1.43099537037037</v>
      </c>
      <c r="G5054" s="570"/>
      <c r="H5054" s="570"/>
      <c r="I5054" s="570"/>
      <c r="J5054" s="570"/>
      <c r="K5054" s="570"/>
    </row>
    <row r="5055" ht="13.75" customHeight="1">
      <c r="A5055" t="s" s="834">
        <v>3521</v>
      </c>
      <c r="B5055" t="s" s="834">
        <v>3522</v>
      </c>
      <c r="C5055" t="s" s="834">
        <v>3523</v>
      </c>
      <c r="D5055" s="570"/>
      <c r="E5055" s="570"/>
      <c r="F5055" s="570"/>
      <c r="G5055" s="570"/>
      <c r="H5055" s="570"/>
      <c r="I5055" s="570"/>
      <c r="J5055" s="570"/>
      <c r="K5055" s="570"/>
    </row>
    <row r="5056" ht="13.75" customHeight="1">
      <c r="A5056" s="833">
        <v>273</v>
      </c>
      <c r="B5056" t="s" s="834">
        <v>3489</v>
      </c>
      <c r="C5056" t="s" s="834">
        <v>800</v>
      </c>
      <c r="D5056" s="835">
        <v>46040</v>
      </c>
      <c r="E5056" t="s" s="834">
        <v>478</v>
      </c>
      <c r="F5056" t="s" s="834">
        <v>478</v>
      </c>
      <c r="G5056" s="570"/>
      <c r="H5056" s="570"/>
      <c r="I5056" s="570"/>
      <c r="J5056" s="570"/>
      <c r="K5056" s="570"/>
    </row>
    <row r="5057" ht="13.75" customHeight="1">
      <c r="A5057" s="833">
        <v>273</v>
      </c>
      <c r="B5057" t="s" s="834">
        <v>3489</v>
      </c>
      <c r="C5057" t="s" s="834">
        <v>800</v>
      </c>
      <c r="D5057" s="835">
        <v>46041</v>
      </c>
      <c r="E5057" s="836">
        <v>1.351574074074074</v>
      </c>
      <c r="F5057" s="836">
        <v>1.625601851851852</v>
      </c>
      <c r="G5057" s="570"/>
      <c r="H5057" s="570"/>
      <c r="I5057" s="570"/>
      <c r="J5057" s="570"/>
      <c r="K5057" s="570"/>
    </row>
    <row r="5058" ht="13.75" customHeight="1">
      <c r="A5058" t="s" s="834">
        <v>3524</v>
      </c>
      <c r="B5058" t="s" s="834">
        <v>3525</v>
      </c>
      <c r="C5058" t="s" s="834">
        <v>2885</v>
      </c>
      <c r="D5058" s="570"/>
      <c r="E5058" s="570"/>
      <c r="F5058" s="570"/>
      <c r="G5058" s="570"/>
      <c r="H5058" s="570"/>
      <c r="I5058" s="570"/>
      <c r="J5058" s="570"/>
      <c r="K5058" s="570"/>
    </row>
    <row r="5059" ht="13.75" customHeight="1">
      <c r="A5059" s="833">
        <v>273</v>
      </c>
      <c r="B5059" t="s" s="834">
        <v>3489</v>
      </c>
      <c r="C5059" t="s" s="834">
        <v>800</v>
      </c>
      <c r="D5059" s="835">
        <v>46042</v>
      </c>
      <c r="E5059" s="836">
        <v>1.351041666666667</v>
      </c>
      <c r="F5059" s="836">
        <v>1.625601851851852</v>
      </c>
      <c r="G5059" s="570"/>
      <c r="H5059" s="570"/>
      <c r="I5059" s="570"/>
      <c r="J5059" s="570"/>
      <c r="K5059" s="570"/>
    </row>
    <row r="5060" ht="13.75" customHeight="1">
      <c r="A5060" t="s" s="834">
        <v>3526</v>
      </c>
      <c r="B5060" t="s" s="834">
        <v>3527</v>
      </c>
      <c r="C5060" t="s" s="834">
        <v>2885</v>
      </c>
      <c r="D5060" s="570"/>
      <c r="E5060" s="570"/>
      <c r="F5060" s="570"/>
      <c r="G5060" s="570"/>
      <c r="H5060" s="570"/>
      <c r="I5060" s="570"/>
      <c r="J5060" s="570"/>
      <c r="K5060" s="570"/>
    </row>
    <row r="5061" ht="13.75" customHeight="1">
      <c r="A5061" s="833">
        <v>273</v>
      </c>
      <c r="B5061" t="s" s="834">
        <v>3489</v>
      </c>
      <c r="C5061" t="s" s="834">
        <v>800</v>
      </c>
      <c r="D5061" s="835">
        <v>46043</v>
      </c>
      <c r="E5061" s="836">
        <v>1.350983796296296</v>
      </c>
      <c r="F5061" s="836">
        <v>1.62681712962963</v>
      </c>
      <c r="G5061" s="570"/>
      <c r="H5061" s="570"/>
      <c r="I5061" s="570"/>
      <c r="J5061" s="570"/>
      <c r="K5061" s="570"/>
    </row>
    <row r="5062" ht="13.75" customHeight="1">
      <c r="A5062" t="s" s="834">
        <v>3528</v>
      </c>
      <c r="B5062" t="s" s="834">
        <v>3529</v>
      </c>
      <c r="C5062" t="s" s="834">
        <v>3500</v>
      </c>
      <c r="D5062" s="570"/>
      <c r="E5062" s="570"/>
      <c r="F5062" s="570"/>
      <c r="G5062" s="570"/>
      <c r="H5062" s="570"/>
      <c r="I5062" s="570"/>
      <c r="J5062" s="570"/>
      <c r="K5062" s="570"/>
    </row>
    <row r="5063" ht="13.75" customHeight="1">
      <c r="A5063" s="833">
        <v>273</v>
      </c>
      <c r="B5063" t="s" s="834">
        <v>3489</v>
      </c>
      <c r="C5063" t="s" s="834">
        <v>800</v>
      </c>
      <c r="D5063" s="835">
        <v>46044</v>
      </c>
      <c r="E5063" s="836">
        <v>1.3509375</v>
      </c>
      <c r="F5063" s="836">
        <v>1.6259375</v>
      </c>
      <c r="G5063" s="570"/>
      <c r="H5063" s="570"/>
      <c r="I5063" s="570"/>
      <c r="J5063" s="570"/>
      <c r="K5063" s="570"/>
    </row>
    <row r="5064" ht="13.75" customHeight="1">
      <c r="A5064" t="s" s="834">
        <v>3530</v>
      </c>
      <c r="B5064" t="s" s="834">
        <v>3531</v>
      </c>
      <c r="C5064" t="s" s="834">
        <v>3511</v>
      </c>
      <c r="D5064" s="570"/>
      <c r="E5064" s="570"/>
      <c r="F5064" s="570"/>
      <c r="G5064" s="570"/>
      <c r="H5064" s="570"/>
      <c r="I5064" s="570"/>
      <c r="J5064" s="570"/>
      <c r="K5064" s="570"/>
    </row>
    <row r="5065" ht="13.75" customHeight="1">
      <c r="A5065" s="833">
        <v>273</v>
      </c>
      <c r="B5065" t="s" s="834">
        <v>3489</v>
      </c>
      <c r="C5065" t="s" s="834">
        <v>800</v>
      </c>
      <c r="D5065" s="835">
        <v>46045</v>
      </c>
      <c r="E5065" s="836">
        <v>1.350960648148148</v>
      </c>
      <c r="F5065" s="836">
        <v>1.626979166666667</v>
      </c>
      <c r="G5065" s="570"/>
      <c r="H5065" s="570"/>
      <c r="I5065" s="570"/>
      <c r="J5065" s="570"/>
      <c r="K5065" s="570"/>
    </row>
    <row r="5066" ht="13.75" customHeight="1">
      <c r="A5066" t="s" s="834">
        <v>3532</v>
      </c>
      <c r="B5066" t="s" s="834">
        <v>3533</v>
      </c>
      <c r="C5066" t="s" s="834">
        <v>3500</v>
      </c>
      <c r="D5066" s="570"/>
      <c r="E5066" s="570"/>
      <c r="F5066" s="570"/>
      <c r="G5066" s="570"/>
      <c r="H5066" s="570"/>
      <c r="I5066" s="570"/>
      <c r="J5066" s="570"/>
      <c r="K5066" s="570"/>
    </row>
    <row r="5067" ht="13.75" customHeight="1">
      <c r="A5067" s="833">
        <v>273</v>
      </c>
      <c r="B5067" t="s" s="834">
        <v>3489</v>
      </c>
      <c r="C5067" t="s" s="834">
        <v>800</v>
      </c>
      <c r="D5067" s="835">
        <v>46046</v>
      </c>
      <c r="E5067" s="836">
        <v>1.337465277777778</v>
      </c>
      <c r="F5067" s="836">
        <v>1.4390625</v>
      </c>
      <c r="G5067" s="570"/>
      <c r="H5067" s="570"/>
      <c r="I5067" s="570"/>
      <c r="J5067" s="570"/>
      <c r="K5067" s="570"/>
    </row>
    <row r="5068" ht="13.75" customHeight="1">
      <c r="A5068" t="s" s="834">
        <v>3534</v>
      </c>
      <c r="B5068" t="s" s="834">
        <v>3535</v>
      </c>
      <c r="C5068" t="s" s="834">
        <v>3536</v>
      </c>
      <c r="D5068" s="570"/>
      <c r="E5068" s="570"/>
      <c r="F5068" s="570"/>
      <c r="G5068" s="570"/>
      <c r="H5068" s="570"/>
      <c r="I5068" s="570"/>
      <c r="J5068" s="570"/>
      <c r="K5068" s="570"/>
    </row>
    <row r="5069" ht="13.75" customHeight="1">
      <c r="A5069" s="833">
        <v>273</v>
      </c>
      <c r="B5069" t="s" s="834">
        <v>3489</v>
      </c>
      <c r="C5069" t="s" s="834">
        <v>800</v>
      </c>
      <c r="D5069" s="835">
        <v>46047</v>
      </c>
      <c r="E5069" t="s" s="834">
        <v>478</v>
      </c>
      <c r="F5069" t="s" s="834">
        <v>478</v>
      </c>
      <c r="G5069" s="570"/>
      <c r="H5069" s="570"/>
      <c r="I5069" s="570"/>
      <c r="J5069" s="570"/>
      <c r="K5069" s="570"/>
    </row>
    <row r="5070" ht="13.75" customHeight="1">
      <c r="A5070" s="833">
        <v>273</v>
      </c>
      <c r="B5070" t="s" s="834">
        <v>3489</v>
      </c>
      <c r="C5070" t="s" s="834">
        <v>800</v>
      </c>
      <c r="D5070" s="835">
        <v>46048</v>
      </c>
      <c r="E5070" s="836">
        <v>1.350810185185185</v>
      </c>
      <c r="F5070" s="836">
        <v>1.629212962962963</v>
      </c>
      <c r="G5070" s="570"/>
      <c r="H5070" s="570"/>
      <c r="I5070" s="570"/>
      <c r="J5070" s="570"/>
      <c r="K5070" s="570"/>
    </row>
    <row r="5071" ht="13.75" customHeight="1">
      <c r="A5071" t="s" s="834">
        <v>3537</v>
      </c>
      <c r="B5071" t="s" s="834">
        <v>3538</v>
      </c>
      <c r="C5071" t="s" s="834">
        <v>3539</v>
      </c>
      <c r="D5071" s="570"/>
      <c r="E5071" s="570"/>
      <c r="F5071" s="570"/>
      <c r="G5071" s="570"/>
      <c r="H5071" s="570"/>
      <c r="I5071" s="570"/>
      <c r="J5071" s="570"/>
      <c r="K5071" s="570"/>
    </row>
    <row r="5072" ht="13.75" customHeight="1">
      <c r="A5072" s="833">
        <v>273</v>
      </c>
      <c r="B5072" t="s" s="834">
        <v>3489</v>
      </c>
      <c r="C5072" t="s" s="834">
        <v>800</v>
      </c>
      <c r="D5072" s="835">
        <v>46049</v>
      </c>
      <c r="E5072" s="836">
        <v>1.350914351851852</v>
      </c>
      <c r="F5072" s="836">
        <v>1.626342592592593</v>
      </c>
      <c r="G5072" s="570"/>
      <c r="H5072" s="570"/>
      <c r="I5072" s="570"/>
      <c r="J5072" s="570"/>
      <c r="K5072" s="570"/>
    </row>
    <row r="5073" ht="13.75" customHeight="1">
      <c r="A5073" t="s" s="834">
        <v>3540</v>
      </c>
      <c r="B5073" t="s" s="834">
        <v>3541</v>
      </c>
      <c r="C5073" t="s" s="834">
        <v>3500</v>
      </c>
      <c r="D5073" s="570"/>
      <c r="E5073" s="570"/>
      <c r="F5073" s="570"/>
      <c r="G5073" s="570"/>
      <c r="H5073" s="570"/>
      <c r="I5073" s="570"/>
      <c r="J5073" s="570"/>
      <c r="K5073" s="570"/>
    </row>
    <row r="5074" ht="13.75" customHeight="1">
      <c r="A5074" s="833">
        <v>273</v>
      </c>
      <c r="B5074" t="s" s="834">
        <v>3489</v>
      </c>
      <c r="C5074" t="s" s="834">
        <v>800</v>
      </c>
      <c r="D5074" s="835">
        <v>46050</v>
      </c>
      <c r="E5074" s="836">
        <v>1.351111111111111</v>
      </c>
      <c r="F5074" s="836">
        <v>1.625451388888889</v>
      </c>
      <c r="G5074" s="570"/>
      <c r="H5074" s="570"/>
      <c r="I5074" s="570"/>
      <c r="J5074" s="570"/>
      <c r="K5074" s="570"/>
    </row>
    <row r="5075" ht="13.75" customHeight="1">
      <c r="A5075" t="s" s="834">
        <v>3542</v>
      </c>
      <c r="B5075" t="s" s="834">
        <v>3543</v>
      </c>
      <c r="C5075" t="s" s="834">
        <v>2885</v>
      </c>
      <c r="D5075" s="570"/>
      <c r="E5075" s="570"/>
      <c r="F5075" s="570"/>
      <c r="G5075" s="570"/>
      <c r="H5075" s="570"/>
      <c r="I5075" s="570"/>
      <c r="J5075" s="570"/>
      <c r="K5075" s="570"/>
    </row>
    <row r="5076" ht="13.75" customHeight="1">
      <c r="A5076" s="833">
        <v>273</v>
      </c>
      <c r="B5076" t="s" s="834">
        <v>3489</v>
      </c>
      <c r="C5076" t="s" s="834">
        <v>800</v>
      </c>
      <c r="D5076" s="835">
        <v>46051</v>
      </c>
      <c r="E5076" s="836">
        <v>1.350775462962963</v>
      </c>
      <c r="F5076" s="836">
        <v>1.625613425925926</v>
      </c>
      <c r="G5076" s="570"/>
      <c r="H5076" s="570"/>
      <c r="I5076" s="570"/>
      <c r="J5076" s="570"/>
      <c r="K5076" s="570"/>
    </row>
    <row r="5077" ht="13.75" customHeight="1">
      <c r="A5077" t="s" s="834">
        <v>3544</v>
      </c>
      <c r="B5077" t="s" s="834">
        <v>3545</v>
      </c>
      <c r="C5077" t="s" s="834">
        <v>3511</v>
      </c>
      <c r="D5077" s="570"/>
      <c r="E5077" s="570"/>
      <c r="F5077" s="570"/>
      <c r="G5077" s="570"/>
      <c r="H5077" s="570"/>
      <c r="I5077" s="570"/>
      <c r="J5077" s="570"/>
      <c r="K5077" s="570"/>
    </row>
    <row r="5078" ht="13.75" customHeight="1">
      <c r="A5078" s="833">
        <v>273</v>
      </c>
      <c r="B5078" t="s" s="834">
        <v>3489</v>
      </c>
      <c r="C5078" t="s" s="834">
        <v>800</v>
      </c>
      <c r="D5078" s="835">
        <v>46052</v>
      </c>
      <c r="E5078" s="836">
        <v>1.35099537037037</v>
      </c>
      <c r="F5078" s="836">
        <v>1.627268518518519</v>
      </c>
      <c r="G5078" s="570"/>
      <c r="H5078" s="570"/>
      <c r="I5078" s="570"/>
      <c r="J5078" s="570"/>
      <c r="K5078" s="570"/>
    </row>
    <row r="5079" ht="13.75" customHeight="1">
      <c r="A5079" t="s" s="834">
        <v>3546</v>
      </c>
      <c r="B5079" t="s" s="834">
        <v>3547</v>
      </c>
      <c r="C5079" t="s" s="834">
        <v>3516</v>
      </c>
      <c r="D5079" s="570"/>
      <c r="E5079" s="570"/>
      <c r="F5079" s="570"/>
      <c r="G5079" s="570"/>
      <c r="H5079" s="570"/>
      <c r="I5079" s="570"/>
      <c r="J5079" s="570"/>
      <c r="K5079" s="570"/>
    </row>
    <row r="5080" ht="13.75" customHeight="1">
      <c r="A5080" s="833">
        <v>273</v>
      </c>
      <c r="B5080" t="s" s="834">
        <v>3489</v>
      </c>
      <c r="C5080" t="s" s="834">
        <v>800</v>
      </c>
      <c r="D5080" s="835">
        <v>46053</v>
      </c>
      <c r="E5080" s="836">
        <v>1.346944444444444</v>
      </c>
      <c r="F5080" s="836">
        <v>1.441782407407407</v>
      </c>
      <c r="G5080" s="570"/>
      <c r="H5080" s="570"/>
      <c r="I5080" s="570"/>
      <c r="J5080" s="570"/>
      <c r="K5080" s="570"/>
    </row>
    <row r="5081" ht="13.75" customHeight="1">
      <c r="A5081" t="s" s="834">
        <v>3548</v>
      </c>
      <c r="B5081" t="s" s="834">
        <v>3549</v>
      </c>
      <c r="C5081" t="s" s="834">
        <v>3550</v>
      </c>
      <c r="D5081" s="570"/>
      <c r="E5081" s="570"/>
      <c r="F5081" s="570"/>
      <c r="G5081" s="570"/>
      <c r="H5081" s="570"/>
      <c r="I5081" s="570"/>
      <c r="J5081" s="570"/>
      <c r="K5081" s="570"/>
    </row>
    <row r="5082" ht="13.75" customHeight="1">
      <c r="A5082" s="833">
        <v>273</v>
      </c>
      <c r="B5082" t="s" s="834">
        <v>3489</v>
      </c>
      <c r="C5082" t="s" s="834">
        <v>800</v>
      </c>
      <c r="D5082" s="835">
        <v>46054</v>
      </c>
      <c r="E5082" t="s" s="834">
        <v>478</v>
      </c>
      <c r="F5082" t="s" s="834">
        <v>478</v>
      </c>
      <c r="G5082" s="570"/>
      <c r="H5082" s="570"/>
      <c r="I5082" s="570"/>
      <c r="J5082" s="570"/>
      <c r="K5082" s="570"/>
    </row>
    <row r="5083" ht="13.75" customHeight="1">
      <c r="A5083" s="833">
        <v>274</v>
      </c>
      <c r="B5083" t="s" s="834">
        <v>3551</v>
      </c>
      <c r="C5083" t="s" s="834">
        <v>147</v>
      </c>
      <c r="D5083" s="835">
        <v>46023</v>
      </c>
      <c r="E5083" t="s" s="834">
        <v>478</v>
      </c>
      <c r="F5083" t="s" s="834">
        <v>478</v>
      </c>
      <c r="G5083" s="570"/>
      <c r="H5083" s="570"/>
      <c r="I5083" s="570"/>
      <c r="J5083" s="570"/>
      <c r="K5083" s="570"/>
    </row>
    <row r="5084" ht="13.75" customHeight="1">
      <c r="A5084" s="833">
        <v>274</v>
      </c>
      <c r="B5084" t="s" s="834">
        <v>3551</v>
      </c>
      <c r="C5084" t="s" s="834">
        <v>147</v>
      </c>
      <c r="D5084" s="835">
        <v>46024</v>
      </c>
      <c r="E5084" t="s" s="834">
        <v>478</v>
      </c>
      <c r="F5084" t="s" s="834">
        <v>478</v>
      </c>
      <c r="G5084" s="570"/>
      <c r="H5084" s="570"/>
      <c r="I5084" s="570"/>
      <c r="J5084" s="570"/>
      <c r="K5084" s="570"/>
    </row>
    <row r="5085" ht="13.75" customHeight="1">
      <c r="A5085" s="833">
        <v>274</v>
      </c>
      <c r="B5085" t="s" s="834">
        <v>3551</v>
      </c>
      <c r="C5085" t="s" s="834">
        <v>147</v>
      </c>
      <c r="D5085" s="835">
        <v>46025</v>
      </c>
      <c r="E5085" t="s" s="834">
        <v>478</v>
      </c>
      <c r="F5085" t="s" s="834">
        <v>478</v>
      </c>
      <c r="G5085" s="570"/>
      <c r="H5085" s="570"/>
      <c r="I5085" s="570"/>
      <c r="J5085" s="570"/>
      <c r="K5085" s="570"/>
    </row>
    <row r="5086" ht="13.75" customHeight="1">
      <c r="A5086" s="833">
        <v>274</v>
      </c>
      <c r="B5086" t="s" s="834">
        <v>3551</v>
      </c>
      <c r="C5086" t="s" s="834">
        <v>147</v>
      </c>
      <c r="D5086" s="835">
        <v>46026</v>
      </c>
      <c r="E5086" t="s" s="834">
        <v>478</v>
      </c>
      <c r="F5086" t="s" s="834">
        <v>478</v>
      </c>
      <c r="G5086" s="570"/>
      <c r="H5086" s="570"/>
      <c r="I5086" s="570"/>
      <c r="J5086" s="570"/>
      <c r="K5086" s="570"/>
    </row>
    <row r="5087" ht="13.75" customHeight="1">
      <c r="A5087" s="833">
        <v>274</v>
      </c>
      <c r="B5087" t="s" s="834">
        <v>3551</v>
      </c>
      <c r="C5087" t="s" s="834">
        <v>147</v>
      </c>
      <c r="D5087" s="835">
        <v>46027</v>
      </c>
      <c r="E5087" s="836">
        <v>1.356006944444444</v>
      </c>
      <c r="F5087" s="836">
        <v>1.765659722222222</v>
      </c>
      <c r="G5087" s="570"/>
      <c r="H5087" s="570"/>
      <c r="I5087" s="570"/>
      <c r="J5087" s="570"/>
      <c r="K5087" s="570"/>
    </row>
    <row r="5088" ht="13.75" customHeight="1">
      <c r="A5088" t="s" s="834">
        <v>3552</v>
      </c>
      <c r="B5088" t="s" s="834">
        <v>3553</v>
      </c>
      <c r="C5088" t="s" s="834">
        <v>1119</v>
      </c>
      <c r="D5088" s="570"/>
      <c r="E5088" s="570"/>
      <c r="F5088" s="570"/>
      <c r="G5088" s="570"/>
      <c r="H5088" s="570"/>
      <c r="I5088" s="570"/>
      <c r="J5088" s="570"/>
      <c r="K5088" s="570"/>
    </row>
    <row r="5089" ht="13.75" customHeight="1">
      <c r="A5089" s="833">
        <v>274</v>
      </c>
      <c r="B5089" t="s" s="834">
        <v>3551</v>
      </c>
      <c r="C5089" t="s" s="834">
        <v>147</v>
      </c>
      <c r="D5089" s="835">
        <v>46028</v>
      </c>
      <c r="E5089" s="836">
        <v>1.466157407407407</v>
      </c>
      <c r="F5089" t="s" s="834">
        <v>478</v>
      </c>
      <c r="G5089" s="570"/>
      <c r="H5089" s="570"/>
      <c r="I5089" s="570"/>
      <c r="J5089" s="570"/>
      <c r="K5089" s="570"/>
    </row>
    <row r="5090" ht="13.75" customHeight="1">
      <c r="A5090" t="s" s="834">
        <v>3554</v>
      </c>
      <c r="B5090" t="s" s="834">
        <v>485</v>
      </c>
      <c r="C5090" t="s" s="834">
        <v>486</v>
      </c>
      <c r="D5090" s="570"/>
      <c r="E5090" s="570"/>
      <c r="F5090" s="570"/>
      <c r="G5090" s="570"/>
      <c r="H5090" s="570"/>
      <c r="I5090" s="570"/>
      <c r="J5090" s="570"/>
      <c r="K5090" s="570"/>
    </row>
    <row r="5091" ht="13.75" customHeight="1">
      <c r="A5091" s="833">
        <v>274</v>
      </c>
      <c r="B5091" t="s" s="834">
        <v>3551</v>
      </c>
      <c r="C5091" t="s" s="834">
        <v>147</v>
      </c>
      <c r="D5091" s="835">
        <v>46029</v>
      </c>
      <c r="E5091" t="s" s="834">
        <v>478</v>
      </c>
      <c r="F5091" t="s" s="834">
        <v>478</v>
      </c>
      <c r="G5091" s="570"/>
      <c r="H5091" s="570"/>
      <c r="I5091" s="570"/>
      <c r="J5091" s="570"/>
      <c r="K5091" s="570"/>
    </row>
    <row r="5092" ht="13.75" customHeight="1">
      <c r="A5092" s="833">
        <v>274</v>
      </c>
      <c r="B5092" t="s" s="834">
        <v>3551</v>
      </c>
      <c r="C5092" t="s" s="834">
        <v>147</v>
      </c>
      <c r="D5092" s="835">
        <v>46030</v>
      </c>
      <c r="E5092" s="836">
        <v>1.752395833333333</v>
      </c>
      <c r="F5092" t="s" s="834">
        <v>478</v>
      </c>
      <c r="G5092" s="570"/>
      <c r="H5092" s="570"/>
      <c r="I5092" s="570"/>
      <c r="J5092" s="570"/>
      <c r="K5092" s="570"/>
    </row>
    <row r="5093" ht="13.75" customHeight="1">
      <c r="A5093" t="s" s="834">
        <v>3555</v>
      </c>
      <c r="B5093" t="s" s="834">
        <v>485</v>
      </c>
      <c r="C5093" t="s" s="834">
        <v>486</v>
      </c>
      <c r="D5093" s="570"/>
      <c r="E5093" s="570"/>
      <c r="F5093" s="570"/>
      <c r="G5093" s="570"/>
      <c r="H5093" s="570"/>
      <c r="I5093" s="570"/>
      <c r="J5093" s="570"/>
      <c r="K5093" s="570"/>
    </row>
    <row r="5094" ht="13.75" customHeight="1">
      <c r="A5094" s="833">
        <v>274</v>
      </c>
      <c r="B5094" t="s" s="834">
        <v>3551</v>
      </c>
      <c r="C5094" t="s" s="834">
        <v>147</v>
      </c>
      <c r="D5094" s="835">
        <v>46031</v>
      </c>
      <c r="E5094" s="836">
        <v>1.355775462962963</v>
      </c>
      <c r="F5094" s="836">
        <v>1.500462962962963</v>
      </c>
      <c r="G5094" s="570"/>
      <c r="H5094" s="570"/>
      <c r="I5094" s="570"/>
      <c r="J5094" s="570"/>
      <c r="K5094" s="570"/>
    </row>
    <row r="5095" ht="13.75" customHeight="1">
      <c r="A5095" t="s" s="834">
        <v>3556</v>
      </c>
      <c r="B5095" t="s" s="834">
        <v>3557</v>
      </c>
      <c r="C5095" t="s" s="834">
        <v>1993</v>
      </c>
      <c r="D5095" s="570"/>
      <c r="E5095" s="570"/>
      <c r="F5095" s="570"/>
      <c r="G5095" s="570"/>
      <c r="H5095" s="570"/>
      <c r="I5095" s="570"/>
      <c r="J5095" s="570"/>
      <c r="K5095" s="570"/>
    </row>
    <row r="5096" ht="13.75" customHeight="1">
      <c r="A5096" s="833">
        <v>274</v>
      </c>
      <c r="B5096" t="s" s="834">
        <v>3551</v>
      </c>
      <c r="C5096" t="s" s="834">
        <v>147</v>
      </c>
      <c r="D5096" s="835">
        <v>46032</v>
      </c>
      <c r="E5096" t="s" s="834">
        <v>478</v>
      </c>
      <c r="F5096" t="s" s="834">
        <v>478</v>
      </c>
      <c r="G5096" s="570"/>
      <c r="H5096" s="570"/>
      <c r="I5096" s="570"/>
      <c r="J5096" s="570"/>
      <c r="K5096" s="570"/>
    </row>
    <row r="5097" ht="13.75" customHeight="1">
      <c r="A5097" s="833">
        <v>274</v>
      </c>
      <c r="B5097" t="s" s="834">
        <v>3551</v>
      </c>
      <c r="C5097" t="s" s="834">
        <v>147</v>
      </c>
      <c r="D5097" s="835">
        <v>46033</v>
      </c>
      <c r="E5097" t="s" s="834">
        <v>478</v>
      </c>
      <c r="F5097" t="s" s="834">
        <v>478</v>
      </c>
      <c r="G5097" s="570"/>
      <c r="H5097" s="570"/>
      <c r="I5097" s="570"/>
      <c r="J5097" s="570"/>
      <c r="K5097" s="570"/>
    </row>
    <row r="5098" ht="13.75" customHeight="1">
      <c r="A5098" s="833">
        <v>274</v>
      </c>
      <c r="B5098" t="s" s="834">
        <v>3551</v>
      </c>
      <c r="C5098" t="s" s="834">
        <v>147</v>
      </c>
      <c r="D5098" s="835">
        <v>46034</v>
      </c>
      <c r="E5098" s="836">
        <v>1.756134259259259</v>
      </c>
      <c r="F5098" s="836">
        <v>1.756354166666667</v>
      </c>
      <c r="G5098" s="570"/>
      <c r="H5098" s="570"/>
      <c r="I5098" s="570"/>
      <c r="J5098" s="570"/>
      <c r="K5098" s="570"/>
    </row>
    <row r="5099" ht="13.75" customHeight="1">
      <c r="A5099" t="s" s="834">
        <v>3558</v>
      </c>
      <c r="B5099" t="s" s="834">
        <v>3559</v>
      </c>
      <c r="C5099" t="s" s="834">
        <v>486</v>
      </c>
      <c r="D5099" s="570"/>
      <c r="E5099" s="570"/>
      <c r="F5099" s="570"/>
      <c r="G5099" s="570"/>
      <c r="H5099" s="570"/>
      <c r="I5099" s="570"/>
      <c r="J5099" s="570"/>
      <c r="K5099" s="570"/>
    </row>
    <row r="5100" ht="13.75" customHeight="1">
      <c r="A5100" s="833">
        <v>274</v>
      </c>
      <c r="B5100" t="s" s="834">
        <v>3551</v>
      </c>
      <c r="C5100" t="s" s="834">
        <v>147</v>
      </c>
      <c r="D5100" s="835">
        <v>46035</v>
      </c>
      <c r="E5100" s="836">
        <v>1.358402777777778</v>
      </c>
      <c r="F5100" s="836">
        <v>1.734247685185185</v>
      </c>
      <c r="G5100" s="570"/>
      <c r="H5100" s="570"/>
      <c r="I5100" s="570"/>
      <c r="J5100" s="570"/>
      <c r="K5100" s="570"/>
    </row>
    <row r="5101" ht="13.75" customHeight="1">
      <c r="A5101" t="s" s="834">
        <v>3560</v>
      </c>
      <c r="B5101" t="s" s="834">
        <v>3561</v>
      </c>
      <c r="C5101" t="s" s="834">
        <v>556</v>
      </c>
      <c r="D5101" s="570"/>
      <c r="E5101" s="570"/>
      <c r="F5101" s="570"/>
      <c r="G5101" s="570"/>
      <c r="H5101" s="570"/>
      <c r="I5101" s="570"/>
      <c r="J5101" s="570"/>
      <c r="K5101" s="570"/>
    </row>
    <row r="5102" ht="13.75" customHeight="1">
      <c r="A5102" s="833">
        <v>274</v>
      </c>
      <c r="B5102" t="s" s="834">
        <v>3551</v>
      </c>
      <c r="C5102" t="s" s="834">
        <v>147</v>
      </c>
      <c r="D5102" s="835">
        <v>46036</v>
      </c>
      <c r="E5102" s="836">
        <v>1.751655092592593</v>
      </c>
      <c r="F5102" t="s" s="834">
        <v>478</v>
      </c>
      <c r="G5102" s="570"/>
      <c r="H5102" s="570"/>
      <c r="I5102" s="570"/>
      <c r="J5102" s="570"/>
      <c r="K5102" s="570"/>
    </row>
    <row r="5103" ht="13.75" customHeight="1">
      <c r="A5103" t="s" s="834">
        <v>3562</v>
      </c>
      <c r="B5103" t="s" s="834">
        <v>485</v>
      </c>
      <c r="C5103" t="s" s="834">
        <v>486</v>
      </c>
      <c r="D5103" s="570"/>
      <c r="E5103" s="570"/>
      <c r="F5103" s="570"/>
      <c r="G5103" s="570"/>
      <c r="H5103" s="570"/>
      <c r="I5103" s="570"/>
      <c r="J5103" s="570"/>
      <c r="K5103" s="570"/>
    </row>
    <row r="5104" ht="13.75" customHeight="1">
      <c r="A5104" s="833">
        <v>274</v>
      </c>
      <c r="B5104" t="s" s="834">
        <v>3551</v>
      </c>
      <c r="C5104" t="s" s="834">
        <v>147</v>
      </c>
      <c r="D5104" s="835">
        <v>46037</v>
      </c>
      <c r="E5104" s="836">
        <v>1.390520833333333</v>
      </c>
      <c r="F5104" s="836">
        <v>1.729930555555556</v>
      </c>
      <c r="G5104" s="570"/>
      <c r="H5104" s="570"/>
      <c r="I5104" s="570"/>
      <c r="J5104" s="570"/>
      <c r="K5104" s="570"/>
    </row>
    <row r="5105" ht="13.75" customHeight="1">
      <c r="A5105" t="s" s="834">
        <v>3563</v>
      </c>
      <c r="B5105" t="s" s="834">
        <v>3564</v>
      </c>
      <c r="C5105" t="s" s="834">
        <v>3565</v>
      </c>
      <c r="D5105" s="570"/>
      <c r="E5105" s="570"/>
      <c r="F5105" s="570"/>
      <c r="G5105" s="570"/>
      <c r="H5105" s="570"/>
      <c r="I5105" s="570"/>
      <c r="J5105" s="570"/>
      <c r="K5105" s="570"/>
    </row>
    <row r="5106" ht="13.75" customHeight="1">
      <c r="A5106" s="833">
        <v>274</v>
      </c>
      <c r="B5106" t="s" s="834">
        <v>3551</v>
      </c>
      <c r="C5106" t="s" s="834">
        <v>147</v>
      </c>
      <c r="D5106" s="835">
        <v>46038</v>
      </c>
      <c r="E5106" s="836">
        <v>1.354166666666667</v>
      </c>
      <c r="F5106" s="836">
        <v>1.59974537037037</v>
      </c>
      <c r="G5106" s="570"/>
      <c r="H5106" s="570"/>
      <c r="I5106" s="570"/>
      <c r="J5106" s="570"/>
      <c r="K5106" s="570"/>
    </row>
    <row r="5107" ht="13.75" customHeight="1">
      <c r="A5107" t="s" s="834">
        <v>3566</v>
      </c>
      <c r="B5107" t="s" s="834">
        <v>3567</v>
      </c>
      <c r="C5107" t="s" s="834">
        <v>3568</v>
      </c>
      <c r="D5107" s="570"/>
      <c r="E5107" s="570"/>
      <c r="F5107" s="570"/>
      <c r="G5107" s="570"/>
      <c r="H5107" s="570"/>
      <c r="I5107" s="570"/>
      <c r="J5107" s="570"/>
      <c r="K5107" s="570"/>
    </row>
    <row r="5108" ht="13.75" customHeight="1">
      <c r="A5108" s="833">
        <v>274</v>
      </c>
      <c r="B5108" t="s" s="834">
        <v>3551</v>
      </c>
      <c r="C5108" t="s" s="834">
        <v>147</v>
      </c>
      <c r="D5108" s="835">
        <v>46039</v>
      </c>
      <c r="E5108" t="s" s="834">
        <v>478</v>
      </c>
      <c r="F5108" t="s" s="834">
        <v>478</v>
      </c>
      <c r="G5108" s="570"/>
      <c r="H5108" s="570"/>
      <c r="I5108" s="570"/>
      <c r="J5108" s="570"/>
      <c r="K5108" s="570"/>
    </row>
    <row r="5109" ht="13.75" customHeight="1">
      <c r="A5109" s="833">
        <v>274</v>
      </c>
      <c r="B5109" t="s" s="834">
        <v>3551</v>
      </c>
      <c r="C5109" t="s" s="834">
        <v>147</v>
      </c>
      <c r="D5109" s="835">
        <v>46040</v>
      </c>
      <c r="E5109" t="s" s="834">
        <v>478</v>
      </c>
      <c r="F5109" t="s" s="834">
        <v>478</v>
      </c>
      <c r="G5109" s="570"/>
      <c r="H5109" s="570"/>
      <c r="I5109" s="570"/>
      <c r="J5109" s="570"/>
      <c r="K5109" s="570"/>
    </row>
    <row r="5110" ht="13.75" customHeight="1">
      <c r="A5110" s="833">
        <v>274</v>
      </c>
      <c r="B5110" t="s" s="834">
        <v>3551</v>
      </c>
      <c r="C5110" t="s" s="834">
        <v>147</v>
      </c>
      <c r="D5110" s="835">
        <v>46041</v>
      </c>
      <c r="E5110" s="836">
        <v>1.615196759259259</v>
      </c>
      <c r="F5110" s="836">
        <v>1.759224537037037</v>
      </c>
      <c r="G5110" s="570"/>
      <c r="H5110" s="570"/>
      <c r="I5110" s="570"/>
      <c r="J5110" s="570"/>
      <c r="K5110" s="570"/>
    </row>
    <row r="5111" ht="13.75" customHeight="1">
      <c r="A5111" t="s" s="834">
        <v>3569</v>
      </c>
      <c r="B5111" t="s" s="834">
        <v>3570</v>
      </c>
      <c r="C5111" t="s" s="834">
        <v>3571</v>
      </c>
      <c r="D5111" s="570"/>
      <c r="E5111" s="570"/>
      <c r="F5111" s="570"/>
      <c r="G5111" s="570"/>
      <c r="H5111" s="570"/>
      <c r="I5111" s="570"/>
      <c r="J5111" s="570"/>
      <c r="K5111" s="570"/>
    </row>
    <row r="5112" ht="13.75" customHeight="1">
      <c r="A5112" s="833">
        <v>274</v>
      </c>
      <c r="B5112" t="s" s="834">
        <v>3551</v>
      </c>
      <c r="C5112" t="s" s="834">
        <v>147</v>
      </c>
      <c r="D5112" s="835">
        <v>46042</v>
      </c>
      <c r="E5112" s="836">
        <v>1.746157407407408</v>
      </c>
      <c r="F5112" s="836">
        <v>1.770289351851852</v>
      </c>
      <c r="G5112" s="570"/>
      <c r="H5112" s="570"/>
      <c r="I5112" s="570"/>
      <c r="J5112" s="570"/>
      <c r="K5112" s="570"/>
    </row>
    <row r="5113" ht="13.75" customHeight="1">
      <c r="A5113" t="s" s="834">
        <v>3572</v>
      </c>
      <c r="B5113" t="s" s="834">
        <v>3573</v>
      </c>
      <c r="C5113" t="s" s="834">
        <v>3574</v>
      </c>
      <c r="D5113" s="570"/>
      <c r="E5113" s="570"/>
      <c r="F5113" s="570"/>
      <c r="G5113" s="570"/>
      <c r="H5113" s="570"/>
      <c r="I5113" s="570"/>
      <c r="J5113" s="570"/>
      <c r="K5113" s="570"/>
    </row>
    <row r="5114" ht="13.75" customHeight="1">
      <c r="A5114" s="833">
        <v>274</v>
      </c>
      <c r="B5114" t="s" s="834">
        <v>3551</v>
      </c>
      <c r="C5114" t="s" s="834">
        <v>147</v>
      </c>
      <c r="D5114" s="835">
        <v>46043</v>
      </c>
      <c r="E5114" s="836">
        <v>1.78443287037037</v>
      </c>
      <c r="F5114" t="s" s="834">
        <v>478</v>
      </c>
      <c r="G5114" s="570"/>
      <c r="H5114" s="570"/>
      <c r="I5114" s="570"/>
      <c r="J5114" s="570"/>
      <c r="K5114" s="570"/>
    </row>
    <row r="5115" ht="13.75" customHeight="1">
      <c r="A5115" t="s" s="834">
        <v>3575</v>
      </c>
      <c r="B5115" t="s" s="834">
        <v>485</v>
      </c>
      <c r="C5115" t="s" s="834">
        <v>486</v>
      </c>
      <c r="D5115" s="570"/>
      <c r="E5115" s="570"/>
      <c r="F5115" s="570"/>
      <c r="G5115" s="570"/>
      <c r="H5115" s="570"/>
      <c r="I5115" s="570"/>
      <c r="J5115" s="570"/>
      <c r="K5115" s="570"/>
    </row>
    <row r="5116" ht="13.75" customHeight="1">
      <c r="A5116" s="833">
        <v>274</v>
      </c>
      <c r="B5116" t="s" s="834">
        <v>3551</v>
      </c>
      <c r="C5116" t="s" s="834">
        <v>147</v>
      </c>
      <c r="D5116" s="835">
        <v>46044</v>
      </c>
      <c r="E5116" s="836">
        <v>1.60869212962963</v>
      </c>
      <c r="F5116" s="836">
        <v>1.753402777777778</v>
      </c>
      <c r="G5116" s="570"/>
      <c r="H5116" s="570"/>
      <c r="I5116" s="570"/>
      <c r="J5116" s="570"/>
      <c r="K5116" s="570"/>
    </row>
    <row r="5117" ht="13.75" customHeight="1">
      <c r="A5117" t="s" s="834">
        <v>3576</v>
      </c>
      <c r="B5117" t="s" s="834">
        <v>3577</v>
      </c>
      <c r="C5117" t="s" s="834">
        <v>1993</v>
      </c>
      <c r="D5117" s="570"/>
      <c r="E5117" s="570"/>
      <c r="F5117" s="570"/>
      <c r="G5117" s="570"/>
      <c r="H5117" s="570"/>
      <c r="I5117" s="570"/>
      <c r="J5117" s="570"/>
      <c r="K5117" s="570"/>
    </row>
    <row r="5118" ht="13.75" customHeight="1">
      <c r="A5118" s="833">
        <v>274</v>
      </c>
      <c r="B5118" t="s" s="834">
        <v>3551</v>
      </c>
      <c r="C5118" t="s" s="834">
        <v>147</v>
      </c>
      <c r="D5118" s="835">
        <v>46045</v>
      </c>
      <c r="E5118" t="s" s="834">
        <v>478</v>
      </c>
      <c r="F5118" t="s" s="834">
        <v>478</v>
      </c>
      <c r="G5118" s="570"/>
      <c r="H5118" s="570"/>
      <c r="I5118" s="570"/>
      <c r="J5118" s="570"/>
      <c r="K5118" s="570"/>
    </row>
    <row r="5119" ht="13.75" customHeight="1">
      <c r="A5119" s="833">
        <v>274</v>
      </c>
      <c r="B5119" t="s" s="834">
        <v>3551</v>
      </c>
      <c r="C5119" t="s" s="834">
        <v>147</v>
      </c>
      <c r="D5119" s="835">
        <v>46046</v>
      </c>
      <c r="E5119" t="s" s="834">
        <v>478</v>
      </c>
      <c r="F5119" t="s" s="834">
        <v>478</v>
      </c>
      <c r="G5119" s="570"/>
      <c r="H5119" s="570"/>
      <c r="I5119" s="570"/>
      <c r="J5119" s="570"/>
      <c r="K5119" s="570"/>
    </row>
    <row r="5120" ht="13.75" customHeight="1">
      <c r="A5120" s="833">
        <v>274</v>
      </c>
      <c r="B5120" t="s" s="834">
        <v>3551</v>
      </c>
      <c r="C5120" t="s" s="834">
        <v>147</v>
      </c>
      <c r="D5120" s="835">
        <v>46047</v>
      </c>
      <c r="E5120" t="s" s="834">
        <v>478</v>
      </c>
      <c r="F5120" t="s" s="834">
        <v>478</v>
      </c>
      <c r="G5120" s="570"/>
      <c r="H5120" s="570"/>
      <c r="I5120" s="570"/>
      <c r="J5120" s="570"/>
      <c r="K5120" s="570"/>
    </row>
    <row r="5121" ht="13.75" customHeight="1">
      <c r="A5121" s="833">
        <v>274</v>
      </c>
      <c r="B5121" t="s" s="834">
        <v>3551</v>
      </c>
      <c r="C5121" t="s" s="834">
        <v>147</v>
      </c>
      <c r="D5121" s="835">
        <v>46048</v>
      </c>
      <c r="E5121" s="836">
        <v>1.353773148148148</v>
      </c>
      <c r="F5121" s="836">
        <v>1.810428240740741</v>
      </c>
      <c r="G5121" s="570"/>
      <c r="H5121" s="570"/>
      <c r="I5121" s="570"/>
      <c r="J5121" s="570"/>
      <c r="K5121" s="570"/>
    </row>
    <row r="5122" ht="13.75" customHeight="1">
      <c r="A5122" t="s" s="834">
        <v>3578</v>
      </c>
      <c r="B5122" t="s" s="834">
        <v>3579</v>
      </c>
      <c r="C5122" t="s" s="834">
        <v>3580</v>
      </c>
      <c r="D5122" s="570"/>
      <c r="E5122" s="570"/>
      <c r="F5122" s="570"/>
      <c r="G5122" s="570"/>
      <c r="H5122" s="570"/>
      <c r="I5122" s="570"/>
      <c r="J5122" s="570"/>
      <c r="K5122" s="570"/>
    </row>
    <row r="5123" ht="13.75" customHeight="1">
      <c r="A5123" s="833">
        <v>274</v>
      </c>
      <c r="B5123" t="s" s="834">
        <v>3551</v>
      </c>
      <c r="C5123" t="s" s="834">
        <v>147</v>
      </c>
      <c r="D5123" s="835">
        <v>46049</v>
      </c>
      <c r="E5123" s="836">
        <v>1.578599537037037</v>
      </c>
      <c r="F5123" s="836">
        <v>1.766539351851852</v>
      </c>
      <c r="G5123" s="570"/>
      <c r="H5123" s="570"/>
      <c r="I5123" s="570"/>
      <c r="J5123" s="570"/>
      <c r="K5123" s="570"/>
    </row>
    <row r="5124" ht="13.75" customHeight="1">
      <c r="A5124" t="s" s="834">
        <v>3581</v>
      </c>
      <c r="B5124" t="s" s="834">
        <v>3582</v>
      </c>
      <c r="C5124" t="s" s="834">
        <v>1408</v>
      </c>
      <c r="D5124" s="570"/>
      <c r="E5124" s="570"/>
      <c r="F5124" s="570"/>
      <c r="G5124" s="570"/>
      <c r="H5124" s="570"/>
      <c r="I5124" s="570"/>
      <c r="J5124" s="570"/>
      <c r="K5124" s="570"/>
    </row>
    <row r="5125" ht="13.75" customHeight="1">
      <c r="A5125" s="833">
        <v>274</v>
      </c>
      <c r="B5125" t="s" s="834">
        <v>3551</v>
      </c>
      <c r="C5125" t="s" s="834">
        <v>147</v>
      </c>
      <c r="D5125" s="835">
        <v>46050</v>
      </c>
      <c r="E5125" t="s" s="834">
        <v>478</v>
      </c>
      <c r="F5125" t="s" s="834">
        <v>478</v>
      </c>
      <c r="G5125" s="570"/>
      <c r="H5125" s="570"/>
      <c r="I5125" s="570"/>
      <c r="J5125" s="570"/>
      <c r="K5125" s="570"/>
    </row>
    <row r="5126" ht="13.75" customHeight="1">
      <c r="A5126" s="833">
        <v>274</v>
      </c>
      <c r="B5126" t="s" s="834">
        <v>3551</v>
      </c>
      <c r="C5126" t="s" s="834">
        <v>147</v>
      </c>
      <c r="D5126" s="835">
        <v>46051</v>
      </c>
      <c r="E5126" s="836">
        <v>1.7825</v>
      </c>
      <c r="F5126" s="836">
        <v>1.783136574074074</v>
      </c>
      <c r="G5126" s="570"/>
      <c r="H5126" s="570"/>
      <c r="I5126" s="570"/>
      <c r="J5126" s="570"/>
      <c r="K5126" s="570"/>
    </row>
    <row r="5127" ht="13.75" customHeight="1">
      <c r="A5127" t="s" s="834">
        <v>3583</v>
      </c>
      <c r="B5127" t="s" s="834">
        <v>3584</v>
      </c>
      <c r="C5127" t="s" s="834">
        <v>805</v>
      </c>
      <c r="D5127" s="570"/>
      <c r="E5127" s="570"/>
      <c r="F5127" s="570"/>
      <c r="G5127" s="570"/>
      <c r="H5127" s="570"/>
      <c r="I5127" s="570"/>
      <c r="J5127" s="570"/>
      <c r="K5127" s="570"/>
    </row>
    <row r="5128" ht="13.75" customHeight="1">
      <c r="A5128" s="833">
        <v>274</v>
      </c>
      <c r="B5128" t="s" s="834">
        <v>3551</v>
      </c>
      <c r="C5128" t="s" s="834">
        <v>147</v>
      </c>
      <c r="D5128" s="835">
        <v>46052</v>
      </c>
      <c r="E5128" t="s" s="834">
        <v>478</v>
      </c>
      <c r="F5128" t="s" s="834">
        <v>478</v>
      </c>
      <c r="G5128" s="570"/>
      <c r="H5128" s="570"/>
      <c r="I5128" s="570"/>
      <c r="J5128" s="570"/>
      <c r="K5128" s="570"/>
    </row>
    <row r="5129" ht="13.75" customHeight="1">
      <c r="A5129" s="833">
        <v>274</v>
      </c>
      <c r="B5129" t="s" s="834">
        <v>3551</v>
      </c>
      <c r="C5129" t="s" s="834">
        <v>147</v>
      </c>
      <c r="D5129" s="835">
        <v>46053</v>
      </c>
      <c r="E5129" t="s" s="834">
        <v>478</v>
      </c>
      <c r="F5129" t="s" s="834">
        <v>478</v>
      </c>
      <c r="G5129" s="570"/>
      <c r="H5129" s="570"/>
      <c r="I5129" s="570"/>
      <c r="J5129" s="570"/>
      <c r="K5129" s="570"/>
    </row>
    <row r="5130" ht="13.75" customHeight="1">
      <c r="A5130" s="833">
        <v>274</v>
      </c>
      <c r="B5130" t="s" s="834">
        <v>3551</v>
      </c>
      <c r="C5130" t="s" s="834">
        <v>147</v>
      </c>
      <c r="D5130" s="835">
        <v>46054</v>
      </c>
      <c r="E5130" t="s" s="834">
        <v>478</v>
      </c>
      <c r="F5130" t="s" s="834">
        <v>478</v>
      </c>
      <c r="G5130" s="570"/>
      <c r="H5130" s="570"/>
      <c r="I5130" s="570"/>
      <c r="J5130" s="570"/>
      <c r="K5130" s="570"/>
    </row>
    <row r="5131" ht="13.75" customHeight="1">
      <c r="A5131" s="833">
        <v>275</v>
      </c>
      <c r="B5131" t="s" s="834">
        <v>3585</v>
      </c>
      <c r="C5131" t="s" s="834">
        <v>1752</v>
      </c>
      <c r="D5131" s="835">
        <v>46023</v>
      </c>
      <c r="E5131" t="s" s="834">
        <v>478</v>
      </c>
      <c r="F5131" t="s" s="834">
        <v>478</v>
      </c>
      <c r="G5131" s="570"/>
      <c r="H5131" s="570"/>
      <c r="I5131" s="570"/>
      <c r="J5131" s="570"/>
      <c r="K5131" s="570"/>
    </row>
    <row r="5132" ht="13.75" customHeight="1">
      <c r="A5132" s="833">
        <v>275</v>
      </c>
      <c r="B5132" t="s" s="834">
        <v>3585</v>
      </c>
      <c r="C5132" t="s" s="834">
        <v>1752</v>
      </c>
      <c r="D5132" s="835">
        <v>46024</v>
      </c>
      <c r="E5132" t="s" s="834">
        <v>478</v>
      </c>
      <c r="F5132" t="s" s="834">
        <v>478</v>
      </c>
      <c r="G5132" s="570"/>
      <c r="H5132" s="570"/>
      <c r="I5132" s="570"/>
      <c r="J5132" s="570"/>
      <c r="K5132" s="570"/>
    </row>
    <row r="5133" ht="13.75" customHeight="1">
      <c r="A5133" s="833">
        <v>275</v>
      </c>
      <c r="B5133" t="s" s="834">
        <v>3585</v>
      </c>
      <c r="C5133" t="s" s="834">
        <v>1752</v>
      </c>
      <c r="D5133" s="835">
        <v>46025</v>
      </c>
      <c r="E5133" t="s" s="834">
        <v>478</v>
      </c>
      <c r="F5133" t="s" s="834">
        <v>478</v>
      </c>
      <c r="G5133" s="570"/>
      <c r="H5133" s="570"/>
      <c r="I5133" s="570"/>
      <c r="J5133" s="570"/>
      <c r="K5133" s="570"/>
    </row>
    <row r="5134" ht="13.75" customHeight="1">
      <c r="A5134" s="833">
        <v>275</v>
      </c>
      <c r="B5134" t="s" s="834">
        <v>3585</v>
      </c>
      <c r="C5134" t="s" s="834">
        <v>1752</v>
      </c>
      <c r="D5134" s="835">
        <v>46026</v>
      </c>
      <c r="E5134" t="s" s="834">
        <v>478</v>
      </c>
      <c r="F5134" t="s" s="834">
        <v>478</v>
      </c>
      <c r="G5134" s="570"/>
      <c r="H5134" s="570"/>
      <c r="I5134" s="570"/>
      <c r="J5134" s="570"/>
      <c r="K5134" s="570"/>
    </row>
    <row r="5135" ht="13.75" customHeight="1">
      <c r="A5135" s="833">
        <v>275</v>
      </c>
      <c r="B5135" t="s" s="834">
        <v>3585</v>
      </c>
      <c r="C5135" t="s" s="834">
        <v>1752</v>
      </c>
      <c r="D5135" s="835">
        <v>46027</v>
      </c>
      <c r="E5135" s="836">
        <v>1.355613425925926</v>
      </c>
      <c r="F5135" s="836">
        <v>1.751458333333333</v>
      </c>
      <c r="G5135" s="570"/>
      <c r="H5135" s="570"/>
      <c r="I5135" s="570"/>
      <c r="J5135" s="570"/>
      <c r="K5135" s="570"/>
    </row>
    <row r="5136" ht="13.75" customHeight="1">
      <c r="A5136" t="s" s="834">
        <v>3586</v>
      </c>
      <c r="B5136" t="s" s="834">
        <v>3587</v>
      </c>
      <c r="C5136" t="s" s="834">
        <v>634</v>
      </c>
      <c r="D5136" s="570"/>
      <c r="E5136" s="570"/>
      <c r="F5136" s="570"/>
      <c r="G5136" s="570"/>
      <c r="H5136" s="570"/>
      <c r="I5136" s="570"/>
      <c r="J5136" s="570"/>
      <c r="K5136" s="570"/>
    </row>
    <row r="5137" ht="13.75" customHeight="1">
      <c r="A5137" s="833">
        <v>275</v>
      </c>
      <c r="B5137" t="s" s="834">
        <v>3585</v>
      </c>
      <c r="C5137" t="s" s="834">
        <v>1752</v>
      </c>
      <c r="D5137" s="835">
        <v>46028</v>
      </c>
      <c r="E5137" s="836">
        <v>1.370763888888889</v>
      </c>
      <c r="F5137" s="836">
        <v>1.759340277777778</v>
      </c>
      <c r="G5137" s="570"/>
      <c r="H5137" s="570"/>
      <c r="I5137" s="570"/>
      <c r="J5137" s="570"/>
      <c r="K5137" s="570"/>
    </row>
    <row r="5138" ht="13.75" customHeight="1">
      <c r="A5138" t="s" s="834">
        <v>3588</v>
      </c>
      <c r="B5138" t="s" s="834">
        <v>3589</v>
      </c>
      <c r="C5138" t="s" s="834">
        <v>1490</v>
      </c>
      <c r="D5138" s="570"/>
      <c r="E5138" s="570"/>
      <c r="F5138" s="570"/>
      <c r="G5138" s="570"/>
      <c r="H5138" s="570"/>
      <c r="I5138" s="570"/>
      <c r="J5138" s="570"/>
      <c r="K5138" s="570"/>
    </row>
    <row r="5139" ht="13.75" customHeight="1">
      <c r="A5139" s="833">
        <v>275</v>
      </c>
      <c r="B5139" t="s" s="834">
        <v>3585</v>
      </c>
      <c r="C5139" t="s" s="834">
        <v>1752</v>
      </c>
      <c r="D5139" s="835">
        <v>46029</v>
      </c>
      <c r="E5139" s="836">
        <v>1.355289351851852</v>
      </c>
      <c r="F5139" s="836">
        <v>1.756041666666667</v>
      </c>
      <c r="G5139" s="570"/>
      <c r="H5139" s="570"/>
      <c r="I5139" s="570"/>
      <c r="J5139" s="570"/>
      <c r="K5139" s="570"/>
    </row>
    <row r="5140" ht="13.75" customHeight="1">
      <c r="A5140" t="s" s="834">
        <v>3590</v>
      </c>
      <c r="B5140" t="s" s="834">
        <v>3591</v>
      </c>
      <c r="C5140" t="s" s="834">
        <v>606</v>
      </c>
      <c r="D5140" s="570"/>
      <c r="E5140" s="570"/>
      <c r="F5140" s="570"/>
      <c r="G5140" s="570"/>
      <c r="H5140" s="570"/>
      <c r="I5140" s="570"/>
      <c r="J5140" s="570"/>
      <c r="K5140" s="570"/>
    </row>
    <row r="5141" ht="13.75" customHeight="1">
      <c r="A5141" s="833">
        <v>275</v>
      </c>
      <c r="B5141" t="s" s="834">
        <v>3585</v>
      </c>
      <c r="C5141" t="s" s="834">
        <v>1752</v>
      </c>
      <c r="D5141" s="835">
        <v>46030</v>
      </c>
      <c r="E5141" s="836">
        <v>1.363078703703704</v>
      </c>
      <c r="F5141" s="836">
        <v>1.751435185185185</v>
      </c>
      <c r="G5141" s="570"/>
      <c r="H5141" s="570"/>
      <c r="I5141" s="570"/>
      <c r="J5141" s="570"/>
      <c r="K5141" s="570"/>
    </row>
    <row r="5142" ht="13.75" customHeight="1">
      <c r="A5142" t="s" s="834">
        <v>3592</v>
      </c>
      <c r="B5142" t="s" s="834">
        <v>3593</v>
      </c>
      <c r="C5142" t="s" s="834">
        <v>716</v>
      </c>
      <c r="D5142" s="570"/>
      <c r="E5142" s="570"/>
      <c r="F5142" s="570"/>
      <c r="G5142" s="570"/>
      <c r="H5142" s="570"/>
      <c r="I5142" s="570"/>
      <c r="J5142" s="570"/>
      <c r="K5142" s="570"/>
    </row>
    <row r="5143" ht="13.75" customHeight="1">
      <c r="A5143" s="833">
        <v>275</v>
      </c>
      <c r="B5143" t="s" s="834">
        <v>3585</v>
      </c>
      <c r="C5143" t="s" s="834">
        <v>1752</v>
      </c>
      <c r="D5143" s="835">
        <v>46031</v>
      </c>
      <c r="E5143" s="836">
        <v>1.35744212962963</v>
      </c>
      <c r="F5143" s="836">
        <v>1.751921296296296</v>
      </c>
      <c r="G5143" s="570"/>
      <c r="H5143" s="570"/>
      <c r="I5143" s="570"/>
      <c r="J5143" s="570"/>
      <c r="K5143" s="570"/>
    </row>
    <row r="5144" ht="13.75" customHeight="1">
      <c r="A5144" t="s" s="834">
        <v>3594</v>
      </c>
      <c r="B5144" t="s" s="834">
        <v>3595</v>
      </c>
      <c r="C5144" t="s" s="834">
        <v>512</v>
      </c>
      <c r="D5144" s="570"/>
      <c r="E5144" s="570"/>
      <c r="F5144" s="570"/>
      <c r="G5144" s="570"/>
      <c r="H5144" s="570"/>
      <c r="I5144" s="570"/>
      <c r="J5144" s="570"/>
      <c r="K5144" s="570"/>
    </row>
    <row r="5145" ht="13.75" customHeight="1">
      <c r="A5145" s="833">
        <v>275</v>
      </c>
      <c r="B5145" t="s" s="834">
        <v>3585</v>
      </c>
      <c r="C5145" t="s" s="834">
        <v>1752</v>
      </c>
      <c r="D5145" s="835">
        <v>46032</v>
      </c>
      <c r="E5145" s="836">
        <v>1.361655092592593</v>
      </c>
      <c r="F5145" s="836">
        <v>1.51900462962963</v>
      </c>
      <c r="G5145" s="570"/>
      <c r="H5145" s="570"/>
      <c r="I5145" s="570"/>
      <c r="J5145" s="570"/>
      <c r="K5145" s="570"/>
    </row>
    <row r="5146" ht="13.75" customHeight="1">
      <c r="A5146" t="s" s="834">
        <v>3596</v>
      </c>
      <c r="B5146" t="s" s="834">
        <v>3597</v>
      </c>
      <c r="C5146" t="s" s="834">
        <v>750</v>
      </c>
      <c r="D5146" s="570"/>
      <c r="E5146" s="570"/>
      <c r="F5146" s="570"/>
      <c r="G5146" s="570"/>
      <c r="H5146" s="570"/>
      <c r="I5146" s="570"/>
      <c r="J5146" s="570"/>
      <c r="K5146" s="570"/>
    </row>
    <row r="5147" ht="13.75" customHeight="1">
      <c r="A5147" s="833">
        <v>275</v>
      </c>
      <c r="B5147" t="s" s="834">
        <v>3585</v>
      </c>
      <c r="C5147" t="s" s="834">
        <v>1752</v>
      </c>
      <c r="D5147" s="835">
        <v>46033</v>
      </c>
      <c r="E5147" t="s" s="834">
        <v>478</v>
      </c>
      <c r="F5147" t="s" s="834">
        <v>478</v>
      </c>
      <c r="G5147" s="570"/>
      <c r="H5147" s="570"/>
      <c r="I5147" s="570"/>
      <c r="J5147" s="570"/>
      <c r="K5147" s="570"/>
    </row>
    <row r="5148" ht="13.75" customHeight="1">
      <c r="A5148" s="833">
        <v>275</v>
      </c>
      <c r="B5148" t="s" s="834">
        <v>3585</v>
      </c>
      <c r="C5148" t="s" s="834">
        <v>1752</v>
      </c>
      <c r="D5148" s="835">
        <v>46034</v>
      </c>
      <c r="E5148" s="836">
        <v>1.363969907407407</v>
      </c>
      <c r="F5148" s="836">
        <v>1.75349537037037</v>
      </c>
      <c r="G5148" s="570"/>
      <c r="H5148" s="570"/>
      <c r="I5148" s="570"/>
      <c r="J5148" s="570"/>
      <c r="K5148" s="570"/>
    </row>
    <row r="5149" ht="13.75" customHeight="1">
      <c r="A5149" t="s" s="834">
        <v>3598</v>
      </c>
      <c r="B5149" t="s" s="834">
        <v>3599</v>
      </c>
      <c r="C5149" t="s" s="834">
        <v>979</v>
      </c>
      <c r="D5149" s="570"/>
      <c r="E5149" s="570"/>
      <c r="F5149" s="570"/>
      <c r="G5149" s="570"/>
      <c r="H5149" s="570"/>
      <c r="I5149" s="570"/>
      <c r="J5149" s="570"/>
      <c r="K5149" s="570"/>
    </row>
    <row r="5150" ht="13.75" customHeight="1">
      <c r="A5150" s="833">
        <v>275</v>
      </c>
      <c r="B5150" t="s" s="834">
        <v>3585</v>
      </c>
      <c r="C5150" t="s" s="834">
        <v>1752</v>
      </c>
      <c r="D5150" s="835">
        <v>46035</v>
      </c>
      <c r="E5150" s="836">
        <v>1.360474537037037</v>
      </c>
      <c r="F5150" s="836">
        <v>1.752280092592593</v>
      </c>
      <c r="G5150" s="570"/>
      <c r="H5150" s="570"/>
      <c r="I5150" s="570"/>
      <c r="J5150" s="570"/>
      <c r="K5150" s="570"/>
    </row>
    <row r="5151" ht="13.75" customHeight="1">
      <c r="A5151" t="s" s="834">
        <v>3600</v>
      </c>
      <c r="B5151" t="s" s="834">
        <v>3601</v>
      </c>
      <c r="C5151" t="s" s="834">
        <v>1056</v>
      </c>
      <c r="D5151" s="570"/>
      <c r="E5151" s="570"/>
      <c r="F5151" s="570"/>
      <c r="G5151" s="570"/>
      <c r="H5151" s="570"/>
      <c r="I5151" s="570"/>
      <c r="J5151" s="570"/>
      <c r="K5151" s="570"/>
    </row>
    <row r="5152" ht="13.75" customHeight="1">
      <c r="A5152" s="833">
        <v>275</v>
      </c>
      <c r="B5152" t="s" s="834">
        <v>3585</v>
      </c>
      <c r="C5152" t="s" s="834">
        <v>1752</v>
      </c>
      <c r="D5152" s="835">
        <v>46036</v>
      </c>
      <c r="E5152" s="836">
        <v>1.362002314814815</v>
      </c>
      <c r="F5152" s="836">
        <v>1.754456018518519</v>
      </c>
      <c r="G5152" s="570"/>
      <c r="H5152" s="570"/>
      <c r="I5152" s="570"/>
      <c r="J5152" s="570"/>
      <c r="K5152" s="570"/>
    </row>
    <row r="5153" ht="13.75" customHeight="1">
      <c r="A5153" t="s" s="834">
        <v>3602</v>
      </c>
      <c r="B5153" t="s" s="834">
        <v>3603</v>
      </c>
      <c r="C5153" t="s" s="834">
        <v>966</v>
      </c>
      <c r="D5153" s="570"/>
      <c r="E5153" s="570"/>
      <c r="F5153" s="570"/>
      <c r="G5153" s="570"/>
      <c r="H5153" s="570"/>
      <c r="I5153" s="570"/>
      <c r="J5153" s="570"/>
      <c r="K5153" s="570"/>
    </row>
    <row r="5154" ht="13.75" customHeight="1">
      <c r="A5154" s="833">
        <v>275</v>
      </c>
      <c r="B5154" t="s" s="834">
        <v>3585</v>
      </c>
      <c r="C5154" t="s" s="834">
        <v>1752</v>
      </c>
      <c r="D5154" s="835">
        <v>46037</v>
      </c>
      <c r="E5154" s="836">
        <v>1.357604166666667</v>
      </c>
      <c r="F5154" s="836">
        <v>1.663587962962963</v>
      </c>
      <c r="G5154" s="570"/>
      <c r="H5154" s="570"/>
      <c r="I5154" s="570"/>
      <c r="J5154" s="570"/>
      <c r="K5154" s="570"/>
    </row>
    <row r="5155" ht="13.75" customHeight="1">
      <c r="A5155" t="s" s="834">
        <v>3604</v>
      </c>
      <c r="B5155" t="s" s="834">
        <v>3605</v>
      </c>
      <c r="C5155" t="s" s="834">
        <v>3606</v>
      </c>
      <c r="D5155" s="570"/>
      <c r="E5155" s="570"/>
      <c r="F5155" s="570"/>
      <c r="G5155" s="570"/>
      <c r="H5155" s="570"/>
      <c r="I5155" s="570"/>
      <c r="J5155" s="570"/>
      <c r="K5155" s="570"/>
    </row>
    <row r="5156" ht="13.75" customHeight="1">
      <c r="A5156" s="833">
        <v>275</v>
      </c>
      <c r="B5156" t="s" s="834">
        <v>3585</v>
      </c>
      <c r="C5156" t="s" s="834">
        <v>1752</v>
      </c>
      <c r="D5156" s="835">
        <v>46038</v>
      </c>
      <c r="E5156" s="836">
        <v>1.359502314814815</v>
      </c>
      <c r="F5156" s="836">
        <v>1.758009259259259</v>
      </c>
      <c r="G5156" s="570"/>
      <c r="H5156" s="570"/>
      <c r="I5156" s="570"/>
      <c r="J5156" s="570"/>
      <c r="K5156" s="570"/>
    </row>
    <row r="5157" ht="13.75" customHeight="1">
      <c r="A5157" t="s" s="834">
        <v>3607</v>
      </c>
      <c r="B5157" t="s" s="834">
        <v>3608</v>
      </c>
      <c r="C5157" t="s" s="834">
        <v>611</v>
      </c>
      <c r="D5157" s="570"/>
      <c r="E5157" s="570"/>
      <c r="F5157" s="570"/>
      <c r="G5157" s="570"/>
      <c r="H5157" s="570"/>
      <c r="I5157" s="570"/>
      <c r="J5157" s="570"/>
      <c r="K5157" s="570"/>
    </row>
    <row r="5158" ht="13.75" customHeight="1">
      <c r="A5158" s="833">
        <v>275</v>
      </c>
      <c r="B5158" t="s" s="834">
        <v>3585</v>
      </c>
      <c r="C5158" t="s" s="834">
        <v>1752</v>
      </c>
      <c r="D5158" s="835">
        <v>46039</v>
      </c>
      <c r="E5158" t="s" s="834">
        <v>478</v>
      </c>
      <c r="F5158" t="s" s="834">
        <v>478</v>
      </c>
      <c r="G5158" s="570"/>
      <c r="H5158" s="570"/>
      <c r="I5158" s="570"/>
      <c r="J5158" s="570"/>
      <c r="K5158" s="570"/>
    </row>
    <row r="5159" ht="13.75" customHeight="1">
      <c r="A5159" s="833">
        <v>275</v>
      </c>
      <c r="B5159" t="s" s="834">
        <v>3585</v>
      </c>
      <c r="C5159" t="s" s="834">
        <v>1752</v>
      </c>
      <c r="D5159" s="835">
        <v>46040</v>
      </c>
      <c r="E5159" t="s" s="834">
        <v>478</v>
      </c>
      <c r="F5159" t="s" s="834">
        <v>478</v>
      </c>
      <c r="G5159" s="570"/>
      <c r="H5159" s="570"/>
      <c r="I5159" s="570"/>
      <c r="J5159" s="570"/>
      <c r="K5159" s="570"/>
    </row>
    <row r="5160" ht="13.75" customHeight="1">
      <c r="A5160" s="833">
        <v>275</v>
      </c>
      <c r="B5160" t="s" s="834">
        <v>3585</v>
      </c>
      <c r="C5160" t="s" s="834">
        <v>1752</v>
      </c>
      <c r="D5160" s="835">
        <v>46041</v>
      </c>
      <c r="E5160" s="836">
        <v>1.366284722222222</v>
      </c>
      <c r="F5160" s="836">
        <v>1.754826388888889</v>
      </c>
      <c r="G5160" s="570"/>
      <c r="H5160" s="570"/>
      <c r="I5160" s="570"/>
      <c r="J5160" s="570"/>
      <c r="K5160" s="570"/>
    </row>
    <row r="5161" ht="13.75" customHeight="1">
      <c r="A5161" t="s" s="834">
        <v>3609</v>
      </c>
      <c r="B5161" t="s" s="834">
        <v>3610</v>
      </c>
      <c r="C5161" t="s" s="834">
        <v>1490</v>
      </c>
      <c r="D5161" s="570"/>
      <c r="E5161" s="570"/>
      <c r="F5161" s="570"/>
      <c r="G5161" s="570"/>
      <c r="H5161" s="570"/>
      <c r="I5161" s="570"/>
      <c r="J5161" s="570"/>
      <c r="K5161" s="570"/>
    </row>
    <row r="5162" ht="13.75" customHeight="1">
      <c r="A5162" s="833">
        <v>275</v>
      </c>
      <c r="B5162" t="s" s="834">
        <v>3585</v>
      </c>
      <c r="C5162" t="s" s="834">
        <v>1752</v>
      </c>
      <c r="D5162" s="835">
        <v>46042</v>
      </c>
      <c r="E5162" s="836">
        <v>1.359236111111111</v>
      </c>
      <c r="F5162" s="836">
        <v>1.752673611111111</v>
      </c>
      <c r="G5162" s="570"/>
      <c r="H5162" s="570"/>
      <c r="I5162" s="570"/>
      <c r="J5162" s="570"/>
      <c r="K5162" s="570"/>
    </row>
    <row r="5163" ht="13.75" customHeight="1">
      <c r="A5163" t="s" s="834">
        <v>3611</v>
      </c>
      <c r="B5163" t="s" s="834">
        <v>3612</v>
      </c>
      <c r="C5163" t="s" s="834">
        <v>518</v>
      </c>
      <c r="D5163" s="570"/>
      <c r="E5163" s="570"/>
      <c r="F5163" s="570"/>
      <c r="G5163" s="570"/>
      <c r="H5163" s="570"/>
      <c r="I5163" s="570"/>
      <c r="J5163" s="570"/>
      <c r="K5163" s="570"/>
    </row>
    <row r="5164" ht="13.75" customHeight="1">
      <c r="A5164" s="833">
        <v>275</v>
      </c>
      <c r="B5164" t="s" s="834">
        <v>3585</v>
      </c>
      <c r="C5164" t="s" s="834">
        <v>1752</v>
      </c>
      <c r="D5164" s="835">
        <v>46043</v>
      </c>
      <c r="E5164" s="836">
        <v>1.358009259259259</v>
      </c>
      <c r="F5164" s="836">
        <v>1.755451388888889</v>
      </c>
      <c r="G5164" s="570"/>
      <c r="H5164" s="570"/>
      <c r="I5164" s="570"/>
      <c r="J5164" s="570"/>
      <c r="K5164" s="570"/>
    </row>
    <row r="5165" ht="13.75" customHeight="1">
      <c r="A5165" t="s" s="834">
        <v>3613</v>
      </c>
      <c r="B5165" t="s" s="834">
        <v>3614</v>
      </c>
      <c r="C5165" t="s" s="834">
        <v>747</v>
      </c>
      <c r="D5165" s="570"/>
      <c r="E5165" s="570"/>
      <c r="F5165" s="570"/>
      <c r="G5165" s="570"/>
      <c r="H5165" s="570"/>
      <c r="I5165" s="570"/>
      <c r="J5165" s="570"/>
      <c r="K5165" s="570"/>
    </row>
    <row r="5166" ht="13.75" customHeight="1">
      <c r="A5166" s="833">
        <v>275</v>
      </c>
      <c r="B5166" t="s" s="834">
        <v>3585</v>
      </c>
      <c r="C5166" t="s" s="834">
        <v>1752</v>
      </c>
      <c r="D5166" s="835">
        <v>46044</v>
      </c>
      <c r="E5166" s="836">
        <v>1.364641203703704</v>
      </c>
      <c r="F5166" s="836">
        <v>1.754050925925926</v>
      </c>
      <c r="G5166" s="570"/>
      <c r="H5166" s="570"/>
      <c r="I5166" s="570"/>
      <c r="J5166" s="570"/>
      <c r="K5166" s="570"/>
    </row>
    <row r="5167" ht="13.75" customHeight="1">
      <c r="A5167" t="s" s="834">
        <v>3615</v>
      </c>
      <c r="B5167" t="s" s="834">
        <v>3616</v>
      </c>
      <c r="C5167" t="s" s="834">
        <v>979</v>
      </c>
      <c r="D5167" s="570"/>
      <c r="E5167" s="570"/>
      <c r="F5167" s="570"/>
      <c r="G5167" s="570"/>
      <c r="H5167" s="570"/>
      <c r="I5167" s="570"/>
      <c r="J5167" s="570"/>
      <c r="K5167" s="570"/>
    </row>
    <row r="5168" ht="13.75" customHeight="1">
      <c r="A5168" s="833">
        <v>275</v>
      </c>
      <c r="B5168" t="s" s="834">
        <v>3585</v>
      </c>
      <c r="C5168" t="s" s="834">
        <v>1752</v>
      </c>
      <c r="D5168" s="835">
        <v>46045</v>
      </c>
      <c r="E5168" s="836">
        <v>1.360046296296296</v>
      </c>
      <c r="F5168" s="836">
        <v>1.752685185185185</v>
      </c>
      <c r="G5168" s="570"/>
      <c r="H5168" s="570"/>
      <c r="I5168" s="570"/>
      <c r="J5168" s="570"/>
      <c r="K5168" s="570"/>
    </row>
    <row r="5169" ht="13.75" customHeight="1">
      <c r="A5169" t="s" s="834">
        <v>3617</v>
      </c>
      <c r="B5169" t="s" s="834">
        <v>3618</v>
      </c>
      <c r="C5169" t="s" s="834">
        <v>966</v>
      </c>
      <c r="D5169" s="570"/>
      <c r="E5169" s="570"/>
      <c r="F5169" s="570"/>
      <c r="G5169" s="570"/>
      <c r="H5169" s="570"/>
      <c r="I5169" s="570"/>
      <c r="J5169" s="570"/>
      <c r="K5169" s="570"/>
    </row>
    <row r="5170" ht="13.75" customHeight="1">
      <c r="A5170" s="833">
        <v>275</v>
      </c>
      <c r="B5170" t="s" s="834">
        <v>3585</v>
      </c>
      <c r="C5170" t="s" s="834">
        <v>1752</v>
      </c>
      <c r="D5170" s="835">
        <v>46046</v>
      </c>
      <c r="E5170" t="s" s="834">
        <v>478</v>
      </c>
      <c r="F5170" t="s" s="834">
        <v>478</v>
      </c>
      <c r="G5170" s="570"/>
      <c r="H5170" s="570"/>
      <c r="I5170" s="570"/>
      <c r="J5170" s="570"/>
      <c r="K5170" s="570"/>
    </row>
    <row r="5171" ht="13.75" customHeight="1">
      <c r="A5171" s="833">
        <v>275</v>
      </c>
      <c r="B5171" t="s" s="834">
        <v>3585</v>
      </c>
      <c r="C5171" t="s" s="834">
        <v>1752</v>
      </c>
      <c r="D5171" s="835">
        <v>46047</v>
      </c>
      <c r="E5171" t="s" s="834">
        <v>478</v>
      </c>
      <c r="F5171" t="s" s="834">
        <v>478</v>
      </c>
      <c r="G5171" s="570"/>
      <c r="H5171" s="570"/>
      <c r="I5171" s="570"/>
      <c r="J5171" s="570"/>
      <c r="K5171" s="570"/>
    </row>
    <row r="5172" ht="13.75" customHeight="1">
      <c r="A5172" s="833">
        <v>275</v>
      </c>
      <c r="B5172" t="s" s="834">
        <v>3585</v>
      </c>
      <c r="C5172" t="s" s="834">
        <v>1752</v>
      </c>
      <c r="D5172" s="835">
        <v>46048</v>
      </c>
      <c r="E5172" s="836">
        <v>1.366331018518518</v>
      </c>
      <c r="F5172" s="836">
        <v>1.755185185185185</v>
      </c>
      <c r="G5172" s="570"/>
      <c r="H5172" s="570"/>
      <c r="I5172" s="570"/>
      <c r="J5172" s="570"/>
      <c r="K5172" s="570"/>
    </row>
    <row r="5173" ht="13.75" customHeight="1">
      <c r="A5173" t="s" s="834">
        <v>3619</v>
      </c>
      <c r="B5173" t="s" s="834">
        <v>3620</v>
      </c>
      <c r="C5173" t="s" s="834">
        <v>1490</v>
      </c>
      <c r="D5173" s="570"/>
      <c r="E5173" s="570"/>
      <c r="F5173" s="570"/>
      <c r="G5173" s="570"/>
      <c r="H5173" s="570"/>
      <c r="I5173" s="570"/>
      <c r="J5173" s="570"/>
      <c r="K5173" s="570"/>
    </row>
    <row r="5174" ht="13.75" customHeight="1">
      <c r="A5174" s="833">
        <v>275</v>
      </c>
      <c r="B5174" t="s" s="834">
        <v>3585</v>
      </c>
      <c r="C5174" t="s" s="834">
        <v>1752</v>
      </c>
      <c r="D5174" s="835">
        <v>46049</v>
      </c>
      <c r="E5174" s="836">
        <v>1.361145833333333</v>
      </c>
      <c r="F5174" s="836">
        <v>1.75087962962963</v>
      </c>
      <c r="G5174" s="570"/>
      <c r="H5174" s="570"/>
      <c r="I5174" s="570"/>
      <c r="J5174" s="570"/>
      <c r="K5174" s="570"/>
    </row>
    <row r="5175" ht="13.75" customHeight="1">
      <c r="A5175" t="s" s="834">
        <v>3621</v>
      </c>
      <c r="B5175" t="s" s="834">
        <v>3622</v>
      </c>
      <c r="C5175" t="s" s="834">
        <v>979</v>
      </c>
      <c r="D5175" s="570"/>
      <c r="E5175" s="570"/>
      <c r="F5175" s="570"/>
      <c r="G5175" s="570"/>
      <c r="H5175" s="570"/>
      <c r="I5175" s="570"/>
      <c r="J5175" s="570"/>
      <c r="K5175" s="570"/>
    </row>
    <row r="5176" ht="13.75" customHeight="1">
      <c r="A5176" s="833">
        <v>275</v>
      </c>
      <c r="B5176" t="s" s="834">
        <v>3585</v>
      </c>
      <c r="C5176" t="s" s="834">
        <v>1752</v>
      </c>
      <c r="D5176" s="835">
        <v>46050</v>
      </c>
      <c r="E5176" s="836">
        <v>1.364178240740741</v>
      </c>
      <c r="F5176" s="836">
        <v>1.750381944444444</v>
      </c>
      <c r="G5176" s="570"/>
      <c r="H5176" s="570"/>
      <c r="I5176" s="570"/>
      <c r="J5176" s="570"/>
      <c r="K5176" s="570"/>
    </row>
    <row r="5177" ht="13.75" customHeight="1">
      <c r="A5177" t="s" s="834">
        <v>3623</v>
      </c>
      <c r="B5177" t="s" s="834">
        <v>3624</v>
      </c>
      <c r="C5177" t="s" s="834">
        <v>834</v>
      </c>
      <c r="D5177" s="570"/>
      <c r="E5177" s="570"/>
      <c r="F5177" s="570"/>
      <c r="G5177" s="570"/>
      <c r="H5177" s="570"/>
      <c r="I5177" s="570"/>
      <c r="J5177" s="570"/>
      <c r="K5177" s="570"/>
    </row>
    <row r="5178" ht="13.75" customHeight="1">
      <c r="A5178" s="833">
        <v>275</v>
      </c>
      <c r="B5178" t="s" s="834">
        <v>3585</v>
      </c>
      <c r="C5178" t="s" s="834">
        <v>1752</v>
      </c>
      <c r="D5178" s="835">
        <v>46051</v>
      </c>
      <c r="E5178" s="836">
        <v>1.361087962962963</v>
      </c>
      <c r="F5178" s="836">
        <v>1.756585648148148</v>
      </c>
      <c r="G5178" s="570"/>
      <c r="H5178" s="570"/>
      <c r="I5178" s="570"/>
      <c r="J5178" s="570"/>
      <c r="K5178" s="570"/>
    </row>
    <row r="5179" ht="13.75" customHeight="1">
      <c r="A5179" t="s" s="834">
        <v>3625</v>
      </c>
      <c r="B5179" t="s" s="834">
        <v>3626</v>
      </c>
      <c r="C5179" t="s" s="834">
        <v>634</v>
      </c>
      <c r="D5179" s="570"/>
      <c r="E5179" s="570"/>
      <c r="F5179" s="570"/>
      <c r="G5179" s="570"/>
      <c r="H5179" s="570"/>
      <c r="I5179" s="570"/>
      <c r="J5179" s="570"/>
      <c r="K5179" s="570"/>
    </row>
    <row r="5180" ht="13.75" customHeight="1">
      <c r="A5180" s="833">
        <v>275</v>
      </c>
      <c r="B5180" t="s" s="834">
        <v>3585</v>
      </c>
      <c r="C5180" t="s" s="834">
        <v>1752</v>
      </c>
      <c r="D5180" s="835">
        <v>46052</v>
      </c>
      <c r="E5180" s="836">
        <v>1.362951388888889</v>
      </c>
      <c r="F5180" s="836">
        <v>1.755543981481481</v>
      </c>
      <c r="G5180" s="570"/>
      <c r="H5180" s="570"/>
      <c r="I5180" s="570"/>
      <c r="J5180" s="570"/>
      <c r="K5180" s="570"/>
    </row>
    <row r="5181" ht="13.75" customHeight="1">
      <c r="A5181" t="s" s="834">
        <v>3627</v>
      </c>
      <c r="B5181" t="s" s="834">
        <v>3628</v>
      </c>
      <c r="C5181" t="s" s="834">
        <v>966</v>
      </c>
      <c r="D5181" s="570"/>
      <c r="E5181" s="570"/>
      <c r="F5181" s="570"/>
      <c r="G5181" s="570"/>
      <c r="H5181" s="570"/>
      <c r="I5181" s="570"/>
      <c r="J5181" s="570"/>
      <c r="K5181" s="570"/>
    </row>
    <row r="5182" ht="13.75" customHeight="1">
      <c r="A5182" s="833">
        <v>275</v>
      </c>
      <c r="B5182" t="s" s="834">
        <v>3585</v>
      </c>
      <c r="C5182" t="s" s="834">
        <v>1752</v>
      </c>
      <c r="D5182" s="835">
        <v>46053</v>
      </c>
      <c r="E5182" t="s" s="834">
        <v>478</v>
      </c>
      <c r="F5182" t="s" s="834">
        <v>478</v>
      </c>
      <c r="G5182" s="570"/>
      <c r="H5182" s="570"/>
      <c r="I5182" s="570"/>
      <c r="J5182" s="570"/>
      <c r="K5182" s="570"/>
    </row>
    <row r="5183" ht="13.75" customHeight="1">
      <c r="A5183" s="833">
        <v>275</v>
      </c>
      <c r="B5183" t="s" s="834">
        <v>3585</v>
      </c>
      <c r="C5183" t="s" s="834">
        <v>1752</v>
      </c>
      <c r="D5183" s="835">
        <v>46054</v>
      </c>
      <c r="E5183" t="s" s="834">
        <v>478</v>
      </c>
      <c r="F5183" t="s" s="834">
        <v>478</v>
      </c>
      <c r="G5183" s="570"/>
      <c r="H5183" s="570"/>
      <c r="I5183" s="570"/>
      <c r="J5183" s="570"/>
      <c r="K5183" s="570"/>
    </row>
    <row r="5184" ht="13.75" customHeight="1">
      <c r="A5184" s="833">
        <v>278</v>
      </c>
      <c r="B5184" t="s" s="834">
        <v>3629</v>
      </c>
      <c r="C5184" t="s" s="834">
        <v>1010</v>
      </c>
      <c r="D5184" s="835">
        <v>46023</v>
      </c>
      <c r="E5184" t="s" s="834">
        <v>478</v>
      </c>
      <c r="F5184" t="s" s="834">
        <v>478</v>
      </c>
      <c r="G5184" s="570"/>
      <c r="H5184" s="570"/>
      <c r="I5184" s="570"/>
      <c r="J5184" s="570"/>
      <c r="K5184" s="570"/>
    </row>
    <row r="5185" ht="13.75" customHeight="1">
      <c r="A5185" s="833">
        <v>278</v>
      </c>
      <c r="B5185" t="s" s="834">
        <v>3629</v>
      </c>
      <c r="C5185" t="s" s="834">
        <v>1010</v>
      </c>
      <c r="D5185" s="835">
        <v>46024</v>
      </c>
      <c r="E5185" t="s" s="834">
        <v>478</v>
      </c>
      <c r="F5185" t="s" s="834">
        <v>478</v>
      </c>
      <c r="G5185" s="570"/>
      <c r="H5185" s="570"/>
      <c r="I5185" s="570"/>
      <c r="J5185" s="570"/>
      <c r="K5185" s="570"/>
    </row>
    <row r="5186" ht="13.75" customHeight="1">
      <c r="A5186" s="833">
        <v>278</v>
      </c>
      <c r="B5186" t="s" s="834">
        <v>3629</v>
      </c>
      <c r="C5186" t="s" s="834">
        <v>1010</v>
      </c>
      <c r="D5186" s="835">
        <v>46025</v>
      </c>
      <c r="E5186" t="s" s="834">
        <v>478</v>
      </c>
      <c r="F5186" t="s" s="834">
        <v>478</v>
      </c>
      <c r="G5186" s="570"/>
      <c r="H5186" s="570"/>
      <c r="I5186" s="570"/>
      <c r="J5186" s="570"/>
      <c r="K5186" s="570"/>
    </row>
    <row r="5187" ht="13.75" customHeight="1">
      <c r="A5187" s="833">
        <v>278</v>
      </c>
      <c r="B5187" t="s" s="834">
        <v>3629</v>
      </c>
      <c r="C5187" t="s" s="834">
        <v>1010</v>
      </c>
      <c r="D5187" s="835">
        <v>46026</v>
      </c>
      <c r="E5187" t="s" s="834">
        <v>478</v>
      </c>
      <c r="F5187" t="s" s="834">
        <v>478</v>
      </c>
      <c r="G5187" s="570"/>
      <c r="H5187" s="570"/>
      <c r="I5187" s="570"/>
      <c r="J5187" s="570"/>
      <c r="K5187" s="570"/>
    </row>
    <row r="5188" ht="13.75" customHeight="1">
      <c r="A5188" s="833">
        <v>278</v>
      </c>
      <c r="B5188" t="s" s="834">
        <v>3629</v>
      </c>
      <c r="C5188" t="s" s="834">
        <v>1010</v>
      </c>
      <c r="D5188" s="835">
        <v>46027</v>
      </c>
      <c r="E5188" t="s" s="834">
        <v>478</v>
      </c>
      <c r="F5188" t="s" s="834">
        <v>478</v>
      </c>
      <c r="G5188" s="570"/>
      <c r="H5188" s="570"/>
      <c r="I5188" s="570"/>
      <c r="J5188" s="570"/>
      <c r="K5188" s="570"/>
    </row>
    <row r="5189" ht="13.75" customHeight="1">
      <c r="A5189" s="833">
        <v>278</v>
      </c>
      <c r="B5189" t="s" s="834">
        <v>3629</v>
      </c>
      <c r="C5189" t="s" s="834">
        <v>1010</v>
      </c>
      <c r="D5189" s="835">
        <v>46028</v>
      </c>
      <c r="E5189" t="s" s="834">
        <v>478</v>
      </c>
      <c r="F5189" t="s" s="834">
        <v>478</v>
      </c>
      <c r="G5189" s="570"/>
      <c r="H5189" s="570"/>
      <c r="I5189" s="570"/>
      <c r="J5189" s="570"/>
      <c r="K5189" s="570"/>
    </row>
    <row r="5190" ht="13.75" customHeight="1">
      <c r="A5190" s="833">
        <v>278</v>
      </c>
      <c r="B5190" t="s" s="834">
        <v>3629</v>
      </c>
      <c r="C5190" t="s" s="834">
        <v>1010</v>
      </c>
      <c r="D5190" s="835">
        <v>46029</v>
      </c>
      <c r="E5190" t="s" s="834">
        <v>478</v>
      </c>
      <c r="F5190" t="s" s="834">
        <v>478</v>
      </c>
      <c r="G5190" s="570"/>
      <c r="H5190" s="570"/>
      <c r="I5190" s="570"/>
      <c r="J5190" s="570"/>
      <c r="K5190" s="570"/>
    </row>
    <row r="5191" ht="13.75" customHeight="1">
      <c r="A5191" s="833">
        <v>278</v>
      </c>
      <c r="B5191" t="s" s="834">
        <v>3629</v>
      </c>
      <c r="C5191" t="s" s="834">
        <v>1010</v>
      </c>
      <c r="D5191" s="835">
        <v>46030</v>
      </c>
      <c r="E5191" t="s" s="834">
        <v>478</v>
      </c>
      <c r="F5191" t="s" s="834">
        <v>478</v>
      </c>
      <c r="G5191" s="570"/>
      <c r="H5191" s="570"/>
      <c r="I5191" s="570"/>
      <c r="J5191" s="570"/>
      <c r="K5191" s="570"/>
    </row>
    <row r="5192" ht="13.75" customHeight="1">
      <c r="A5192" s="833">
        <v>278</v>
      </c>
      <c r="B5192" t="s" s="834">
        <v>3629</v>
      </c>
      <c r="C5192" t="s" s="834">
        <v>1010</v>
      </c>
      <c r="D5192" s="835">
        <v>46031</v>
      </c>
      <c r="E5192" t="s" s="834">
        <v>478</v>
      </c>
      <c r="F5192" t="s" s="834">
        <v>478</v>
      </c>
      <c r="G5192" s="570"/>
      <c r="H5192" s="570"/>
      <c r="I5192" s="570"/>
      <c r="J5192" s="570"/>
      <c r="K5192" s="570"/>
    </row>
    <row r="5193" ht="13.75" customHeight="1">
      <c r="A5193" s="833">
        <v>278</v>
      </c>
      <c r="B5193" t="s" s="834">
        <v>3629</v>
      </c>
      <c r="C5193" t="s" s="834">
        <v>1010</v>
      </c>
      <c r="D5193" s="835">
        <v>46032</v>
      </c>
      <c r="E5193" t="s" s="834">
        <v>478</v>
      </c>
      <c r="F5193" t="s" s="834">
        <v>478</v>
      </c>
      <c r="G5193" s="570"/>
      <c r="H5193" s="570"/>
      <c r="I5193" s="570"/>
      <c r="J5193" s="570"/>
      <c r="K5193" s="570"/>
    </row>
    <row r="5194" ht="13.75" customHeight="1">
      <c r="A5194" s="833">
        <v>278</v>
      </c>
      <c r="B5194" t="s" s="834">
        <v>3629</v>
      </c>
      <c r="C5194" t="s" s="834">
        <v>1010</v>
      </c>
      <c r="D5194" s="835">
        <v>46033</v>
      </c>
      <c r="E5194" t="s" s="834">
        <v>478</v>
      </c>
      <c r="F5194" t="s" s="834">
        <v>478</v>
      </c>
      <c r="G5194" s="570"/>
      <c r="H5194" s="570"/>
      <c r="I5194" s="570"/>
      <c r="J5194" s="570"/>
      <c r="K5194" s="570"/>
    </row>
    <row r="5195" ht="13.75" customHeight="1">
      <c r="A5195" s="833">
        <v>278</v>
      </c>
      <c r="B5195" t="s" s="834">
        <v>3629</v>
      </c>
      <c r="C5195" t="s" s="834">
        <v>1010</v>
      </c>
      <c r="D5195" s="835">
        <v>46034</v>
      </c>
      <c r="E5195" t="s" s="834">
        <v>478</v>
      </c>
      <c r="F5195" t="s" s="834">
        <v>478</v>
      </c>
      <c r="G5195" s="570"/>
      <c r="H5195" s="570"/>
      <c r="I5195" s="570"/>
      <c r="J5195" s="570"/>
      <c r="K5195" s="570"/>
    </row>
    <row r="5196" ht="13.75" customHeight="1">
      <c r="A5196" s="833">
        <v>278</v>
      </c>
      <c r="B5196" t="s" s="834">
        <v>3629</v>
      </c>
      <c r="C5196" t="s" s="834">
        <v>1010</v>
      </c>
      <c r="D5196" s="835">
        <v>46035</v>
      </c>
      <c r="E5196" t="s" s="834">
        <v>478</v>
      </c>
      <c r="F5196" t="s" s="834">
        <v>478</v>
      </c>
      <c r="G5196" s="570"/>
      <c r="H5196" s="570"/>
      <c r="I5196" s="570"/>
      <c r="J5196" s="570"/>
      <c r="K5196" s="570"/>
    </row>
    <row r="5197" ht="13.75" customHeight="1">
      <c r="A5197" s="833">
        <v>278</v>
      </c>
      <c r="B5197" t="s" s="834">
        <v>3629</v>
      </c>
      <c r="C5197" t="s" s="834">
        <v>1010</v>
      </c>
      <c r="D5197" s="835">
        <v>46036</v>
      </c>
      <c r="E5197" t="s" s="834">
        <v>478</v>
      </c>
      <c r="F5197" t="s" s="834">
        <v>478</v>
      </c>
      <c r="G5197" s="570"/>
      <c r="H5197" s="570"/>
      <c r="I5197" s="570"/>
      <c r="J5197" s="570"/>
      <c r="K5197" s="570"/>
    </row>
    <row r="5198" ht="13.75" customHeight="1">
      <c r="A5198" s="833">
        <v>278</v>
      </c>
      <c r="B5198" t="s" s="834">
        <v>3629</v>
      </c>
      <c r="C5198" t="s" s="834">
        <v>1010</v>
      </c>
      <c r="D5198" s="835">
        <v>46037</v>
      </c>
      <c r="E5198" t="s" s="834">
        <v>478</v>
      </c>
      <c r="F5198" t="s" s="834">
        <v>478</v>
      </c>
      <c r="G5198" s="570"/>
      <c r="H5198" s="570"/>
      <c r="I5198" s="570"/>
      <c r="J5198" s="570"/>
      <c r="K5198" s="570"/>
    </row>
    <row r="5199" ht="13.75" customHeight="1">
      <c r="A5199" s="833">
        <v>278</v>
      </c>
      <c r="B5199" t="s" s="834">
        <v>3629</v>
      </c>
      <c r="C5199" t="s" s="834">
        <v>1010</v>
      </c>
      <c r="D5199" s="835">
        <v>46038</v>
      </c>
      <c r="E5199" t="s" s="834">
        <v>478</v>
      </c>
      <c r="F5199" t="s" s="834">
        <v>478</v>
      </c>
      <c r="G5199" s="570"/>
      <c r="H5199" s="570"/>
      <c r="I5199" s="570"/>
      <c r="J5199" s="570"/>
      <c r="K5199" s="570"/>
    </row>
    <row r="5200" ht="13.75" customHeight="1">
      <c r="A5200" s="833">
        <v>278</v>
      </c>
      <c r="B5200" t="s" s="834">
        <v>3629</v>
      </c>
      <c r="C5200" t="s" s="834">
        <v>1010</v>
      </c>
      <c r="D5200" s="835">
        <v>46039</v>
      </c>
      <c r="E5200" t="s" s="834">
        <v>478</v>
      </c>
      <c r="F5200" t="s" s="834">
        <v>478</v>
      </c>
      <c r="G5200" s="570"/>
      <c r="H5200" s="570"/>
      <c r="I5200" s="570"/>
      <c r="J5200" s="570"/>
      <c r="K5200" s="570"/>
    </row>
    <row r="5201" ht="13.75" customHeight="1">
      <c r="A5201" s="833">
        <v>278</v>
      </c>
      <c r="B5201" t="s" s="834">
        <v>3629</v>
      </c>
      <c r="C5201" t="s" s="834">
        <v>1010</v>
      </c>
      <c r="D5201" s="835">
        <v>46040</v>
      </c>
      <c r="E5201" t="s" s="834">
        <v>478</v>
      </c>
      <c r="F5201" t="s" s="834">
        <v>478</v>
      </c>
      <c r="G5201" s="570"/>
      <c r="H5201" s="570"/>
      <c r="I5201" s="570"/>
      <c r="J5201" s="570"/>
      <c r="K5201" s="570"/>
    </row>
    <row r="5202" ht="13.75" customHeight="1">
      <c r="A5202" s="833">
        <v>278</v>
      </c>
      <c r="B5202" t="s" s="834">
        <v>3629</v>
      </c>
      <c r="C5202" t="s" s="834">
        <v>1010</v>
      </c>
      <c r="D5202" s="835">
        <v>46041</v>
      </c>
      <c r="E5202" t="s" s="834">
        <v>478</v>
      </c>
      <c r="F5202" t="s" s="834">
        <v>478</v>
      </c>
      <c r="G5202" s="570"/>
      <c r="H5202" s="570"/>
      <c r="I5202" s="570"/>
      <c r="J5202" s="570"/>
      <c r="K5202" s="570"/>
    </row>
    <row r="5203" ht="13.75" customHeight="1">
      <c r="A5203" s="833">
        <v>278</v>
      </c>
      <c r="B5203" t="s" s="834">
        <v>3629</v>
      </c>
      <c r="C5203" t="s" s="834">
        <v>1010</v>
      </c>
      <c r="D5203" s="835">
        <v>46042</v>
      </c>
      <c r="E5203" t="s" s="834">
        <v>478</v>
      </c>
      <c r="F5203" t="s" s="834">
        <v>478</v>
      </c>
      <c r="G5203" s="570"/>
      <c r="H5203" s="570"/>
      <c r="I5203" s="570"/>
      <c r="J5203" s="570"/>
      <c r="K5203" s="570"/>
    </row>
    <row r="5204" ht="13.75" customHeight="1">
      <c r="A5204" s="833">
        <v>278</v>
      </c>
      <c r="B5204" t="s" s="834">
        <v>3629</v>
      </c>
      <c r="C5204" t="s" s="834">
        <v>1010</v>
      </c>
      <c r="D5204" s="835">
        <v>46043</v>
      </c>
      <c r="E5204" t="s" s="834">
        <v>478</v>
      </c>
      <c r="F5204" t="s" s="834">
        <v>478</v>
      </c>
      <c r="G5204" s="570"/>
      <c r="H5204" s="570"/>
      <c r="I5204" s="570"/>
      <c r="J5204" s="570"/>
      <c r="K5204" s="570"/>
    </row>
    <row r="5205" ht="13.75" customHeight="1">
      <c r="A5205" s="833">
        <v>278</v>
      </c>
      <c r="B5205" t="s" s="834">
        <v>3629</v>
      </c>
      <c r="C5205" t="s" s="834">
        <v>1010</v>
      </c>
      <c r="D5205" s="835">
        <v>46044</v>
      </c>
      <c r="E5205" t="s" s="834">
        <v>478</v>
      </c>
      <c r="F5205" t="s" s="834">
        <v>478</v>
      </c>
      <c r="G5205" s="570"/>
      <c r="H5205" s="570"/>
      <c r="I5205" s="570"/>
      <c r="J5205" s="570"/>
      <c r="K5205" s="570"/>
    </row>
    <row r="5206" ht="13.75" customHeight="1">
      <c r="A5206" s="833">
        <v>278</v>
      </c>
      <c r="B5206" t="s" s="834">
        <v>3629</v>
      </c>
      <c r="C5206" t="s" s="834">
        <v>1010</v>
      </c>
      <c r="D5206" s="835">
        <v>46045</v>
      </c>
      <c r="E5206" t="s" s="834">
        <v>478</v>
      </c>
      <c r="F5206" t="s" s="834">
        <v>478</v>
      </c>
      <c r="G5206" s="570"/>
      <c r="H5206" s="570"/>
      <c r="I5206" s="570"/>
      <c r="J5206" s="570"/>
      <c r="K5206" s="570"/>
    </row>
    <row r="5207" ht="13.75" customHeight="1">
      <c r="A5207" s="833">
        <v>278</v>
      </c>
      <c r="B5207" t="s" s="834">
        <v>3629</v>
      </c>
      <c r="C5207" t="s" s="834">
        <v>1010</v>
      </c>
      <c r="D5207" s="835">
        <v>46046</v>
      </c>
      <c r="E5207" t="s" s="834">
        <v>478</v>
      </c>
      <c r="F5207" t="s" s="834">
        <v>478</v>
      </c>
      <c r="G5207" s="570"/>
      <c r="H5207" s="570"/>
      <c r="I5207" s="570"/>
      <c r="J5207" s="570"/>
      <c r="K5207" s="570"/>
    </row>
    <row r="5208" ht="13.75" customHeight="1">
      <c r="A5208" s="833">
        <v>278</v>
      </c>
      <c r="B5208" t="s" s="834">
        <v>3629</v>
      </c>
      <c r="C5208" t="s" s="834">
        <v>1010</v>
      </c>
      <c r="D5208" s="835">
        <v>46047</v>
      </c>
      <c r="E5208" t="s" s="834">
        <v>478</v>
      </c>
      <c r="F5208" t="s" s="834">
        <v>478</v>
      </c>
      <c r="G5208" s="570"/>
      <c r="H5208" s="570"/>
      <c r="I5208" s="570"/>
      <c r="J5208" s="570"/>
      <c r="K5208" s="570"/>
    </row>
    <row r="5209" ht="13.75" customHeight="1">
      <c r="A5209" s="833">
        <v>278</v>
      </c>
      <c r="B5209" t="s" s="834">
        <v>3629</v>
      </c>
      <c r="C5209" t="s" s="834">
        <v>1010</v>
      </c>
      <c r="D5209" s="835">
        <v>46048</v>
      </c>
      <c r="E5209" t="s" s="834">
        <v>478</v>
      </c>
      <c r="F5209" t="s" s="834">
        <v>478</v>
      </c>
      <c r="G5209" s="570"/>
      <c r="H5209" s="570"/>
      <c r="I5209" s="570"/>
      <c r="J5209" s="570"/>
      <c r="K5209" s="570"/>
    </row>
    <row r="5210" ht="13.75" customHeight="1">
      <c r="A5210" s="833">
        <v>278</v>
      </c>
      <c r="B5210" t="s" s="834">
        <v>3629</v>
      </c>
      <c r="C5210" t="s" s="834">
        <v>1010</v>
      </c>
      <c r="D5210" s="835">
        <v>46049</v>
      </c>
      <c r="E5210" t="s" s="834">
        <v>478</v>
      </c>
      <c r="F5210" t="s" s="834">
        <v>478</v>
      </c>
      <c r="G5210" s="570"/>
      <c r="H5210" s="570"/>
      <c r="I5210" s="570"/>
      <c r="J5210" s="570"/>
      <c r="K5210" s="570"/>
    </row>
    <row r="5211" ht="13.75" customHeight="1">
      <c r="A5211" s="833">
        <v>278</v>
      </c>
      <c r="B5211" t="s" s="834">
        <v>3629</v>
      </c>
      <c r="C5211" t="s" s="834">
        <v>1010</v>
      </c>
      <c r="D5211" s="835">
        <v>46050</v>
      </c>
      <c r="E5211" t="s" s="834">
        <v>478</v>
      </c>
      <c r="F5211" t="s" s="834">
        <v>478</v>
      </c>
      <c r="G5211" s="570"/>
      <c r="H5211" s="570"/>
      <c r="I5211" s="570"/>
      <c r="J5211" s="570"/>
      <c r="K5211" s="570"/>
    </row>
    <row r="5212" ht="13.75" customHeight="1">
      <c r="A5212" s="833">
        <v>278</v>
      </c>
      <c r="B5212" t="s" s="834">
        <v>3629</v>
      </c>
      <c r="C5212" t="s" s="834">
        <v>1010</v>
      </c>
      <c r="D5212" s="835">
        <v>46051</v>
      </c>
      <c r="E5212" t="s" s="834">
        <v>478</v>
      </c>
      <c r="F5212" t="s" s="834">
        <v>478</v>
      </c>
      <c r="G5212" s="570"/>
      <c r="H5212" s="570"/>
      <c r="I5212" s="570"/>
      <c r="J5212" s="570"/>
      <c r="K5212" s="570"/>
    </row>
    <row r="5213" ht="13.75" customHeight="1">
      <c r="A5213" s="833">
        <v>278</v>
      </c>
      <c r="B5213" t="s" s="834">
        <v>3629</v>
      </c>
      <c r="C5213" t="s" s="834">
        <v>1010</v>
      </c>
      <c r="D5213" s="835">
        <v>46052</v>
      </c>
      <c r="E5213" t="s" s="834">
        <v>478</v>
      </c>
      <c r="F5213" t="s" s="834">
        <v>478</v>
      </c>
      <c r="G5213" s="570"/>
      <c r="H5213" s="570"/>
      <c r="I5213" s="570"/>
      <c r="J5213" s="570"/>
      <c r="K5213" s="570"/>
    </row>
    <row r="5214" ht="13.75" customHeight="1">
      <c r="A5214" s="833">
        <v>278</v>
      </c>
      <c r="B5214" t="s" s="834">
        <v>3629</v>
      </c>
      <c r="C5214" t="s" s="834">
        <v>1010</v>
      </c>
      <c r="D5214" s="835">
        <v>46053</v>
      </c>
      <c r="E5214" t="s" s="834">
        <v>478</v>
      </c>
      <c r="F5214" t="s" s="834">
        <v>478</v>
      </c>
      <c r="G5214" s="570"/>
      <c r="H5214" s="570"/>
      <c r="I5214" s="570"/>
      <c r="J5214" s="570"/>
      <c r="K5214" s="570"/>
    </row>
    <row r="5215" ht="13.75" customHeight="1">
      <c r="A5215" s="833">
        <v>278</v>
      </c>
      <c r="B5215" t="s" s="834">
        <v>3629</v>
      </c>
      <c r="C5215" t="s" s="834">
        <v>1010</v>
      </c>
      <c r="D5215" s="835">
        <v>46054</v>
      </c>
      <c r="E5215" t="s" s="834">
        <v>478</v>
      </c>
      <c r="F5215" t="s" s="834">
        <v>478</v>
      </c>
      <c r="G5215" s="570"/>
      <c r="H5215" s="570"/>
      <c r="I5215" s="570"/>
      <c r="J5215" s="570"/>
      <c r="K5215" s="570"/>
    </row>
    <row r="5216" ht="13.75" customHeight="1">
      <c r="A5216" s="833">
        <v>283</v>
      </c>
      <c r="B5216" t="s" s="834">
        <v>3630</v>
      </c>
      <c r="C5216" t="s" s="834">
        <v>1010</v>
      </c>
      <c r="D5216" s="835">
        <v>46023</v>
      </c>
      <c r="E5216" t="s" s="834">
        <v>478</v>
      </c>
      <c r="F5216" t="s" s="834">
        <v>478</v>
      </c>
      <c r="G5216" s="570"/>
      <c r="H5216" s="570"/>
      <c r="I5216" s="570"/>
      <c r="J5216" s="570"/>
      <c r="K5216" s="570"/>
    </row>
    <row r="5217" ht="13.75" customHeight="1">
      <c r="A5217" s="833">
        <v>283</v>
      </c>
      <c r="B5217" t="s" s="834">
        <v>3630</v>
      </c>
      <c r="C5217" t="s" s="834">
        <v>1010</v>
      </c>
      <c r="D5217" s="835">
        <v>46024</v>
      </c>
      <c r="E5217" t="s" s="834">
        <v>478</v>
      </c>
      <c r="F5217" t="s" s="834">
        <v>478</v>
      </c>
      <c r="G5217" s="570"/>
      <c r="H5217" s="570"/>
      <c r="I5217" s="570"/>
      <c r="J5217" s="570"/>
      <c r="K5217" s="570"/>
    </row>
    <row r="5218" ht="13.75" customHeight="1">
      <c r="A5218" s="833">
        <v>283</v>
      </c>
      <c r="B5218" t="s" s="834">
        <v>3630</v>
      </c>
      <c r="C5218" t="s" s="834">
        <v>1010</v>
      </c>
      <c r="D5218" s="835">
        <v>46025</v>
      </c>
      <c r="E5218" t="s" s="834">
        <v>478</v>
      </c>
      <c r="F5218" t="s" s="834">
        <v>478</v>
      </c>
      <c r="G5218" s="570"/>
      <c r="H5218" s="570"/>
      <c r="I5218" s="570"/>
      <c r="J5218" s="570"/>
      <c r="K5218" s="570"/>
    </row>
    <row r="5219" ht="13.75" customHeight="1">
      <c r="A5219" s="833">
        <v>283</v>
      </c>
      <c r="B5219" t="s" s="834">
        <v>3630</v>
      </c>
      <c r="C5219" t="s" s="834">
        <v>1010</v>
      </c>
      <c r="D5219" s="835">
        <v>46026</v>
      </c>
      <c r="E5219" t="s" s="834">
        <v>478</v>
      </c>
      <c r="F5219" t="s" s="834">
        <v>478</v>
      </c>
      <c r="G5219" s="570"/>
      <c r="H5219" s="570"/>
      <c r="I5219" s="570"/>
      <c r="J5219" s="570"/>
      <c r="K5219" s="570"/>
    </row>
    <row r="5220" ht="13.75" customHeight="1">
      <c r="A5220" s="833">
        <v>283</v>
      </c>
      <c r="B5220" t="s" s="834">
        <v>3630</v>
      </c>
      <c r="C5220" t="s" s="834">
        <v>1010</v>
      </c>
      <c r="D5220" s="835">
        <v>46027</v>
      </c>
      <c r="E5220" t="s" s="834">
        <v>478</v>
      </c>
      <c r="F5220" t="s" s="834">
        <v>478</v>
      </c>
      <c r="G5220" s="570"/>
      <c r="H5220" s="570"/>
      <c r="I5220" s="570"/>
      <c r="J5220" s="570"/>
      <c r="K5220" s="570"/>
    </row>
    <row r="5221" ht="13.75" customHeight="1">
      <c r="A5221" s="833">
        <v>283</v>
      </c>
      <c r="B5221" t="s" s="834">
        <v>3630</v>
      </c>
      <c r="C5221" t="s" s="834">
        <v>1010</v>
      </c>
      <c r="D5221" s="835">
        <v>46028</v>
      </c>
      <c r="E5221" t="s" s="834">
        <v>478</v>
      </c>
      <c r="F5221" t="s" s="834">
        <v>478</v>
      </c>
      <c r="G5221" s="570"/>
      <c r="H5221" s="570"/>
      <c r="I5221" s="570"/>
      <c r="J5221" s="570"/>
      <c r="K5221" s="570"/>
    </row>
    <row r="5222" ht="13.75" customHeight="1">
      <c r="A5222" s="833">
        <v>283</v>
      </c>
      <c r="B5222" t="s" s="834">
        <v>3630</v>
      </c>
      <c r="C5222" t="s" s="834">
        <v>1010</v>
      </c>
      <c r="D5222" s="835">
        <v>46029</v>
      </c>
      <c r="E5222" t="s" s="834">
        <v>478</v>
      </c>
      <c r="F5222" t="s" s="834">
        <v>478</v>
      </c>
      <c r="G5222" s="570"/>
      <c r="H5222" s="570"/>
      <c r="I5222" s="570"/>
      <c r="J5222" s="570"/>
      <c r="K5222" s="570"/>
    </row>
    <row r="5223" ht="13.75" customHeight="1">
      <c r="A5223" s="833">
        <v>283</v>
      </c>
      <c r="B5223" t="s" s="834">
        <v>3630</v>
      </c>
      <c r="C5223" t="s" s="834">
        <v>1010</v>
      </c>
      <c r="D5223" s="835">
        <v>46030</v>
      </c>
      <c r="E5223" t="s" s="834">
        <v>478</v>
      </c>
      <c r="F5223" t="s" s="834">
        <v>478</v>
      </c>
      <c r="G5223" s="570"/>
      <c r="H5223" s="570"/>
      <c r="I5223" s="570"/>
      <c r="J5223" s="570"/>
      <c r="K5223" s="570"/>
    </row>
    <row r="5224" ht="13.75" customHeight="1">
      <c r="A5224" s="833">
        <v>283</v>
      </c>
      <c r="B5224" t="s" s="834">
        <v>3630</v>
      </c>
      <c r="C5224" t="s" s="834">
        <v>1010</v>
      </c>
      <c r="D5224" s="835">
        <v>46031</v>
      </c>
      <c r="E5224" t="s" s="834">
        <v>478</v>
      </c>
      <c r="F5224" t="s" s="834">
        <v>478</v>
      </c>
      <c r="G5224" s="570"/>
      <c r="H5224" s="570"/>
      <c r="I5224" s="570"/>
      <c r="J5224" s="570"/>
      <c r="K5224" s="570"/>
    </row>
    <row r="5225" ht="13.75" customHeight="1">
      <c r="A5225" s="833">
        <v>283</v>
      </c>
      <c r="B5225" t="s" s="834">
        <v>3630</v>
      </c>
      <c r="C5225" t="s" s="834">
        <v>1010</v>
      </c>
      <c r="D5225" s="835">
        <v>46032</v>
      </c>
      <c r="E5225" t="s" s="834">
        <v>478</v>
      </c>
      <c r="F5225" t="s" s="834">
        <v>478</v>
      </c>
      <c r="G5225" s="570"/>
      <c r="H5225" s="570"/>
      <c r="I5225" s="570"/>
      <c r="J5225" s="570"/>
      <c r="K5225" s="570"/>
    </row>
    <row r="5226" ht="13.75" customHeight="1">
      <c r="A5226" s="833">
        <v>283</v>
      </c>
      <c r="B5226" t="s" s="834">
        <v>3630</v>
      </c>
      <c r="C5226" t="s" s="834">
        <v>1010</v>
      </c>
      <c r="D5226" s="835">
        <v>46033</v>
      </c>
      <c r="E5226" t="s" s="834">
        <v>478</v>
      </c>
      <c r="F5226" t="s" s="834">
        <v>478</v>
      </c>
      <c r="G5226" s="570"/>
      <c r="H5226" s="570"/>
      <c r="I5226" s="570"/>
      <c r="J5226" s="570"/>
      <c r="K5226" s="570"/>
    </row>
    <row r="5227" ht="13.75" customHeight="1">
      <c r="A5227" s="833">
        <v>283</v>
      </c>
      <c r="B5227" t="s" s="834">
        <v>3630</v>
      </c>
      <c r="C5227" t="s" s="834">
        <v>1010</v>
      </c>
      <c r="D5227" s="835">
        <v>46034</v>
      </c>
      <c r="E5227" t="s" s="834">
        <v>478</v>
      </c>
      <c r="F5227" t="s" s="834">
        <v>478</v>
      </c>
      <c r="G5227" s="570"/>
      <c r="H5227" s="570"/>
      <c r="I5227" s="570"/>
      <c r="J5227" s="570"/>
      <c r="K5227" s="570"/>
    </row>
    <row r="5228" ht="13.75" customHeight="1">
      <c r="A5228" s="833">
        <v>283</v>
      </c>
      <c r="B5228" t="s" s="834">
        <v>3630</v>
      </c>
      <c r="C5228" t="s" s="834">
        <v>1010</v>
      </c>
      <c r="D5228" s="835">
        <v>46035</v>
      </c>
      <c r="E5228" t="s" s="834">
        <v>478</v>
      </c>
      <c r="F5228" t="s" s="834">
        <v>478</v>
      </c>
      <c r="G5228" s="570"/>
      <c r="H5228" s="570"/>
      <c r="I5228" s="570"/>
      <c r="J5228" s="570"/>
      <c r="K5228" s="570"/>
    </row>
    <row r="5229" ht="13.75" customHeight="1">
      <c r="A5229" s="833">
        <v>283</v>
      </c>
      <c r="B5229" t="s" s="834">
        <v>3630</v>
      </c>
      <c r="C5229" t="s" s="834">
        <v>1010</v>
      </c>
      <c r="D5229" s="835">
        <v>46036</v>
      </c>
      <c r="E5229" t="s" s="834">
        <v>478</v>
      </c>
      <c r="F5229" t="s" s="834">
        <v>478</v>
      </c>
      <c r="G5229" s="570"/>
      <c r="H5229" s="570"/>
      <c r="I5229" s="570"/>
      <c r="J5229" s="570"/>
      <c r="K5229" s="570"/>
    </row>
    <row r="5230" ht="13.75" customHeight="1">
      <c r="A5230" s="833">
        <v>283</v>
      </c>
      <c r="B5230" t="s" s="834">
        <v>3630</v>
      </c>
      <c r="C5230" t="s" s="834">
        <v>1010</v>
      </c>
      <c r="D5230" s="835">
        <v>46037</v>
      </c>
      <c r="E5230" t="s" s="834">
        <v>478</v>
      </c>
      <c r="F5230" t="s" s="834">
        <v>478</v>
      </c>
      <c r="G5230" s="570"/>
      <c r="H5230" s="570"/>
      <c r="I5230" s="570"/>
      <c r="J5230" s="570"/>
      <c r="K5230" s="570"/>
    </row>
    <row r="5231" ht="13.75" customHeight="1">
      <c r="A5231" s="833">
        <v>283</v>
      </c>
      <c r="B5231" t="s" s="834">
        <v>3630</v>
      </c>
      <c r="C5231" t="s" s="834">
        <v>1010</v>
      </c>
      <c r="D5231" s="835">
        <v>46038</v>
      </c>
      <c r="E5231" t="s" s="834">
        <v>478</v>
      </c>
      <c r="F5231" t="s" s="834">
        <v>478</v>
      </c>
      <c r="G5231" s="570"/>
      <c r="H5231" s="570"/>
      <c r="I5231" s="570"/>
      <c r="J5231" s="570"/>
      <c r="K5231" s="570"/>
    </row>
    <row r="5232" ht="13.75" customHeight="1">
      <c r="A5232" s="833">
        <v>283</v>
      </c>
      <c r="B5232" t="s" s="834">
        <v>3630</v>
      </c>
      <c r="C5232" t="s" s="834">
        <v>1010</v>
      </c>
      <c r="D5232" s="835">
        <v>46039</v>
      </c>
      <c r="E5232" t="s" s="834">
        <v>478</v>
      </c>
      <c r="F5232" t="s" s="834">
        <v>478</v>
      </c>
      <c r="G5232" s="570"/>
      <c r="H5232" s="570"/>
      <c r="I5232" s="570"/>
      <c r="J5232" s="570"/>
      <c r="K5232" s="570"/>
    </row>
    <row r="5233" ht="13.75" customHeight="1">
      <c r="A5233" s="833">
        <v>283</v>
      </c>
      <c r="B5233" t="s" s="834">
        <v>3630</v>
      </c>
      <c r="C5233" t="s" s="834">
        <v>1010</v>
      </c>
      <c r="D5233" s="835">
        <v>46040</v>
      </c>
      <c r="E5233" t="s" s="834">
        <v>478</v>
      </c>
      <c r="F5233" t="s" s="834">
        <v>478</v>
      </c>
      <c r="G5233" s="570"/>
      <c r="H5233" s="570"/>
      <c r="I5233" s="570"/>
      <c r="J5233" s="570"/>
      <c r="K5233" s="570"/>
    </row>
    <row r="5234" ht="13.75" customHeight="1">
      <c r="A5234" s="833">
        <v>283</v>
      </c>
      <c r="B5234" t="s" s="834">
        <v>3630</v>
      </c>
      <c r="C5234" t="s" s="834">
        <v>1010</v>
      </c>
      <c r="D5234" s="835">
        <v>46041</v>
      </c>
      <c r="E5234" t="s" s="834">
        <v>478</v>
      </c>
      <c r="F5234" t="s" s="834">
        <v>478</v>
      </c>
      <c r="G5234" s="570"/>
      <c r="H5234" s="570"/>
      <c r="I5234" s="570"/>
      <c r="J5234" s="570"/>
      <c r="K5234" s="570"/>
    </row>
    <row r="5235" ht="13.75" customHeight="1">
      <c r="A5235" s="833">
        <v>283</v>
      </c>
      <c r="B5235" t="s" s="834">
        <v>3630</v>
      </c>
      <c r="C5235" t="s" s="834">
        <v>1010</v>
      </c>
      <c r="D5235" s="835">
        <v>46042</v>
      </c>
      <c r="E5235" t="s" s="834">
        <v>478</v>
      </c>
      <c r="F5235" t="s" s="834">
        <v>478</v>
      </c>
      <c r="G5235" s="570"/>
      <c r="H5235" s="570"/>
      <c r="I5235" s="570"/>
      <c r="J5235" s="570"/>
      <c r="K5235" s="570"/>
    </row>
    <row r="5236" ht="13.75" customHeight="1">
      <c r="A5236" s="833">
        <v>283</v>
      </c>
      <c r="B5236" t="s" s="834">
        <v>3630</v>
      </c>
      <c r="C5236" t="s" s="834">
        <v>1010</v>
      </c>
      <c r="D5236" s="835">
        <v>46043</v>
      </c>
      <c r="E5236" t="s" s="834">
        <v>478</v>
      </c>
      <c r="F5236" t="s" s="834">
        <v>478</v>
      </c>
      <c r="G5236" s="570"/>
      <c r="H5236" s="570"/>
      <c r="I5236" s="570"/>
      <c r="J5236" s="570"/>
      <c r="K5236" s="570"/>
    </row>
    <row r="5237" ht="13.75" customHeight="1">
      <c r="A5237" s="833">
        <v>283</v>
      </c>
      <c r="B5237" t="s" s="834">
        <v>3630</v>
      </c>
      <c r="C5237" t="s" s="834">
        <v>1010</v>
      </c>
      <c r="D5237" s="835">
        <v>46044</v>
      </c>
      <c r="E5237" t="s" s="834">
        <v>478</v>
      </c>
      <c r="F5237" t="s" s="834">
        <v>478</v>
      </c>
      <c r="G5237" s="570"/>
      <c r="H5237" s="570"/>
      <c r="I5237" s="570"/>
      <c r="J5237" s="570"/>
      <c r="K5237" s="570"/>
    </row>
    <row r="5238" ht="13.75" customHeight="1">
      <c r="A5238" s="833">
        <v>283</v>
      </c>
      <c r="B5238" t="s" s="834">
        <v>3630</v>
      </c>
      <c r="C5238" t="s" s="834">
        <v>1010</v>
      </c>
      <c r="D5238" s="835">
        <v>46045</v>
      </c>
      <c r="E5238" t="s" s="834">
        <v>478</v>
      </c>
      <c r="F5238" t="s" s="834">
        <v>478</v>
      </c>
      <c r="G5238" s="570"/>
      <c r="H5238" s="570"/>
      <c r="I5238" s="570"/>
      <c r="J5238" s="570"/>
      <c r="K5238" s="570"/>
    </row>
    <row r="5239" ht="13.75" customHeight="1">
      <c r="A5239" s="833">
        <v>283</v>
      </c>
      <c r="B5239" t="s" s="834">
        <v>3630</v>
      </c>
      <c r="C5239" t="s" s="834">
        <v>1010</v>
      </c>
      <c r="D5239" s="835">
        <v>46046</v>
      </c>
      <c r="E5239" t="s" s="834">
        <v>478</v>
      </c>
      <c r="F5239" t="s" s="834">
        <v>478</v>
      </c>
      <c r="G5239" s="570"/>
      <c r="H5239" s="570"/>
      <c r="I5239" s="570"/>
      <c r="J5239" s="570"/>
      <c r="K5239" s="570"/>
    </row>
    <row r="5240" ht="13.75" customHeight="1">
      <c r="A5240" s="833">
        <v>283</v>
      </c>
      <c r="B5240" t="s" s="834">
        <v>3630</v>
      </c>
      <c r="C5240" t="s" s="834">
        <v>1010</v>
      </c>
      <c r="D5240" s="835">
        <v>46047</v>
      </c>
      <c r="E5240" t="s" s="834">
        <v>478</v>
      </c>
      <c r="F5240" t="s" s="834">
        <v>478</v>
      </c>
      <c r="G5240" s="570"/>
      <c r="H5240" s="570"/>
      <c r="I5240" s="570"/>
      <c r="J5240" s="570"/>
      <c r="K5240" s="570"/>
    </row>
    <row r="5241" ht="13.75" customHeight="1">
      <c r="A5241" s="833">
        <v>283</v>
      </c>
      <c r="B5241" t="s" s="834">
        <v>3630</v>
      </c>
      <c r="C5241" t="s" s="834">
        <v>1010</v>
      </c>
      <c r="D5241" s="835">
        <v>46048</v>
      </c>
      <c r="E5241" t="s" s="834">
        <v>478</v>
      </c>
      <c r="F5241" t="s" s="834">
        <v>478</v>
      </c>
      <c r="G5241" s="570"/>
      <c r="H5241" s="570"/>
      <c r="I5241" s="570"/>
      <c r="J5241" s="570"/>
      <c r="K5241" s="570"/>
    </row>
    <row r="5242" ht="13.75" customHeight="1">
      <c r="A5242" s="833">
        <v>283</v>
      </c>
      <c r="B5242" t="s" s="834">
        <v>3630</v>
      </c>
      <c r="C5242" t="s" s="834">
        <v>1010</v>
      </c>
      <c r="D5242" s="835">
        <v>46049</v>
      </c>
      <c r="E5242" t="s" s="834">
        <v>478</v>
      </c>
      <c r="F5242" t="s" s="834">
        <v>478</v>
      </c>
      <c r="G5242" s="570"/>
      <c r="H5242" s="570"/>
      <c r="I5242" s="570"/>
      <c r="J5242" s="570"/>
      <c r="K5242" s="570"/>
    </row>
    <row r="5243" ht="13.75" customHeight="1">
      <c r="A5243" s="833">
        <v>283</v>
      </c>
      <c r="B5243" t="s" s="834">
        <v>3630</v>
      </c>
      <c r="C5243" t="s" s="834">
        <v>1010</v>
      </c>
      <c r="D5243" s="835">
        <v>46050</v>
      </c>
      <c r="E5243" t="s" s="834">
        <v>478</v>
      </c>
      <c r="F5243" t="s" s="834">
        <v>478</v>
      </c>
      <c r="G5243" s="570"/>
      <c r="H5243" s="570"/>
      <c r="I5243" s="570"/>
      <c r="J5243" s="570"/>
      <c r="K5243" s="570"/>
    </row>
    <row r="5244" ht="13.75" customHeight="1">
      <c r="A5244" s="833">
        <v>283</v>
      </c>
      <c r="B5244" t="s" s="834">
        <v>3630</v>
      </c>
      <c r="C5244" t="s" s="834">
        <v>1010</v>
      </c>
      <c r="D5244" s="835">
        <v>46051</v>
      </c>
      <c r="E5244" t="s" s="834">
        <v>478</v>
      </c>
      <c r="F5244" t="s" s="834">
        <v>478</v>
      </c>
      <c r="G5244" s="570"/>
      <c r="H5244" s="570"/>
      <c r="I5244" s="570"/>
      <c r="J5244" s="570"/>
      <c r="K5244" s="570"/>
    </row>
    <row r="5245" ht="13.75" customHeight="1">
      <c r="A5245" s="833">
        <v>283</v>
      </c>
      <c r="B5245" t="s" s="834">
        <v>3630</v>
      </c>
      <c r="C5245" t="s" s="834">
        <v>1010</v>
      </c>
      <c r="D5245" s="835">
        <v>46052</v>
      </c>
      <c r="E5245" t="s" s="834">
        <v>478</v>
      </c>
      <c r="F5245" t="s" s="834">
        <v>478</v>
      </c>
      <c r="G5245" s="570"/>
      <c r="H5245" s="570"/>
      <c r="I5245" s="570"/>
      <c r="J5245" s="570"/>
      <c r="K5245" s="570"/>
    </row>
    <row r="5246" ht="13.75" customHeight="1">
      <c r="A5246" s="833">
        <v>283</v>
      </c>
      <c r="B5246" t="s" s="834">
        <v>3630</v>
      </c>
      <c r="C5246" t="s" s="834">
        <v>1010</v>
      </c>
      <c r="D5246" s="835">
        <v>46053</v>
      </c>
      <c r="E5246" t="s" s="834">
        <v>478</v>
      </c>
      <c r="F5246" t="s" s="834">
        <v>478</v>
      </c>
      <c r="G5246" s="570"/>
      <c r="H5246" s="570"/>
      <c r="I5246" s="570"/>
      <c r="J5246" s="570"/>
      <c r="K5246" s="570"/>
    </row>
    <row r="5247" ht="13.75" customHeight="1">
      <c r="A5247" s="833">
        <v>283</v>
      </c>
      <c r="B5247" t="s" s="834">
        <v>3630</v>
      </c>
      <c r="C5247" t="s" s="834">
        <v>1010</v>
      </c>
      <c r="D5247" s="835">
        <v>46054</v>
      </c>
      <c r="E5247" t="s" s="834">
        <v>478</v>
      </c>
      <c r="F5247" t="s" s="834">
        <v>478</v>
      </c>
      <c r="G5247" s="570"/>
      <c r="H5247" s="570"/>
      <c r="I5247" s="570"/>
      <c r="J5247" s="570"/>
      <c r="K5247" s="570"/>
    </row>
    <row r="5248" ht="13.75" customHeight="1">
      <c r="A5248" s="833">
        <v>287</v>
      </c>
      <c r="B5248" t="s" s="834">
        <v>3631</v>
      </c>
      <c r="C5248" t="s" s="834">
        <v>1571</v>
      </c>
      <c r="D5248" s="835">
        <v>46023</v>
      </c>
      <c r="E5248" t="s" s="834">
        <v>478</v>
      </c>
      <c r="F5248" t="s" s="834">
        <v>478</v>
      </c>
      <c r="G5248" s="570"/>
      <c r="H5248" s="570"/>
      <c r="I5248" s="570"/>
      <c r="J5248" s="570"/>
      <c r="K5248" s="570"/>
    </row>
    <row r="5249" ht="13.75" customHeight="1">
      <c r="A5249" s="833">
        <v>287</v>
      </c>
      <c r="B5249" t="s" s="834">
        <v>3631</v>
      </c>
      <c r="C5249" t="s" s="834">
        <v>1571</v>
      </c>
      <c r="D5249" s="835">
        <v>46024</v>
      </c>
      <c r="E5249" t="s" s="834">
        <v>478</v>
      </c>
      <c r="F5249" t="s" s="834">
        <v>478</v>
      </c>
      <c r="G5249" s="570"/>
      <c r="H5249" s="570"/>
      <c r="I5249" s="570"/>
      <c r="J5249" s="570"/>
      <c r="K5249" s="570"/>
    </row>
    <row r="5250" ht="13.75" customHeight="1">
      <c r="A5250" s="833">
        <v>287</v>
      </c>
      <c r="B5250" t="s" s="834">
        <v>3631</v>
      </c>
      <c r="C5250" t="s" s="834">
        <v>1571</v>
      </c>
      <c r="D5250" s="835">
        <v>46025</v>
      </c>
      <c r="E5250" t="s" s="834">
        <v>478</v>
      </c>
      <c r="F5250" t="s" s="834">
        <v>478</v>
      </c>
      <c r="G5250" s="570"/>
      <c r="H5250" s="570"/>
      <c r="I5250" s="570"/>
      <c r="J5250" s="570"/>
      <c r="K5250" s="570"/>
    </row>
    <row r="5251" ht="13.75" customHeight="1">
      <c r="A5251" s="833">
        <v>287</v>
      </c>
      <c r="B5251" t="s" s="834">
        <v>3631</v>
      </c>
      <c r="C5251" t="s" s="834">
        <v>1571</v>
      </c>
      <c r="D5251" s="835">
        <v>46026</v>
      </c>
      <c r="E5251" t="s" s="834">
        <v>478</v>
      </c>
      <c r="F5251" t="s" s="834">
        <v>478</v>
      </c>
      <c r="G5251" s="570"/>
      <c r="H5251" s="570"/>
      <c r="I5251" s="570"/>
      <c r="J5251" s="570"/>
      <c r="K5251" s="570"/>
    </row>
    <row r="5252" ht="13.75" customHeight="1">
      <c r="A5252" s="833">
        <v>287</v>
      </c>
      <c r="B5252" t="s" s="834">
        <v>3631</v>
      </c>
      <c r="C5252" t="s" s="834">
        <v>1571</v>
      </c>
      <c r="D5252" s="835">
        <v>46027</v>
      </c>
      <c r="E5252" s="836">
        <v>1.348622685185185</v>
      </c>
      <c r="F5252" s="836">
        <v>1.752013888888889</v>
      </c>
      <c r="G5252" s="570"/>
      <c r="H5252" s="570"/>
      <c r="I5252" s="570"/>
      <c r="J5252" s="570"/>
      <c r="K5252" s="570"/>
    </row>
    <row r="5253" ht="13.75" customHeight="1">
      <c r="A5253" t="s" s="834">
        <v>3632</v>
      </c>
      <c r="B5253" t="s" s="834">
        <v>3633</v>
      </c>
      <c r="C5253" t="s" s="834">
        <v>590</v>
      </c>
      <c r="D5253" s="570"/>
      <c r="E5253" s="570"/>
      <c r="F5253" s="570"/>
      <c r="G5253" s="570"/>
      <c r="H5253" s="570"/>
      <c r="I5253" s="570"/>
      <c r="J5253" s="570"/>
      <c r="K5253" s="570"/>
    </row>
    <row r="5254" ht="13.75" customHeight="1">
      <c r="A5254" s="833">
        <v>287</v>
      </c>
      <c r="B5254" t="s" s="834">
        <v>3631</v>
      </c>
      <c r="C5254" t="s" s="834">
        <v>1571</v>
      </c>
      <c r="D5254" s="835">
        <v>46028</v>
      </c>
      <c r="E5254" s="836">
        <v>1.35837962962963</v>
      </c>
      <c r="F5254" t="s" s="834">
        <v>478</v>
      </c>
      <c r="G5254" s="570"/>
      <c r="H5254" s="570"/>
      <c r="I5254" s="570"/>
      <c r="J5254" s="570"/>
      <c r="K5254" s="570"/>
    </row>
    <row r="5255" ht="13.75" customHeight="1">
      <c r="A5255" t="s" s="834">
        <v>3634</v>
      </c>
      <c r="B5255" t="s" s="834">
        <v>485</v>
      </c>
      <c r="C5255" t="s" s="834">
        <v>486</v>
      </c>
      <c r="D5255" s="570"/>
      <c r="E5255" s="570"/>
      <c r="F5255" s="570"/>
      <c r="G5255" s="570"/>
      <c r="H5255" s="570"/>
      <c r="I5255" s="570"/>
      <c r="J5255" s="570"/>
      <c r="K5255" s="570"/>
    </row>
    <row r="5256" ht="13.75" customHeight="1">
      <c r="A5256" s="833">
        <v>287</v>
      </c>
      <c r="B5256" t="s" s="834">
        <v>3631</v>
      </c>
      <c r="C5256" t="s" s="834">
        <v>1571</v>
      </c>
      <c r="D5256" s="835">
        <v>46029</v>
      </c>
      <c r="E5256" s="836">
        <v>1.416828703703704</v>
      </c>
      <c r="F5256" s="836">
        <v>1.754131944444445</v>
      </c>
      <c r="G5256" s="570"/>
      <c r="H5256" s="570"/>
      <c r="I5256" s="570"/>
      <c r="J5256" s="570"/>
      <c r="K5256" s="570"/>
    </row>
    <row r="5257" ht="13.75" customHeight="1">
      <c r="A5257" t="s" s="834">
        <v>3635</v>
      </c>
      <c r="B5257" t="s" s="834">
        <v>3636</v>
      </c>
      <c r="C5257" t="s" s="834">
        <v>3637</v>
      </c>
      <c r="D5257" s="570"/>
      <c r="E5257" s="570"/>
      <c r="F5257" s="570"/>
      <c r="G5257" s="570"/>
      <c r="H5257" s="570"/>
      <c r="I5257" s="570"/>
      <c r="J5257" s="570"/>
      <c r="K5257" s="570"/>
    </row>
    <row r="5258" ht="13.75" customHeight="1">
      <c r="A5258" s="833">
        <v>287</v>
      </c>
      <c r="B5258" t="s" s="834">
        <v>3631</v>
      </c>
      <c r="C5258" t="s" s="834">
        <v>1571</v>
      </c>
      <c r="D5258" s="835">
        <v>46030</v>
      </c>
      <c r="E5258" s="836">
        <v>1.349722222222222</v>
      </c>
      <c r="F5258" s="836">
        <v>1.756446759259259</v>
      </c>
      <c r="G5258" s="570"/>
      <c r="H5258" s="570"/>
      <c r="I5258" s="570"/>
      <c r="J5258" s="570"/>
      <c r="K5258" s="570"/>
    </row>
    <row r="5259" ht="13.75" customHeight="1">
      <c r="A5259" t="s" s="834">
        <v>3638</v>
      </c>
      <c r="B5259" t="s" s="834">
        <v>2891</v>
      </c>
      <c r="C5259" t="s" s="834">
        <v>1113</v>
      </c>
      <c r="D5259" s="570"/>
      <c r="E5259" s="570"/>
      <c r="F5259" s="570"/>
      <c r="G5259" s="570"/>
      <c r="H5259" s="570"/>
      <c r="I5259" s="570"/>
      <c r="J5259" s="570"/>
      <c r="K5259" s="570"/>
    </row>
    <row r="5260" ht="13.75" customHeight="1">
      <c r="A5260" s="833">
        <v>287</v>
      </c>
      <c r="B5260" t="s" s="834">
        <v>3631</v>
      </c>
      <c r="C5260" t="s" s="834">
        <v>1571</v>
      </c>
      <c r="D5260" s="835">
        <v>46031</v>
      </c>
      <c r="E5260" s="836">
        <v>1.348854166666667</v>
      </c>
      <c r="F5260" s="836">
        <v>1.755960648148148</v>
      </c>
      <c r="G5260" s="570"/>
      <c r="H5260" s="570"/>
      <c r="I5260" s="570"/>
      <c r="J5260" s="570"/>
      <c r="K5260" s="570"/>
    </row>
    <row r="5261" ht="13.75" customHeight="1">
      <c r="A5261" t="s" s="834">
        <v>3639</v>
      </c>
      <c r="B5261" t="s" s="834">
        <v>3640</v>
      </c>
      <c r="C5261" t="s" s="834">
        <v>1113</v>
      </c>
      <c r="D5261" s="570"/>
      <c r="E5261" s="570"/>
      <c r="F5261" s="570"/>
      <c r="G5261" s="570"/>
      <c r="H5261" s="570"/>
      <c r="I5261" s="570"/>
      <c r="J5261" s="570"/>
      <c r="K5261" s="570"/>
    </row>
    <row r="5262" ht="13.75" customHeight="1">
      <c r="A5262" s="833">
        <v>287</v>
      </c>
      <c r="B5262" t="s" s="834">
        <v>3631</v>
      </c>
      <c r="C5262" t="s" s="834">
        <v>1571</v>
      </c>
      <c r="D5262" s="835">
        <v>46032</v>
      </c>
      <c r="E5262" s="836">
        <v>1.349652777777778</v>
      </c>
      <c r="F5262" s="836">
        <v>1.755324074074074</v>
      </c>
      <c r="G5262" s="570"/>
      <c r="H5262" s="570"/>
      <c r="I5262" s="570"/>
      <c r="J5262" s="570"/>
      <c r="K5262" s="570"/>
    </row>
    <row r="5263" ht="13.75" customHeight="1">
      <c r="A5263" t="s" s="834">
        <v>3641</v>
      </c>
      <c r="B5263" t="s" s="834">
        <v>3642</v>
      </c>
      <c r="C5263" t="s" s="834">
        <v>1601</v>
      </c>
      <c r="D5263" s="570"/>
      <c r="E5263" s="570"/>
      <c r="F5263" s="570"/>
      <c r="G5263" s="570"/>
      <c r="H5263" s="570"/>
      <c r="I5263" s="570"/>
      <c r="J5263" s="570"/>
      <c r="K5263" s="570"/>
    </row>
    <row r="5264" ht="13.75" customHeight="1">
      <c r="A5264" s="833">
        <v>287</v>
      </c>
      <c r="B5264" t="s" s="834">
        <v>3631</v>
      </c>
      <c r="C5264" t="s" s="834">
        <v>1571</v>
      </c>
      <c r="D5264" s="835">
        <v>46033</v>
      </c>
      <c r="E5264" t="s" s="834">
        <v>478</v>
      </c>
      <c r="F5264" t="s" s="834">
        <v>478</v>
      </c>
      <c r="G5264" s="570"/>
      <c r="H5264" s="570"/>
      <c r="I5264" s="570"/>
      <c r="J5264" s="570"/>
      <c r="K5264" s="570"/>
    </row>
    <row r="5265" ht="13.75" customHeight="1">
      <c r="A5265" s="833">
        <v>287</v>
      </c>
      <c r="B5265" t="s" s="834">
        <v>3631</v>
      </c>
      <c r="C5265" t="s" s="834">
        <v>1571</v>
      </c>
      <c r="D5265" s="835">
        <v>46034</v>
      </c>
      <c r="E5265" s="836">
        <v>1.350173611111111</v>
      </c>
      <c r="F5265" s="836">
        <v>1.733553240740741</v>
      </c>
      <c r="G5265" s="570"/>
      <c r="H5265" s="570"/>
      <c r="I5265" s="570"/>
      <c r="J5265" s="570"/>
      <c r="K5265" s="570"/>
    </row>
    <row r="5266" ht="13.75" customHeight="1">
      <c r="A5266" t="s" s="834">
        <v>3643</v>
      </c>
      <c r="B5266" t="s" s="834">
        <v>3644</v>
      </c>
      <c r="C5266" t="s" s="834">
        <v>812</v>
      </c>
      <c r="D5266" s="570"/>
      <c r="E5266" s="570"/>
      <c r="F5266" s="570"/>
      <c r="G5266" s="570"/>
      <c r="H5266" s="570"/>
      <c r="I5266" s="570"/>
      <c r="J5266" s="570"/>
      <c r="K5266" s="570"/>
    </row>
    <row r="5267" ht="13.75" customHeight="1">
      <c r="A5267" s="833">
        <v>287</v>
      </c>
      <c r="B5267" t="s" s="834">
        <v>3631</v>
      </c>
      <c r="C5267" t="s" s="834">
        <v>1571</v>
      </c>
      <c r="D5267" s="835">
        <v>46035</v>
      </c>
      <c r="E5267" s="836">
        <v>1.344907407407407</v>
      </c>
      <c r="F5267" s="836">
        <v>1.7334375</v>
      </c>
      <c r="G5267" s="570"/>
      <c r="H5267" s="570"/>
      <c r="I5267" s="570"/>
      <c r="J5267" s="570"/>
      <c r="K5267" s="570"/>
    </row>
    <row r="5268" ht="13.75" customHeight="1">
      <c r="A5268" t="s" s="834">
        <v>3645</v>
      </c>
      <c r="B5268" t="s" s="834">
        <v>3646</v>
      </c>
      <c r="C5268" t="s" s="834">
        <v>716</v>
      </c>
      <c r="D5268" s="570"/>
      <c r="E5268" s="570"/>
      <c r="F5268" s="570"/>
      <c r="G5268" s="570"/>
      <c r="H5268" s="570"/>
      <c r="I5268" s="570"/>
      <c r="J5268" s="570"/>
      <c r="K5268" s="570"/>
    </row>
    <row r="5269" ht="13.75" customHeight="1">
      <c r="A5269" s="833">
        <v>287</v>
      </c>
      <c r="B5269" t="s" s="834">
        <v>3631</v>
      </c>
      <c r="C5269" t="s" s="834">
        <v>1571</v>
      </c>
      <c r="D5269" s="835">
        <v>46036</v>
      </c>
      <c r="E5269" s="836">
        <v>1.344097222222222</v>
      </c>
      <c r="F5269" s="836">
        <v>1.730555555555556</v>
      </c>
      <c r="G5269" s="570"/>
      <c r="H5269" s="570"/>
      <c r="I5269" s="570"/>
      <c r="J5269" s="570"/>
      <c r="K5269" s="570"/>
    </row>
    <row r="5270" ht="13.75" customHeight="1">
      <c r="A5270" t="s" s="834">
        <v>3647</v>
      </c>
      <c r="B5270" t="s" s="834">
        <v>3648</v>
      </c>
      <c r="C5270" t="s" s="834">
        <v>995</v>
      </c>
      <c r="D5270" s="570"/>
      <c r="E5270" s="570"/>
      <c r="F5270" s="570"/>
      <c r="G5270" s="570"/>
      <c r="H5270" s="570"/>
      <c r="I5270" s="570"/>
      <c r="J5270" s="570"/>
      <c r="K5270" s="570"/>
    </row>
    <row r="5271" ht="13.75" customHeight="1">
      <c r="A5271" s="833">
        <v>287</v>
      </c>
      <c r="B5271" t="s" s="834">
        <v>3631</v>
      </c>
      <c r="C5271" t="s" s="834">
        <v>1571</v>
      </c>
      <c r="D5271" s="835">
        <v>46037</v>
      </c>
      <c r="E5271" s="836">
        <v>1.349560185185185</v>
      </c>
      <c r="F5271" s="836">
        <v>1.834652777777778</v>
      </c>
      <c r="G5271" s="570"/>
      <c r="H5271" s="570"/>
      <c r="I5271" s="570"/>
      <c r="J5271" s="570"/>
      <c r="K5271" s="570"/>
    </row>
    <row r="5272" ht="13.75" customHeight="1">
      <c r="A5272" t="s" s="834">
        <v>3649</v>
      </c>
      <c r="B5272" t="s" s="834">
        <v>3650</v>
      </c>
      <c r="C5272" t="s" s="834">
        <v>3651</v>
      </c>
      <c r="D5272" s="570"/>
      <c r="E5272" s="570"/>
      <c r="F5272" s="570"/>
      <c r="G5272" s="570"/>
      <c r="H5272" s="570"/>
      <c r="I5272" s="570"/>
      <c r="J5272" s="570"/>
      <c r="K5272" s="570"/>
    </row>
    <row r="5273" ht="13.75" customHeight="1">
      <c r="A5273" s="833">
        <v>287</v>
      </c>
      <c r="B5273" t="s" s="834">
        <v>3631</v>
      </c>
      <c r="C5273" t="s" s="834">
        <v>1571</v>
      </c>
      <c r="D5273" s="835">
        <v>46038</v>
      </c>
      <c r="E5273" s="836">
        <v>1.344398148148148</v>
      </c>
      <c r="F5273" s="836">
        <v>1.75556712962963</v>
      </c>
      <c r="G5273" s="570"/>
      <c r="H5273" s="570"/>
      <c r="I5273" s="570"/>
      <c r="J5273" s="570"/>
      <c r="K5273" s="570"/>
    </row>
    <row r="5274" ht="13.75" customHeight="1">
      <c r="A5274" t="s" s="834">
        <v>3652</v>
      </c>
      <c r="B5274" t="s" s="834">
        <v>3653</v>
      </c>
      <c r="C5274" t="s" s="834">
        <v>850</v>
      </c>
      <c r="D5274" s="570"/>
      <c r="E5274" s="570"/>
      <c r="F5274" s="570"/>
      <c r="G5274" s="570"/>
      <c r="H5274" s="570"/>
      <c r="I5274" s="570"/>
      <c r="J5274" s="570"/>
      <c r="K5274" s="570"/>
    </row>
    <row r="5275" ht="13.75" customHeight="1">
      <c r="A5275" s="833">
        <v>287</v>
      </c>
      <c r="B5275" t="s" s="834">
        <v>3631</v>
      </c>
      <c r="C5275" t="s" s="834">
        <v>1571</v>
      </c>
      <c r="D5275" s="835">
        <v>46039</v>
      </c>
      <c r="E5275" t="s" s="834">
        <v>478</v>
      </c>
      <c r="F5275" t="s" s="834">
        <v>478</v>
      </c>
      <c r="G5275" s="570"/>
      <c r="H5275" s="570"/>
      <c r="I5275" s="570"/>
      <c r="J5275" s="570"/>
      <c r="K5275" s="570"/>
    </row>
    <row r="5276" ht="13.75" customHeight="1">
      <c r="A5276" s="833">
        <v>287</v>
      </c>
      <c r="B5276" t="s" s="834">
        <v>3631</v>
      </c>
      <c r="C5276" t="s" s="834">
        <v>1571</v>
      </c>
      <c r="D5276" s="835">
        <v>46040</v>
      </c>
      <c r="E5276" t="s" s="834">
        <v>478</v>
      </c>
      <c r="F5276" t="s" s="834">
        <v>478</v>
      </c>
      <c r="G5276" s="570"/>
      <c r="H5276" s="570"/>
      <c r="I5276" s="570"/>
      <c r="J5276" s="570"/>
      <c r="K5276" s="570"/>
    </row>
    <row r="5277" ht="13.75" customHeight="1">
      <c r="A5277" s="833">
        <v>287</v>
      </c>
      <c r="B5277" t="s" s="834">
        <v>3631</v>
      </c>
      <c r="C5277" t="s" s="834">
        <v>1571</v>
      </c>
      <c r="D5277" s="835">
        <v>46041</v>
      </c>
      <c r="E5277" s="836">
        <v>1.344895833333333</v>
      </c>
      <c r="F5277" s="836">
        <v>1.752395833333333</v>
      </c>
      <c r="G5277" s="570"/>
      <c r="H5277" s="570"/>
      <c r="I5277" s="570"/>
      <c r="J5277" s="570"/>
      <c r="K5277" s="570"/>
    </row>
    <row r="5278" ht="13.75" customHeight="1">
      <c r="A5278" t="s" s="834">
        <v>3654</v>
      </c>
      <c r="B5278" t="s" s="834">
        <v>3655</v>
      </c>
      <c r="C5278" t="s" s="834">
        <v>882</v>
      </c>
      <c r="D5278" s="570"/>
      <c r="E5278" s="570"/>
      <c r="F5278" s="570"/>
      <c r="G5278" s="570"/>
      <c r="H5278" s="570"/>
      <c r="I5278" s="570"/>
      <c r="J5278" s="570"/>
      <c r="K5278" s="570"/>
    </row>
    <row r="5279" ht="13.75" customHeight="1">
      <c r="A5279" s="833">
        <v>287</v>
      </c>
      <c r="B5279" t="s" s="834">
        <v>3631</v>
      </c>
      <c r="C5279" t="s" s="834">
        <v>1571</v>
      </c>
      <c r="D5279" s="835">
        <v>46042</v>
      </c>
      <c r="E5279" s="836">
        <v>1.348553240740741</v>
      </c>
      <c r="F5279" s="836">
        <v>1.754837962962963</v>
      </c>
      <c r="G5279" s="570"/>
      <c r="H5279" s="570"/>
      <c r="I5279" s="570"/>
      <c r="J5279" s="570"/>
      <c r="K5279" s="570"/>
    </row>
    <row r="5280" ht="13.75" customHeight="1">
      <c r="A5280" t="s" s="834">
        <v>3656</v>
      </c>
      <c r="B5280" t="s" s="834">
        <v>3657</v>
      </c>
      <c r="C5280" t="s" s="834">
        <v>603</v>
      </c>
      <c r="D5280" s="570"/>
      <c r="E5280" s="570"/>
      <c r="F5280" s="570"/>
      <c r="G5280" s="570"/>
      <c r="H5280" s="570"/>
      <c r="I5280" s="570"/>
      <c r="J5280" s="570"/>
      <c r="K5280" s="570"/>
    </row>
    <row r="5281" ht="13.75" customHeight="1">
      <c r="A5281" s="833">
        <v>287</v>
      </c>
      <c r="B5281" t="s" s="834">
        <v>3631</v>
      </c>
      <c r="C5281" t="s" s="834">
        <v>1571</v>
      </c>
      <c r="D5281" s="835">
        <v>46043</v>
      </c>
      <c r="E5281" s="836">
        <v>1.342395833333333</v>
      </c>
      <c r="F5281" s="836">
        <v>1.753981481481481</v>
      </c>
      <c r="G5281" s="570"/>
      <c r="H5281" s="570"/>
      <c r="I5281" s="570"/>
      <c r="J5281" s="570"/>
      <c r="K5281" s="570"/>
    </row>
    <row r="5282" ht="13.75" customHeight="1">
      <c r="A5282" t="s" s="834">
        <v>3658</v>
      </c>
      <c r="B5282" t="s" s="834">
        <v>3659</v>
      </c>
      <c r="C5282" t="s" s="834">
        <v>597</v>
      </c>
      <c r="D5282" s="570"/>
      <c r="E5282" s="570"/>
      <c r="F5282" s="570"/>
      <c r="G5282" s="570"/>
      <c r="H5282" s="570"/>
      <c r="I5282" s="570"/>
      <c r="J5282" s="570"/>
      <c r="K5282" s="570"/>
    </row>
    <row r="5283" ht="13.75" customHeight="1">
      <c r="A5283" s="833">
        <v>287</v>
      </c>
      <c r="B5283" t="s" s="834">
        <v>3631</v>
      </c>
      <c r="C5283" t="s" s="834">
        <v>1571</v>
      </c>
      <c r="D5283" s="835">
        <v>46044</v>
      </c>
      <c r="E5283" s="836">
        <v>1.349583333333333</v>
      </c>
      <c r="F5283" s="836">
        <v>1.755740740740741</v>
      </c>
      <c r="G5283" s="570"/>
      <c r="H5283" s="570"/>
      <c r="I5283" s="570"/>
      <c r="J5283" s="570"/>
      <c r="K5283" s="570"/>
    </row>
    <row r="5284" ht="13.75" customHeight="1">
      <c r="A5284" t="s" s="834">
        <v>3660</v>
      </c>
      <c r="B5284" t="s" s="834">
        <v>3661</v>
      </c>
      <c r="C5284" t="s" s="834">
        <v>603</v>
      </c>
      <c r="D5284" s="570"/>
      <c r="E5284" s="570"/>
      <c r="F5284" s="570"/>
      <c r="G5284" s="570"/>
      <c r="H5284" s="570"/>
      <c r="I5284" s="570"/>
      <c r="J5284" s="570"/>
      <c r="K5284" s="570"/>
    </row>
    <row r="5285" ht="13.75" customHeight="1">
      <c r="A5285" s="833">
        <v>287</v>
      </c>
      <c r="B5285" t="s" s="834">
        <v>3631</v>
      </c>
      <c r="C5285" t="s" s="834">
        <v>1571</v>
      </c>
      <c r="D5285" s="835">
        <v>46045</v>
      </c>
      <c r="E5285" s="836">
        <v>1.351435185185185</v>
      </c>
      <c r="F5285" s="836">
        <v>1.753622685185185</v>
      </c>
      <c r="G5285" s="570"/>
      <c r="H5285" s="570"/>
      <c r="I5285" s="570"/>
      <c r="J5285" s="570"/>
      <c r="K5285" s="570"/>
    </row>
    <row r="5286" ht="13.75" customHeight="1">
      <c r="A5286" t="s" s="834">
        <v>3662</v>
      </c>
      <c r="B5286" t="s" s="834">
        <v>3663</v>
      </c>
      <c r="C5286" t="s" s="834">
        <v>772</v>
      </c>
      <c r="D5286" s="570"/>
      <c r="E5286" s="570"/>
      <c r="F5286" s="570"/>
      <c r="G5286" s="570"/>
      <c r="H5286" s="570"/>
      <c r="I5286" s="570"/>
      <c r="J5286" s="570"/>
      <c r="K5286" s="570"/>
    </row>
    <row r="5287" ht="13.75" customHeight="1">
      <c r="A5287" s="833">
        <v>287</v>
      </c>
      <c r="B5287" t="s" s="834">
        <v>3631</v>
      </c>
      <c r="C5287" t="s" s="834">
        <v>1571</v>
      </c>
      <c r="D5287" s="835">
        <v>46046</v>
      </c>
      <c r="E5287" t="s" s="834">
        <v>478</v>
      </c>
      <c r="F5287" t="s" s="834">
        <v>478</v>
      </c>
      <c r="G5287" s="570"/>
      <c r="H5287" s="570"/>
      <c r="I5287" s="570"/>
      <c r="J5287" s="570"/>
      <c r="K5287" s="570"/>
    </row>
    <row r="5288" ht="13.75" customHeight="1">
      <c r="A5288" s="833">
        <v>287</v>
      </c>
      <c r="B5288" t="s" s="834">
        <v>3631</v>
      </c>
      <c r="C5288" t="s" s="834">
        <v>1571</v>
      </c>
      <c r="D5288" s="835">
        <v>46047</v>
      </c>
      <c r="E5288" t="s" s="834">
        <v>478</v>
      </c>
      <c r="F5288" t="s" s="834">
        <v>478</v>
      </c>
      <c r="G5288" s="570"/>
      <c r="H5288" s="570"/>
      <c r="I5288" s="570"/>
      <c r="J5288" s="570"/>
      <c r="K5288" s="570"/>
    </row>
    <row r="5289" ht="13.75" customHeight="1">
      <c r="A5289" s="833">
        <v>287</v>
      </c>
      <c r="B5289" t="s" s="834">
        <v>3631</v>
      </c>
      <c r="C5289" t="s" s="834">
        <v>1571</v>
      </c>
      <c r="D5289" s="835">
        <v>46048</v>
      </c>
      <c r="E5289" s="836">
        <v>1.349976851851852</v>
      </c>
      <c r="F5289" s="836">
        <v>1.754976851851852</v>
      </c>
      <c r="G5289" s="570"/>
      <c r="H5289" s="570"/>
      <c r="I5289" s="570"/>
      <c r="J5289" s="570"/>
      <c r="K5289" s="570"/>
    </row>
    <row r="5290" ht="13.75" customHeight="1">
      <c r="A5290" t="s" s="834">
        <v>3664</v>
      </c>
      <c r="B5290" t="s" s="834">
        <v>3665</v>
      </c>
      <c r="C5290" t="s" s="834">
        <v>582</v>
      </c>
      <c r="D5290" s="570"/>
      <c r="E5290" s="570"/>
      <c r="F5290" s="570"/>
      <c r="G5290" s="570"/>
      <c r="H5290" s="570"/>
      <c r="I5290" s="570"/>
      <c r="J5290" s="570"/>
      <c r="K5290" s="570"/>
    </row>
    <row r="5291" ht="13.75" customHeight="1">
      <c r="A5291" s="833">
        <v>287</v>
      </c>
      <c r="B5291" t="s" s="834">
        <v>3631</v>
      </c>
      <c r="C5291" t="s" s="834">
        <v>1571</v>
      </c>
      <c r="D5291" s="835">
        <v>46049</v>
      </c>
      <c r="E5291" s="836">
        <v>1.347280092592593</v>
      </c>
      <c r="F5291" s="836">
        <v>1.75681712962963</v>
      </c>
      <c r="G5291" s="570"/>
      <c r="H5291" s="570"/>
      <c r="I5291" s="570"/>
      <c r="J5291" s="570"/>
      <c r="K5291" s="570"/>
    </row>
    <row r="5292" ht="13.75" customHeight="1">
      <c r="A5292" t="s" s="834">
        <v>3666</v>
      </c>
      <c r="B5292" t="s" s="834">
        <v>3667</v>
      </c>
      <c r="C5292" t="s" s="834">
        <v>1119</v>
      </c>
      <c r="D5292" s="570"/>
      <c r="E5292" s="570"/>
      <c r="F5292" s="570"/>
      <c r="G5292" s="570"/>
      <c r="H5292" s="570"/>
      <c r="I5292" s="570"/>
      <c r="J5292" s="570"/>
      <c r="K5292" s="570"/>
    </row>
    <row r="5293" ht="13.75" customHeight="1">
      <c r="A5293" s="833">
        <v>287</v>
      </c>
      <c r="B5293" t="s" s="834">
        <v>3631</v>
      </c>
      <c r="C5293" t="s" s="834">
        <v>1571</v>
      </c>
      <c r="D5293" s="835">
        <v>46050</v>
      </c>
      <c r="E5293" s="836">
        <v>1.350486111111111</v>
      </c>
      <c r="F5293" s="836">
        <v>1.753854166666667</v>
      </c>
      <c r="G5293" s="570"/>
      <c r="H5293" s="570"/>
      <c r="I5293" s="570"/>
      <c r="J5293" s="570"/>
      <c r="K5293" s="570"/>
    </row>
    <row r="5294" ht="13.75" customHeight="1">
      <c r="A5294" t="s" s="834">
        <v>3668</v>
      </c>
      <c r="B5294" t="s" s="834">
        <v>3669</v>
      </c>
      <c r="C5294" t="s" s="834">
        <v>590</v>
      </c>
      <c r="D5294" s="570"/>
      <c r="E5294" s="570"/>
      <c r="F5294" s="570"/>
      <c r="G5294" s="570"/>
      <c r="H5294" s="570"/>
      <c r="I5294" s="570"/>
      <c r="J5294" s="570"/>
      <c r="K5294" s="570"/>
    </row>
    <row r="5295" ht="13.75" customHeight="1">
      <c r="A5295" s="833">
        <v>287</v>
      </c>
      <c r="B5295" t="s" s="834">
        <v>3631</v>
      </c>
      <c r="C5295" t="s" s="834">
        <v>1571</v>
      </c>
      <c r="D5295" s="835">
        <v>46051</v>
      </c>
      <c r="E5295" s="836">
        <v>1.34912037037037</v>
      </c>
      <c r="F5295" s="836">
        <v>1.756053240740741</v>
      </c>
      <c r="G5295" s="570"/>
      <c r="H5295" s="570"/>
      <c r="I5295" s="570"/>
      <c r="J5295" s="570"/>
      <c r="K5295" s="570"/>
    </row>
    <row r="5296" ht="13.75" customHeight="1">
      <c r="A5296" t="s" s="834">
        <v>3670</v>
      </c>
      <c r="B5296" t="s" s="834">
        <v>3671</v>
      </c>
      <c r="C5296" t="s" s="834">
        <v>1113</v>
      </c>
      <c r="D5296" s="570"/>
      <c r="E5296" s="570"/>
      <c r="F5296" s="570"/>
      <c r="G5296" s="570"/>
      <c r="H5296" s="570"/>
      <c r="I5296" s="570"/>
      <c r="J5296" s="570"/>
      <c r="K5296" s="570"/>
    </row>
    <row r="5297" ht="13.75" customHeight="1">
      <c r="A5297" s="833">
        <v>287</v>
      </c>
      <c r="B5297" t="s" s="834">
        <v>3631</v>
      </c>
      <c r="C5297" t="s" s="834">
        <v>1571</v>
      </c>
      <c r="D5297" s="835">
        <v>46052</v>
      </c>
      <c r="E5297" s="836">
        <v>1.346643518518519</v>
      </c>
      <c r="F5297" s="836">
        <v>1.757696759259259</v>
      </c>
      <c r="G5297" s="570"/>
      <c r="H5297" s="570"/>
      <c r="I5297" s="570"/>
      <c r="J5297" s="570"/>
      <c r="K5297" s="570"/>
    </row>
    <row r="5298" ht="13.75" customHeight="1">
      <c r="A5298" t="s" s="834">
        <v>3672</v>
      </c>
      <c r="B5298" t="s" s="834">
        <v>3673</v>
      </c>
      <c r="C5298" t="s" s="834">
        <v>850</v>
      </c>
      <c r="D5298" s="570"/>
      <c r="E5298" s="570"/>
      <c r="F5298" s="570"/>
      <c r="G5298" s="570"/>
      <c r="H5298" s="570"/>
      <c r="I5298" s="570"/>
      <c r="J5298" s="570"/>
      <c r="K5298" s="570"/>
    </row>
    <row r="5299" ht="13.75" customHeight="1">
      <c r="A5299" s="833">
        <v>287</v>
      </c>
      <c r="B5299" t="s" s="834">
        <v>3631</v>
      </c>
      <c r="C5299" t="s" s="834">
        <v>1571</v>
      </c>
      <c r="D5299" s="835">
        <v>46053</v>
      </c>
      <c r="E5299" t="s" s="834">
        <v>478</v>
      </c>
      <c r="F5299" t="s" s="834">
        <v>478</v>
      </c>
      <c r="G5299" s="570"/>
      <c r="H5299" s="570"/>
      <c r="I5299" s="570"/>
      <c r="J5299" s="570"/>
      <c r="K5299" s="570"/>
    </row>
    <row r="5300" ht="13.75" customHeight="1">
      <c r="A5300" s="833">
        <v>287</v>
      </c>
      <c r="B5300" t="s" s="834">
        <v>3631</v>
      </c>
      <c r="C5300" t="s" s="834">
        <v>1571</v>
      </c>
      <c r="D5300" s="835">
        <v>46054</v>
      </c>
      <c r="E5300" t="s" s="834">
        <v>478</v>
      </c>
      <c r="F5300" t="s" s="834">
        <v>478</v>
      </c>
      <c r="G5300" s="570"/>
      <c r="H5300" s="570"/>
      <c r="I5300" s="570"/>
      <c r="J5300" s="570"/>
      <c r="K5300" s="570"/>
    </row>
    <row r="5301" ht="13.75" customHeight="1">
      <c r="A5301" s="833">
        <v>288</v>
      </c>
      <c r="B5301" t="s" s="834">
        <v>3674</v>
      </c>
      <c r="C5301" t="s" s="834">
        <v>1571</v>
      </c>
      <c r="D5301" s="835">
        <v>46023</v>
      </c>
      <c r="E5301" t="s" s="834">
        <v>478</v>
      </c>
      <c r="F5301" t="s" s="834">
        <v>478</v>
      </c>
      <c r="G5301" s="570"/>
      <c r="H5301" s="570"/>
      <c r="I5301" s="570"/>
      <c r="J5301" s="570"/>
      <c r="K5301" s="570"/>
    </row>
    <row r="5302" ht="13.75" customHeight="1">
      <c r="A5302" s="833">
        <v>288</v>
      </c>
      <c r="B5302" t="s" s="834">
        <v>3674</v>
      </c>
      <c r="C5302" t="s" s="834">
        <v>1571</v>
      </c>
      <c r="D5302" s="835">
        <v>46024</v>
      </c>
      <c r="E5302" t="s" s="834">
        <v>478</v>
      </c>
      <c r="F5302" t="s" s="834">
        <v>478</v>
      </c>
      <c r="G5302" s="570"/>
      <c r="H5302" s="570"/>
      <c r="I5302" s="570"/>
      <c r="J5302" s="570"/>
      <c r="K5302" s="570"/>
    </row>
    <row r="5303" ht="13.75" customHeight="1">
      <c r="A5303" s="833">
        <v>288</v>
      </c>
      <c r="B5303" t="s" s="834">
        <v>3674</v>
      </c>
      <c r="C5303" t="s" s="834">
        <v>1571</v>
      </c>
      <c r="D5303" s="835">
        <v>46025</v>
      </c>
      <c r="E5303" t="s" s="834">
        <v>478</v>
      </c>
      <c r="F5303" t="s" s="834">
        <v>478</v>
      </c>
      <c r="G5303" s="570"/>
      <c r="H5303" s="570"/>
      <c r="I5303" s="570"/>
      <c r="J5303" s="570"/>
      <c r="K5303" s="570"/>
    </row>
    <row r="5304" ht="13.75" customHeight="1">
      <c r="A5304" s="833">
        <v>288</v>
      </c>
      <c r="B5304" t="s" s="834">
        <v>3674</v>
      </c>
      <c r="C5304" t="s" s="834">
        <v>1571</v>
      </c>
      <c r="D5304" s="835">
        <v>46026</v>
      </c>
      <c r="E5304" t="s" s="834">
        <v>478</v>
      </c>
      <c r="F5304" t="s" s="834">
        <v>478</v>
      </c>
      <c r="G5304" s="570"/>
      <c r="H5304" s="570"/>
      <c r="I5304" s="570"/>
      <c r="J5304" s="570"/>
      <c r="K5304" s="570"/>
    </row>
    <row r="5305" ht="13.75" customHeight="1">
      <c r="A5305" s="833">
        <v>288</v>
      </c>
      <c r="B5305" t="s" s="834">
        <v>3674</v>
      </c>
      <c r="C5305" t="s" s="834">
        <v>1571</v>
      </c>
      <c r="D5305" s="835">
        <v>46027</v>
      </c>
      <c r="E5305" t="s" s="834">
        <v>478</v>
      </c>
      <c r="F5305" t="s" s="834">
        <v>478</v>
      </c>
      <c r="G5305" s="570"/>
      <c r="H5305" s="570"/>
      <c r="I5305" s="570"/>
      <c r="J5305" s="570"/>
      <c r="K5305" s="570"/>
    </row>
    <row r="5306" ht="13.75" customHeight="1">
      <c r="A5306" s="833">
        <v>288</v>
      </c>
      <c r="B5306" t="s" s="834">
        <v>3674</v>
      </c>
      <c r="C5306" t="s" s="834">
        <v>1571</v>
      </c>
      <c r="D5306" s="835">
        <v>46028</v>
      </c>
      <c r="E5306" t="s" s="834">
        <v>478</v>
      </c>
      <c r="F5306" t="s" s="834">
        <v>478</v>
      </c>
      <c r="G5306" s="570"/>
      <c r="H5306" s="570"/>
      <c r="I5306" s="570"/>
      <c r="J5306" s="570"/>
      <c r="K5306" s="570"/>
    </row>
    <row r="5307" ht="13.75" customHeight="1">
      <c r="A5307" s="833">
        <v>288</v>
      </c>
      <c r="B5307" t="s" s="834">
        <v>3674</v>
      </c>
      <c r="C5307" t="s" s="834">
        <v>1571</v>
      </c>
      <c r="D5307" s="835">
        <v>46029</v>
      </c>
      <c r="E5307" t="s" s="834">
        <v>478</v>
      </c>
      <c r="F5307" t="s" s="834">
        <v>478</v>
      </c>
      <c r="G5307" s="570"/>
      <c r="H5307" s="570"/>
      <c r="I5307" s="570"/>
      <c r="J5307" s="570"/>
      <c r="K5307" s="570"/>
    </row>
    <row r="5308" ht="13.75" customHeight="1">
      <c r="A5308" s="833">
        <v>288</v>
      </c>
      <c r="B5308" t="s" s="834">
        <v>3674</v>
      </c>
      <c r="C5308" t="s" s="834">
        <v>1571</v>
      </c>
      <c r="D5308" s="835">
        <v>46030</v>
      </c>
      <c r="E5308" t="s" s="834">
        <v>478</v>
      </c>
      <c r="F5308" t="s" s="834">
        <v>478</v>
      </c>
      <c r="G5308" s="570"/>
      <c r="H5308" s="570"/>
      <c r="I5308" s="570"/>
      <c r="J5308" s="570"/>
      <c r="K5308" s="570"/>
    </row>
    <row r="5309" ht="13.75" customHeight="1">
      <c r="A5309" s="833">
        <v>288</v>
      </c>
      <c r="B5309" t="s" s="834">
        <v>3674</v>
      </c>
      <c r="C5309" t="s" s="834">
        <v>1571</v>
      </c>
      <c r="D5309" s="835">
        <v>46031</v>
      </c>
      <c r="E5309" t="s" s="834">
        <v>478</v>
      </c>
      <c r="F5309" t="s" s="834">
        <v>478</v>
      </c>
      <c r="G5309" s="570"/>
      <c r="H5309" s="570"/>
      <c r="I5309" s="570"/>
      <c r="J5309" s="570"/>
      <c r="K5309" s="570"/>
    </row>
    <row r="5310" ht="13.75" customHeight="1">
      <c r="A5310" s="833">
        <v>288</v>
      </c>
      <c r="B5310" t="s" s="834">
        <v>3674</v>
      </c>
      <c r="C5310" t="s" s="834">
        <v>1571</v>
      </c>
      <c r="D5310" s="835">
        <v>46032</v>
      </c>
      <c r="E5310" t="s" s="834">
        <v>478</v>
      </c>
      <c r="F5310" t="s" s="834">
        <v>478</v>
      </c>
      <c r="G5310" s="570"/>
      <c r="H5310" s="570"/>
      <c r="I5310" s="570"/>
      <c r="J5310" s="570"/>
      <c r="K5310" s="570"/>
    </row>
    <row r="5311" ht="13.75" customHeight="1">
      <c r="A5311" s="833">
        <v>288</v>
      </c>
      <c r="B5311" t="s" s="834">
        <v>3674</v>
      </c>
      <c r="C5311" t="s" s="834">
        <v>1571</v>
      </c>
      <c r="D5311" s="835">
        <v>46033</v>
      </c>
      <c r="E5311" t="s" s="834">
        <v>478</v>
      </c>
      <c r="F5311" t="s" s="834">
        <v>478</v>
      </c>
      <c r="G5311" s="570"/>
      <c r="H5311" s="570"/>
      <c r="I5311" s="570"/>
      <c r="J5311" s="570"/>
      <c r="K5311" s="570"/>
    </row>
    <row r="5312" ht="13.75" customHeight="1">
      <c r="A5312" s="833">
        <v>288</v>
      </c>
      <c r="B5312" t="s" s="834">
        <v>3674</v>
      </c>
      <c r="C5312" t="s" s="834">
        <v>1571</v>
      </c>
      <c r="D5312" s="835">
        <v>46034</v>
      </c>
      <c r="E5312" t="s" s="834">
        <v>478</v>
      </c>
      <c r="F5312" t="s" s="834">
        <v>478</v>
      </c>
      <c r="G5312" s="570"/>
      <c r="H5312" s="570"/>
      <c r="I5312" s="570"/>
      <c r="J5312" s="570"/>
      <c r="K5312" s="570"/>
    </row>
    <row r="5313" ht="13.75" customHeight="1">
      <c r="A5313" s="833">
        <v>288</v>
      </c>
      <c r="B5313" t="s" s="834">
        <v>3674</v>
      </c>
      <c r="C5313" t="s" s="834">
        <v>1571</v>
      </c>
      <c r="D5313" s="835">
        <v>46035</v>
      </c>
      <c r="E5313" t="s" s="834">
        <v>478</v>
      </c>
      <c r="F5313" t="s" s="834">
        <v>478</v>
      </c>
      <c r="G5313" s="570"/>
      <c r="H5313" s="570"/>
      <c r="I5313" s="570"/>
      <c r="J5313" s="570"/>
      <c r="K5313" s="570"/>
    </row>
    <row r="5314" ht="13.75" customHeight="1">
      <c r="A5314" s="833">
        <v>288</v>
      </c>
      <c r="B5314" t="s" s="834">
        <v>3674</v>
      </c>
      <c r="C5314" t="s" s="834">
        <v>1571</v>
      </c>
      <c r="D5314" s="835">
        <v>46036</v>
      </c>
      <c r="E5314" t="s" s="834">
        <v>478</v>
      </c>
      <c r="F5314" t="s" s="834">
        <v>478</v>
      </c>
      <c r="G5314" s="570"/>
      <c r="H5314" s="570"/>
      <c r="I5314" s="570"/>
      <c r="J5314" s="570"/>
      <c r="K5314" s="570"/>
    </row>
    <row r="5315" ht="13.75" customHeight="1">
      <c r="A5315" s="833">
        <v>288</v>
      </c>
      <c r="B5315" t="s" s="834">
        <v>3674</v>
      </c>
      <c r="C5315" t="s" s="834">
        <v>1571</v>
      </c>
      <c r="D5315" s="835">
        <v>46037</v>
      </c>
      <c r="E5315" s="836">
        <v>1.50525462962963</v>
      </c>
      <c r="F5315" s="836">
        <v>1.505821759259259</v>
      </c>
      <c r="G5315" s="570"/>
      <c r="H5315" s="570"/>
      <c r="I5315" s="570"/>
      <c r="J5315" s="570"/>
      <c r="K5315" s="570"/>
    </row>
    <row r="5316" ht="13.75" customHeight="1">
      <c r="A5316" t="s" s="834">
        <v>3675</v>
      </c>
      <c r="B5316" t="s" s="834">
        <v>3676</v>
      </c>
      <c r="C5316" t="s" s="834">
        <v>805</v>
      </c>
      <c r="D5316" s="570"/>
      <c r="E5316" s="570"/>
      <c r="F5316" s="570"/>
      <c r="G5316" s="570"/>
      <c r="H5316" s="570"/>
      <c r="I5316" s="570"/>
      <c r="J5316" s="570"/>
      <c r="K5316" s="570"/>
    </row>
    <row r="5317" ht="13.75" customHeight="1">
      <c r="A5317" s="833">
        <v>288</v>
      </c>
      <c r="B5317" t="s" s="834">
        <v>3674</v>
      </c>
      <c r="C5317" t="s" s="834">
        <v>1571</v>
      </c>
      <c r="D5317" s="835">
        <v>46038</v>
      </c>
      <c r="E5317" t="s" s="834">
        <v>478</v>
      </c>
      <c r="F5317" t="s" s="834">
        <v>478</v>
      </c>
      <c r="G5317" s="570"/>
      <c r="H5317" s="570"/>
      <c r="I5317" s="570"/>
      <c r="J5317" s="570"/>
      <c r="K5317" s="570"/>
    </row>
    <row r="5318" ht="13.75" customHeight="1">
      <c r="A5318" s="833">
        <v>288</v>
      </c>
      <c r="B5318" t="s" s="834">
        <v>3674</v>
      </c>
      <c r="C5318" t="s" s="834">
        <v>1571</v>
      </c>
      <c r="D5318" s="835">
        <v>46039</v>
      </c>
      <c r="E5318" t="s" s="834">
        <v>478</v>
      </c>
      <c r="F5318" t="s" s="834">
        <v>478</v>
      </c>
      <c r="G5318" s="570"/>
      <c r="H5318" s="570"/>
      <c r="I5318" s="570"/>
      <c r="J5318" s="570"/>
      <c r="K5318" s="570"/>
    </row>
    <row r="5319" ht="13.75" customHeight="1">
      <c r="A5319" s="833">
        <v>288</v>
      </c>
      <c r="B5319" t="s" s="834">
        <v>3674</v>
      </c>
      <c r="C5319" t="s" s="834">
        <v>1571</v>
      </c>
      <c r="D5319" s="835">
        <v>46040</v>
      </c>
      <c r="E5319" t="s" s="834">
        <v>478</v>
      </c>
      <c r="F5319" t="s" s="834">
        <v>478</v>
      </c>
      <c r="G5319" s="570"/>
      <c r="H5319" s="570"/>
      <c r="I5319" s="570"/>
      <c r="J5319" s="570"/>
      <c r="K5319" s="570"/>
    </row>
    <row r="5320" ht="13.75" customHeight="1">
      <c r="A5320" s="833">
        <v>288</v>
      </c>
      <c r="B5320" t="s" s="834">
        <v>3674</v>
      </c>
      <c r="C5320" t="s" s="834">
        <v>1571</v>
      </c>
      <c r="D5320" s="835">
        <v>46041</v>
      </c>
      <c r="E5320" t="s" s="834">
        <v>478</v>
      </c>
      <c r="F5320" t="s" s="834">
        <v>478</v>
      </c>
      <c r="G5320" s="570"/>
      <c r="H5320" s="570"/>
      <c r="I5320" s="570"/>
      <c r="J5320" s="570"/>
      <c r="K5320" s="570"/>
    </row>
    <row r="5321" ht="13.75" customHeight="1">
      <c r="A5321" s="833">
        <v>288</v>
      </c>
      <c r="B5321" t="s" s="834">
        <v>3674</v>
      </c>
      <c r="C5321" t="s" s="834">
        <v>1571</v>
      </c>
      <c r="D5321" s="835">
        <v>46042</v>
      </c>
      <c r="E5321" t="s" s="834">
        <v>478</v>
      </c>
      <c r="F5321" t="s" s="834">
        <v>478</v>
      </c>
      <c r="G5321" s="570"/>
      <c r="H5321" s="570"/>
      <c r="I5321" s="570"/>
      <c r="J5321" s="570"/>
      <c r="K5321" s="570"/>
    </row>
    <row r="5322" ht="13.75" customHeight="1">
      <c r="A5322" s="833">
        <v>288</v>
      </c>
      <c r="B5322" t="s" s="834">
        <v>3674</v>
      </c>
      <c r="C5322" t="s" s="834">
        <v>1571</v>
      </c>
      <c r="D5322" s="835">
        <v>46043</v>
      </c>
      <c r="E5322" t="s" s="834">
        <v>478</v>
      </c>
      <c r="F5322" t="s" s="834">
        <v>478</v>
      </c>
      <c r="G5322" s="570"/>
      <c r="H5322" s="570"/>
      <c r="I5322" s="570"/>
      <c r="J5322" s="570"/>
      <c r="K5322" s="570"/>
    </row>
    <row r="5323" ht="13.75" customHeight="1">
      <c r="A5323" s="833">
        <v>288</v>
      </c>
      <c r="B5323" t="s" s="834">
        <v>3674</v>
      </c>
      <c r="C5323" t="s" s="834">
        <v>1571</v>
      </c>
      <c r="D5323" s="835">
        <v>46044</v>
      </c>
      <c r="E5323" t="s" s="834">
        <v>478</v>
      </c>
      <c r="F5323" t="s" s="834">
        <v>478</v>
      </c>
      <c r="G5323" s="570"/>
      <c r="H5323" s="570"/>
      <c r="I5323" s="570"/>
      <c r="J5323" s="570"/>
      <c r="K5323" s="570"/>
    </row>
    <row r="5324" ht="13.75" customHeight="1">
      <c r="A5324" s="833">
        <v>288</v>
      </c>
      <c r="B5324" t="s" s="834">
        <v>3674</v>
      </c>
      <c r="C5324" t="s" s="834">
        <v>1571</v>
      </c>
      <c r="D5324" s="835">
        <v>46045</v>
      </c>
      <c r="E5324" t="s" s="834">
        <v>478</v>
      </c>
      <c r="F5324" t="s" s="834">
        <v>478</v>
      </c>
      <c r="G5324" s="570"/>
      <c r="H5324" s="570"/>
      <c r="I5324" s="570"/>
      <c r="J5324" s="570"/>
      <c r="K5324" s="570"/>
    </row>
    <row r="5325" ht="13.75" customHeight="1">
      <c r="A5325" s="833">
        <v>288</v>
      </c>
      <c r="B5325" t="s" s="834">
        <v>3674</v>
      </c>
      <c r="C5325" t="s" s="834">
        <v>1571</v>
      </c>
      <c r="D5325" s="835">
        <v>46046</v>
      </c>
      <c r="E5325" t="s" s="834">
        <v>478</v>
      </c>
      <c r="F5325" t="s" s="834">
        <v>478</v>
      </c>
      <c r="G5325" s="570"/>
      <c r="H5325" s="570"/>
      <c r="I5325" s="570"/>
      <c r="J5325" s="570"/>
      <c r="K5325" s="570"/>
    </row>
    <row r="5326" ht="13.75" customHeight="1">
      <c r="A5326" s="833">
        <v>288</v>
      </c>
      <c r="B5326" t="s" s="834">
        <v>3674</v>
      </c>
      <c r="C5326" t="s" s="834">
        <v>1571</v>
      </c>
      <c r="D5326" s="835">
        <v>46047</v>
      </c>
      <c r="E5326" t="s" s="834">
        <v>478</v>
      </c>
      <c r="F5326" t="s" s="834">
        <v>478</v>
      </c>
      <c r="G5326" s="570"/>
      <c r="H5326" s="570"/>
      <c r="I5326" s="570"/>
      <c r="J5326" s="570"/>
      <c r="K5326" s="570"/>
    </row>
    <row r="5327" ht="13.75" customHeight="1">
      <c r="A5327" s="833">
        <v>288</v>
      </c>
      <c r="B5327" t="s" s="834">
        <v>3674</v>
      </c>
      <c r="C5327" t="s" s="834">
        <v>1571</v>
      </c>
      <c r="D5327" s="835">
        <v>46048</v>
      </c>
      <c r="E5327" t="s" s="834">
        <v>478</v>
      </c>
      <c r="F5327" t="s" s="834">
        <v>478</v>
      </c>
      <c r="G5327" s="570"/>
      <c r="H5327" s="570"/>
      <c r="I5327" s="570"/>
      <c r="J5327" s="570"/>
      <c r="K5327" s="570"/>
    </row>
    <row r="5328" ht="13.75" customHeight="1">
      <c r="A5328" s="833">
        <v>288</v>
      </c>
      <c r="B5328" t="s" s="834">
        <v>3674</v>
      </c>
      <c r="C5328" t="s" s="834">
        <v>1571</v>
      </c>
      <c r="D5328" s="835">
        <v>46049</v>
      </c>
      <c r="E5328" t="s" s="834">
        <v>478</v>
      </c>
      <c r="F5328" t="s" s="834">
        <v>478</v>
      </c>
      <c r="G5328" s="570"/>
      <c r="H5328" s="570"/>
      <c r="I5328" s="570"/>
      <c r="J5328" s="570"/>
      <c r="K5328" s="570"/>
    </row>
    <row r="5329" ht="13.75" customHeight="1">
      <c r="A5329" s="833">
        <v>288</v>
      </c>
      <c r="B5329" t="s" s="834">
        <v>3674</v>
      </c>
      <c r="C5329" t="s" s="834">
        <v>1571</v>
      </c>
      <c r="D5329" s="835">
        <v>46050</v>
      </c>
      <c r="E5329" t="s" s="834">
        <v>478</v>
      </c>
      <c r="F5329" t="s" s="834">
        <v>478</v>
      </c>
      <c r="G5329" s="570"/>
      <c r="H5329" s="570"/>
      <c r="I5329" s="570"/>
      <c r="J5329" s="570"/>
      <c r="K5329" s="570"/>
    </row>
    <row r="5330" ht="13.75" customHeight="1">
      <c r="A5330" s="833">
        <v>288</v>
      </c>
      <c r="B5330" t="s" s="834">
        <v>3674</v>
      </c>
      <c r="C5330" t="s" s="834">
        <v>1571</v>
      </c>
      <c r="D5330" s="835">
        <v>46051</v>
      </c>
      <c r="E5330" t="s" s="834">
        <v>478</v>
      </c>
      <c r="F5330" t="s" s="834">
        <v>478</v>
      </c>
      <c r="G5330" s="570"/>
      <c r="H5330" s="570"/>
      <c r="I5330" s="570"/>
      <c r="J5330" s="570"/>
      <c r="K5330" s="570"/>
    </row>
    <row r="5331" ht="13.75" customHeight="1">
      <c r="A5331" s="833">
        <v>288</v>
      </c>
      <c r="B5331" t="s" s="834">
        <v>3674</v>
      </c>
      <c r="C5331" t="s" s="834">
        <v>1571</v>
      </c>
      <c r="D5331" s="835">
        <v>46052</v>
      </c>
      <c r="E5331" t="s" s="834">
        <v>478</v>
      </c>
      <c r="F5331" t="s" s="834">
        <v>478</v>
      </c>
      <c r="G5331" s="570"/>
      <c r="H5331" s="570"/>
      <c r="I5331" s="570"/>
      <c r="J5331" s="570"/>
      <c r="K5331" s="570"/>
    </row>
    <row r="5332" ht="13.75" customHeight="1">
      <c r="A5332" s="833">
        <v>288</v>
      </c>
      <c r="B5332" t="s" s="834">
        <v>3674</v>
      </c>
      <c r="C5332" t="s" s="834">
        <v>1571</v>
      </c>
      <c r="D5332" s="835">
        <v>46053</v>
      </c>
      <c r="E5332" t="s" s="834">
        <v>478</v>
      </c>
      <c r="F5332" t="s" s="834">
        <v>478</v>
      </c>
      <c r="G5332" s="570"/>
      <c r="H5332" s="570"/>
      <c r="I5332" s="570"/>
      <c r="J5332" s="570"/>
      <c r="K5332" s="570"/>
    </row>
    <row r="5333" ht="13.75" customHeight="1">
      <c r="A5333" s="833">
        <v>288</v>
      </c>
      <c r="B5333" t="s" s="834">
        <v>3674</v>
      </c>
      <c r="C5333" t="s" s="834">
        <v>1571</v>
      </c>
      <c r="D5333" s="835">
        <v>46054</v>
      </c>
      <c r="E5333" t="s" s="834">
        <v>478</v>
      </c>
      <c r="F5333" t="s" s="834">
        <v>478</v>
      </c>
      <c r="G5333" s="570"/>
      <c r="H5333" s="570"/>
      <c r="I5333" s="570"/>
      <c r="J5333" s="570"/>
      <c r="K5333" s="570"/>
    </row>
    <row r="5334" ht="13.75" customHeight="1">
      <c r="A5334" s="833">
        <v>290</v>
      </c>
      <c r="B5334" t="s" s="834">
        <v>3677</v>
      </c>
      <c r="C5334" t="s" s="834">
        <v>1571</v>
      </c>
      <c r="D5334" s="835">
        <v>46023</v>
      </c>
      <c r="E5334" t="s" s="834">
        <v>478</v>
      </c>
      <c r="F5334" t="s" s="834">
        <v>478</v>
      </c>
      <c r="G5334" s="570"/>
      <c r="H5334" s="570"/>
      <c r="I5334" s="570"/>
      <c r="J5334" s="570"/>
      <c r="K5334" s="570"/>
    </row>
    <row r="5335" ht="13.75" customHeight="1">
      <c r="A5335" s="833">
        <v>290</v>
      </c>
      <c r="B5335" t="s" s="834">
        <v>3677</v>
      </c>
      <c r="C5335" t="s" s="834">
        <v>1571</v>
      </c>
      <c r="D5335" s="835">
        <v>46024</v>
      </c>
      <c r="E5335" t="s" s="834">
        <v>478</v>
      </c>
      <c r="F5335" t="s" s="834">
        <v>478</v>
      </c>
      <c r="G5335" s="570"/>
      <c r="H5335" s="570"/>
      <c r="I5335" s="570"/>
      <c r="J5335" s="570"/>
      <c r="K5335" s="570"/>
    </row>
    <row r="5336" ht="13.75" customHeight="1">
      <c r="A5336" s="833">
        <v>290</v>
      </c>
      <c r="B5336" t="s" s="834">
        <v>3677</v>
      </c>
      <c r="C5336" t="s" s="834">
        <v>1571</v>
      </c>
      <c r="D5336" s="835">
        <v>46025</v>
      </c>
      <c r="E5336" s="836">
        <v>1.463576388888889</v>
      </c>
      <c r="F5336" t="s" s="834">
        <v>478</v>
      </c>
      <c r="G5336" s="570"/>
      <c r="H5336" s="570"/>
      <c r="I5336" s="570"/>
      <c r="J5336" s="570"/>
      <c r="K5336" s="570"/>
    </row>
    <row r="5337" ht="13.75" customHeight="1">
      <c r="A5337" t="s" s="834">
        <v>3678</v>
      </c>
      <c r="B5337" t="s" s="834">
        <v>485</v>
      </c>
      <c r="C5337" t="s" s="834">
        <v>486</v>
      </c>
      <c r="D5337" s="570"/>
      <c r="E5337" s="570"/>
      <c r="F5337" s="570"/>
      <c r="G5337" s="570"/>
      <c r="H5337" s="570"/>
      <c r="I5337" s="570"/>
      <c r="J5337" s="570"/>
      <c r="K5337" s="570"/>
    </row>
    <row r="5338" ht="13.75" customHeight="1">
      <c r="A5338" s="833">
        <v>290</v>
      </c>
      <c r="B5338" t="s" s="834">
        <v>3677</v>
      </c>
      <c r="C5338" t="s" s="834">
        <v>1571</v>
      </c>
      <c r="D5338" s="835">
        <v>46026</v>
      </c>
      <c r="E5338" t="s" s="834">
        <v>478</v>
      </c>
      <c r="F5338" t="s" s="834">
        <v>478</v>
      </c>
      <c r="G5338" s="570"/>
      <c r="H5338" s="570"/>
      <c r="I5338" s="570"/>
      <c r="J5338" s="570"/>
      <c r="K5338" s="570"/>
    </row>
    <row r="5339" ht="13.75" customHeight="1">
      <c r="A5339" s="833">
        <v>290</v>
      </c>
      <c r="B5339" t="s" s="834">
        <v>3677</v>
      </c>
      <c r="C5339" t="s" s="834">
        <v>1571</v>
      </c>
      <c r="D5339" s="835">
        <v>46027</v>
      </c>
      <c r="E5339" t="s" s="834">
        <v>478</v>
      </c>
      <c r="F5339" t="s" s="834">
        <v>478</v>
      </c>
      <c r="G5339" s="570"/>
      <c r="H5339" s="570"/>
      <c r="I5339" s="570"/>
      <c r="J5339" s="570"/>
      <c r="K5339" s="570"/>
    </row>
    <row r="5340" ht="13.75" customHeight="1">
      <c r="A5340" s="833">
        <v>290</v>
      </c>
      <c r="B5340" t="s" s="834">
        <v>3677</v>
      </c>
      <c r="C5340" t="s" s="834">
        <v>1571</v>
      </c>
      <c r="D5340" s="835">
        <v>46028</v>
      </c>
      <c r="E5340" s="836">
        <v>1.347106481481481</v>
      </c>
      <c r="F5340" s="836">
        <v>1.891539351851852</v>
      </c>
      <c r="G5340" s="570"/>
      <c r="H5340" s="570"/>
      <c r="I5340" s="570"/>
      <c r="J5340" s="570"/>
      <c r="K5340" s="570"/>
    </row>
    <row r="5341" ht="13.75" customHeight="1">
      <c r="A5341" t="s" s="834">
        <v>3679</v>
      </c>
      <c r="B5341" t="s" s="834">
        <v>3680</v>
      </c>
      <c r="C5341" t="s" s="834">
        <v>3681</v>
      </c>
      <c r="D5341" s="570"/>
      <c r="E5341" s="570"/>
      <c r="F5341" s="570"/>
      <c r="G5341" s="570"/>
      <c r="H5341" s="570"/>
      <c r="I5341" s="570"/>
      <c r="J5341" s="570"/>
      <c r="K5341" s="570"/>
    </row>
    <row r="5342" ht="13.75" customHeight="1">
      <c r="A5342" s="833">
        <v>290</v>
      </c>
      <c r="B5342" t="s" s="834">
        <v>3677</v>
      </c>
      <c r="C5342" t="s" s="834">
        <v>1571</v>
      </c>
      <c r="D5342" s="835">
        <v>46029</v>
      </c>
      <c r="E5342" s="836">
        <v>1.764918981481482</v>
      </c>
      <c r="F5342" t="s" s="834">
        <v>478</v>
      </c>
      <c r="G5342" s="570"/>
      <c r="H5342" s="570"/>
      <c r="I5342" s="570"/>
      <c r="J5342" s="570"/>
      <c r="K5342" s="570"/>
    </row>
    <row r="5343" ht="13.75" customHeight="1">
      <c r="A5343" t="s" s="834">
        <v>3682</v>
      </c>
      <c r="B5343" t="s" s="834">
        <v>485</v>
      </c>
      <c r="C5343" t="s" s="834">
        <v>486</v>
      </c>
      <c r="D5343" s="570"/>
      <c r="E5343" s="570"/>
      <c r="F5343" s="570"/>
      <c r="G5343" s="570"/>
      <c r="H5343" s="570"/>
      <c r="I5343" s="570"/>
      <c r="J5343" s="570"/>
      <c r="K5343" s="570"/>
    </row>
    <row r="5344" ht="13.75" customHeight="1">
      <c r="A5344" s="833">
        <v>290</v>
      </c>
      <c r="B5344" t="s" s="834">
        <v>3677</v>
      </c>
      <c r="C5344" t="s" s="834">
        <v>1571</v>
      </c>
      <c r="D5344" s="835">
        <v>46030</v>
      </c>
      <c r="E5344" t="s" s="834">
        <v>478</v>
      </c>
      <c r="F5344" t="s" s="834">
        <v>478</v>
      </c>
      <c r="G5344" s="570"/>
      <c r="H5344" s="570"/>
      <c r="I5344" s="570"/>
      <c r="J5344" s="570"/>
      <c r="K5344" s="570"/>
    </row>
    <row r="5345" ht="13.75" customHeight="1">
      <c r="A5345" s="833">
        <v>290</v>
      </c>
      <c r="B5345" t="s" s="834">
        <v>3677</v>
      </c>
      <c r="C5345" t="s" s="834">
        <v>1571</v>
      </c>
      <c r="D5345" s="835">
        <v>46031</v>
      </c>
      <c r="E5345" t="s" s="834">
        <v>478</v>
      </c>
      <c r="F5345" t="s" s="834">
        <v>478</v>
      </c>
      <c r="G5345" s="570"/>
      <c r="H5345" s="570"/>
      <c r="I5345" s="570"/>
      <c r="J5345" s="570"/>
      <c r="K5345" s="570"/>
    </row>
    <row r="5346" ht="13.75" customHeight="1">
      <c r="A5346" s="833">
        <v>290</v>
      </c>
      <c r="B5346" t="s" s="834">
        <v>3677</v>
      </c>
      <c r="C5346" t="s" s="834">
        <v>1571</v>
      </c>
      <c r="D5346" s="835">
        <v>46032</v>
      </c>
      <c r="E5346" s="836">
        <v>1.755185185185185</v>
      </c>
      <c r="F5346" t="s" s="834">
        <v>478</v>
      </c>
      <c r="G5346" s="570"/>
      <c r="H5346" s="570"/>
      <c r="I5346" s="570"/>
      <c r="J5346" s="570"/>
      <c r="K5346" s="570"/>
    </row>
    <row r="5347" ht="13.75" customHeight="1">
      <c r="A5347" t="s" s="834">
        <v>3683</v>
      </c>
      <c r="B5347" t="s" s="834">
        <v>485</v>
      </c>
      <c r="C5347" t="s" s="834">
        <v>486</v>
      </c>
      <c r="D5347" s="570"/>
      <c r="E5347" s="570"/>
      <c r="F5347" s="570"/>
      <c r="G5347" s="570"/>
      <c r="H5347" s="570"/>
      <c r="I5347" s="570"/>
      <c r="J5347" s="570"/>
      <c r="K5347" s="570"/>
    </row>
    <row r="5348" ht="13.75" customHeight="1">
      <c r="A5348" s="833">
        <v>290</v>
      </c>
      <c r="B5348" t="s" s="834">
        <v>3677</v>
      </c>
      <c r="C5348" t="s" s="834">
        <v>1571</v>
      </c>
      <c r="D5348" s="835">
        <v>46033</v>
      </c>
      <c r="E5348" t="s" s="834">
        <v>478</v>
      </c>
      <c r="F5348" t="s" s="834">
        <v>478</v>
      </c>
      <c r="G5348" s="570"/>
      <c r="H5348" s="570"/>
      <c r="I5348" s="570"/>
      <c r="J5348" s="570"/>
      <c r="K5348" s="570"/>
    </row>
    <row r="5349" ht="13.75" customHeight="1">
      <c r="A5349" s="833">
        <v>290</v>
      </c>
      <c r="B5349" t="s" s="834">
        <v>3677</v>
      </c>
      <c r="C5349" t="s" s="834">
        <v>1571</v>
      </c>
      <c r="D5349" s="835">
        <v>46034</v>
      </c>
      <c r="E5349" s="836">
        <v>1.367233796296296</v>
      </c>
      <c r="F5349" s="836">
        <v>1.768738425925926</v>
      </c>
      <c r="G5349" s="570"/>
      <c r="H5349" s="570"/>
      <c r="I5349" s="570"/>
      <c r="J5349" s="570"/>
      <c r="K5349" s="570"/>
    </row>
    <row r="5350" ht="13.75" customHeight="1">
      <c r="A5350" t="s" s="834">
        <v>3684</v>
      </c>
      <c r="B5350" t="s" s="834">
        <v>3685</v>
      </c>
      <c r="C5350" t="s" s="834">
        <v>697</v>
      </c>
      <c r="D5350" s="570"/>
      <c r="E5350" s="570"/>
      <c r="F5350" s="570"/>
      <c r="G5350" s="570"/>
      <c r="H5350" s="570"/>
      <c r="I5350" s="570"/>
      <c r="J5350" s="570"/>
      <c r="K5350" s="570"/>
    </row>
    <row r="5351" ht="13.75" customHeight="1">
      <c r="A5351" s="833">
        <v>290</v>
      </c>
      <c r="B5351" t="s" s="834">
        <v>3677</v>
      </c>
      <c r="C5351" t="s" s="834">
        <v>1571</v>
      </c>
      <c r="D5351" s="835">
        <v>46035</v>
      </c>
      <c r="E5351" s="836">
        <v>1.356840277777778</v>
      </c>
      <c r="F5351" s="836">
        <v>1.757638888888889</v>
      </c>
      <c r="G5351" s="570"/>
      <c r="H5351" s="570"/>
      <c r="I5351" s="570"/>
      <c r="J5351" s="570"/>
      <c r="K5351" s="570"/>
    </row>
    <row r="5352" ht="13.75" customHeight="1">
      <c r="A5352" t="s" s="834">
        <v>3686</v>
      </c>
      <c r="B5352" t="s" s="834">
        <v>3687</v>
      </c>
      <c r="C5352" t="s" s="834">
        <v>606</v>
      </c>
      <c r="D5352" s="570"/>
      <c r="E5352" s="570"/>
      <c r="F5352" s="570"/>
      <c r="G5352" s="570"/>
      <c r="H5352" s="570"/>
      <c r="I5352" s="570"/>
      <c r="J5352" s="570"/>
      <c r="K5352" s="570"/>
    </row>
    <row r="5353" ht="13.75" customHeight="1">
      <c r="A5353" s="833">
        <v>290</v>
      </c>
      <c r="B5353" t="s" s="834">
        <v>3677</v>
      </c>
      <c r="C5353" t="s" s="834">
        <v>1571</v>
      </c>
      <c r="D5353" s="835">
        <v>46036</v>
      </c>
      <c r="E5353" s="836">
        <v>1.380497685185185</v>
      </c>
      <c r="F5353" s="836">
        <v>1.825798611111111</v>
      </c>
      <c r="G5353" s="570"/>
      <c r="H5353" s="570"/>
      <c r="I5353" s="570"/>
      <c r="J5353" s="570"/>
      <c r="K5353" s="570"/>
    </row>
    <row r="5354" ht="13.75" customHeight="1">
      <c r="A5354" t="s" s="834">
        <v>3688</v>
      </c>
      <c r="B5354" t="s" s="834">
        <v>3689</v>
      </c>
      <c r="C5354" t="s" s="834">
        <v>722</v>
      </c>
      <c r="D5354" s="570"/>
      <c r="E5354" s="570"/>
      <c r="F5354" s="570"/>
      <c r="G5354" s="570"/>
      <c r="H5354" s="570"/>
      <c r="I5354" s="570"/>
      <c r="J5354" s="570"/>
      <c r="K5354" s="570"/>
    </row>
    <row r="5355" ht="13.75" customHeight="1">
      <c r="A5355" s="833">
        <v>290</v>
      </c>
      <c r="B5355" t="s" s="834">
        <v>3677</v>
      </c>
      <c r="C5355" t="s" s="834">
        <v>1571</v>
      </c>
      <c r="D5355" s="835">
        <v>46037</v>
      </c>
      <c r="E5355" s="836">
        <v>1.37744212962963</v>
      </c>
      <c r="F5355" s="836">
        <v>1.76630787037037</v>
      </c>
      <c r="G5355" s="570"/>
      <c r="H5355" s="570"/>
      <c r="I5355" s="570"/>
      <c r="J5355" s="570"/>
      <c r="K5355" s="570"/>
    </row>
    <row r="5356" ht="13.75" customHeight="1">
      <c r="A5356" t="s" s="834">
        <v>3690</v>
      </c>
      <c r="B5356" t="s" s="834">
        <v>3691</v>
      </c>
      <c r="C5356" t="s" s="834">
        <v>1490</v>
      </c>
      <c r="D5356" s="570"/>
      <c r="E5356" s="570"/>
      <c r="F5356" s="570"/>
      <c r="G5356" s="570"/>
      <c r="H5356" s="570"/>
      <c r="I5356" s="570"/>
      <c r="J5356" s="570"/>
      <c r="K5356" s="570"/>
    </row>
    <row r="5357" ht="13.75" customHeight="1">
      <c r="A5357" s="833">
        <v>290</v>
      </c>
      <c r="B5357" t="s" s="834">
        <v>3677</v>
      </c>
      <c r="C5357" t="s" s="834">
        <v>1571</v>
      </c>
      <c r="D5357" s="835">
        <v>46038</v>
      </c>
      <c r="E5357" s="836">
        <v>1.360474537037037</v>
      </c>
      <c r="F5357" s="836">
        <v>1.366458333333333</v>
      </c>
      <c r="G5357" s="570"/>
      <c r="H5357" s="570"/>
      <c r="I5357" s="570"/>
      <c r="J5357" s="570"/>
      <c r="K5357" s="570"/>
    </row>
    <row r="5358" ht="13.75" customHeight="1">
      <c r="A5358" t="s" s="834">
        <v>3692</v>
      </c>
      <c r="B5358" t="s" s="834">
        <v>3693</v>
      </c>
      <c r="C5358" t="s" s="834">
        <v>3694</v>
      </c>
      <c r="D5358" s="570"/>
      <c r="E5358" s="570"/>
      <c r="F5358" s="570"/>
      <c r="G5358" s="570"/>
      <c r="H5358" s="570"/>
      <c r="I5358" s="570"/>
      <c r="J5358" s="570"/>
      <c r="K5358" s="570"/>
    </row>
    <row r="5359" ht="13.75" customHeight="1">
      <c r="A5359" s="833">
        <v>290</v>
      </c>
      <c r="B5359" t="s" s="834">
        <v>3677</v>
      </c>
      <c r="C5359" t="s" s="834">
        <v>1571</v>
      </c>
      <c r="D5359" s="835">
        <v>46039</v>
      </c>
      <c r="E5359" t="s" s="834">
        <v>478</v>
      </c>
      <c r="F5359" t="s" s="834">
        <v>478</v>
      </c>
      <c r="G5359" s="570"/>
      <c r="H5359" s="570"/>
      <c r="I5359" s="570"/>
      <c r="J5359" s="570"/>
      <c r="K5359" s="570"/>
    </row>
    <row r="5360" ht="13.75" customHeight="1">
      <c r="A5360" s="833">
        <v>290</v>
      </c>
      <c r="B5360" t="s" s="834">
        <v>3677</v>
      </c>
      <c r="C5360" t="s" s="834">
        <v>1571</v>
      </c>
      <c r="D5360" s="835">
        <v>46040</v>
      </c>
      <c r="E5360" t="s" s="834">
        <v>478</v>
      </c>
      <c r="F5360" t="s" s="834">
        <v>478</v>
      </c>
      <c r="G5360" s="570"/>
      <c r="H5360" s="570"/>
      <c r="I5360" s="570"/>
      <c r="J5360" s="570"/>
      <c r="K5360" s="570"/>
    </row>
    <row r="5361" ht="13.75" customHeight="1">
      <c r="A5361" s="833">
        <v>290</v>
      </c>
      <c r="B5361" t="s" s="834">
        <v>3677</v>
      </c>
      <c r="C5361" t="s" s="834">
        <v>1571</v>
      </c>
      <c r="D5361" s="835">
        <v>46041</v>
      </c>
      <c r="E5361" s="836">
        <v>1.355300925925926</v>
      </c>
      <c r="F5361" s="836">
        <v>1.752430555555556</v>
      </c>
      <c r="G5361" s="570"/>
      <c r="H5361" s="570"/>
      <c r="I5361" s="570"/>
      <c r="J5361" s="570"/>
      <c r="K5361" s="570"/>
    </row>
    <row r="5362" ht="13.75" customHeight="1">
      <c r="A5362" t="s" s="834">
        <v>3695</v>
      </c>
      <c r="B5362" t="s" s="834">
        <v>3696</v>
      </c>
      <c r="C5362" t="s" s="834">
        <v>747</v>
      </c>
      <c r="D5362" s="570"/>
      <c r="E5362" s="570"/>
      <c r="F5362" s="570"/>
      <c r="G5362" s="570"/>
      <c r="H5362" s="570"/>
      <c r="I5362" s="570"/>
      <c r="J5362" s="570"/>
      <c r="K5362" s="570"/>
    </row>
    <row r="5363" ht="13.75" customHeight="1">
      <c r="A5363" s="833">
        <v>290</v>
      </c>
      <c r="B5363" t="s" s="834">
        <v>3677</v>
      </c>
      <c r="C5363" t="s" s="834">
        <v>1571</v>
      </c>
      <c r="D5363" s="835">
        <v>46042</v>
      </c>
      <c r="E5363" s="836">
        <v>1.361446759259259</v>
      </c>
      <c r="F5363" s="836">
        <v>1.771273148148148</v>
      </c>
      <c r="G5363" s="570"/>
      <c r="H5363" s="570"/>
      <c r="I5363" s="570"/>
      <c r="J5363" s="570"/>
      <c r="K5363" s="570"/>
    </row>
    <row r="5364" ht="13.75" customHeight="1">
      <c r="A5364" t="s" s="834">
        <v>3697</v>
      </c>
      <c r="B5364" t="s" s="834">
        <v>3698</v>
      </c>
      <c r="C5364" t="s" s="834">
        <v>1119</v>
      </c>
      <c r="D5364" s="570"/>
      <c r="E5364" s="570"/>
      <c r="F5364" s="570"/>
      <c r="G5364" s="570"/>
      <c r="H5364" s="570"/>
      <c r="I5364" s="570"/>
      <c r="J5364" s="570"/>
      <c r="K5364" s="570"/>
    </row>
    <row r="5365" ht="13.75" customHeight="1">
      <c r="A5365" s="833">
        <v>290</v>
      </c>
      <c r="B5365" t="s" s="834">
        <v>3677</v>
      </c>
      <c r="C5365" t="s" s="834">
        <v>1571</v>
      </c>
      <c r="D5365" s="835">
        <v>46043</v>
      </c>
      <c r="E5365" s="836">
        <v>1.368229166666667</v>
      </c>
      <c r="F5365" t="s" s="834">
        <v>478</v>
      </c>
      <c r="G5365" s="570"/>
      <c r="H5365" s="570"/>
      <c r="I5365" s="570"/>
      <c r="J5365" s="570"/>
      <c r="K5365" s="570"/>
    </row>
    <row r="5366" ht="13.75" customHeight="1">
      <c r="A5366" t="s" s="834">
        <v>3699</v>
      </c>
      <c r="B5366" t="s" s="834">
        <v>485</v>
      </c>
      <c r="C5366" t="s" s="834">
        <v>486</v>
      </c>
      <c r="D5366" s="570"/>
      <c r="E5366" s="570"/>
      <c r="F5366" s="570"/>
      <c r="G5366" s="570"/>
      <c r="H5366" s="570"/>
      <c r="I5366" s="570"/>
      <c r="J5366" s="570"/>
      <c r="K5366" s="570"/>
    </row>
    <row r="5367" ht="13.75" customHeight="1">
      <c r="A5367" s="833">
        <v>290</v>
      </c>
      <c r="B5367" t="s" s="834">
        <v>3677</v>
      </c>
      <c r="C5367" t="s" s="834">
        <v>1571</v>
      </c>
      <c r="D5367" s="835">
        <v>46044</v>
      </c>
      <c r="E5367" s="836">
        <v>1.617997685185185</v>
      </c>
      <c r="F5367" s="836">
        <v>1.757199074074074</v>
      </c>
      <c r="G5367" s="570"/>
      <c r="H5367" s="570"/>
      <c r="I5367" s="570"/>
      <c r="J5367" s="570"/>
      <c r="K5367" s="570"/>
    </row>
    <row r="5368" ht="13.75" customHeight="1">
      <c r="A5368" t="s" s="834">
        <v>3700</v>
      </c>
      <c r="B5368" t="s" s="834">
        <v>3701</v>
      </c>
      <c r="C5368" t="s" s="834">
        <v>3702</v>
      </c>
      <c r="D5368" s="570"/>
      <c r="E5368" s="570"/>
      <c r="F5368" s="570"/>
      <c r="G5368" s="570"/>
      <c r="H5368" s="570"/>
      <c r="I5368" s="570"/>
      <c r="J5368" s="570"/>
      <c r="K5368" s="570"/>
    </row>
    <row r="5369" ht="13.75" customHeight="1">
      <c r="A5369" s="833">
        <v>290</v>
      </c>
      <c r="B5369" t="s" s="834">
        <v>3677</v>
      </c>
      <c r="C5369" t="s" s="834">
        <v>1571</v>
      </c>
      <c r="D5369" s="835">
        <v>46045</v>
      </c>
      <c r="E5369" s="836">
        <v>1.57099537037037</v>
      </c>
      <c r="F5369" t="s" s="834">
        <v>478</v>
      </c>
      <c r="G5369" s="570"/>
      <c r="H5369" s="570"/>
      <c r="I5369" s="570"/>
      <c r="J5369" s="570"/>
      <c r="K5369" s="570"/>
    </row>
    <row r="5370" ht="13.75" customHeight="1">
      <c r="A5370" t="s" s="834">
        <v>3703</v>
      </c>
      <c r="B5370" t="s" s="834">
        <v>485</v>
      </c>
      <c r="C5370" t="s" s="834">
        <v>486</v>
      </c>
      <c r="D5370" s="570"/>
      <c r="E5370" s="570"/>
      <c r="F5370" s="570"/>
      <c r="G5370" s="570"/>
      <c r="H5370" s="570"/>
      <c r="I5370" s="570"/>
      <c r="J5370" s="570"/>
      <c r="K5370" s="570"/>
    </row>
    <row r="5371" ht="13.75" customHeight="1">
      <c r="A5371" s="833">
        <v>290</v>
      </c>
      <c r="B5371" t="s" s="834">
        <v>3677</v>
      </c>
      <c r="C5371" t="s" s="834">
        <v>1571</v>
      </c>
      <c r="D5371" s="835">
        <v>46046</v>
      </c>
      <c r="E5371" t="s" s="834">
        <v>478</v>
      </c>
      <c r="F5371" t="s" s="834">
        <v>478</v>
      </c>
      <c r="G5371" s="570"/>
      <c r="H5371" s="570"/>
      <c r="I5371" s="570"/>
      <c r="J5371" s="570"/>
      <c r="K5371" s="570"/>
    </row>
    <row r="5372" ht="13.75" customHeight="1">
      <c r="A5372" s="833">
        <v>290</v>
      </c>
      <c r="B5372" t="s" s="834">
        <v>3677</v>
      </c>
      <c r="C5372" t="s" s="834">
        <v>1571</v>
      </c>
      <c r="D5372" s="835">
        <v>46047</v>
      </c>
      <c r="E5372" t="s" s="834">
        <v>478</v>
      </c>
      <c r="F5372" t="s" s="834">
        <v>478</v>
      </c>
      <c r="G5372" s="570"/>
      <c r="H5372" s="570"/>
      <c r="I5372" s="570"/>
      <c r="J5372" s="570"/>
      <c r="K5372" s="570"/>
    </row>
    <row r="5373" ht="13.75" customHeight="1">
      <c r="A5373" s="833">
        <v>290</v>
      </c>
      <c r="B5373" t="s" s="834">
        <v>3677</v>
      </c>
      <c r="C5373" t="s" s="834">
        <v>1571</v>
      </c>
      <c r="D5373" s="835">
        <v>46048</v>
      </c>
      <c r="E5373" t="s" s="834">
        <v>478</v>
      </c>
      <c r="F5373" t="s" s="834">
        <v>478</v>
      </c>
      <c r="G5373" s="570"/>
      <c r="H5373" s="570"/>
      <c r="I5373" s="570"/>
      <c r="J5373" s="570"/>
      <c r="K5373" s="570"/>
    </row>
    <row r="5374" ht="13.75" customHeight="1">
      <c r="A5374" s="833">
        <v>290</v>
      </c>
      <c r="B5374" t="s" s="834">
        <v>3677</v>
      </c>
      <c r="C5374" t="s" s="834">
        <v>1571</v>
      </c>
      <c r="D5374" s="835">
        <v>46049</v>
      </c>
      <c r="E5374" s="836">
        <v>1.641990740740741</v>
      </c>
      <c r="F5374" s="836">
        <v>1.756909722222222</v>
      </c>
      <c r="G5374" s="570"/>
      <c r="H5374" s="570"/>
      <c r="I5374" s="570"/>
      <c r="J5374" s="570"/>
      <c r="K5374" s="570"/>
    </row>
    <row r="5375" ht="13.75" customHeight="1">
      <c r="A5375" t="s" s="834">
        <v>3704</v>
      </c>
      <c r="B5375" t="s" s="834">
        <v>3705</v>
      </c>
      <c r="C5375" t="s" s="834">
        <v>3706</v>
      </c>
      <c r="D5375" s="570"/>
      <c r="E5375" s="570"/>
      <c r="F5375" s="570"/>
      <c r="G5375" s="570"/>
      <c r="H5375" s="570"/>
      <c r="I5375" s="570"/>
      <c r="J5375" s="570"/>
      <c r="K5375" s="570"/>
    </row>
    <row r="5376" ht="13.75" customHeight="1">
      <c r="A5376" s="833">
        <v>290</v>
      </c>
      <c r="B5376" t="s" s="834">
        <v>3677</v>
      </c>
      <c r="C5376" t="s" s="834">
        <v>1571</v>
      </c>
      <c r="D5376" s="835">
        <v>46050</v>
      </c>
      <c r="E5376" s="836">
        <v>1.366168981481481</v>
      </c>
      <c r="F5376" s="836">
        <v>1.753888888888889</v>
      </c>
      <c r="G5376" s="570"/>
      <c r="H5376" s="570"/>
      <c r="I5376" s="570"/>
      <c r="J5376" s="570"/>
      <c r="K5376" s="570"/>
    </row>
    <row r="5377" ht="13.75" customHeight="1">
      <c r="A5377" t="s" s="834">
        <v>3707</v>
      </c>
      <c r="B5377" t="s" s="834">
        <v>3708</v>
      </c>
      <c r="C5377" t="s" s="834">
        <v>640</v>
      </c>
      <c r="D5377" s="570"/>
      <c r="E5377" s="570"/>
      <c r="F5377" s="570"/>
      <c r="G5377" s="570"/>
      <c r="H5377" s="570"/>
      <c r="I5377" s="570"/>
      <c r="J5377" s="570"/>
      <c r="K5377" s="570"/>
    </row>
    <row r="5378" ht="13.75" customHeight="1">
      <c r="A5378" s="833">
        <v>290</v>
      </c>
      <c r="B5378" t="s" s="834">
        <v>3677</v>
      </c>
      <c r="C5378" t="s" s="834">
        <v>1571</v>
      </c>
      <c r="D5378" s="835">
        <v>46051</v>
      </c>
      <c r="E5378" t="s" s="834">
        <v>478</v>
      </c>
      <c r="F5378" t="s" s="834">
        <v>478</v>
      </c>
      <c r="G5378" s="570"/>
      <c r="H5378" s="570"/>
      <c r="I5378" s="570"/>
      <c r="J5378" s="570"/>
      <c r="K5378" s="570"/>
    </row>
    <row r="5379" ht="13.75" customHeight="1">
      <c r="A5379" s="833">
        <v>290</v>
      </c>
      <c r="B5379" t="s" s="834">
        <v>3677</v>
      </c>
      <c r="C5379" t="s" s="834">
        <v>1571</v>
      </c>
      <c r="D5379" s="835">
        <v>46052</v>
      </c>
      <c r="E5379" t="s" s="834">
        <v>478</v>
      </c>
      <c r="F5379" t="s" s="834">
        <v>478</v>
      </c>
      <c r="G5379" s="570"/>
      <c r="H5379" s="570"/>
      <c r="I5379" s="570"/>
      <c r="J5379" s="570"/>
      <c r="K5379" s="570"/>
    </row>
    <row r="5380" ht="13.75" customHeight="1">
      <c r="A5380" s="833">
        <v>290</v>
      </c>
      <c r="B5380" t="s" s="834">
        <v>3677</v>
      </c>
      <c r="C5380" t="s" s="834">
        <v>1571</v>
      </c>
      <c r="D5380" s="835">
        <v>46053</v>
      </c>
      <c r="E5380" t="s" s="834">
        <v>478</v>
      </c>
      <c r="F5380" t="s" s="834">
        <v>478</v>
      </c>
      <c r="G5380" s="570"/>
      <c r="H5380" s="570"/>
      <c r="I5380" s="570"/>
      <c r="J5380" s="570"/>
      <c r="K5380" s="570"/>
    </row>
    <row r="5381" ht="13.75" customHeight="1">
      <c r="A5381" s="833">
        <v>290</v>
      </c>
      <c r="B5381" t="s" s="834">
        <v>3677</v>
      </c>
      <c r="C5381" t="s" s="834">
        <v>1571</v>
      </c>
      <c r="D5381" s="835">
        <v>46054</v>
      </c>
      <c r="E5381" t="s" s="834">
        <v>478</v>
      </c>
      <c r="F5381" t="s" s="834">
        <v>478</v>
      </c>
      <c r="G5381" s="570"/>
      <c r="H5381" s="570"/>
      <c r="I5381" s="570"/>
      <c r="J5381" s="570"/>
      <c r="K5381" s="570"/>
    </row>
    <row r="5382" ht="13.75" customHeight="1">
      <c r="A5382" s="833">
        <v>291</v>
      </c>
      <c r="B5382" t="s" s="834">
        <v>3709</v>
      </c>
      <c r="C5382" t="s" s="834">
        <v>1010</v>
      </c>
      <c r="D5382" s="835">
        <v>46023</v>
      </c>
      <c r="E5382" t="s" s="834">
        <v>478</v>
      </c>
      <c r="F5382" t="s" s="834">
        <v>478</v>
      </c>
      <c r="G5382" s="570"/>
      <c r="H5382" s="570"/>
      <c r="I5382" s="570"/>
      <c r="J5382" s="570"/>
      <c r="K5382" s="570"/>
    </row>
    <row r="5383" ht="13.75" customHeight="1">
      <c r="A5383" s="833">
        <v>291</v>
      </c>
      <c r="B5383" t="s" s="834">
        <v>3709</v>
      </c>
      <c r="C5383" t="s" s="834">
        <v>1010</v>
      </c>
      <c r="D5383" s="835">
        <v>46024</v>
      </c>
      <c r="E5383" t="s" s="834">
        <v>478</v>
      </c>
      <c r="F5383" t="s" s="834">
        <v>478</v>
      </c>
      <c r="G5383" s="570"/>
      <c r="H5383" s="570"/>
      <c r="I5383" s="570"/>
      <c r="J5383" s="570"/>
      <c r="K5383" s="570"/>
    </row>
    <row r="5384" ht="13.75" customHeight="1">
      <c r="A5384" s="833">
        <v>291</v>
      </c>
      <c r="B5384" t="s" s="834">
        <v>3709</v>
      </c>
      <c r="C5384" t="s" s="834">
        <v>1010</v>
      </c>
      <c r="D5384" s="835">
        <v>46025</v>
      </c>
      <c r="E5384" t="s" s="834">
        <v>478</v>
      </c>
      <c r="F5384" t="s" s="834">
        <v>478</v>
      </c>
      <c r="G5384" s="570"/>
      <c r="H5384" s="570"/>
      <c r="I5384" s="570"/>
      <c r="J5384" s="570"/>
      <c r="K5384" s="570"/>
    </row>
    <row r="5385" ht="13.75" customHeight="1">
      <c r="A5385" s="833">
        <v>291</v>
      </c>
      <c r="B5385" t="s" s="834">
        <v>3709</v>
      </c>
      <c r="C5385" t="s" s="834">
        <v>1010</v>
      </c>
      <c r="D5385" s="835">
        <v>46026</v>
      </c>
      <c r="E5385" t="s" s="834">
        <v>478</v>
      </c>
      <c r="F5385" t="s" s="834">
        <v>478</v>
      </c>
      <c r="G5385" s="570"/>
      <c r="H5385" s="570"/>
      <c r="I5385" s="570"/>
      <c r="J5385" s="570"/>
      <c r="K5385" s="570"/>
    </row>
    <row r="5386" ht="13.75" customHeight="1">
      <c r="A5386" s="833">
        <v>291</v>
      </c>
      <c r="B5386" t="s" s="834">
        <v>3709</v>
      </c>
      <c r="C5386" t="s" s="834">
        <v>1010</v>
      </c>
      <c r="D5386" s="835">
        <v>46027</v>
      </c>
      <c r="E5386" s="836">
        <v>1.371851851851852</v>
      </c>
      <c r="F5386" s="836">
        <v>1.810289351851852</v>
      </c>
      <c r="G5386" s="570"/>
      <c r="H5386" s="570"/>
      <c r="I5386" s="570"/>
      <c r="J5386" s="570"/>
      <c r="K5386" s="570"/>
    </row>
    <row r="5387" ht="13.75" customHeight="1">
      <c r="A5387" t="s" s="834">
        <v>3710</v>
      </c>
      <c r="B5387" t="s" s="834">
        <v>3711</v>
      </c>
      <c r="C5387" t="s" s="834">
        <v>1030</v>
      </c>
      <c r="D5387" s="570"/>
      <c r="E5387" s="570"/>
      <c r="F5387" s="570"/>
      <c r="G5387" s="570"/>
      <c r="H5387" s="570"/>
      <c r="I5387" s="570"/>
      <c r="J5387" s="570"/>
      <c r="K5387" s="570"/>
    </row>
    <row r="5388" ht="13.75" customHeight="1">
      <c r="A5388" s="833">
        <v>291</v>
      </c>
      <c r="B5388" t="s" s="834">
        <v>3709</v>
      </c>
      <c r="C5388" t="s" s="834">
        <v>1010</v>
      </c>
      <c r="D5388" s="835">
        <v>46028</v>
      </c>
      <c r="E5388" s="836">
        <v>1.364513888888889</v>
      </c>
      <c r="F5388" s="836">
        <v>1.865868055555556</v>
      </c>
      <c r="G5388" s="570"/>
      <c r="H5388" s="570"/>
      <c r="I5388" s="570"/>
      <c r="J5388" s="570"/>
      <c r="K5388" s="570"/>
    </row>
    <row r="5389" ht="13.75" customHeight="1">
      <c r="A5389" t="s" s="834">
        <v>3712</v>
      </c>
      <c r="B5389" t="s" s="834">
        <v>3713</v>
      </c>
      <c r="C5389" t="s" s="834">
        <v>3033</v>
      </c>
      <c r="D5389" s="570"/>
      <c r="E5389" s="570"/>
      <c r="F5389" s="570"/>
      <c r="G5389" s="570"/>
      <c r="H5389" s="570"/>
      <c r="I5389" s="570"/>
      <c r="J5389" s="570"/>
      <c r="K5389" s="570"/>
    </row>
    <row r="5390" ht="13.75" customHeight="1">
      <c r="A5390" s="833">
        <v>291</v>
      </c>
      <c r="B5390" t="s" s="834">
        <v>3709</v>
      </c>
      <c r="C5390" t="s" s="834">
        <v>1010</v>
      </c>
      <c r="D5390" s="835">
        <v>46029</v>
      </c>
      <c r="E5390" s="836">
        <v>1.363240740740741</v>
      </c>
      <c r="F5390" s="836">
        <v>1.83505787037037</v>
      </c>
      <c r="G5390" s="570"/>
      <c r="H5390" s="570"/>
      <c r="I5390" s="570"/>
      <c r="J5390" s="570"/>
      <c r="K5390" s="570"/>
    </row>
    <row r="5391" ht="13.75" customHeight="1">
      <c r="A5391" t="s" s="834">
        <v>3714</v>
      </c>
      <c r="B5391" t="s" s="834">
        <v>3715</v>
      </c>
      <c r="C5391" t="s" s="834">
        <v>3716</v>
      </c>
      <c r="D5391" s="570"/>
      <c r="E5391" s="570"/>
      <c r="F5391" s="570"/>
      <c r="G5391" s="570"/>
      <c r="H5391" s="570"/>
      <c r="I5391" s="570"/>
      <c r="J5391" s="570"/>
      <c r="K5391" s="570"/>
    </row>
    <row r="5392" ht="13.75" customHeight="1">
      <c r="A5392" s="833">
        <v>291</v>
      </c>
      <c r="B5392" t="s" s="834">
        <v>3709</v>
      </c>
      <c r="C5392" t="s" s="834">
        <v>1010</v>
      </c>
      <c r="D5392" s="835">
        <v>46030</v>
      </c>
      <c r="E5392" s="836">
        <v>1.367719907407407</v>
      </c>
      <c r="F5392" s="836">
        <v>1.797951388888889</v>
      </c>
      <c r="G5392" s="570"/>
      <c r="H5392" s="570"/>
      <c r="I5392" s="570"/>
      <c r="J5392" s="570"/>
      <c r="K5392" s="570"/>
    </row>
    <row r="5393" ht="13.75" customHeight="1">
      <c r="A5393" t="s" s="834">
        <v>3717</v>
      </c>
      <c r="B5393" t="s" s="834">
        <v>3718</v>
      </c>
      <c r="C5393" t="s" s="834">
        <v>2283</v>
      </c>
      <c r="D5393" s="570"/>
      <c r="E5393" s="570"/>
      <c r="F5393" s="570"/>
      <c r="G5393" s="570"/>
      <c r="H5393" s="570"/>
      <c r="I5393" s="570"/>
      <c r="J5393" s="570"/>
      <c r="K5393" s="570"/>
    </row>
    <row r="5394" ht="13.75" customHeight="1">
      <c r="A5394" s="833">
        <v>291</v>
      </c>
      <c r="B5394" t="s" s="834">
        <v>3709</v>
      </c>
      <c r="C5394" t="s" s="834">
        <v>1010</v>
      </c>
      <c r="D5394" s="835">
        <v>46031</v>
      </c>
      <c r="E5394" s="836">
        <v>1.357372685185185</v>
      </c>
      <c r="F5394" s="836">
        <v>1.803854166666667</v>
      </c>
      <c r="G5394" s="570"/>
      <c r="H5394" s="570"/>
      <c r="I5394" s="570"/>
      <c r="J5394" s="570"/>
      <c r="K5394" s="570"/>
    </row>
    <row r="5395" ht="13.75" customHeight="1">
      <c r="A5395" t="s" s="834">
        <v>3719</v>
      </c>
      <c r="B5395" t="s" s="834">
        <v>3720</v>
      </c>
      <c r="C5395" t="s" s="834">
        <v>527</v>
      </c>
      <c r="D5395" s="570"/>
      <c r="E5395" s="570"/>
      <c r="F5395" s="570"/>
      <c r="G5395" s="570"/>
      <c r="H5395" s="570"/>
      <c r="I5395" s="570"/>
      <c r="J5395" s="570"/>
      <c r="K5395" s="570"/>
    </row>
    <row r="5396" ht="13.75" customHeight="1">
      <c r="A5396" s="833">
        <v>291</v>
      </c>
      <c r="B5396" t="s" s="834">
        <v>3709</v>
      </c>
      <c r="C5396" t="s" s="834">
        <v>1010</v>
      </c>
      <c r="D5396" s="835">
        <v>46032</v>
      </c>
      <c r="E5396" s="836">
        <v>1.357233796296296</v>
      </c>
      <c r="F5396" s="836">
        <v>1.806215277777778</v>
      </c>
      <c r="G5396" s="570"/>
      <c r="H5396" s="570"/>
      <c r="I5396" s="570"/>
      <c r="J5396" s="570"/>
      <c r="K5396" s="570"/>
    </row>
    <row r="5397" ht="13.75" customHeight="1">
      <c r="A5397" t="s" s="834">
        <v>3721</v>
      </c>
      <c r="B5397" t="s" s="834">
        <v>2528</v>
      </c>
      <c r="C5397" t="s" s="834">
        <v>646</v>
      </c>
      <c r="D5397" s="570"/>
      <c r="E5397" s="570"/>
      <c r="F5397" s="570"/>
      <c r="G5397" s="570"/>
      <c r="H5397" s="570"/>
      <c r="I5397" s="570"/>
      <c r="J5397" s="570"/>
      <c r="K5397" s="570"/>
    </row>
    <row r="5398" ht="13.75" customHeight="1">
      <c r="A5398" s="833">
        <v>291</v>
      </c>
      <c r="B5398" t="s" s="834">
        <v>3709</v>
      </c>
      <c r="C5398" t="s" s="834">
        <v>1010</v>
      </c>
      <c r="D5398" s="835">
        <v>46033</v>
      </c>
      <c r="E5398" t="s" s="834">
        <v>478</v>
      </c>
      <c r="F5398" t="s" s="834">
        <v>478</v>
      </c>
      <c r="G5398" s="570"/>
      <c r="H5398" s="570"/>
      <c r="I5398" s="570"/>
      <c r="J5398" s="570"/>
      <c r="K5398" s="570"/>
    </row>
    <row r="5399" ht="13.75" customHeight="1">
      <c r="A5399" s="833">
        <v>291</v>
      </c>
      <c r="B5399" t="s" s="834">
        <v>3709</v>
      </c>
      <c r="C5399" t="s" s="834">
        <v>1010</v>
      </c>
      <c r="D5399" s="835">
        <v>46034</v>
      </c>
      <c r="E5399" s="836">
        <v>1.374398148148148</v>
      </c>
      <c r="F5399" s="836">
        <v>1.824375</v>
      </c>
      <c r="G5399" s="570"/>
      <c r="H5399" s="570"/>
      <c r="I5399" s="570"/>
      <c r="J5399" s="570"/>
      <c r="K5399" s="570"/>
    </row>
    <row r="5400" ht="13.75" customHeight="1">
      <c r="A5400" t="s" s="834">
        <v>3722</v>
      </c>
      <c r="B5400" t="s" s="834">
        <v>3723</v>
      </c>
      <c r="C5400" t="s" s="834">
        <v>1823</v>
      </c>
      <c r="D5400" s="570"/>
      <c r="E5400" s="570"/>
      <c r="F5400" s="570"/>
      <c r="G5400" s="570"/>
      <c r="H5400" s="570"/>
      <c r="I5400" s="570"/>
      <c r="J5400" s="570"/>
      <c r="K5400" s="570"/>
    </row>
    <row r="5401" ht="13.75" customHeight="1">
      <c r="A5401" s="833">
        <v>291</v>
      </c>
      <c r="B5401" t="s" s="834">
        <v>3709</v>
      </c>
      <c r="C5401" t="s" s="834">
        <v>1010</v>
      </c>
      <c r="D5401" s="835">
        <v>46035</v>
      </c>
      <c r="E5401" s="836">
        <v>1.363993055555556</v>
      </c>
      <c r="F5401" s="836">
        <v>1.841284722222222</v>
      </c>
      <c r="G5401" s="570"/>
      <c r="H5401" s="570"/>
      <c r="I5401" s="570"/>
      <c r="J5401" s="570"/>
      <c r="K5401" s="570"/>
    </row>
    <row r="5402" ht="13.75" customHeight="1">
      <c r="A5402" t="s" s="834">
        <v>3724</v>
      </c>
      <c r="B5402" t="s" s="834">
        <v>3725</v>
      </c>
      <c r="C5402" t="s" s="834">
        <v>3726</v>
      </c>
      <c r="D5402" s="570"/>
      <c r="E5402" s="570"/>
      <c r="F5402" s="570"/>
      <c r="G5402" s="570"/>
      <c r="H5402" s="570"/>
      <c r="I5402" s="570"/>
      <c r="J5402" s="570"/>
      <c r="K5402" s="570"/>
    </row>
    <row r="5403" ht="13.75" customHeight="1">
      <c r="A5403" s="833">
        <v>291</v>
      </c>
      <c r="B5403" t="s" s="834">
        <v>3709</v>
      </c>
      <c r="C5403" t="s" s="834">
        <v>1010</v>
      </c>
      <c r="D5403" s="835">
        <v>46036</v>
      </c>
      <c r="E5403" s="836">
        <v>1.366458333333333</v>
      </c>
      <c r="F5403" s="836">
        <v>1.924155092592593</v>
      </c>
      <c r="G5403" s="570"/>
      <c r="H5403" s="570"/>
      <c r="I5403" s="570"/>
      <c r="J5403" s="570"/>
      <c r="K5403" s="570"/>
    </row>
    <row r="5404" ht="13.75" customHeight="1">
      <c r="A5404" t="s" s="834">
        <v>3727</v>
      </c>
      <c r="B5404" t="s" s="834">
        <v>3728</v>
      </c>
      <c r="C5404" t="s" s="834">
        <v>3729</v>
      </c>
      <c r="D5404" s="570"/>
      <c r="E5404" s="570"/>
      <c r="F5404" s="570"/>
      <c r="G5404" s="570"/>
      <c r="H5404" s="570"/>
      <c r="I5404" s="570"/>
      <c r="J5404" s="570"/>
      <c r="K5404" s="570"/>
    </row>
    <row r="5405" ht="13.75" customHeight="1">
      <c r="A5405" s="833">
        <v>291</v>
      </c>
      <c r="B5405" t="s" s="834">
        <v>3709</v>
      </c>
      <c r="C5405" t="s" s="834">
        <v>1010</v>
      </c>
      <c r="D5405" s="835">
        <v>46037</v>
      </c>
      <c r="E5405" s="836">
        <v>1.372106481481481</v>
      </c>
      <c r="F5405" s="836">
        <v>1.953726851851852</v>
      </c>
      <c r="G5405" s="570"/>
      <c r="H5405" s="570"/>
      <c r="I5405" s="570"/>
      <c r="J5405" s="570"/>
      <c r="K5405" s="570"/>
    </row>
    <row r="5406" ht="13.75" customHeight="1">
      <c r="A5406" t="s" s="834">
        <v>3730</v>
      </c>
      <c r="B5406" t="s" s="834">
        <v>3731</v>
      </c>
      <c r="C5406" t="s" s="834">
        <v>3036</v>
      </c>
      <c r="D5406" s="570"/>
      <c r="E5406" s="570"/>
      <c r="F5406" s="570"/>
      <c r="G5406" s="570"/>
      <c r="H5406" s="570"/>
      <c r="I5406" s="570"/>
      <c r="J5406" s="570"/>
      <c r="K5406" s="570"/>
    </row>
    <row r="5407" ht="13.75" customHeight="1">
      <c r="A5407" s="833">
        <v>291</v>
      </c>
      <c r="B5407" t="s" s="834">
        <v>3709</v>
      </c>
      <c r="C5407" t="s" s="834">
        <v>1010</v>
      </c>
      <c r="D5407" s="835">
        <v>46038</v>
      </c>
      <c r="E5407" s="836">
        <v>1.355532407407407</v>
      </c>
      <c r="F5407" s="836">
        <v>1.832858796296296</v>
      </c>
      <c r="G5407" s="570"/>
      <c r="H5407" s="570"/>
      <c r="I5407" s="570"/>
      <c r="J5407" s="570"/>
      <c r="K5407" s="570"/>
    </row>
    <row r="5408" ht="13.75" customHeight="1">
      <c r="A5408" t="s" s="834">
        <v>3732</v>
      </c>
      <c r="B5408" t="s" s="834">
        <v>3733</v>
      </c>
      <c r="C5408" t="s" s="834">
        <v>3726</v>
      </c>
      <c r="D5408" s="570"/>
      <c r="E5408" s="570"/>
      <c r="F5408" s="570"/>
      <c r="G5408" s="570"/>
      <c r="H5408" s="570"/>
      <c r="I5408" s="570"/>
      <c r="J5408" s="570"/>
      <c r="K5408" s="570"/>
    </row>
    <row r="5409" ht="13.75" customHeight="1">
      <c r="A5409" s="833">
        <v>291</v>
      </c>
      <c r="B5409" t="s" s="834">
        <v>3709</v>
      </c>
      <c r="C5409" t="s" s="834">
        <v>1010</v>
      </c>
      <c r="D5409" s="835">
        <v>46039</v>
      </c>
      <c r="E5409" t="s" s="834">
        <v>478</v>
      </c>
      <c r="F5409" t="s" s="834">
        <v>478</v>
      </c>
      <c r="G5409" s="570"/>
      <c r="H5409" s="570"/>
      <c r="I5409" s="570"/>
      <c r="J5409" s="570"/>
      <c r="K5409" s="570"/>
    </row>
    <row r="5410" ht="13.75" customHeight="1">
      <c r="A5410" s="833">
        <v>291</v>
      </c>
      <c r="B5410" t="s" s="834">
        <v>3709</v>
      </c>
      <c r="C5410" t="s" s="834">
        <v>1010</v>
      </c>
      <c r="D5410" s="835">
        <v>46040</v>
      </c>
      <c r="E5410" t="s" s="834">
        <v>478</v>
      </c>
      <c r="F5410" t="s" s="834">
        <v>478</v>
      </c>
      <c r="G5410" s="570"/>
      <c r="H5410" s="570"/>
      <c r="I5410" s="570"/>
      <c r="J5410" s="570"/>
      <c r="K5410" s="570"/>
    </row>
    <row r="5411" ht="13.75" customHeight="1">
      <c r="A5411" s="833">
        <v>291</v>
      </c>
      <c r="B5411" t="s" s="834">
        <v>3709</v>
      </c>
      <c r="C5411" t="s" s="834">
        <v>1010</v>
      </c>
      <c r="D5411" s="835">
        <v>46041</v>
      </c>
      <c r="E5411" s="836">
        <v>1.364328703703704</v>
      </c>
      <c r="F5411" s="836">
        <v>1.817233796296296</v>
      </c>
      <c r="G5411" s="570"/>
      <c r="H5411" s="570"/>
      <c r="I5411" s="570"/>
      <c r="J5411" s="570"/>
      <c r="K5411" s="570"/>
    </row>
    <row r="5412" ht="13.75" customHeight="1">
      <c r="A5412" t="s" s="834">
        <v>3734</v>
      </c>
      <c r="B5412" t="s" s="834">
        <v>3735</v>
      </c>
      <c r="C5412" t="s" s="834">
        <v>1133</v>
      </c>
      <c r="D5412" s="570"/>
      <c r="E5412" s="570"/>
      <c r="F5412" s="570"/>
      <c r="G5412" s="570"/>
      <c r="H5412" s="570"/>
      <c r="I5412" s="570"/>
      <c r="J5412" s="570"/>
      <c r="K5412" s="570"/>
    </row>
    <row r="5413" ht="13.75" customHeight="1">
      <c r="A5413" s="833">
        <v>291</v>
      </c>
      <c r="B5413" t="s" s="834">
        <v>3709</v>
      </c>
      <c r="C5413" t="s" s="834">
        <v>1010</v>
      </c>
      <c r="D5413" s="835">
        <v>46042</v>
      </c>
      <c r="E5413" s="836">
        <v>1.373587962962963</v>
      </c>
      <c r="F5413" s="836">
        <v>1.798402777777778</v>
      </c>
      <c r="G5413" s="570"/>
      <c r="H5413" s="570"/>
      <c r="I5413" s="570"/>
      <c r="J5413" s="570"/>
      <c r="K5413" s="570"/>
    </row>
    <row r="5414" ht="13.75" customHeight="1">
      <c r="A5414" t="s" s="834">
        <v>3736</v>
      </c>
      <c r="B5414" t="s" s="834">
        <v>3737</v>
      </c>
      <c r="C5414" t="s" s="834">
        <v>629</v>
      </c>
      <c r="D5414" s="570"/>
      <c r="E5414" s="570"/>
      <c r="F5414" s="570"/>
      <c r="G5414" s="570"/>
      <c r="H5414" s="570"/>
      <c r="I5414" s="570"/>
      <c r="J5414" s="570"/>
      <c r="K5414" s="570"/>
    </row>
    <row r="5415" ht="13.75" customHeight="1">
      <c r="A5415" s="833">
        <v>291</v>
      </c>
      <c r="B5415" t="s" s="834">
        <v>3709</v>
      </c>
      <c r="C5415" t="s" s="834">
        <v>1010</v>
      </c>
      <c r="D5415" s="835">
        <v>46043</v>
      </c>
      <c r="E5415" s="836">
        <v>1.370486111111111</v>
      </c>
      <c r="F5415" s="836">
        <v>1.810821759259259</v>
      </c>
      <c r="G5415" s="570"/>
      <c r="H5415" s="570"/>
      <c r="I5415" s="570"/>
      <c r="J5415" s="570"/>
      <c r="K5415" s="570"/>
    </row>
    <row r="5416" ht="13.75" customHeight="1">
      <c r="A5416" t="s" s="834">
        <v>3738</v>
      </c>
      <c r="B5416" t="s" s="834">
        <v>3739</v>
      </c>
      <c r="C5416" t="s" s="834">
        <v>3740</v>
      </c>
      <c r="D5416" s="570"/>
      <c r="E5416" s="570"/>
      <c r="F5416" s="570"/>
      <c r="G5416" s="570"/>
      <c r="H5416" s="570"/>
      <c r="I5416" s="570"/>
      <c r="J5416" s="570"/>
      <c r="K5416" s="570"/>
    </row>
    <row r="5417" ht="13.75" customHeight="1">
      <c r="A5417" s="833">
        <v>291</v>
      </c>
      <c r="B5417" t="s" s="834">
        <v>3709</v>
      </c>
      <c r="C5417" t="s" s="834">
        <v>1010</v>
      </c>
      <c r="D5417" s="835">
        <v>46044</v>
      </c>
      <c r="E5417" s="836">
        <v>1.364583333333333</v>
      </c>
      <c r="F5417" s="836">
        <v>1.953738425925926</v>
      </c>
      <c r="G5417" s="570"/>
      <c r="H5417" s="570"/>
      <c r="I5417" s="570"/>
      <c r="J5417" s="570"/>
      <c r="K5417" s="570"/>
    </row>
    <row r="5418" ht="13.75" customHeight="1">
      <c r="A5418" t="s" s="834">
        <v>3741</v>
      </c>
      <c r="B5418" t="s" s="834">
        <v>3742</v>
      </c>
      <c r="C5418" t="s" s="834">
        <v>3743</v>
      </c>
      <c r="D5418" s="570"/>
      <c r="E5418" s="570"/>
      <c r="F5418" s="570"/>
      <c r="G5418" s="570"/>
      <c r="H5418" s="570"/>
      <c r="I5418" s="570"/>
      <c r="J5418" s="570"/>
      <c r="K5418" s="570"/>
    </row>
    <row r="5419" ht="13.75" customHeight="1">
      <c r="A5419" s="833">
        <v>291</v>
      </c>
      <c r="B5419" t="s" s="834">
        <v>3709</v>
      </c>
      <c r="C5419" t="s" s="834">
        <v>1010</v>
      </c>
      <c r="D5419" s="835">
        <v>46045</v>
      </c>
      <c r="E5419" s="836">
        <v>1.372291666666667</v>
      </c>
      <c r="F5419" s="836">
        <v>1.909664351851852</v>
      </c>
      <c r="G5419" s="570"/>
      <c r="H5419" s="570"/>
      <c r="I5419" s="570"/>
      <c r="J5419" s="570"/>
      <c r="K5419" s="570"/>
    </row>
    <row r="5420" ht="13.75" customHeight="1">
      <c r="A5420" t="s" s="834">
        <v>3744</v>
      </c>
      <c r="B5420" t="s" s="834">
        <v>1860</v>
      </c>
      <c r="C5420" t="s" s="834">
        <v>3745</v>
      </c>
      <c r="D5420" s="570"/>
      <c r="E5420" s="570"/>
      <c r="F5420" s="570"/>
      <c r="G5420" s="570"/>
      <c r="H5420" s="570"/>
      <c r="I5420" s="570"/>
      <c r="J5420" s="570"/>
      <c r="K5420" s="570"/>
    </row>
    <row r="5421" ht="13.75" customHeight="1">
      <c r="A5421" s="833">
        <v>291</v>
      </c>
      <c r="B5421" t="s" s="834">
        <v>3709</v>
      </c>
      <c r="C5421" t="s" s="834">
        <v>1010</v>
      </c>
      <c r="D5421" s="835">
        <v>46046</v>
      </c>
      <c r="E5421" t="s" s="834">
        <v>478</v>
      </c>
      <c r="F5421" t="s" s="834">
        <v>478</v>
      </c>
      <c r="G5421" s="570"/>
      <c r="H5421" s="570"/>
      <c r="I5421" s="570"/>
      <c r="J5421" s="570"/>
      <c r="K5421" s="570"/>
    </row>
    <row r="5422" ht="13.75" customHeight="1">
      <c r="A5422" s="833">
        <v>291</v>
      </c>
      <c r="B5422" t="s" s="834">
        <v>3709</v>
      </c>
      <c r="C5422" t="s" s="834">
        <v>1010</v>
      </c>
      <c r="D5422" s="835">
        <v>46047</v>
      </c>
      <c r="E5422" t="s" s="834">
        <v>478</v>
      </c>
      <c r="F5422" t="s" s="834">
        <v>478</v>
      </c>
      <c r="G5422" s="570"/>
      <c r="H5422" s="570"/>
      <c r="I5422" s="570"/>
      <c r="J5422" s="570"/>
      <c r="K5422" s="570"/>
    </row>
    <row r="5423" ht="13.75" customHeight="1">
      <c r="A5423" s="833">
        <v>291</v>
      </c>
      <c r="B5423" t="s" s="834">
        <v>3709</v>
      </c>
      <c r="C5423" t="s" s="834">
        <v>1010</v>
      </c>
      <c r="D5423" s="835">
        <v>46048</v>
      </c>
      <c r="E5423" t="s" s="834">
        <v>478</v>
      </c>
      <c r="F5423" t="s" s="834">
        <v>478</v>
      </c>
      <c r="G5423" s="570"/>
      <c r="H5423" s="570"/>
      <c r="I5423" s="570"/>
      <c r="J5423" s="570"/>
      <c r="K5423" s="570"/>
    </row>
    <row r="5424" ht="13.75" customHeight="1">
      <c r="A5424" s="833">
        <v>291</v>
      </c>
      <c r="B5424" t="s" s="834">
        <v>3709</v>
      </c>
      <c r="C5424" t="s" s="834">
        <v>1010</v>
      </c>
      <c r="D5424" s="835">
        <v>46049</v>
      </c>
      <c r="E5424" s="836">
        <v>1.367708333333333</v>
      </c>
      <c r="F5424" s="836">
        <v>1.829456018518518</v>
      </c>
      <c r="G5424" s="570"/>
      <c r="H5424" s="570"/>
      <c r="I5424" s="570"/>
      <c r="J5424" s="570"/>
      <c r="K5424" s="570"/>
    </row>
    <row r="5425" ht="13.75" customHeight="1">
      <c r="A5425" t="s" s="834">
        <v>3746</v>
      </c>
      <c r="B5425" t="s" s="834">
        <v>3747</v>
      </c>
      <c r="C5425" t="s" s="834">
        <v>3348</v>
      </c>
      <c r="D5425" s="570"/>
      <c r="E5425" s="570"/>
      <c r="F5425" s="570"/>
      <c r="G5425" s="570"/>
      <c r="H5425" s="570"/>
      <c r="I5425" s="570"/>
      <c r="J5425" s="570"/>
      <c r="K5425" s="570"/>
    </row>
    <row r="5426" ht="13.75" customHeight="1">
      <c r="A5426" s="833">
        <v>291</v>
      </c>
      <c r="B5426" t="s" s="834">
        <v>3709</v>
      </c>
      <c r="C5426" t="s" s="834">
        <v>1010</v>
      </c>
      <c r="D5426" s="835">
        <v>46050</v>
      </c>
      <c r="E5426" s="836">
        <v>1.36619212962963</v>
      </c>
      <c r="F5426" s="836">
        <v>1.80068287037037</v>
      </c>
      <c r="G5426" s="570"/>
      <c r="H5426" s="570"/>
      <c r="I5426" s="570"/>
      <c r="J5426" s="570"/>
      <c r="K5426" s="570"/>
    </row>
    <row r="5427" ht="13.75" customHeight="1">
      <c r="A5427" t="s" s="834">
        <v>3748</v>
      </c>
      <c r="B5427" t="s" s="834">
        <v>3749</v>
      </c>
      <c r="C5427" t="s" s="834">
        <v>1141</v>
      </c>
      <c r="D5427" s="570"/>
      <c r="E5427" s="570"/>
      <c r="F5427" s="570"/>
      <c r="G5427" s="570"/>
      <c r="H5427" s="570"/>
      <c r="I5427" s="570"/>
      <c r="J5427" s="570"/>
      <c r="K5427" s="570"/>
    </row>
    <row r="5428" ht="13.75" customHeight="1">
      <c r="A5428" s="833">
        <v>291</v>
      </c>
      <c r="B5428" t="s" s="834">
        <v>3709</v>
      </c>
      <c r="C5428" t="s" s="834">
        <v>1010</v>
      </c>
      <c r="D5428" s="835">
        <v>46051</v>
      </c>
      <c r="E5428" s="836">
        <v>1.364166666666667</v>
      </c>
      <c r="F5428" s="836">
        <v>1.815069444444444</v>
      </c>
      <c r="G5428" s="570"/>
      <c r="H5428" s="570"/>
      <c r="I5428" s="570"/>
      <c r="J5428" s="570"/>
      <c r="K5428" s="570"/>
    </row>
    <row r="5429" ht="13.75" customHeight="1">
      <c r="A5429" t="s" s="834">
        <v>3750</v>
      </c>
      <c r="B5429" t="s" s="834">
        <v>3751</v>
      </c>
      <c r="C5429" t="s" s="834">
        <v>2572</v>
      </c>
      <c r="D5429" s="570"/>
      <c r="E5429" s="570"/>
      <c r="F5429" s="570"/>
      <c r="G5429" s="570"/>
      <c r="H5429" s="570"/>
      <c r="I5429" s="570"/>
      <c r="J5429" s="570"/>
      <c r="K5429" s="570"/>
    </row>
    <row r="5430" ht="13.75" customHeight="1">
      <c r="A5430" s="833">
        <v>291</v>
      </c>
      <c r="B5430" t="s" s="834">
        <v>3709</v>
      </c>
      <c r="C5430" t="s" s="834">
        <v>1010</v>
      </c>
      <c r="D5430" s="835">
        <v>46052</v>
      </c>
      <c r="E5430" s="836">
        <v>1.370532407407407</v>
      </c>
      <c r="F5430" s="836">
        <v>1.839224537037037</v>
      </c>
      <c r="G5430" s="570"/>
      <c r="H5430" s="570"/>
      <c r="I5430" s="570"/>
      <c r="J5430" s="570"/>
      <c r="K5430" s="570"/>
    </row>
    <row r="5431" ht="13.75" customHeight="1">
      <c r="A5431" t="s" s="834">
        <v>3752</v>
      </c>
      <c r="B5431" t="s" s="834">
        <v>3753</v>
      </c>
      <c r="C5431" t="s" s="834">
        <v>524</v>
      </c>
      <c r="D5431" s="570"/>
      <c r="E5431" s="570"/>
      <c r="F5431" s="570"/>
      <c r="G5431" s="570"/>
      <c r="H5431" s="570"/>
      <c r="I5431" s="570"/>
      <c r="J5431" s="570"/>
      <c r="K5431" s="570"/>
    </row>
    <row r="5432" ht="13.75" customHeight="1">
      <c r="A5432" s="833">
        <v>291</v>
      </c>
      <c r="B5432" t="s" s="834">
        <v>3709</v>
      </c>
      <c r="C5432" t="s" s="834">
        <v>1010</v>
      </c>
      <c r="D5432" s="835">
        <v>46053</v>
      </c>
      <c r="E5432" t="s" s="834">
        <v>478</v>
      </c>
      <c r="F5432" t="s" s="834">
        <v>478</v>
      </c>
      <c r="G5432" s="570"/>
      <c r="H5432" s="570"/>
      <c r="I5432" s="570"/>
      <c r="J5432" s="570"/>
      <c r="K5432" s="570"/>
    </row>
    <row r="5433" ht="13.75" customHeight="1">
      <c r="A5433" s="833">
        <v>291</v>
      </c>
      <c r="B5433" t="s" s="834">
        <v>3709</v>
      </c>
      <c r="C5433" t="s" s="834">
        <v>1010</v>
      </c>
      <c r="D5433" s="835">
        <v>46054</v>
      </c>
      <c r="E5433" t="s" s="834">
        <v>478</v>
      </c>
      <c r="F5433" t="s" s="834">
        <v>478</v>
      </c>
      <c r="G5433" s="570"/>
      <c r="H5433" s="570"/>
      <c r="I5433" s="570"/>
      <c r="J5433" s="570"/>
      <c r="K5433" s="570"/>
    </row>
    <row r="5434" ht="13.75" customHeight="1">
      <c r="A5434" s="833">
        <v>293</v>
      </c>
      <c r="B5434" t="s" s="834">
        <v>3754</v>
      </c>
      <c r="C5434" t="s" s="834">
        <v>1528</v>
      </c>
      <c r="D5434" s="835">
        <v>46023</v>
      </c>
      <c r="E5434" t="s" s="834">
        <v>478</v>
      </c>
      <c r="F5434" t="s" s="834">
        <v>478</v>
      </c>
      <c r="G5434" s="570"/>
      <c r="H5434" s="570"/>
      <c r="I5434" s="570"/>
      <c r="J5434" s="570"/>
      <c r="K5434" s="570"/>
    </row>
    <row r="5435" ht="13.75" customHeight="1">
      <c r="A5435" s="833">
        <v>293</v>
      </c>
      <c r="B5435" t="s" s="834">
        <v>3754</v>
      </c>
      <c r="C5435" t="s" s="834">
        <v>1528</v>
      </c>
      <c r="D5435" s="835">
        <v>46024</v>
      </c>
      <c r="E5435" t="s" s="834">
        <v>478</v>
      </c>
      <c r="F5435" t="s" s="834">
        <v>478</v>
      </c>
      <c r="G5435" s="570"/>
      <c r="H5435" s="570"/>
      <c r="I5435" s="570"/>
      <c r="J5435" s="570"/>
      <c r="K5435" s="570"/>
    </row>
    <row r="5436" ht="13.75" customHeight="1">
      <c r="A5436" s="833">
        <v>293</v>
      </c>
      <c r="B5436" t="s" s="834">
        <v>3754</v>
      </c>
      <c r="C5436" t="s" s="834">
        <v>1528</v>
      </c>
      <c r="D5436" s="835">
        <v>46025</v>
      </c>
      <c r="E5436" t="s" s="834">
        <v>478</v>
      </c>
      <c r="F5436" t="s" s="834">
        <v>478</v>
      </c>
      <c r="G5436" s="570"/>
      <c r="H5436" s="570"/>
      <c r="I5436" s="570"/>
      <c r="J5436" s="570"/>
      <c r="K5436" s="570"/>
    </row>
    <row r="5437" ht="13.75" customHeight="1">
      <c r="A5437" s="833">
        <v>293</v>
      </c>
      <c r="B5437" t="s" s="834">
        <v>3754</v>
      </c>
      <c r="C5437" t="s" s="834">
        <v>1528</v>
      </c>
      <c r="D5437" s="835">
        <v>46026</v>
      </c>
      <c r="E5437" t="s" s="834">
        <v>478</v>
      </c>
      <c r="F5437" t="s" s="834">
        <v>478</v>
      </c>
      <c r="G5437" s="570"/>
      <c r="H5437" s="570"/>
      <c r="I5437" s="570"/>
      <c r="J5437" s="570"/>
      <c r="K5437" s="570"/>
    </row>
    <row r="5438" ht="13.75" customHeight="1">
      <c r="A5438" s="833">
        <v>293</v>
      </c>
      <c r="B5438" t="s" s="834">
        <v>3754</v>
      </c>
      <c r="C5438" t="s" s="834">
        <v>1528</v>
      </c>
      <c r="D5438" s="835">
        <v>46027</v>
      </c>
      <c r="E5438" s="836">
        <v>1.348518518518518</v>
      </c>
      <c r="F5438" s="836">
        <v>1.755613425925926</v>
      </c>
      <c r="G5438" s="570"/>
      <c r="H5438" s="570"/>
      <c r="I5438" s="570"/>
      <c r="J5438" s="570"/>
      <c r="K5438" s="570"/>
    </row>
    <row r="5439" ht="13.75" customHeight="1">
      <c r="A5439" t="s" s="834">
        <v>3755</v>
      </c>
      <c r="B5439" t="s" s="834">
        <v>3756</v>
      </c>
      <c r="C5439" t="s" s="834">
        <v>1113</v>
      </c>
      <c r="D5439" s="570"/>
      <c r="E5439" s="570"/>
      <c r="F5439" s="570"/>
      <c r="G5439" s="570"/>
      <c r="H5439" s="570"/>
      <c r="I5439" s="570"/>
      <c r="J5439" s="570"/>
      <c r="K5439" s="570"/>
    </row>
    <row r="5440" ht="13.75" customHeight="1">
      <c r="A5440" s="833">
        <v>293</v>
      </c>
      <c r="B5440" t="s" s="834">
        <v>3754</v>
      </c>
      <c r="C5440" t="s" s="834">
        <v>1528</v>
      </c>
      <c r="D5440" s="835">
        <v>46028</v>
      </c>
      <c r="E5440" s="836">
        <v>1.350983796296296</v>
      </c>
      <c r="F5440" s="836">
        <v>1.757962962962963</v>
      </c>
      <c r="G5440" s="570"/>
      <c r="H5440" s="570"/>
      <c r="I5440" s="570"/>
      <c r="J5440" s="570"/>
      <c r="K5440" s="570"/>
    </row>
    <row r="5441" ht="13.75" customHeight="1">
      <c r="A5441" t="s" s="834">
        <v>3757</v>
      </c>
      <c r="B5441" t="s" s="834">
        <v>3758</v>
      </c>
      <c r="C5441" t="s" s="834">
        <v>1113</v>
      </c>
      <c r="D5441" s="570"/>
      <c r="E5441" s="570"/>
      <c r="F5441" s="570"/>
      <c r="G5441" s="570"/>
      <c r="H5441" s="570"/>
      <c r="I5441" s="570"/>
      <c r="J5441" s="570"/>
      <c r="K5441" s="570"/>
    </row>
    <row r="5442" ht="13.75" customHeight="1">
      <c r="A5442" s="833">
        <v>293</v>
      </c>
      <c r="B5442" t="s" s="834">
        <v>3754</v>
      </c>
      <c r="C5442" t="s" s="834">
        <v>1528</v>
      </c>
      <c r="D5442" s="835">
        <v>46029</v>
      </c>
      <c r="E5442" s="836">
        <v>1.352928240740741</v>
      </c>
      <c r="F5442" s="836">
        <v>1.759016203703704</v>
      </c>
      <c r="G5442" s="570"/>
      <c r="H5442" s="570"/>
      <c r="I5442" s="570"/>
      <c r="J5442" s="570"/>
      <c r="K5442" s="570"/>
    </row>
    <row r="5443" ht="13.75" customHeight="1">
      <c r="A5443" t="s" s="834">
        <v>3759</v>
      </c>
      <c r="B5443" t="s" s="834">
        <v>3760</v>
      </c>
      <c r="C5443" t="s" s="834">
        <v>603</v>
      </c>
      <c r="D5443" s="570"/>
      <c r="E5443" s="570"/>
      <c r="F5443" s="570"/>
      <c r="G5443" s="570"/>
      <c r="H5443" s="570"/>
      <c r="I5443" s="570"/>
      <c r="J5443" s="570"/>
      <c r="K5443" s="570"/>
    </row>
    <row r="5444" ht="13.75" customHeight="1">
      <c r="A5444" s="833">
        <v>293</v>
      </c>
      <c r="B5444" t="s" s="834">
        <v>3754</v>
      </c>
      <c r="C5444" t="s" s="834">
        <v>1528</v>
      </c>
      <c r="D5444" s="835">
        <v>46030</v>
      </c>
      <c r="E5444" s="836">
        <v>1.355636574074074</v>
      </c>
      <c r="F5444" s="836">
        <v>1.767280092592593</v>
      </c>
      <c r="G5444" s="570"/>
      <c r="H5444" s="570"/>
      <c r="I5444" s="570"/>
      <c r="J5444" s="570"/>
      <c r="K5444" s="570"/>
    </row>
    <row r="5445" ht="13.75" customHeight="1">
      <c r="A5445" t="s" s="834">
        <v>3761</v>
      </c>
      <c r="B5445" t="s" s="834">
        <v>3762</v>
      </c>
      <c r="C5445" t="s" s="834">
        <v>597</v>
      </c>
      <c r="D5445" s="570"/>
      <c r="E5445" s="570"/>
      <c r="F5445" s="570"/>
      <c r="G5445" s="570"/>
      <c r="H5445" s="570"/>
      <c r="I5445" s="570"/>
      <c r="J5445" s="570"/>
      <c r="K5445" s="570"/>
    </row>
    <row r="5446" ht="13.75" customHeight="1">
      <c r="A5446" s="833">
        <v>293</v>
      </c>
      <c r="B5446" t="s" s="834">
        <v>3754</v>
      </c>
      <c r="C5446" t="s" s="834">
        <v>1528</v>
      </c>
      <c r="D5446" s="835">
        <v>46031</v>
      </c>
      <c r="E5446" t="s" s="834">
        <v>478</v>
      </c>
      <c r="F5446" t="s" s="834">
        <v>478</v>
      </c>
      <c r="G5446" s="570"/>
      <c r="H5446" s="570"/>
      <c r="I5446" s="570"/>
      <c r="J5446" s="570"/>
      <c r="K5446" s="570"/>
    </row>
    <row r="5447" ht="13.75" customHeight="1">
      <c r="A5447" s="833">
        <v>293</v>
      </c>
      <c r="B5447" t="s" s="834">
        <v>3754</v>
      </c>
      <c r="C5447" t="s" s="834">
        <v>1528</v>
      </c>
      <c r="D5447" s="835">
        <v>46032</v>
      </c>
      <c r="E5447" t="s" s="834">
        <v>478</v>
      </c>
      <c r="F5447" t="s" s="834">
        <v>478</v>
      </c>
      <c r="G5447" s="570"/>
      <c r="H5447" s="570"/>
      <c r="I5447" s="570"/>
      <c r="J5447" s="570"/>
      <c r="K5447" s="570"/>
    </row>
    <row r="5448" ht="13.75" customHeight="1">
      <c r="A5448" s="833">
        <v>293</v>
      </c>
      <c r="B5448" t="s" s="834">
        <v>3754</v>
      </c>
      <c r="C5448" t="s" s="834">
        <v>1528</v>
      </c>
      <c r="D5448" s="835">
        <v>46033</v>
      </c>
      <c r="E5448" t="s" s="834">
        <v>478</v>
      </c>
      <c r="F5448" t="s" s="834">
        <v>478</v>
      </c>
      <c r="G5448" s="570"/>
      <c r="H5448" s="570"/>
      <c r="I5448" s="570"/>
      <c r="J5448" s="570"/>
      <c r="K5448" s="570"/>
    </row>
    <row r="5449" ht="13.75" customHeight="1">
      <c r="A5449" s="833">
        <v>293</v>
      </c>
      <c r="B5449" t="s" s="834">
        <v>3754</v>
      </c>
      <c r="C5449" t="s" s="834">
        <v>1528</v>
      </c>
      <c r="D5449" s="835">
        <v>46034</v>
      </c>
      <c r="E5449" t="s" s="834">
        <v>478</v>
      </c>
      <c r="F5449" t="s" s="834">
        <v>478</v>
      </c>
      <c r="G5449" s="570"/>
      <c r="H5449" s="570"/>
      <c r="I5449" s="570"/>
      <c r="J5449" s="570"/>
      <c r="K5449" s="570"/>
    </row>
    <row r="5450" ht="13.75" customHeight="1">
      <c r="A5450" s="833">
        <v>293</v>
      </c>
      <c r="B5450" t="s" s="834">
        <v>3754</v>
      </c>
      <c r="C5450" t="s" s="834">
        <v>1528</v>
      </c>
      <c r="D5450" s="835">
        <v>46035</v>
      </c>
      <c r="E5450" s="836">
        <v>1.352615740740741</v>
      </c>
      <c r="F5450" s="836">
        <v>1.766886574074074</v>
      </c>
      <c r="G5450" s="570"/>
      <c r="H5450" s="570"/>
      <c r="I5450" s="570"/>
      <c r="J5450" s="570"/>
      <c r="K5450" s="570"/>
    </row>
    <row r="5451" ht="13.75" customHeight="1">
      <c r="A5451" t="s" s="834">
        <v>3763</v>
      </c>
      <c r="B5451" t="s" s="834">
        <v>3764</v>
      </c>
      <c r="C5451" t="s" s="834">
        <v>1259</v>
      </c>
      <c r="D5451" s="570"/>
      <c r="E5451" s="570"/>
      <c r="F5451" s="570"/>
      <c r="G5451" s="570"/>
      <c r="H5451" s="570"/>
      <c r="I5451" s="570"/>
      <c r="J5451" s="570"/>
      <c r="K5451" s="570"/>
    </row>
    <row r="5452" ht="13.75" customHeight="1">
      <c r="A5452" s="833">
        <v>293</v>
      </c>
      <c r="B5452" t="s" s="834">
        <v>3754</v>
      </c>
      <c r="C5452" t="s" s="834">
        <v>1528</v>
      </c>
      <c r="D5452" s="835">
        <v>46036</v>
      </c>
      <c r="E5452" s="836">
        <v>1.352511574074074</v>
      </c>
      <c r="F5452" s="836">
        <v>1.765196759259259</v>
      </c>
      <c r="G5452" s="570"/>
      <c r="H5452" s="570"/>
      <c r="I5452" s="570"/>
      <c r="J5452" s="570"/>
      <c r="K5452" s="570"/>
    </row>
    <row r="5453" ht="13.75" customHeight="1">
      <c r="A5453" t="s" s="834">
        <v>3765</v>
      </c>
      <c r="B5453" t="s" s="834">
        <v>3766</v>
      </c>
      <c r="C5453" t="s" s="834">
        <v>1059</v>
      </c>
      <c r="D5453" s="570"/>
      <c r="E5453" s="570"/>
      <c r="F5453" s="570"/>
      <c r="G5453" s="570"/>
      <c r="H5453" s="570"/>
      <c r="I5453" s="570"/>
      <c r="J5453" s="570"/>
      <c r="K5453" s="570"/>
    </row>
    <row r="5454" ht="13.75" customHeight="1">
      <c r="A5454" s="833">
        <v>293</v>
      </c>
      <c r="B5454" t="s" s="834">
        <v>3754</v>
      </c>
      <c r="C5454" t="s" s="834">
        <v>1528</v>
      </c>
      <c r="D5454" s="835">
        <v>46037</v>
      </c>
      <c r="E5454" s="836">
        <v>1.565324074074074</v>
      </c>
      <c r="F5454" s="836">
        <v>1.759548611111111</v>
      </c>
      <c r="G5454" s="570"/>
      <c r="H5454" s="570"/>
      <c r="I5454" s="570"/>
      <c r="J5454" s="570"/>
      <c r="K5454" s="570"/>
    </row>
    <row r="5455" ht="13.75" customHeight="1">
      <c r="A5455" t="s" s="834">
        <v>3767</v>
      </c>
      <c r="B5455" t="s" s="834">
        <v>3768</v>
      </c>
      <c r="C5455" t="s" s="834">
        <v>3769</v>
      </c>
      <c r="D5455" s="570"/>
      <c r="E5455" s="570"/>
      <c r="F5455" s="570"/>
      <c r="G5455" s="570"/>
      <c r="H5455" s="570"/>
      <c r="I5455" s="570"/>
      <c r="J5455" s="570"/>
      <c r="K5455" s="570"/>
    </row>
    <row r="5456" ht="13.75" customHeight="1">
      <c r="A5456" s="833">
        <v>293</v>
      </c>
      <c r="B5456" t="s" s="834">
        <v>3754</v>
      </c>
      <c r="C5456" t="s" s="834">
        <v>1528</v>
      </c>
      <c r="D5456" s="835">
        <v>46038</v>
      </c>
      <c r="E5456" t="s" s="834">
        <v>478</v>
      </c>
      <c r="F5456" t="s" s="834">
        <v>478</v>
      </c>
      <c r="G5456" s="570"/>
      <c r="H5456" s="570"/>
      <c r="I5456" s="570"/>
      <c r="J5456" s="570"/>
      <c r="K5456" s="570"/>
    </row>
    <row r="5457" ht="13.75" customHeight="1">
      <c r="A5457" s="833">
        <v>293</v>
      </c>
      <c r="B5457" t="s" s="834">
        <v>3754</v>
      </c>
      <c r="C5457" t="s" s="834">
        <v>1528</v>
      </c>
      <c r="D5457" s="835">
        <v>46039</v>
      </c>
      <c r="E5457" t="s" s="834">
        <v>478</v>
      </c>
      <c r="F5457" t="s" s="834">
        <v>478</v>
      </c>
      <c r="G5457" s="570"/>
      <c r="H5457" s="570"/>
      <c r="I5457" s="570"/>
      <c r="J5457" s="570"/>
      <c r="K5457" s="570"/>
    </row>
    <row r="5458" ht="13.75" customHeight="1">
      <c r="A5458" s="833">
        <v>293</v>
      </c>
      <c r="B5458" t="s" s="834">
        <v>3754</v>
      </c>
      <c r="C5458" t="s" s="834">
        <v>1528</v>
      </c>
      <c r="D5458" s="835">
        <v>46040</v>
      </c>
      <c r="E5458" t="s" s="834">
        <v>478</v>
      </c>
      <c r="F5458" t="s" s="834">
        <v>478</v>
      </c>
      <c r="G5458" s="570"/>
      <c r="H5458" s="570"/>
      <c r="I5458" s="570"/>
      <c r="J5458" s="570"/>
      <c r="K5458" s="570"/>
    </row>
    <row r="5459" ht="13.75" customHeight="1">
      <c r="A5459" s="833">
        <v>293</v>
      </c>
      <c r="B5459" t="s" s="834">
        <v>3754</v>
      </c>
      <c r="C5459" t="s" s="834">
        <v>1528</v>
      </c>
      <c r="D5459" s="835">
        <v>46041</v>
      </c>
      <c r="E5459" s="836">
        <v>1.350925925925926</v>
      </c>
      <c r="F5459" s="836">
        <v>1.503032407407408</v>
      </c>
      <c r="G5459" s="570"/>
      <c r="H5459" s="570"/>
      <c r="I5459" s="570"/>
      <c r="J5459" s="570"/>
      <c r="K5459" s="570"/>
    </row>
    <row r="5460" ht="13.75" customHeight="1">
      <c r="A5460" t="s" s="834">
        <v>3770</v>
      </c>
      <c r="B5460" t="s" s="834">
        <v>3771</v>
      </c>
      <c r="C5460" t="s" s="834">
        <v>3772</v>
      </c>
      <c r="D5460" s="570"/>
      <c r="E5460" s="570"/>
      <c r="F5460" s="570"/>
      <c r="G5460" s="570"/>
      <c r="H5460" s="570"/>
      <c r="I5460" s="570"/>
      <c r="J5460" s="570"/>
      <c r="K5460" s="570"/>
    </row>
    <row r="5461" ht="13.75" customHeight="1">
      <c r="A5461" s="833">
        <v>293</v>
      </c>
      <c r="B5461" t="s" s="834">
        <v>3754</v>
      </c>
      <c r="C5461" t="s" s="834">
        <v>1528</v>
      </c>
      <c r="D5461" s="835">
        <v>46042</v>
      </c>
      <c r="E5461" s="836">
        <v>1.373564814814815</v>
      </c>
      <c r="F5461" s="836">
        <v>1.773287037037037</v>
      </c>
      <c r="G5461" s="570"/>
      <c r="H5461" s="570"/>
      <c r="I5461" s="570"/>
      <c r="J5461" s="570"/>
      <c r="K5461" s="570"/>
    </row>
    <row r="5462" ht="13.75" customHeight="1">
      <c r="A5462" t="s" s="834">
        <v>3773</v>
      </c>
      <c r="B5462" t="s" s="834">
        <v>3774</v>
      </c>
      <c r="C5462" t="s" s="834">
        <v>759</v>
      </c>
      <c r="D5462" s="570"/>
      <c r="E5462" s="570"/>
      <c r="F5462" s="570"/>
      <c r="G5462" s="570"/>
      <c r="H5462" s="570"/>
      <c r="I5462" s="570"/>
      <c r="J5462" s="570"/>
      <c r="K5462" s="570"/>
    </row>
    <row r="5463" ht="13.75" customHeight="1">
      <c r="A5463" s="833">
        <v>293</v>
      </c>
      <c r="B5463" t="s" s="834">
        <v>3754</v>
      </c>
      <c r="C5463" t="s" s="834">
        <v>1528</v>
      </c>
      <c r="D5463" s="835">
        <v>46043</v>
      </c>
      <c r="E5463" s="836">
        <v>1.353090277777778</v>
      </c>
      <c r="F5463" s="836">
        <v>1.757430555555556</v>
      </c>
      <c r="G5463" s="570"/>
      <c r="H5463" s="570"/>
      <c r="I5463" s="570"/>
      <c r="J5463" s="570"/>
      <c r="K5463" s="570"/>
    </row>
    <row r="5464" ht="13.75" customHeight="1">
      <c r="A5464" t="s" s="834">
        <v>3775</v>
      </c>
      <c r="B5464" t="s" s="834">
        <v>3776</v>
      </c>
      <c r="C5464" t="s" s="834">
        <v>493</v>
      </c>
      <c r="D5464" s="570"/>
      <c r="E5464" s="570"/>
      <c r="F5464" s="570"/>
      <c r="G5464" s="570"/>
      <c r="H5464" s="570"/>
      <c r="I5464" s="570"/>
      <c r="J5464" s="570"/>
      <c r="K5464" s="570"/>
    </row>
    <row r="5465" ht="13.75" customHeight="1">
      <c r="A5465" s="833">
        <v>293</v>
      </c>
      <c r="B5465" t="s" s="834">
        <v>3754</v>
      </c>
      <c r="C5465" t="s" s="834">
        <v>1528</v>
      </c>
      <c r="D5465" s="835">
        <v>46044</v>
      </c>
      <c r="E5465" s="836">
        <v>1.353506944444445</v>
      </c>
      <c r="F5465" s="836">
        <v>1.760416666666667</v>
      </c>
      <c r="G5465" s="570"/>
      <c r="H5465" s="570"/>
      <c r="I5465" s="570"/>
      <c r="J5465" s="570"/>
      <c r="K5465" s="570"/>
    </row>
    <row r="5466" ht="13.75" customHeight="1">
      <c r="A5466" t="s" s="834">
        <v>3777</v>
      </c>
      <c r="B5466" t="s" s="834">
        <v>3778</v>
      </c>
      <c r="C5466" t="s" s="834">
        <v>1113</v>
      </c>
      <c r="D5466" s="570"/>
      <c r="E5466" s="570"/>
      <c r="F5466" s="570"/>
      <c r="G5466" s="570"/>
      <c r="H5466" s="570"/>
      <c r="I5466" s="570"/>
      <c r="J5466" s="570"/>
      <c r="K5466" s="570"/>
    </row>
    <row r="5467" ht="13.75" customHeight="1">
      <c r="A5467" s="833">
        <v>293</v>
      </c>
      <c r="B5467" t="s" s="834">
        <v>3754</v>
      </c>
      <c r="C5467" t="s" s="834">
        <v>1528</v>
      </c>
      <c r="D5467" s="835">
        <v>46045</v>
      </c>
      <c r="E5467" t="s" s="834">
        <v>478</v>
      </c>
      <c r="F5467" t="s" s="834">
        <v>478</v>
      </c>
      <c r="G5467" s="570"/>
      <c r="H5467" s="570"/>
      <c r="I5467" s="570"/>
      <c r="J5467" s="570"/>
      <c r="K5467" s="570"/>
    </row>
    <row r="5468" ht="13.75" customHeight="1">
      <c r="A5468" s="833">
        <v>293</v>
      </c>
      <c r="B5468" t="s" s="834">
        <v>3754</v>
      </c>
      <c r="C5468" t="s" s="834">
        <v>1528</v>
      </c>
      <c r="D5468" s="835">
        <v>46046</v>
      </c>
      <c r="E5468" t="s" s="834">
        <v>478</v>
      </c>
      <c r="F5468" t="s" s="834">
        <v>478</v>
      </c>
      <c r="G5468" s="570"/>
      <c r="H5468" s="570"/>
      <c r="I5468" s="570"/>
      <c r="J5468" s="570"/>
      <c r="K5468" s="570"/>
    </row>
    <row r="5469" ht="13.75" customHeight="1">
      <c r="A5469" s="833">
        <v>293</v>
      </c>
      <c r="B5469" t="s" s="834">
        <v>3754</v>
      </c>
      <c r="C5469" t="s" s="834">
        <v>1528</v>
      </c>
      <c r="D5469" s="835">
        <v>46047</v>
      </c>
      <c r="E5469" t="s" s="834">
        <v>478</v>
      </c>
      <c r="F5469" t="s" s="834">
        <v>478</v>
      </c>
      <c r="G5469" s="570"/>
      <c r="H5469" s="570"/>
      <c r="I5469" s="570"/>
      <c r="J5469" s="570"/>
      <c r="K5469" s="570"/>
    </row>
    <row r="5470" ht="13.75" customHeight="1">
      <c r="A5470" s="833">
        <v>293</v>
      </c>
      <c r="B5470" t="s" s="834">
        <v>3754</v>
      </c>
      <c r="C5470" t="s" s="834">
        <v>1528</v>
      </c>
      <c r="D5470" s="835">
        <v>46048</v>
      </c>
      <c r="E5470" s="836">
        <v>1.561157407407407</v>
      </c>
      <c r="F5470" s="836">
        <v>1.767662037037037</v>
      </c>
      <c r="G5470" s="570"/>
      <c r="H5470" s="570"/>
      <c r="I5470" s="570"/>
      <c r="J5470" s="570"/>
      <c r="K5470" s="570"/>
    </row>
    <row r="5471" ht="13.75" customHeight="1">
      <c r="A5471" t="s" s="834">
        <v>3779</v>
      </c>
      <c r="B5471" t="s" s="834">
        <v>3780</v>
      </c>
      <c r="C5471" t="s" s="834">
        <v>3781</v>
      </c>
      <c r="D5471" s="570"/>
      <c r="E5471" s="570"/>
      <c r="F5471" s="570"/>
      <c r="G5471" s="570"/>
      <c r="H5471" s="570"/>
      <c r="I5471" s="570"/>
      <c r="J5471" s="570"/>
      <c r="K5471" s="570"/>
    </row>
    <row r="5472" ht="13.75" customHeight="1">
      <c r="A5472" s="833">
        <v>293</v>
      </c>
      <c r="B5472" t="s" s="834">
        <v>3754</v>
      </c>
      <c r="C5472" t="s" s="834">
        <v>1528</v>
      </c>
      <c r="D5472" s="835">
        <v>46049</v>
      </c>
      <c r="E5472" s="836">
        <v>1.34474537037037</v>
      </c>
      <c r="F5472" s="836">
        <v>1.773865740740741</v>
      </c>
      <c r="G5472" s="570"/>
      <c r="H5472" s="570"/>
      <c r="I5472" s="570"/>
      <c r="J5472" s="570"/>
      <c r="K5472" s="570"/>
    </row>
    <row r="5473" ht="13.75" customHeight="1">
      <c r="A5473" t="s" s="834">
        <v>3782</v>
      </c>
      <c r="B5473" t="s" s="834">
        <v>3783</v>
      </c>
      <c r="C5473" t="s" s="834">
        <v>626</v>
      </c>
      <c r="D5473" s="570"/>
      <c r="E5473" s="570"/>
      <c r="F5473" s="570"/>
      <c r="G5473" s="570"/>
      <c r="H5473" s="570"/>
      <c r="I5473" s="570"/>
      <c r="J5473" s="570"/>
      <c r="K5473" s="570"/>
    </row>
    <row r="5474" ht="13.75" customHeight="1">
      <c r="A5474" s="833">
        <v>293</v>
      </c>
      <c r="B5474" t="s" s="834">
        <v>3754</v>
      </c>
      <c r="C5474" t="s" s="834">
        <v>1528</v>
      </c>
      <c r="D5474" s="835">
        <v>46050</v>
      </c>
      <c r="E5474" s="836">
        <v>1.35087962962963</v>
      </c>
      <c r="F5474" s="836">
        <v>1.759664351851852</v>
      </c>
      <c r="G5474" s="570"/>
      <c r="H5474" s="570"/>
      <c r="I5474" s="570"/>
      <c r="J5474" s="570"/>
      <c r="K5474" s="570"/>
    </row>
    <row r="5475" ht="13.75" customHeight="1">
      <c r="A5475" t="s" s="834">
        <v>3784</v>
      </c>
      <c r="B5475" t="s" s="834">
        <v>3785</v>
      </c>
      <c r="C5475" t="s" s="834">
        <v>600</v>
      </c>
      <c r="D5475" s="570"/>
      <c r="E5475" s="570"/>
      <c r="F5475" s="570"/>
      <c r="G5475" s="570"/>
      <c r="H5475" s="570"/>
      <c r="I5475" s="570"/>
      <c r="J5475" s="570"/>
      <c r="K5475" s="570"/>
    </row>
    <row r="5476" ht="13.75" customHeight="1">
      <c r="A5476" s="833">
        <v>293</v>
      </c>
      <c r="B5476" t="s" s="834">
        <v>3754</v>
      </c>
      <c r="C5476" t="s" s="834">
        <v>1528</v>
      </c>
      <c r="D5476" s="835">
        <v>46051</v>
      </c>
      <c r="E5476" s="836">
        <v>1.355648148148148</v>
      </c>
      <c r="F5476" s="836">
        <v>1.758611111111111</v>
      </c>
      <c r="G5476" s="570"/>
      <c r="H5476" s="570"/>
      <c r="I5476" s="570"/>
      <c r="J5476" s="570"/>
      <c r="K5476" s="570"/>
    </row>
    <row r="5477" ht="13.75" customHeight="1">
      <c r="A5477" t="s" s="834">
        <v>3786</v>
      </c>
      <c r="B5477" t="s" s="834">
        <v>3787</v>
      </c>
      <c r="C5477" t="s" s="834">
        <v>861</v>
      </c>
      <c r="D5477" s="570"/>
      <c r="E5477" s="570"/>
      <c r="F5477" s="570"/>
      <c r="G5477" s="570"/>
      <c r="H5477" s="570"/>
      <c r="I5477" s="570"/>
      <c r="J5477" s="570"/>
      <c r="K5477" s="570"/>
    </row>
    <row r="5478" ht="13.75" customHeight="1">
      <c r="A5478" s="833">
        <v>293</v>
      </c>
      <c r="B5478" t="s" s="834">
        <v>3754</v>
      </c>
      <c r="C5478" t="s" s="834">
        <v>1528</v>
      </c>
      <c r="D5478" s="835">
        <v>46052</v>
      </c>
      <c r="E5478" t="s" s="834">
        <v>478</v>
      </c>
      <c r="F5478" t="s" s="834">
        <v>478</v>
      </c>
      <c r="G5478" s="570"/>
      <c r="H5478" s="570"/>
      <c r="I5478" s="570"/>
      <c r="J5478" s="570"/>
      <c r="K5478" s="570"/>
    </row>
    <row r="5479" ht="13.75" customHeight="1">
      <c r="A5479" s="833">
        <v>293</v>
      </c>
      <c r="B5479" t="s" s="834">
        <v>3754</v>
      </c>
      <c r="C5479" t="s" s="834">
        <v>1528</v>
      </c>
      <c r="D5479" s="835">
        <v>46053</v>
      </c>
      <c r="E5479" t="s" s="834">
        <v>478</v>
      </c>
      <c r="F5479" t="s" s="834">
        <v>478</v>
      </c>
      <c r="G5479" s="570"/>
      <c r="H5479" s="570"/>
      <c r="I5479" s="570"/>
      <c r="J5479" s="570"/>
      <c r="K5479" s="570"/>
    </row>
    <row r="5480" ht="13.75" customHeight="1">
      <c r="A5480" s="833">
        <v>293</v>
      </c>
      <c r="B5480" t="s" s="834">
        <v>3754</v>
      </c>
      <c r="C5480" t="s" s="834">
        <v>1528</v>
      </c>
      <c r="D5480" s="835">
        <v>46054</v>
      </c>
      <c r="E5480" t="s" s="834">
        <v>478</v>
      </c>
      <c r="F5480" t="s" s="834">
        <v>478</v>
      </c>
      <c r="G5480" s="570"/>
      <c r="H5480" s="570"/>
      <c r="I5480" s="570"/>
      <c r="J5480" s="570"/>
      <c r="K5480" s="570"/>
    </row>
    <row r="5481" ht="13.75" customHeight="1">
      <c r="A5481" s="833">
        <v>294</v>
      </c>
      <c r="B5481" t="s" s="834">
        <v>3788</v>
      </c>
      <c r="C5481" t="s" s="834">
        <v>1752</v>
      </c>
      <c r="D5481" s="835">
        <v>46023</v>
      </c>
      <c r="E5481" t="s" s="834">
        <v>478</v>
      </c>
      <c r="F5481" t="s" s="834">
        <v>478</v>
      </c>
      <c r="G5481" s="570"/>
      <c r="H5481" s="570"/>
      <c r="I5481" s="570"/>
      <c r="J5481" s="570"/>
      <c r="K5481" s="570"/>
    </row>
    <row r="5482" ht="13.75" customHeight="1">
      <c r="A5482" s="833">
        <v>294</v>
      </c>
      <c r="B5482" t="s" s="834">
        <v>3788</v>
      </c>
      <c r="C5482" t="s" s="834">
        <v>1752</v>
      </c>
      <c r="D5482" s="835">
        <v>46024</v>
      </c>
      <c r="E5482" t="s" s="834">
        <v>478</v>
      </c>
      <c r="F5482" t="s" s="834">
        <v>478</v>
      </c>
      <c r="G5482" s="570"/>
      <c r="H5482" s="570"/>
      <c r="I5482" s="570"/>
      <c r="J5482" s="570"/>
      <c r="K5482" s="570"/>
    </row>
    <row r="5483" ht="13.75" customHeight="1">
      <c r="A5483" s="833">
        <v>294</v>
      </c>
      <c r="B5483" t="s" s="834">
        <v>3788</v>
      </c>
      <c r="C5483" t="s" s="834">
        <v>1752</v>
      </c>
      <c r="D5483" s="835">
        <v>46025</v>
      </c>
      <c r="E5483" t="s" s="834">
        <v>478</v>
      </c>
      <c r="F5483" t="s" s="834">
        <v>478</v>
      </c>
      <c r="G5483" s="570"/>
      <c r="H5483" s="570"/>
      <c r="I5483" s="570"/>
      <c r="J5483" s="570"/>
      <c r="K5483" s="570"/>
    </row>
    <row r="5484" ht="13.75" customHeight="1">
      <c r="A5484" s="833">
        <v>294</v>
      </c>
      <c r="B5484" t="s" s="834">
        <v>3788</v>
      </c>
      <c r="C5484" t="s" s="834">
        <v>1752</v>
      </c>
      <c r="D5484" s="835">
        <v>46026</v>
      </c>
      <c r="E5484" t="s" s="834">
        <v>478</v>
      </c>
      <c r="F5484" t="s" s="834">
        <v>478</v>
      </c>
      <c r="G5484" s="570"/>
      <c r="H5484" s="570"/>
      <c r="I5484" s="570"/>
      <c r="J5484" s="570"/>
      <c r="K5484" s="570"/>
    </row>
    <row r="5485" ht="13.75" customHeight="1">
      <c r="A5485" s="833">
        <v>294</v>
      </c>
      <c r="B5485" t="s" s="834">
        <v>3788</v>
      </c>
      <c r="C5485" t="s" s="834">
        <v>1752</v>
      </c>
      <c r="D5485" s="835">
        <v>46027</v>
      </c>
      <c r="E5485" s="836">
        <v>1.372152777777778</v>
      </c>
      <c r="F5485" s="836">
        <v>1.751446759259259</v>
      </c>
      <c r="G5485" s="570"/>
      <c r="H5485" s="570"/>
      <c r="I5485" s="570"/>
      <c r="J5485" s="570"/>
      <c r="K5485" s="570"/>
    </row>
    <row r="5486" ht="13.75" customHeight="1">
      <c r="A5486" t="s" s="834">
        <v>3789</v>
      </c>
      <c r="B5486" t="s" s="834">
        <v>3790</v>
      </c>
      <c r="C5486" t="s" s="834">
        <v>549</v>
      </c>
      <c r="D5486" s="570"/>
      <c r="E5486" s="570"/>
      <c r="F5486" s="570"/>
      <c r="G5486" s="570"/>
      <c r="H5486" s="570"/>
      <c r="I5486" s="570"/>
      <c r="J5486" s="570"/>
      <c r="K5486" s="570"/>
    </row>
    <row r="5487" ht="13.75" customHeight="1">
      <c r="A5487" s="833">
        <v>294</v>
      </c>
      <c r="B5487" t="s" s="834">
        <v>3788</v>
      </c>
      <c r="C5487" t="s" s="834">
        <v>1752</v>
      </c>
      <c r="D5487" s="835">
        <v>46028</v>
      </c>
      <c r="E5487" s="836">
        <v>1.3859375</v>
      </c>
      <c r="F5487" s="836">
        <v>1.758969907407407</v>
      </c>
      <c r="G5487" s="570"/>
      <c r="H5487" s="570"/>
      <c r="I5487" s="570"/>
      <c r="J5487" s="570"/>
      <c r="K5487" s="570"/>
    </row>
    <row r="5488" ht="13.75" customHeight="1">
      <c r="A5488" t="s" s="834">
        <v>3791</v>
      </c>
      <c r="B5488" t="s" s="834">
        <v>3792</v>
      </c>
      <c r="C5488" t="s" s="834">
        <v>2862</v>
      </c>
      <c r="D5488" s="570"/>
      <c r="E5488" s="570"/>
      <c r="F5488" s="570"/>
      <c r="G5488" s="570"/>
      <c r="H5488" s="570"/>
      <c r="I5488" s="570"/>
      <c r="J5488" s="570"/>
      <c r="K5488" s="570"/>
    </row>
    <row r="5489" ht="13.75" customHeight="1">
      <c r="A5489" s="833">
        <v>294</v>
      </c>
      <c r="B5489" t="s" s="834">
        <v>3788</v>
      </c>
      <c r="C5489" t="s" s="834">
        <v>1752</v>
      </c>
      <c r="D5489" s="835">
        <v>46029</v>
      </c>
      <c r="E5489" s="836">
        <v>1.390578703703704</v>
      </c>
      <c r="F5489" s="836">
        <v>1.757847222222222</v>
      </c>
      <c r="G5489" s="570"/>
      <c r="H5489" s="570"/>
      <c r="I5489" s="570"/>
      <c r="J5489" s="570"/>
      <c r="K5489" s="570"/>
    </row>
    <row r="5490" ht="13.75" customHeight="1">
      <c r="A5490" t="s" s="834">
        <v>3793</v>
      </c>
      <c r="B5490" t="s" s="834">
        <v>3794</v>
      </c>
      <c r="C5490" t="s" s="834">
        <v>1264</v>
      </c>
      <c r="D5490" s="570"/>
      <c r="E5490" s="570"/>
      <c r="F5490" s="570"/>
      <c r="G5490" s="570"/>
      <c r="H5490" s="570"/>
      <c r="I5490" s="570"/>
      <c r="J5490" s="570"/>
      <c r="K5490" s="570"/>
    </row>
    <row r="5491" ht="13.75" customHeight="1">
      <c r="A5491" s="833">
        <v>294</v>
      </c>
      <c r="B5491" t="s" s="834">
        <v>3788</v>
      </c>
      <c r="C5491" t="s" s="834">
        <v>1752</v>
      </c>
      <c r="D5491" s="835">
        <v>46030</v>
      </c>
      <c r="E5491" t="s" s="834">
        <v>478</v>
      </c>
      <c r="F5491" t="s" s="834">
        <v>478</v>
      </c>
      <c r="G5491" s="570"/>
      <c r="H5491" s="570"/>
      <c r="I5491" s="570"/>
      <c r="J5491" s="570"/>
      <c r="K5491" s="570"/>
    </row>
    <row r="5492" ht="13.75" customHeight="1">
      <c r="A5492" s="833">
        <v>294</v>
      </c>
      <c r="B5492" t="s" s="834">
        <v>3788</v>
      </c>
      <c r="C5492" t="s" s="834">
        <v>1752</v>
      </c>
      <c r="D5492" s="835">
        <v>46031</v>
      </c>
      <c r="E5492" s="836">
        <v>1.375821759259259</v>
      </c>
      <c r="F5492" s="836">
        <v>1.752384259259259</v>
      </c>
      <c r="G5492" s="570"/>
      <c r="H5492" s="570"/>
      <c r="I5492" s="570"/>
      <c r="J5492" s="570"/>
      <c r="K5492" s="570"/>
    </row>
    <row r="5493" ht="13.75" customHeight="1">
      <c r="A5493" t="s" s="834">
        <v>3795</v>
      </c>
      <c r="B5493" t="s" s="834">
        <v>3796</v>
      </c>
      <c r="C5493" t="s" s="834">
        <v>534</v>
      </c>
      <c r="D5493" s="570"/>
      <c r="E5493" s="570"/>
      <c r="F5493" s="570"/>
      <c r="G5493" s="570"/>
      <c r="H5493" s="570"/>
      <c r="I5493" s="570"/>
      <c r="J5493" s="570"/>
      <c r="K5493" s="570"/>
    </row>
    <row r="5494" ht="13.75" customHeight="1">
      <c r="A5494" s="833">
        <v>294</v>
      </c>
      <c r="B5494" t="s" s="834">
        <v>3788</v>
      </c>
      <c r="C5494" t="s" s="834">
        <v>1752</v>
      </c>
      <c r="D5494" s="835">
        <v>46032</v>
      </c>
      <c r="E5494" t="s" s="834">
        <v>478</v>
      </c>
      <c r="F5494" t="s" s="834">
        <v>478</v>
      </c>
      <c r="G5494" s="570"/>
      <c r="H5494" s="570"/>
      <c r="I5494" s="570"/>
      <c r="J5494" s="570"/>
      <c r="K5494" s="570"/>
    </row>
    <row r="5495" ht="13.75" customHeight="1">
      <c r="A5495" s="833">
        <v>294</v>
      </c>
      <c r="B5495" t="s" s="834">
        <v>3788</v>
      </c>
      <c r="C5495" t="s" s="834">
        <v>1752</v>
      </c>
      <c r="D5495" s="835">
        <v>46033</v>
      </c>
      <c r="E5495" t="s" s="834">
        <v>478</v>
      </c>
      <c r="F5495" t="s" s="834">
        <v>478</v>
      </c>
      <c r="G5495" s="570"/>
      <c r="H5495" s="570"/>
      <c r="I5495" s="570"/>
      <c r="J5495" s="570"/>
      <c r="K5495" s="570"/>
    </row>
    <row r="5496" ht="13.75" customHeight="1">
      <c r="A5496" s="833">
        <v>294</v>
      </c>
      <c r="B5496" t="s" s="834">
        <v>3788</v>
      </c>
      <c r="C5496" t="s" s="834">
        <v>1752</v>
      </c>
      <c r="D5496" s="835">
        <v>46034</v>
      </c>
      <c r="E5496" s="836">
        <v>1.373125</v>
      </c>
      <c r="F5496" s="836">
        <v>1.816377314814815</v>
      </c>
      <c r="G5496" s="570"/>
      <c r="H5496" s="570"/>
      <c r="I5496" s="570"/>
      <c r="J5496" s="570"/>
      <c r="K5496" s="570"/>
    </row>
    <row r="5497" ht="13.75" customHeight="1">
      <c r="A5497" t="s" s="834">
        <v>3797</v>
      </c>
      <c r="B5497" t="s" s="834">
        <v>3798</v>
      </c>
      <c r="C5497" t="s" s="834">
        <v>2067</v>
      </c>
      <c r="D5497" s="570"/>
      <c r="E5497" s="570"/>
      <c r="F5497" s="570"/>
      <c r="G5497" s="570"/>
      <c r="H5497" s="570"/>
      <c r="I5497" s="570"/>
      <c r="J5497" s="570"/>
      <c r="K5497" s="570"/>
    </row>
    <row r="5498" ht="13.75" customHeight="1">
      <c r="A5498" s="833">
        <v>294</v>
      </c>
      <c r="B5498" t="s" s="834">
        <v>3788</v>
      </c>
      <c r="C5498" t="s" s="834">
        <v>1752</v>
      </c>
      <c r="D5498" s="835">
        <v>46035</v>
      </c>
      <c r="E5498" t="s" s="834">
        <v>478</v>
      </c>
      <c r="F5498" t="s" s="834">
        <v>478</v>
      </c>
      <c r="G5498" s="570"/>
      <c r="H5498" s="570"/>
      <c r="I5498" s="570"/>
      <c r="J5498" s="570"/>
      <c r="K5498" s="570"/>
    </row>
    <row r="5499" ht="13.75" customHeight="1">
      <c r="A5499" s="833">
        <v>294</v>
      </c>
      <c r="B5499" t="s" s="834">
        <v>3788</v>
      </c>
      <c r="C5499" t="s" s="834">
        <v>1752</v>
      </c>
      <c r="D5499" s="835">
        <v>46036</v>
      </c>
      <c r="E5499" s="836">
        <v>1.379386574074074</v>
      </c>
      <c r="F5499" s="836">
        <v>1.753113425925926</v>
      </c>
      <c r="G5499" s="570"/>
      <c r="H5499" s="570"/>
      <c r="I5499" s="570"/>
      <c r="J5499" s="570"/>
      <c r="K5499" s="570"/>
    </row>
    <row r="5500" ht="13.75" customHeight="1">
      <c r="A5500" t="s" s="834">
        <v>3799</v>
      </c>
      <c r="B5500" t="s" s="834">
        <v>3800</v>
      </c>
      <c r="C5500" t="s" s="834">
        <v>552</v>
      </c>
      <c r="D5500" s="570"/>
      <c r="E5500" s="570"/>
      <c r="F5500" s="570"/>
      <c r="G5500" s="570"/>
      <c r="H5500" s="570"/>
      <c r="I5500" s="570"/>
      <c r="J5500" s="570"/>
      <c r="K5500" s="570"/>
    </row>
    <row r="5501" ht="13.75" customHeight="1">
      <c r="A5501" s="833">
        <v>294</v>
      </c>
      <c r="B5501" t="s" s="834">
        <v>3788</v>
      </c>
      <c r="C5501" t="s" s="834">
        <v>1752</v>
      </c>
      <c r="D5501" s="835">
        <v>46037</v>
      </c>
      <c r="E5501" s="836">
        <v>1.663993055555556</v>
      </c>
      <c r="F5501" t="s" s="834">
        <v>478</v>
      </c>
      <c r="G5501" s="570"/>
      <c r="H5501" s="570"/>
      <c r="I5501" s="570"/>
      <c r="J5501" s="570"/>
      <c r="K5501" s="570"/>
    </row>
    <row r="5502" ht="13.75" customHeight="1">
      <c r="A5502" t="s" s="834">
        <v>3801</v>
      </c>
      <c r="B5502" t="s" s="834">
        <v>485</v>
      </c>
      <c r="C5502" t="s" s="834">
        <v>486</v>
      </c>
      <c r="D5502" s="570"/>
      <c r="E5502" s="570"/>
      <c r="F5502" s="570"/>
      <c r="G5502" s="570"/>
      <c r="H5502" s="570"/>
      <c r="I5502" s="570"/>
      <c r="J5502" s="570"/>
      <c r="K5502" s="570"/>
    </row>
    <row r="5503" ht="13.75" customHeight="1">
      <c r="A5503" s="833">
        <v>294</v>
      </c>
      <c r="B5503" t="s" s="834">
        <v>3788</v>
      </c>
      <c r="C5503" t="s" s="834">
        <v>1752</v>
      </c>
      <c r="D5503" s="835">
        <v>46038</v>
      </c>
      <c r="E5503" s="836">
        <v>1.373125</v>
      </c>
      <c r="F5503" s="836">
        <v>1.753796296296296</v>
      </c>
      <c r="G5503" s="570"/>
      <c r="H5503" s="570"/>
      <c r="I5503" s="570"/>
      <c r="J5503" s="570"/>
      <c r="K5503" s="570"/>
    </row>
    <row r="5504" ht="13.75" customHeight="1">
      <c r="A5504" t="s" s="834">
        <v>3802</v>
      </c>
      <c r="B5504" t="s" s="834">
        <v>3803</v>
      </c>
      <c r="C5504" t="s" s="834">
        <v>537</v>
      </c>
      <c r="D5504" s="570"/>
      <c r="E5504" s="570"/>
      <c r="F5504" s="570"/>
      <c r="G5504" s="570"/>
      <c r="H5504" s="570"/>
      <c r="I5504" s="570"/>
      <c r="J5504" s="570"/>
      <c r="K5504" s="570"/>
    </row>
    <row r="5505" ht="13.75" customHeight="1">
      <c r="A5505" s="833">
        <v>294</v>
      </c>
      <c r="B5505" t="s" s="834">
        <v>3788</v>
      </c>
      <c r="C5505" t="s" s="834">
        <v>1752</v>
      </c>
      <c r="D5505" s="835">
        <v>46039</v>
      </c>
      <c r="E5505" t="s" s="834">
        <v>478</v>
      </c>
      <c r="F5505" t="s" s="834">
        <v>478</v>
      </c>
      <c r="G5505" s="570"/>
      <c r="H5505" s="570"/>
      <c r="I5505" s="570"/>
      <c r="J5505" s="570"/>
      <c r="K5505" s="570"/>
    </row>
    <row r="5506" ht="13.75" customHeight="1">
      <c r="A5506" s="833">
        <v>294</v>
      </c>
      <c r="B5506" t="s" s="834">
        <v>3788</v>
      </c>
      <c r="C5506" t="s" s="834">
        <v>1752</v>
      </c>
      <c r="D5506" s="835">
        <v>46040</v>
      </c>
      <c r="E5506" s="836">
        <v>1.379027777777778</v>
      </c>
      <c r="F5506" s="836">
        <v>1.379606481481481</v>
      </c>
      <c r="G5506" s="570"/>
      <c r="H5506" s="570"/>
      <c r="I5506" s="570"/>
      <c r="J5506" s="570"/>
      <c r="K5506" s="570"/>
    </row>
    <row r="5507" ht="13.75" customHeight="1">
      <c r="A5507" t="s" s="834">
        <v>3804</v>
      </c>
      <c r="B5507" t="s" s="834">
        <v>3805</v>
      </c>
      <c r="C5507" t="s" s="834">
        <v>805</v>
      </c>
      <c r="D5507" s="570"/>
      <c r="E5507" s="570"/>
      <c r="F5507" s="570"/>
      <c r="G5507" s="570"/>
      <c r="H5507" s="570"/>
      <c r="I5507" s="570"/>
      <c r="J5507" s="570"/>
      <c r="K5507" s="570"/>
    </row>
    <row r="5508" ht="13.75" customHeight="1">
      <c r="A5508" s="833">
        <v>294</v>
      </c>
      <c r="B5508" t="s" s="834">
        <v>3788</v>
      </c>
      <c r="C5508" t="s" s="834">
        <v>1752</v>
      </c>
      <c r="D5508" s="835">
        <v>46041</v>
      </c>
      <c r="E5508" t="s" s="834">
        <v>478</v>
      </c>
      <c r="F5508" t="s" s="834">
        <v>478</v>
      </c>
      <c r="G5508" s="570"/>
      <c r="H5508" s="570"/>
      <c r="I5508" s="570"/>
      <c r="J5508" s="570"/>
      <c r="K5508" s="570"/>
    </row>
    <row r="5509" ht="13.75" customHeight="1">
      <c r="A5509" s="833">
        <v>294</v>
      </c>
      <c r="B5509" t="s" s="834">
        <v>3788</v>
      </c>
      <c r="C5509" t="s" s="834">
        <v>1752</v>
      </c>
      <c r="D5509" s="835">
        <v>46042</v>
      </c>
      <c r="E5509" s="836">
        <v>1.3778125</v>
      </c>
      <c r="F5509" s="836">
        <v>1.764050925925926</v>
      </c>
      <c r="G5509" s="570"/>
      <c r="H5509" s="570"/>
      <c r="I5509" s="570"/>
      <c r="J5509" s="570"/>
      <c r="K5509" s="570"/>
    </row>
    <row r="5510" ht="13.75" customHeight="1">
      <c r="A5510" t="s" s="834">
        <v>3806</v>
      </c>
      <c r="B5510" t="s" s="834">
        <v>3807</v>
      </c>
      <c r="C5510" t="s" s="834">
        <v>834</v>
      </c>
      <c r="D5510" s="570"/>
      <c r="E5510" s="570"/>
      <c r="F5510" s="570"/>
      <c r="G5510" s="570"/>
      <c r="H5510" s="570"/>
      <c r="I5510" s="570"/>
      <c r="J5510" s="570"/>
      <c r="K5510" s="570"/>
    </row>
    <row r="5511" ht="13.75" customHeight="1">
      <c r="A5511" s="833">
        <v>294</v>
      </c>
      <c r="B5511" t="s" s="834">
        <v>3788</v>
      </c>
      <c r="C5511" t="s" s="834">
        <v>1752</v>
      </c>
      <c r="D5511" s="835">
        <v>46043</v>
      </c>
      <c r="E5511" s="836">
        <v>1.384733796296296</v>
      </c>
      <c r="F5511" s="836">
        <v>1.753483796296296</v>
      </c>
      <c r="G5511" s="570"/>
      <c r="H5511" s="570"/>
      <c r="I5511" s="570"/>
      <c r="J5511" s="570"/>
      <c r="K5511" s="570"/>
    </row>
    <row r="5512" ht="13.75" customHeight="1">
      <c r="A5512" t="s" s="834">
        <v>3808</v>
      </c>
      <c r="B5512" t="s" s="834">
        <v>3809</v>
      </c>
      <c r="C5512" t="s" s="834">
        <v>2749</v>
      </c>
      <c r="D5512" s="570"/>
      <c r="E5512" s="570"/>
      <c r="F5512" s="570"/>
      <c r="G5512" s="570"/>
      <c r="H5512" s="570"/>
      <c r="I5512" s="570"/>
      <c r="J5512" s="570"/>
      <c r="K5512" s="570"/>
    </row>
    <row r="5513" ht="13.75" customHeight="1">
      <c r="A5513" s="833">
        <v>294</v>
      </c>
      <c r="B5513" t="s" s="834">
        <v>3788</v>
      </c>
      <c r="C5513" t="s" s="834">
        <v>1752</v>
      </c>
      <c r="D5513" s="835">
        <v>46044</v>
      </c>
      <c r="E5513" s="836">
        <v>1.569363425925926</v>
      </c>
      <c r="F5513" s="836">
        <v>1.754097222222222</v>
      </c>
      <c r="G5513" s="570"/>
      <c r="H5513" s="570"/>
      <c r="I5513" s="570"/>
      <c r="J5513" s="570"/>
      <c r="K5513" s="570"/>
    </row>
    <row r="5514" ht="13.75" customHeight="1">
      <c r="A5514" t="s" s="834">
        <v>3810</v>
      </c>
      <c r="B5514" t="s" s="834">
        <v>3811</v>
      </c>
      <c r="C5514" t="s" s="834">
        <v>1734</v>
      </c>
      <c r="D5514" s="570"/>
      <c r="E5514" s="570"/>
      <c r="F5514" s="570"/>
      <c r="G5514" s="570"/>
      <c r="H5514" s="570"/>
      <c r="I5514" s="570"/>
      <c r="J5514" s="570"/>
      <c r="K5514" s="570"/>
    </row>
    <row r="5515" ht="13.75" customHeight="1">
      <c r="A5515" s="833">
        <v>294</v>
      </c>
      <c r="B5515" t="s" s="834">
        <v>3788</v>
      </c>
      <c r="C5515" t="s" s="834">
        <v>1752</v>
      </c>
      <c r="D5515" s="835">
        <v>46045</v>
      </c>
      <c r="E5515" s="836">
        <v>1.372361111111111</v>
      </c>
      <c r="F5515" s="836">
        <v>1.752800925925926</v>
      </c>
      <c r="G5515" s="570"/>
      <c r="H5515" s="570"/>
      <c r="I5515" s="570"/>
      <c r="J5515" s="570"/>
      <c r="K5515" s="570"/>
    </row>
    <row r="5516" ht="13.75" customHeight="1">
      <c r="A5516" t="s" s="834">
        <v>3812</v>
      </c>
      <c r="B5516" t="s" s="834">
        <v>3813</v>
      </c>
      <c r="C5516" t="s" s="834">
        <v>537</v>
      </c>
      <c r="D5516" s="570"/>
      <c r="E5516" s="570"/>
      <c r="F5516" s="570"/>
      <c r="G5516" s="570"/>
      <c r="H5516" s="570"/>
      <c r="I5516" s="570"/>
      <c r="J5516" s="570"/>
      <c r="K5516" s="570"/>
    </row>
    <row r="5517" ht="13.75" customHeight="1">
      <c r="A5517" s="833">
        <v>294</v>
      </c>
      <c r="B5517" t="s" s="834">
        <v>3788</v>
      </c>
      <c r="C5517" t="s" s="834">
        <v>1752</v>
      </c>
      <c r="D5517" s="835">
        <v>46046</v>
      </c>
      <c r="E5517" t="s" s="834">
        <v>478</v>
      </c>
      <c r="F5517" t="s" s="834">
        <v>478</v>
      </c>
      <c r="G5517" s="570"/>
      <c r="H5517" s="570"/>
      <c r="I5517" s="570"/>
      <c r="J5517" s="570"/>
      <c r="K5517" s="570"/>
    </row>
    <row r="5518" ht="13.75" customHeight="1">
      <c r="A5518" s="833">
        <v>294</v>
      </c>
      <c r="B5518" t="s" s="834">
        <v>3788</v>
      </c>
      <c r="C5518" t="s" s="834">
        <v>1752</v>
      </c>
      <c r="D5518" s="835">
        <v>46047</v>
      </c>
      <c r="E5518" t="s" s="834">
        <v>478</v>
      </c>
      <c r="F5518" t="s" s="834">
        <v>478</v>
      </c>
      <c r="G5518" s="570"/>
      <c r="H5518" s="570"/>
      <c r="I5518" s="570"/>
      <c r="J5518" s="570"/>
      <c r="K5518" s="570"/>
    </row>
    <row r="5519" ht="13.75" customHeight="1">
      <c r="A5519" s="833">
        <v>294</v>
      </c>
      <c r="B5519" t="s" s="834">
        <v>3788</v>
      </c>
      <c r="C5519" t="s" s="834">
        <v>1752</v>
      </c>
      <c r="D5519" s="835">
        <v>46048</v>
      </c>
      <c r="E5519" s="836">
        <v>1.376215277777778</v>
      </c>
      <c r="F5519" s="836">
        <v>1.754421296296296</v>
      </c>
      <c r="G5519" s="570"/>
      <c r="H5519" s="570"/>
      <c r="I5519" s="570"/>
      <c r="J5519" s="570"/>
      <c r="K5519" s="570"/>
    </row>
    <row r="5520" ht="13.75" customHeight="1">
      <c r="A5520" t="s" s="834">
        <v>3814</v>
      </c>
      <c r="B5520" t="s" s="834">
        <v>3815</v>
      </c>
      <c r="C5520" t="s" s="834">
        <v>562</v>
      </c>
      <c r="D5520" s="570"/>
      <c r="E5520" s="570"/>
      <c r="F5520" s="570"/>
      <c r="G5520" s="570"/>
      <c r="H5520" s="570"/>
      <c r="I5520" s="570"/>
      <c r="J5520" s="570"/>
      <c r="K5520" s="570"/>
    </row>
    <row r="5521" ht="13.75" customHeight="1">
      <c r="A5521" s="833">
        <v>294</v>
      </c>
      <c r="B5521" t="s" s="834">
        <v>3788</v>
      </c>
      <c r="C5521" t="s" s="834">
        <v>1752</v>
      </c>
      <c r="D5521" s="835">
        <v>46049</v>
      </c>
      <c r="E5521" s="836">
        <v>1.567430555555556</v>
      </c>
      <c r="F5521" s="836">
        <v>1.75099537037037</v>
      </c>
      <c r="G5521" s="570"/>
      <c r="H5521" s="570"/>
      <c r="I5521" s="570"/>
      <c r="J5521" s="570"/>
      <c r="K5521" s="570"/>
    </row>
    <row r="5522" ht="13.75" customHeight="1">
      <c r="A5522" t="s" s="834">
        <v>3816</v>
      </c>
      <c r="B5522" t="s" s="834">
        <v>3817</v>
      </c>
      <c r="C5522" t="s" s="834">
        <v>2941</v>
      </c>
      <c r="D5522" s="570"/>
      <c r="E5522" s="570"/>
      <c r="F5522" s="570"/>
      <c r="G5522" s="570"/>
      <c r="H5522" s="570"/>
      <c r="I5522" s="570"/>
      <c r="J5522" s="570"/>
      <c r="K5522" s="570"/>
    </row>
    <row r="5523" ht="13.75" customHeight="1">
      <c r="A5523" s="833">
        <v>294</v>
      </c>
      <c r="B5523" t="s" s="834">
        <v>3788</v>
      </c>
      <c r="C5523" t="s" s="834">
        <v>1752</v>
      </c>
      <c r="D5523" s="835">
        <v>46050</v>
      </c>
      <c r="E5523" s="836">
        <v>1.370243055555556</v>
      </c>
      <c r="F5523" s="836">
        <v>1.750416666666667</v>
      </c>
      <c r="G5523" s="570"/>
      <c r="H5523" s="570"/>
      <c r="I5523" s="570"/>
      <c r="J5523" s="570"/>
      <c r="K5523" s="570"/>
    </row>
    <row r="5524" ht="13.75" customHeight="1">
      <c r="A5524" t="s" s="834">
        <v>3818</v>
      </c>
      <c r="B5524" t="s" s="834">
        <v>3819</v>
      </c>
      <c r="C5524" t="s" s="834">
        <v>821</v>
      </c>
      <c r="D5524" s="570"/>
      <c r="E5524" s="570"/>
      <c r="F5524" s="570"/>
      <c r="G5524" s="570"/>
      <c r="H5524" s="570"/>
      <c r="I5524" s="570"/>
      <c r="J5524" s="570"/>
      <c r="K5524" s="570"/>
    </row>
    <row r="5525" ht="13.75" customHeight="1">
      <c r="A5525" s="833">
        <v>294</v>
      </c>
      <c r="B5525" t="s" s="834">
        <v>3788</v>
      </c>
      <c r="C5525" t="s" s="834">
        <v>1752</v>
      </c>
      <c r="D5525" s="835">
        <v>46051</v>
      </c>
      <c r="E5525" s="836">
        <v>1.391875</v>
      </c>
      <c r="F5525" s="836">
        <v>1.753009259259259</v>
      </c>
      <c r="G5525" s="570"/>
      <c r="H5525" s="570"/>
      <c r="I5525" s="570"/>
      <c r="J5525" s="570"/>
      <c r="K5525" s="570"/>
    </row>
    <row r="5526" ht="13.75" customHeight="1">
      <c r="A5526" t="s" s="834">
        <v>3820</v>
      </c>
      <c r="B5526" t="s" s="834">
        <v>3821</v>
      </c>
      <c r="C5526" t="s" s="834">
        <v>3822</v>
      </c>
      <c r="D5526" s="570"/>
      <c r="E5526" s="570"/>
      <c r="F5526" s="570"/>
      <c r="G5526" s="570"/>
      <c r="H5526" s="570"/>
      <c r="I5526" s="570"/>
      <c r="J5526" s="570"/>
      <c r="K5526" s="570"/>
    </row>
    <row r="5527" ht="13.75" customHeight="1">
      <c r="A5527" s="833">
        <v>294</v>
      </c>
      <c r="B5527" t="s" s="834">
        <v>3788</v>
      </c>
      <c r="C5527" t="s" s="834">
        <v>1752</v>
      </c>
      <c r="D5527" s="835">
        <v>46052</v>
      </c>
      <c r="E5527" s="836">
        <v>1.571759259259259</v>
      </c>
      <c r="F5527" s="836">
        <v>1.755266203703704</v>
      </c>
      <c r="G5527" s="570"/>
      <c r="H5527" s="570"/>
      <c r="I5527" s="570"/>
      <c r="J5527" s="570"/>
      <c r="K5527" s="570"/>
    </row>
    <row r="5528" ht="13.75" customHeight="1">
      <c r="A5528" t="s" s="834">
        <v>3823</v>
      </c>
      <c r="B5528" t="s" s="834">
        <v>3824</v>
      </c>
      <c r="C5528" t="s" s="834">
        <v>2941</v>
      </c>
      <c r="D5528" s="570"/>
      <c r="E5528" s="570"/>
      <c r="F5528" s="570"/>
      <c r="G5528" s="570"/>
      <c r="H5528" s="570"/>
      <c r="I5528" s="570"/>
      <c r="J5528" s="570"/>
      <c r="K5528" s="570"/>
    </row>
    <row r="5529" ht="13.75" customHeight="1">
      <c r="A5529" s="833">
        <v>294</v>
      </c>
      <c r="B5529" t="s" s="834">
        <v>3788</v>
      </c>
      <c r="C5529" t="s" s="834">
        <v>1752</v>
      </c>
      <c r="D5529" s="835">
        <v>46053</v>
      </c>
      <c r="E5529" t="s" s="834">
        <v>478</v>
      </c>
      <c r="F5529" t="s" s="834">
        <v>478</v>
      </c>
      <c r="G5529" s="570"/>
      <c r="H5529" s="570"/>
      <c r="I5529" s="570"/>
      <c r="J5529" s="570"/>
      <c r="K5529" s="570"/>
    </row>
    <row r="5530" ht="13.75" customHeight="1">
      <c r="A5530" s="833">
        <v>294</v>
      </c>
      <c r="B5530" t="s" s="834">
        <v>3788</v>
      </c>
      <c r="C5530" t="s" s="834">
        <v>1752</v>
      </c>
      <c r="D5530" s="835">
        <v>46054</v>
      </c>
      <c r="E5530" t="s" s="834">
        <v>478</v>
      </c>
      <c r="F5530" t="s" s="834">
        <v>478</v>
      </c>
      <c r="G5530" s="570"/>
      <c r="H5530" s="570"/>
      <c r="I5530" s="570"/>
      <c r="J5530" s="570"/>
      <c r="K5530" s="570"/>
    </row>
    <row r="5531" ht="13.75" customHeight="1">
      <c r="A5531" s="833">
        <v>297</v>
      </c>
      <c r="B5531" t="s" s="834">
        <v>3825</v>
      </c>
      <c r="C5531" t="s" s="834">
        <v>617</v>
      </c>
      <c r="D5531" s="835">
        <v>46023</v>
      </c>
      <c r="E5531" t="s" s="834">
        <v>478</v>
      </c>
      <c r="F5531" t="s" s="834">
        <v>478</v>
      </c>
      <c r="G5531" s="570"/>
      <c r="H5531" s="570"/>
      <c r="I5531" s="570"/>
      <c r="J5531" s="570"/>
      <c r="K5531" s="570"/>
    </row>
    <row r="5532" ht="13.75" customHeight="1">
      <c r="A5532" s="833">
        <v>297</v>
      </c>
      <c r="B5532" t="s" s="834">
        <v>3825</v>
      </c>
      <c r="C5532" t="s" s="834">
        <v>617</v>
      </c>
      <c r="D5532" s="835">
        <v>46024</v>
      </c>
      <c r="E5532" t="s" s="834">
        <v>478</v>
      </c>
      <c r="F5532" t="s" s="834">
        <v>478</v>
      </c>
      <c r="G5532" s="570"/>
      <c r="H5532" s="570"/>
      <c r="I5532" s="570"/>
      <c r="J5532" s="570"/>
      <c r="K5532" s="570"/>
    </row>
    <row r="5533" ht="13.75" customHeight="1">
      <c r="A5533" s="833">
        <v>297</v>
      </c>
      <c r="B5533" t="s" s="834">
        <v>3825</v>
      </c>
      <c r="C5533" t="s" s="834">
        <v>617</v>
      </c>
      <c r="D5533" s="835">
        <v>46025</v>
      </c>
      <c r="E5533" t="s" s="834">
        <v>478</v>
      </c>
      <c r="F5533" t="s" s="834">
        <v>478</v>
      </c>
      <c r="G5533" s="570"/>
      <c r="H5533" s="570"/>
      <c r="I5533" s="570"/>
      <c r="J5533" s="570"/>
      <c r="K5533" s="570"/>
    </row>
    <row r="5534" ht="13.75" customHeight="1">
      <c r="A5534" s="833">
        <v>297</v>
      </c>
      <c r="B5534" t="s" s="834">
        <v>3825</v>
      </c>
      <c r="C5534" t="s" s="834">
        <v>617</v>
      </c>
      <c r="D5534" s="835">
        <v>46026</v>
      </c>
      <c r="E5534" t="s" s="834">
        <v>478</v>
      </c>
      <c r="F5534" t="s" s="834">
        <v>478</v>
      </c>
      <c r="G5534" s="570"/>
      <c r="H5534" s="570"/>
      <c r="I5534" s="570"/>
      <c r="J5534" s="570"/>
      <c r="K5534" s="570"/>
    </row>
    <row r="5535" ht="13.75" customHeight="1">
      <c r="A5535" s="833">
        <v>297</v>
      </c>
      <c r="B5535" t="s" s="834">
        <v>3825</v>
      </c>
      <c r="C5535" t="s" s="834">
        <v>617</v>
      </c>
      <c r="D5535" s="835">
        <v>46027</v>
      </c>
      <c r="E5535" s="836">
        <v>1.349895833333333</v>
      </c>
      <c r="F5535" s="836">
        <v>1.753553240740741</v>
      </c>
      <c r="G5535" s="570"/>
      <c r="H5535" s="570"/>
      <c r="I5535" s="570"/>
      <c r="J5535" s="570"/>
      <c r="K5535" s="570"/>
    </row>
    <row r="5536" ht="13.75" customHeight="1">
      <c r="A5536" t="s" s="834">
        <v>3826</v>
      </c>
      <c r="B5536" t="s" s="834">
        <v>3827</v>
      </c>
      <c r="C5536" t="s" s="834">
        <v>590</v>
      </c>
      <c r="D5536" s="570"/>
      <c r="E5536" s="570"/>
      <c r="F5536" s="570"/>
      <c r="G5536" s="570"/>
      <c r="H5536" s="570"/>
      <c r="I5536" s="570"/>
      <c r="J5536" s="570"/>
      <c r="K5536" s="570"/>
    </row>
    <row r="5537" ht="13.75" customHeight="1">
      <c r="A5537" s="833">
        <v>297</v>
      </c>
      <c r="B5537" t="s" s="834">
        <v>3825</v>
      </c>
      <c r="C5537" t="s" s="834">
        <v>617</v>
      </c>
      <c r="D5537" s="835">
        <v>46028</v>
      </c>
      <c r="E5537" s="836">
        <v>1.35255787037037</v>
      </c>
      <c r="F5537" s="836">
        <v>1.756481481481482</v>
      </c>
      <c r="G5537" s="570"/>
      <c r="H5537" s="570"/>
      <c r="I5537" s="570"/>
      <c r="J5537" s="570"/>
      <c r="K5537" s="570"/>
    </row>
    <row r="5538" ht="13.75" customHeight="1">
      <c r="A5538" t="s" s="834">
        <v>3828</v>
      </c>
      <c r="B5538" t="s" s="834">
        <v>3829</v>
      </c>
      <c r="C5538" t="s" s="834">
        <v>493</v>
      </c>
      <c r="D5538" s="570"/>
      <c r="E5538" s="570"/>
      <c r="F5538" s="570"/>
      <c r="G5538" s="570"/>
      <c r="H5538" s="570"/>
      <c r="I5538" s="570"/>
      <c r="J5538" s="570"/>
      <c r="K5538" s="570"/>
    </row>
    <row r="5539" ht="13.75" customHeight="1">
      <c r="A5539" s="833">
        <v>297</v>
      </c>
      <c r="B5539" t="s" s="834">
        <v>3825</v>
      </c>
      <c r="C5539" t="s" s="834">
        <v>617</v>
      </c>
      <c r="D5539" s="835">
        <v>46029</v>
      </c>
      <c r="E5539" s="836">
        <v>1.375104166666667</v>
      </c>
      <c r="F5539" s="836">
        <v>1.777152777777778</v>
      </c>
      <c r="G5539" s="570"/>
      <c r="H5539" s="570"/>
      <c r="I5539" s="570"/>
      <c r="J5539" s="570"/>
      <c r="K5539" s="570"/>
    </row>
    <row r="5540" ht="13.75" customHeight="1">
      <c r="A5540" t="s" s="834">
        <v>3830</v>
      </c>
      <c r="B5540" t="s" s="834">
        <v>3831</v>
      </c>
      <c r="C5540" t="s" s="834">
        <v>772</v>
      </c>
      <c r="D5540" s="570"/>
      <c r="E5540" s="570"/>
      <c r="F5540" s="570"/>
      <c r="G5540" s="570"/>
      <c r="H5540" s="570"/>
      <c r="I5540" s="570"/>
      <c r="J5540" s="570"/>
      <c r="K5540" s="570"/>
    </row>
    <row r="5541" ht="13.75" customHeight="1">
      <c r="A5541" s="833">
        <v>297</v>
      </c>
      <c r="B5541" t="s" s="834">
        <v>3825</v>
      </c>
      <c r="C5541" t="s" s="834">
        <v>617</v>
      </c>
      <c r="D5541" s="835">
        <v>46030</v>
      </c>
      <c r="E5541" s="836">
        <v>1.351527777777778</v>
      </c>
      <c r="F5541" s="836">
        <v>1.759398148148148</v>
      </c>
      <c r="G5541" s="570"/>
      <c r="H5541" s="570"/>
      <c r="I5541" s="570"/>
      <c r="J5541" s="570"/>
      <c r="K5541" s="570"/>
    </row>
    <row r="5542" ht="13.75" customHeight="1">
      <c r="A5542" t="s" s="834">
        <v>3832</v>
      </c>
      <c r="B5542" t="s" s="834">
        <v>3833</v>
      </c>
      <c r="C5542" t="s" s="834">
        <v>882</v>
      </c>
      <c r="D5542" s="570"/>
      <c r="E5542" s="570"/>
      <c r="F5542" s="570"/>
      <c r="G5542" s="570"/>
      <c r="H5542" s="570"/>
      <c r="I5542" s="570"/>
      <c r="J5542" s="570"/>
      <c r="K5542" s="570"/>
    </row>
    <row r="5543" ht="13.75" customHeight="1">
      <c r="A5543" s="833">
        <v>297</v>
      </c>
      <c r="B5543" t="s" s="834">
        <v>3825</v>
      </c>
      <c r="C5543" t="s" s="834">
        <v>617</v>
      </c>
      <c r="D5543" s="835">
        <v>46031</v>
      </c>
      <c r="E5543" t="s" s="834">
        <v>478</v>
      </c>
      <c r="F5543" t="s" s="834">
        <v>478</v>
      </c>
      <c r="G5543" s="570"/>
      <c r="H5543" s="570"/>
      <c r="I5543" s="570"/>
      <c r="J5543" s="570"/>
      <c r="K5543" s="570"/>
    </row>
    <row r="5544" ht="13.75" customHeight="1">
      <c r="A5544" s="833">
        <v>297</v>
      </c>
      <c r="B5544" t="s" s="834">
        <v>3825</v>
      </c>
      <c r="C5544" t="s" s="834">
        <v>617</v>
      </c>
      <c r="D5544" s="835">
        <v>46032</v>
      </c>
      <c r="E5544" t="s" s="834">
        <v>478</v>
      </c>
      <c r="F5544" t="s" s="834">
        <v>478</v>
      </c>
      <c r="G5544" s="570"/>
      <c r="H5544" s="570"/>
      <c r="I5544" s="570"/>
      <c r="J5544" s="570"/>
      <c r="K5544" s="570"/>
    </row>
    <row r="5545" ht="13.75" customHeight="1">
      <c r="A5545" s="833">
        <v>297</v>
      </c>
      <c r="B5545" t="s" s="834">
        <v>3825</v>
      </c>
      <c r="C5545" t="s" s="834">
        <v>617</v>
      </c>
      <c r="D5545" s="835">
        <v>46033</v>
      </c>
      <c r="E5545" t="s" s="834">
        <v>478</v>
      </c>
      <c r="F5545" t="s" s="834">
        <v>478</v>
      </c>
      <c r="G5545" s="570"/>
      <c r="H5545" s="570"/>
      <c r="I5545" s="570"/>
      <c r="J5545" s="570"/>
      <c r="K5545" s="570"/>
    </row>
    <row r="5546" ht="13.75" customHeight="1">
      <c r="A5546" s="833">
        <v>297</v>
      </c>
      <c r="B5546" t="s" s="834">
        <v>3825</v>
      </c>
      <c r="C5546" t="s" s="834">
        <v>617</v>
      </c>
      <c r="D5546" s="835">
        <v>46034</v>
      </c>
      <c r="E5546" s="836">
        <v>1.371446759259259</v>
      </c>
      <c r="F5546" s="836">
        <v>1.754201388888889</v>
      </c>
      <c r="G5546" s="570"/>
      <c r="H5546" s="570"/>
      <c r="I5546" s="570"/>
      <c r="J5546" s="570"/>
      <c r="K5546" s="570"/>
    </row>
    <row r="5547" ht="13.75" customHeight="1">
      <c r="A5547" t="s" s="834">
        <v>3834</v>
      </c>
      <c r="B5547" t="s" s="834">
        <v>3835</v>
      </c>
      <c r="C5547" t="s" s="834">
        <v>540</v>
      </c>
      <c r="D5547" s="570"/>
      <c r="E5547" s="570"/>
      <c r="F5547" s="570"/>
      <c r="G5547" s="570"/>
      <c r="H5547" s="570"/>
      <c r="I5547" s="570"/>
      <c r="J5547" s="570"/>
      <c r="K5547" s="570"/>
    </row>
    <row r="5548" ht="13.75" customHeight="1">
      <c r="A5548" s="833">
        <v>297</v>
      </c>
      <c r="B5548" t="s" s="834">
        <v>3825</v>
      </c>
      <c r="C5548" t="s" s="834">
        <v>617</v>
      </c>
      <c r="D5548" s="835">
        <v>46035</v>
      </c>
      <c r="E5548" s="836">
        <v>1.349652777777778</v>
      </c>
      <c r="F5548" s="836">
        <v>1.761134259259259</v>
      </c>
      <c r="G5548" s="570"/>
      <c r="H5548" s="570"/>
      <c r="I5548" s="570"/>
      <c r="J5548" s="570"/>
      <c r="K5548" s="570"/>
    </row>
    <row r="5549" ht="13.75" customHeight="1">
      <c r="A5549" t="s" s="834">
        <v>3836</v>
      </c>
      <c r="B5549" t="s" s="834">
        <v>3837</v>
      </c>
      <c r="C5549" t="s" s="834">
        <v>597</v>
      </c>
      <c r="D5549" s="570"/>
      <c r="E5549" s="570"/>
      <c r="F5549" s="570"/>
      <c r="G5549" s="570"/>
      <c r="H5549" s="570"/>
      <c r="I5549" s="570"/>
      <c r="J5549" s="570"/>
      <c r="K5549" s="570"/>
    </row>
    <row r="5550" ht="13.75" customHeight="1">
      <c r="A5550" s="833">
        <v>297</v>
      </c>
      <c r="B5550" t="s" s="834">
        <v>3825</v>
      </c>
      <c r="C5550" t="s" s="834">
        <v>617</v>
      </c>
      <c r="D5550" s="835">
        <v>46036</v>
      </c>
      <c r="E5550" s="836">
        <v>1.369756944444444</v>
      </c>
      <c r="F5550" s="836">
        <v>1.782638888888889</v>
      </c>
      <c r="G5550" s="570"/>
      <c r="H5550" s="570"/>
      <c r="I5550" s="570"/>
      <c r="J5550" s="570"/>
      <c r="K5550" s="570"/>
    </row>
    <row r="5551" ht="13.75" customHeight="1">
      <c r="A5551" t="s" s="834">
        <v>3838</v>
      </c>
      <c r="B5551" t="s" s="834">
        <v>3839</v>
      </c>
      <c r="C5551" t="s" s="834">
        <v>586</v>
      </c>
      <c r="D5551" s="570"/>
      <c r="E5551" s="570"/>
      <c r="F5551" s="570"/>
      <c r="G5551" s="570"/>
      <c r="H5551" s="570"/>
      <c r="I5551" s="570"/>
      <c r="J5551" s="570"/>
      <c r="K5551" s="570"/>
    </row>
    <row r="5552" ht="13.75" customHeight="1">
      <c r="A5552" s="833">
        <v>297</v>
      </c>
      <c r="B5552" t="s" s="834">
        <v>3825</v>
      </c>
      <c r="C5552" t="s" s="834">
        <v>617</v>
      </c>
      <c r="D5552" s="835">
        <v>46037</v>
      </c>
      <c r="E5552" s="836">
        <v>1.352199074074074</v>
      </c>
      <c r="F5552" s="836">
        <v>1.501956018518519</v>
      </c>
      <c r="G5552" s="570"/>
      <c r="H5552" s="570"/>
      <c r="I5552" s="570"/>
      <c r="J5552" s="570"/>
      <c r="K5552" s="570"/>
    </row>
    <row r="5553" ht="13.75" customHeight="1">
      <c r="A5553" t="s" s="834">
        <v>3840</v>
      </c>
      <c r="B5553" t="s" s="834">
        <v>3841</v>
      </c>
      <c r="C5553" t="s" s="834">
        <v>1452</v>
      </c>
      <c r="D5553" s="570"/>
      <c r="E5553" s="570"/>
      <c r="F5553" s="570"/>
      <c r="G5553" s="570"/>
      <c r="H5553" s="570"/>
      <c r="I5553" s="570"/>
      <c r="J5553" s="570"/>
      <c r="K5553" s="570"/>
    </row>
    <row r="5554" ht="13.75" customHeight="1">
      <c r="A5554" s="833">
        <v>297</v>
      </c>
      <c r="B5554" t="s" s="834">
        <v>3825</v>
      </c>
      <c r="C5554" t="s" s="834">
        <v>617</v>
      </c>
      <c r="D5554" s="835">
        <v>46038</v>
      </c>
      <c r="E5554" t="s" s="834">
        <v>478</v>
      </c>
      <c r="F5554" t="s" s="834">
        <v>478</v>
      </c>
      <c r="G5554" s="570"/>
      <c r="H5554" s="570"/>
      <c r="I5554" s="570"/>
      <c r="J5554" s="570"/>
      <c r="K5554" s="570"/>
    </row>
    <row r="5555" ht="13.75" customHeight="1">
      <c r="A5555" s="833">
        <v>297</v>
      </c>
      <c r="B5555" t="s" s="834">
        <v>3825</v>
      </c>
      <c r="C5555" t="s" s="834">
        <v>617</v>
      </c>
      <c r="D5555" s="835">
        <v>46039</v>
      </c>
      <c r="E5555" t="s" s="834">
        <v>478</v>
      </c>
      <c r="F5555" t="s" s="834">
        <v>478</v>
      </c>
      <c r="G5555" s="570"/>
      <c r="H5555" s="570"/>
      <c r="I5555" s="570"/>
      <c r="J5555" s="570"/>
      <c r="K5555" s="570"/>
    </row>
    <row r="5556" ht="13.75" customHeight="1">
      <c r="A5556" s="833">
        <v>297</v>
      </c>
      <c r="B5556" t="s" s="834">
        <v>3825</v>
      </c>
      <c r="C5556" t="s" s="834">
        <v>617</v>
      </c>
      <c r="D5556" s="835">
        <v>46040</v>
      </c>
      <c r="E5556" t="s" s="834">
        <v>478</v>
      </c>
      <c r="F5556" t="s" s="834">
        <v>478</v>
      </c>
      <c r="G5556" s="570"/>
      <c r="H5556" s="570"/>
      <c r="I5556" s="570"/>
      <c r="J5556" s="570"/>
      <c r="K5556" s="570"/>
    </row>
    <row r="5557" ht="13.75" customHeight="1">
      <c r="A5557" s="833">
        <v>297</v>
      </c>
      <c r="B5557" t="s" s="834">
        <v>3825</v>
      </c>
      <c r="C5557" t="s" s="834">
        <v>617</v>
      </c>
      <c r="D5557" s="835">
        <v>46041</v>
      </c>
      <c r="E5557" s="836">
        <v>1.343078703703704</v>
      </c>
      <c r="F5557" s="836">
        <v>1.762199074074074</v>
      </c>
      <c r="G5557" s="570"/>
      <c r="H5557" s="570"/>
      <c r="I5557" s="570"/>
      <c r="J5557" s="570"/>
      <c r="K5557" s="570"/>
    </row>
    <row r="5558" ht="13.75" customHeight="1">
      <c r="A5558" t="s" s="834">
        <v>3842</v>
      </c>
      <c r="B5558" t="s" s="834">
        <v>3843</v>
      </c>
      <c r="C5558" t="s" s="834">
        <v>1016</v>
      </c>
      <c r="D5558" s="570"/>
      <c r="E5558" s="570"/>
      <c r="F5558" s="570"/>
      <c r="G5558" s="570"/>
      <c r="H5558" s="570"/>
      <c r="I5558" s="570"/>
      <c r="J5558" s="570"/>
      <c r="K5558" s="570"/>
    </row>
    <row r="5559" ht="13.75" customHeight="1">
      <c r="A5559" s="833">
        <v>297</v>
      </c>
      <c r="B5559" t="s" s="834">
        <v>3825</v>
      </c>
      <c r="C5559" t="s" s="834">
        <v>617</v>
      </c>
      <c r="D5559" s="835">
        <v>46042</v>
      </c>
      <c r="E5559" s="836">
        <v>1.348472222222222</v>
      </c>
      <c r="F5559" s="836">
        <v>1.752488425925926</v>
      </c>
      <c r="G5559" s="570"/>
      <c r="H5559" s="570"/>
      <c r="I5559" s="570"/>
      <c r="J5559" s="570"/>
      <c r="K5559" s="570"/>
    </row>
    <row r="5560" ht="13.75" customHeight="1">
      <c r="A5560" t="s" s="834">
        <v>3844</v>
      </c>
      <c r="B5560" t="s" s="834">
        <v>3845</v>
      </c>
      <c r="C5560" t="s" s="834">
        <v>493</v>
      </c>
      <c r="D5560" s="570"/>
      <c r="E5560" s="570"/>
      <c r="F5560" s="570"/>
      <c r="G5560" s="570"/>
      <c r="H5560" s="570"/>
      <c r="I5560" s="570"/>
      <c r="J5560" s="570"/>
      <c r="K5560" s="570"/>
    </row>
    <row r="5561" ht="13.75" customHeight="1">
      <c r="A5561" s="833">
        <v>297</v>
      </c>
      <c r="B5561" t="s" s="834">
        <v>3825</v>
      </c>
      <c r="C5561" t="s" s="834">
        <v>617</v>
      </c>
      <c r="D5561" s="835">
        <v>46043</v>
      </c>
      <c r="E5561" s="836">
        <v>1.375763888888889</v>
      </c>
      <c r="F5561" s="836">
        <v>1.755138888888889</v>
      </c>
      <c r="G5561" s="570"/>
      <c r="H5561" s="570"/>
      <c r="I5561" s="570"/>
      <c r="J5561" s="570"/>
      <c r="K5561" s="570"/>
    </row>
    <row r="5562" ht="13.75" customHeight="1">
      <c r="A5562" t="s" s="834">
        <v>3846</v>
      </c>
      <c r="B5562" t="s" s="834">
        <v>3847</v>
      </c>
      <c r="C5562" t="s" s="834">
        <v>549</v>
      </c>
      <c r="D5562" s="570"/>
      <c r="E5562" s="570"/>
      <c r="F5562" s="570"/>
      <c r="G5562" s="570"/>
      <c r="H5562" s="570"/>
      <c r="I5562" s="570"/>
      <c r="J5562" s="570"/>
      <c r="K5562" s="570"/>
    </row>
    <row r="5563" ht="13.75" customHeight="1">
      <c r="A5563" s="833">
        <v>297</v>
      </c>
      <c r="B5563" t="s" s="834">
        <v>3825</v>
      </c>
      <c r="C5563" t="s" s="834">
        <v>617</v>
      </c>
      <c r="D5563" s="835">
        <v>46044</v>
      </c>
      <c r="E5563" s="836">
        <v>1.351111111111111</v>
      </c>
      <c r="F5563" s="836">
        <v>1.753171296296296</v>
      </c>
      <c r="G5563" s="570"/>
      <c r="H5563" s="570"/>
      <c r="I5563" s="570"/>
      <c r="J5563" s="570"/>
      <c r="K5563" s="570"/>
    </row>
    <row r="5564" ht="13.75" customHeight="1">
      <c r="A5564" t="s" s="834">
        <v>3848</v>
      </c>
      <c r="B5564" t="s" s="834">
        <v>3849</v>
      </c>
      <c r="C5564" t="s" s="834">
        <v>772</v>
      </c>
      <c r="D5564" s="570"/>
      <c r="E5564" s="570"/>
      <c r="F5564" s="570"/>
      <c r="G5564" s="570"/>
      <c r="H5564" s="570"/>
      <c r="I5564" s="570"/>
      <c r="J5564" s="570"/>
      <c r="K5564" s="570"/>
    </row>
    <row r="5565" ht="13.75" customHeight="1">
      <c r="A5565" s="833">
        <v>297</v>
      </c>
      <c r="B5565" t="s" s="834">
        <v>3825</v>
      </c>
      <c r="C5565" t="s" s="834">
        <v>617</v>
      </c>
      <c r="D5565" s="835">
        <v>46045</v>
      </c>
      <c r="E5565" t="s" s="834">
        <v>478</v>
      </c>
      <c r="F5565" t="s" s="834">
        <v>478</v>
      </c>
      <c r="G5565" s="570"/>
      <c r="H5565" s="570"/>
      <c r="I5565" s="570"/>
      <c r="J5565" s="570"/>
      <c r="K5565" s="570"/>
    </row>
    <row r="5566" ht="13.75" customHeight="1">
      <c r="A5566" s="833">
        <v>297</v>
      </c>
      <c r="B5566" t="s" s="834">
        <v>3825</v>
      </c>
      <c r="C5566" t="s" s="834">
        <v>617</v>
      </c>
      <c r="D5566" s="835">
        <v>46046</v>
      </c>
      <c r="E5566" t="s" s="834">
        <v>478</v>
      </c>
      <c r="F5566" t="s" s="834">
        <v>478</v>
      </c>
      <c r="G5566" s="570"/>
      <c r="H5566" s="570"/>
      <c r="I5566" s="570"/>
      <c r="J5566" s="570"/>
      <c r="K5566" s="570"/>
    </row>
    <row r="5567" ht="13.75" customHeight="1">
      <c r="A5567" s="833">
        <v>297</v>
      </c>
      <c r="B5567" t="s" s="834">
        <v>3825</v>
      </c>
      <c r="C5567" t="s" s="834">
        <v>617</v>
      </c>
      <c r="D5567" s="835">
        <v>46047</v>
      </c>
      <c r="E5567" t="s" s="834">
        <v>478</v>
      </c>
      <c r="F5567" t="s" s="834">
        <v>478</v>
      </c>
      <c r="G5567" s="570"/>
      <c r="H5567" s="570"/>
      <c r="I5567" s="570"/>
      <c r="J5567" s="570"/>
      <c r="K5567" s="570"/>
    </row>
    <row r="5568" ht="13.75" customHeight="1">
      <c r="A5568" s="833">
        <v>297</v>
      </c>
      <c r="B5568" t="s" s="834">
        <v>3825</v>
      </c>
      <c r="C5568" t="s" s="834">
        <v>617</v>
      </c>
      <c r="D5568" s="835">
        <v>46048</v>
      </c>
      <c r="E5568" s="836">
        <v>1.551319444444444</v>
      </c>
      <c r="F5568" s="836">
        <v>1.855740740740741</v>
      </c>
      <c r="G5568" s="570"/>
      <c r="H5568" s="570"/>
      <c r="I5568" s="570"/>
      <c r="J5568" s="570"/>
      <c r="K5568" s="570"/>
    </row>
    <row r="5569" ht="13.75" customHeight="1">
      <c r="A5569" t="s" s="834">
        <v>3850</v>
      </c>
      <c r="B5569" t="s" s="834">
        <v>3851</v>
      </c>
      <c r="C5569" t="s" s="834">
        <v>2010</v>
      </c>
      <c r="D5569" s="570"/>
      <c r="E5569" s="570"/>
      <c r="F5569" s="570"/>
      <c r="G5569" s="570"/>
      <c r="H5569" s="570"/>
      <c r="I5569" s="570"/>
      <c r="J5569" s="570"/>
      <c r="K5569" s="570"/>
    </row>
    <row r="5570" ht="13.75" customHeight="1">
      <c r="A5570" s="833">
        <v>297</v>
      </c>
      <c r="B5570" t="s" s="834">
        <v>3825</v>
      </c>
      <c r="C5570" t="s" s="834">
        <v>617</v>
      </c>
      <c r="D5570" s="835">
        <v>46049</v>
      </c>
      <c r="E5570" s="836">
        <v>1.34150462962963</v>
      </c>
      <c r="F5570" s="836">
        <v>1.759583333333333</v>
      </c>
      <c r="G5570" s="570"/>
      <c r="H5570" s="570"/>
      <c r="I5570" s="570"/>
      <c r="J5570" s="570"/>
      <c r="K5570" s="570"/>
    </row>
    <row r="5571" ht="13.75" customHeight="1">
      <c r="A5571" t="s" s="834">
        <v>3852</v>
      </c>
      <c r="B5571" t="s" s="834">
        <v>3853</v>
      </c>
      <c r="C5571" t="s" s="834">
        <v>1033</v>
      </c>
      <c r="D5571" s="570"/>
      <c r="E5571" s="570"/>
      <c r="F5571" s="570"/>
      <c r="G5571" s="570"/>
      <c r="H5571" s="570"/>
      <c r="I5571" s="570"/>
      <c r="J5571" s="570"/>
      <c r="K5571" s="570"/>
    </row>
    <row r="5572" ht="13.75" customHeight="1">
      <c r="A5572" s="833">
        <v>297</v>
      </c>
      <c r="B5572" t="s" s="834">
        <v>3825</v>
      </c>
      <c r="C5572" t="s" s="834">
        <v>617</v>
      </c>
      <c r="D5572" s="835">
        <v>46050</v>
      </c>
      <c r="E5572" s="836">
        <v>1.360879629629629</v>
      </c>
      <c r="F5572" s="836">
        <v>1.754664351851852</v>
      </c>
      <c r="G5572" s="570"/>
      <c r="H5572" s="570"/>
      <c r="I5572" s="570"/>
      <c r="J5572" s="570"/>
      <c r="K5572" s="570"/>
    </row>
    <row r="5573" ht="13.75" customHeight="1">
      <c r="A5573" t="s" s="834">
        <v>3854</v>
      </c>
      <c r="B5573" t="s" s="834">
        <v>3855</v>
      </c>
      <c r="C5573" t="s" s="834">
        <v>518</v>
      </c>
      <c r="D5573" s="570"/>
      <c r="E5573" s="570"/>
      <c r="F5573" s="570"/>
      <c r="G5573" s="570"/>
      <c r="H5573" s="570"/>
      <c r="I5573" s="570"/>
      <c r="J5573" s="570"/>
      <c r="K5573" s="570"/>
    </row>
    <row r="5574" ht="13.75" customHeight="1">
      <c r="A5574" s="833">
        <v>297</v>
      </c>
      <c r="B5574" t="s" s="834">
        <v>3825</v>
      </c>
      <c r="C5574" t="s" s="834">
        <v>617</v>
      </c>
      <c r="D5574" s="835">
        <v>46051</v>
      </c>
      <c r="E5574" s="836">
        <v>1.347962962962963</v>
      </c>
      <c r="F5574" s="836">
        <v>1.756145833333333</v>
      </c>
      <c r="G5574" s="570"/>
      <c r="H5574" s="570"/>
      <c r="I5574" s="570"/>
      <c r="J5574" s="570"/>
      <c r="K5574" s="570"/>
    </row>
    <row r="5575" ht="13.75" customHeight="1">
      <c r="A5575" t="s" s="834">
        <v>3856</v>
      </c>
      <c r="B5575" t="s" s="834">
        <v>3857</v>
      </c>
      <c r="C5575" t="s" s="834">
        <v>1330</v>
      </c>
      <c r="D5575" s="570"/>
      <c r="E5575" s="570"/>
      <c r="F5575" s="570"/>
      <c r="G5575" s="570"/>
      <c r="H5575" s="570"/>
      <c r="I5575" s="570"/>
      <c r="J5575" s="570"/>
      <c r="K5575" s="570"/>
    </row>
    <row r="5576" ht="13.75" customHeight="1">
      <c r="A5576" s="833">
        <v>297</v>
      </c>
      <c r="B5576" t="s" s="834">
        <v>3825</v>
      </c>
      <c r="C5576" t="s" s="834">
        <v>617</v>
      </c>
      <c r="D5576" s="835">
        <v>46052</v>
      </c>
      <c r="E5576" t="s" s="834">
        <v>478</v>
      </c>
      <c r="F5576" t="s" s="834">
        <v>478</v>
      </c>
      <c r="G5576" s="570"/>
      <c r="H5576" s="570"/>
      <c r="I5576" s="570"/>
      <c r="J5576" s="570"/>
      <c r="K5576" s="570"/>
    </row>
    <row r="5577" ht="13.75" customHeight="1">
      <c r="A5577" s="833">
        <v>297</v>
      </c>
      <c r="B5577" t="s" s="834">
        <v>3825</v>
      </c>
      <c r="C5577" t="s" s="834">
        <v>617</v>
      </c>
      <c r="D5577" s="835">
        <v>46053</v>
      </c>
      <c r="E5577" t="s" s="834">
        <v>478</v>
      </c>
      <c r="F5577" t="s" s="834">
        <v>478</v>
      </c>
      <c r="G5577" s="570"/>
      <c r="H5577" s="570"/>
      <c r="I5577" s="570"/>
      <c r="J5577" s="570"/>
      <c r="K5577" s="570"/>
    </row>
    <row r="5578" ht="13.75" customHeight="1">
      <c r="A5578" s="833">
        <v>297</v>
      </c>
      <c r="B5578" t="s" s="834">
        <v>3825</v>
      </c>
      <c r="C5578" t="s" s="834">
        <v>617</v>
      </c>
      <c r="D5578" s="835">
        <v>46054</v>
      </c>
      <c r="E5578" t="s" s="834">
        <v>478</v>
      </c>
      <c r="F5578" t="s" s="834">
        <v>478</v>
      </c>
      <c r="G5578" s="570"/>
      <c r="H5578" s="570"/>
      <c r="I5578" s="570"/>
      <c r="J5578" s="570"/>
      <c r="K5578" s="570"/>
    </row>
    <row r="5579" ht="13.75" customHeight="1">
      <c r="A5579" s="833">
        <v>299</v>
      </c>
      <c r="B5579" t="s" s="834">
        <v>3858</v>
      </c>
      <c r="C5579" t="s" s="834">
        <v>1702</v>
      </c>
      <c r="D5579" s="835">
        <v>46023</v>
      </c>
      <c r="E5579" t="s" s="834">
        <v>478</v>
      </c>
      <c r="F5579" t="s" s="834">
        <v>478</v>
      </c>
      <c r="G5579" s="570"/>
      <c r="H5579" s="570"/>
      <c r="I5579" s="570"/>
      <c r="J5579" s="570"/>
      <c r="K5579" s="570"/>
    </row>
    <row r="5580" ht="13.75" customHeight="1">
      <c r="A5580" s="833">
        <v>299</v>
      </c>
      <c r="B5580" t="s" s="834">
        <v>3858</v>
      </c>
      <c r="C5580" t="s" s="834">
        <v>1702</v>
      </c>
      <c r="D5580" s="835">
        <v>46024</v>
      </c>
      <c r="E5580" t="s" s="834">
        <v>478</v>
      </c>
      <c r="F5580" t="s" s="834">
        <v>478</v>
      </c>
      <c r="G5580" s="570"/>
      <c r="H5580" s="570"/>
      <c r="I5580" s="570"/>
      <c r="J5580" s="570"/>
      <c r="K5580" s="570"/>
    </row>
    <row r="5581" ht="13.75" customHeight="1">
      <c r="A5581" s="833">
        <v>299</v>
      </c>
      <c r="B5581" t="s" s="834">
        <v>3858</v>
      </c>
      <c r="C5581" t="s" s="834">
        <v>1702</v>
      </c>
      <c r="D5581" s="835">
        <v>46025</v>
      </c>
      <c r="E5581" t="s" s="834">
        <v>478</v>
      </c>
      <c r="F5581" t="s" s="834">
        <v>478</v>
      </c>
      <c r="G5581" s="570"/>
      <c r="H5581" s="570"/>
      <c r="I5581" s="570"/>
      <c r="J5581" s="570"/>
      <c r="K5581" s="570"/>
    </row>
    <row r="5582" ht="13.75" customHeight="1">
      <c r="A5582" s="833">
        <v>299</v>
      </c>
      <c r="B5582" t="s" s="834">
        <v>3858</v>
      </c>
      <c r="C5582" t="s" s="834">
        <v>1702</v>
      </c>
      <c r="D5582" s="835">
        <v>46026</v>
      </c>
      <c r="E5582" t="s" s="834">
        <v>478</v>
      </c>
      <c r="F5582" t="s" s="834">
        <v>478</v>
      </c>
      <c r="G5582" s="570"/>
      <c r="H5582" s="570"/>
      <c r="I5582" s="570"/>
      <c r="J5582" s="570"/>
      <c r="K5582" s="570"/>
    </row>
    <row r="5583" ht="13.75" customHeight="1">
      <c r="A5583" s="833">
        <v>299</v>
      </c>
      <c r="B5583" t="s" s="834">
        <v>3858</v>
      </c>
      <c r="C5583" t="s" s="834">
        <v>1702</v>
      </c>
      <c r="D5583" s="835">
        <v>46027</v>
      </c>
      <c r="E5583" s="836">
        <v>1.3628125</v>
      </c>
      <c r="F5583" s="836">
        <v>1.816828703703704</v>
      </c>
      <c r="G5583" s="570"/>
      <c r="H5583" s="570"/>
      <c r="I5583" s="570"/>
      <c r="J5583" s="570"/>
      <c r="K5583" s="570"/>
    </row>
    <row r="5584" ht="13.75" customHeight="1">
      <c r="A5584" t="s" s="834">
        <v>3859</v>
      </c>
      <c r="B5584" t="s" s="834">
        <v>3860</v>
      </c>
      <c r="C5584" t="s" s="834">
        <v>1317</v>
      </c>
      <c r="D5584" s="570"/>
      <c r="E5584" s="570"/>
      <c r="F5584" s="570"/>
      <c r="G5584" s="570"/>
      <c r="H5584" s="570"/>
      <c r="I5584" s="570"/>
      <c r="J5584" s="570"/>
      <c r="K5584" s="570"/>
    </row>
    <row r="5585" ht="13.75" customHeight="1">
      <c r="A5585" s="833">
        <v>299</v>
      </c>
      <c r="B5585" t="s" s="834">
        <v>3858</v>
      </c>
      <c r="C5585" t="s" s="834">
        <v>1702</v>
      </c>
      <c r="D5585" s="835">
        <v>46028</v>
      </c>
      <c r="E5585" s="836">
        <v>1.357199074074074</v>
      </c>
      <c r="F5585" s="836">
        <v>1.762488425925926</v>
      </c>
      <c r="G5585" s="570"/>
      <c r="H5585" s="570"/>
      <c r="I5585" s="570"/>
      <c r="J5585" s="570"/>
      <c r="K5585" s="570"/>
    </row>
    <row r="5586" ht="13.75" customHeight="1">
      <c r="A5586" t="s" s="834">
        <v>3861</v>
      </c>
      <c r="B5586" t="s" s="834">
        <v>3862</v>
      </c>
      <c r="C5586" t="s" s="834">
        <v>1601</v>
      </c>
      <c r="D5586" s="570"/>
      <c r="E5586" s="570"/>
      <c r="F5586" s="570"/>
      <c r="G5586" s="570"/>
      <c r="H5586" s="570"/>
      <c r="I5586" s="570"/>
      <c r="J5586" s="570"/>
      <c r="K5586" s="570"/>
    </row>
    <row r="5587" ht="13.75" customHeight="1">
      <c r="A5587" s="833">
        <v>299</v>
      </c>
      <c r="B5587" t="s" s="834">
        <v>3858</v>
      </c>
      <c r="C5587" t="s" s="834">
        <v>1702</v>
      </c>
      <c r="D5587" s="835">
        <v>46029</v>
      </c>
      <c r="E5587" s="836">
        <v>1.363344907407407</v>
      </c>
      <c r="F5587" s="836">
        <v>1.79556712962963</v>
      </c>
      <c r="G5587" s="570"/>
      <c r="H5587" s="570"/>
      <c r="I5587" s="570"/>
      <c r="J5587" s="570"/>
      <c r="K5587" s="570"/>
    </row>
    <row r="5588" ht="13.75" customHeight="1">
      <c r="A5588" t="s" s="834">
        <v>3863</v>
      </c>
      <c r="B5588" t="s" s="834">
        <v>3864</v>
      </c>
      <c r="C5588" t="s" s="834">
        <v>1828</v>
      </c>
      <c r="D5588" s="570"/>
      <c r="E5588" s="570"/>
      <c r="F5588" s="570"/>
      <c r="G5588" s="570"/>
      <c r="H5588" s="570"/>
      <c r="I5588" s="570"/>
      <c r="J5588" s="570"/>
      <c r="K5588" s="570"/>
    </row>
    <row r="5589" ht="13.75" customHeight="1">
      <c r="A5589" s="833">
        <v>299</v>
      </c>
      <c r="B5589" t="s" s="834">
        <v>3858</v>
      </c>
      <c r="C5589" t="s" s="834">
        <v>1702</v>
      </c>
      <c r="D5589" s="835">
        <v>46030</v>
      </c>
      <c r="E5589" s="836">
        <v>1.359351851851852</v>
      </c>
      <c r="F5589" s="836">
        <v>1.795729166666667</v>
      </c>
      <c r="G5589" s="570"/>
      <c r="H5589" s="570"/>
      <c r="I5589" s="570"/>
      <c r="J5589" s="570"/>
      <c r="K5589" s="570"/>
    </row>
    <row r="5590" ht="13.75" customHeight="1">
      <c r="A5590" t="s" s="834">
        <v>3865</v>
      </c>
      <c r="B5590" t="s" s="834">
        <v>3866</v>
      </c>
      <c r="C5590" t="s" s="834">
        <v>1526</v>
      </c>
      <c r="D5590" s="570"/>
      <c r="E5590" s="570"/>
      <c r="F5590" s="570"/>
      <c r="G5590" s="570"/>
      <c r="H5590" s="570"/>
      <c r="I5590" s="570"/>
      <c r="J5590" s="570"/>
      <c r="K5590" s="570"/>
    </row>
    <row r="5591" ht="13.75" customHeight="1">
      <c r="A5591" s="833">
        <v>299</v>
      </c>
      <c r="B5591" t="s" s="834">
        <v>3858</v>
      </c>
      <c r="C5591" t="s" s="834">
        <v>1702</v>
      </c>
      <c r="D5591" s="835">
        <v>46031</v>
      </c>
      <c r="E5591" s="836">
        <v>1.773275462962963</v>
      </c>
      <c r="F5591" t="s" s="834">
        <v>478</v>
      </c>
      <c r="G5591" s="570"/>
      <c r="H5591" s="570"/>
      <c r="I5591" s="570"/>
      <c r="J5591" s="570"/>
      <c r="K5591" s="570"/>
    </row>
    <row r="5592" ht="13.75" customHeight="1">
      <c r="A5592" t="s" s="834">
        <v>3867</v>
      </c>
      <c r="B5592" t="s" s="834">
        <v>485</v>
      </c>
      <c r="C5592" t="s" s="834">
        <v>486</v>
      </c>
      <c r="D5592" s="570"/>
      <c r="E5592" s="570"/>
      <c r="F5592" s="570"/>
      <c r="G5592" s="570"/>
      <c r="H5592" s="570"/>
      <c r="I5592" s="570"/>
      <c r="J5592" s="570"/>
      <c r="K5592" s="570"/>
    </row>
    <row r="5593" ht="13.75" customHeight="1">
      <c r="A5593" s="833">
        <v>299</v>
      </c>
      <c r="B5593" t="s" s="834">
        <v>3858</v>
      </c>
      <c r="C5593" t="s" s="834">
        <v>1702</v>
      </c>
      <c r="D5593" s="835">
        <v>46032</v>
      </c>
      <c r="E5593" t="s" s="834">
        <v>478</v>
      </c>
      <c r="F5593" t="s" s="834">
        <v>478</v>
      </c>
      <c r="G5593" s="570"/>
      <c r="H5593" s="570"/>
      <c r="I5593" s="570"/>
      <c r="J5593" s="570"/>
      <c r="K5593" s="570"/>
    </row>
    <row r="5594" ht="13.75" customHeight="1">
      <c r="A5594" s="833">
        <v>299</v>
      </c>
      <c r="B5594" t="s" s="834">
        <v>3858</v>
      </c>
      <c r="C5594" t="s" s="834">
        <v>1702</v>
      </c>
      <c r="D5594" s="835">
        <v>46033</v>
      </c>
      <c r="E5594" t="s" s="834">
        <v>478</v>
      </c>
      <c r="F5594" t="s" s="834">
        <v>478</v>
      </c>
      <c r="G5594" s="570"/>
      <c r="H5594" s="570"/>
      <c r="I5594" s="570"/>
      <c r="J5594" s="570"/>
      <c r="K5594" s="570"/>
    </row>
    <row r="5595" ht="13.75" customHeight="1">
      <c r="A5595" s="833">
        <v>299</v>
      </c>
      <c r="B5595" t="s" s="834">
        <v>3858</v>
      </c>
      <c r="C5595" t="s" s="834">
        <v>1702</v>
      </c>
      <c r="D5595" s="835">
        <v>46034</v>
      </c>
      <c r="E5595" s="836">
        <v>1.360925925925926</v>
      </c>
      <c r="F5595" s="836">
        <v>1.782673611111111</v>
      </c>
      <c r="G5595" s="570"/>
      <c r="H5595" s="570"/>
      <c r="I5595" s="570"/>
      <c r="J5595" s="570"/>
      <c r="K5595" s="570"/>
    </row>
    <row r="5596" ht="13.75" customHeight="1">
      <c r="A5596" t="s" s="834">
        <v>3868</v>
      </c>
      <c r="B5596" t="s" s="834">
        <v>3869</v>
      </c>
      <c r="C5596" t="s" s="834">
        <v>620</v>
      </c>
      <c r="D5596" s="570"/>
      <c r="E5596" s="570"/>
      <c r="F5596" s="570"/>
      <c r="G5596" s="570"/>
      <c r="H5596" s="570"/>
      <c r="I5596" s="570"/>
      <c r="J5596" s="570"/>
      <c r="K5596" s="570"/>
    </row>
    <row r="5597" ht="13.75" customHeight="1">
      <c r="A5597" s="833">
        <v>299</v>
      </c>
      <c r="B5597" t="s" s="834">
        <v>3858</v>
      </c>
      <c r="C5597" t="s" s="834">
        <v>1702</v>
      </c>
      <c r="D5597" s="835">
        <v>46035</v>
      </c>
      <c r="E5597" s="836">
        <v>1.354571759259259</v>
      </c>
      <c r="F5597" s="836">
        <v>1.778888888888889</v>
      </c>
      <c r="G5597" s="570"/>
      <c r="H5597" s="570"/>
      <c r="I5597" s="570"/>
      <c r="J5597" s="570"/>
      <c r="K5597" s="570"/>
    </row>
    <row r="5598" ht="13.75" customHeight="1">
      <c r="A5598" t="s" s="834">
        <v>3870</v>
      </c>
      <c r="B5598" t="s" s="834">
        <v>3871</v>
      </c>
      <c r="C5598" t="s" s="834">
        <v>623</v>
      </c>
      <c r="D5598" s="570"/>
      <c r="E5598" s="570"/>
      <c r="F5598" s="570"/>
      <c r="G5598" s="570"/>
      <c r="H5598" s="570"/>
      <c r="I5598" s="570"/>
      <c r="J5598" s="570"/>
      <c r="K5598" s="570"/>
    </row>
    <row r="5599" ht="13.75" customHeight="1">
      <c r="A5599" s="833">
        <v>299</v>
      </c>
      <c r="B5599" t="s" s="834">
        <v>3858</v>
      </c>
      <c r="C5599" t="s" s="834">
        <v>1702</v>
      </c>
      <c r="D5599" s="835">
        <v>46036</v>
      </c>
      <c r="E5599" s="836">
        <v>1.3671875</v>
      </c>
      <c r="F5599" s="836">
        <v>1.801956018518518</v>
      </c>
      <c r="G5599" s="570"/>
      <c r="H5599" s="570"/>
      <c r="I5599" s="570"/>
      <c r="J5599" s="570"/>
      <c r="K5599" s="570"/>
    </row>
    <row r="5600" ht="13.75" customHeight="1">
      <c r="A5600" t="s" s="834">
        <v>3872</v>
      </c>
      <c r="B5600" t="s" s="834">
        <v>3873</v>
      </c>
      <c r="C5600" t="s" s="834">
        <v>1141</v>
      </c>
      <c r="D5600" s="570"/>
      <c r="E5600" s="570"/>
      <c r="F5600" s="570"/>
      <c r="G5600" s="570"/>
      <c r="H5600" s="570"/>
      <c r="I5600" s="570"/>
      <c r="J5600" s="570"/>
      <c r="K5600" s="570"/>
    </row>
    <row r="5601" ht="13.75" customHeight="1">
      <c r="A5601" s="833">
        <v>299</v>
      </c>
      <c r="B5601" t="s" s="834">
        <v>3858</v>
      </c>
      <c r="C5601" t="s" s="834">
        <v>1702</v>
      </c>
      <c r="D5601" s="835">
        <v>46037</v>
      </c>
      <c r="E5601" s="836">
        <v>1.360231481481482</v>
      </c>
      <c r="F5601" s="836">
        <v>1.797581018518518</v>
      </c>
      <c r="G5601" s="570"/>
      <c r="H5601" s="570"/>
      <c r="I5601" s="570"/>
      <c r="J5601" s="570"/>
      <c r="K5601" s="570"/>
    </row>
    <row r="5602" ht="13.75" customHeight="1">
      <c r="A5602" t="s" s="834">
        <v>3874</v>
      </c>
      <c r="B5602" t="s" s="834">
        <v>3875</v>
      </c>
      <c r="C5602" t="s" s="834">
        <v>1901</v>
      </c>
      <c r="D5602" s="570"/>
      <c r="E5602" s="570"/>
      <c r="F5602" s="570"/>
      <c r="G5602" s="570"/>
      <c r="H5602" s="570"/>
      <c r="I5602" s="570"/>
      <c r="J5602" s="570"/>
      <c r="K5602" s="570"/>
    </row>
    <row r="5603" ht="13.75" customHeight="1">
      <c r="A5603" s="833">
        <v>299</v>
      </c>
      <c r="B5603" t="s" s="834">
        <v>3858</v>
      </c>
      <c r="C5603" t="s" s="834">
        <v>1702</v>
      </c>
      <c r="D5603" s="835">
        <v>46038</v>
      </c>
      <c r="E5603" t="s" s="834">
        <v>478</v>
      </c>
      <c r="F5603" t="s" s="834">
        <v>478</v>
      </c>
      <c r="G5603" s="570"/>
      <c r="H5603" s="570"/>
      <c r="I5603" s="570"/>
      <c r="J5603" s="570"/>
      <c r="K5603" s="570"/>
    </row>
    <row r="5604" ht="13.75" customHeight="1">
      <c r="A5604" s="833">
        <v>299</v>
      </c>
      <c r="B5604" t="s" s="834">
        <v>3858</v>
      </c>
      <c r="C5604" t="s" s="834">
        <v>1702</v>
      </c>
      <c r="D5604" s="835">
        <v>46039</v>
      </c>
      <c r="E5604" t="s" s="834">
        <v>478</v>
      </c>
      <c r="F5604" t="s" s="834">
        <v>478</v>
      </c>
      <c r="G5604" s="570"/>
      <c r="H5604" s="570"/>
      <c r="I5604" s="570"/>
      <c r="J5604" s="570"/>
      <c r="K5604" s="570"/>
    </row>
    <row r="5605" ht="13.75" customHeight="1">
      <c r="A5605" s="833">
        <v>299</v>
      </c>
      <c r="B5605" t="s" s="834">
        <v>3858</v>
      </c>
      <c r="C5605" t="s" s="834">
        <v>1702</v>
      </c>
      <c r="D5605" s="835">
        <v>46040</v>
      </c>
      <c r="E5605" t="s" s="834">
        <v>478</v>
      </c>
      <c r="F5605" t="s" s="834">
        <v>478</v>
      </c>
      <c r="G5605" s="570"/>
      <c r="H5605" s="570"/>
      <c r="I5605" s="570"/>
      <c r="J5605" s="570"/>
      <c r="K5605" s="570"/>
    </row>
    <row r="5606" ht="13.75" customHeight="1">
      <c r="A5606" s="833">
        <v>299</v>
      </c>
      <c r="B5606" t="s" s="834">
        <v>3858</v>
      </c>
      <c r="C5606" t="s" s="834">
        <v>1702</v>
      </c>
      <c r="D5606" s="835">
        <v>46041</v>
      </c>
      <c r="E5606" s="836">
        <v>1.367546296296296</v>
      </c>
      <c r="F5606" s="836">
        <v>1.794641203703704</v>
      </c>
      <c r="G5606" s="570"/>
      <c r="H5606" s="570"/>
      <c r="I5606" s="570"/>
      <c r="J5606" s="570"/>
      <c r="K5606" s="570"/>
    </row>
    <row r="5607" ht="13.75" customHeight="1">
      <c r="A5607" t="s" s="834">
        <v>3876</v>
      </c>
      <c r="B5607" t="s" s="834">
        <v>3877</v>
      </c>
      <c r="C5607" t="s" s="834">
        <v>655</v>
      </c>
      <c r="D5607" s="570"/>
      <c r="E5607" s="570"/>
      <c r="F5607" s="570"/>
      <c r="G5607" s="570"/>
      <c r="H5607" s="570"/>
      <c r="I5607" s="570"/>
      <c r="J5607" s="570"/>
      <c r="K5607" s="570"/>
    </row>
    <row r="5608" ht="13.75" customHeight="1">
      <c r="A5608" s="833">
        <v>299</v>
      </c>
      <c r="B5608" t="s" s="834">
        <v>3858</v>
      </c>
      <c r="C5608" t="s" s="834">
        <v>1702</v>
      </c>
      <c r="D5608" s="835">
        <v>46042</v>
      </c>
      <c r="E5608" s="836">
        <v>1.362349537037037</v>
      </c>
      <c r="F5608" s="836">
        <v>1.765289351851852</v>
      </c>
      <c r="G5608" s="570"/>
      <c r="H5608" s="570"/>
      <c r="I5608" s="570"/>
      <c r="J5608" s="570"/>
      <c r="K5608" s="570"/>
    </row>
    <row r="5609" ht="13.75" customHeight="1">
      <c r="A5609" t="s" s="834">
        <v>3878</v>
      </c>
      <c r="B5609" t="s" s="834">
        <v>3879</v>
      </c>
      <c r="C5609" t="s" s="834">
        <v>861</v>
      </c>
      <c r="D5609" s="570"/>
      <c r="E5609" s="570"/>
      <c r="F5609" s="570"/>
      <c r="G5609" s="570"/>
      <c r="H5609" s="570"/>
      <c r="I5609" s="570"/>
      <c r="J5609" s="570"/>
      <c r="K5609" s="570"/>
    </row>
    <row r="5610" ht="13.75" customHeight="1">
      <c r="A5610" s="833">
        <v>299</v>
      </c>
      <c r="B5610" t="s" s="834">
        <v>3858</v>
      </c>
      <c r="C5610" t="s" s="834">
        <v>1702</v>
      </c>
      <c r="D5610" s="835">
        <v>46043</v>
      </c>
      <c r="E5610" s="836">
        <v>1.361527777777778</v>
      </c>
      <c r="F5610" s="836">
        <v>1.773946759259259</v>
      </c>
      <c r="G5610" s="570"/>
      <c r="H5610" s="570"/>
      <c r="I5610" s="570"/>
      <c r="J5610" s="570"/>
      <c r="K5610" s="570"/>
    </row>
    <row r="5611" ht="13.75" customHeight="1">
      <c r="A5611" t="s" s="834">
        <v>3880</v>
      </c>
      <c r="B5611" t="s" s="834">
        <v>3881</v>
      </c>
      <c r="C5611" t="s" s="834">
        <v>1059</v>
      </c>
      <c r="D5611" s="570"/>
      <c r="E5611" s="570"/>
      <c r="F5611" s="570"/>
      <c r="G5611" s="570"/>
      <c r="H5611" s="570"/>
      <c r="I5611" s="570"/>
      <c r="J5611" s="570"/>
      <c r="K5611" s="570"/>
    </row>
    <row r="5612" ht="13.75" customHeight="1">
      <c r="A5612" s="833">
        <v>299</v>
      </c>
      <c r="B5612" t="s" s="834">
        <v>3858</v>
      </c>
      <c r="C5612" t="s" s="834">
        <v>1702</v>
      </c>
      <c r="D5612" s="835">
        <v>46044</v>
      </c>
      <c r="E5612" s="836">
        <v>1.367905092592593</v>
      </c>
      <c r="F5612" s="836">
        <v>1.814756944444444</v>
      </c>
      <c r="G5612" s="570"/>
      <c r="H5612" s="570"/>
      <c r="I5612" s="570"/>
      <c r="J5612" s="570"/>
      <c r="K5612" s="570"/>
    </row>
    <row r="5613" ht="13.75" customHeight="1">
      <c r="A5613" t="s" s="834">
        <v>3882</v>
      </c>
      <c r="B5613" t="s" s="834">
        <v>3883</v>
      </c>
      <c r="C5613" t="s" s="834">
        <v>527</v>
      </c>
      <c r="D5613" s="570"/>
      <c r="E5613" s="570"/>
      <c r="F5613" s="570"/>
      <c r="G5613" s="570"/>
      <c r="H5613" s="570"/>
      <c r="I5613" s="570"/>
      <c r="J5613" s="570"/>
      <c r="K5613" s="570"/>
    </row>
    <row r="5614" ht="13.75" customHeight="1">
      <c r="A5614" s="833">
        <v>299</v>
      </c>
      <c r="B5614" t="s" s="834">
        <v>3858</v>
      </c>
      <c r="C5614" t="s" s="834">
        <v>1702</v>
      </c>
      <c r="D5614" s="835">
        <v>46045</v>
      </c>
      <c r="E5614" t="s" s="834">
        <v>478</v>
      </c>
      <c r="F5614" t="s" s="834">
        <v>478</v>
      </c>
      <c r="G5614" s="570"/>
      <c r="H5614" s="570"/>
      <c r="I5614" s="570"/>
      <c r="J5614" s="570"/>
      <c r="K5614" s="570"/>
    </row>
    <row r="5615" ht="13.75" customHeight="1">
      <c r="A5615" s="833">
        <v>299</v>
      </c>
      <c r="B5615" t="s" s="834">
        <v>3858</v>
      </c>
      <c r="C5615" t="s" s="834">
        <v>1702</v>
      </c>
      <c r="D5615" s="835">
        <v>46046</v>
      </c>
      <c r="E5615" t="s" s="834">
        <v>478</v>
      </c>
      <c r="F5615" t="s" s="834">
        <v>478</v>
      </c>
      <c r="G5615" s="570"/>
      <c r="H5615" s="570"/>
      <c r="I5615" s="570"/>
      <c r="J5615" s="570"/>
      <c r="K5615" s="570"/>
    </row>
    <row r="5616" ht="13.75" customHeight="1">
      <c r="A5616" s="833">
        <v>299</v>
      </c>
      <c r="B5616" t="s" s="834">
        <v>3858</v>
      </c>
      <c r="C5616" t="s" s="834">
        <v>1702</v>
      </c>
      <c r="D5616" s="835">
        <v>46047</v>
      </c>
      <c r="E5616" t="s" s="834">
        <v>478</v>
      </c>
      <c r="F5616" t="s" s="834">
        <v>478</v>
      </c>
      <c r="G5616" s="570"/>
      <c r="H5616" s="570"/>
      <c r="I5616" s="570"/>
      <c r="J5616" s="570"/>
      <c r="K5616" s="570"/>
    </row>
    <row r="5617" ht="13.75" customHeight="1">
      <c r="A5617" s="833">
        <v>299</v>
      </c>
      <c r="B5617" t="s" s="834">
        <v>3858</v>
      </c>
      <c r="C5617" t="s" s="834">
        <v>1702</v>
      </c>
      <c r="D5617" s="835">
        <v>46048</v>
      </c>
      <c r="E5617" s="836">
        <v>1.359456018518518</v>
      </c>
      <c r="F5617" s="836">
        <v>1.770717592592593</v>
      </c>
      <c r="G5617" s="570"/>
      <c r="H5617" s="570"/>
      <c r="I5617" s="570"/>
      <c r="J5617" s="570"/>
      <c r="K5617" s="570"/>
    </row>
    <row r="5618" ht="13.75" customHeight="1">
      <c r="A5618" t="s" s="834">
        <v>3884</v>
      </c>
      <c r="B5618" t="s" s="834">
        <v>3885</v>
      </c>
      <c r="C5618" t="s" s="834">
        <v>850</v>
      </c>
      <c r="D5618" s="570"/>
      <c r="E5618" s="570"/>
      <c r="F5618" s="570"/>
      <c r="G5618" s="570"/>
      <c r="H5618" s="570"/>
      <c r="I5618" s="570"/>
      <c r="J5618" s="570"/>
      <c r="K5618" s="570"/>
    </row>
    <row r="5619" ht="13.75" customHeight="1">
      <c r="A5619" s="833">
        <v>299</v>
      </c>
      <c r="B5619" t="s" s="834">
        <v>3858</v>
      </c>
      <c r="C5619" t="s" s="834">
        <v>1702</v>
      </c>
      <c r="D5619" s="835">
        <v>46049</v>
      </c>
      <c r="E5619" s="836">
        <v>1.3546875</v>
      </c>
      <c r="F5619" s="836">
        <v>1.820590277777778</v>
      </c>
      <c r="G5619" s="570"/>
      <c r="H5619" s="570"/>
      <c r="I5619" s="570"/>
      <c r="J5619" s="570"/>
      <c r="K5619" s="570"/>
    </row>
    <row r="5620" ht="13.75" customHeight="1">
      <c r="A5620" t="s" s="834">
        <v>3886</v>
      </c>
      <c r="B5620" t="s" s="834">
        <v>3887</v>
      </c>
      <c r="C5620" t="s" s="834">
        <v>3888</v>
      </c>
      <c r="D5620" s="570"/>
      <c r="E5620" s="570"/>
      <c r="F5620" s="570"/>
      <c r="G5620" s="570"/>
      <c r="H5620" s="570"/>
      <c r="I5620" s="570"/>
      <c r="J5620" s="570"/>
      <c r="K5620" s="570"/>
    </row>
    <row r="5621" ht="13.75" customHeight="1">
      <c r="A5621" s="833">
        <v>299</v>
      </c>
      <c r="B5621" t="s" s="834">
        <v>3858</v>
      </c>
      <c r="C5621" t="s" s="834">
        <v>1702</v>
      </c>
      <c r="D5621" s="835">
        <v>46050</v>
      </c>
      <c r="E5621" s="836">
        <v>1.359652777777778</v>
      </c>
      <c r="F5621" s="836">
        <v>1.81130787037037</v>
      </c>
      <c r="G5621" s="570"/>
      <c r="H5621" s="570"/>
      <c r="I5621" s="570"/>
      <c r="J5621" s="570"/>
      <c r="K5621" s="570"/>
    </row>
    <row r="5622" ht="13.75" customHeight="1">
      <c r="A5622" t="s" s="834">
        <v>3889</v>
      </c>
      <c r="B5622" t="s" s="834">
        <v>3890</v>
      </c>
      <c r="C5622" t="s" s="834">
        <v>3390</v>
      </c>
      <c r="D5622" s="570"/>
      <c r="E5622" s="570"/>
      <c r="F5622" s="570"/>
      <c r="G5622" s="570"/>
      <c r="H5622" s="570"/>
      <c r="I5622" s="570"/>
      <c r="J5622" s="570"/>
      <c r="K5622" s="570"/>
    </row>
    <row r="5623" ht="13.75" customHeight="1">
      <c r="A5623" s="833">
        <v>299</v>
      </c>
      <c r="B5623" t="s" s="834">
        <v>3858</v>
      </c>
      <c r="C5623" t="s" s="834">
        <v>1702</v>
      </c>
      <c r="D5623" s="835">
        <v>46051</v>
      </c>
      <c r="E5623" s="836">
        <v>1.35900462962963</v>
      </c>
      <c r="F5623" s="836">
        <v>1.754780092592592</v>
      </c>
      <c r="G5623" s="570"/>
      <c r="H5623" s="570"/>
      <c r="I5623" s="570"/>
      <c r="J5623" s="570"/>
      <c r="K5623" s="570"/>
    </row>
    <row r="5624" ht="13.75" customHeight="1">
      <c r="A5624" t="s" s="834">
        <v>3891</v>
      </c>
      <c r="B5624" t="s" s="834">
        <v>3892</v>
      </c>
      <c r="C5624" t="s" s="834">
        <v>634</v>
      </c>
      <c r="D5624" s="570"/>
      <c r="E5624" s="570"/>
      <c r="F5624" s="570"/>
      <c r="G5624" s="570"/>
      <c r="H5624" s="570"/>
      <c r="I5624" s="570"/>
      <c r="J5624" s="570"/>
      <c r="K5624" s="570"/>
    </row>
    <row r="5625" ht="13.75" customHeight="1">
      <c r="A5625" s="833">
        <v>299</v>
      </c>
      <c r="B5625" t="s" s="834">
        <v>3858</v>
      </c>
      <c r="C5625" t="s" s="834">
        <v>1702</v>
      </c>
      <c r="D5625" s="835">
        <v>46052</v>
      </c>
      <c r="E5625" t="s" s="834">
        <v>478</v>
      </c>
      <c r="F5625" t="s" s="834">
        <v>478</v>
      </c>
      <c r="G5625" s="570"/>
      <c r="H5625" s="570"/>
      <c r="I5625" s="570"/>
      <c r="J5625" s="570"/>
      <c r="K5625" s="570"/>
    </row>
    <row r="5626" ht="13.75" customHeight="1">
      <c r="A5626" s="833">
        <v>299</v>
      </c>
      <c r="B5626" t="s" s="834">
        <v>3858</v>
      </c>
      <c r="C5626" t="s" s="834">
        <v>1702</v>
      </c>
      <c r="D5626" s="835">
        <v>46053</v>
      </c>
      <c r="E5626" t="s" s="834">
        <v>478</v>
      </c>
      <c r="F5626" t="s" s="834">
        <v>478</v>
      </c>
      <c r="G5626" s="570"/>
      <c r="H5626" s="570"/>
      <c r="I5626" s="570"/>
      <c r="J5626" s="570"/>
      <c r="K5626" s="570"/>
    </row>
    <row r="5627" ht="13.75" customHeight="1">
      <c r="A5627" s="833">
        <v>299</v>
      </c>
      <c r="B5627" t="s" s="834">
        <v>3858</v>
      </c>
      <c r="C5627" t="s" s="834">
        <v>1702</v>
      </c>
      <c r="D5627" s="835">
        <v>46054</v>
      </c>
      <c r="E5627" t="s" s="834">
        <v>478</v>
      </c>
      <c r="F5627" t="s" s="834">
        <v>478</v>
      </c>
      <c r="G5627" s="570"/>
      <c r="H5627" s="570"/>
      <c r="I5627" s="570"/>
      <c r="J5627" s="570"/>
      <c r="K5627" s="570"/>
    </row>
    <row r="5628" ht="13.75" customHeight="1">
      <c r="A5628" s="833">
        <v>3</v>
      </c>
      <c r="B5628" t="s" s="834">
        <v>3893</v>
      </c>
      <c r="C5628" t="s" s="834">
        <v>617</v>
      </c>
      <c r="D5628" s="835">
        <v>46023</v>
      </c>
      <c r="E5628" t="s" s="834">
        <v>478</v>
      </c>
      <c r="F5628" t="s" s="834">
        <v>478</v>
      </c>
      <c r="G5628" s="570"/>
      <c r="H5628" s="570"/>
      <c r="I5628" s="570"/>
      <c r="J5628" s="570"/>
      <c r="K5628" s="570"/>
    </row>
    <row r="5629" ht="13.75" customHeight="1">
      <c r="A5629" s="833">
        <v>3</v>
      </c>
      <c r="B5629" t="s" s="834">
        <v>3893</v>
      </c>
      <c r="C5629" t="s" s="834">
        <v>617</v>
      </c>
      <c r="D5629" s="835">
        <v>46024</v>
      </c>
      <c r="E5629" t="s" s="834">
        <v>478</v>
      </c>
      <c r="F5629" t="s" s="834">
        <v>478</v>
      </c>
      <c r="G5629" s="570"/>
      <c r="H5629" s="570"/>
      <c r="I5629" s="570"/>
      <c r="J5629" s="570"/>
      <c r="K5629" s="570"/>
    </row>
    <row r="5630" ht="13.75" customHeight="1">
      <c r="A5630" s="833">
        <v>3</v>
      </c>
      <c r="B5630" t="s" s="834">
        <v>3893</v>
      </c>
      <c r="C5630" t="s" s="834">
        <v>617</v>
      </c>
      <c r="D5630" s="835">
        <v>46025</v>
      </c>
      <c r="E5630" t="s" s="834">
        <v>478</v>
      </c>
      <c r="F5630" t="s" s="834">
        <v>478</v>
      </c>
      <c r="G5630" s="570"/>
      <c r="H5630" s="570"/>
      <c r="I5630" s="570"/>
      <c r="J5630" s="570"/>
      <c r="K5630" s="570"/>
    </row>
    <row r="5631" ht="13.75" customHeight="1">
      <c r="A5631" s="833">
        <v>3</v>
      </c>
      <c r="B5631" t="s" s="834">
        <v>3893</v>
      </c>
      <c r="C5631" t="s" s="834">
        <v>617</v>
      </c>
      <c r="D5631" s="835">
        <v>46026</v>
      </c>
      <c r="E5631" t="s" s="834">
        <v>478</v>
      </c>
      <c r="F5631" t="s" s="834">
        <v>478</v>
      </c>
      <c r="G5631" s="570"/>
      <c r="H5631" s="570"/>
      <c r="I5631" s="570"/>
      <c r="J5631" s="570"/>
      <c r="K5631" s="570"/>
    </row>
    <row r="5632" ht="13.75" customHeight="1">
      <c r="A5632" s="833">
        <v>3</v>
      </c>
      <c r="B5632" t="s" s="834">
        <v>3893</v>
      </c>
      <c r="C5632" t="s" s="834">
        <v>617</v>
      </c>
      <c r="D5632" s="835">
        <v>46027</v>
      </c>
      <c r="E5632" s="836">
        <v>1.352604166666667</v>
      </c>
      <c r="F5632" s="836">
        <v>1.756736111111111</v>
      </c>
      <c r="G5632" s="570"/>
      <c r="H5632" s="570"/>
      <c r="I5632" s="570"/>
      <c r="J5632" s="570"/>
      <c r="K5632" s="570"/>
    </row>
    <row r="5633" ht="13.75" customHeight="1">
      <c r="A5633" t="s" s="834">
        <v>3894</v>
      </c>
      <c r="B5633" t="s" s="834">
        <v>3895</v>
      </c>
      <c r="C5633" t="s" s="834">
        <v>493</v>
      </c>
      <c r="D5633" s="570"/>
      <c r="E5633" s="570"/>
      <c r="F5633" s="570"/>
      <c r="G5633" s="570"/>
      <c r="H5633" s="570"/>
      <c r="I5633" s="570"/>
      <c r="J5633" s="570"/>
      <c r="K5633" s="570"/>
    </row>
    <row r="5634" ht="13.75" customHeight="1">
      <c r="A5634" s="833">
        <v>3</v>
      </c>
      <c r="B5634" t="s" s="834">
        <v>3893</v>
      </c>
      <c r="C5634" t="s" s="834">
        <v>617</v>
      </c>
      <c r="D5634" s="835">
        <v>46028</v>
      </c>
      <c r="E5634" s="836">
        <v>1.359143518518519</v>
      </c>
      <c r="F5634" s="836">
        <v>1.755625</v>
      </c>
      <c r="G5634" s="570"/>
      <c r="H5634" s="570"/>
      <c r="I5634" s="570"/>
      <c r="J5634" s="570"/>
      <c r="K5634" s="570"/>
    </row>
    <row r="5635" ht="13.75" customHeight="1">
      <c r="A5635" t="s" s="834">
        <v>3896</v>
      </c>
      <c r="B5635" t="s" s="834">
        <v>3897</v>
      </c>
      <c r="C5635" t="s" s="834">
        <v>683</v>
      </c>
      <c r="D5635" s="570"/>
      <c r="E5635" s="570"/>
      <c r="F5635" s="570"/>
      <c r="G5635" s="570"/>
      <c r="H5635" s="570"/>
      <c r="I5635" s="570"/>
      <c r="J5635" s="570"/>
      <c r="K5635" s="570"/>
    </row>
    <row r="5636" ht="13.75" customHeight="1">
      <c r="A5636" s="833">
        <v>3</v>
      </c>
      <c r="B5636" t="s" s="834">
        <v>3893</v>
      </c>
      <c r="C5636" t="s" s="834">
        <v>617</v>
      </c>
      <c r="D5636" s="835">
        <v>46029</v>
      </c>
      <c r="E5636" s="836">
        <v>1.356921296296296</v>
      </c>
      <c r="F5636" s="836">
        <v>1.730636574074074</v>
      </c>
      <c r="G5636" s="570"/>
      <c r="H5636" s="570"/>
      <c r="I5636" s="570"/>
      <c r="J5636" s="570"/>
      <c r="K5636" s="570"/>
    </row>
    <row r="5637" ht="13.75" customHeight="1">
      <c r="A5637" t="s" s="834">
        <v>3898</v>
      </c>
      <c r="B5637" t="s" s="834">
        <v>3899</v>
      </c>
      <c r="C5637" t="s" s="834">
        <v>552</v>
      </c>
      <c r="D5637" s="570"/>
      <c r="E5637" s="570"/>
      <c r="F5637" s="570"/>
      <c r="G5637" s="570"/>
      <c r="H5637" s="570"/>
      <c r="I5637" s="570"/>
      <c r="J5637" s="570"/>
      <c r="K5637" s="570"/>
    </row>
    <row r="5638" ht="13.75" customHeight="1">
      <c r="A5638" s="833">
        <v>3</v>
      </c>
      <c r="B5638" t="s" s="834">
        <v>3893</v>
      </c>
      <c r="C5638" t="s" s="834">
        <v>617</v>
      </c>
      <c r="D5638" s="835">
        <v>46030</v>
      </c>
      <c r="E5638" s="836">
        <v>1.352974537037037</v>
      </c>
      <c r="F5638" s="836">
        <v>1.756168981481482</v>
      </c>
      <c r="G5638" s="570"/>
      <c r="H5638" s="570"/>
      <c r="I5638" s="570"/>
      <c r="J5638" s="570"/>
      <c r="K5638" s="570"/>
    </row>
    <row r="5639" ht="13.75" customHeight="1">
      <c r="A5639" t="s" s="834">
        <v>3900</v>
      </c>
      <c r="B5639" t="s" s="834">
        <v>3901</v>
      </c>
      <c r="C5639" t="s" s="834">
        <v>590</v>
      </c>
      <c r="D5639" s="570"/>
      <c r="E5639" s="570"/>
      <c r="F5639" s="570"/>
      <c r="G5639" s="570"/>
      <c r="H5639" s="570"/>
      <c r="I5639" s="570"/>
      <c r="J5639" s="570"/>
      <c r="K5639" s="570"/>
    </row>
    <row r="5640" ht="13.75" customHeight="1">
      <c r="A5640" s="833">
        <v>3</v>
      </c>
      <c r="B5640" t="s" s="834">
        <v>3893</v>
      </c>
      <c r="C5640" t="s" s="834">
        <v>617</v>
      </c>
      <c r="D5640" s="835">
        <v>46031</v>
      </c>
      <c r="E5640" t="s" s="834">
        <v>478</v>
      </c>
      <c r="F5640" t="s" s="834">
        <v>478</v>
      </c>
      <c r="G5640" s="570"/>
      <c r="H5640" s="570"/>
      <c r="I5640" s="570"/>
      <c r="J5640" s="570"/>
      <c r="K5640" s="570"/>
    </row>
    <row r="5641" ht="13.75" customHeight="1">
      <c r="A5641" s="833">
        <v>3</v>
      </c>
      <c r="B5641" t="s" s="834">
        <v>3893</v>
      </c>
      <c r="C5641" t="s" s="834">
        <v>617</v>
      </c>
      <c r="D5641" s="835">
        <v>46032</v>
      </c>
      <c r="E5641" t="s" s="834">
        <v>478</v>
      </c>
      <c r="F5641" t="s" s="834">
        <v>478</v>
      </c>
      <c r="G5641" s="570"/>
      <c r="H5641" s="570"/>
      <c r="I5641" s="570"/>
      <c r="J5641" s="570"/>
      <c r="K5641" s="570"/>
    </row>
    <row r="5642" ht="13.75" customHeight="1">
      <c r="A5642" s="833">
        <v>3</v>
      </c>
      <c r="B5642" t="s" s="834">
        <v>3893</v>
      </c>
      <c r="C5642" t="s" s="834">
        <v>617</v>
      </c>
      <c r="D5642" s="835">
        <v>46033</v>
      </c>
      <c r="E5642" t="s" s="834">
        <v>478</v>
      </c>
      <c r="F5642" t="s" s="834">
        <v>478</v>
      </c>
      <c r="G5642" s="570"/>
      <c r="H5642" s="570"/>
      <c r="I5642" s="570"/>
      <c r="J5642" s="570"/>
      <c r="K5642" s="570"/>
    </row>
    <row r="5643" ht="13.75" customHeight="1">
      <c r="A5643" s="833">
        <v>3</v>
      </c>
      <c r="B5643" t="s" s="834">
        <v>3893</v>
      </c>
      <c r="C5643" t="s" s="834">
        <v>617</v>
      </c>
      <c r="D5643" s="835">
        <v>46034</v>
      </c>
      <c r="E5643" s="836">
        <v>1.357361111111111</v>
      </c>
      <c r="F5643" s="836">
        <v>1.522581018518518</v>
      </c>
      <c r="G5643" s="570"/>
      <c r="H5643" s="570"/>
      <c r="I5643" s="570"/>
      <c r="J5643" s="570"/>
      <c r="K5643" s="570"/>
    </row>
    <row r="5644" ht="13.75" customHeight="1">
      <c r="A5644" t="s" s="834">
        <v>3902</v>
      </c>
      <c r="B5644" t="s" s="834">
        <v>3903</v>
      </c>
      <c r="C5644" t="s" s="834">
        <v>3904</v>
      </c>
      <c r="D5644" s="570"/>
      <c r="E5644" s="570"/>
      <c r="F5644" s="570"/>
      <c r="G5644" s="570"/>
      <c r="H5644" s="570"/>
      <c r="I5644" s="570"/>
      <c r="J5644" s="570"/>
      <c r="K5644" s="570"/>
    </row>
    <row r="5645" ht="13.75" customHeight="1">
      <c r="A5645" s="833">
        <v>3</v>
      </c>
      <c r="B5645" t="s" s="834">
        <v>3893</v>
      </c>
      <c r="C5645" t="s" s="834">
        <v>617</v>
      </c>
      <c r="D5645" s="835">
        <v>46035</v>
      </c>
      <c r="E5645" s="836">
        <v>1.35380787037037</v>
      </c>
      <c r="F5645" s="836">
        <v>1.752719907407407</v>
      </c>
      <c r="G5645" s="570"/>
      <c r="H5645" s="570"/>
      <c r="I5645" s="570"/>
      <c r="J5645" s="570"/>
      <c r="K5645" s="570"/>
    </row>
    <row r="5646" ht="13.75" customHeight="1">
      <c r="A5646" t="s" s="834">
        <v>3905</v>
      </c>
      <c r="B5646" t="s" s="834">
        <v>3906</v>
      </c>
      <c r="C5646" t="s" s="834">
        <v>611</v>
      </c>
      <c r="D5646" s="570"/>
      <c r="E5646" s="570"/>
      <c r="F5646" s="570"/>
      <c r="G5646" s="570"/>
      <c r="H5646" s="570"/>
      <c r="I5646" s="570"/>
      <c r="J5646" s="570"/>
      <c r="K5646" s="570"/>
    </row>
    <row r="5647" ht="13.75" customHeight="1">
      <c r="A5647" s="833">
        <v>3</v>
      </c>
      <c r="B5647" t="s" s="834">
        <v>3893</v>
      </c>
      <c r="C5647" t="s" s="834">
        <v>617</v>
      </c>
      <c r="D5647" s="835">
        <v>46036</v>
      </c>
      <c r="E5647" s="836">
        <v>1.355914351851852</v>
      </c>
      <c r="F5647" s="836">
        <v>1.752800925925926</v>
      </c>
      <c r="G5647" s="570"/>
      <c r="H5647" s="570"/>
      <c r="I5647" s="570"/>
      <c r="J5647" s="570"/>
      <c r="K5647" s="570"/>
    </row>
    <row r="5648" ht="13.75" customHeight="1">
      <c r="A5648" t="s" s="834">
        <v>3907</v>
      </c>
      <c r="B5648" t="s" s="834">
        <v>3908</v>
      </c>
      <c r="C5648" t="s" s="834">
        <v>747</v>
      </c>
      <c r="D5648" s="570"/>
      <c r="E5648" s="570"/>
      <c r="F5648" s="570"/>
      <c r="G5648" s="570"/>
      <c r="H5648" s="570"/>
      <c r="I5648" s="570"/>
      <c r="J5648" s="570"/>
      <c r="K5648" s="570"/>
    </row>
    <row r="5649" ht="13.75" customHeight="1">
      <c r="A5649" s="833">
        <v>3</v>
      </c>
      <c r="B5649" t="s" s="834">
        <v>3893</v>
      </c>
      <c r="C5649" t="s" s="834">
        <v>617</v>
      </c>
      <c r="D5649" s="835">
        <v>46037</v>
      </c>
      <c r="E5649" s="836">
        <v>1.352141203703704</v>
      </c>
      <c r="F5649" s="836">
        <v>1.760509259259259</v>
      </c>
      <c r="G5649" s="570"/>
      <c r="H5649" s="570"/>
      <c r="I5649" s="570"/>
      <c r="J5649" s="570"/>
      <c r="K5649" s="570"/>
    </row>
    <row r="5650" ht="13.75" customHeight="1">
      <c r="A5650" t="s" s="834">
        <v>3909</v>
      </c>
      <c r="B5650" t="s" s="834">
        <v>3910</v>
      </c>
      <c r="C5650" t="s" s="834">
        <v>1330</v>
      </c>
      <c r="D5650" s="570"/>
      <c r="E5650" s="570"/>
      <c r="F5650" s="570"/>
      <c r="G5650" s="570"/>
      <c r="H5650" s="570"/>
      <c r="I5650" s="570"/>
      <c r="J5650" s="570"/>
      <c r="K5650" s="570"/>
    </row>
    <row r="5651" ht="13.75" customHeight="1">
      <c r="A5651" s="833">
        <v>3</v>
      </c>
      <c r="B5651" t="s" s="834">
        <v>3893</v>
      </c>
      <c r="C5651" t="s" s="834">
        <v>617</v>
      </c>
      <c r="D5651" s="835">
        <v>46038</v>
      </c>
      <c r="E5651" t="s" s="834">
        <v>478</v>
      </c>
      <c r="F5651" t="s" s="834">
        <v>478</v>
      </c>
      <c r="G5651" s="570"/>
      <c r="H5651" s="570"/>
      <c r="I5651" s="570"/>
      <c r="J5651" s="570"/>
      <c r="K5651" s="570"/>
    </row>
    <row r="5652" ht="13.75" customHeight="1">
      <c r="A5652" s="833">
        <v>3</v>
      </c>
      <c r="B5652" t="s" s="834">
        <v>3893</v>
      </c>
      <c r="C5652" t="s" s="834">
        <v>617</v>
      </c>
      <c r="D5652" s="835">
        <v>46039</v>
      </c>
      <c r="E5652" t="s" s="834">
        <v>478</v>
      </c>
      <c r="F5652" t="s" s="834">
        <v>478</v>
      </c>
      <c r="G5652" s="570"/>
      <c r="H5652" s="570"/>
      <c r="I5652" s="570"/>
      <c r="J5652" s="570"/>
      <c r="K5652" s="570"/>
    </row>
    <row r="5653" ht="13.75" customHeight="1">
      <c r="A5653" s="833">
        <v>3</v>
      </c>
      <c r="B5653" t="s" s="834">
        <v>3893</v>
      </c>
      <c r="C5653" t="s" s="834">
        <v>617</v>
      </c>
      <c r="D5653" s="835">
        <v>46040</v>
      </c>
      <c r="E5653" t="s" s="834">
        <v>478</v>
      </c>
      <c r="F5653" t="s" s="834">
        <v>478</v>
      </c>
      <c r="G5653" s="570"/>
      <c r="H5653" s="570"/>
      <c r="I5653" s="570"/>
      <c r="J5653" s="570"/>
      <c r="K5653" s="570"/>
    </row>
    <row r="5654" ht="13.75" customHeight="1">
      <c r="A5654" s="833">
        <v>3</v>
      </c>
      <c r="B5654" t="s" s="834">
        <v>3893</v>
      </c>
      <c r="C5654" t="s" s="834">
        <v>617</v>
      </c>
      <c r="D5654" s="835">
        <v>46041</v>
      </c>
      <c r="E5654" s="836">
        <v>1.357650462962963</v>
      </c>
      <c r="F5654" s="836">
        <v>1.752986111111111</v>
      </c>
      <c r="G5654" s="570"/>
      <c r="H5654" s="570"/>
      <c r="I5654" s="570"/>
      <c r="J5654" s="570"/>
      <c r="K5654" s="570"/>
    </row>
    <row r="5655" ht="13.75" customHeight="1">
      <c r="A5655" t="s" s="834">
        <v>3911</v>
      </c>
      <c r="B5655" t="s" s="834">
        <v>3912</v>
      </c>
      <c r="C5655" t="s" s="834">
        <v>643</v>
      </c>
      <c r="D5655" s="570"/>
      <c r="E5655" s="570"/>
      <c r="F5655" s="570"/>
      <c r="G5655" s="570"/>
      <c r="H5655" s="570"/>
      <c r="I5655" s="570"/>
      <c r="J5655" s="570"/>
      <c r="K5655" s="570"/>
    </row>
    <row r="5656" ht="13.75" customHeight="1">
      <c r="A5656" s="833">
        <v>3</v>
      </c>
      <c r="B5656" t="s" s="834">
        <v>3893</v>
      </c>
      <c r="C5656" t="s" s="834">
        <v>617</v>
      </c>
      <c r="D5656" s="835">
        <v>46042</v>
      </c>
      <c r="E5656" s="836">
        <v>1.351261574074074</v>
      </c>
      <c r="F5656" s="836">
        <v>1.754907407407407</v>
      </c>
      <c r="G5656" s="570"/>
      <c r="H5656" s="570"/>
      <c r="I5656" s="570"/>
      <c r="J5656" s="570"/>
      <c r="K5656" s="570"/>
    </row>
    <row r="5657" ht="13.75" customHeight="1">
      <c r="A5657" t="s" s="834">
        <v>3913</v>
      </c>
      <c r="B5657" t="s" s="834">
        <v>3914</v>
      </c>
      <c r="C5657" t="s" s="834">
        <v>590</v>
      </c>
      <c r="D5657" s="570"/>
      <c r="E5657" s="570"/>
      <c r="F5657" s="570"/>
      <c r="G5657" s="570"/>
      <c r="H5657" s="570"/>
      <c r="I5657" s="570"/>
      <c r="J5657" s="570"/>
      <c r="K5657" s="570"/>
    </row>
    <row r="5658" ht="13.75" customHeight="1">
      <c r="A5658" s="833">
        <v>3</v>
      </c>
      <c r="B5658" t="s" s="834">
        <v>3893</v>
      </c>
      <c r="C5658" t="s" s="834">
        <v>617</v>
      </c>
      <c r="D5658" s="835">
        <v>46043</v>
      </c>
      <c r="E5658" s="836">
        <v>1.37474537037037</v>
      </c>
      <c r="F5658" s="836">
        <v>1.765648148148148</v>
      </c>
      <c r="G5658" s="570"/>
      <c r="H5658" s="570"/>
      <c r="I5658" s="570"/>
      <c r="J5658" s="570"/>
      <c r="K5658" s="570"/>
    </row>
    <row r="5659" ht="13.75" customHeight="1">
      <c r="A5659" t="s" s="834">
        <v>3915</v>
      </c>
      <c r="B5659" t="s" s="834">
        <v>3916</v>
      </c>
      <c r="C5659" t="s" s="834">
        <v>668</v>
      </c>
      <c r="D5659" s="570"/>
      <c r="E5659" s="570"/>
      <c r="F5659" s="570"/>
      <c r="G5659" s="570"/>
      <c r="H5659" s="570"/>
      <c r="I5659" s="570"/>
      <c r="J5659" s="570"/>
      <c r="K5659" s="570"/>
    </row>
    <row r="5660" ht="13.75" customHeight="1">
      <c r="A5660" s="833">
        <v>3</v>
      </c>
      <c r="B5660" t="s" s="834">
        <v>3893</v>
      </c>
      <c r="C5660" t="s" s="834">
        <v>617</v>
      </c>
      <c r="D5660" s="835">
        <v>46044</v>
      </c>
      <c r="E5660" s="836">
        <v>1.357511574074074</v>
      </c>
      <c r="F5660" s="836">
        <v>1.753090277777778</v>
      </c>
      <c r="G5660" s="570"/>
      <c r="H5660" s="570"/>
      <c r="I5660" s="570"/>
      <c r="J5660" s="570"/>
      <c r="K5660" s="570"/>
    </row>
    <row r="5661" ht="13.75" customHeight="1">
      <c r="A5661" t="s" s="834">
        <v>3917</v>
      </c>
      <c r="B5661" t="s" s="834">
        <v>3918</v>
      </c>
      <c r="C5661" t="s" s="834">
        <v>634</v>
      </c>
      <c r="D5661" s="570"/>
      <c r="E5661" s="570"/>
      <c r="F5661" s="570"/>
      <c r="G5661" s="570"/>
      <c r="H5661" s="570"/>
      <c r="I5661" s="570"/>
      <c r="J5661" s="570"/>
      <c r="K5661" s="570"/>
    </row>
    <row r="5662" ht="13.75" customHeight="1">
      <c r="A5662" s="833">
        <v>3</v>
      </c>
      <c r="B5662" t="s" s="834">
        <v>3893</v>
      </c>
      <c r="C5662" t="s" s="834">
        <v>617</v>
      </c>
      <c r="D5662" s="835">
        <v>46045</v>
      </c>
      <c r="E5662" t="s" s="834">
        <v>478</v>
      </c>
      <c r="F5662" t="s" s="834">
        <v>478</v>
      </c>
      <c r="G5662" s="570"/>
      <c r="H5662" s="570"/>
      <c r="I5662" s="570"/>
      <c r="J5662" s="570"/>
      <c r="K5662" s="570"/>
    </row>
    <row r="5663" ht="13.75" customHeight="1">
      <c r="A5663" s="833">
        <v>3</v>
      </c>
      <c r="B5663" t="s" s="834">
        <v>3893</v>
      </c>
      <c r="C5663" t="s" s="834">
        <v>617</v>
      </c>
      <c r="D5663" s="835">
        <v>46046</v>
      </c>
      <c r="E5663" t="s" s="834">
        <v>478</v>
      </c>
      <c r="F5663" t="s" s="834">
        <v>478</v>
      </c>
      <c r="G5663" s="570"/>
      <c r="H5663" s="570"/>
      <c r="I5663" s="570"/>
      <c r="J5663" s="570"/>
      <c r="K5663" s="570"/>
    </row>
    <row r="5664" ht="13.75" customHeight="1">
      <c r="A5664" s="833">
        <v>3</v>
      </c>
      <c r="B5664" t="s" s="834">
        <v>3893</v>
      </c>
      <c r="C5664" t="s" s="834">
        <v>617</v>
      </c>
      <c r="D5664" s="835">
        <v>46047</v>
      </c>
      <c r="E5664" t="s" s="834">
        <v>478</v>
      </c>
      <c r="F5664" t="s" s="834">
        <v>478</v>
      </c>
      <c r="G5664" s="570"/>
      <c r="H5664" s="570"/>
      <c r="I5664" s="570"/>
      <c r="J5664" s="570"/>
      <c r="K5664" s="570"/>
    </row>
    <row r="5665" ht="13.75" customHeight="1">
      <c r="A5665" s="833">
        <v>3</v>
      </c>
      <c r="B5665" t="s" s="834">
        <v>3893</v>
      </c>
      <c r="C5665" t="s" s="834">
        <v>617</v>
      </c>
      <c r="D5665" s="835">
        <v>46048</v>
      </c>
      <c r="E5665" s="836">
        <v>1.359421296296296</v>
      </c>
      <c r="F5665" s="836">
        <v>1.770520833333333</v>
      </c>
      <c r="G5665" s="570"/>
      <c r="H5665" s="570"/>
      <c r="I5665" s="570"/>
      <c r="J5665" s="570"/>
      <c r="K5665" s="570"/>
    </row>
    <row r="5666" ht="13.75" customHeight="1">
      <c r="A5666" t="s" s="834">
        <v>3919</v>
      </c>
      <c r="B5666" t="s" s="834">
        <v>3920</v>
      </c>
      <c r="C5666" t="s" s="834">
        <v>850</v>
      </c>
      <c r="D5666" s="570"/>
      <c r="E5666" s="570"/>
      <c r="F5666" s="570"/>
      <c r="G5666" s="570"/>
      <c r="H5666" s="570"/>
      <c r="I5666" s="570"/>
      <c r="J5666" s="570"/>
      <c r="K5666" s="570"/>
    </row>
    <row r="5667" ht="13.75" customHeight="1">
      <c r="A5667" s="833">
        <v>3</v>
      </c>
      <c r="B5667" t="s" s="834">
        <v>3893</v>
      </c>
      <c r="C5667" t="s" s="834">
        <v>617</v>
      </c>
      <c r="D5667" s="835">
        <v>46049</v>
      </c>
      <c r="E5667" s="836">
        <v>1.357638888888889</v>
      </c>
      <c r="F5667" s="836">
        <v>1.755185185185185</v>
      </c>
      <c r="G5667" s="570"/>
      <c r="H5667" s="570"/>
      <c r="I5667" s="570"/>
      <c r="J5667" s="570"/>
      <c r="K5667" s="570"/>
    </row>
    <row r="5668" ht="13.75" customHeight="1">
      <c r="A5668" t="s" s="834">
        <v>3921</v>
      </c>
      <c r="B5668" t="s" s="834">
        <v>3922</v>
      </c>
      <c r="C5668" t="s" s="834">
        <v>747</v>
      </c>
      <c r="D5668" s="570"/>
      <c r="E5668" s="570"/>
      <c r="F5668" s="570"/>
      <c r="G5668" s="570"/>
      <c r="H5668" s="570"/>
      <c r="I5668" s="570"/>
      <c r="J5668" s="570"/>
      <c r="K5668" s="570"/>
    </row>
    <row r="5669" ht="13.75" customHeight="1">
      <c r="A5669" s="833">
        <v>3</v>
      </c>
      <c r="B5669" t="s" s="834">
        <v>3893</v>
      </c>
      <c r="C5669" t="s" s="834">
        <v>617</v>
      </c>
      <c r="D5669" s="835">
        <v>46050</v>
      </c>
      <c r="E5669" s="836">
        <v>1.354733796296296</v>
      </c>
      <c r="F5669" s="836">
        <v>1.75744212962963</v>
      </c>
      <c r="G5669" s="570"/>
      <c r="H5669" s="570"/>
      <c r="I5669" s="570"/>
      <c r="J5669" s="570"/>
      <c r="K5669" s="570"/>
    </row>
    <row r="5670" ht="13.75" customHeight="1">
      <c r="A5670" t="s" s="834">
        <v>3923</v>
      </c>
      <c r="B5670" t="s" s="834">
        <v>3924</v>
      </c>
      <c r="C5670" t="s" s="834">
        <v>861</v>
      </c>
      <c r="D5670" s="570"/>
      <c r="E5670" s="570"/>
      <c r="F5670" s="570"/>
      <c r="G5670" s="570"/>
      <c r="H5670" s="570"/>
      <c r="I5670" s="570"/>
      <c r="J5670" s="570"/>
      <c r="K5670" s="570"/>
    </row>
    <row r="5671" ht="13.75" customHeight="1">
      <c r="A5671" s="833">
        <v>3</v>
      </c>
      <c r="B5671" t="s" s="834">
        <v>3893</v>
      </c>
      <c r="C5671" t="s" s="834">
        <v>617</v>
      </c>
      <c r="D5671" s="835">
        <v>46051</v>
      </c>
      <c r="E5671" s="836">
        <v>1.359328703703704</v>
      </c>
      <c r="F5671" s="836">
        <v>1.758958333333333</v>
      </c>
      <c r="G5671" s="570"/>
      <c r="H5671" s="570"/>
      <c r="I5671" s="570"/>
      <c r="J5671" s="570"/>
      <c r="K5671" s="570"/>
    </row>
    <row r="5672" ht="13.75" customHeight="1">
      <c r="A5672" t="s" s="834">
        <v>3925</v>
      </c>
      <c r="B5672" t="s" s="834">
        <v>3926</v>
      </c>
      <c r="C5672" t="s" s="834">
        <v>515</v>
      </c>
      <c r="D5672" s="570"/>
      <c r="E5672" s="570"/>
      <c r="F5672" s="570"/>
      <c r="G5672" s="570"/>
      <c r="H5672" s="570"/>
      <c r="I5672" s="570"/>
      <c r="J5672" s="570"/>
      <c r="K5672" s="570"/>
    </row>
    <row r="5673" ht="13.75" customHeight="1">
      <c r="A5673" s="833">
        <v>3</v>
      </c>
      <c r="B5673" t="s" s="834">
        <v>3893</v>
      </c>
      <c r="C5673" t="s" s="834">
        <v>617</v>
      </c>
      <c r="D5673" s="835">
        <v>46052</v>
      </c>
      <c r="E5673" t="s" s="834">
        <v>478</v>
      </c>
      <c r="F5673" t="s" s="834">
        <v>478</v>
      </c>
      <c r="G5673" s="570"/>
      <c r="H5673" s="570"/>
      <c r="I5673" s="570"/>
      <c r="J5673" s="570"/>
      <c r="K5673" s="570"/>
    </row>
    <row r="5674" ht="13.75" customHeight="1">
      <c r="A5674" s="833">
        <v>3</v>
      </c>
      <c r="B5674" t="s" s="834">
        <v>3893</v>
      </c>
      <c r="C5674" t="s" s="834">
        <v>617</v>
      </c>
      <c r="D5674" s="835">
        <v>46053</v>
      </c>
      <c r="E5674" t="s" s="834">
        <v>478</v>
      </c>
      <c r="F5674" t="s" s="834">
        <v>478</v>
      </c>
      <c r="G5674" s="570"/>
      <c r="H5674" s="570"/>
      <c r="I5674" s="570"/>
      <c r="J5674" s="570"/>
      <c r="K5674" s="570"/>
    </row>
    <row r="5675" ht="13.75" customHeight="1">
      <c r="A5675" s="833">
        <v>3</v>
      </c>
      <c r="B5675" t="s" s="834">
        <v>3893</v>
      </c>
      <c r="C5675" t="s" s="834">
        <v>617</v>
      </c>
      <c r="D5675" s="835">
        <v>46054</v>
      </c>
      <c r="E5675" t="s" s="834">
        <v>478</v>
      </c>
      <c r="F5675" t="s" s="834">
        <v>478</v>
      </c>
      <c r="G5675" s="570"/>
      <c r="H5675" s="570"/>
      <c r="I5675" s="570"/>
      <c r="J5675" s="570"/>
      <c r="K5675" s="570"/>
    </row>
    <row r="5676" ht="13.75" customHeight="1">
      <c r="A5676" s="833">
        <v>30</v>
      </c>
      <c r="B5676" t="s" s="834">
        <v>3927</v>
      </c>
      <c r="C5676" t="s" s="834">
        <v>617</v>
      </c>
      <c r="D5676" s="835">
        <v>46023</v>
      </c>
      <c r="E5676" t="s" s="834">
        <v>478</v>
      </c>
      <c r="F5676" t="s" s="834">
        <v>478</v>
      </c>
      <c r="G5676" s="570"/>
      <c r="H5676" s="570"/>
      <c r="I5676" s="570"/>
      <c r="J5676" s="570"/>
      <c r="K5676" s="570"/>
    </row>
    <row r="5677" ht="13.75" customHeight="1">
      <c r="A5677" s="833">
        <v>30</v>
      </c>
      <c r="B5677" t="s" s="834">
        <v>3927</v>
      </c>
      <c r="C5677" t="s" s="834">
        <v>617</v>
      </c>
      <c r="D5677" s="835">
        <v>46024</v>
      </c>
      <c r="E5677" t="s" s="834">
        <v>478</v>
      </c>
      <c r="F5677" t="s" s="834">
        <v>478</v>
      </c>
      <c r="G5677" s="570"/>
      <c r="H5677" s="570"/>
      <c r="I5677" s="570"/>
      <c r="J5677" s="570"/>
      <c r="K5677" s="570"/>
    </row>
    <row r="5678" ht="13.75" customHeight="1">
      <c r="A5678" s="833">
        <v>30</v>
      </c>
      <c r="B5678" t="s" s="834">
        <v>3927</v>
      </c>
      <c r="C5678" t="s" s="834">
        <v>617</v>
      </c>
      <c r="D5678" s="835">
        <v>46025</v>
      </c>
      <c r="E5678" t="s" s="834">
        <v>478</v>
      </c>
      <c r="F5678" t="s" s="834">
        <v>478</v>
      </c>
      <c r="G5678" s="570"/>
      <c r="H5678" s="570"/>
      <c r="I5678" s="570"/>
      <c r="J5678" s="570"/>
      <c r="K5678" s="570"/>
    </row>
    <row r="5679" ht="13.75" customHeight="1">
      <c r="A5679" s="833">
        <v>30</v>
      </c>
      <c r="B5679" t="s" s="834">
        <v>3927</v>
      </c>
      <c r="C5679" t="s" s="834">
        <v>617</v>
      </c>
      <c r="D5679" s="835">
        <v>46026</v>
      </c>
      <c r="E5679" t="s" s="834">
        <v>478</v>
      </c>
      <c r="F5679" t="s" s="834">
        <v>478</v>
      </c>
      <c r="G5679" s="570"/>
      <c r="H5679" s="570"/>
      <c r="I5679" s="570"/>
      <c r="J5679" s="570"/>
      <c r="K5679" s="570"/>
    </row>
    <row r="5680" ht="13.75" customHeight="1">
      <c r="A5680" s="833">
        <v>30</v>
      </c>
      <c r="B5680" t="s" s="834">
        <v>3927</v>
      </c>
      <c r="C5680" t="s" s="834">
        <v>617</v>
      </c>
      <c r="D5680" s="835">
        <v>46027</v>
      </c>
      <c r="E5680" s="836">
        <v>1.352627314814815</v>
      </c>
      <c r="F5680" s="836">
        <v>1.754016203703704</v>
      </c>
      <c r="G5680" s="570"/>
      <c r="H5680" s="570"/>
      <c r="I5680" s="570"/>
      <c r="J5680" s="570"/>
      <c r="K5680" s="570"/>
    </row>
    <row r="5681" ht="13.75" customHeight="1">
      <c r="A5681" t="s" s="834">
        <v>3928</v>
      </c>
      <c r="B5681" t="s" s="834">
        <v>3929</v>
      </c>
      <c r="C5681" t="s" s="834">
        <v>697</v>
      </c>
      <c r="D5681" s="570"/>
      <c r="E5681" s="570"/>
      <c r="F5681" s="570"/>
      <c r="G5681" s="570"/>
      <c r="H5681" s="570"/>
      <c r="I5681" s="570"/>
      <c r="J5681" s="570"/>
      <c r="K5681" s="570"/>
    </row>
    <row r="5682" ht="13.75" customHeight="1">
      <c r="A5682" s="833">
        <v>30</v>
      </c>
      <c r="B5682" t="s" s="834">
        <v>3927</v>
      </c>
      <c r="C5682" t="s" s="834">
        <v>617</v>
      </c>
      <c r="D5682" s="835">
        <v>46028</v>
      </c>
      <c r="E5682" s="836">
        <v>1.573831018518518</v>
      </c>
      <c r="F5682" s="836">
        <v>1.753831018518519</v>
      </c>
      <c r="G5682" s="570"/>
      <c r="H5682" s="570"/>
      <c r="I5682" s="570"/>
      <c r="J5682" s="570"/>
      <c r="K5682" s="570"/>
    </row>
    <row r="5683" ht="13.75" customHeight="1">
      <c r="A5683" t="s" s="834">
        <v>3930</v>
      </c>
      <c r="B5683" t="s" s="834">
        <v>3931</v>
      </c>
      <c r="C5683" t="s" s="834">
        <v>3932</v>
      </c>
      <c r="D5683" s="570"/>
      <c r="E5683" s="570"/>
      <c r="F5683" s="570"/>
      <c r="G5683" s="570"/>
      <c r="H5683" s="570"/>
      <c r="I5683" s="570"/>
      <c r="J5683" s="570"/>
      <c r="K5683" s="570"/>
    </row>
    <row r="5684" ht="13.75" customHeight="1">
      <c r="A5684" s="833">
        <v>30</v>
      </c>
      <c r="B5684" t="s" s="834">
        <v>3927</v>
      </c>
      <c r="C5684" t="s" s="834">
        <v>617</v>
      </c>
      <c r="D5684" s="835">
        <v>46029</v>
      </c>
      <c r="E5684" s="836">
        <v>1.4209375</v>
      </c>
      <c r="F5684" s="836">
        <v>1.753032407407408</v>
      </c>
      <c r="G5684" s="570"/>
      <c r="H5684" s="570"/>
      <c r="I5684" s="570"/>
      <c r="J5684" s="570"/>
      <c r="K5684" s="570"/>
    </row>
    <row r="5685" ht="13.75" customHeight="1">
      <c r="A5685" t="s" s="834">
        <v>3933</v>
      </c>
      <c r="B5685" t="s" s="834">
        <v>3934</v>
      </c>
      <c r="C5685" t="s" s="834">
        <v>3935</v>
      </c>
      <c r="D5685" s="570"/>
      <c r="E5685" s="570"/>
      <c r="F5685" s="570"/>
      <c r="G5685" s="570"/>
      <c r="H5685" s="570"/>
      <c r="I5685" s="570"/>
      <c r="J5685" s="570"/>
      <c r="K5685" s="570"/>
    </row>
    <row r="5686" ht="13.75" customHeight="1">
      <c r="A5686" s="833">
        <v>30</v>
      </c>
      <c r="B5686" t="s" s="834">
        <v>3927</v>
      </c>
      <c r="C5686" t="s" s="834">
        <v>617</v>
      </c>
      <c r="D5686" s="835">
        <v>46030</v>
      </c>
      <c r="E5686" s="836">
        <v>1.368414351851852</v>
      </c>
      <c r="F5686" s="836">
        <v>1.752858796296296</v>
      </c>
      <c r="G5686" s="570"/>
      <c r="H5686" s="570"/>
      <c r="I5686" s="570"/>
      <c r="J5686" s="570"/>
      <c r="K5686" s="570"/>
    </row>
    <row r="5687" ht="13.75" customHeight="1">
      <c r="A5687" t="s" s="834">
        <v>3936</v>
      </c>
      <c r="B5687" t="s" s="834">
        <v>3937</v>
      </c>
      <c r="C5687" t="s" s="834">
        <v>2452</v>
      </c>
      <c r="D5687" s="570"/>
      <c r="E5687" s="570"/>
      <c r="F5687" s="570"/>
      <c r="G5687" s="570"/>
      <c r="H5687" s="570"/>
      <c r="I5687" s="570"/>
      <c r="J5687" s="570"/>
      <c r="K5687" s="570"/>
    </row>
    <row r="5688" ht="13.75" customHeight="1">
      <c r="A5688" s="833">
        <v>30</v>
      </c>
      <c r="B5688" t="s" s="834">
        <v>3927</v>
      </c>
      <c r="C5688" t="s" s="834">
        <v>617</v>
      </c>
      <c r="D5688" s="835">
        <v>46031</v>
      </c>
      <c r="E5688" t="s" s="834">
        <v>478</v>
      </c>
      <c r="F5688" t="s" s="834">
        <v>478</v>
      </c>
      <c r="G5688" s="570"/>
      <c r="H5688" s="570"/>
      <c r="I5688" s="570"/>
      <c r="J5688" s="570"/>
      <c r="K5688" s="570"/>
    </row>
    <row r="5689" ht="13.75" customHeight="1">
      <c r="A5689" s="833">
        <v>30</v>
      </c>
      <c r="B5689" t="s" s="834">
        <v>3927</v>
      </c>
      <c r="C5689" t="s" s="834">
        <v>617</v>
      </c>
      <c r="D5689" s="835">
        <v>46032</v>
      </c>
      <c r="E5689" t="s" s="834">
        <v>478</v>
      </c>
      <c r="F5689" t="s" s="834">
        <v>478</v>
      </c>
      <c r="G5689" s="570"/>
      <c r="H5689" s="570"/>
      <c r="I5689" s="570"/>
      <c r="J5689" s="570"/>
      <c r="K5689" s="570"/>
    </row>
    <row r="5690" ht="13.75" customHeight="1">
      <c r="A5690" s="833">
        <v>30</v>
      </c>
      <c r="B5690" t="s" s="834">
        <v>3927</v>
      </c>
      <c r="C5690" t="s" s="834">
        <v>617</v>
      </c>
      <c r="D5690" s="835">
        <v>46033</v>
      </c>
      <c r="E5690" t="s" s="834">
        <v>478</v>
      </c>
      <c r="F5690" t="s" s="834">
        <v>478</v>
      </c>
      <c r="G5690" s="570"/>
      <c r="H5690" s="570"/>
      <c r="I5690" s="570"/>
      <c r="J5690" s="570"/>
      <c r="K5690" s="570"/>
    </row>
    <row r="5691" ht="13.75" customHeight="1">
      <c r="A5691" s="833">
        <v>30</v>
      </c>
      <c r="B5691" t="s" s="834">
        <v>3927</v>
      </c>
      <c r="C5691" t="s" s="834">
        <v>617</v>
      </c>
      <c r="D5691" s="835">
        <v>46034</v>
      </c>
      <c r="E5691" s="836">
        <v>1.415289351851852</v>
      </c>
      <c r="F5691" s="836">
        <v>1.752928240740741</v>
      </c>
      <c r="G5691" s="570"/>
      <c r="H5691" s="570"/>
      <c r="I5691" s="570"/>
      <c r="J5691" s="570"/>
      <c r="K5691" s="570"/>
    </row>
    <row r="5692" ht="13.75" customHeight="1">
      <c r="A5692" t="s" s="834">
        <v>3938</v>
      </c>
      <c r="B5692" t="s" s="834">
        <v>3939</v>
      </c>
      <c r="C5692" t="s" s="834">
        <v>3637</v>
      </c>
      <c r="D5692" s="570"/>
      <c r="E5692" s="570"/>
      <c r="F5692" s="570"/>
      <c r="G5692" s="570"/>
      <c r="H5692" s="570"/>
      <c r="I5692" s="570"/>
      <c r="J5692" s="570"/>
      <c r="K5692" s="570"/>
    </row>
    <row r="5693" ht="13.75" customHeight="1">
      <c r="A5693" s="833">
        <v>30</v>
      </c>
      <c r="B5693" t="s" s="834">
        <v>3927</v>
      </c>
      <c r="C5693" t="s" s="834">
        <v>617</v>
      </c>
      <c r="D5693" s="835">
        <v>46035</v>
      </c>
      <c r="E5693" s="836">
        <v>1.355185185185185</v>
      </c>
      <c r="F5693" s="836">
        <v>1.753854166666667</v>
      </c>
      <c r="G5693" s="570"/>
      <c r="H5693" s="570"/>
      <c r="I5693" s="570"/>
      <c r="J5693" s="570"/>
      <c r="K5693" s="570"/>
    </row>
    <row r="5694" ht="13.75" customHeight="1">
      <c r="A5694" t="s" s="834">
        <v>3940</v>
      </c>
      <c r="B5694" t="s" s="834">
        <v>3941</v>
      </c>
      <c r="C5694" t="s" s="834">
        <v>611</v>
      </c>
      <c r="D5694" s="570"/>
      <c r="E5694" s="570"/>
      <c r="F5694" s="570"/>
      <c r="G5694" s="570"/>
      <c r="H5694" s="570"/>
      <c r="I5694" s="570"/>
      <c r="J5694" s="570"/>
      <c r="K5694" s="570"/>
    </row>
    <row r="5695" ht="13.75" customHeight="1">
      <c r="A5695" s="833">
        <v>30</v>
      </c>
      <c r="B5695" t="s" s="834">
        <v>3927</v>
      </c>
      <c r="C5695" t="s" s="834">
        <v>617</v>
      </c>
      <c r="D5695" s="835">
        <v>46036</v>
      </c>
      <c r="E5695" s="836">
        <v>1.44755787037037</v>
      </c>
      <c r="F5695" s="836">
        <v>1.754305555555556</v>
      </c>
      <c r="G5695" s="570"/>
      <c r="H5695" s="570"/>
      <c r="I5695" s="570"/>
      <c r="J5695" s="570"/>
      <c r="K5695" s="570"/>
    </row>
    <row r="5696" ht="13.75" customHeight="1">
      <c r="A5696" t="s" s="834">
        <v>3942</v>
      </c>
      <c r="B5696" t="s" s="834">
        <v>3943</v>
      </c>
      <c r="C5696" t="s" s="834">
        <v>3944</v>
      </c>
      <c r="D5696" s="570"/>
      <c r="E5696" s="570"/>
      <c r="F5696" s="570"/>
      <c r="G5696" s="570"/>
      <c r="H5696" s="570"/>
      <c r="I5696" s="570"/>
      <c r="J5696" s="570"/>
      <c r="K5696" s="570"/>
    </row>
    <row r="5697" ht="13.75" customHeight="1">
      <c r="A5697" s="833">
        <v>30</v>
      </c>
      <c r="B5697" t="s" s="834">
        <v>3927</v>
      </c>
      <c r="C5697" t="s" s="834">
        <v>617</v>
      </c>
      <c r="D5697" s="835">
        <v>46037</v>
      </c>
      <c r="E5697" t="s" s="834">
        <v>478</v>
      </c>
      <c r="F5697" t="s" s="834">
        <v>478</v>
      </c>
      <c r="G5697" s="570"/>
      <c r="H5697" s="570"/>
      <c r="I5697" s="570"/>
      <c r="J5697" s="570"/>
      <c r="K5697" s="570"/>
    </row>
    <row r="5698" ht="13.75" customHeight="1">
      <c r="A5698" s="833">
        <v>30</v>
      </c>
      <c r="B5698" t="s" s="834">
        <v>3927</v>
      </c>
      <c r="C5698" t="s" s="834">
        <v>617</v>
      </c>
      <c r="D5698" s="835">
        <v>46038</v>
      </c>
      <c r="E5698" t="s" s="834">
        <v>478</v>
      </c>
      <c r="F5698" t="s" s="834">
        <v>478</v>
      </c>
      <c r="G5698" s="570"/>
      <c r="H5698" s="570"/>
      <c r="I5698" s="570"/>
      <c r="J5698" s="570"/>
      <c r="K5698" s="570"/>
    </row>
    <row r="5699" ht="13.75" customHeight="1">
      <c r="A5699" s="833">
        <v>30</v>
      </c>
      <c r="B5699" t="s" s="834">
        <v>3927</v>
      </c>
      <c r="C5699" t="s" s="834">
        <v>617</v>
      </c>
      <c r="D5699" s="835">
        <v>46039</v>
      </c>
      <c r="E5699" t="s" s="834">
        <v>478</v>
      </c>
      <c r="F5699" t="s" s="834">
        <v>478</v>
      </c>
      <c r="G5699" s="570"/>
      <c r="H5699" s="570"/>
      <c r="I5699" s="570"/>
      <c r="J5699" s="570"/>
      <c r="K5699" s="570"/>
    </row>
    <row r="5700" ht="13.75" customHeight="1">
      <c r="A5700" s="833">
        <v>30</v>
      </c>
      <c r="B5700" t="s" s="834">
        <v>3927</v>
      </c>
      <c r="C5700" t="s" s="834">
        <v>617</v>
      </c>
      <c r="D5700" s="835">
        <v>46040</v>
      </c>
      <c r="E5700" t="s" s="834">
        <v>478</v>
      </c>
      <c r="F5700" t="s" s="834">
        <v>478</v>
      </c>
      <c r="G5700" s="570"/>
      <c r="H5700" s="570"/>
      <c r="I5700" s="570"/>
      <c r="J5700" s="570"/>
      <c r="K5700" s="570"/>
    </row>
    <row r="5701" ht="13.75" customHeight="1">
      <c r="A5701" s="833">
        <v>30</v>
      </c>
      <c r="B5701" t="s" s="834">
        <v>3927</v>
      </c>
      <c r="C5701" t="s" s="834">
        <v>617</v>
      </c>
      <c r="D5701" s="835">
        <v>46041</v>
      </c>
      <c r="E5701" s="836">
        <v>1.355231481481481</v>
      </c>
      <c r="F5701" s="836">
        <v>1.752280092592593</v>
      </c>
      <c r="G5701" s="570"/>
      <c r="H5701" s="570"/>
      <c r="I5701" s="570"/>
      <c r="J5701" s="570"/>
      <c r="K5701" s="570"/>
    </row>
    <row r="5702" ht="13.75" customHeight="1">
      <c r="A5702" t="s" s="834">
        <v>3945</v>
      </c>
      <c r="B5702" t="s" s="834">
        <v>3946</v>
      </c>
      <c r="C5702" t="s" s="834">
        <v>747</v>
      </c>
      <c r="D5702" s="570"/>
      <c r="E5702" s="570"/>
      <c r="F5702" s="570"/>
      <c r="G5702" s="570"/>
      <c r="H5702" s="570"/>
      <c r="I5702" s="570"/>
      <c r="J5702" s="570"/>
      <c r="K5702" s="570"/>
    </row>
    <row r="5703" ht="13.75" customHeight="1">
      <c r="A5703" s="833">
        <v>30</v>
      </c>
      <c r="B5703" t="s" s="834">
        <v>3927</v>
      </c>
      <c r="C5703" t="s" s="834">
        <v>617</v>
      </c>
      <c r="D5703" s="835">
        <v>46042</v>
      </c>
      <c r="E5703" s="836">
        <v>1.397349537037037</v>
      </c>
      <c r="F5703" s="836">
        <v>1.753460648148148</v>
      </c>
      <c r="G5703" s="570"/>
      <c r="H5703" s="570"/>
      <c r="I5703" s="570"/>
      <c r="J5703" s="570"/>
      <c r="K5703" s="570"/>
    </row>
    <row r="5704" ht="13.75" customHeight="1">
      <c r="A5704" t="s" s="834">
        <v>3947</v>
      </c>
      <c r="B5704" t="s" s="834">
        <v>3948</v>
      </c>
      <c r="C5704" t="s" s="834">
        <v>3949</v>
      </c>
      <c r="D5704" s="570"/>
      <c r="E5704" s="570"/>
      <c r="F5704" s="570"/>
      <c r="G5704" s="570"/>
      <c r="H5704" s="570"/>
      <c r="I5704" s="570"/>
      <c r="J5704" s="570"/>
      <c r="K5704" s="570"/>
    </row>
    <row r="5705" ht="13.75" customHeight="1">
      <c r="A5705" s="833">
        <v>30</v>
      </c>
      <c r="B5705" t="s" s="834">
        <v>3927</v>
      </c>
      <c r="C5705" t="s" s="834">
        <v>617</v>
      </c>
      <c r="D5705" s="835">
        <v>46043</v>
      </c>
      <c r="E5705" s="836">
        <v>1.755300925925926</v>
      </c>
      <c r="F5705" t="s" s="834">
        <v>478</v>
      </c>
      <c r="G5705" s="570"/>
      <c r="H5705" s="570"/>
      <c r="I5705" s="570"/>
      <c r="J5705" s="570"/>
      <c r="K5705" s="570"/>
    </row>
    <row r="5706" ht="13.75" customHeight="1">
      <c r="A5706" t="s" s="834">
        <v>3950</v>
      </c>
      <c r="B5706" t="s" s="834">
        <v>485</v>
      </c>
      <c r="C5706" t="s" s="834">
        <v>486</v>
      </c>
      <c r="D5706" s="570"/>
      <c r="E5706" s="570"/>
      <c r="F5706" s="570"/>
      <c r="G5706" s="570"/>
      <c r="H5706" s="570"/>
      <c r="I5706" s="570"/>
      <c r="J5706" s="570"/>
      <c r="K5706" s="570"/>
    </row>
    <row r="5707" ht="13.75" customHeight="1">
      <c r="A5707" s="833">
        <v>30</v>
      </c>
      <c r="B5707" t="s" s="834">
        <v>3927</v>
      </c>
      <c r="C5707" t="s" s="834">
        <v>617</v>
      </c>
      <c r="D5707" s="835">
        <v>46044</v>
      </c>
      <c r="E5707" s="836">
        <v>1.421585648148148</v>
      </c>
      <c r="F5707" s="836">
        <v>1.751851851851852</v>
      </c>
      <c r="G5707" s="570"/>
      <c r="H5707" s="570"/>
      <c r="I5707" s="570"/>
      <c r="J5707" s="570"/>
      <c r="K5707" s="570"/>
    </row>
    <row r="5708" ht="13.75" customHeight="1">
      <c r="A5708" t="s" s="834">
        <v>3951</v>
      </c>
      <c r="B5708" t="s" s="834">
        <v>3952</v>
      </c>
      <c r="C5708" t="s" s="834">
        <v>3953</v>
      </c>
      <c r="D5708" s="570"/>
      <c r="E5708" s="570"/>
      <c r="F5708" s="570"/>
      <c r="G5708" s="570"/>
      <c r="H5708" s="570"/>
      <c r="I5708" s="570"/>
      <c r="J5708" s="570"/>
      <c r="K5708" s="570"/>
    </row>
    <row r="5709" ht="13.75" customHeight="1">
      <c r="A5709" s="833">
        <v>30</v>
      </c>
      <c r="B5709" t="s" s="834">
        <v>3927</v>
      </c>
      <c r="C5709" t="s" s="834">
        <v>617</v>
      </c>
      <c r="D5709" s="835">
        <v>46045</v>
      </c>
      <c r="E5709" t="s" s="834">
        <v>478</v>
      </c>
      <c r="F5709" t="s" s="834">
        <v>478</v>
      </c>
      <c r="G5709" s="570"/>
      <c r="H5709" s="570"/>
      <c r="I5709" s="570"/>
      <c r="J5709" s="570"/>
      <c r="K5709" s="570"/>
    </row>
    <row r="5710" ht="13.75" customHeight="1">
      <c r="A5710" s="833">
        <v>30</v>
      </c>
      <c r="B5710" t="s" s="834">
        <v>3927</v>
      </c>
      <c r="C5710" t="s" s="834">
        <v>617</v>
      </c>
      <c r="D5710" s="835">
        <v>46046</v>
      </c>
      <c r="E5710" t="s" s="834">
        <v>478</v>
      </c>
      <c r="F5710" t="s" s="834">
        <v>478</v>
      </c>
      <c r="G5710" s="570"/>
      <c r="H5710" s="570"/>
      <c r="I5710" s="570"/>
      <c r="J5710" s="570"/>
      <c r="K5710" s="570"/>
    </row>
    <row r="5711" ht="13.75" customHeight="1">
      <c r="A5711" s="833">
        <v>30</v>
      </c>
      <c r="B5711" t="s" s="834">
        <v>3927</v>
      </c>
      <c r="C5711" t="s" s="834">
        <v>617</v>
      </c>
      <c r="D5711" s="835">
        <v>46047</v>
      </c>
      <c r="E5711" t="s" s="834">
        <v>478</v>
      </c>
      <c r="F5711" t="s" s="834">
        <v>478</v>
      </c>
      <c r="G5711" s="570"/>
      <c r="H5711" s="570"/>
      <c r="I5711" s="570"/>
      <c r="J5711" s="570"/>
      <c r="K5711" s="570"/>
    </row>
    <row r="5712" ht="13.75" customHeight="1">
      <c r="A5712" s="833">
        <v>30</v>
      </c>
      <c r="B5712" t="s" s="834">
        <v>3927</v>
      </c>
      <c r="C5712" t="s" s="834">
        <v>617</v>
      </c>
      <c r="D5712" s="835">
        <v>46048</v>
      </c>
      <c r="E5712" s="836">
        <v>1.354490740740741</v>
      </c>
      <c r="F5712" s="836">
        <v>1.753090277777778</v>
      </c>
      <c r="G5712" s="570"/>
      <c r="H5712" s="570"/>
      <c r="I5712" s="570"/>
      <c r="J5712" s="570"/>
      <c r="K5712" s="570"/>
    </row>
    <row r="5713" ht="13.75" customHeight="1">
      <c r="A5713" t="s" s="834">
        <v>3954</v>
      </c>
      <c r="B5713" t="s" s="834">
        <v>3955</v>
      </c>
      <c r="C5713" t="s" s="834">
        <v>611</v>
      </c>
      <c r="D5713" s="570"/>
      <c r="E5713" s="570"/>
      <c r="F5713" s="570"/>
      <c r="G5713" s="570"/>
      <c r="H5713" s="570"/>
      <c r="I5713" s="570"/>
      <c r="J5713" s="570"/>
      <c r="K5713" s="570"/>
    </row>
    <row r="5714" ht="13.75" customHeight="1">
      <c r="A5714" s="833">
        <v>30</v>
      </c>
      <c r="B5714" t="s" s="834">
        <v>3927</v>
      </c>
      <c r="C5714" t="s" s="834">
        <v>617</v>
      </c>
      <c r="D5714" s="835">
        <v>46049</v>
      </c>
      <c r="E5714" s="836">
        <v>1.557175925925926</v>
      </c>
      <c r="F5714" s="836">
        <v>1.754884259259259</v>
      </c>
      <c r="G5714" s="570"/>
      <c r="H5714" s="570"/>
      <c r="I5714" s="570"/>
      <c r="J5714" s="570"/>
      <c r="K5714" s="570"/>
    </row>
    <row r="5715" ht="13.75" customHeight="1">
      <c r="A5715" t="s" s="834">
        <v>3956</v>
      </c>
      <c r="B5715" t="s" s="834">
        <v>3957</v>
      </c>
      <c r="C5715" t="s" s="834">
        <v>3958</v>
      </c>
      <c r="D5715" s="570"/>
      <c r="E5715" s="570"/>
      <c r="F5715" s="570"/>
      <c r="G5715" s="570"/>
      <c r="H5715" s="570"/>
      <c r="I5715" s="570"/>
      <c r="J5715" s="570"/>
      <c r="K5715" s="570"/>
    </row>
    <row r="5716" ht="13.75" customHeight="1">
      <c r="A5716" s="833">
        <v>30</v>
      </c>
      <c r="B5716" t="s" s="834">
        <v>3927</v>
      </c>
      <c r="C5716" t="s" s="834">
        <v>617</v>
      </c>
      <c r="D5716" s="835">
        <v>46050</v>
      </c>
      <c r="E5716" s="836">
        <v>1.565300925925926</v>
      </c>
      <c r="F5716" s="836">
        <v>1.752465277777778</v>
      </c>
      <c r="G5716" s="570"/>
      <c r="H5716" s="570"/>
      <c r="I5716" s="570"/>
      <c r="J5716" s="570"/>
      <c r="K5716" s="570"/>
    </row>
    <row r="5717" ht="13.75" customHeight="1">
      <c r="A5717" t="s" s="834">
        <v>3959</v>
      </c>
      <c r="B5717" t="s" s="834">
        <v>3960</v>
      </c>
      <c r="C5717" t="s" s="834">
        <v>3961</v>
      </c>
      <c r="D5717" s="570"/>
      <c r="E5717" s="570"/>
      <c r="F5717" s="570"/>
      <c r="G5717" s="570"/>
      <c r="H5717" s="570"/>
      <c r="I5717" s="570"/>
      <c r="J5717" s="570"/>
      <c r="K5717" s="570"/>
    </row>
    <row r="5718" ht="13.75" customHeight="1">
      <c r="A5718" s="833">
        <v>30</v>
      </c>
      <c r="B5718" t="s" s="834">
        <v>3927</v>
      </c>
      <c r="C5718" t="s" s="834">
        <v>617</v>
      </c>
      <c r="D5718" s="835">
        <v>46051</v>
      </c>
      <c r="E5718" s="836">
        <v>1.354699074074074</v>
      </c>
      <c r="F5718" s="836">
        <v>1.754537037037037</v>
      </c>
      <c r="G5718" s="570"/>
      <c r="H5718" s="570"/>
      <c r="I5718" s="570"/>
      <c r="J5718" s="570"/>
      <c r="K5718" s="570"/>
    </row>
    <row r="5719" ht="13.75" customHeight="1">
      <c r="A5719" t="s" s="834">
        <v>3962</v>
      </c>
      <c r="B5719" t="s" s="834">
        <v>3963</v>
      </c>
      <c r="C5719" t="s" s="834">
        <v>759</v>
      </c>
      <c r="D5719" s="570"/>
      <c r="E5719" s="570"/>
      <c r="F5719" s="570"/>
      <c r="G5719" s="570"/>
      <c r="H5719" s="570"/>
      <c r="I5719" s="570"/>
      <c r="J5719" s="570"/>
      <c r="K5719" s="570"/>
    </row>
    <row r="5720" ht="13.75" customHeight="1">
      <c r="A5720" s="833">
        <v>30</v>
      </c>
      <c r="B5720" t="s" s="834">
        <v>3927</v>
      </c>
      <c r="C5720" t="s" s="834">
        <v>617</v>
      </c>
      <c r="D5720" s="835">
        <v>46052</v>
      </c>
      <c r="E5720" t="s" s="834">
        <v>478</v>
      </c>
      <c r="F5720" t="s" s="834">
        <v>478</v>
      </c>
      <c r="G5720" s="570"/>
      <c r="H5720" s="570"/>
      <c r="I5720" s="570"/>
      <c r="J5720" s="570"/>
      <c r="K5720" s="570"/>
    </row>
    <row r="5721" ht="13.75" customHeight="1">
      <c r="A5721" s="833">
        <v>30</v>
      </c>
      <c r="B5721" t="s" s="834">
        <v>3927</v>
      </c>
      <c r="C5721" t="s" s="834">
        <v>617</v>
      </c>
      <c r="D5721" s="835">
        <v>46053</v>
      </c>
      <c r="E5721" t="s" s="834">
        <v>478</v>
      </c>
      <c r="F5721" t="s" s="834">
        <v>478</v>
      </c>
      <c r="G5721" s="570"/>
      <c r="H5721" s="570"/>
      <c r="I5721" s="570"/>
      <c r="J5721" s="570"/>
      <c r="K5721" s="570"/>
    </row>
    <row r="5722" ht="13.75" customHeight="1">
      <c r="A5722" s="833">
        <v>30</v>
      </c>
      <c r="B5722" t="s" s="834">
        <v>3927</v>
      </c>
      <c r="C5722" t="s" s="834">
        <v>617</v>
      </c>
      <c r="D5722" s="835">
        <v>46054</v>
      </c>
      <c r="E5722" t="s" s="834">
        <v>478</v>
      </c>
      <c r="F5722" t="s" s="834">
        <v>478</v>
      </c>
      <c r="G5722" s="570"/>
      <c r="H5722" s="570"/>
      <c r="I5722" s="570"/>
      <c r="J5722" s="570"/>
      <c r="K5722" s="570"/>
    </row>
    <row r="5723" ht="13.75" customHeight="1">
      <c r="A5723" s="833">
        <v>300</v>
      </c>
      <c r="B5723" t="s" s="834">
        <v>3964</v>
      </c>
      <c r="C5723" t="s" s="834">
        <v>617</v>
      </c>
      <c r="D5723" s="835">
        <v>46023</v>
      </c>
      <c r="E5723" t="s" s="834">
        <v>478</v>
      </c>
      <c r="F5723" t="s" s="834">
        <v>478</v>
      </c>
      <c r="G5723" s="570"/>
      <c r="H5723" s="570"/>
      <c r="I5723" s="570"/>
      <c r="J5723" s="570"/>
      <c r="K5723" s="570"/>
    </row>
    <row r="5724" ht="13.75" customHeight="1">
      <c r="A5724" s="833">
        <v>300</v>
      </c>
      <c r="B5724" t="s" s="834">
        <v>3964</v>
      </c>
      <c r="C5724" t="s" s="834">
        <v>617</v>
      </c>
      <c r="D5724" s="835">
        <v>46024</v>
      </c>
      <c r="E5724" t="s" s="834">
        <v>478</v>
      </c>
      <c r="F5724" t="s" s="834">
        <v>478</v>
      </c>
      <c r="G5724" s="570"/>
      <c r="H5724" s="570"/>
      <c r="I5724" s="570"/>
      <c r="J5724" s="570"/>
      <c r="K5724" s="570"/>
    </row>
    <row r="5725" ht="13.75" customHeight="1">
      <c r="A5725" s="833">
        <v>300</v>
      </c>
      <c r="B5725" t="s" s="834">
        <v>3964</v>
      </c>
      <c r="C5725" t="s" s="834">
        <v>617</v>
      </c>
      <c r="D5725" s="835">
        <v>46025</v>
      </c>
      <c r="E5725" t="s" s="834">
        <v>478</v>
      </c>
      <c r="F5725" t="s" s="834">
        <v>478</v>
      </c>
      <c r="G5725" s="570"/>
      <c r="H5725" s="570"/>
      <c r="I5725" s="570"/>
      <c r="J5725" s="570"/>
      <c r="K5725" s="570"/>
    </row>
    <row r="5726" ht="13.75" customHeight="1">
      <c r="A5726" s="833">
        <v>300</v>
      </c>
      <c r="B5726" t="s" s="834">
        <v>3964</v>
      </c>
      <c r="C5726" t="s" s="834">
        <v>617</v>
      </c>
      <c r="D5726" s="835">
        <v>46026</v>
      </c>
      <c r="E5726" t="s" s="834">
        <v>478</v>
      </c>
      <c r="F5726" t="s" s="834">
        <v>478</v>
      </c>
      <c r="G5726" s="570"/>
      <c r="H5726" s="570"/>
      <c r="I5726" s="570"/>
      <c r="J5726" s="570"/>
      <c r="K5726" s="570"/>
    </row>
    <row r="5727" ht="13.75" customHeight="1">
      <c r="A5727" s="833">
        <v>300</v>
      </c>
      <c r="B5727" t="s" s="834">
        <v>3964</v>
      </c>
      <c r="C5727" t="s" s="834">
        <v>617</v>
      </c>
      <c r="D5727" s="835">
        <v>46027</v>
      </c>
      <c r="E5727" s="836">
        <v>1.345810185185185</v>
      </c>
      <c r="F5727" s="836">
        <v>1.754560185185185</v>
      </c>
      <c r="G5727" s="570"/>
      <c r="H5727" s="570"/>
      <c r="I5727" s="570"/>
      <c r="J5727" s="570"/>
      <c r="K5727" s="570"/>
    </row>
    <row r="5728" ht="13.75" customHeight="1">
      <c r="A5728" t="s" s="834">
        <v>3965</v>
      </c>
      <c r="B5728" t="s" s="834">
        <v>3966</v>
      </c>
      <c r="C5728" t="s" s="834">
        <v>600</v>
      </c>
      <c r="D5728" s="570"/>
      <c r="E5728" s="570"/>
      <c r="F5728" s="570"/>
      <c r="G5728" s="570"/>
      <c r="H5728" s="570"/>
      <c r="I5728" s="570"/>
      <c r="J5728" s="570"/>
      <c r="K5728" s="570"/>
    </row>
    <row r="5729" ht="13.75" customHeight="1">
      <c r="A5729" s="833">
        <v>300</v>
      </c>
      <c r="B5729" t="s" s="834">
        <v>3964</v>
      </c>
      <c r="C5729" t="s" s="834">
        <v>617</v>
      </c>
      <c r="D5729" s="835">
        <v>46028</v>
      </c>
      <c r="E5729" t="s" s="834">
        <v>478</v>
      </c>
      <c r="F5729" t="s" s="834">
        <v>478</v>
      </c>
      <c r="G5729" s="570"/>
      <c r="H5729" s="570"/>
      <c r="I5729" s="570"/>
      <c r="J5729" s="570"/>
      <c r="K5729" s="570"/>
    </row>
    <row r="5730" ht="13.75" customHeight="1">
      <c r="A5730" s="833">
        <v>300</v>
      </c>
      <c r="B5730" t="s" s="834">
        <v>3964</v>
      </c>
      <c r="C5730" t="s" s="834">
        <v>617</v>
      </c>
      <c r="D5730" s="835">
        <v>46029</v>
      </c>
      <c r="E5730" s="836">
        <v>1.352835648148148</v>
      </c>
      <c r="F5730" s="836">
        <v>1.788854166666667</v>
      </c>
      <c r="G5730" s="570"/>
      <c r="H5730" s="570"/>
      <c r="I5730" s="570"/>
      <c r="J5730" s="570"/>
      <c r="K5730" s="570"/>
    </row>
    <row r="5731" ht="13.75" customHeight="1">
      <c r="A5731" t="s" s="834">
        <v>3967</v>
      </c>
      <c r="B5731" t="s" s="834">
        <v>3968</v>
      </c>
      <c r="C5731" t="s" s="834">
        <v>1526</v>
      </c>
      <c r="D5731" s="570"/>
      <c r="E5731" s="570"/>
      <c r="F5731" s="570"/>
      <c r="G5731" s="570"/>
      <c r="H5731" s="570"/>
      <c r="I5731" s="570"/>
      <c r="J5731" s="570"/>
      <c r="K5731" s="570"/>
    </row>
    <row r="5732" ht="13.75" customHeight="1">
      <c r="A5732" s="833">
        <v>300</v>
      </c>
      <c r="B5732" t="s" s="834">
        <v>3964</v>
      </c>
      <c r="C5732" t="s" s="834">
        <v>617</v>
      </c>
      <c r="D5732" s="835">
        <v>46030</v>
      </c>
      <c r="E5732" s="836">
        <v>1.356736111111111</v>
      </c>
      <c r="F5732" s="836">
        <v>1.751631944444445</v>
      </c>
      <c r="G5732" s="570"/>
      <c r="H5732" s="570"/>
      <c r="I5732" s="570"/>
      <c r="J5732" s="570"/>
      <c r="K5732" s="570"/>
    </row>
    <row r="5733" ht="13.75" customHeight="1">
      <c r="A5733" t="s" s="834">
        <v>3969</v>
      </c>
      <c r="B5733" t="s" s="834">
        <v>3970</v>
      </c>
      <c r="C5733" t="s" s="834">
        <v>643</v>
      </c>
      <c r="D5733" s="570"/>
      <c r="E5733" s="570"/>
      <c r="F5733" s="570"/>
      <c r="G5733" s="570"/>
      <c r="H5733" s="570"/>
      <c r="I5733" s="570"/>
      <c r="J5733" s="570"/>
      <c r="K5733" s="570"/>
    </row>
    <row r="5734" ht="13.75" customHeight="1">
      <c r="A5734" s="833">
        <v>300</v>
      </c>
      <c r="B5734" t="s" s="834">
        <v>3964</v>
      </c>
      <c r="C5734" t="s" s="834">
        <v>617</v>
      </c>
      <c r="D5734" s="835">
        <v>46031</v>
      </c>
      <c r="E5734" t="s" s="834">
        <v>478</v>
      </c>
      <c r="F5734" t="s" s="834">
        <v>478</v>
      </c>
      <c r="G5734" s="570"/>
      <c r="H5734" s="570"/>
      <c r="I5734" s="570"/>
      <c r="J5734" s="570"/>
      <c r="K5734" s="570"/>
    </row>
    <row r="5735" ht="13.75" customHeight="1">
      <c r="A5735" s="833">
        <v>300</v>
      </c>
      <c r="B5735" t="s" s="834">
        <v>3964</v>
      </c>
      <c r="C5735" t="s" s="834">
        <v>617</v>
      </c>
      <c r="D5735" s="835">
        <v>46032</v>
      </c>
      <c r="E5735" t="s" s="834">
        <v>478</v>
      </c>
      <c r="F5735" t="s" s="834">
        <v>478</v>
      </c>
      <c r="G5735" s="570"/>
      <c r="H5735" s="570"/>
      <c r="I5735" s="570"/>
      <c r="J5735" s="570"/>
      <c r="K5735" s="570"/>
    </row>
    <row r="5736" ht="13.75" customHeight="1">
      <c r="A5736" s="833">
        <v>300</v>
      </c>
      <c r="B5736" t="s" s="834">
        <v>3964</v>
      </c>
      <c r="C5736" t="s" s="834">
        <v>617</v>
      </c>
      <c r="D5736" s="835">
        <v>46033</v>
      </c>
      <c r="E5736" t="s" s="834">
        <v>478</v>
      </c>
      <c r="F5736" t="s" s="834">
        <v>478</v>
      </c>
      <c r="G5736" s="570"/>
      <c r="H5736" s="570"/>
      <c r="I5736" s="570"/>
      <c r="J5736" s="570"/>
      <c r="K5736" s="570"/>
    </row>
    <row r="5737" ht="13.75" customHeight="1">
      <c r="A5737" s="833">
        <v>300</v>
      </c>
      <c r="B5737" t="s" s="834">
        <v>3964</v>
      </c>
      <c r="C5737" t="s" s="834">
        <v>617</v>
      </c>
      <c r="D5737" s="835">
        <v>46034</v>
      </c>
      <c r="E5737" s="836">
        <v>1.850393518518519</v>
      </c>
      <c r="F5737" s="836">
        <v>1.855451388888889</v>
      </c>
      <c r="G5737" s="570"/>
      <c r="H5737" s="570"/>
      <c r="I5737" s="570"/>
      <c r="J5737" s="570"/>
      <c r="K5737" s="570"/>
    </row>
    <row r="5738" ht="13.75" customHeight="1">
      <c r="A5738" t="s" s="834">
        <v>3971</v>
      </c>
      <c r="B5738" t="s" s="834">
        <v>3972</v>
      </c>
      <c r="C5738" t="s" s="834">
        <v>3973</v>
      </c>
      <c r="D5738" s="570"/>
      <c r="E5738" s="570"/>
      <c r="F5738" s="570"/>
      <c r="G5738" s="570"/>
      <c r="H5738" s="570"/>
      <c r="I5738" s="570"/>
      <c r="J5738" s="570"/>
      <c r="K5738" s="570"/>
    </row>
    <row r="5739" ht="13.75" customHeight="1">
      <c r="A5739" s="833">
        <v>300</v>
      </c>
      <c r="B5739" t="s" s="834">
        <v>3964</v>
      </c>
      <c r="C5739" t="s" s="834">
        <v>617</v>
      </c>
      <c r="D5739" s="835">
        <v>46035</v>
      </c>
      <c r="E5739" t="s" s="834">
        <v>478</v>
      </c>
      <c r="F5739" t="s" s="834">
        <v>478</v>
      </c>
      <c r="G5739" s="570"/>
      <c r="H5739" s="570"/>
      <c r="I5739" s="570"/>
      <c r="J5739" s="570"/>
      <c r="K5739" s="570"/>
    </row>
    <row r="5740" ht="13.75" customHeight="1">
      <c r="A5740" s="833">
        <v>300</v>
      </c>
      <c r="B5740" t="s" s="834">
        <v>3964</v>
      </c>
      <c r="C5740" t="s" s="834">
        <v>617</v>
      </c>
      <c r="D5740" s="835">
        <v>46036</v>
      </c>
      <c r="E5740" s="836">
        <v>1.356087962962963</v>
      </c>
      <c r="F5740" t="s" s="834">
        <v>478</v>
      </c>
      <c r="G5740" s="570"/>
      <c r="H5740" s="570"/>
      <c r="I5740" s="570"/>
      <c r="J5740" s="570"/>
      <c r="K5740" s="570"/>
    </row>
    <row r="5741" ht="13.75" customHeight="1">
      <c r="A5741" t="s" s="834">
        <v>3974</v>
      </c>
      <c r="B5741" t="s" s="834">
        <v>485</v>
      </c>
      <c r="C5741" t="s" s="834">
        <v>486</v>
      </c>
      <c r="D5741" s="570"/>
      <c r="E5741" s="570"/>
      <c r="F5741" s="570"/>
      <c r="G5741" s="570"/>
      <c r="H5741" s="570"/>
      <c r="I5741" s="570"/>
      <c r="J5741" s="570"/>
      <c r="K5741" s="570"/>
    </row>
    <row r="5742" ht="13.75" customHeight="1">
      <c r="A5742" s="833">
        <v>300</v>
      </c>
      <c r="B5742" t="s" s="834">
        <v>3964</v>
      </c>
      <c r="C5742" t="s" s="834">
        <v>617</v>
      </c>
      <c r="D5742" s="835">
        <v>46037</v>
      </c>
      <c r="E5742" t="s" s="834">
        <v>478</v>
      </c>
      <c r="F5742" t="s" s="834">
        <v>478</v>
      </c>
      <c r="G5742" s="570"/>
      <c r="H5742" s="570"/>
      <c r="I5742" s="570"/>
      <c r="J5742" s="570"/>
      <c r="K5742" s="570"/>
    </row>
    <row r="5743" ht="13.75" customHeight="1">
      <c r="A5743" s="833">
        <v>300</v>
      </c>
      <c r="B5743" t="s" s="834">
        <v>3964</v>
      </c>
      <c r="C5743" t="s" s="834">
        <v>617</v>
      </c>
      <c r="D5743" s="835">
        <v>46038</v>
      </c>
      <c r="E5743" t="s" s="834">
        <v>478</v>
      </c>
      <c r="F5743" t="s" s="834">
        <v>478</v>
      </c>
      <c r="G5743" s="570"/>
      <c r="H5743" s="570"/>
      <c r="I5743" s="570"/>
      <c r="J5743" s="570"/>
      <c r="K5743" s="570"/>
    </row>
    <row r="5744" ht="13.75" customHeight="1">
      <c r="A5744" s="833">
        <v>300</v>
      </c>
      <c r="B5744" t="s" s="834">
        <v>3964</v>
      </c>
      <c r="C5744" t="s" s="834">
        <v>617</v>
      </c>
      <c r="D5744" s="835">
        <v>46039</v>
      </c>
      <c r="E5744" t="s" s="834">
        <v>478</v>
      </c>
      <c r="F5744" t="s" s="834">
        <v>478</v>
      </c>
      <c r="G5744" s="570"/>
      <c r="H5744" s="570"/>
      <c r="I5744" s="570"/>
      <c r="J5744" s="570"/>
      <c r="K5744" s="570"/>
    </row>
    <row r="5745" ht="13.75" customHeight="1">
      <c r="A5745" s="833">
        <v>300</v>
      </c>
      <c r="B5745" t="s" s="834">
        <v>3964</v>
      </c>
      <c r="C5745" t="s" s="834">
        <v>617</v>
      </c>
      <c r="D5745" s="835">
        <v>46040</v>
      </c>
      <c r="E5745" t="s" s="834">
        <v>478</v>
      </c>
      <c r="F5745" t="s" s="834">
        <v>478</v>
      </c>
      <c r="G5745" s="570"/>
      <c r="H5745" s="570"/>
      <c r="I5745" s="570"/>
      <c r="J5745" s="570"/>
      <c r="K5745" s="570"/>
    </row>
    <row r="5746" ht="13.75" customHeight="1">
      <c r="A5746" s="833">
        <v>300</v>
      </c>
      <c r="B5746" t="s" s="834">
        <v>3964</v>
      </c>
      <c r="C5746" t="s" s="834">
        <v>617</v>
      </c>
      <c r="D5746" s="835">
        <v>46041</v>
      </c>
      <c r="E5746" s="836">
        <v>1.354606481481482</v>
      </c>
      <c r="F5746" s="836">
        <v>1.752175925925926</v>
      </c>
      <c r="G5746" s="570"/>
      <c r="H5746" s="570"/>
      <c r="I5746" s="570"/>
      <c r="J5746" s="570"/>
      <c r="K5746" s="570"/>
    </row>
    <row r="5747" ht="13.75" customHeight="1">
      <c r="A5747" t="s" s="834">
        <v>3975</v>
      </c>
      <c r="B5747" t="s" s="834">
        <v>3976</v>
      </c>
      <c r="C5747" t="s" s="834">
        <v>688</v>
      </c>
      <c r="D5747" s="570"/>
      <c r="E5747" s="570"/>
      <c r="F5747" s="570"/>
      <c r="G5747" s="570"/>
      <c r="H5747" s="570"/>
      <c r="I5747" s="570"/>
      <c r="J5747" s="570"/>
      <c r="K5747" s="570"/>
    </row>
    <row r="5748" ht="13.75" customHeight="1">
      <c r="A5748" s="833">
        <v>300</v>
      </c>
      <c r="B5748" t="s" s="834">
        <v>3964</v>
      </c>
      <c r="C5748" t="s" s="834">
        <v>617</v>
      </c>
      <c r="D5748" s="835">
        <v>46042</v>
      </c>
      <c r="E5748" s="836">
        <v>1.357974537037037</v>
      </c>
      <c r="F5748" s="836">
        <v>1.754236111111111</v>
      </c>
      <c r="G5748" s="570"/>
      <c r="H5748" s="570"/>
      <c r="I5748" s="570"/>
      <c r="J5748" s="570"/>
      <c r="K5748" s="570"/>
    </row>
    <row r="5749" ht="13.75" customHeight="1">
      <c r="A5749" t="s" s="834">
        <v>3977</v>
      </c>
      <c r="B5749" t="s" s="834">
        <v>3978</v>
      </c>
      <c r="C5749" t="s" s="834">
        <v>683</v>
      </c>
      <c r="D5749" s="570"/>
      <c r="E5749" s="570"/>
      <c r="F5749" s="570"/>
      <c r="G5749" s="570"/>
      <c r="H5749" s="570"/>
      <c r="I5749" s="570"/>
      <c r="J5749" s="570"/>
      <c r="K5749" s="570"/>
    </row>
    <row r="5750" ht="13.75" customHeight="1">
      <c r="A5750" s="833">
        <v>300</v>
      </c>
      <c r="B5750" t="s" s="834">
        <v>3964</v>
      </c>
      <c r="C5750" t="s" s="834">
        <v>617</v>
      </c>
      <c r="D5750" s="835">
        <v>46043</v>
      </c>
      <c r="E5750" s="836">
        <v>1.355613425925926</v>
      </c>
      <c r="F5750" s="836">
        <v>1.753680555555555</v>
      </c>
      <c r="G5750" s="570"/>
      <c r="H5750" s="570"/>
      <c r="I5750" s="570"/>
      <c r="J5750" s="570"/>
      <c r="K5750" s="570"/>
    </row>
    <row r="5751" ht="13.75" customHeight="1">
      <c r="A5751" t="s" s="834">
        <v>3979</v>
      </c>
      <c r="B5751" t="s" s="834">
        <v>3980</v>
      </c>
      <c r="C5751" t="s" s="834">
        <v>688</v>
      </c>
      <c r="D5751" s="570"/>
      <c r="E5751" s="570"/>
      <c r="F5751" s="570"/>
      <c r="G5751" s="570"/>
      <c r="H5751" s="570"/>
      <c r="I5751" s="570"/>
      <c r="J5751" s="570"/>
      <c r="K5751" s="570"/>
    </row>
    <row r="5752" ht="13.75" customHeight="1">
      <c r="A5752" s="833">
        <v>300</v>
      </c>
      <c r="B5752" t="s" s="834">
        <v>3964</v>
      </c>
      <c r="C5752" t="s" s="834">
        <v>617</v>
      </c>
      <c r="D5752" s="835">
        <v>46044</v>
      </c>
      <c r="E5752" s="836">
        <v>1.355243055555555</v>
      </c>
      <c r="F5752" s="836">
        <v>1.756284722222222</v>
      </c>
      <c r="G5752" s="570"/>
      <c r="H5752" s="570"/>
      <c r="I5752" s="570"/>
      <c r="J5752" s="570"/>
      <c r="K5752" s="570"/>
    </row>
    <row r="5753" ht="13.75" customHeight="1">
      <c r="A5753" t="s" s="834">
        <v>3981</v>
      </c>
      <c r="B5753" t="s" s="834">
        <v>3982</v>
      </c>
      <c r="C5753" t="s" s="834">
        <v>697</v>
      </c>
      <c r="D5753" s="570"/>
      <c r="E5753" s="570"/>
      <c r="F5753" s="570"/>
      <c r="G5753" s="570"/>
      <c r="H5753" s="570"/>
      <c r="I5753" s="570"/>
      <c r="J5753" s="570"/>
      <c r="K5753" s="570"/>
    </row>
    <row r="5754" ht="13.75" customHeight="1">
      <c r="A5754" s="833">
        <v>300</v>
      </c>
      <c r="B5754" t="s" s="834">
        <v>3964</v>
      </c>
      <c r="C5754" t="s" s="834">
        <v>617</v>
      </c>
      <c r="D5754" s="835">
        <v>46045</v>
      </c>
      <c r="E5754" t="s" s="834">
        <v>478</v>
      </c>
      <c r="F5754" t="s" s="834">
        <v>478</v>
      </c>
      <c r="G5754" s="570"/>
      <c r="H5754" s="570"/>
      <c r="I5754" s="570"/>
      <c r="J5754" s="570"/>
      <c r="K5754" s="570"/>
    </row>
    <row r="5755" ht="13.75" customHeight="1">
      <c r="A5755" s="833">
        <v>300</v>
      </c>
      <c r="B5755" t="s" s="834">
        <v>3964</v>
      </c>
      <c r="C5755" t="s" s="834">
        <v>617</v>
      </c>
      <c r="D5755" s="835">
        <v>46046</v>
      </c>
      <c r="E5755" t="s" s="834">
        <v>478</v>
      </c>
      <c r="F5755" t="s" s="834">
        <v>478</v>
      </c>
      <c r="G5755" s="570"/>
      <c r="H5755" s="570"/>
      <c r="I5755" s="570"/>
      <c r="J5755" s="570"/>
      <c r="K5755" s="570"/>
    </row>
    <row r="5756" ht="13.75" customHeight="1">
      <c r="A5756" s="833">
        <v>300</v>
      </c>
      <c r="B5756" t="s" s="834">
        <v>3964</v>
      </c>
      <c r="C5756" t="s" s="834">
        <v>617</v>
      </c>
      <c r="D5756" s="835">
        <v>46047</v>
      </c>
      <c r="E5756" t="s" s="834">
        <v>478</v>
      </c>
      <c r="F5756" t="s" s="834">
        <v>478</v>
      </c>
      <c r="G5756" s="570"/>
      <c r="H5756" s="570"/>
      <c r="I5756" s="570"/>
      <c r="J5756" s="570"/>
      <c r="K5756" s="570"/>
    </row>
    <row r="5757" ht="13.75" customHeight="1">
      <c r="A5757" s="833">
        <v>300</v>
      </c>
      <c r="B5757" t="s" s="834">
        <v>3964</v>
      </c>
      <c r="C5757" t="s" s="834">
        <v>617</v>
      </c>
      <c r="D5757" s="835">
        <v>46048</v>
      </c>
      <c r="E5757" s="836">
        <v>1.357453703703704</v>
      </c>
      <c r="F5757" s="836">
        <v>1.856296296296296</v>
      </c>
      <c r="G5757" s="570"/>
      <c r="H5757" s="570"/>
      <c r="I5757" s="570"/>
      <c r="J5757" s="570"/>
      <c r="K5757" s="570"/>
    </row>
    <row r="5758" ht="13.75" customHeight="1">
      <c r="A5758" t="s" s="834">
        <v>3983</v>
      </c>
      <c r="B5758" t="s" s="834">
        <v>3984</v>
      </c>
      <c r="C5758" t="s" s="834">
        <v>3985</v>
      </c>
      <c r="D5758" s="570"/>
      <c r="E5758" s="570"/>
      <c r="F5758" s="570"/>
      <c r="G5758" s="570"/>
      <c r="H5758" s="570"/>
      <c r="I5758" s="570"/>
      <c r="J5758" s="570"/>
      <c r="K5758" s="570"/>
    </row>
    <row r="5759" ht="13.75" customHeight="1">
      <c r="A5759" s="833">
        <v>300</v>
      </c>
      <c r="B5759" t="s" s="834">
        <v>3964</v>
      </c>
      <c r="C5759" t="s" s="834">
        <v>617</v>
      </c>
      <c r="D5759" s="835">
        <v>46049</v>
      </c>
      <c r="E5759" s="836">
        <v>1.352615740740741</v>
      </c>
      <c r="F5759" s="836">
        <v>1.75755787037037</v>
      </c>
      <c r="G5759" s="570"/>
      <c r="H5759" s="570"/>
      <c r="I5759" s="570"/>
      <c r="J5759" s="570"/>
      <c r="K5759" s="570"/>
    </row>
    <row r="5760" ht="13.75" customHeight="1">
      <c r="A5760" t="s" s="834">
        <v>3986</v>
      </c>
      <c r="B5760" t="s" s="834">
        <v>3987</v>
      </c>
      <c r="C5760" t="s" s="834">
        <v>582</v>
      </c>
      <c r="D5760" s="570"/>
      <c r="E5760" s="570"/>
      <c r="F5760" s="570"/>
      <c r="G5760" s="570"/>
      <c r="H5760" s="570"/>
      <c r="I5760" s="570"/>
      <c r="J5760" s="570"/>
      <c r="K5760" s="570"/>
    </row>
    <row r="5761" ht="13.75" customHeight="1">
      <c r="A5761" s="833">
        <v>300</v>
      </c>
      <c r="B5761" t="s" s="834">
        <v>3964</v>
      </c>
      <c r="C5761" t="s" s="834">
        <v>617</v>
      </c>
      <c r="D5761" s="835">
        <v>46050</v>
      </c>
      <c r="E5761" s="836">
        <v>1.358032407407407</v>
      </c>
      <c r="F5761" s="836">
        <v>1.767766203703704</v>
      </c>
      <c r="G5761" s="570"/>
      <c r="H5761" s="570"/>
      <c r="I5761" s="570"/>
      <c r="J5761" s="570"/>
      <c r="K5761" s="570"/>
    </row>
    <row r="5762" ht="13.75" customHeight="1">
      <c r="A5762" t="s" s="834">
        <v>3988</v>
      </c>
      <c r="B5762" t="s" s="834">
        <v>3989</v>
      </c>
      <c r="C5762" t="s" s="834">
        <v>1119</v>
      </c>
      <c r="D5762" s="570"/>
      <c r="E5762" s="570"/>
      <c r="F5762" s="570"/>
      <c r="G5762" s="570"/>
      <c r="H5762" s="570"/>
      <c r="I5762" s="570"/>
      <c r="J5762" s="570"/>
      <c r="K5762" s="570"/>
    </row>
    <row r="5763" ht="13.75" customHeight="1">
      <c r="A5763" s="833">
        <v>300</v>
      </c>
      <c r="B5763" t="s" s="834">
        <v>3964</v>
      </c>
      <c r="C5763" t="s" s="834">
        <v>617</v>
      </c>
      <c r="D5763" s="835">
        <v>46051</v>
      </c>
      <c r="E5763" s="836">
        <v>1.35275462962963</v>
      </c>
      <c r="F5763" s="836">
        <v>1.756643518518519</v>
      </c>
      <c r="G5763" s="570"/>
      <c r="H5763" s="570"/>
      <c r="I5763" s="570"/>
      <c r="J5763" s="570"/>
      <c r="K5763" s="570"/>
    </row>
    <row r="5764" ht="13.75" customHeight="1">
      <c r="A5764" t="s" s="834">
        <v>3990</v>
      </c>
      <c r="B5764" t="s" s="834">
        <v>3991</v>
      </c>
      <c r="C5764" t="s" s="834">
        <v>493</v>
      </c>
      <c r="D5764" s="570"/>
      <c r="E5764" s="570"/>
      <c r="F5764" s="570"/>
      <c r="G5764" s="570"/>
      <c r="H5764" s="570"/>
      <c r="I5764" s="570"/>
      <c r="J5764" s="570"/>
      <c r="K5764" s="570"/>
    </row>
    <row r="5765" ht="13.75" customHeight="1">
      <c r="A5765" s="833">
        <v>300</v>
      </c>
      <c r="B5765" t="s" s="834">
        <v>3964</v>
      </c>
      <c r="C5765" t="s" s="834">
        <v>617</v>
      </c>
      <c r="D5765" s="835">
        <v>46052</v>
      </c>
      <c r="E5765" t="s" s="834">
        <v>478</v>
      </c>
      <c r="F5765" t="s" s="834">
        <v>478</v>
      </c>
      <c r="G5765" s="570"/>
      <c r="H5765" s="570"/>
      <c r="I5765" s="570"/>
      <c r="J5765" s="570"/>
      <c r="K5765" s="570"/>
    </row>
    <row r="5766" ht="13.75" customHeight="1">
      <c r="A5766" s="833">
        <v>300</v>
      </c>
      <c r="B5766" t="s" s="834">
        <v>3964</v>
      </c>
      <c r="C5766" t="s" s="834">
        <v>617</v>
      </c>
      <c r="D5766" s="835">
        <v>46053</v>
      </c>
      <c r="E5766" t="s" s="834">
        <v>478</v>
      </c>
      <c r="F5766" t="s" s="834">
        <v>478</v>
      </c>
      <c r="G5766" s="570"/>
      <c r="H5766" s="570"/>
      <c r="I5766" s="570"/>
      <c r="J5766" s="570"/>
      <c r="K5766" s="570"/>
    </row>
    <row r="5767" ht="13.75" customHeight="1">
      <c r="A5767" s="833">
        <v>300</v>
      </c>
      <c r="B5767" t="s" s="834">
        <v>3964</v>
      </c>
      <c r="C5767" t="s" s="834">
        <v>617</v>
      </c>
      <c r="D5767" s="835">
        <v>46054</v>
      </c>
      <c r="E5767" t="s" s="834">
        <v>478</v>
      </c>
      <c r="F5767" t="s" s="834">
        <v>478</v>
      </c>
      <c r="G5767" s="570"/>
      <c r="H5767" s="570"/>
      <c r="I5767" s="570"/>
      <c r="J5767" s="570"/>
      <c r="K5767" s="570"/>
    </row>
    <row r="5768" ht="13.75" customHeight="1">
      <c r="A5768" s="833">
        <v>301</v>
      </c>
      <c r="B5768" t="s" s="834">
        <v>3992</v>
      </c>
      <c r="C5768" t="s" s="834">
        <v>1571</v>
      </c>
      <c r="D5768" s="835">
        <v>46023</v>
      </c>
      <c r="E5768" t="s" s="834">
        <v>478</v>
      </c>
      <c r="F5768" t="s" s="834">
        <v>478</v>
      </c>
      <c r="G5768" s="570"/>
      <c r="H5768" s="570"/>
      <c r="I5768" s="570"/>
      <c r="J5768" s="570"/>
      <c r="K5768" s="570"/>
    </row>
    <row r="5769" ht="13.75" customHeight="1">
      <c r="A5769" s="833">
        <v>301</v>
      </c>
      <c r="B5769" t="s" s="834">
        <v>3992</v>
      </c>
      <c r="C5769" t="s" s="834">
        <v>1571</v>
      </c>
      <c r="D5769" s="835">
        <v>46024</v>
      </c>
      <c r="E5769" t="s" s="834">
        <v>478</v>
      </c>
      <c r="F5769" t="s" s="834">
        <v>478</v>
      </c>
      <c r="G5769" s="570"/>
      <c r="H5769" s="570"/>
      <c r="I5769" s="570"/>
      <c r="J5769" s="570"/>
      <c r="K5769" s="570"/>
    </row>
    <row r="5770" ht="13.75" customHeight="1">
      <c r="A5770" s="833">
        <v>301</v>
      </c>
      <c r="B5770" t="s" s="834">
        <v>3992</v>
      </c>
      <c r="C5770" t="s" s="834">
        <v>1571</v>
      </c>
      <c r="D5770" s="835">
        <v>46025</v>
      </c>
      <c r="E5770" t="s" s="834">
        <v>478</v>
      </c>
      <c r="F5770" t="s" s="834">
        <v>478</v>
      </c>
      <c r="G5770" s="570"/>
      <c r="H5770" s="570"/>
      <c r="I5770" s="570"/>
      <c r="J5770" s="570"/>
      <c r="K5770" s="570"/>
    </row>
    <row r="5771" ht="13.75" customHeight="1">
      <c r="A5771" s="833">
        <v>301</v>
      </c>
      <c r="B5771" t="s" s="834">
        <v>3992</v>
      </c>
      <c r="C5771" t="s" s="834">
        <v>1571</v>
      </c>
      <c r="D5771" s="835">
        <v>46026</v>
      </c>
      <c r="E5771" t="s" s="834">
        <v>478</v>
      </c>
      <c r="F5771" t="s" s="834">
        <v>478</v>
      </c>
      <c r="G5771" s="570"/>
      <c r="H5771" s="570"/>
      <c r="I5771" s="570"/>
      <c r="J5771" s="570"/>
      <c r="K5771" s="570"/>
    </row>
    <row r="5772" ht="13.75" customHeight="1">
      <c r="A5772" s="833">
        <v>301</v>
      </c>
      <c r="B5772" t="s" s="834">
        <v>3992</v>
      </c>
      <c r="C5772" t="s" s="834">
        <v>1571</v>
      </c>
      <c r="D5772" s="835">
        <v>46027</v>
      </c>
      <c r="E5772" t="s" s="834">
        <v>478</v>
      </c>
      <c r="F5772" t="s" s="834">
        <v>478</v>
      </c>
      <c r="G5772" s="570"/>
      <c r="H5772" s="570"/>
      <c r="I5772" s="570"/>
      <c r="J5772" s="570"/>
      <c r="K5772" s="570"/>
    </row>
    <row r="5773" ht="13.75" customHeight="1">
      <c r="A5773" s="833">
        <v>301</v>
      </c>
      <c r="B5773" t="s" s="834">
        <v>3992</v>
      </c>
      <c r="C5773" t="s" s="834">
        <v>1571</v>
      </c>
      <c r="D5773" s="835">
        <v>46028</v>
      </c>
      <c r="E5773" t="s" s="834">
        <v>478</v>
      </c>
      <c r="F5773" t="s" s="834">
        <v>478</v>
      </c>
      <c r="G5773" s="570"/>
      <c r="H5773" s="570"/>
      <c r="I5773" s="570"/>
      <c r="J5773" s="570"/>
      <c r="K5773" s="570"/>
    </row>
    <row r="5774" ht="13.75" customHeight="1">
      <c r="A5774" s="833">
        <v>301</v>
      </c>
      <c r="B5774" t="s" s="834">
        <v>3992</v>
      </c>
      <c r="C5774" t="s" s="834">
        <v>1571</v>
      </c>
      <c r="D5774" s="835">
        <v>46029</v>
      </c>
      <c r="E5774" t="s" s="834">
        <v>478</v>
      </c>
      <c r="F5774" t="s" s="834">
        <v>478</v>
      </c>
      <c r="G5774" s="570"/>
      <c r="H5774" s="570"/>
      <c r="I5774" s="570"/>
      <c r="J5774" s="570"/>
      <c r="K5774" s="570"/>
    </row>
    <row r="5775" ht="13.75" customHeight="1">
      <c r="A5775" s="833">
        <v>301</v>
      </c>
      <c r="B5775" t="s" s="834">
        <v>3992</v>
      </c>
      <c r="C5775" t="s" s="834">
        <v>1571</v>
      </c>
      <c r="D5775" s="835">
        <v>46030</v>
      </c>
      <c r="E5775" t="s" s="834">
        <v>478</v>
      </c>
      <c r="F5775" t="s" s="834">
        <v>478</v>
      </c>
      <c r="G5775" s="570"/>
      <c r="H5775" s="570"/>
      <c r="I5775" s="570"/>
      <c r="J5775" s="570"/>
      <c r="K5775" s="570"/>
    </row>
    <row r="5776" ht="13.75" customHeight="1">
      <c r="A5776" s="833">
        <v>301</v>
      </c>
      <c r="B5776" t="s" s="834">
        <v>3992</v>
      </c>
      <c r="C5776" t="s" s="834">
        <v>1571</v>
      </c>
      <c r="D5776" s="835">
        <v>46031</v>
      </c>
      <c r="E5776" t="s" s="834">
        <v>478</v>
      </c>
      <c r="F5776" t="s" s="834">
        <v>478</v>
      </c>
      <c r="G5776" s="570"/>
      <c r="H5776" s="570"/>
      <c r="I5776" s="570"/>
      <c r="J5776" s="570"/>
      <c r="K5776" s="570"/>
    </row>
    <row r="5777" ht="13.75" customHeight="1">
      <c r="A5777" s="833">
        <v>301</v>
      </c>
      <c r="B5777" t="s" s="834">
        <v>3992</v>
      </c>
      <c r="C5777" t="s" s="834">
        <v>1571</v>
      </c>
      <c r="D5777" s="835">
        <v>46032</v>
      </c>
      <c r="E5777" t="s" s="834">
        <v>478</v>
      </c>
      <c r="F5777" t="s" s="834">
        <v>478</v>
      </c>
      <c r="G5777" s="570"/>
      <c r="H5777" s="570"/>
      <c r="I5777" s="570"/>
      <c r="J5777" s="570"/>
      <c r="K5777" s="570"/>
    </row>
    <row r="5778" ht="13.75" customHeight="1">
      <c r="A5778" s="833">
        <v>301</v>
      </c>
      <c r="B5778" t="s" s="834">
        <v>3992</v>
      </c>
      <c r="C5778" t="s" s="834">
        <v>1571</v>
      </c>
      <c r="D5778" s="835">
        <v>46033</v>
      </c>
      <c r="E5778" t="s" s="834">
        <v>478</v>
      </c>
      <c r="F5778" t="s" s="834">
        <v>478</v>
      </c>
      <c r="G5778" s="570"/>
      <c r="H5778" s="570"/>
      <c r="I5778" s="570"/>
      <c r="J5778" s="570"/>
      <c r="K5778" s="570"/>
    </row>
    <row r="5779" ht="13.75" customHeight="1">
      <c r="A5779" s="833">
        <v>301</v>
      </c>
      <c r="B5779" t="s" s="834">
        <v>3992</v>
      </c>
      <c r="C5779" t="s" s="834">
        <v>1571</v>
      </c>
      <c r="D5779" s="835">
        <v>46034</v>
      </c>
      <c r="E5779" t="s" s="834">
        <v>478</v>
      </c>
      <c r="F5779" t="s" s="834">
        <v>478</v>
      </c>
      <c r="G5779" s="570"/>
      <c r="H5779" s="570"/>
      <c r="I5779" s="570"/>
      <c r="J5779" s="570"/>
      <c r="K5779" s="570"/>
    </row>
    <row r="5780" ht="13.75" customHeight="1">
      <c r="A5780" s="833">
        <v>301</v>
      </c>
      <c r="B5780" t="s" s="834">
        <v>3992</v>
      </c>
      <c r="C5780" t="s" s="834">
        <v>1571</v>
      </c>
      <c r="D5780" s="835">
        <v>46035</v>
      </c>
      <c r="E5780" t="s" s="834">
        <v>478</v>
      </c>
      <c r="F5780" t="s" s="834">
        <v>478</v>
      </c>
      <c r="G5780" s="570"/>
      <c r="H5780" s="570"/>
      <c r="I5780" s="570"/>
      <c r="J5780" s="570"/>
      <c r="K5780" s="570"/>
    </row>
    <row r="5781" ht="13.75" customHeight="1">
      <c r="A5781" s="833">
        <v>301</v>
      </c>
      <c r="B5781" t="s" s="834">
        <v>3992</v>
      </c>
      <c r="C5781" t="s" s="834">
        <v>1571</v>
      </c>
      <c r="D5781" s="835">
        <v>46036</v>
      </c>
      <c r="E5781" t="s" s="834">
        <v>478</v>
      </c>
      <c r="F5781" t="s" s="834">
        <v>478</v>
      </c>
      <c r="G5781" s="570"/>
      <c r="H5781" s="570"/>
      <c r="I5781" s="570"/>
      <c r="J5781" s="570"/>
      <c r="K5781" s="570"/>
    </row>
    <row r="5782" ht="13.75" customHeight="1">
      <c r="A5782" s="833">
        <v>301</v>
      </c>
      <c r="B5782" t="s" s="834">
        <v>3992</v>
      </c>
      <c r="C5782" t="s" s="834">
        <v>1571</v>
      </c>
      <c r="D5782" s="835">
        <v>46037</v>
      </c>
      <c r="E5782" t="s" s="834">
        <v>478</v>
      </c>
      <c r="F5782" t="s" s="834">
        <v>478</v>
      </c>
      <c r="G5782" s="570"/>
      <c r="H5782" s="570"/>
      <c r="I5782" s="570"/>
      <c r="J5782" s="570"/>
      <c r="K5782" s="570"/>
    </row>
    <row r="5783" ht="13.75" customHeight="1">
      <c r="A5783" s="833">
        <v>301</v>
      </c>
      <c r="B5783" t="s" s="834">
        <v>3992</v>
      </c>
      <c r="C5783" t="s" s="834">
        <v>1571</v>
      </c>
      <c r="D5783" s="835">
        <v>46038</v>
      </c>
      <c r="E5783" t="s" s="834">
        <v>478</v>
      </c>
      <c r="F5783" t="s" s="834">
        <v>478</v>
      </c>
      <c r="G5783" s="570"/>
      <c r="H5783" s="570"/>
      <c r="I5783" s="570"/>
      <c r="J5783" s="570"/>
      <c r="K5783" s="570"/>
    </row>
    <row r="5784" ht="13.75" customHeight="1">
      <c r="A5784" s="833">
        <v>301</v>
      </c>
      <c r="B5784" t="s" s="834">
        <v>3992</v>
      </c>
      <c r="C5784" t="s" s="834">
        <v>1571</v>
      </c>
      <c r="D5784" s="835">
        <v>46039</v>
      </c>
      <c r="E5784" t="s" s="834">
        <v>478</v>
      </c>
      <c r="F5784" t="s" s="834">
        <v>478</v>
      </c>
      <c r="G5784" s="570"/>
      <c r="H5784" s="570"/>
      <c r="I5784" s="570"/>
      <c r="J5784" s="570"/>
      <c r="K5784" s="570"/>
    </row>
    <row r="5785" ht="13.75" customHeight="1">
      <c r="A5785" s="833">
        <v>301</v>
      </c>
      <c r="B5785" t="s" s="834">
        <v>3992</v>
      </c>
      <c r="C5785" t="s" s="834">
        <v>1571</v>
      </c>
      <c r="D5785" s="835">
        <v>46040</v>
      </c>
      <c r="E5785" t="s" s="834">
        <v>478</v>
      </c>
      <c r="F5785" t="s" s="834">
        <v>478</v>
      </c>
      <c r="G5785" s="570"/>
      <c r="H5785" s="570"/>
      <c r="I5785" s="570"/>
      <c r="J5785" s="570"/>
      <c r="K5785" s="570"/>
    </row>
    <row r="5786" ht="13.75" customHeight="1">
      <c r="A5786" s="833">
        <v>301</v>
      </c>
      <c r="B5786" t="s" s="834">
        <v>3992</v>
      </c>
      <c r="C5786" t="s" s="834">
        <v>1571</v>
      </c>
      <c r="D5786" s="835">
        <v>46041</v>
      </c>
      <c r="E5786" t="s" s="834">
        <v>478</v>
      </c>
      <c r="F5786" t="s" s="834">
        <v>478</v>
      </c>
      <c r="G5786" s="570"/>
      <c r="H5786" s="570"/>
      <c r="I5786" s="570"/>
      <c r="J5786" s="570"/>
      <c r="K5786" s="570"/>
    </row>
    <row r="5787" ht="13.75" customHeight="1">
      <c r="A5787" s="833">
        <v>301</v>
      </c>
      <c r="B5787" t="s" s="834">
        <v>3992</v>
      </c>
      <c r="C5787" t="s" s="834">
        <v>1571</v>
      </c>
      <c r="D5787" s="835">
        <v>46042</v>
      </c>
      <c r="E5787" t="s" s="834">
        <v>478</v>
      </c>
      <c r="F5787" t="s" s="834">
        <v>478</v>
      </c>
      <c r="G5787" s="570"/>
      <c r="H5787" s="570"/>
      <c r="I5787" s="570"/>
      <c r="J5787" s="570"/>
      <c r="K5787" s="570"/>
    </row>
    <row r="5788" ht="13.75" customHeight="1">
      <c r="A5788" s="833">
        <v>301</v>
      </c>
      <c r="B5788" t="s" s="834">
        <v>3992</v>
      </c>
      <c r="C5788" t="s" s="834">
        <v>1571</v>
      </c>
      <c r="D5788" s="835">
        <v>46043</v>
      </c>
      <c r="E5788" t="s" s="834">
        <v>478</v>
      </c>
      <c r="F5788" t="s" s="834">
        <v>478</v>
      </c>
      <c r="G5788" s="570"/>
      <c r="H5788" s="570"/>
      <c r="I5788" s="570"/>
      <c r="J5788" s="570"/>
      <c r="K5788" s="570"/>
    </row>
    <row r="5789" ht="13.75" customHeight="1">
      <c r="A5789" s="833">
        <v>301</v>
      </c>
      <c r="B5789" t="s" s="834">
        <v>3992</v>
      </c>
      <c r="C5789" t="s" s="834">
        <v>1571</v>
      </c>
      <c r="D5789" s="835">
        <v>46044</v>
      </c>
      <c r="E5789" t="s" s="834">
        <v>478</v>
      </c>
      <c r="F5789" t="s" s="834">
        <v>478</v>
      </c>
      <c r="G5789" s="570"/>
      <c r="H5789" s="570"/>
      <c r="I5789" s="570"/>
      <c r="J5789" s="570"/>
      <c r="K5789" s="570"/>
    </row>
    <row r="5790" ht="13.75" customHeight="1">
      <c r="A5790" s="833">
        <v>301</v>
      </c>
      <c r="B5790" t="s" s="834">
        <v>3992</v>
      </c>
      <c r="C5790" t="s" s="834">
        <v>1571</v>
      </c>
      <c r="D5790" s="835">
        <v>46045</v>
      </c>
      <c r="E5790" t="s" s="834">
        <v>478</v>
      </c>
      <c r="F5790" t="s" s="834">
        <v>478</v>
      </c>
      <c r="G5790" s="570"/>
      <c r="H5790" s="570"/>
      <c r="I5790" s="570"/>
      <c r="J5790" s="570"/>
      <c r="K5790" s="570"/>
    </row>
    <row r="5791" ht="13.75" customHeight="1">
      <c r="A5791" s="833">
        <v>301</v>
      </c>
      <c r="B5791" t="s" s="834">
        <v>3992</v>
      </c>
      <c r="C5791" t="s" s="834">
        <v>1571</v>
      </c>
      <c r="D5791" s="835">
        <v>46046</v>
      </c>
      <c r="E5791" t="s" s="834">
        <v>478</v>
      </c>
      <c r="F5791" t="s" s="834">
        <v>478</v>
      </c>
      <c r="G5791" s="570"/>
      <c r="H5791" s="570"/>
      <c r="I5791" s="570"/>
      <c r="J5791" s="570"/>
      <c r="K5791" s="570"/>
    </row>
    <row r="5792" ht="13.75" customHeight="1">
      <c r="A5792" s="833">
        <v>301</v>
      </c>
      <c r="B5792" t="s" s="834">
        <v>3992</v>
      </c>
      <c r="C5792" t="s" s="834">
        <v>1571</v>
      </c>
      <c r="D5792" s="835">
        <v>46047</v>
      </c>
      <c r="E5792" t="s" s="834">
        <v>478</v>
      </c>
      <c r="F5792" t="s" s="834">
        <v>478</v>
      </c>
      <c r="G5792" s="570"/>
      <c r="H5792" s="570"/>
      <c r="I5792" s="570"/>
      <c r="J5792" s="570"/>
      <c r="K5792" s="570"/>
    </row>
    <row r="5793" ht="13.75" customHeight="1">
      <c r="A5793" s="833">
        <v>301</v>
      </c>
      <c r="B5793" t="s" s="834">
        <v>3992</v>
      </c>
      <c r="C5793" t="s" s="834">
        <v>1571</v>
      </c>
      <c r="D5793" s="835">
        <v>46048</v>
      </c>
      <c r="E5793" t="s" s="834">
        <v>478</v>
      </c>
      <c r="F5793" t="s" s="834">
        <v>478</v>
      </c>
      <c r="G5793" s="570"/>
      <c r="H5793" s="570"/>
      <c r="I5793" s="570"/>
      <c r="J5793" s="570"/>
      <c r="K5793" s="570"/>
    </row>
    <row r="5794" ht="13.75" customHeight="1">
      <c r="A5794" s="833">
        <v>301</v>
      </c>
      <c r="B5794" t="s" s="834">
        <v>3992</v>
      </c>
      <c r="C5794" t="s" s="834">
        <v>1571</v>
      </c>
      <c r="D5794" s="835">
        <v>46049</v>
      </c>
      <c r="E5794" t="s" s="834">
        <v>478</v>
      </c>
      <c r="F5794" t="s" s="834">
        <v>478</v>
      </c>
      <c r="G5794" s="570"/>
      <c r="H5794" s="570"/>
      <c r="I5794" s="570"/>
      <c r="J5794" s="570"/>
      <c r="K5794" s="570"/>
    </row>
    <row r="5795" ht="13.75" customHeight="1">
      <c r="A5795" s="833">
        <v>301</v>
      </c>
      <c r="B5795" t="s" s="834">
        <v>3992</v>
      </c>
      <c r="C5795" t="s" s="834">
        <v>1571</v>
      </c>
      <c r="D5795" s="835">
        <v>46050</v>
      </c>
      <c r="E5795" t="s" s="834">
        <v>478</v>
      </c>
      <c r="F5795" t="s" s="834">
        <v>478</v>
      </c>
      <c r="G5795" s="570"/>
      <c r="H5795" s="570"/>
      <c r="I5795" s="570"/>
      <c r="J5795" s="570"/>
      <c r="K5795" s="570"/>
    </row>
    <row r="5796" ht="13.75" customHeight="1">
      <c r="A5796" s="833">
        <v>301</v>
      </c>
      <c r="B5796" t="s" s="834">
        <v>3992</v>
      </c>
      <c r="C5796" t="s" s="834">
        <v>1571</v>
      </c>
      <c r="D5796" s="835">
        <v>46051</v>
      </c>
      <c r="E5796" t="s" s="834">
        <v>478</v>
      </c>
      <c r="F5796" t="s" s="834">
        <v>478</v>
      </c>
      <c r="G5796" s="570"/>
      <c r="H5796" s="570"/>
      <c r="I5796" s="570"/>
      <c r="J5796" s="570"/>
      <c r="K5796" s="570"/>
    </row>
    <row r="5797" ht="13.75" customHeight="1">
      <c r="A5797" s="833">
        <v>301</v>
      </c>
      <c r="B5797" t="s" s="834">
        <v>3992</v>
      </c>
      <c r="C5797" t="s" s="834">
        <v>1571</v>
      </c>
      <c r="D5797" s="835">
        <v>46052</v>
      </c>
      <c r="E5797" t="s" s="834">
        <v>478</v>
      </c>
      <c r="F5797" t="s" s="834">
        <v>478</v>
      </c>
      <c r="G5797" s="570"/>
      <c r="H5797" s="570"/>
      <c r="I5797" s="570"/>
      <c r="J5797" s="570"/>
      <c r="K5797" s="570"/>
    </row>
    <row r="5798" ht="13.75" customHeight="1">
      <c r="A5798" s="833">
        <v>301</v>
      </c>
      <c r="B5798" t="s" s="834">
        <v>3992</v>
      </c>
      <c r="C5798" t="s" s="834">
        <v>1571</v>
      </c>
      <c r="D5798" s="835">
        <v>46053</v>
      </c>
      <c r="E5798" t="s" s="834">
        <v>478</v>
      </c>
      <c r="F5798" t="s" s="834">
        <v>478</v>
      </c>
      <c r="G5798" s="570"/>
      <c r="H5798" s="570"/>
      <c r="I5798" s="570"/>
      <c r="J5798" s="570"/>
      <c r="K5798" s="570"/>
    </row>
    <row r="5799" ht="13.75" customHeight="1">
      <c r="A5799" s="833">
        <v>301</v>
      </c>
      <c r="B5799" t="s" s="834">
        <v>3992</v>
      </c>
      <c r="C5799" t="s" s="834">
        <v>1571</v>
      </c>
      <c r="D5799" s="835">
        <v>46054</v>
      </c>
      <c r="E5799" t="s" s="834">
        <v>478</v>
      </c>
      <c r="F5799" t="s" s="834">
        <v>478</v>
      </c>
      <c r="G5799" s="570"/>
      <c r="H5799" s="570"/>
      <c r="I5799" s="570"/>
      <c r="J5799" s="570"/>
      <c r="K5799" s="570"/>
    </row>
    <row r="5800" ht="13.75" customHeight="1">
      <c r="A5800" s="833">
        <v>302</v>
      </c>
      <c r="B5800" t="s" s="834">
        <v>90</v>
      </c>
      <c r="C5800" t="s" s="834">
        <v>480</v>
      </c>
      <c r="D5800" s="835">
        <v>46023</v>
      </c>
      <c r="E5800" t="s" s="834">
        <v>478</v>
      </c>
      <c r="F5800" t="s" s="834">
        <v>478</v>
      </c>
      <c r="G5800" s="570"/>
      <c r="H5800" s="570"/>
      <c r="I5800" s="570"/>
      <c r="J5800" s="570"/>
      <c r="K5800" s="570"/>
    </row>
    <row r="5801" ht="13.75" customHeight="1">
      <c r="A5801" s="833">
        <v>302</v>
      </c>
      <c r="B5801" t="s" s="834">
        <v>90</v>
      </c>
      <c r="C5801" t="s" s="834">
        <v>480</v>
      </c>
      <c r="D5801" s="835">
        <v>46024</v>
      </c>
      <c r="E5801" t="s" s="834">
        <v>478</v>
      </c>
      <c r="F5801" t="s" s="834">
        <v>478</v>
      </c>
      <c r="G5801" s="570"/>
      <c r="H5801" s="570"/>
      <c r="I5801" s="570"/>
      <c r="J5801" s="570"/>
      <c r="K5801" s="570"/>
    </row>
    <row r="5802" ht="13.75" customHeight="1">
      <c r="A5802" s="833">
        <v>302</v>
      </c>
      <c r="B5802" t="s" s="834">
        <v>90</v>
      </c>
      <c r="C5802" t="s" s="834">
        <v>480</v>
      </c>
      <c r="D5802" s="835">
        <v>46025</v>
      </c>
      <c r="E5802" t="s" s="834">
        <v>478</v>
      </c>
      <c r="F5802" t="s" s="834">
        <v>478</v>
      </c>
      <c r="G5802" s="570"/>
      <c r="H5802" s="570"/>
      <c r="I5802" s="570"/>
      <c r="J5802" s="570"/>
      <c r="K5802" s="570"/>
    </row>
    <row r="5803" ht="13.75" customHeight="1">
      <c r="A5803" s="833">
        <v>302</v>
      </c>
      <c r="B5803" t="s" s="834">
        <v>90</v>
      </c>
      <c r="C5803" t="s" s="834">
        <v>480</v>
      </c>
      <c r="D5803" s="835">
        <v>46026</v>
      </c>
      <c r="E5803" t="s" s="834">
        <v>478</v>
      </c>
      <c r="F5803" t="s" s="834">
        <v>478</v>
      </c>
      <c r="G5803" s="570"/>
      <c r="H5803" s="570"/>
      <c r="I5803" s="570"/>
      <c r="J5803" s="570"/>
      <c r="K5803" s="570"/>
    </row>
    <row r="5804" ht="13.75" customHeight="1">
      <c r="A5804" s="833">
        <v>302</v>
      </c>
      <c r="B5804" t="s" s="834">
        <v>90</v>
      </c>
      <c r="C5804" t="s" s="834">
        <v>480</v>
      </c>
      <c r="D5804" s="835">
        <v>46027</v>
      </c>
      <c r="E5804" t="s" s="834">
        <v>478</v>
      </c>
      <c r="F5804" t="s" s="834">
        <v>478</v>
      </c>
      <c r="G5804" s="570"/>
      <c r="H5804" s="570"/>
      <c r="I5804" s="570"/>
      <c r="J5804" s="570"/>
      <c r="K5804" s="570"/>
    </row>
    <row r="5805" ht="13.75" customHeight="1">
      <c r="A5805" s="833">
        <v>302</v>
      </c>
      <c r="B5805" t="s" s="834">
        <v>90</v>
      </c>
      <c r="C5805" t="s" s="834">
        <v>480</v>
      </c>
      <c r="D5805" s="835">
        <v>46028</v>
      </c>
      <c r="E5805" t="s" s="834">
        <v>478</v>
      </c>
      <c r="F5805" t="s" s="834">
        <v>478</v>
      </c>
      <c r="G5805" s="570"/>
      <c r="H5805" s="570"/>
      <c r="I5805" s="570"/>
      <c r="J5805" s="570"/>
      <c r="K5805" s="570"/>
    </row>
    <row r="5806" ht="13.75" customHeight="1">
      <c r="A5806" s="833">
        <v>302</v>
      </c>
      <c r="B5806" t="s" s="834">
        <v>90</v>
      </c>
      <c r="C5806" t="s" s="834">
        <v>480</v>
      </c>
      <c r="D5806" s="835">
        <v>46029</v>
      </c>
      <c r="E5806" t="s" s="834">
        <v>478</v>
      </c>
      <c r="F5806" t="s" s="834">
        <v>478</v>
      </c>
      <c r="G5806" s="570"/>
      <c r="H5806" s="570"/>
      <c r="I5806" s="570"/>
      <c r="J5806" s="570"/>
      <c r="K5806" s="570"/>
    </row>
    <row r="5807" ht="13.75" customHeight="1">
      <c r="A5807" s="833">
        <v>302</v>
      </c>
      <c r="B5807" t="s" s="834">
        <v>90</v>
      </c>
      <c r="C5807" t="s" s="834">
        <v>480</v>
      </c>
      <c r="D5807" s="835">
        <v>46030</v>
      </c>
      <c r="E5807" t="s" s="834">
        <v>478</v>
      </c>
      <c r="F5807" t="s" s="834">
        <v>478</v>
      </c>
      <c r="G5807" s="570"/>
      <c r="H5807" s="570"/>
      <c r="I5807" s="570"/>
      <c r="J5807" s="570"/>
      <c r="K5807" s="570"/>
    </row>
    <row r="5808" ht="13.75" customHeight="1">
      <c r="A5808" s="833">
        <v>302</v>
      </c>
      <c r="B5808" t="s" s="834">
        <v>90</v>
      </c>
      <c r="C5808" t="s" s="834">
        <v>480</v>
      </c>
      <c r="D5808" s="835">
        <v>46031</v>
      </c>
      <c r="E5808" t="s" s="834">
        <v>478</v>
      </c>
      <c r="F5808" t="s" s="834">
        <v>478</v>
      </c>
      <c r="G5808" s="570"/>
      <c r="H5808" s="570"/>
      <c r="I5808" s="570"/>
      <c r="J5808" s="570"/>
      <c r="K5808" s="570"/>
    </row>
    <row r="5809" ht="13.75" customHeight="1">
      <c r="A5809" s="833">
        <v>302</v>
      </c>
      <c r="B5809" t="s" s="834">
        <v>90</v>
      </c>
      <c r="C5809" t="s" s="834">
        <v>480</v>
      </c>
      <c r="D5809" s="835">
        <v>46032</v>
      </c>
      <c r="E5809" t="s" s="834">
        <v>478</v>
      </c>
      <c r="F5809" t="s" s="834">
        <v>478</v>
      </c>
      <c r="G5809" s="570"/>
      <c r="H5809" s="570"/>
      <c r="I5809" s="570"/>
      <c r="J5809" s="570"/>
      <c r="K5809" s="570"/>
    </row>
    <row r="5810" ht="13.75" customHeight="1">
      <c r="A5810" s="833">
        <v>302</v>
      </c>
      <c r="B5810" t="s" s="834">
        <v>90</v>
      </c>
      <c r="C5810" t="s" s="834">
        <v>480</v>
      </c>
      <c r="D5810" s="835">
        <v>46033</v>
      </c>
      <c r="E5810" t="s" s="834">
        <v>478</v>
      </c>
      <c r="F5810" t="s" s="834">
        <v>478</v>
      </c>
      <c r="G5810" s="570"/>
      <c r="H5810" s="570"/>
      <c r="I5810" s="570"/>
      <c r="J5810" s="570"/>
      <c r="K5810" s="570"/>
    </row>
    <row r="5811" ht="13.75" customHeight="1">
      <c r="A5811" s="833">
        <v>302</v>
      </c>
      <c r="B5811" t="s" s="834">
        <v>90</v>
      </c>
      <c r="C5811" t="s" s="834">
        <v>480</v>
      </c>
      <c r="D5811" s="835">
        <v>46034</v>
      </c>
      <c r="E5811" t="s" s="834">
        <v>478</v>
      </c>
      <c r="F5811" t="s" s="834">
        <v>478</v>
      </c>
      <c r="G5811" s="570"/>
      <c r="H5811" s="570"/>
      <c r="I5811" s="570"/>
      <c r="J5811" s="570"/>
      <c r="K5811" s="570"/>
    </row>
    <row r="5812" ht="13.75" customHeight="1">
      <c r="A5812" s="833">
        <v>302</v>
      </c>
      <c r="B5812" t="s" s="834">
        <v>90</v>
      </c>
      <c r="C5812" t="s" s="834">
        <v>480</v>
      </c>
      <c r="D5812" s="835">
        <v>46035</v>
      </c>
      <c r="E5812" t="s" s="834">
        <v>478</v>
      </c>
      <c r="F5812" t="s" s="834">
        <v>478</v>
      </c>
      <c r="G5812" s="570"/>
      <c r="H5812" s="570"/>
      <c r="I5812" s="570"/>
      <c r="J5812" s="570"/>
      <c r="K5812" s="570"/>
    </row>
    <row r="5813" ht="13.75" customHeight="1">
      <c r="A5813" s="833">
        <v>302</v>
      </c>
      <c r="B5813" t="s" s="834">
        <v>90</v>
      </c>
      <c r="C5813" t="s" s="834">
        <v>480</v>
      </c>
      <c r="D5813" s="835">
        <v>46036</v>
      </c>
      <c r="E5813" t="s" s="834">
        <v>478</v>
      </c>
      <c r="F5813" t="s" s="834">
        <v>478</v>
      </c>
      <c r="G5813" s="570"/>
      <c r="H5813" s="570"/>
      <c r="I5813" s="570"/>
      <c r="J5813" s="570"/>
      <c r="K5813" s="570"/>
    </row>
    <row r="5814" ht="13.75" customHeight="1">
      <c r="A5814" s="833">
        <v>302</v>
      </c>
      <c r="B5814" t="s" s="834">
        <v>90</v>
      </c>
      <c r="C5814" t="s" s="834">
        <v>480</v>
      </c>
      <c r="D5814" s="835">
        <v>46037</v>
      </c>
      <c r="E5814" t="s" s="834">
        <v>478</v>
      </c>
      <c r="F5814" t="s" s="834">
        <v>478</v>
      </c>
      <c r="G5814" s="570"/>
      <c r="H5814" s="570"/>
      <c r="I5814" s="570"/>
      <c r="J5814" s="570"/>
      <c r="K5814" s="570"/>
    </row>
    <row r="5815" ht="13.75" customHeight="1">
      <c r="A5815" s="833">
        <v>302</v>
      </c>
      <c r="B5815" t="s" s="834">
        <v>90</v>
      </c>
      <c r="C5815" t="s" s="834">
        <v>480</v>
      </c>
      <c r="D5815" s="835">
        <v>46038</v>
      </c>
      <c r="E5815" t="s" s="834">
        <v>478</v>
      </c>
      <c r="F5815" t="s" s="834">
        <v>478</v>
      </c>
      <c r="G5815" s="570"/>
      <c r="H5815" s="570"/>
      <c r="I5815" s="570"/>
      <c r="J5815" s="570"/>
      <c r="K5815" s="570"/>
    </row>
    <row r="5816" ht="13.75" customHeight="1">
      <c r="A5816" s="833">
        <v>302</v>
      </c>
      <c r="B5816" t="s" s="834">
        <v>90</v>
      </c>
      <c r="C5816" t="s" s="834">
        <v>480</v>
      </c>
      <c r="D5816" s="835">
        <v>46039</v>
      </c>
      <c r="E5816" t="s" s="834">
        <v>478</v>
      </c>
      <c r="F5816" t="s" s="834">
        <v>478</v>
      </c>
      <c r="G5816" s="570"/>
      <c r="H5816" s="570"/>
      <c r="I5816" s="570"/>
      <c r="J5816" s="570"/>
      <c r="K5816" s="570"/>
    </row>
    <row r="5817" ht="13.75" customHeight="1">
      <c r="A5817" s="833">
        <v>302</v>
      </c>
      <c r="B5817" t="s" s="834">
        <v>90</v>
      </c>
      <c r="C5817" t="s" s="834">
        <v>480</v>
      </c>
      <c r="D5817" s="835">
        <v>46040</v>
      </c>
      <c r="E5817" t="s" s="834">
        <v>478</v>
      </c>
      <c r="F5817" t="s" s="834">
        <v>478</v>
      </c>
      <c r="G5817" s="570"/>
      <c r="H5817" s="570"/>
      <c r="I5817" s="570"/>
      <c r="J5817" s="570"/>
      <c r="K5817" s="570"/>
    </row>
    <row r="5818" ht="13.75" customHeight="1">
      <c r="A5818" s="833">
        <v>302</v>
      </c>
      <c r="B5818" t="s" s="834">
        <v>90</v>
      </c>
      <c r="C5818" t="s" s="834">
        <v>480</v>
      </c>
      <c r="D5818" s="835">
        <v>46041</v>
      </c>
      <c r="E5818" t="s" s="834">
        <v>478</v>
      </c>
      <c r="F5818" t="s" s="834">
        <v>478</v>
      </c>
      <c r="G5818" s="570"/>
      <c r="H5818" s="570"/>
      <c r="I5818" s="570"/>
      <c r="J5818" s="570"/>
      <c r="K5818" s="570"/>
    </row>
    <row r="5819" ht="13.75" customHeight="1">
      <c r="A5819" s="833">
        <v>302</v>
      </c>
      <c r="B5819" t="s" s="834">
        <v>90</v>
      </c>
      <c r="C5819" t="s" s="834">
        <v>480</v>
      </c>
      <c r="D5819" s="835">
        <v>46042</v>
      </c>
      <c r="E5819" t="s" s="834">
        <v>478</v>
      </c>
      <c r="F5819" t="s" s="834">
        <v>478</v>
      </c>
      <c r="G5819" s="570"/>
      <c r="H5819" s="570"/>
      <c r="I5819" s="570"/>
      <c r="J5819" s="570"/>
      <c r="K5819" s="570"/>
    </row>
    <row r="5820" ht="13.75" customHeight="1">
      <c r="A5820" s="833">
        <v>302</v>
      </c>
      <c r="B5820" t="s" s="834">
        <v>90</v>
      </c>
      <c r="C5820" t="s" s="834">
        <v>480</v>
      </c>
      <c r="D5820" s="835">
        <v>46043</v>
      </c>
      <c r="E5820" t="s" s="834">
        <v>478</v>
      </c>
      <c r="F5820" t="s" s="834">
        <v>478</v>
      </c>
      <c r="G5820" s="570"/>
      <c r="H5820" s="570"/>
      <c r="I5820" s="570"/>
      <c r="J5820" s="570"/>
      <c r="K5820" s="570"/>
    </row>
    <row r="5821" ht="13.75" customHeight="1">
      <c r="A5821" s="833">
        <v>302</v>
      </c>
      <c r="B5821" t="s" s="834">
        <v>90</v>
      </c>
      <c r="C5821" t="s" s="834">
        <v>480</v>
      </c>
      <c r="D5821" s="835">
        <v>46044</v>
      </c>
      <c r="E5821" t="s" s="834">
        <v>478</v>
      </c>
      <c r="F5821" t="s" s="834">
        <v>478</v>
      </c>
      <c r="G5821" s="570"/>
      <c r="H5821" s="570"/>
      <c r="I5821" s="570"/>
      <c r="J5821" s="570"/>
      <c r="K5821" s="570"/>
    </row>
    <row r="5822" ht="13.75" customHeight="1">
      <c r="A5822" s="833">
        <v>302</v>
      </c>
      <c r="B5822" t="s" s="834">
        <v>90</v>
      </c>
      <c r="C5822" t="s" s="834">
        <v>480</v>
      </c>
      <c r="D5822" s="835">
        <v>46045</v>
      </c>
      <c r="E5822" t="s" s="834">
        <v>478</v>
      </c>
      <c r="F5822" t="s" s="834">
        <v>478</v>
      </c>
      <c r="G5822" s="570"/>
      <c r="H5822" s="570"/>
      <c r="I5822" s="570"/>
      <c r="J5822" s="570"/>
      <c r="K5822" s="570"/>
    </row>
    <row r="5823" ht="13.75" customHeight="1">
      <c r="A5823" s="833">
        <v>302</v>
      </c>
      <c r="B5823" t="s" s="834">
        <v>90</v>
      </c>
      <c r="C5823" t="s" s="834">
        <v>480</v>
      </c>
      <c r="D5823" s="835">
        <v>46046</v>
      </c>
      <c r="E5823" t="s" s="834">
        <v>478</v>
      </c>
      <c r="F5823" t="s" s="834">
        <v>478</v>
      </c>
      <c r="G5823" s="570"/>
      <c r="H5823" s="570"/>
      <c r="I5823" s="570"/>
      <c r="J5823" s="570"/>
      <c r="K5823" s="570"/>
    </row>
    <row r="5824" ht="13.75" customHeight="1">
      <c r="A5824" s="833">
        <v>302</v>
      </c>
      <c r="B5824" t="s" s="834">
        <v>90</v>
      </c>
      <c r="C5824" t="s" s="834">
        <v>480</v>
      </c>
      <c r="D5824" s="835">
        <v>46047</v>
      </c>
      <c r="E5824" t="s" s="834">
        <v>478</v>
      </c>
      <c r="F5824" t="s" s="834">
        <v>478</v>
      </c>
      <c r="G5824" s="570"/>
      <c r="H5824" s="570"/>
      <c r="I5824" s="570"/>
      <c r="J5824" s="570"/>
      <c r="K5824" s="570"/>
    </row>
    <row r="5825" ht="13.75" customHeight="1">
      <c r="A5825" s="833">
        <v>302</v>
      </c>
      <c r="B5825" t="s" s="834">
        <v>90</v>
      </c>
      <c r="C5825" t="s" s="834">
        <v>480</v>
      </c>
      <c r="D5825" s="835">
        <v>46048</v>
      </c>
      <c r="E5825" t="s" s="834">
        <v>478</v>
      </c>
      <c r="F5825" t="s" s="834">
        <v>478</v>
      </c>
      <c r="G5825" s="570"/>
      <c r="H5825" s="570"/>
      <c r="I5825" s="570"/>
      <c r="J5825" s="570"/>
      <c r="K5825" s="570"/>
    </row>
    <row r="5826" ht="13.75" customHeight="1">
      <c r="A5826" s="833">
        <v>302</v>
      </c>
      <c r="B5826" t="s" s="834">
        <v>90</v>
      </c>
      <c r="C5826" t="s" s="834">
        <v>480</v>
      </c>
      <c r="D5826" s="835">
        <v>46049</v>
      </c>
      <c r="E5826" t="s" s="834">
        <v>478</v>
      </c>
      <c r="F5826" t="s" s="834">
        <v>478</v>
      </c>
      <c r="G5826" s="570"/>
      <c r="H5826" s="570"/>
      <c r="I5826" s="570"/>
      <c r="J5826" s="570"/>
      <c r="K5826" s="570"/>
    </row>
    <row r="5827" ht="13.75" customHeight="1">
      <c r="A5827" s="833">
        <v>302</v>
      </c>
      <c r="B5827" t="s" s="834">
        <v>90</v>
      </c>
      <c r="C5827" t="s" s="834">
        <v>480</v>
      </c>
      <c r="D5827" s="835">
        <v>46050</v>
      </c>
      <c r="E5827" t="s" s="834">
        <v>478</v>
      </c>
      <c r="F5827" t="s" s="834">
        <v>478</v>
      </c>
      <c r="G5827" s="570"/>
      <c r="H5827" s="570"/>
      <c r="I5827" s="570"/>
      <c r="J5827" s="570"/>
      <c r="K5827" s="570"/>
    </row>
    <row r="5828" ht="13.75" customHeight="1">
      <c r="A5828" s="833">
        <v>302</v>
      </c>
      <c r="B5828" t="s" s="834">
        <v>90</v>
      </c>
      <c r="C5828" t="s" s="834">
        <v>480</v>
      </c>
      <c r="D5828" s="835">
        <v>46051</v>
      </c>
      <c r="E5828" t="s" s="834">
        <v>478</v>
      </c>
      <c r="F5828" t="s" s="834">
        <v>478</v>
      </c>
      <c r="G5828" s="570"/>
      <c r="H5828" s="570"/>
      <c r="I5828" s="570"/>
      <c r="J5828" s="570"/>
      <c r="K5828" s="570"/>
    </row>
    <row r="5829" ht="13.75" customHeight="1">
      <c r="A5829" s="833">
        <v>302</v>
      </c>
      <c r="B5829" t="s" s="834">
        <v>90</v>
      </c>
      <c r="C5829" t="s" s="834">
        <v>480</v>
      </c>
      <c r="D5829" s="835">
        <v>46052</v>
      </c>
      <c r="E5829" t="s" s="834">
        <v>478</v>
      </c>
      <c r="F5829" t="s" s="834">
        <v>478</v>
      </c>
      <c r="G5829" s="570"/>
      <c r="H5829" s="570"/>
      <c r="I5829" s="570"/>
      <c r="J5829" s="570"/>
      <c r="K5829" s="570"/>
    </row>
    <row r="5830" ht="13.75" customHeight="1">
      <c r="A5830" s="833">
        <v>302</v>
      </c>
      <c r="B5830" t="s" s="834">
        <v>90</v>
      </c>
      <c r="C5830" t="s" s="834">
        <v>480</v>
      </c>
      <c r="D5830" s="835">
        <v>46053</v>
      </c>
      <c r="E5830" t="s" s="834">
        <v>478</v>
      </c>
      <c r="F5830" t="s" s="834">
        <v>478</v>
      </c>
      <c r="G5830" s="570"/>
      <c r="H5830" s="570"/>
      <c r="I5830" s="570"/>
      <c r="J5830" s="570"/>
      <c r="K5830" s="570"/>
    </row>
    <row r="5831" ht="13.75" customHeight="1">
      <c r="A5831" s="833">
        <v>302</v>
      </c>
      <c r="B5831" t="s" s="834">
        <v>90</v>
      </c>
      <c r="C5831" t="s" s="834">
        <v>480</v>
      </c>
      <c r="D5831" s="835">
        <v>46054</v>
      </c>
      <c r="E5831" t="s" s="834">
        <v>478</v>
      </c>
      <c r="F5831" t="s" s="834">
        <v>478</v>
      </c>
      <c r="G5831" s="570"/>
      <c r="H5831" s="570"/>
      <c r="I5831" s="570"/>
      <c r="J5831" s="570"/>
      <c r="K5831" s="570"/>
    </row>
    <row r="5832" ht="13.75" customHeight="1">
      <c r="A5832" s="833">
        <v>303</v>
      </c>
      <c r="B5832" t="s" s="834">
        <v>97</v>
      </c>
      <c r="C5832" t="s" s="834">
        <v>480</v>
      </c>
      <c r="D5832" s="835">
        <v>46023</v>
      </c>
      <c r="E5832" t="s" s="863">
        <v>567</v>
      </c>
      <c r="F5832" t="s" s="834">
        <v>3993</v>
      </c>
      <c r="G5832" t="s" s="863">
        <v>567</v>
      </c>
      <c r="H5832" t="s" s="834">
        <v>3993</v>
      </c>
      <c r="I5832" s="570"/>
      <c r="J5832" s="570"/>
      <c r="K5832" s="570"/>
    </row>
    <row r="5833" ht="13.75" customHeight="1">
      <c r="A5833" s="833">
        <v>303</v>
      </c>
      <c r="B5833" t="s" s="834">
        <v>97</v>
      </c>
      <c r="C5833" t="s" s="834">
        <v>480</v>
      </c>
      <c r="D5833" s="835">
        <v>46024</v>
      </c>
      <c r="E5833" t="s" s="863">
        <v>567</v>
      </c>
      <c r="F5833" t="s" s="834">
        <v>1742</v>
      </c>
      <c r="G5833" t="s" s="863">
        <v>567</v>
      </c>
      <c r="H5833" t="s" s="834">
        <v>1742</v>
      </c>
      <c r="I5833" s="570"/>
      <c r="J5833" s="570"/>
      <c r="K5833" s="570"/>
    </row>
    <row r="5834" ht="13.75" customHeight="1">
      <c r="A5834" s="833">
        <v>303</v>
      </c>
      <c r="B5834" t="s" s="834">
        <v>97</v>
      </c>
      <c r="C5834" t="s" s="834">
        <v>480</v>
      </c>
      <c r="D5834" s="835">
        <v>46025</v>
      </c>
      <c r="E5834" t="s" s="863">
        <v>567</v>
      </c>
      <c r="F5834" t="s" s="834">
        <v>570</v>
      </c>
      <c r="G5834" t="s" s="863">
        <v>567</v>
      </c>
      <c r="H5834" t="s" s="834">
        <v>570</v>
      </c>
      <c r="I5834" s="570"/>
      <c r="J5834" s="570"/>
      <c r="K5834" s="570"/>
    </row>
    <row r="5835" ht="13.75" customHeight="1">
      <c r="A5835" s="833">
        <v>303</v>
      </c>
      <c r="B5835" t="s" s="834">
        <v>97</v>
      </c>
      <c r="C5835" t="s" s="834">
        <v>480</v>
      </c>
      <c r="D5835" s="835">
        <v>46026</v>
      </c>
      <c r="E5835" t="s" s="863">
        <v>567</v>
      </c>
      <c r="F5835" t="s" s="834">
        <v>570</v>
      </c>
      <c r="G5835" t="s" s="863">
        <v>567</v>
      </c>
      <c r="H5835" t="s" s="834">
        <v>570</v>
      </c>
      <c r="I5835" s="570"/>
      <c r="J5835" s="570"/>
      <c r="K5835" s="570"/>
    </row>
    <row r="5836" ht="13.75" customHeight="1">
      <c r="A5836" s="833">
        <v>303</v>
      </c>
      <c r="B5836" t="s" s="834">
        <v>97</v>
      </c>
      <c r="C5836" t="s" s="834">
        <v>480</v>
      </c>
      <c r="D5836" s="835">
        <v>46027</v>
      </c>
      <c r="E5836" s="836">
        <v>1.34787037037037</v>
      </c>
      <c r="F5836" s="836">
        <v>1.751701388888889</v>
      </c>
      <c r="G5836" s="570"/>
      <c r="H5836" s="570"/>
      <c r="I5836" s="570"/>
      <c r="J5836" s="570"/>
      <c r="K5836" s="570"/>
    </row>
    <row r="5837" ht="13.75" customHeight="1">
      <c r="A5837" t="s" s="834">
        <v>3994</v>
      </c>
      <c r="B5837" t="s" s="834">
        <v>3995</v>
      </c>
      <c r="C5837" t="s" s="834">
        <v>493</v>
      </c>
      <c r="D5837" s="570"/>
      <c r="E5837" s="570"/>
      <c r="F5837" s="570"/>
      <c r="G5837" s="570"/>
      <c r="H5837" s="570"/>
      <c r="I5837" s="570"/>
      <c r="J5837" s="570"/>
      <c r="K5837" s="570"/>
    </row>
    <row r="5838" ht="13.75" customHeight="1">
      <c r="A5838" s="833">
        <v>303</v>
      </c>
      <c r="B5838" t="s" s="834">
        <v>97</v>
      </c>
      <c r="C5838" t="s" s="834">
        <v>480</v>
      </c>
      <c r="D5838" s="835">
        <v>46028</v>
      </c>
      <c r="E5838" s="836">
        <v>1.356724537037037</v>
      </c>
      <c r="F5838" s="836">
        <v>1.775011574074074</v>
      </c>
      <c r="G5838" s="570"/>
      <c r="H5838" s="570"/>
      <c r="I5838" s="570"/>
      <c r="J5838" s="570"/>
      <c r="K5838" s="570"/>
    </row>
    <row r="5839" ht="13.75" customHeight="1">
      <c r="A5839" t="s" s="834">
        <v>3996</v>
      </c>
      <c r="B5839" t="s" s="834">
        <v>3997</v>
      </c>
      <c r="C5839" t="s" s="834">
        <v>1033</v>
      </c>
      <c r="D5839" s="570"/>
      <c r="E5839" s="570"/>
      <c r="F5839" s="570"/>
      <c r="G5839" s="570"/>
      <c r="H5839" s="570"/>
      <c r="I5839" s="570"/>
      <c r="J5839" s="570"/>
      <c r="K5839" s="570"/>
    </row>
    <row r="5840" ht="13.75" customHeight="1">
      <c r="A5840" s="833">
        <v>303</v>
      </c>
      <c r="B5840" t="s" s="834">
        <v>97</v>
      </c>
      <c r="C5840" t="s" s="834">
        <v>480</v>
      </c>
      <c r="D5840" s="835">
        <v>46029</v>
      </c>
      <c r="E5840" t="s" s="863">
        <v>567</v>
      </c>
      <c r="F5840" t="s" s="834">
        <v>3998</v>
      </c>
      <c r="G5840" t="s" s="863">
        <v>567</v>
      </c>
      <c r="H5840" t="s" s="837">
        <v>3998</v>
      </c>
      <c r="I5840" s="570"/>
      <c r="J5840" s="570"/>
      <c r="K5840" s="570"/>
    </row>
    <row r="5841" ht="13.75" customHeight="1">
      <c r="A5841" s="833">
        <v>303</v>
      </c>
      <c r="B5841" t="s" s="834">
        <v>97</v>
      </c>
      <c r="C5841" t="s" s="834">
        <v>480</v>
      </c>
      <c r="D5841" s="835">
        <v>46030</v>
      </c>
      <c r="E5841" s="836">
        <v>1.333136574074074</v>
      </c>
      <c r="F5841" s="836">
        <v>1.754421296296296</v>
      </c>
      <c r="G5841" s="570"/>
      <c r="H5841" s="570"/>
      <c r="I5841" s="570"/>
      <c r="J5841" s="570"/>
      <c r="K5841" s="570"/>
    </row>
    <row r="5842" ht="13.75" customHeight="1">
      <c r="A5842" t="s" s="834">
        <v>3999</v>
      </c>
      <c r="B5842" t="s" s="834">
        <v>4000</v>
      </c>
      <c r="C5842" t="s" s="834">
        <v>620</v>
      </c>
      <c r="D5842" s="570"/>
      <c r="E5842" s="570"/>
      <c r="F5842" s="570"/>
      <c r="G5842" s="570"/>
      <c r="H5842" s="570"/>
      <c r="I5842" s="570"/>
      <c r="J5842" s="570"/>
      <c r="K5842" s="570"/>
    </row>
    <row r="5843" ht="13.75" customHeight="1">
      <c r="A5843" s="833">
        <v>303</v>
      </c>
      <c r="B5843" t="s" s="834">
        <v>97</v>
      </c>
      <c r="C5843" t="s" s="834">
        <v>480</v>
      </c>
      <c r="D5843" s="835">
        <v>46031</v>
      </c>
      <c r="E5843" t="s" s="863">
        <v>567</v>
      </c>
      <c r="F5843" t="s" s="834">
        <v>1742</v>
      </c>
      <c r="G5843" t="s" s="863">
        <v>567</v>
      </c>
      <c r="H5843" t="s" s="834">
        <v>1742</v>
      </c>
      <c r="I5843" s="570"/>
      <c r="J5843" s="570"/>
      <c r="K5843" s="570"/>
    </row>
    <row r="5844" ht="13.75" customHeight="1">
      <c r="A5844" s="833">
        <v>303</v>
      </c>
      <c r="B5844" t="s" s="834">
        <v>97</v>
      </c>
      <c r="C5844" t="s" s="834">
        <v>480</v>
      </c>
      <c r="D5844" s="835">
        <v>46032</v>
      </c>
      <c r="E5844" t="s" s="863">
        <v>567</v>
      </c>
      <c r="F5844" t="s" s="834">
        <v>570</v>
      </c>
      <c r="G5844" t="s" s="863">
        <v>567</v>
      </c>
      <c r="H5844" t="s" s="834">
        <v>570</v>
      </c>
      <c r="I5844" s="570"/>
      <c r="J5844" s="570"/>
      <c r="K5844" s="570"/>
    </row>
    <row r="5845" ht="13.75" customHeight="1">
      <c r="A5845" s="833">
        <v>303</v>
      </c>
      <c r="B5845" t="s" s="834">
        <v>97</v>
      </c>
      <c r="C5845" t="s" s="834">
        <v>480</v>
      </c>
      <c r="D5845" s="835">
        <v>46033</v>
      </c>
      <c r="E5845" t="s" s="863">
        <v>567</v>
      </c>
      <c r="F5845" t="s" s="834">
        <v>570</v>
      </c>
      <c r="G5845" t="s" s="863">
        <v>567</v>
      </c>
      <c r="H5845" t="s" s="834">
        <v>570</v>
      </c>
      <c r="I5845" s="570"/>
      <c r="J5845" s="570"/>
      <c r="K5845" s="570"/>
    </row>
    <row r="5846" ht="13.75" customHeight="1">
      <c r="A5846" s="833">
        <v>303</v>
      </c>
      <c r="B5846" t="s" s="834">
        <v>97</v>
      </c>
      <c r="C5846" t="s" s="834">
        <v>480</v>
      </c>
      <c r="D5846" s="835">
        <v>46034</v>
      </c>
      <c r="E5846" s="836">
        <v>1.346516203703704</v>
      </c>
      <c r="F5846" s="836">
        <v>1.755729166666667</v>
      </c>
      <c r="G5846" s="570"/>
      <c r="H5846" s="570"/>
      <c r="I5846" s="570"/>
      <c r="J5846" s="570"/>
      <c r="K5846" s="570"/>
    </row>
    <row r="5847" ht="13.75" customHeight="1">
      <c r="A5847" t="s" s="834">
        <v>4001</v>
      </c>
      <c r="B5847" t="s" s="834">
        <v>4002</v>
      </c>
      <c r="C5847" t="s" s="834">
        <v>600</v>
      </c>
      <c r="D5847" s="570"/>
      <c r="E5847" s="570"/>
      <c r="F5847" s="570"/>
      <c r="G5847" s="570"/>
      <c r="H5847" s="570"/>
      <c r="I5847" s="570"/>
      <c r="J5847" s="570"/>
      <c r="K5847" s="570"/>
    </row>
    <row r="5848" ht="13.75" customHeight="1">
      <c r="A5848" s="833">
        <v>303</v>
      </c>
      <c r="B5848" t="s" s="834">
        <v>97</v>
      </c>
      <c r="C5848" t="s" s="834">
        <v>480</v>
      </c>
      <c r="D5848" s="835">
        <v>46035</v>
      </c>
      <c r="E5848" s="836">
        <v>1.34412037037037</v>
      </c>
      <c r="F5848" s="836">
        <v>1.678865740740741</v>
      </c>
      <c r="G5848" s="570"/>
      <c r="H5848" s="570"/>
      <c r="I5848" s="570"/>
      <c r="J5848" s="570"/>
      <c r="K5848" s="570"/>
    </row>
    <row r="5849" ht="13.75" customHeight="1">
      <c r="A5849" t="s" s="834">
        <v>4003</v>
      </c>
      <c r="B5849" t="s" s="834">
        <v>4004</v>
      </c>
      <c r="C5849" t="s" s="834">
        <v>2031</v>
      </c>
      <c r="D5849" s="570"/>
      <c r="E5849" s="570"/>
      <c r="F5849" s="570"/>
      <c r="G5849" s="570"/>
      <c r="H5849" s="570"/>
      <c r="I5849" s="570"/>
      <c r="J5849" s="570"/>
      <c r="K5849" s="570"/>
    </row>
    <row r="5850" ht="13.75" customHeight="1">
      <c r="A5850" s="833">
        <v>303</v>
      </c>
      <c r="B5850" t="s" s="834">
        <v>97</v>
      </c>
      <c r="C5850" t="s" s="834">
        <v>480</v>
      </c>
      <c r="D5850" s="835">
        <v>46036</v>
      </c>
      <c r="E5850" t="s" s="863">
        <v>567</v>
      </c>
      <c r="F5850" t="s" s="834">
        <v>1742</v>
      </c>
      <c r="G5850" t="s" s="863">
        <v>567</v>
      </c>
      <c r="H5850" t="s" s="834">
        <v>1742</v>
      </c>
      <c r="I5850" s="570"/>
      <c r="J5850" s="570"/>
      <c r="K5850" s="570"/>
    </row>
    <row r="5851" ht="13.75" customHeight="1">
      <c r="A5851" s="833">
        <v>303</v>
      </c>
      <c r="B5851" t="s" s="834">
        <v>97</v>
      </c>
      <c r="C5851" t="s" s="834">
        <v>480</v>
      </c>
      <c r="D5851" s="835">
        <v>46037</v>
      </c>
      <c r="E5851" s="836">
        <v>1.344131944444444</v>
      </c>
      <c r="F5851" s="836">
        <v>1.755127314814815</v>
      </c>
      <c r="G5851" s="570"/>
      <c r="H5851" s="570"/>
      <c r="I5851" s="570"/>
      <c r="J5851" s="570"/>
      <c r="K5851" s="570"/>
    </row>
    <row r="5852" ht="13.75" customHeight="1">
      <c r="A5852" t="s" s="834">
        <v>4005</v>
      </c>
      <c r="B5852" t="s" s="834">
        <v>4006</v>
      </c>
      <c r="C5852" t="s" s="834">
        <v>850</v>
      </c>
      <c r="D5852" s="570"/>
      <c r="E5852" s="570"/>
      <c r="F5852" s="570"/>
      <c r="G5852" s="570"/>
      <c r="H5852" s="570"/>
      <c r="I5852" s="570"/>
      <c r="J5852" s="570"/>
      <c r="K5852" s="570"/>
    </row>
    <row r="5853" ht="13.75" customHeight="1">
      <c r="A5853" s="833">
        <v>303</v>
      </c>
      <c r="B5853" t="s" s="834">
        <v>97</v>
      </c>
      <c r="C5853" t="s" s="834">
        <v>480</v>
      </c>
      <c r="D5853" s="835">
        <v>46038</v>
      </c>
      <c r="E5853" s="836">
        <v>1.351331018518519</v>
      </c>
      <c r="F5853" s="836">
        <v>1.774976851851852</v>
      </c>
      <c r="G5853" s="570"/>
      <c r="H5853" s="570"/>
      <c r="I5853" s="570"/>
      <c r="J5853" s="570"/>
      <c r="K5853" s="570"/>
    </row>
    <row r="5854" ht="13.75" customHeight="1">
      <c r="A5854" t="s" s="834">
        <v>4007</v>
      </c>
      <c r="B5854" t="s" s="834">
        <v>4008</v>
      </c>
      <c r="C5854" t="s" s="834">
        <v>649</v>
      </c>
      <c r="D5854" s="570"/>
      <c r="E5854" s="570"/>
      <c r="F5854" s="570"/>
      <c r="G5854" s="570"/>
      <c r="H5854" s="570"/>
      <c r="I5854" s="570"/>
      <c r="J5854" s="570"/>
      <c r="K5854" s="570"/>
    </row>
    <row r="5855" ht="13.75" customHeight="1">
      <c r="A5855" s="833">
        <v>303</v>
      </c>
      <c r="B5855" t="s" s="834">
        <v>97</v>
      </c>
      <c r="C5855" t="s" s="834">
        <v>480</v>
      </c>
      <c r="D5855" s="835">
        <v>46039</v>
      </c>
      <c r="E5855" t="s" s="863">
        <v>567</v>
      </c>
      <c r="F5855" t="s" s="834">
        <v>570</v>
      </c>
      <c r="G5855" t="s" s="863">
        <v>567</v>
      </c>
      <c r="H5855" t="s" s="834">
        <v>570</v>
      </c>
      <c r="I5855" s="570"/>
      <c r="J5855" s="570"/>
      <c r="K5855" s="570"/>
    </row>
    <row r="5856" ht="13.75" customHeight="1">
      <c r="A5856" s="833">
        <v>303</v>
      </c>
      <c r="B5856" t="s" s="834">
        <v>97</v>
      </c>
      <c r="C5856" t="s" s="834">
        <v>480</v>
      </c>
      <c r="D5856" s="835">
        <v>46040</v>
      </c>
      <c r="E5856" t="s" s="863">
        <v>567</v>
      </c>
      <c r="F5856" t="s" s="834">
        <v>570</v>
      </c>
      <c r="G5856" t="s" s="863">
        <v>567</v>
      </c>
      <c r="H5856" t="s" s="834">
        <v>570</v>
      </c>
      <c r="I5856" s="570"/>
      <c r="J5856" s="570"/>
      <c r="K5856" s="570"/>
    </row>
    <row r="5857" ht="13.75" customHeight="1">
      <c r="A5857" s="833">
        <v>303</v>
      </c>
      <c r="B5857" t="s" s="834">
        <v>97</v>
      </c>
      <c r="C5857" t="s" s="834">
        <v>480</v>
      </c>
      <c r="D5857" s="835">
        <v>46041</v>
      </c>
      <c r="E5857" s="836">
        <v>1.344456018518519</v>
      </c>
      <c r="F5857" s="836">
        <v>1.761296296296296</v>
      </c>
      <c r="G5857" s="570"/>
      <c r="H5857" s="570"/>
      <c r="I5857" s="570"/>
      <c r="J5857" s="570"/>
      <c r="K5857" s="570"/>
    </row>
    <row r="5858" ht="13.75" customHeight="1">
      <c r="A5858" t="s" s="834">
        <v>4009</v>
      </c>
      <c r="B5858" t="s" s="834">
        <v>4010</v>
      </c>
      <c r="C5858" t="s" s="834">
        <v>530</v>
      </c>
      <c r="D5858" s="570"/>
      <c r="E5858" s="570"/>
      <c r="F5858" s="570"/>
      <c r="G5858" s="570"/>
      <c r="H5858" s="570"/>
      <c r="I5858" s="570"/>
      <c r="J5858" s="570"/>
      <c r="K5858" s="570"/>
    </row>
    <row r="5859" ht="13.75" customHeight="1">
      <c r="A5859" s="833">
        <v>303</v>
      </c>
      <c r="B5859" t="s" s="834">
        <v>97</v>
      </c>
      <c r="C5859" t="s" s="834">
        <v>480</v>
      </c>
      <c r="D5859" s="835">
        <v>46042</v>
      </c>
      <c r="E5859" s="836">
        <v>1.34380787037037</v>
      </c>
      <c r="F5859" s="836">
        <v>1.752222222222222</v>
      </c>
      <c r="G5859" s="570"/>
      <c r="H5859" s="570"/>
      <c r="I5859" s="570"/>
      <c r="J5859" s="570"/>
      <c r="K5859" s="570"/>
    </row>
    <row r="5860" ht="13.75" customHeight="1">
      <c r="A5860" t="s" s="834">
        <v>4011</v>
      </c>
      <c r="B5860" t="s" s="834">
        <v>4012</v>
      </c>
      <c r="C5860" t="s" s="834">
        <v>1330</v>
      </c>
      <c r="D5860" s="570"/>
      <c r="E5860" s="570"/>
      <c r="F5860" s="570"/>
      <c r="G5860" s="570"/>
      <c r="H5860" s="570"/>
      <c r="I5860" s="570"/>
      <c r="J5860" s="570"/>
      <c r="K5860" s="570"/>
    </row>
    <row r="5861" ht="13.75" customHeight="1">
      <c r="A5861" s="833">
        <v>303</v>
      </c>
      <c r="B5861" t="s" s="834">
        <v>97</v>
      </c>
      <c r="C5861" t="s" s="834">
        <v>480</v>
      </c>
      <c r="D5861" s="835">
        <v>46043</v>
      </c>
      <c r="E5861" t="s" s="863">
        <v>567</v>
      </c>
      <c r="F5861" t="s" s="834">
        <v>1742</v>
      </c>
      <c r="G5861" t="s" s="863">
        <v>567</v>
      </c>
      <c r="H5861" t="s" s="834">
        <v>1742</v>
      </c>
      <c r="I5861" s="570"/>
      <c r="J5861" s="570"/>
      <c r="K5861" s="570"/>
    </row>
    <row r="5862" ht="13.75" customHeight="1">
      <c r="A5862" s="833">
        <v>303</v>
      </c>
      <c r="B5862" t="s" s="834">
        <v>97</v>
      </c>
      <c r="C5862" t="s" s="834">
        <v>480</v>
      </c>
      <c r="D5862" s="835">
        <v>46044</v>
      </c>
      <c r="E5862" s="836">
        <v>1.341712962962963</v>
      </c>
      <c r="F5862" s="836">
        <v>1.773449074074074</v>
      </c>
      <c r="G5862" s="570"/>
      <c r="H5862" s="570"/>
      <c r="I5862" s="570"/>
      <c r="J5862" s="570"/>
      <c r="K5862" s="570"/>
    </row>
    <row r="5863" ht="13.75" customHeight="1">
      <c r="A5863" t="s" s="834">
        <v>4013</v>
      </c>
      <c r="B5863" t="s" s="834">
        <v>4014</v>
      </c>
      <c r="C5863" t="s" s="834">
        <v>1828</v>
      </c>
      <c r="D5863" s="570"/>
      <c r="E5863" s="570"/>
      <c r="F5863" s="570"/>
      <c r="G5863" s="570"/>
      <c r="H5863" s="570"/>
      <c r="I5863" s="570"/>
      <c r="J5863" s="570"/>
      <c r="K5863" s="570"/>
    </row>
    <row r="5864" ht="13.75" customHeight="1">
      <c r="A5864" s="833">
        <v>303</v>
      </c>
      <c r="B5864" t="s" s="834">
        <v>97</v>
      </c>
      <c r="C5864" t="s" s="834">
        <v>480</v>
      </c>
      <c r="D5864" s="835">
        <v>46045</v>
      </c>
      <c r="E5864" s="836">
        <v>1.340532407407407</v>
      </c>
      <c r="F5864" s="836">
        <v>1.762071759259259</v>
      </c>
      <c r="G5864" s="570"/>
      <c r="H5864" s="570"/>
      <c r="I5864" s="570"/>
      <c r="J5864" s="570"/>
      <c r="K5864" s="570"/>
    </row>
    <row r="5865" ht="13.75" customHeight="1">
      <c r="A5865" t="s" s="834">
        <v>4015</v>
      </c>
      <c r="B5865" t="s" s="834">
        <v>4016</v>
      </c>
      <c r="C5865" t="s" s="834">
        <v>620</v>
      </c>
      <c r="D5865" s="570"/>
      <c r="E5865" s="570"/>
      <c r="F5865" s="570"/>
      <c r="G5865" s="570"/>
      <c r="H5865" s="570"/>
      <c r="I5865" s="570"/>
      <c r="J5865" s="570"/>
      <c r="K5865" s="570"/>
    </row>
    <row r="5866" ht="13.75" customHeight="1">
      <c r="A5866" s="833">
        <v>303</v>
      </c>
      <c r="B5866" t="s" s="834">
        <v>97</v>
      </c>
      <c r="C5866" t="s" s="834">
        <v>480</v>
      </c>
      <c r="D5866" s="835">
        <v>46046</v>
      </c>
      <c r="E5866" t="s" s="863">
        <v>567</v>
      </c>
      <c r="F5866" t="s" s="834">
        <v>570</v>
      </c>
      <c r="G5866" t="s" s="863">
        <v>567</v>
      </c>
      <c r="H5866" t="s" s="834">
        <v>570</v>
      </c>
      <c r="I5866" s="570"/>
      <c r="J5866" s="570"/>
      <c r="K5866" s="570"/>
    </row>
    <row r="5867" ht="13.75" customHeight="1">
      <c r="A5867" s="833">
        <v>303</v>
      </c>
      <c r="B5867" t="s" s="834">
        <v>97</v>
      </c>
      <c r="C5867" t="s" s="834">
        <v>480</v>
      </c>
      <c r="D5867" s="835">
        <v>46047</v>
      </c>
      <c r="E5867" t="s" s="863">
        <v>567</v>
      </c>
      <c r="F5867" t="s" s="834">
        <v>570</v>
      </c>
      <c r="G5867" t="s" s="863">
        <v>567</v>
      </c>
      <c r="H5867" t="s" s="834">
        <v>570</v>
      </c>
      <c r="I5867" s="570"/>
      <c r="J5867" s="570"/>
      <c r="K5867" s="570"/>
    </row>
    <row r="5868" ht="13.75" customHeight="1">
      <c r="A5868" s="833">
        <v>303</v>
      </c>
      <c r="B5868" t="s" s="834">
        <v>97</v>
      </c>
      <c r="C5868" t="s" s="834">
        <v>480</v>
      </c>
      <c r="D5868" s="835">
        <v>46048</v>
      </c>
      <c r="E5868" t="s" s="863">
        <v>567</v>
      </c>
      <c r="F5868" t="s" s="834">
        <v>1742</v>
      </c>
      <c r="G5868" t="s" s="863">
        <v>567</v>
      </c>
      <c r="H5868" t="s" s="834">
        <v>1742</v>
      </c>
      <c r="I5868" s="570"/>
      <c r="J5868" s="570"/>
      <c r="K5868" s="570"/>
    </row>
    <row r="5869" ht="13.75" customHeight="1">
      <c r="A5869" s="833">
        <v>303</v>
      </c>
      <c r="B5869" t="s" s="834">
        <v>97</v>
      </c>
      <c r="C5869" t="s" s="834">
        <v>480</v>
      </c>
      <c r="D5869" s="835">
        <v>46049</v>
      </c>
      <c r="E5869" s="836">
        <v>1.347916666666667</v>
      </c>
      <c r="F5869" s="836">
        <v>1.752824074074074</v>
      </c>
      <c r="G5869" s="570"/>
      <c r="H5869" s="570"/>
      <c r="I5869" s="570"/>
      <c r="J5869" s="570"/>
      <c r="K5869" s="570"/>
    </row>
    <row r="5870" ht="13.75" customHeight="1">
      <c r="A5870" t="s" s="834">
        <v>4017</v>
      </c>
      <c r="B5870" t="s" s="834">
        <v>4018</v>
      </c>
      <c r="C5870" t="s" s="834">
        <v>582</v>
      </c>
      <c r="D5870" s="570"/>
      <c r="E5870" s="570"/>
      <c r="F5870" s="570"/>
      <c r="G5870" s="570"/>
      <c r="H5870" s="570"/>
      <c r="I5870" s="570"/>
      <c r="J5870" s="570"/>
      <c r="K5870" s="570"/>
    </row>
    <row r="5871" ht="13.75" customHeight="1">
      <c r="A5871" s="833">
        <v>303</v>
      </c>
      <c r="B5871" t="s" s="834">
        <v>97</v>
      </c>
      <c r="C5871" t="s" s="834">
        <v>480</v>
      </c>
      <c r="D5871" s="835">
        <v>46050</v>
      </c>
      <c r="E5871" t="s" s="863">
        <v>567</v>
      </c>
      <c r="F5871" t="s" s="834">
        <v>1742</v>
      </c>
      <c r="G5871" t="s" s="863">
        <v>567</v>
      </c>
      <c r="H5871" t="s" s="834">
        <v>1742</v>
      </c>
      <c r="I5871" s="570"/>
      <c r="J5871" s="570"/>
      <c r="K5871" s="570"/>
    </row>
    <row r="5872" ht="13.75" customHeight="1">
      <c r="A5872" s="833">
        <v>303</v>
      </c>
      <c r="B5872" t="s" s="834">
        <v>97</v>
      </c>
      <c r="C5872" t="s" s="834">
        <v>480</v>
      </c>
      <c r="D5872" s="835">
        <v>46051</v>
      </c>
      <c r="E5872" s="836">
        <v>1.351006944444444</v>
      </c>
      <c r="F5872" s="836">
        <v>1.750740740740741</v>
      </c>
      <c r="G5872" s="570"/>
      <c r="H5872" s="570"/>
      <c r="I5872" s="570"/>
      <c r="J5872" s="570"/>
      <c r="K5872" s="570"/>
    </row>
    <row r="5873" ht="13.75" customHeight="1">
      <c r="A5873" t="s" s="834">
        <v>4019</v>
      </c>
      <c r="B5873" t="s" s="834">
        <v>4020</v>
      </c>
      <c r="C5873" t="s" s="834">
        <v>759</v>
      </c>
      <c r="D5873" s="570"/>
      <c r="E5873" s="570"/>
      <c r="F5873" s="570"/>
      <c r="G5873" s="570"/>
      <c r="H5873" s="570"/>
      <c r="I5873" s="570"/>
      <c r="J5873" s="570"/>
      <c r="K5873" s="570"/>
    </row>
    <row r="5874" ht="13.75" customHeight="1">
      <c r="A5874" s="833">
        <v>303</v>
      </c>
      <c r="B5874" t="s" s="834">
        <v>97</v>
      </c>
      <c r="C5874" t="s" s="834">
        <v>480</v>
      </c>
      <c r="D5874" s="835">
        <v>46052</v>
      </c>
      <c r="E5874" t="s" s="863">
        <v>567</v>
      </c>
      <c r="F5874" t="s" s="834">
        <v>1742</v>
      </c>
      <c r="G5874" t="s" s="863">
        <v>567</v>
      </c>
      <c r="H5874" t="s" s="834">
        <v>1742</v>
      </c>
      <c r="I5874" s="570"/>
      <c r="J5874" s="570"/>
      <c r="K5874" s="570"/>
    </row>
    <row r="5875" ht="13.75" customHeight="1">
      <c r="A5875" t="s" s="834">
        <v>4021</v>
      </c>
      <c r="B5875" t="s" s="834">
        <v>485</v>
      </c>
      <c r="C5875" t="s" s="834">
        <v>486</v>
      </c>
      <c r="D5875" s="570"/>
      <c r="E5875" s="570"/>
      <c r="F5875" s="570"/>
      <c r="G5875" s="570"/>
      <c r="H5875" s="570"/>
      <c r="I5875" s="570"/>
      <c r="J5875" s="570"/>
      <c r="K5875" s="570"/>
    </row>
    <row r="5876" ht="13.75" customHeight="1">
      <c r="A5876" s="833">
        <v>303</v>
      </c>
      <c r="B5876" t="s" s="834">
        <v>97</v>
      </c>
      <c r="C5876" t="s" s="834">
        <v>480</v>
      </c>
      <c r="D5876" s="835">
        <v>46053</v>
      </c>
      <c r="E5876" t="s" s="863">
        <v>567</v>
      </c>
      <c r="F5876" t="s" s="834">
        <v>570</v>
      </c>
      <c r="G5876" t="s" s="863">
        <v>567</v>
      </c>
      <c r="H5876" t="s" s="834">
        <v>570</v>
      </c>
      <c r="I5876" s="570"/>
      <c r="J5876" s="570"/>
      <c r="K5876" s="570"/>
    </row>
    <row r="5877" ht="13.75" customHeight="1">
      <c r="A5877" s="833">
        <v>304</v>
      </c>
      <c r="B5877" t="s" s="834">
        <v>108</v>
      </c>
      <c r="C5877" t="s" s="834">
        <v>480</v>
      </c>
      <c r="D5877" s="835">
        <v>46023</v>
      </c>
      <c r="E5877" t="s" s="834">
        <v>478</v>
      </c>
      <c r="F5877" t="s" s="834">
        <v>478</v>
      </c>
      <c r="G5877" s="570"/>
      <c r="H5877" s="570"/>
      <c r="I5877" s="570"/>
      <c r="J5877" s="570"/>
      <c r="K5877" s="570"/>
    </row>
    <row r="5878" ht="13.75" customHeight="1">
      <c r="A5878" s="833">
        <v>304</v>
      </c>
      <c r="B5878" t="s" s="834">
        <v>108</v>
      </c>
      <c r="C5878" t="s" s="834">
        <v>480</v>
      </c>
      <c r="D5878" s="835">
        <v>46024</v>
      </c>
      <c r="E5878" t="s" s="834">
        <v>478</v>
      </c>
      <c r="F5878" t="s" s="834">
        <v>478</v>
      </c>
      <c r="G5878" s="570"/>
      <c r="H5878" s="570"/>
      <c r="I5878" s="570"/>
      <c r="J5878" s="570"/>
      <c r="K5878" s="570"/>
    </row>
    <row r="5879" ht="13.75" customHeight="1">
      <c r="A5879" s="833">
        <v>304</v>
      </c>
      <c r="B5879" t="s" s="834">
        <v>108</v>
      </c>
      <c r="C5879" t="s" s="834">
        <v>480</v>
      </c>
      <c r="D5879" s="835">
        <v>46025</v>
      </c>
      <c r="E5879" t="s" s="834">
        <v>478</v>
      </c>
      <c r="F5879" t="s" s="834">
        <v>478</v>
      </c>
      <c r="G5879" s="570"/>
      <c r="H5879" s="570"/>
      <c r="I5879" s="570"/>
      <c r="J5879" s="570"/>
      <c r="K5879" s="570"/>
    </row>
    <row r="5880" ht="13.75" customHeight="1">
      <c r="A5880" s="833">
        <v>304</v>
      </c>
      <c r="B5880" t="s" s="834">
        <v>108</v>
      </c>
      <c r="C5880" t="s" s="834">
        <v>480</v>
      </c>
      <c r="D5880" s="835">
        <v>46026</v>
      </c>
      <c r="E5880" t="s" s="834">
        <v>478</v>
      </c>
      <c r="F5880" t="s" s="834">
        <v>478</v>
      </c>
      <c r="G5880" s="570"/>
      <c r="H5880" s="570"/>
      <c r="I5880" s="570"/>
      <c r="J5880" s="570"/>
      <c r="K5880" s="570"/>
    </row>
    <row r="5881" ht="13.75" customHeight="1">
      <c r="A5881" s="833">
        <v>304</v>
      </c>
      <c r="B5881" t="s" s="834">
        <v>108</v>
      </c>
      <c r="C5881" t="s" s="834">
        <v>480</v>
      </c>
      <c r="D5881" s="835">
        <v>46027</v>
      </c>
      <c r="E5881" t="s" s="834">
        <v>478</v>
      </c>
      <c r="F5881" t="s" s="834">
        <v>478</v>
      </c>
      <c r="G5881" s="570"/>
      <c r="H5881" s="570"/>
      <c r="I5881" s="570"/>
      <c r="J5881" s="570"/>
      <c r="K5881" s="570"/>
    </row>
    <row r="5882" ht="13.75" customHeight="1">
      <c r="A5882" s="833">
        <v>304</v>
      </c>
      <c r="B5882" t="s" s="834">
        <v>108</v>
      </c>
      <c r="C5882" t="s" s="834">
        <v>480</v>
      </c>
      <c r="D5882" s="835">
        <v>46028</v>
      </c>
      <c r="E5882" t="s" s="834">
        <v>478</v>
      </c>
      <c r="F5882" t="s" s="834">
        <v>478</v>
      </c>
      <c r="G5882" s="570"/>
      <c r="H5882" s="570"/>
      <c r="I5882" s="570"/>
      <c r="J5882" s="570"/>
      <c r="K5882" s="570"/>
    </row>
    <row r="5883" ht="13.75" customHeight="1">
      <c r="A5883" s="833">
        <v>304</v>
      </c>
      <c r="B5883" t="s" s="834">
        <v>108</v>
      </c>
      <c r="C5883" t="s" s="834">
        <v>480</v>
      </c>
      <c r="D5883" s="835">
        <v>46029</v>
      </c>
      <c r="E5883" t="s" s="834">
        <v>478</v>
      </c>
      <c r="F5883" t="s" s="834">
        <v>478</v>
      </c>
      <c r="G5883" s="570"/>
      <c r="H5883" s="570"/>
      <c r="I5883" s="570"/>
      <c r="J5883" s="570"/>
      <c r="K5883" s="570"/>
    </row>
    <row r="5884" ht="13.75" customHeight="1">
      <c r="A5884" s="833">
        <v>304</v>
      </c>
      <c r="B5884" t="s" s="834">
        <v>108</v>
      </c>
      <c r="C5884" t="s" s="834">
        <v>480</v>
      </c>
      <c r="D5884" s="835">
        <v>46030</v>
      </c>
      <c r="E5884" t="s" s="834">
        <v>478</v>
      </c>
      <c r="F5884" t="s" s="834">
        <v>478</v>
      </c>
      <c r="G5884" s="570"/>
      <c r="H5884" s="570"/>
      <c r="I5884" s="570"/>
      <c r="J5884" s="570"/>
      <c r="K5884" s="570"/>
    </row>
    <row r="5885" ht="13.75" customHeight="1">
      <c r="A5885" s="833">
        <v>304</v>
      </c>
      <c r="B5885" t="s" s="834">
        <v>108</v>
      </c>
      <c r="C5885" t="s" s="834">
        <v>480</v>
      </c>
      <c r="D5885" s="835">
        <v>46031</v>
      </c>
      <c r="E5885" t="s" s="834">
        <v>478</v>
      </c>
      <c r="F5885" t="s" s="834">
        <v>478</v>
      </c>
      <c r="G5885" s="570"/>
      <c r="H5885" s="570"/>
      <c r="I5885" s="570"/>
      <c r="J5885" s="570"/>
      <c r="K5885" s="570"/>
    </row>
    <row r="5886" ht="13.75" customHeight="1">
      <c r="A5886" s="833">
        <v>304</v>
      </c>
      <c r="B5886" t="s" s="834">
        <v>108</v>
      </c>
      <c r="C5886" t="s" s="834">
        <v>480</v>
      </c>
      <c r="D5886" s="835">
        <v>46032</v>
      </c>
      <c r="E5886" t="s" s="834">
        <v>478</v>
      </c>
      <c r="F5886" t="s" s="834">
        <v>478</v>
      </c>
      <c r="G5886" s="570"/>
      <c r="H5886" s="570"/>
      <c r="I5886" s="570"/>
      <c r="J5886" s="570"/>
      <c r="K5886" s="570"/>
    </row>
    <row r="5887" ht="13.75" customHeight="1">
      <c r="A5887" s="833">
        <v>304</v>
      </c>
      <c r="B5887" t="s" s="834">
        <v>108</v>
      </c>
      <c r="C5887" t="s" s="834">
        <v>480</v>
      </c>
      <c r="D5887" s="835">
        <v>46033</v>
      </c>
      <c r="E5887" t="s" s="834">
        <v>478</v>
      </c>
      <c r="F5887" t="s" s="834">
        <v>478</v>
      </c>
      <c r="G5887" s="570"/>
      <c r="H5887" s="570"/>
      <c r="I5887" s="570"/>
      <c r="J5887" s="570"/>
      <c r="K5887" s="570"/>
    </row>
    <row r="5888" ht="13.75" customHeight="1">
      <c r="A5888" s="833">
        <v>304</v>
      </c>
      <c r="B5888" t="s" s="834">
        <v>108</v>
      </c>
      <c r="C5888" t="s" s="834">
        <v>480</v>
      </c>
      <c r="D5888" s="835">
        <v>46034</v>
      </c>
      <c r="E5888" t="s" s="834">
        <v>478</v>
      </c>
      <c r="F5888" t="s" s="834">
        <v>478</v>
      </c>
      <c r="G5888" s="570"/>
      <c r="H5888" s="570"/>
      <c r="I5888" s="570"/>
      <c r="J5888" s="570"/>
      <c r="K5888" s="570"/>
    </row>
    <row r="5889" ht="13.75" customHeight="1">
      <c r="A5889" s="833">
        <v>304</v>
      </c>
      <c r="B5889" t="s" s="834">
        <v>108</v>
      </c>
      <c r="C5889" t="s" s="834">
        <v>480</v>
      </c>
      <c r="D5889" s="835">
        <v>46035</v>
      </c>
      <c r="E5889" t="s" s="834">
        <v>478</v>
      </c>
      <c r="F5889" t="s" s="834">
        <v>478</v>
      </c>
      <c r="G5889" s="570"/>
      <c r="H5889" s="570"/>
      <c r="I5889" s="570"/>
      <c r="J5889" s="570"/>
      <c r="K5889" s="570"/>
    </row>
    <row r="5890" ht="13.75" customHeight="1">
      <c r="A5890" s="833">
        <v>304</v>
      </c>
      <c r="B5890" t="s" s="834">
        <v>108</v>
      </c>
      <c r="C5890" t="s" s="834">
        <v>480</v>
      </c>
      <c r="D5890" s="835">
        <v>46036</v>
      </c>
      <c r="E5890" t="s" s="834">
        <v>478</v>
      </c>
      <c r="F5890" t="s" s="834">
        <v>478</v>
      </c>
      <c r="G5890" s="570"/>
      <c r="H5890" s="570"/>
      <c r="I5890" s="570"/>
      <c r="J5890" s="570"/>
      <c r="K5890" s="570"/>
    </row>
    <row r="5891" ht="13.75" customHeight="1">
      <c r="A5891" s="833">
        <v>304</v>
      </c>
      <c r="B5891" t="s" s="834">
        <v>108</v>
      </c>
      <c r="C5891" t="s" s="834">
        <v>480</v>
      </c>
      <c r="D5891" s="835">
        <v>46037</v>
      </c>
      <c r="E5891" t="s" s="834">
        <v>478</v>
      </c>
      <c r="F5891" t="s" s="834">
        <v>478</v>
      </c>
      <c r="G5891" s="570"/>
      <c r="H5891" s="570"/>
      <c r="I5891" s="570"/>
      <c r="J5891" s="570"/>
      <c r="K5891" s="570"/>
    </row>
    <row r="5892" ht="13.75" customHeight="1">
      <c r="A5892" s="833">
        <v>304</v>
      </c>
      <c r="B5892" t="s" s="834">
        <v>108</v>
      </c>
      <c r="C5892" t="s" s="834">
        <v>480</v>
      </c>
      <c r="D5892" s="835">
        <v>46038</v>
      </c>
      <c r="E5892" t="s" s="834">
        <v>478</v>
      </c>
      <c r="F5892" t="s" s="834">
        <v>478</v>
      </c>
      <c r="G5892" s="570"/>
      <c r="H5892" s="570"/>
      <c r="I5892" s="570"/>
      <c r="J5892" s="570"/>
      <c r="K5892" s="570"/>
    </row>
    <row r="5893" ht="13.75" customHeight="1">
      <c r="A5893" s="833">
        <v>304</v>
      </c>
      <c r="B5893" t="s" s="834">
        <v>108</v>
      </c>
      <c r="C5893" t="s" s="834">
        <v>480</v>
      </c>
      <c r="D5893" s="835">
        <v>46039</v>
      </c>
      <c r="E5893" t="s" s="834">
        <v>478</v>
      </c>
      <c r="F5893" t="s" s="834">
        <v>478</v>
      </c>
      <c r="G5893" s="570"/>
      <c r="H5893" s="570"/>
      <c r="I5893" s="570"/>
      <c r="J5893" s="570"/>
      <c r="K5893" s="570"/>
    </row>
    <row r="5894" ht="13.75" customHeight="1">
      <c r="A5894" s="833">
        <v>304</v>
      </c>
      <c r="B5894" t="s" s="834">
        <v>108</v>
      </c>
      <c r="C5894" t="s" s="834">
        <v>480</v>
      </c>
      <c r="D5894" s="835">
        <v>46040</v>
      </c>
      <c r="E5894" t="s" s="834">
        <v>478</v>
      </c>
      <c r="F5894" t="s" s="834">
        <v>478</v>
      </c>
      <c r="G5894" s="570"/>
      <c r="H5894" s="570"/>
      <c r="I5894" s="570"/>
      <c r="J5894" s="570"/>
      <c r="K5894" s="570"/>
    </row>
    <row r="5895" ht="13.75" customHeight="1">
      <c r="A5895" s="833">
        <v>304</v>
      </c>
      <c r="B5895" t="s" s="834">
        <v>108</v>
      </c>
      <c r="C5895" t="s" s="834">
        <v>480</v>
      </c>
      <c r="D5895" s="835">
        <v>46041</v>
      </c>
      <c r="E5895" t="s" s="834">
        <v>478</v>
      </c>
      <c r="F5895" t="s" s="834">
        <v>478</v>
      </c>
      <c r="G5895" s="570"/>
      <c r="H5895" s="570"/>
      <c r="I5895" s="570"/>
      <c r="J5895" s="570"/>
      <c r="K5895" s="570"/>
    </row>
    <row r="5896" ht="13.75" customHeight="1">
      <c r="A5896" s="833">
        <v>304</v>
      </c>
      <c r="B5896" t="s" s="834">
        <v>108</v>
      </c>
      <c r="C5896" t="s" s="834">
        <v>480</v>
      </c>
      <c r="D5896" s="835">
        <v>46042</v>
      </c>
      <c r="E5896" t="s" s="834">
        <v>478</v>
      </c>
      <c r="F5896" t="s" s="834">
        <v>478</v>
      </c>
      <c r="G5896" s="570"/>
      <c r="H5896" s="570"/>
      <c r="I5896" s="570"/>
      <c r="J5896" s="570"/>
      <c r="K5896" s="570"/>
    </row>
    <row r="5897" ht="13.75" customHeight="1">
      <c r="A5897" s="833">
        <v>304</v>
      </c>
      <c r="B5897" t="s" s="834">
        <v>108</v>
      </c>
      <c r="C5897" t="s" s="834">
        <v>480</v>
      </c>
      <c r="D5897" s="835">
        <v>46043</v>
      </c>
      <c r="E5897" t="s" s="834">
        <v>478</v>
      </c>
      <c r="F5897" t="s" s="834">
        <v>478</v>
      </c>
      <c r="G5897" s="570"/>
      <c r="H5897" s="570"/>
      <c r="I5897" s="570"/>
      <c r="J5897" s="570"/>
      <c r="K5897" s="570"/>
    </row>
    <row r="5898" ht="13.75" customHeight="1">
      <c r="A5898" s="833">
        <v>304</v>
      </c>
      <c r="B5898" t="s" s="834">
        <v>108</v>
      </c>
      <c r="C5898" t="s" s="834">
        <v>480</v>
      </c>
      <c r="D5898" s="835">
        <v>46044</v>
      </c>
      <c r="E5898" t="s" s="834">
        <v>478</v>
      </c>
      <c r="F5898" t="s" s="834">
        <v>478</v>
      </c>
      <c r="G5898" s="570"/>
      <c r="H5898" s="570"/>
      <c r="I5898" s="570"/>
      <c r="J5898" s="570"/>
      <c r="K5898" s="570"/>
    </row>
    <row r="5899" ht="13.75" customHeight="1">
      <c r="A5899" s="833">
        <v>304</v>
      </c>
      <c r="B5899" t="s" s="834">
        <v>108</v>
      </c>
      <c r="C5899" t="s" s="834">
        <v>480</v>
      </c>
      <c r="D5899" s="835">
        <v>46045</v>
      </c>
      <c r="E5899" t="s" s="834">
        <v>478</v>
      </c>
      <c r="F5899" t="s" s="834">
        <v>478</v>
      </c>
      <c r="G5899" s="570"/>
      <c r="H5899" s="570"/>
      <c r="I5899" s="570"/>
      <c r="J5899" s="570"/>
      <c r="K5899" s="570"/>
    </row>
    <row r="5900" ht="13.75" customHeight="1">
      <c r="A5900" s="833">
        <v>304</v>
      </c>
      <c r="B5900" t="s" s="834">
        <v>108</v>
      </c>
      <c r="C5900" t="s" s="834">
        <v>480</v>
      </c>
      <c r="D5900" s="835">
        <v>46046</v>
      </c>
      <c r="E5900" t="s" s="834">
        <v>478</v>
      </c>
      <c r="F5900" t="s" s="834">
        <v>478</v>
      </c>
      <c r="G5900" s="570"/>
      <c r="H5900" s="570"/>
      <c r="I5900" s="570"/>
      <c r="J5900" s="570"/>
      <c r="K5900" s="570"/>
    </row>
    <row r="5901" ht="13.75" customHeight="1">
      <c r="A5901" s="833">
        <v>304</v>
      </c>
      <c r="B5901" t="s" s="834">
        <v>108</v>
      </c>
      <c r="C5901" t="s" s="834">
        <v>480</v>
      </c>
      <c r="D5901" s="835">
        <v>46047</v>
      </c>
      <c r="E5901" t="s" s="834">
        <v>478</v>
      </c>
      <c r="F5901" t="s" s="834">
        <v>478</v>
      </c>
      <c r="G5901" s="570"/>
      <c r="H5901" s="570"/>
      <c r="I5901" s="570"/>
      <c r="J5901" s="570"/>
      <c r="K5901" s="570"/>
    </row>
    <row r="5902" ht="13.75" customHeight="1">
      <c r="A5902" s="833">
        <v>304</v>
      </c>
      <c r="B5902" t="s" s="834">
        <v>108</v>
      </c>
      <c r="C5902" t="s" s="834">
        <v>480</v>
      </c>
      <c r="D5902" s="835">
        <v>46048</v>
      </c>
      <c r="E5902" t="s" s="834">
        <v>478</v>
      </c>
      <c r="F5902" t="s" s="834">
        <v>478</v>
      </c>
      <c r="G5902" s="570"/>
      <c r="H5902" s="570"/>
      <c r="I5902" s="570"/>
      <c r="J5902" s="570"/>
      <c r="K5902" s="570"/>
    </row>
    <row r="5903" ht="13.75" customHeight="1">
      <c r="A5903" s="833">
        <v>304</v>
      </c>
      <c r="B5903" t="s" s="834">
        <v>108</v>
      </c>
      <c r="C5903" t="s" s="834">
        <v>480</v>
      </c>
      <c r="D5903" s="835">
        <v>46049</v>
      </c>
      <c r="E5903" t="s" s="834">
        <v>478</v>
      </c>
      <c r="F5903" t="s" s="834">
        <v>478</v>
      </c>
      <c r="G5903" s="570"/>
      <c r="H5903" s="570"/>
      <c r="I5903" s="570"/>
      <c r="J5903" s="570"/>
      <c r="K5903" s="570"/>
    </row>
    <row r="5904" ht="13.75" customHeight="1">
      <c r="A5904" s="833">
        <v>304</v>
      </c>
      <c r="B5904" t="s" s="834">
        <v>108</v>
      </c>
      <c r="C5904" t="s" s="834">
        <v>480</v>
      </c>
      <c r="D5904" s="835">
        <v>46050</v>
      </c>
      <c r="E5904" t="s" s="834">
        <v>478</v>
      </c>
      <c r="F5904" t="s" s="834">
        <v>478</v>
      </c>
      <c r="G5904" s="570"/>
      <c r="H5904" s="570"/>
      <c r="I5904" s="570"/>
      <c r="J5904" s="570"/>
      <c r="K5904" s="570"/>
    </row>
    <row r="5905" ht="13.75" customHeight="1">
      <c r="A5905" s="833">
        <v>304</v>
      </c>
      <c r="B5905" t="s" s="834">
        <v>108</v>
      </c>
      <c r="C5905" t="s" s="834">
        <v>480</v>
      </c>
      <c r="D5905" s="835">
        <v>46051</v>
      </c>
      <c r="E5905" t="s" s="834">
        <v>478</v>
      </c>
      <c r="F5905" t="s" s="834">
        <v>478</v>
      </c>
      <c r="G5905" s="570"/>
      <c r="H5905" s="570"/>
      <c r="I5905" s="570"/>
      <c r="J5905" s="570"/>
      <c r="K5905" s="570"/>
    </row>
    <row r="5906" ht="13.75" customHeight="1">
      <c r="A5906" s="833">
        <v>304</v>
      </c>
      <c r="B5906" t="s" s="834">
        <v>108</v>
      </c>
      <c r="C5906" t="s" s="834">
        <v>480</v>
      </c>
      <c r="D5906" s="835">
        <v>46052</v>
      </c>
      <c r="E5906" t="s" s="834">
        <v>478</v>
      </c>
      <c r="F5906" t="s" s="834">
        <v>478</v>
      </c>
      <c r="G5906" s="570"/>
      <c r="H5906" s="570"/>
      <c r="I5906" s="570"/>
      <c r="J5906" s="570"/>
      <c r="K5906" s="570"/>
    </row>
    <row r="5907" ht="13.75" customHeight="1">
      <c r="A5907" s="833">
        <v>304</v>
      </c>
      <c r="B5907" t="s" s="834">
        <v>108</v>
      </c>
      <c r="C5907" t="s" s="834">
        <v>480</v>
      </c>
      <c r="D5907" s="835">
        <v>46053</v>
      </c>
      <c r="E5907" t="s" s="834">
        <v>478</v>
      </c>
      <c r="F5907" t="s" s="834">
        <v>478</v>
      </c>
      <c r="G5907" s="570"/>
      <c r="H5907" s="570"/>
      <c r="I5907" s="570"/>
      <c r="J5907" s="570"/>
      <c r="K5907" s="570"/>
    </row>
    <row r="5908" ht="13.75" customHeight="1">
      <c r="A5908" s="833">
        <v>304</v>
      </c>
      <c r="B5908" t="s" s="834">
        <v>108</v>
      </c>
      <c r="C5908" t="s" s="834">
        <v>480</v>
      </c>
      <c r="D5908" s="835">
        <v>46054</v>
      </c>
      <c r="E5908" t="s" s="834">
        <v>478</v>
      </c>
      <c r="F5908" t="s" s="834">
        <v>478</v>
      </c>
      <c r="G5908" s="570"/>
      <c r="H5908" s="570"/>
      <c r="I5908" s="570"/>
      <c r="J5908" s="570"/>
      <c r="K5908" s="570"/>
    </row>
    <row r="5909" ht="13.75" customHeight="1">
      <c r="A5909" s="833">
        <v>305</v>
      </c>
      <c r="B5909" t="s" s="834">
        <v>115</v>
      </c>
      <c r="C5909" t="s" s="834">
        <v>480</v>
      </c>
      <c r="D5909" s="835">
        <v>46023</v>
      </c>
      <c r="E5909" t="s" s="834">
        <v>478</v>
      </c>
      <c r="F5909" t="s" s="834">
        <v>478</v>
      </c>
      <c r="G5909" s="570"/>
      <c r="H5909" s="570"/>
      <c r="I5909" s="570"/>
      <c r="J5909" s="570"/>
      <c r="K5909" s="570"/>
    </row>
    <row r="5910" ht="13.75" customHeight="1">
      <c r="A5910" s="833">
        <v>305</v>
      </c>
      <c r="B5910" t="s" s="834">
        <v>115</v>
      </c>
      <c r="C5910" t="s" s="834">
        <v>480</v>
      </c>
      <c r="D5910" s="835">
        <v>46024</v>
      </c>
      <c r="E5910" s="836">
        <v>1.373784722222222</v>
      </c>
      <c r="F5910" s="836">
        <v>1.752546296296296</v>
      </c>
      <c r="G5910" s="570"/>
      <c r="H5910" s="570"/>
      <c r="I5910" s="570"/>
      <c r="J5910" s="570"/>
      <c r="K5910" s="570"/>
    </row>
    <row r="5911" ht="13.75" customHeight="1">
      <c r="A5911" t="s" s="834">
        <v>4022</v>
      </c>
      <c r="B5911" t="s" s="834">
        <v>4023</v>
      </c>
      <c r="C5911" t="s" s="834">
        <v>562</v>
      </c>
      <c r="D5911" s="570"/>
      <c r="E5911" s="570"/>
      <c r="F5911" s="570"/>
      <c r="G5911" s="570"/>
      <c r="H5911" s="570"/>
      <c r="I5911" s="570"/>
      <c r="J5911" s="570"/>
      <c r="K5911" s="570"/>
    </row>
    <row r="5912" ht="13.75" customHeight="1">
      <c r="A5912" s="833">
        <v>305</v>
      </c>
      <c r="B5912" t="s" s="834">
        <v>115</v>
      </c>
      <c r="C5912" t="s" s="834">
        <v>480</v>
      </c>
      <c r="D5912" s="835">
        <v>46025</v>
      </c>
      <c r="E5912" t="s" s="834">
        <v>478</v>
      </c>
      <c r="F5912" t="s" s="834">
        <v>478</v>
      </c>
      <c r="G5912" s="570"/>
      <c r="H5912" s="570"/>
      <c r="I5912" s="570"/>
      <c r="J5912" s="570"/>
      <c r="K5912" s="570"/>
    </row>
    <row r="5913" ht="13.75" customHeight="1">
      <c r="A5913" s="833">
        <v>305</v>
      </c>
      <c r="B5913" t="s" s="834">
        <v>115</v>
      </c>
      <c r="C5913" t="s" s="834">
        <v>480</v>
      </c>
      <c r="D5913" s="835">
        <v>46026</v>
      </c>
      <c r="E5913" t="s" s="834">
        <v>478</v>
      </c>
      <c r="F5913" t="s" s="834">
        <v>478</v>
      </c>
      <c r="G5913" s="570"/>
      <c r="H5913" s="570"/>
      <c r="I5913" s="570"/>
      <c r="J5913" s="570"/>
      <c r="K5913" s="570"/>
    </row>
    <row r="5914" ht="13.75" customHeight="1">
      <c r="A5914" s="833">
        <v>305</v>
      </c>
      <c r="B5914" t="s" s="834">
        <v>115</v>
      </c>
      <c r="C5914" t="s" s="834">
        <v>480</v>
      </c>
      <c r="D5914" s="835">
        <v>46027</v>
      </c>
      <c r="E5914" t="s" s="834">
        <v>478</v>
      </c>
      <c r="F5914" t="s" s="834">
        <v>478</v>
      </c>
      <c r="G5914" s="570"/>
      <c r="H5914" s="570"/>
      <c r="I5914" s="570"/>
      <c r="J5914" s="570"/>
      <c r="K5914" s="570"/>
    </row>
    <row r="5915" ht="13.75" customHeight="1">
      <c r="A5915" s="833">
        <v>305</v>
      </c>
      <c r="B5915" t="s" s="834">
        <v>115</v>
      </c>
      <c r="C5915" t="s" s="834">
        <v>480</v>
      </c>
      <c r="D5915" s="835">
        <v>46028</v>
      </c>
      <c r="E5915" s="836">
        <v>1.390358796296296</v>
      </c>
      <c r="F5915" s="836">
        <v>1.790266203703704</v>
      </c>
      <c r="G5915" s="570"/>
      <c r="H5915" s="570"/>
      <c r="I5915" s="570"/>
      <c r="J5915" s="570"/>
      <c r="K5915" s="570"/>
    </row>
    <row r="5916" ht="13.75" customHeight="1">
      <c r="A5916" t="s" s="834">
        <v>4024</v>
      </c>
      <c r="B5916" t="s" s="834">
        <v>4025</v>
      </c>
      <c r="C5916" t="s" s="834">
        <v>759</v>
      </c>
      <c r="D5916" s="570"/>
      <c r="E5916" s="570"/>
      <c r="F5916" s="570"/>
      <c r="G5916" s="570"/>
      <c r="H5916" s="570"/>
      <c r="I5916" s="570"/>
      <c r="J5916" s="570"/>
      <c r="K5916" s="570"/>
    </row>
    <row r="5917" ht="13.75" customHeight="1">
      <c r="A5917" s="833">
        <v>305</v>
      </c>
      <c r="B5917" t="s" s="834">
        <v>115</v>
      </c>
      <c r="C5917" t="s" s="834">
        <v>480</v>
      </c>
      <c r="D5917" s="835">
        <v>46029</v>
      </c>
      <c r="E5917" s="836">
        <v>1.406747685185185</v>
      </c>
      <c r="F5917" s="836">
        <v>1.671446759259259</v>
      </c>
      <c r="G5917" s="570"/>
      <c r="H5917" s="570"/>
      <c r="I5917" s="570"/>
      <c r="J5917" s="570"/>
      <c r="K5917" s="570"/>
    </row>
    <row r="5918" ht="13.75" customHeight="1">
      <c r="A5918" t="s" s="834">
        <v>4026</v>
      </c>
      <c r="B5918" t="s" s="834">
        <v>4027</v>
      </c>
      <c r="C5918" t="s" s="834">
        <v>4028</v>
      </c>
      <c r="D5918" s="570"/>
      <c r="E5918" s="570"/>
      <c r="F5918" s="570"/>
      <c r="G5918" s="570"/>
      <c r="H5918" s="570"/>
      <c r="I5918" s="570"/>
      <c r="J5918" s="570"/>
      <c r="K5918" s="570"/>
    </row>
    <row r="5919" ht="13.75" customHeight="1">
      <c r="A5919" s="833">
        <v>305</v>
      </c>
      <c r="B5919" t="s" s="834">
        <v>115</v>
      </c>
      <c r="C5919" t="s" s="834">
        <v>480</v>
      </c>
      <c r="D5919" s="835">
        <v>46030</v>
      </c>
      <c r="E5919" t="s" s="834">
        <v>478</v>
      </c>
      <c r="F5919" t="s" s="834">
        <v>478</v>
      </c>
      <c r="G5919" s="570"/>
      <c r="H5919" s="570"/>
      <c r="I5919" s="570"/>
      <c r="J5919" s="570"/>
      <c r="K5919" s="570"/>
    </row>
    <row r="5920" ht="13.75" customHeight="1">
      <c r="A5920" s="833">
        <v>305</v>
      </c>
      <c r="B5920" t="s" s="834">
        <v>115</v>
      </c>
      <c r="C5920" t="s" s="834">
        <v>480</v>
      </c>
      <c r="D5920" s="835">
        <v>46031</v>
      </c>
      <c r="E5920" t="s" s="834">
        <v>478</v>
      </c>
      <c r="F5920" t="s" s="834">
        <v>478</v>
      </c>
      <c r="G5920" s="570"/>
      <c r="H5920" s="570"/>
      <c r="I5920" s="570"/>
      <c r="J5920" s="570"/>
      <c r="K5920" s="570"/>
    </row>
    <row r="5921" ht="13.75" customHeight="1">
      <c r="A5921" s="833">
        <v>305</v>
      </c>
      <c r="B5921" t="s" s="834">
        <v>115</v>
      </c>
      <c r="C5921" t="s" s="834">
        <v>480</v>
      </c>
      <c r="D5921" s="835">
        <v>46032</v>
      </c>
      <c r="E5921" t="s" s="834">
        <v>478</v>
      </c>
      <c r="F5921" t="s" s="834">
        <v>478</v>
      </c>
      <c r="G5921" s="570"/>
      <c r="H5921" s="570"/>
      <c r="I5921" s="570"/>
      <c r="J5921" s="570"/>
      <c r="K5921" s="570"/>
    </row>
    <row r="5922" ht="13.75" customHeight="1">
      <c r="A5922" s="833">
        <v>305</v>
      </c>
      <c r="B5922" t="s" s="834">
        <v>115</v>
      </c>
      <c r="C5922" t="s" s="834">
        <v>480</v>
      </c>
      <c r="D5922" s="835">
        <v>46033</v>
      </c>
      <c r="E5922" t="s" s="834">
        <v>478</v>
      </c>
      <c r="F5922" t="s" s="834">
        <v>478</v>
      </c>
      <c r="G5922" s="570"/>
      <c r="H5922" s="570"/>
      <c r="I5922" s="570"/>
      <c r="J5922" s="570"/>
      <c r="K5922" s="570"/>
    </row>
    <row r="5923" ht="13.75" customHeight="1">
      <c r="A5923" s="833">
        <v>305</v>
      </c>
      <c r="B5923" t="s" s="834">
        <v>115</v>
      </c>
      <c r="C5923" t="s" s="834">
        <v>480</v>
      </c>
      <c r="D5923" s="835">
        <v>46034</v>
      </c>
      <c r="E5923" s="836">
        <v>1.404016203703704</v>
      </c>
      <c r="F5923" t="s" s="834">
        <v>478</v>
      </c>
      <c r="G5923" s="570"/>
      <c r="H5923" s="570"/>
      <c r="I5923" s="570"/>
      <c r="J5923" s="570"/>
      <c r="K5923" s="570"/>
    </row>
    <row r="5924" ht="13.75" customHeight="1">
      <c r="A5924" t="s" s="834">
        <v>4029</v>
      </c>
      <c r="B5924" t="s" s="834">
        <v>485</v>
      </c>
      <c r="C5924" t="s" s="834">
        <v>486</v>
      </c>
      <c r="D5924" s="570"/>
      <c r="E5924" s="570"/>
      <c r="F5924" s="570"/>
      <c r="G5924" s="570"/>
      <c r="H5924" s="570"/>
      <c r="I5924" s="570"/>
      <c r="J5924" s="570"/>
      <c r="K5924" s="570"/>
    </row>
    <row r="5925" ht="13.75" customHeight="1">
      <c r="A5925" s="833">
        <v>305</v>
      </c>
      <c r="B5925" t="s" s="834">
        <v>115</v>
      </c>
      <c r="C5925" t="s" s="834">
        <v>480</v>
      </c>
      <c r="D5925" s="835">
        <v>46035</v>
      </c>
      <c r="E5925" s="836">
        <v>1.607743055555555</v>
      </c>
      <c r="F5925" t="s" s="834">
        <v>478</v>
      </c>
      <c r="G5925" s="570"/>
      <c r="H5925" s="570"/>
      <c r="I5925" s="570"/>
      <c r="J5925" s="570"/>
      <c r="K5925" s="570"/>
    </row>
    <row r="5926" ht="13.75" customHeight="1">
      <c r="A5926" t="s" s="834">
        <v>4030</v>
      </c>
      <c r="B5926" t="s" s="834">
        <v>485</v>
      </c>
      <c r="C5926" t="s" s="834">
        <v>486</v>
      </c>
      <c r="D5926" s="570"/>
      <c r="E5926" s="570"/>
      <c r="F5926" s="570"/>
      <c r="G5926" s="570"/>
      <c r="H5926" s="570"/>
      <c r="I5926" s="570"/>
      <c r="J5926" s="570"/>
      <c r="K5926" s="570"/>
    </row>
    <row r="5927" ht="13.75" customHeight="1">
      <c r="A5927" s="833">
        <v>305</v>
      </c>
      <c r="B5927" t="s" s="834">
        <v>115</v>
      </c>
      <c r="C5927" t="s" s="834">
        <v>480</v>
      </c>
      <c r="D5927" s="835">
        <v>46036</v>
      </c>
      <c r="E5927" s="836">
        <v>1.460543981481481</v>
      </c>
      <c r="F5927" t="s" s="834">
        <v>478</v>
      </c>
      <c r="G5927" s="570"/>
      <c r="H5927" s="570"/>
      <c r="I5927" s="570"/>
      <c r="J5927" s="570"/>
      <c r="K5927" s="570"/>
    </row>
    <row r="5928" ht="13.75" customHeight="1">
      <c r="A5928" t="s" s="834">
        <v>4031</v>
      </c>
      <c r="B5928" t="s" s="834">
        <v>485</v>
      </c>
      <c r="C5928" t="s" s="834">
        <v>486</v>
      </c>
      <c r="D5928" s="570"/>
      <c r="E5928" s="570"/>
      <c r="F5928" s="570"/>
      <c r="G5928" s="570"/>
      <c r="H5928" s="570"/>
      <c r="I5928" s="570"/>
      <c r="J5928" s="570"/>
      <c r="K5928" s="570"/>
    </row>
    <row r="5929" ht="13.75" customHeight="1">
      <c r="A5929" s="833">
        <v>305</v>
      </c>
      <c r="B5929" t="s" s="834">
        <v>115</v>
      </c>
      <c r="C5929" t="s" s="834">
        <v>480</v>
      </c>
      <c r="D5929" s="835">
        <v>46037</v>
      </c>
      <c r="E5929" t="s" s="834">
        <v>478</v>
      </c>
      <c r="F5929" t="s" s="834">
        <v>478</v>
      </c>
      <c r="G5929" s="570"/>
      <c r="H5929" s="570"/>
      <c r="I5929" s="570"/>
      <c r="J5929" s="570"/>
      <c r="K5929" s="570"/>
    </row>
    <row r="5930" ht="13.75" customHeight="1">
      <c r="A5930" s="833">
        <v>305</v>
      </c>
      <c r="B5930" t="s" s="834">
        <v>115</v>
      </c>
      <c r="C5930" t="s" s="834">
        <v>480</v>
      </c>
      <c r="D5930" s="835">
        <v>46038</v>
      </c>
      <c r="E5930" t="s" s="834">
        <v>478</v>
      </c>
      <c r="F5930" t="s" s="834">
        <v>478</v>
      </c>
      <c r="G5930" s="570"/>
      <c r="H5930" s="570"/>
      <c r="I5930" s="570"/>
      <c r="J5930" s="570"/>
      <c r="K5930" s="570"/>
    </row>
    <row r="5931" ht="13.75" customHeight="1">
      <c r="A5931" s="833">
        <v>305</v>
      </c>
      <c r="B5931" t="s" s="834">
        <v>115</v>
      </c>
      <c r="C5931" t="s" s="834">
        <v>480</v>
      </c>
      <c r="D5931" s="835">
        <v>46039</v>
      </c>
      <c r="E5931" t="s" s="834">
        <v>478</v>
      </c>
      <c r="F5931" t="s" s="834">
        <v>478</v>
      </c>
      <c r="G5931" s="570"/>
      <c r="H5931" s="570"/>
      <c r="I5931" s="570"/>
      <c r="J5931" s="570"/>
      <c r="K5931" s="570"/>
    </row>
    <row r="5932" ht="13.75" customHeight="1">
      <c r="A5932" s="833">
        <v>305</v>
      </c>
      <c r="B5932" t="s" s="834">
        <v>115</v>
      </c>
      <c r="C5932" t="s" s="834">
        <v>480</v>
      </c>
      <c r="D5932" s="835">
        <v>46040</v>
      </c>
      <c r="E5932" t="s" s="834">
        <v>478</v>
      </c>
      <c r="F5932" t="s" s="834">
        <v>478</v>
      </c>
      <c r="G5932" s="570"/>
      <c r="H5932" s="570"/>
      <c r="I5932" s="570"/>
      <c r="J5932" s="570"/>
      <c r="K5932" s="570"/>
    </row>
    <row r="5933" ht="13.75" customHeight="1">
      <c r="A5933" s="833">
        <v>305</v>
      </c>
      <c r="B5933" t="s" s="834">
        <v>115</v>
      </c>
      <c r="C5933" t="s" s="834">
        <v>480</v>
      </c>
      <c r="D5933" s="835">
        <v>46041</v>
      </c>
      <c r="E5933" s="836">
        <v>1.408356481481482</v>
      </c>
      <c r="F5933" s="836">
        <v>1.785763888888889</v>
      </c>
      <c r="G5933" s="570"/>
      <c r="H5933" s="570"/>
      <c r="I5933" s="570"/>
      <c r="J5933" s="570"/>
      <c r="K5933" s="570"/>
    </row>
    <row r="5934" ht="13.75" customHeight="1">
      <c r="A5934" t="s" s="834">
        <v>4032</v>
      </c>
      <c r="B5934" t="s" s="834">
        <v>4033</v>
      </c>
      <c r="C5934" t="s" s="834">
        <v>846</v>
      </c>
      <c r="D5934" s="570"/>
      <c r="E5934" s="570"/>
      <c r="F5934" s="570"/>
      <c r="G5934" s="570"/>
      <c r="H5934" s="570"/>
      <c r="I5934" s="570"/>
      <c r="J5934" s="570"/>
      <c r="K5934" s="570"/>
    </row>
    <row r="5935" ht="13.75" customHeight="1">
      <c r="A5935" s="833">
        <v>305</v>
      </c>
      <c r="B5935" t="s" s="834">
        <v>115</v>
      </c>
      <c r="C5935" t="s" s="834">
        <v>480</v>
      </c>
      <c r="D5935" s="835">
        <v>46042</v>
      </c>
      <c r="E5935" t="s" s="834">
        <v>478</v>
      </c>
      <c r="F5935" t="s" s="834">
        <v>478</v>
      </c>
      <c r="G5935" s="570"/>
      <c r="H5935" s="570"/>
      <c r="I5935" s="570"/>
      <c r="J5935" s="570"/>
      <c r="K5935" s="570"/>
    </row>
    <row r="5936" ht="13.75" customHeight="1">
      <c r="A5936" s="833">
        <v>305</v>
      </c>
      <c r="B5936" t="s" s="834">
        <v>115</v>
      </c>
      <c r="C5936" t="s" s="834">
        <v>480</v>
      </c>
      <c r="D5936" s="835">
        <v>46043</v>
      </c>
      <c r="E5936" t="s" s="834">
        <v>478</v>
      </c>
      <c r="F5936" t="s" s="834">
        <v>478</v>
      </c>
      <c r="G5936" s="570"/>
      <c r="H5936" s="570"/>
      <c r="I5936" s="570"/>
      <c r="J5936" s="570"/>
      <c r="K5936" s="570"/>
    </row>
    <row r="5937" ht="13.75" customHeight="1">
      <c r="A5937" s="833">
        <v>305</v>
      </c>
      <c r="B5937" t="s" s="834">
        <v>115</v>
      </c>
      <c r="C5937" t="s" s="834">
        <v>480</v>
      </c>
      <c r="D5937" s="835">
        <v>46044</v>
      </c>
      <c r="E5937" t="s" s="834">
        <v>478</v>
      </c>
      <c r="F5937" t="s" s="834">
        <v>478</v>
      </c>
      <c r="G5937" s="570"/>
      <c r="H5937" s="570"/>
      <c r="I5937" s="570"/>
      <c r="J5937" s="570"/>
      <c r="K5937" s="570"/>
    </row>
    <row r="5938" ht="13.75" customHeight="1">
      <c r="A5938" s="833">
        <v>305</v>
      </c>
      <c r="B5938" t="s" s="834">
        <v>115</v>
      </c>
      <c r="C5938" t="s" s="834">
        <v>480</v>
      </c>
      <c r="D5938" s="835">
        <v>46045</v>
      </c>
      <c r="E5938" t="s" s="834">
        <v>478</v>
      </c>
      <c r="F5938" t="s" s="834">
        <v>478</v>
      </c>
      <c r="G5938" s="570"/>
      <c r="H5938" s="570"/>
      <c r="I5938" s="570"/>
      <c r="J5938" s="570"/>
      <c r="K5938" s="570"/>
    </row>
    <row r="5939" ht="13.75" customHeight="1">
      <c r="A5939" s="833">
        <v>305</v>
      </c>
      <c r="B5939" t="s" s="834">
        <v>115</v>
      </c>
      <c r="C5939" t="s" s="834">
        <v>480</v>
      </c>
      <c r="D5939" s="835">
        <v>46046</v>
      </c>
      <c r="E5939" t="s" s="834">
        <v>478</v>
      </c>
      <c r="F5939" t="s" s="834">
        <v>478</v>
      </c>
      <c r="G5939" s="570"/>
      <c r="H5939" s="570"/>
      <c r="I5939" s="570"/>
      <c r="J5939" s="570"/>
      <c r="K5939" s="570"/>
    </row>
    <row r="5940" ht="13.75" customHeight="1">
      <c r="A5940" s="833">
        <v>305</v>
      </c>
      <c r="B5940" t="s" s="834">
        <v>115</v>
      </c>
      <c r="C5940" t="s" s="834">
        <v>480</v>
      </c>
      <c r="D5940" s="835">
        <v>46047</v>
      </c>
      <c r="E5940" t="s" s="834">
        <v>478</v>
      </c>
      <c r="F5940" t="s" s="834">
        <v>478</v>
      </c>
      <c r="G5940" s="570"/>
      <c r="H5940" s="570"/>
      <c r="I5940" s="570"/>
      <c r="J5940" s="570"/>
      <c r="K5940" s="570"/>
    </row>
    <row r="5941" ht="13.75" customHeight="1">
      <c r="A5941" s="833">
        <v>305</v>
      </c>
      <c r="B5941" t="s" s="834">
        <v>115</v>
      </c>
      <c r="C5941" t="s" s="834">
        <v>480</v>
      </c>
      <c r="D5941" s="835">
        <v>46048</v>
      </c>
      <c r="E5941" s="836">
        <v>1.386701388888889</v>
      </c>
      <c r="F5941" s="836">
        <v>1.784409722222222</v>
      </c>
      <c r="G5941" s="570"/>
      <c r="H5941" s="570"/>
      <c r="I5941" s="570"/>
      <c r="J5941" s="570"/>
      <c r="K5941" s="570"/>
    </row>
    <row r="5942" ht="13.75" customHeight="1">
      <c r="A5942" t="s" s="834">
        <v>4034</v>
      </c>
      <c r="B5942" t="s" s="834">
        <v>4035</v>
      </c>
      <c r="C5942" t="s" s="834">
        <v>688</v>
      </c>
      <c r="D5942" s="570"/>
      <c r="E5942" s="570"/>
      <c r="F5942" s="570"/>
      <c r="G5942" s="570"/>
      <c r="H5942" s="570"/>
      <c r="I5942" s="570"/>
      <c r="J5942" s="570"/>
      <c r="K5942" s="570"/>
    </row>
    <row r="5943" ht="13.75" customHeight="1">
      <c r="A5943" s="833">
        <v>305</v>
      </c>
      <c r="B5943" t="s" s="834">
        <v>115</v>
      </c>
      <c r="C5943" t="s" s="834">
        <v>480</v>
      </c>
      <c r="D5943" s="835">
        <v>46049</v>
      </c>
      <c r="E5943" t="s" s="834">
        <v>478</v>
      </c>
      <c r="F5943" t="s" s="834">
        <v>478</v>
      </c>
      <c r="G5943" s="570"/>
      <c r="H5943" s="570"/>
      <c r="I5943" s="570"/>
      <c r="J5943" s="570"/>
      <c r="K5943" s="570"/>
    </row>
    <row r="5944" ht="13.75" customHeight="1">
      <c r="A5944" s="833">
        <v>305</v>
      </c>
      <c r="B5944" t="s" s="834">
        <v>115</v>
      </c>
      <c r="C5944" t="s" s="834">
        <v>480</v>
      </c>
      <c r="D5944" s="835">
        <v>46050</v>
      </c>
      <c r="E5944" t="s" s="834">
        <v>478</v>
      </c>
      <c r="F5944" t="s" s="834">
        <v>478</v>
      </c>
      <c r="G5944" s="570"/>
      <c r="H5944" s="570"/>
      <c r="I5944" s="570"/>
      <c r="J5944" s="570"/>
      <c r="K5944" s="570"/>
    </row>
    <row r="5945" ht="13.75" customHeight="1">
      <c r="A5945" s="833">
        <v>305</v>
      </c>
      <c r="B5945" t="s" s="834">
        <v>115</v>
      </c>
      <c r="C5945" t="s" s="834">
        <v>480</v>
      </c>
      <c r="D5945" s="835">
        <v>46051</v>
      </c>
      <c r="E5945" t="s" s="834">
        <v>478</v>
      </c>
      <c r="F5945" t="s" s="834">
        <v>478</v>
      </c>
      <c r="G5945" s="570"/>
      <c r="H5945" s="570"/>
      <c r="I5945" s="570"/>
      <c r="J5945" s="570"/>
      <c r="K5945" s="570"/>
    </row>
    <row r="5946" ht="13.75" customHeight="1">
      <c r="A5946" s="833">
        <v>305</v>
      </c>
      <c r="B5946" t="s" s="834">
        <v>115</v>
      </c>
      <c r="C5946" t="s" s="834">
        <v>480</v>
      </c>
      <c r="D5946" s="835">
        <v>46052</v>
      </c>
      <c r="E5946" s="836">
        <v>1.580393518518519</v>
      </c>
      <c r="F5946" s="836">
        <v>1.763263888888889</v>
      </c>
      <c r="G5946" s="570"/>
      <c r="H5946" s="570"/>
      <c r="I5946" s="570"/>
      <c r="J5946" s="570"/>
      <c r="K5946" s="570"/>
    </row>
    <row r="5947" ht="13.75" customHeight="1">
      <c r="A5947" t="s" s="834">
        <v>4036</v>
      </c>
      <c r="B5947" t="s" s="834">
        <v>4037</v>
      </c>
      <c r="C5947" t="s" s="834">
        <v>4038</v>
      </c>
      <c r="D5947" s="570"/>
      <c r="E5947" s="570"/>
      <c r="F5947" s="570"/>
      <c r="G5947" s="570"/>
      <c r="H5947" s="570"/>
      <c r="I5947" s="570"/>
      <c r="J5947" s="570"/>
      <c r="K5947" s="570"/>
    </row>
    <row r="5948" ht="13.75" customHeight="1">
      <c r="A5948" s="833">
        <v>305</v>
      </c>
      <c r="B5948" t="s" s="834">
        <v>115</v>
      </c>
      <c r="C5948" t="s" s="834">
        <v>480</v>
      </c>
      <c r="D5948" s="835">
        <v>46053</v>
      </c>
      <c r="E5948" t="s" s="834">
        <v>478</v>
      </c>
      <c r="F5948" t="s" s="834">
        <v>478</v>
      </c>
      <c r="G5948" s="570"/>
      <c r="H5948" s="570"/>
      <c r="I5948" s="570"/>
      <c r="J5948" s="570"/>
      <c r="K5948" s="570"/>
    </row>
    <row r="5949" ht="13.75" customHeight="1">
      <c r="A5949" s="833">
        <v>305</v>
      </c>
      <c r="B5949" t="s" s="834">
        <v>115</v>
      </c>
      <c r="C5949" t="s" s="834">
        <v>480</v>
      </c>
      <c r="D5949" s="835">
        <v>46054</v>
      </c>
      <c r="E5949" t="s" s="834">
        <v>478</v>
      </c>
      <c r="F5949" t="s" s="834">
        <v>478</v>
      </c>
      <c r="G5949" s="570"/>
      <c r="H5949" s="570"/>
      <c r="I5949" s="570"/>
      <c r="J5949" s="570"/>
      <c r="K5949" s="570"/>
    </row>
    <row r="5950" ht="13.75" customHeight="1">
      <c r="A5950" s="833">
        <v>306</v>
      </c>
      <c r="B5950" t="s" s="834">
        <v>119</v>
      </c>
      <c r="C5950" t="s" s="834">
        <v>480</v>
      </c>
      <c r="D5950" s="835">
        <v>46023</v>
      </c>
      <c r="E5950" t="s" s="834">
        <v>478</v>
      </c>
      <c r="F5950" t="s" s="834">
        <v>478</v>
      </c>
      <c r="G5950" s="570"/>
      <c r="H5950" s="570"/>
      <c r="I5950" s="570"/>
      <c r="J5950" s="570"/>
      <c r="K5950" s="570"/>
    </row>
    <row r="5951" ht="13.75" customHeight="1">
      <c r="A5951" s="833">
        <v>306</v>
      </c>
      <c r="B5951" t="s" s="834">
        <v>119</v>
      </c>
      <c r="C5951" t="s" s="834">
        <v>480</v>
      </c>
      <c r="D5951" s="835">
        <v>46024</v>
      </c>
      <c r="E5951" s="836">
        <v>1.351944444444444</v>
      </c>
      <c r="F5951" s="836">
        <v>1.76375</v>
      </c>
      <c r="G5951" s="570"/>
      <c r="H5951" s="570"/>
      <c r="I5951" s="570"/>
      <c r="J5951" s="570"/>
      <c r="K5951" s="570"/>
    </row>
    <row r="5952" ht="13.75" customHeight="1">
      <c r="A5952" t="s" s="834">
        <v>4039</v>
      </c>
      <c r="B5952" t="s" s="834">
        <v>4040</v>
      </c>
      <c r="C5952" t="s" s="834">
        <v>597</v>
      </c>
      <c r="D5952" s="570"/>
      <c r="E5952" s="570"/>
      <c r="F5952" s="570"/>
      <c r="G5952" s="570"/>
      <c r="H5952" s="570"/>
      <c r="I5952" s="570"/>
      <c r="J5952" s="570"/>
      <c r="K5952" s="570"/>
    </row>
    <row r="5953" ht="13.75" customHeight="1">
      <c r="A5953" s="833">
        <v>306</v>
      </c>
      <c r="B5953" t="s" s="834">
        <v>119</v>
      </c>
      <c r="C5953" t="s" s="834">
        <v>480</v>
      </c>
      <c r="D5953" s="835">
        <v>46025</v>
      </c>
      <c r="E5953" t="s" s="834">
        <v>478</v>
      </c>
      <c r="F5953" t="s" s="834">
        <v>478</v>
      </c>
      <c r="G5953" s="570"/>
      <c r="H5953" s="570"/>
      <c r="I5953" s="570"/>
      <c r="J5953" s="570"/>
      <c r="K5953" s="570"/>
    </row>
    <row r="5954" ht="13.75" customHeight="1">
      <c r="A5954" s="833">
        <v>306</v>
      </c>
      <c r="B5954" t="s" s="834">
        <v>119</v>
      </c>
      <c r="C5954" t="s" s="834">
        <v>480</v>
      </c>
      <c r="D5954" s="835">
        <v>46026</v>
      </c>
      <c r="E5954" t="s" s="834">
        <v>478</v>
      </c>
      <c r="F5954" t="s" s="834">
        <v>478</v>
      </c>
      <c r="G5954" s="570"/>
      <c r="H5954" s="570"/>
      <c r="I5954" s="570"/>
      <c r="J5954" s="570"/>
      <c r="K5954" s="570"/>
    </row>
    <row r="5955" ht="13.75" customHeight="1">
      <c r="A5955" s="833">
        <v>306</v>
      </c>
      <c r="B5955" t="s" s="834">
        <v>119</v>
      </c>
      <c r="C5955" t="s" s="834">
        <v>480</v>
      </c>
      <c r="D5955" s="835">
        <v>46027</v>
      </c>
      <c r="E5955" s="836">
        <v>1.377858796296296</v>
      </c>
      <c r="F5955" s="836">
        <v>1.779479166666667</v>
      </c>
      <c r="G5955" s="570"/>
      <c r="H5955" s="570"/>
      <c r="I5955" s="570"/>
      <c r="J5955" s="570"/>
      <c r="K5955" s="570"/>
    </row>
    <row r="5956" ht="13.75" customHeight="1">
      <c r="A5956" t="s" s="834">
        <v>4041</v>
      </c>
      <c r="B5956" t="s" s="834">
        <v>4042</v>
      </c>
      <c r="C5956" t="s" s="834">
        <v>697</v>
      </c>
      <c r="D5956" s="570"/>
      <c r="E5956" s="570"/>
      <c r="F5956" s="570"/>
      <c r="G5956" s="570"/>
      <c r="H5956" s="570"/>
      <c r="I5956" s="570"/>
      <c r="J5956" s="570"/>
      <c r="K5956" s="570"/>
    </row>
    <row r="5957" ht="13.75" customHeight="1">
      <c r="A5957" s="833">
        <v>306</v>
      </c>
      <c r="B5957" t="s" s="834">
        <v>119</v>
      </c>
      <c r="C5957" t="s" s="834">
        <v>480</v>
      </c>
      <c r="D5957" s="835">
        <v>46028</v>
      </c>
      <c r="E5957" s="836">
        <v>1.428923611111111</v>
      </c>
      <c r="F5957" s="836">
        <v>1.798622685185185</v>
      </c>
      <c r="G5957" s="570"/>
      <c r="H5957" s="570"/>
      <c r="I5957" s="570"/>
      <c r="J5957" s="570"/>
      <c r="K5957" s="570"/>
    </row>
    <row r="5958" ht="13.75" customHeight="1">
      <c r="A5958" t="s" s="834">
        <v>4043</v>
      </c>
      <c r="B5958" t="s" s="834">
        <v>4044</v>
      </c>
      <c r="C5958" t="s" s="834">
        <v>1206</v>
      </c>
      <c r="D5958" s="570"/>
      <c r="E5958" s="570"/>
      <c r="F5958" s="570"/>
      <c r="G5958" s="570"/>
      <c r="H5958" s="570"/>
      <c r="I5958" s="570"/>
      <c r="J5958" s="570"/>
      <c r="K5958" s="570"/>
    </row>
    <row r="5959" ht="13.75" customHeight="1">
      <c r="A5959" s="833">
        <v>306</v>
      </c>
      <c r="B5959" t="s" s="834">
        <v>119</v>
      </c>
      <c r="C5959" t="s" s="834">
        <v>480</v>
      </c>
      <c r="D5959" s="835">
        <v>46029</v>
      </c>
      <c r="E5959" s="836">
        <v>1.361018518518518</v>
      </c>
      <c r="F5959" s="836">
        <v>1.755023148148148</v>
      </c>
      <c r="G5959" s="570"/>
      <c r="H5959" s="570"/>
      <c r="I5959" s="570"/>
      <c r="J5959" s="570"/>
      <c r="K5959" s="570"/>
    </row>
    <row r="5960" ht="13.75" customHeight="1">
      <c r="A5960" t="s" s="834">
        <v>4045</v>
      </c>
      <c r="B5960" t="s" s="834">
        <v>4046</v>
      </c>
      <c r="C5960" t="s" s="834">
        <v>518</v>
      </c>
      <c r="D5960" s="570"/>
      <c r="E5960" s="570"/>
      <c r="F5960" s="570"/>
      <c r="G5960" s="570"/>
      <c r="H5960" s="570"/>
      <c r="I5960" s="570"/>
      <c r="J5960" s="570"/>
      <c r="K5960" s="570"/>
    </row>
    <row r="5961" ht="13.75" customHeight="1">
      <c r="A5961" s="833">
        <v>306</v>
      </c>
      <c r="B5961" t="s" s="834">
        <v>119</v>
      </c>
      <c r="C5961" t="s" s="834">
        <v>480</v>
      </c>
      <c r="D5961" s="835">
        <v>46030</v>
      </c>
      <c r="E5961" t="s" s="834">
        <v>478</v>
      </c>
      <c r="F5961" t="s" s="834">
        <v>478</v>
      </c>
      <c r="G5961" s="570"/>
      <c r="H5961" s="570"/>
      <c r="I5961" s="570"/>
      <c r="J5961" s="570"/>
      <c r="K5961" s="570"/>
    </row>
    <row r="5962" ht="13.75" customHeight="1">
      <c r="A5962" s="833">
        <v>306</v>
      </c>
      <c r="B5962" t="s" s="834">
        <v>119</v>
      </c>
      <c r="C5962" t="s" s="834">
        <v>480</v>
      </c>
      <c r="D5962" s="835">
        <v>46031</v>
      </c>
      <c r="E5962" s="836">
        <v>1.353055555555556</v>
      </c>
      <c r="F5962" s="836">
        <v>1.765706018518518</v>
      </c>
      <c r="G5962" s="570"/>
      <c r="H5962" s="570"/>
      <c r="I5962" s="570"/>
      <c r="J5962" s="570"/>
      <c r="K5962" s="570"/>
    </row>
    <row r="5963" ht="13.75" customHeight="1">
      <c r="A5963" t="s" s="834">
        <v>4047</v>
      </c>
      <c r="B5963" t="s" s="834">
        <v>4048</v>
      </c>
      <c r="C5963" t="s" s="834">
        <v>1059</v>
      </c>
      <c r="D5963" s="570"/>
      <c r="E5963" s="570"/>
      <c r="F5963" s="570"/>
      <c r="G5963" s="570"/>
      <c r="H5963" s="570"/>
      <c r="I5963" s="570"/>
      <c r="J5963" s="570"/>
      <c r="K5963" s="570"/>
    </row>
    <row r="5964" ht="13.75" customHeight="1">
      <c r="A5964" s="833">
        <v>306</v>
      </c>
      <c r="B5964" t="s" s="834">
        <v>119</v>
      </c>
      <c r="C5964" t="s" s="834">
        <v>480</v>
      </c>
      <c r="D5964" s="835">
        <v>46032</v>
      </c>
      <c r="E5964" t="s" s="834">
        <v>478</v>
      </c>
      <c r="F5964" t="s" s="834">
        <v>478</v>
      </c>
      <c r="G5964" s="570"/>
      <c r="H5964" s="570"/>
      <c r="I5964" s="570"/>
      <c r="J5964" s="570"/>
      <c r="K5964" s="570"/>
    </row>
    <row r="5965" ht="13.75" customHeight="1">
      <c r="A5965" s="833">
        <v>306</v>
      </c>
      <c r="B5965" t="s" s="834">
        <v>119</v>
      </c>
      <c r="C5965" t="s" s="834">
        <v>480</v>
      </c>
      <c r="D5965" s="835">
        <v>46033</v>
      </c>
      <c r="E5965" t="s" s="834">
        <v>478</v>
      </c>
      <c r="F5965" t="s" s="834">
        <v>478</v>
      </c>
      <c r="G5965" s="570"/>
      <c r="H5965" s="570"/>
      <c r="I5965" s="570"/>
      <c r="J5965" s="570"/>
      <c r="K5965" s="570"/>
    </row>
    <row r="5966" ht="13.75" customHeight="1">
      <c r="A5966" s="833">
        <v>306</v>
      </c>
      <c r="B5966" t="s" s="834">
        <v>119</v>
      </c>
      <c r="C5966" t="s" s="834">
        <v>480</v>
      </c>
      <c r="D5966" s="835">
        <v>46034</v>
      </c>
      <c r="E5966" s="836">
        <v>1.351851851851852</v>
      </c>
      <c r="F5966" s="836">
        <v>1.768159722222222</v>
      </c>
      <c r="G5966" s="570"/>
      <c r="H5966" s="570"/>
      <c r="I5966" s="570"/>
      <c r="J5966" s="570"/>
      <c r="K5966" s="570"/>
    </row>
    <row r="5967" ht="13.75" customHeight="1">
      <c r="A5967" t="s" s="834">
        <v>4049</v>
      </c>
      <c r="B5967" t="s" s="834">
        <v>4050</v>
      </c>
      <c r="C5967" t="s" s="834">
        <v>652</v>
      </c>
      <c r="D5967" s="570"/>
      <c r="E5967" s="570"/>
      <c r="F5967" s="570"/>
      <c r="G5967" s="570"/>
      <c r="H5967" s="570"/>
      <c r="I5967" s="570"/>
      <c r="J5967" s="570"/>
      <c r="K5967" s="570"/>
    </row>
    <row r="5968" ht="13.75" customHeight="1">
      <c r="A5968" s="833">
        <v>306</v>
      </c>
      <c r="B5968" t="s" s="834">
        <v>119</v>
      </c>
      <c r="C5968" t="s" s="834">
        <v>480</v>
      </c>
      <c r="D5968" s="835">
        <v>46035</v>
      </c>
      <c r="E5968" s="836">
        <v>1.420405092592593</v>
      </c>
      <c r="F5968" s="836">
        <v>1.685358796296296</v>
      </c>
      <c r="G5968" s="570"/>
      <c r="H5968" s="570"/>
      <c r="I5968" s="570"/>
      <c r="J5968" s="570"/>
      <c r="K5968" s="570"/>
    </row>
    <row r="5969" ht="13.75" customHeight="1">
      <c r="A5969" t="s" s="834">
        <v>4051</v>
      </c>
      <c r="B5969" t="s" s="834">
        <v>4052</v>
      </c>
      <c r="C5969" t="s" s="834">
        <v>1025</v>
      </c>
      <c r="D5969" s="570"/>
      <c r="E5969" s="570"/>
      <c r="F5969" s="570"/>
      <c r="G5969" s="570"/>
      <c r="H5969" s="570"/>
      <c r="I5969" s="570"/>
      <c r="J5969" s="570"/>
      <c r="K5969" s="570"/>
    </row>
    <row r="5970" ht="13.75" customHeight="1">
      <c r="A5970" s="833">
        <v>306</v>
      </c>
      <c r="B5970" t="s" s="834">
        <v>119</v>
      </c>
      <c r="C5970" t="s" s="834">
        <v>480</v>
      </c>
      <c r="D5970" s="835">
        <v>46036</v>
      </c>
      <c r="E5970" s="836">
        <v>1.580196759259259</v>
      </c>
      <c r="F5970" s="836">
        <v>1.757048611111111</v>
      </c>
      <c r="G5970" s="570"/>
      <c r="H5970" s="570"/>
      <c r="I5970" s="570"/>
      <c r="J5970" s="570"/>
      <c r="K5970" s="570"/>
    </row>
    <row r="5971" ht="13.75" customHeight="1">
      <c r="A5971" t="s" s="834">
        <v>4053</v>
      </c>
      <c r="B5971" t="s" s="834">
        <v>4054</v>
      </c>
      <c r="C5971" t="s" s="834">
        <v>2404</v>
      </c>
      <c r="D5971" s="570"/>
      <c r="E5971" s="570"/>
      <c r="F5971" s="570"/>
      <c r="G5971" s="570"/>
      <c r="H5971" s="570"/>
      <c r="I5971" s="570"/>
      <c r="J5971" s="570"/>
      <c r="K5971" s="570"/>
    </row>
    <row r="5972" ht="13.75" customHeight="1">
      <c r="A5972" s="833">
        <v>306</v>
      </c>
      <c r="B5972" t="s" s="834">
        <v>119</v>
      </c>
      <c r="C5972" t="s" s="834">
        <v>480</v>
      </c>
      <c r="D5972" s="835">
        <v>46037</v>
      </c>
      <c r="E5972" t="s" s="834">
        <v>478</v>
      </c>
      <c r="F5972" t="s" s="834">
        <v>478</v>
      </c>
      <c r="G5972" s="570"/>
      <c r="H5972" s="570"/>
      <c r="I5972" s="570"/>
      <c r="J5972" s="570"/>
      <c r="K5972" s="570"/>
    </row>
    <row r="5973" ht="13.75" customHeight="1">
      <c r="A5973" s="833">
        <v>306</v>
      </c>
      <c r="B5973" t="s" s="834">
        <v>119</v>
      </c>
      <c r="C5973" t="s" s="834">
        <v>480</v>
      </c>
      <c r="D5973" s="835">
        <v>46038</v>
      </c>
      <c r="E5973" s="836">
        <v>1.356898148148148</v>
      </c>
      <c r="F5973" s="836">
        <v>1.822638888888889</v>
      </c>
      <c r="G5973" s="570"/>
      <c r="H5973" s="570"/>
      <c r="I5973" s="570"/>
      <c r="J5973" s="570"/>
      <c r="K5973" s="570"/>
    </row>
    <row r="5974" ht="13.75" customHeight="1">
      <c r="A5974" t="s" s="834">
        <v>4055</v>
      </c>
      <c r="B5974" t="s" s="834">
        <v>4056</v>
      </c>
      <c r="C5974" t="s" s="834">
        <v>3888</v>
      </c>
      <c r="D5974" s="570"/>
      <c r="E5974" s="570"/>
      <c r="F5974" s="570"/>
      <c r="G5974" s="570"/>
      <c r="H5974" s="570"/>
      <c r="I5974" s="570"/>
      <c r="J5974" s="570"/>
      <c r="K5974" s="570"/>
    </row>
    <row r="5975" ht="13.75" customHeight="1">
      <c r="A5975" s="833">
        <v>306</v>
      </c>
      <c r="B5975" t="s" s="834">
        <v>119</v>
      </c>
      <c r="C5975" t="s" s="834">
        <v>480</v>
      </c>
      <c r="D5975" s="835">
        <v>46039</v>
      </c>
      <c r="E5975" t="s" s="834">
        <v>478</v>
      </c>
      <c r="F5975" t="s" s="834">
        <v>478</v>
      </c>
      <c r="G5975" s="570"/>
      <c r="H5975" s="570"/>
      <c r="I5975" s="570"/>
      <c r="J5975" s="570"/>
      <c r="K5975" s="570"/>
    </row>
    <row r="5976" ht="13.75" customHeight="1">
      <c r="A5976" s="833">
        <v>306</v>
      </c>
      <c r="B5976" t="s" s="834">
        <v>119</v>
      </c>
      <c r="C5976" t="s" s="834">
        <v>480</v>
      </c>
      <c r="D5976" s="835">
        <v>46040</v>
      </c>
      <c r="E5976" t="s" s="834">
        <v>478</v>
      </c>
      <c r="F5976" t="s" s="834">
        <v>478</v>
      </c>
      <c r="G5976" s="570"/>
      <c r="H5976" s="570"/>
      <c r="I5976" s="570"/>
      <c r="J5976" s="570"/>
      <c r="K5976" s="570"/>
    </row>
    <row r="5977" ht="13.75" customHeight="1">
      <c r="A5977" s="833">
        <v>306</v>
      </c>
      <c r="B5977" t="s" s="834">
        <v>119</v>
      </c>
      <c r="C5977" t="s" s="834">
        <v>480</v>
      </c>
      <c r="D5977" s="835">
        <v>46041</v>
      </c>
      <c r="E5977" s="836">
        <v>1.532777777777778</v>
      </c>
      <c r="F5977" s="836">
        <v>1.793715277777778</v>
      </c>
      <c r="G5977" s="570"/>
      <c r="H5977" s="570"/>
      <c r="I5977" s="570"/>
      <c r="J5977" s="570"/>
      <c r="K5977" s="570"/>
    </row>
    <row r="5978" ht="13.75" customHeight="1">
      <c r="A5978" t="s" s="834">
        <v>4057</v>
      </c>
      <c r="B5978" t="s" s="834">
        <v>4058</v>
      </c>
      <c r="C5978" t="s" s="834">
        <v>4059</v>
      </c>
      <c r="D5978" s="570"/>
      <c r="E5978" s="570"/>
      <c r="F5978" s="570"/>
      <c r="G5978" s="570"/>
      <c r="H5978" s="570"/>
      <c r="I5978" s="570"/>
      <c r="J5978" s="570"/>
      <c r="K5978" s="570"/>
    </row>
    <row r="5979" ht="13.75" customHeight="1">
      <c r="A5979" s="833">
        <v>306</v>
      </c>
      <c r="B5979" t="s" s="834">
        <v>119</v>
      </c>
      <c r="C5979" t="s" s="834">
        <v>480</v>
      </c>
      <c r="D5979" s="835">
        <v>46042</v>
      </c>
      <c r="E5979" s="836">
        <v>1.352858796296296</v>
      </c>
      <c r="F5979" s="836">
        <v>1.769212962962963</v>
      </c>
      <c r="G5979" s="570"/>
      <c r="H5979" s="570"/>
      <c r="I5979" s="570"/>
      <c r="J5979" s="570"/>
      <c r="K5979" s="570"/>
    </row>
    <row r="5980" ht="13.75" customHeight="1">
      <c r="A5980" t="s" s="834">
        <v>4060</v>
      </c>
      <c r="B5980" t="s" s="834">
        <v>4061</v>
      </c>
      <c r="C5980" t="s" s="834">
        <v>530</v>
      </c>
      <c r="D5980" s="570"/>
      <c r="E5980" s="570"/>
      <c r="F5980" s="570"/>
      <c r="G5980" s="570"/>
      <c r="H5980" s="570"/>
      <c r="I5980" s="570"/>
      <c r="J5980" s="570"/>
      <c r="K5980" s="570"/>
    </row>
    <row r="5981" ht="13.75" customHeight="1">
      <c r="A5981" s="833">
        <v>306</v>
      </c>
      <c r="B5981" t="s" s="834">
        <v>119</v>
      </c>
      <c r="C5981" t="s" s="834">
        <v>480</v>
      </c>
      <c r="D5981" s="835">
        <v>46043</v>
      </c>
      <c r="E5981" s="836">
        <v>1.428090277777778</v>
      </c>
      <c r="F5981" s="836">
        <v>1.756342592592593</v>
      </c>
      <c r="G5981" s="570"/>
      <c r="H5981" s="570"/>
      <c r="I5981" s="570"/>
      <c r="J5981" s="570"/>
      <c r="K5981" s="570"/>
    </row>
    <row r="5982" ht="13.75" customHeight="1">
      <c r="A5982" t="s" s="834">
        <v>4062</v>
      </c>
      <c r="B5982" t="s" s="834">
        <v>4063</v>
      </c>
      <c r="C5982" t="s" s="834">
        <v>1861</v>
      </c>
      <c r="D5982" s="570"/>
      <c r="E5982" s="570"/>
      <c r="F5982" s="570"/>
      <c r="G5982" s="570"/>
      <c r="H5982" s="570"/>
      <c r="I5982" s="570"/>
      <c r="J5982" s="570"/>
      <c r="K5982" s="570"/>
    </row>
    <row r="5983" ht="13.75" customHeight="1">
      <c r="A5983" s="833">
        <v>306</v>
      </c>
      <c r="B5983" t="s" s="834">
        <v>119</v>
      </c>
      <c r="C5983" t="s" s="834">
        <v>480</v>
      </c>
      <c r="D5983" s="835">
        <v>46044</v>
      </c>
      <c r="E5983" s="836">
        <v>1.359016203703704</v>
      </c>
      <c r="F5983" s="836">
        <v>1.566111111111111</v>
      </c>
      <c r="G5983" s="570"/>
      <c r="H5983" s="570"/>
      <c r="I5983" s="570"/>
      <c r="J5983" s="570"/>
      <c r="K5983" s="570"/>
    </row>
    <row r="5984" ht="13.75" customHeight="1">
      <c r="A5984" t="s" s="834">
        <v>4064</v>
      </c>
      <c r="B5984" t="s" s="834">
        <v>4065</v>
      </c>
      <c r="C5984" t="s" s="834">
        <v>4066</v>
      </c>
      <c r="D5984" s="570"/>
      <c r="E5984" s="570"/>
      <c r="F5984" s="570"/>
      <c r="G5984" s="570"/>
      <c r="H5984" s="570"/>
      <c r="I5984" s="570"/>
      <c r="J5984" s="570"/>
      <c r="K5984" s="570"/>
    </row>
    <row r="5985" ht="13.75" customHeight="1">
      <c r="A5985" s="833">
        <v>306</v>
      </c>
      <c r="B5985" t="s" s="834">
        <v>119</v>
      </c>
      <c r="C5985" t="s" s="834">
        <v>480</v>
      </c>
      <c r="D5985" s="835">
        <v>46045</v>
      </c>
      <c r="E5985" s="836">
        <v>1.359490740740741</v>
      </c>
      <c r="F5985" s="836">
        <v>1.756574074074074</v>
      </c>
      <c r="G5985" s="570"/>
      <c r="H5985" s="570"/>
      <c r="I5985" s="570"/>
      <c r="J5985" s="570"/>
      <c r="K5985" s="570"/>
    </row>
    <row r="5986" ht="13.75" customHeight="1">
      <c r="A5986" t="s" s="834">
        <v>4067</v>
      </c>
      <c r="B5986" t="s" s="834">
        <v>4068</v>
      </c>
      <c r="C5986" t="s" s="834">
        <v>747</v>
      </c>
      <c r="D5986" s="570"/>
      <c r="E5986" s="570"/>
      <c r="F5986" s="570"/>
      <c r="G5986" s="570"/>
      <c r="H5986" s="570"/>
      <c r="I5986" s="570"/>
      <c r="J5986" s="570"/>
      <c r="K5986" s="570"/>
    </row>
    <row r="5987" ht="13.75" customHeight="1">
      <c r="A5987" s="833">
        <v>306</v>
      </c>
      <c r="B5987" t="s" s="834">
        <v>119</v>
      </c>
      <c r="C5987" t="s" s="834">
        <v>480</v>
      </c>
      <c r="D5987" s="835">
        <v>46046</v>
      </c>
      <c r="E5987" t="s" s="834">
        <v>478</v>
      </c>
      <c r="F5987" t="s" s="834">
        <v>478</v>
      </c>
      <c r="G5987" s="570"/>
      <c r="H5987" s="570"/>
      <c r="I5987" s="570"/>
      <c r="J5987" s="570"/>
      <c r="K5987" s="570"/>
    </row>
    <row r="5988" ht="13.75" customHeight="1">
      <c r="A5988" s="833">
        <v>306</v>
      </c>
      <c r="B5988" t="s" s="834">
        <v>119</v>
      </c>
      <c r="C5988" t="s" s="834">
        <v>480</v>
      </c>
      <c r="D5988" s="835">
        <v>46047</v>
      </c>
      <c r="E5988" t="s" s="834">
        <v>478</v>
      </c>
      <c r="F5988" t="s" s="834">
        <v>478</v>
      </c>
      <c r="G5988" s="570"/>
      <c r="H5988" s="570"/>
      <c r="I5988" s="570"/>
      <c r="J5988" s="570"/>
      <c r="K5988" s="570"/>
    </row>
    <row r="5989" ht="13.75" customHeight="1">
      <c r="A5989" s="833">
        <v>306</v>
      </c>
      <c r="B5989" t="s" s="834">
        <v>119</v>
      </c>
      <c r="C5989" t="s" s="834">
        <v>480</v>
      </c>
      <c r="D5989" s="835">
        <v>46048</v>
      </c>
      <c r="E5989" s="836">
        <v>1.36244212962963</v>
      </c>
      <c r="F5989" s="836">
        <v>1.766782407407407</v>
      </c>
      <c r="G5989" s="570"/>
      <c r="H5989" s="570"/>
      <c r="I5989" s="570"/>
      <c r="J5989" s="570"/>
      <c r="K5989" s="570"/>
    </row>
    <row r="5990" ht="13.75" customHeight="1">
      <c r="A5990" t="s" s="834">
        <v>4069</v>
      </c>
      <c r="B5990" t="s" s="834">
        <v>4070</v>
      </c>
      <c r="C5990" t="s" s="834">
        <v>493</v>
      </c>
      <c r="D5990" s="570"/>
      <c r="E5990" s="570"/>
      <c r="F5990" s="570"/>
      <c r="G5990" s="570"/>
      <c r="H5990" s="570"/>
      <c r="I5990" s="570"/>
      <c r="J5990" s="570"/>
      <c r="K5990" s="570"/>
    </row>
    <row r="5991" ht="13.75" customHeight="1">
      <c r="A5991" s="833">
        <v>306</v>
      </c>
      <c r="B5991" t="s" s="834">
        <v>119</v>
      </c>
      <c r="C5991" t="s" s="834">
        <v>480</v>
      </c>
      <c r="D5991" s="835">
        <v>46049</v>
      </c>
      <c r="E5991" s="836">
        <v>1.557303240740741</v>
      </c>
      <c r="F5991" s="836">
        <v>1.757175925925926</v>
      </c>
      <c r="G5991" s="570"/>
      <c r="H5991" s="570"/>
      <c r="I5991" s="570"/>
      <c r="J5991" s="570"/>
      <c r="K5991" s="570"/>
    </row>
    <row r="5992" ht="13.75" customHeight="1">
      <c r="A5992" t="s" s="834">
        <v>4071</v>
      </c>
      <c r="B5992" t="s" s="834">
        <v>4072</v>
      </c>
      <c r="C5992" t="s" s="834">
        <v>3172</v>
      </c>
      <c r="D5992" s="570"/>
      <c r="E5992" s="570"/>
      <c r="F5992" s="570"/>
      <c r="G5992" s="570"/>
      <c r="H5992" s="570"/>
      <c r="I5992" s="570"/>
      <c r="J5992" s="570"/>
      <c r="K5992" s="570"/>
    </row>
    <row r="5993" ht="13.75" customHeight="1">
      <c r="A5993" s="833">
        <v>306</v>
      </c>
      <c r="B5993" t="s" s="834">
        <v>119</v>
      </c>
      <c r="C5993" t="s" s="834">
        <v>480</v>
      </c>
      <c r="D5993" s="835">
        <v>46050</v>
      </c>
      <c r="E5993" s="836">
        <v>1.364189814814815</v>
      </c>
      <c r="F5993" s="836">
        <v>1.695150462962963</v>
      </c>
      <c r="G5993" s="570"/>
      <c r="H5993" s="570"/>
      <c r="I5993" s="570"/>
      <c r="J5993" s="570"/>
      <c r="K5993" s="570"/>
    </row>
    <row r="5994" ht="13.75" customHeight="1">
      <c r="A5994" t="s" s="834">
        <v>4073</v>
      </c>
      <c r="B5994" t="s" s="834">
        <v>4074</v>
      </c>
      <c r="C5994" t="s" s="834">
        <v>2469</v>
      </c>
      <c r="D5994" s="570"/>
      <c r="E5994" s="570"/>
      <c r="F5994" s="570"/>
      <c r="G5994" s="570"/>
      <c r="H5994" s="570"/>
      <c r="I5994" s="570"/>
      <c r="J5994" s="570"/>
      <c r="K5994" s="570"/>
    </row>
    <row r="5995" ht="13.75" customHeight="1">
      <c r="A5995" s="833">
        <v>306</v>
      </c>
      <c r="B5995" t="s" s="834">
        <v>119</v>
      </c>
      <c r="C5995" t="s" s="834">
        <v>480</v>
      </c>
      <c r="D5995" s="835">
        <v>46051</v>
      </c>
      <c r="E5995" s="836">
        <v>1.349050925925926</v>
      </c>
      <c r="F5995" s="836">
        <v>1.758645833333333</v>
      </c>
      <c r="G5995" s="570"/>
      <c r="H5995" s="570"/>
      <c r="I5995" s="570"/>
      <c r="J5995" s="570"/>
      <c r="K5995" s="570"/>
    </row>
    <row r="5996" ht="13.75" customHeight="1">
      <c r="A5996" t="s" s="834">
        <v>4075</v>
      </c>
      <c r="B5996" t="s" s="834">
        <v>4076</v>
      </c>
      <c r="C5996" t="s" s="834">
        <v>1119</v>
      </c>
      <c r="D5996" s="570"/>
      <c r="E5996" s="570"/>
      <c r="F5996" s="570"/>
      <c r="G5996" s="570"/>
      <c r="H5996" s="570"/>
      <c r="I5996" s="570"/>
      <c r="J5996" s="570"/>
      <c r="K5996" s="570"/>
    </row>
    <row r="5997" ht="13.75" customHeight="1">
      <c r="A5997" s="833">
        <v>306</v>
      </c>
      <c r="B5997" t="s" s="834">
        <v>119</v>
      </c>
      <c r="C5997" t="s" s="834">
        <v>480</v>
      </c>
      <c r="D5997" s="835">
        <v>46052</v>
      </c>
      <c r="E5997" s="836">
        <v>1.355601851851852</v>
      </c>
      <c r="F5997" s="836">
        <v>1.763761574074074</v>
      </c>
      <c r="G5997" s="570"/>
      <c r="H5997" s="570"/>
      <c r="I5997" s="570"/>
      <c r="J5997" s="570"/>
      <c r="K5997" s="570"/>
    </row>
    <row r="5998" ht="13.75" customHeight="1">
      <c r="A5998" t="s" s="834">
        <v>4077</v>
      </c>
      <c r="B5998" t="s" s="834">
        <v>4078</v>
      </c>
      <c r="C5998" t="s" s="834">
        <v>1330</v>
      </c>
      <c r="D5998" s="570"/>
      <c r="E5998" s="570"/>
      <c r="F5998" s="570"/>
      <c r="G5998" s="570"/>
      <c r="H5998" s="570"/>
      <c r="I5998" s="570"/>
      <c r="J5998" s="570"/>
      <c r="K5998" s="570"/>
    </row>
    <row r="5999" ht="13.75" customHeight="1">
      <c r="A5999" s="833">
        <v>306</v>
      </c>
      <c r="B5999" t="s" s="834">
        <v>119</v>
      </c>
      <c r="C5999" t="s" s="834">
        <v>480</v>
      </c>
      <c r="D5999" s="835">
        <v>46053</v>
      </c>
      <c r="E5999" t="s" s="834">
        <v>478</v>
      </c>
      <c r="F5999" t="s" s="834">
        <v>478</v>
      </c>
      <c r="G5999" s="570"/>
      <c r="H5999" s="570"/>
      <c r="I5999" s="570"/>
      <c r="J5999" s="570"/>
      <c r="K5999" s="570"/>
    </row>
    <row r="6000" ht="13.75" customHeight="1">
      <c r="A6000" s="833">
        <v>306</v>
      </c>
      <c r="B6000" t="s" s="834">
        <v>119</v>
      </c>
      <c r="C6000" t="s" s="834">
        <v>480</v>
      </c>
      <c r="D6000" s="835">
        <v>46054</v>
      </c>
      <c r="E6000" t="s" s="834">
        <v>478</v>
      </c>
      <c r="F6000" t="s" s="834">
        <v>478</v>
      </c>
      <c r="G6000" s="570"/>
      <c r="H6000" s="570"/>
      <c r="I6000" s="570"/>
      <c r="J6000" s="570"/>
      <c r="K6000" s="570"/>
    </row>
    <row r="6001" ht="13.75" customHeight="1">
      <c r="A6001" s="833">
        <v>307</v>
      </c>
      <c r="B6001" t="s" s="834">
        <v>220</v>
      </c>
      <c r="C6001" t="s" s="834">
        <v>480</v>
      </c>
      <c r="D6001" s="835">
        <v>46023</v>
      </c>
      <c r="E6001" t="s" s="834">
        <v>478</v>
      </c>
      <c r="F6001" t="s" s="834">
        <v>478</v>
      </c>
      <c r="G6001" s="570"/>
      <c r="H6001" s="570"/>
      <c r="I6001" s="570"/>
      <c r="J6001" s="570"/>
      <c r="K6001" s="570"/>
    </row>
    <row r="6002" ht="13.75" customHeight="1">
      <c r="A6002" s="833">
        <v>307</v>
      </c>
      <c r="B6002" t="s" s="834">
        <v>220</v>
      </c>
      <c r="C6002" t="s" s="834">
        <v>480</v>
      </c>
      <c r="D6002" s="835">
        <v>46024</v>
      </c>
      <c r="E6002" t="s" s="834">
        <v>478</v>
      </c>
      <c r="F6002" t="s" s="834">
        <v>478</v>
      </c>
      <c r="G6002" s="570"/>
      <c r="H6002" s="570"/>
      <c r="I6002" s="570"/>
      <c r="J6002" s="570"/>
      <c r="K6002" s="570"/>
    </row>
    <row r="6003" ht="13.75" customHeight="1">
      <c r="A6003" s="833">
        <v>307</v>
      </c>
      <c r="B6003" t="s" s="834">
        <v>220</v>
      </c>
      <c r="C6003" t="s" s="834">
        <v>480</v>
      </c>
      <c r="D6003" s="835">
        <v>46025</v>
      </c>
      <c r="E6003" t="s" s="834">
        <v>478</v>
      </c>
      <c r="F6003" t="s" s="834">
        <v>478</v>
      </c>
      <c r="G6003" s="570"/>
      <c r="H6003" s="570"/>
      <c r="I6003" s="570"/>
      <c r="J6003" s="570"/>
      <c r="K6003" s="570"/>
    </row>
    <row r="6004" ht="13.75" customHeight="1">
      <c r="A6004" s="833">
        <v>307</v>
      </c>
      <c r="B6004" t="s" s="834">
        <v>220</v>
      </c>
      <c r="C6004" t="s" s="834">
        <v>480</v>
      </c>
      <c r="D6004" s="835">
        <v>46026</v>
      </c>
      <c r="E6004" t="s" s="834">
        <v>478</v>
      </c>
      <c r="F6004" t="s" s="834">
        <v>478</v>
      </c>
      <c r="G6004" s="570"/>
      <c r="H6004" s="570"/>
      <c r="I6004" s="570"/>
      <c r="J6004" s="570"/>
      <c r="K6004" s="570"/>
    </row>
    <row r="6005" ht="13.75" customHeight="1">
      <c r="A6005" s="833">
        <v>307</v>
      </c>
      <c r="B6005" t="s" s="834">
        <v>220</v>
      </c>
      <c r="C6005" t="s" s="834">
        <v>480</v>
      </c>
      <c r="D6005" s="835">
        <v>46027</v>
      </c>
      <c r="E6005" t="s" s="834">
        <v>478</v>
      </c>
      <c r="F6005" t="s" s="834">
        <v>478</v>
      </c>
      <c r="G6005" s="570"/>
      <c r="H6005" s="570"/>
      <c r="I6005" s="570"/>
      <c r="J6005" s="570"/>
      <c r="K6005" s="570"/>
    </row>
    <row r="6006" ht="13.75" customHeight="1">
      <c r="A6006" s="833">
        <v>307</v>
      </c>
      <c r="B6006" t="s" s="834">
        <v>220</v>
      </c>
      <c r="C6006" t="s" s="834">
        <v>480</v>
      </c>
      <c r="D6006" s="835">
        <v>46028</v>
      </c>
      <c r="E6006" t="s" s="834">
        <v>478</v>
      </c>
      <c r="F6006" t="s" s="834">
        <v>478</v>
      </c>
      <c r="G6006" s="570"/>
      <c r="H6006" s="570"/>
      <c r="I6006" s="570"/>
      <c r="J6006" s="570"/>
      <c r="K6006" s="570"/>
    </row>
    <row r="6007" ht="13.75" customHeight="1">
      <c r="A6007" s="833">
        <v>307</v>
      </c>
      <c r="B6007" t="s" s="834">
        <v>220</v>
      </c>
      <c r="C6007" t="s" s="834">
        <v>480</v>
      </c>
      <c r="D6007" s="835">
        <v>46029</v>
      </c>
      <c r="E6007" t="s" s="834">
        <v>478</v>
      </c>
      <c r="F6007" t="s" s="834">
        <v>478</v>
      </c>
      <c r="G6007" s="570"/>
      <c r="H6007" s="570"/>
      <c r="I6007" s="570"/>
      <c r="J6007" s="570"/>
      <c r="K6007" s="570"/>
    </row>
    <row r="6008" ht="13.75" customHeight="1">
      <c r="A6008" s="833">
        <v>307</v>
      </c>
      <c r="B6008" t="s" s="834">
        <v>220</v>
      </c>
      <c r="C6008" t="s" s="834">
        <v>480</v>
      </c>
      <c r="D6008" s="835">
        <v>46030</v>
      </c>
      <c r="E6008" t="s" s="834">
        <v>478</v>
      </c>
      <c r="F6008" t="s" s="834">
        <v>478</v>
      </c>
      <c r="G6008" s="570"/>
      <c r="H6008" s="570"/>
      <c r="I6008" s="570"/>
      <c r="J6008" s="570"/>
      <c r="K6008" s="570"/>
    </row>
    <row r="6009" ht="13.75" customHeight="1">
      <c r="A6009" s="833">
        <v>307</v>
      </c>
      <c r="B6009" t="s" s="834">
        <v>220</v>
      </c>
      <c r="C6009" t="s" s="834">
        <v>480</v>
      </c>
      <c r="D6009" s="835">
        <v>46031</v>
      </c>
      <c r="E6009" t="s" s="834">
        <v>478</v>
      </c>
      <c r="F6009" t="s" s="834">
        <v>478</v>
      </c>
      <c r="G6009" s="570"/>
      <c r="H6009" s="570"/>
      <c r="I6009" s="570"/>
      <c r="J6009" s="570"/>
      <c r="K6009" s="570"/>
    </row>
    <row r="6010" ht="13.75" customHeight="1">
      <c r="A6010" s="833">
        <v>307</v>
      </c>
      <c r="B6010" t="s" s="834">
        <v>220</v>
      </c>
      <c r="C6010" t="s" s="834">
        <v>480</v>
      </c>
      <c r="D6010" s="835">
        <v>46032</v>
      </c>
      <c r="E6010" t="s" s="834">
        <v>478</v>
      </c>
      <c r="F6010" t="s" s="834">
        <v>478</v>
      </c>
      <c r="G6010" s="570"/>
      <c r="H6010" s="570"/>
      <c r="I6010" s="570"/>
      <c r="J6010" s="570"/>
      <c r="K6010" s="570"/>
    </row>
    <row r="6011" ht="13.75" customHeight="1">
      <c r="A6011" s="833">
        <v>307</v>
      </c>
      <c r="B6011" t="s" s="834">
        <v>220</v>
      </c>
      <c r="C6011" t="s" s="834">
        <v>480</v>
      </c>
      <c r="D6011" s="835">
        <v>46033</v>
      </c>
      <c r="E6011" t="s" s="834">
        <v>478</v>
      </c>
      <c r="F6011" t="s" s="834">
        <v>478</v>
      </c>
      <c r="G6011" s="570"/>
      <c r="H6011" s="570"/>
      <c r="I6011" s="570"/>
      <c r="J6011" s="570"/>
      <c r="K6011" s="570"/>
    </row>
    <row r="6012" ht="13.75" customHeight="1">
      <c r="A6012" s="833">
        <v>307</v>
      </c>
      <c r="B6012" t="s" s="834">
        <v>220</v>
      </c>
      <c r="C6012" t="s" s="834">
        <v>480</v>
      </c>
      <c r="D6012" s="835">
        <v>46034</v>
      </c>
      <c r="E6012" s="836">
        <v>1.685960648148148</v>
      </c>
      <c r="F6012" s="836">
        <v>1.686805555555555</v>
      </c>
      <c r="G6012" s="570"/>
      <c r="H6012" s="570"/>
      <c r="I6012" s="570"/>
      <c r="J6012" s="570"/>
      <c r="K6012" s="570"/>
    </row>
    <row r="6013" ht="13.75" customHeight="1">
      <c r="A6013" t="s" s="834">
        <v>4079</v>
      </c>
      <c r="B6013" t="s" s="834">
        <v>4080</v>
      </c>
      <c r="C6013" t="s" s="834">
        <v>805</v>
      </c>
      <c r="D6013" s="570"/>
      <c r="E6013" s="570"/>
      <c r="F6013" s="570"/>
      <c r="G6013" s="570"/>
      <c r="H6013" s="570"/>
      <c r="I6013" s="570"/>
      <c r="J6013" s="570"/>
      <c r="K6013" s="570"/>
    </row>
    <row r="6014" ht="13.75" customHeight="1">
      <c r="A6014" s="833">
        <v>307</v>
      </c>
      <c r="B6014" t="s" s="834">
        <v>220</v>
      </c>
      <c r="C6014" t="s" s="834">
        <v>480</v>
      </c>
      <c r="D6014" s="835">
        <v>46035</v>
      </c>
      <c r="E6014" t="s" s="834">
        <v>478</v>
      </c>
      <c r="F6014" t="s" s="834">
        <v>478</v>
      </c>
      <c r="G6014" s="570"/>
      <c r="H6014" s="570"/>
      <c r="I6014" s="570"/>
      <c r="J6014" s="570"/>
      <c r="K6014" s="570"/>
    </row>
    <row r="6015" ht="13.75" customHeight="1">
      <c r="A6015" s="833">
        <v>307</v>
      </c>
      <c r="B6015" t="s" s="834">
        <v>220</v>
      </c>
      <c r="C6015" t="s" s="834">
        <v>480</v>
      </c>
      <c r="D6015" s="835">
        <v>46036</v>
      </c>
      <c r="E6015" t="s" s="834">
        <v>478</v>
      </c>
      <c r="F6015" t="s" s="834">
        <v>478</v>
      </c>
      <c r="G6015" s="570"/>
      <c r="H6015" s="570"/>
      <c r="I6015" s="570"/>
      <c r="J6015" s="570"/>
      <c r="K6015" s="570"/>
    </row>
    <row r="6016" ht="13.75" customHeight="1">
      <c r="A6016" s="833">
        <v>307</v>
      </c>
      <c r="B6016" t="s" s="834">
        <v>220</v>
      </c>
      <c r="C6016" t="s" s="834">
        <v>480</v>
      </c>
      <c r="D6016" s="835">
        <v>46037</v>
      </c>
      <c r="E6016" t="s" s="834">
        <v>478</v>
      </c>
      <c r="F6016" t="s" s="834">
        <v>478</v>
      </c>
      <c r="G6016" s="570"/>
      <c r="H6016" s="570"/>
      <c r="I6016" s="570"/>
      <c r="J6016" s="570"/>
      <c r="K6016" s="570"/>
    </row>
    <row r="6017" ht="13.75" customHeight="1">
      <c r="A6017" s="833">
        <v>307</v>
      </c>
      <c r="B6017" t="s" s="834">
        <v>220</v>
      </c>
      <c r="C6017" t="s" s="834">
        <v>480</v>
      </c>
      <c r="D6017" s="835">
        <v>46038</v>
      </c>
      <c r="E6017" t="s" s="834">
        <v>478</v>
      </c>
      <c r="F6017" t="s" s="834">
        <v>478</v>
      </c>
      <c r="G6017" s="570"/>
      <c r="H6017" s="570"/>
      <c r="I6017" s="570"/>
      <c r="J6017" s="570"/>
      <c r="K6017" s="570"/>
    </row>
    <row r="6018" ht="13.75" customHeight="1">
      <c r="A6018" s="833">
        <v>307</v>
      </c>
      <c r="B6018" t="s" s="834">
        <v>220</v>
      </c>
      <c r="C6018" t="s" s="834">
        <v>480</v>
      </c>
      <c r="D6018" s="835">
        <v>46039</v>
      </c>
      <c r="E6018" t="s" s="834">
        <v>478</v>
      </c>
      <c r="F6018" t="s" s="834">
        <v>478</v>
      </c>
      <c r="G6018" s="570"/>
      <c r="H6018" s="570"/>
      <c r="I6018" s="570"/>
      <c r="J6018" s="570"/>
      <c r="K6018" s="570"/>
    </row>
    <row r="6019" ht="13.75" customHeight="1">
      <c r="A6019" s="833">
        <v>307</v>
      </c>
      <c r="B6019" t="s" s="834">
        <v>220</v>
      </c>
      <c r="C6019" t="s" s="834">
        <v>480</v>
      </c>
      <c r="D6019" s="835">
        <v>46040</v>
      </c>
      <c r="E6019" t="s" s="834">
        <v>478</v>
      </c>
      <c r="F6019" t="s" s="834">
        <v>478</v>
      </c>
      <c r="G6019" s="570"/>
      <c r="H6019" s="570"/>
      <c r="I6019" s="570"/>
      <c r="J6019" s="570"/>
      <c r="K6019" s="570"/>
    </row>
    <row r="6020" ht="13.75" customHeight="1">
      <c r="A6020" s="833">
        <v>307</v>
      </c>
      <c r="B6020" t="s" s="834">
        <v>220</v>
      </c>
      <c r="C6020" t="s" s="834">
        <v>480</v>
      </c>
      <c r="D6020" s="835">
        <v>46041</v>
      </c>
      <c r="E6020" t="s" s="834">
        <v>478</v>
      </c>
      <c r="F6020" t="s" s="834">
        <v>478</v>
      </c>
      <c r="G6020" s="570"/>
      <c r="H6020" s="570"/>
      <c r="I6020" s="570"/>
      <c r="J6020" s="570"/>
      <c r="K6020" s="570"/>
    </row>
    <row r="6021" ht="13.75" customHeight="1">
      <c r="A6021" s="833">
        <v>307</v>
      </c>
      <c r="B6021" t="s" s="834">
        <v>220</v>
      </c>
      <c r="C6021" t="s" s="834">
        <v>480</v>
      </c>
      <c r="D6021" s="835">
        <v>46042</v>
      </c>
      <c r="E6021" t="s" s="834">
        <v>478</v>
      </c>
      <c r="F6021" t="s" s="834">
        <v>478</v>
      </c>
      <c r="G6021" s="570"/>
      <c r="H6021" s="570"/>
      <c r="I6021" s="570"/>
      <c r="J6021" s="570"/>
      <c r="K6021" s="570"/>
    </row>
    <row r="6022" ht="13.75" customHeight="1">
      <c r="A6022" s="833">
        <v>307</v>
      </c>
      <c r="B6022" t="s" s="834">
        <v>220</v>
      </c>
      <c r="C6022" t="s" s="834">
        <v>480</v>
      </c>
      <c r="D6022" s="835">
        <v>46043</v>
      </c>
      <c r="E6022" s="836">
        <v>1.729571759259259</v>
      </c>
      <c r="F6022" s="836">
        <v>1.730243055555555</v>
      </c>
      <c r="G6022" s="570"/>
      <c r="H6022" s="570"/>
      <c r="I6022" s="570"/>
      <c r="J6022" s="570"/>
      <c r="K6022" s="570"/>
    </row>
    <row r="6023" ht="13.75" customHeight="1">
      <c r="A6023" t="s" s="834">
        <v>4081</v>
      </c>
      <c r="B6023" t="s" s="834">
        <v>4082</v>
      </c>
      <c r="C6023" t="s" s="834">
        <v>805</v>
      </c>
      <c r="D6023" s="570"/>
      <c r="E6023" s="570"/>
      <c r="F6023" s="570"/>
      <c r="G6023" s="570"/>
      <c r="H6023" s="570"/>
      <c r="I6023" s="570"/>
      <c r="J6023" s="570"/>
      <c r="K6023" s="570"/>
    </row>
    <row r="6024" ht="13.75" customHeight="1">
      <c r="A6024" s="833">
        <v>307</v>
      </c>
      <c r="B6024" t="s" s="834">
        <v>220</v>
      </c>
      <c r="C6024" t="s" s="834">
        <v>480</v>
      </c>
      <c r="D6024" s="835">
        <v>46044</v>
      </c>
      <c r="E6024" t="s" s="834">
        <v>478</v>
      </c>
      <c r="F6024" t="s" s="834">
        <v>478</v>
      </c>
      <c r="G6024" s="570"/>
      <c r="H6024" s="570"/>
      <c r="I6024" s="570"/>
      <c r="J6024" s="570"/>
      <c r="K6024" s="570"/>
    </row>
    <row r="6025" ht="13.75" customHeight="1">
      <c r="A6025" s="833">
        <v>307</v>
      </c>
      <c r="B6025" t="s" s="834">
        <v>220</v>
      </c>
      <c r="C6025" t="s" s="834">
        <v>480</v>
      </c>
      <c r="D6025" s="835">
        <v>46045</v>
      </c>
      <c r="E6025" t="s" s="834">
        <v>478</v>
      </c>
      <c r="F6025" t="s" s="834">
        <v>478</v>
      </c>
      <c r="G6025" s="570"/>
      <c r="H6025" s="570"/>
      <c r="I6025" s="570"/>
      <c r="J6025" s="570"/>
      <c r="K6025" s="570"/>
    </row>
    <row r="6026" ht="13.75" customHeight="1">
      <c r="A6026" s="833">
        <v>307</v>
      </c>
      <c r="B6026" t="s" s="834">
        <v>220</v>
      </c>
      <c r="C6026" t="s" s="834">
        <v>480</v>
      </c>
      <c r="D6026" s="835">
        <v>46046</v>
      </c>
      <c r="E6026" t="s" s="834">
        <v>478</v>
      </c>
      <c r="F6026" t="s" s="834">
        <v>478</v>
      </c>
      <c r="G6026" s="570"/>
      <c r="H6026" s="570"/>
      <c r="I6026" s="570"/>
      <c r="J6026" s="570"/>
      <c r="K6026" s="570"/>
    </row>
    <row r="6027" ht="13.75" customHeight="1">
      <c r="A6027" s="833">
        <v>307</v>
      </c>
      <c r="B6027" t="s" s="834">
        <v>220</v>
      </c>
      <c r="C6027" t="s" s="834">
        <v>480</v>
      </c>
      <c r="D6027" s="835">
        <v>46047</v>
      </c>
      <c r="E6027" t="s" s="834">
        <v>478</v>
      </c>
      <c r="F6027" t="s" s="834">
        <v>478</v>
      </c>
      <c r="G6027" s="570"/>
      <c r="H6027" s="570"/>
      <c r="I6027" s="570"/>
      <c r="J6027" s="570"/>
      <c r="K6027" s="570"/>
    </row>
    <row r="6028" ht="13.75" customHeight="1">
      <c r="A6028" s="833">
        <v>307</v>
      </c>
      <c r="B6028" t="s" s="834">
        <v>220</v>
      </c>
      <c r="C6028" t="s" s="834">
        <v>480</v>
      </c>
      <c r="D6028" s="835">
        <v>46048</v>
      </c>
      <c r="E6028" t="s" s="834">
        <v>478</v>
      </c>
      <c r="F6028" t="s" s="834">
        <v>478</v>
      </c>
      <c r="G6028" s="570"/>
      <c r="H6028" s="570"/>
      <c r="I6028" s="570"/>
      <c r="J6028" s="570"/>
      <c r="K6028" s="570"/>
    </row>
    <row r="6029" ht="13.75" customHeight="1">
      <c r="A6029" s="833">
        <v>307</v>
      </c>
      <c r="B6029" t="s" s="834">
        <v>220</v>
      </c>
      <c r="C6029" t="s" s="834">
        <v>480</v>
      </c>
      <c r="D6029" s="835">
        <v>46049</v>
      </c>
      <c r="E6029" t="s" s="834">
        <v>478</v>
      </c>
      <c r="F6029" t="s" s="834">
        <v>478</v>
      </c>
      <c r="G6029" s="570"/>
      <c r="H6029" s="570"/>
      <c r="I6029" s="570"/>
      <c r="J6029" s="570"/>
      <c r="K6029" s="570"/>
    </row>
    <row r="6030" ht="13.75" customHeight="1">
      <c r="A6030" s="833">
        <v>307</v>
      </c>
      <c r="B6030" t="s" s="834">
        <v>220</v>
      </c>
      <c r="C6030" t="s" s="834">
        <v>480</v>
      </c>
      <c r="D6030" s="835">
        <v>46050</v>
      </c>
      <c r="E6030" t="s" s="834">
        <v>478</v>
      </c>
      <c r="F6030" t="s" s="834">
        <v>478</v>
      </c>
      <c r="G6030" s="570"/>
      <c r="H6030" s="570"/>
      <c r="I6030" s="570"/>
      <c r="J6030" s="570"/>
      <c r="K6030" s="570"/>
    </row>
    <row r="6031" ht="13.75" customHeight="1">
      <c r="A6031" s="833">
        <v>307</v>
      </c>
      <c r="B6031" t="s" s="834">
        <v>220</v>
      </c>
      <c r="C6031" t="s" s="834">
        <v>480</v>
      </c>
      <c r="D6031" s="835">
        <v>46051</v>
      </c>
      <c r="E6031" t="s" s="834">
        <v>478</v>
      </c>
      <c r="F6031" t="s" s="834">
        <v>478</v>
      </c>
      <c r="G6031" s="570"/>
      <c r="H6031" s="570"/>
      <c r="I6031" s="570"/>
      <c r="J6031" s="570"/>
      <c r="K6031" s="570"/>
    </row>
    <row r="6032" ht="13.75" customHeight="1">
      <c r="A6032" s="833">
        <v>307</v>
      </c>
      <c r="B6032" t="s" s="834">
        <v>220</v>
      </c>
      <c r="C6032" t="s" s="834">
        <v>480</v>
      </c>
      <c r="D6032" s="835">
        <v>46052</v>
      </c>
      <c r="E6032" t="s" s="834">
        <v>478</v>
      </c>
      <c r="F6032" t="s" s="834">
        <v>478</v>
      </c>
      <c r="G6032" s="570"/>
      <c r="H6032" s="570"/>
      <c r="I6032" s="570"/>
      <c r="J6032" s="570"/>
      <c r="K6032" s="570"/>
    </row>
    <row r="6033" ht="13.75" customHeight="1">
      <c r="A6033" s="833">
        <v>307</v>
      </c>
      <c r="B6033" t="s" s="834">
        <v>220</v>
      </c>
      <c r="C6033" t="s" s="834">
        <v>480</v>
      </c>
      <c r="D6033" s="835">
        <v>46053</v>
      </c>
      <c r="E6033" t="s" s="834">
        <v>478</v>
      </c>
      <c r="F6033" t="s" s="834">
        <v>478</v>
      </c>
      <c r="G6033" s="570"/>
      <c r="H6033" s="570"/>
      <c r="I6033" s="570"/>
      <c r="J6033" s="570"/>
      <c r="K6033" s="570"/>
    </row>
    <row r="6034" ht="13.75" customHeight="1">
      <c r="A6034" s="833">
        <v>307</v>
      </c>
      <c r="B6034" t="s" s="834">
        <v>220</v>
      </c>
      <c r="C6034" t="s" s="834">
        <v>480</v>
      </c>
      <c r="D6034" s="835">
        <v>46054</v>
      </c>
      <c r="E6034" t="s" s="834">
        <v>478</v>
      </c>
      <c r="F6034" t="s" s="834">
        <v>478</v>
      </c>
      <c r="G6034" s="570"/>
      <c r="H6034" s="570"/>
      <c r="I6034" s="570"/>
      <c r="J6034" s="570"/>
      <c r="K6034" s="570"/>
    </row>
    <row r="6035" ht="13.75" customHeight="1">
      <c r="A6035" s="833">
        <v>308</v>
      </c>
      <c r="B6035" t="s" s="834">
        <v>224</v>
      </c>
      <c r="C6035" t="s" s="834">
        <v>480</v>
      </c>
      <c r="D6035" s="835">
        <v>46023</v>
      </c>
      <c r="E6035" t="s" s="834">
        <v>478</v>
      </c>
      <c r="F6035" t="s" s="834">
        <v>478</v>
      </c>
      <c r="G6035" s="570"/>
      <c r="H6035" s="570"/>
      <c r="I6035" s="570"/>
      <c r="J6035" s="570"/>
      <c r="K6035" s="570"/>
    </row>
    <row r="6036" ht="13.75" customHeight="1">
      <c r="A6036" s="833">
        <v>308</v>
      </c>
      <c r="B6036" t="s" s="834">
        <v>224</v>
      </c>
      <c r="C6036" t="s" s="834">
        <v>480</v>
      </c>
      <c r="D6036" s="835">
        <v>46024</v>
      </c>
      <c r="E6036" s="836">
        <v>1.353923611111111</v>
      </c>
      <c r="F6036" s="836">
        <v>1.770601851851852</v>
      </c>
      <c r="G6036" s="570"/>
      <c r="H6036" s="570"/>
      <c r="I6036" s="570"/>
      <c r="J6036" s="570"/>
      <c r="K6036" s="570"/>
    </row>
    <row r="6037" ht="13.75" customHeight="1">
      <c r="A6037" t="s" s="834">
        <v>4083</v>
      </c>
      <c r="B6037" t="s" s="834">
        <v>4084</v>
      </c>
      <c r="C6037" t="s" s="834">
        <v>530</v>
      </c>
      <c r="D6037" s="570"/>
      <c r="E6037" s="570"/>
      <c r="F6037" s="570"/>
      <c r="G6037" s="570"/>
      <c r="H6037" s="570"/>
      <c r="I6037" s="570"/>
      <c r="J6037" s="570"/>
      <c r="K6037" s="570"/>
    </row>
    <row r="6038" ht="13.75" customHeight="1">
      <c r="A6038" s="833">
        <v>308</v>
      </c>
      <c r="B6038" t="s" s="834">
        <v>224</v>
      </c>
      <c r="C6038" t="s" s="834">
        <v>480</v>
      </c>
      <c r="D6038" s="835">
        <v>46025</v>
      </c>
      <c r="E6038" t="s" s="834">
        <v>478</v>
      </c>
      <c r="F6038" t="s" s="834">
        <v>478</v>
      </c>
      <c r="G6038" s="570"/>
      <c r="H6038" s="570"/>
      <c r="I6038" s="570"/>
      <c r="J6038" s="570"/>
      <c r="K6038" s="570"/>
    </row>
    <row r="6039" ht="13.75" customHeight="1">
      <c r="A6039" s="833">
        <v>308</v>
      </c>
      <c r="B6039" t="s" s="834">
        <v>224</v>
      </c>
      <c r="C6039" t="s" s="834">
        <v>480</v>
      </c>
      <c r="D6039" s="835">
        <v>46026</v>
      </c>
      <c r="E6039" t="s" s="834">
        <v>478</v>
      </c>
      <c r="F6039" t="s" s="834">
        <v>478</v>
      </c>
      <c r="G6039" s="570"/>
      <c r="H6039" s="570"/>
      <c r="I6039" s="570"/>
      <c r="J6039" s="570"/>
      <c r="K6039" s="570"/>
    </row>
    <row r="6040" ht="13.75" customHeight="1">
      <c r="A6040" s="833">
        <v>308</v>
      </c>
      <c r="B6040" t="s" s="834">
        <v>224</v>
      </c>
      <c r="C6040" t="s" s="834">
        <v>480</v>
      </c>
      <c r="D6040" s="835">
        <v>46027</v>
      </c>
      <c r="E6040" t="s" s="834">
        <v>478</v>
      </c>
      <c r="F6040" t="s" s="834">
        <v>478</v>
      </c>
      <c r="G6040" s="570"/>
      <c r="H6040" s="570"/>
      <c r="I6040" s="570"/>
      <c r="J6040" s="570"/>
      <c r="K6040" s="570"/>
    </row>
    <row r="6041" ht="13.75" customHeight="1">
      <c r="A6041" s="833">
        <v>308</v>
      </c>
      <c r="B6041" t="s" s="834">
        <v>224</v>
      </c>
      <c r="C6041" t="s" s="834">
        <v>480</v>
      </c>
      <c r="D6041" s="835">
        <v>46028</v>
      </c>
      <c r="E6041" s="836">
        <v>1.358043981481482</v>
      </c>
      <c r="F6041" s="836">
        <v>1.85474537037037</v>
      </c>
      <c r="G6041" s="570"/>
      <c r="H6041" s="570"/>
      <c r="I6041" s="570"/>
      <c r="J6041" s="570"/>
      <c r="K6041" s="570"/>
    </row>
    <row r="6042" ht="13.75" customHeight="1">
      <c r="A6042" t="s" s="834">
        <v>4085</v>
      </c>
      <c r="B6042" t="s" s="834">
        <v>4086</v>
      </c>
      <c r="C6042" t="s" s="834">
        <v>4087</v>
      </c>
      <c r="D6042" s="570"/>
      <c r="E6042" s="570"/>
      <c r="F6042" s="570"/>
      <c r="G6042" s="570"/>
      <c r="H6042" s="570"/>
      <c r="I6042" s="570"/>
      <c r="J6042" s="570"/>
      <c r="K6042" s="570"/>
    </row>
    <row r="6043" ht="13.75" customHeight="1">
      <c r="A6043" s="833">
        <v>308</v>
      </c>
      <c r="B6043" t="s" s="834">
        <v>224</v>
      </c>
      <c r="C6043" t="s" s="834">
        <v>480</v>
      </c>
      <c r="D6043" s="835">
        <v>46029</v>
      </c>
      <c r="E6043" t="s" s="834">
        <v>478</v>
      </c>
      <c r="F6043" t="s" s="834">
        <v>478</v>
      </c>
      <c r="G6043" s="570"/>
      <c r="H6043" s="570"/>
      <c r="I6043" s="570"/>
      <c r="J6043" s="570"/>
      <c r="K6043" s="570"/>
    </row>
    <row r="6044" ht="13.75" customHeight="1">
      <c r="A6044" s="833">
        <v>308</v>
      </c>
      <c r="B6044" t="s" s="834">
        <v>224</v>
      </c>
      <c r="C6044" t="s" s="834">
        <v>480</v>
      </c>
      <c r="D6044" s="835">
        <v>46030</v>
      </c>
      <c r="E6044" s="836">
        <v>1.36599537037037</v>
      </c>
      <c r="F6044" s="836">
        <v>1.857118055555556</v>
      </c>
      <c r="G6044" s="570"/>
      <c r="H6044" s="570"/>
      <c r="I6044" s="570"/>
      <c r="J6044" s="570"/>
      <c r="K6044" s="570"/>
    </row>
    <row r="6045" ht="13.75" customHeight="1">
      <c r="A6045" t="s" s="834">
        <v>4088</v>
      </c>
      <c r="B6045" t="s" s="834">
        <v>4089</v>
      </c>
      <c r="C6045" t="s" s="834">
        <v>1563</v>
      </c>
      <c r="D6045" s="570"/>
      <c r="E6045" s="570"/>
      <c r="F6045" s="570"/>
      <c r="G6045" s="570"/>
      <c r="H6045" s="570"/>
      <c r="I6045" s="570"/>
      <c r="J6045" s="570"/>
      <c r="K6045" s="570"/>
    </row>
    <row r="6046" ht="13.75" customHeight="1">
      <c r="A6046" s="833">
        <v>308</v>
      </c>
      <c r="B6046" t="s" s="834">
        <v>224</v>
      </c>
      <c r="C6046" t="s" s="834">
        <v>480</v>
      </c>
      <c r="D6046" s="835">
        <v>46031</v>
      </c>
      <c r="E6046" s="836">
        <v>1.353368055555556</v>
      </c>
      <c r="F6046" s="836">
        <v>1.772789351851852</v>
      </c>
      <c r="G6046" s="570"/>
      <c r="H6046" s="570"/>
      <c r="I6046" s="570"/>
      <c r="J6046" s="570"/>
      <c r="K6046" s="570"/>
    </row>
    <row r="6047" ht="13.75" customHeight="1">
      <c r="A6047" t="s" s="834">
        <v>4090</v>
      </c>
      <c r="B6047" t="s" s="834">
        <v>4091</v>
      </c>
      <c r="C6047" t="s" s="834">
        <v>1016</v>
      </c>
      <c r="D6047" s="570"/>
      <c r="E6047" s="570"/>
      <c r="F6047" s="570"/>
      <c r="G6047" s="570"/>
      <c r="H6047" s="570"/>
      <c r="I6047" s="570"/>
      <c r="J6047" s="570"/>
      <c r="K6047" s="570"/>
    </row>
    <row r="6048" ht="13.75" customHeight="1">
      <c r="A6048" s="833">
        <v>308</v>
      </c>
      <c r="B6048" t="s" s="834">
        <v>224</v>
      </c>
      <c r="C6048" t="s" s="834">
        <v>480</v>
      </c>
      <c r="D6048" s="835">
        <v>46032</v>
      </c>
      <c r="E6048" t="s" s="834">
        <v>478</v>
      </c>
      <c r="F6048" t="s" s="834">
        <v>478</v>
      </c>
      <c r="G6048" s="570"/>
      <c r="H6048" s="570"/>
      <c r="I6048" s="570"/>
      <c r="J6048" s="570"/>
      <c r="K6048" s="570"/>
    </row>
    <row r="6049" ht="13.75" customHeight="1">
      <c r="A6049" s="833">
        <v>308</v>
      </c>
      <c r="B6049" t="s" s="834">
        <v>224</v>
      </c>
      <c r="C6049" t="s" s="834">
        <v>480</v>
      </c>
      <c r="D6049" s="835">
        <v>46033</v>
      </c>
      <c r="E6049" t="s" s="834">
        <v>478</v>
      </c>
      <c r="F6049" t="s" s="834">
        <v>478</v>
      </c>
      <c r="G6049" s="570"/>
      <c r="H6049" s="570"/>
      <c r="I6049" s="570"/>
      <c r="J6049" s="570"/>
      <c r="K6049" s="570"/>
    </row>
    <row r="6050" ht="13.75" customHeight="1">
      <c r="A6050" s="833">
        <v>308</v>
      </c>
      <c r="B6050" t="s" s="834">
        <v>224</v>
      </c>
      <c r="C6050" t="s" s="834">
        <v>480</v>
      </c>
      <c r="D6050" s="835">
        <v>46034</v>
      </c>
      <c r="E6050" t="s" s="834">
        <v>478</v>
      </c>
      <c r="F6050" t="s" s="834">
        <v>478</v>
      </c>
      <c r="G6050" s="570"/>
      <c r="H6050" s="570"/>
      <c r="I6050" s="570"/>
      <c r="J6050" s="570"/>
      <c r="K6050" s="570"/>
    </row>
    <row r="6051" ht="13.75" customHeight="1">
      <c r="A6051" s="833">
        <v>308</v>
      </c>
      <c r="B6051" t="s" s="834">
        <v>224</v>
      </c>
      <c r="C6051" t="s" s="834">
        <v>480</v>
      </c>
      <c r="D6051" s="835">
        <v>46035</v>
      </c>
      <c r="E6051" s="836">
        <v>1.352777777777778</v>
      </c>
      <c r="F6051" s="836">
        <v>1.675833333333333</v>
      </c>
      <c r="G6051" s="570"/>
      <c r="H6051" s="570"/>
      <c r="I6051" s="570"/>
      <c r="J6051" s="570"/>
      <c r="K6051" s="570"/>
    </row>
    <row r="6052" ht="13.75" customHeight="1">
      <c r="A6052" t="s" s="834">
        <v>4092</v>
      </c>
      <c r="B6052" t="s" s="834">
        <v>4093</v>
      </c>
      <c r="C6052" t="s" s="834">
        <v>4094</v>
      </c>
      <c r="D6052" s="570"/>
      <c r="E6052" s="570"/>
      <c r="F6052" s="570"/>
      <c r="G6052" s="570"/>
      <c r="H6052" s="570"/>
      <c r="I6052" s="570"/>
      <c r="J6052" s="570"/>
      <c r="K6052" s="570"/>
    </row>
    <row r="6053" ht="13.75" customHeight="1">
      <c r="A6053" s="833">
        <v>308</v>
      </c>
      <c r="B6053" t="s" s="834">
        <v>224</v>
      </c>
      <c r="C6053" t="s" s="834">
        <v>480</v>
      </c>
      <c r="D6053" s="835">
        <v>46036</v>
      </c>
      <c r="E6053" t="s" s="834">
        <v>478</v>
      </c>
      <c r="F6053" t="s" s="834">
        <v>478</v>
      </c>
      <c r="G6053" s="570"/>
      <c r="H6053" s="570"/>
      <c r="I6053" s="570"/>
      <c r="J6053" s="570"/>
      <c r="K6053" s="570"/>
    </row>
    <row r="6054" ht="13.75" customHeight="1">
      <c r="A6054" s="833">
        <v>308</v>
      </c>
      <c r="B6054" t="s" s="834">
        <v>224</v>
      </c>
      <c r="C6054" t="s" s="834">
        <v>480</v>
      </c>
      <c r="D6054" s="835">
        <v>46037</v>
      </c>
      <c r="E6054" s="836">
        <v>1.35744212962963</v>
      </c>
      <c r="F6054" s="836">
        <v>1.762511574074074</v>
      </c>
      <c r="G6054" s="570"/>
      <c r="H6054" s="570"/>
      <c r="I6054" s="570"/>
      <c r="J6054" s="570"/>
      <c r="K6054" s="570"/>
    </row>
    <row r="6055" ht="13.75" customHeight="1">
      <c r="A6055" t="s" s="834">
        <v>4095</v>
      </c>
      <c r="B6055" t="s" s="834">
        <v>4096</v>
      </c>
      <c r="C6055" t="s" s="834">
        <v>582</v>
      </c>
      <c r="D6055" s="570"/>
      <c r="E6055" s="570"/>
      <c r="F6055" s="570"/>
      <c r="G6055" s="570"/>
      <c r="H6055" s="570"/>
      <c r="I6055" s="570"/>
      <c r="J6055" s="570"/>
      <c r="K6055" s="570"/>
    </row>
    <row r="6056" ht="13.75" customHeight="1">
      <c r="A6056" s="833">
        <v>308</v>
      </c>
      <c r="B6056" t="s" s="834">
        <v>224</v>
      </c>
      <c r="C6056" t="s" s="834">
        <v>480</v>
      </c>
      <c r="D6056" s="835">
        <v>46038</v>
      </c>
      <c r="E6056" s="836">
        <v>1.401203703703704</v>
      </c>
      <c r="F6056" s="836">
        <v>1.804328703703704</v>
      </c>
      <c r="G6056" s="570"/>
      <c r="H6056" s="570"/>
      <c r="I6056" s="570"/>
      <c r="J6056" s="570"/>
      <c r="K6056" s="570"/>
    </row>
    <row r="6057" ht="13.75" customHeight="1">
      <c r="A6057" t="s" s="834">
        <v>4097</v>
      </c>
      <c r="B6057" t="s" s="834">
        <v>4098</v>
      </c>
      <c r="C6057" t="s" s="834">
        <v>590</v>
      </c>
      <c r="D6057" s="570"/>
      <c r="E6057" s="570"/>
      <c r="F6057" s="570"/>
      <c r="G6057" s="570"/>
      <c r="H6057" s="570"/>
      <c r="I6057" s="570"/>
      <c r="J6057" s="570"/>
      <c r="K6057" s="570"/>
    </row>
    <row r="6058" ht="13.75" customHeight="1">
      <c r="A6058" s="833">
        <v>308</v>
      </c>
      <c r="B6058" t="s" s="834">
        <v>224</v>
      </c>
      <c r="C6058" t="s" s="834">
        <v>480</v>
      </c>
      <c r="D6058" s="835">
        <v>46039</v>
      </c>
      <c r="E6058" t="s" s="834">
        <v>478</v>
      </c>
      <c r="F6058" t="s" s="834">
        <v>478</v>
      </c>
      <c r="G6058" s="570"/>
      <c r="H6058" s="570"/>
      <c r="I6058" s="570"/>
      <c r="J6058" s="570"/>
      <c r="K6058" s="570"/>
    </row>
    <row r="6059" ht="13.75" customHeight="1">
      <c r="A6059" s="833">
        <v>308</v>
      </c>
      <c r="B6059" t="s" s="834">
        <v>224</v>
      </c>
      <c r="C6059" t="s" s="834">
        <v>480</v>
      </c>
      <c r="D6059" s="835">
        <v>46040</v>
      </c>
      <c r="E6059" t="s" s="834">
        <v>478</v>
      </c>
      <c r="F6059" t="s" s="834">
        <v>478</v>
      </c>
      <c r="G6059" s="570"/>
      <c r="H6059" s="570"/>
      <c r="I6059" s="570"/>
      <c r="J6059" s="570"/>
      <c r="K6059" s="570"/>
    </row>
    <row r="6060" ht="13.75" customHeight="1">
      <c r="A6060" s="833">
        <v>308</v>
      </c>
      <c r="B6060" t="s" s="834">
        <v>224</v>
      </c>
      <c r="C6060" t="s" s="834">
        <v>480</v>
      </c>
      <c r="D6060" s="835">
        <v>46041</v>
      </c>
      <c r="E6060" t="s" s="834">
        <v>478</v>
      </c>
      <c r="F6060" t="s" s="834">
        <v>478</v>
      </c>
      <c r="G6060" s="570"/>
      <c r="H6060" s="570"/>
      <c r="I6060" s="570"/>
      <c r="J6060" s="570"/>
      <c r="K6060" s="570"/>
    </row>
    <row r="6061" ht="13.75" customHeight="1">
      <c r="A6061" s="833">
        <v>308</v>
      </c>
      <c r="B6061" t="s" s="834">
        <v>224</v>
      </c>
      <c r="C6061" t="s" s="834">
        <v>480</v>
      </c>
      <c r="D6061" s="835">
        <v>46042</v>
      </c>
      <c r="E6061" s="836">
        <v>1.351516203703704</v>
      </c>
      <c r="F6061" s="836">
        <v>1.770902777777778</v>
      </c>
      <c r="G6061" s="570"/>
      <c r="H6061" s="570"/>
      <c r="I6061" s="570"/>
      <c r="J6061" s="570"/>
      <c r="K6061" s="570"/>
    </row>
    <row r="6062" ht="13.75" customHeight="1">
      <c r="A6062" t="s" s="834">
        <v>4099</v>
      </c>
      <c r="B6062" t="s" s="834">
        <v>4100</v>
      </c>
      <c r="C6062" t="s" s="834">
        <v>1016</v>
      </c>
      <c r="D6062" s="570"/>
      <c r="E6062" s="570"/>
      <c r="F6062" s="570"/>
      <c r="G6062" s="570"/>
      <c r="H6062" s="570"/>
      <c r="I6062" s="570"/>
      <c r="J6062" s="570"/>
      <c r="K6062" s="570"/>
    </row>
    <row r="6063" ht="13.75" customHeight="1">
      <c r="A6063" s="833">
        <v>308</v>
      </c>
      <c r="B6063" t="s" s="834">
        <v>224</v>
      </c>
      <c r="C6063" t="s" s="834">
        <v>480</v>
      </c>
      <c r="D6063" s="835">
        <v>46043</v>
      </c>
      <c r="E6063" s="836">
        <v>1.34806712962963</v>
      </c>
      <c r="F6063" s="836">
        <v>1.835231481481482</v>
      </c>
      <c r="G6063" s="570"/>
      <c r="H6063" s="570"/>
      <c r="I6063" s="570"/>
      <c r="J6063" s="570"/>
      <c r="K6063" s="570"/>
    </row>
    <row r="6064" ht="13.75" customHeight="1">
      <c r="A6064" t="s" s="834">
        <v>4101</v>
      </c>
      <c r="B6064" t="s" s="834">
        <v>4102</v>
      </c>
      <c r="C6064" t="s" s="834">
        <v>4103</v>
      </c>
      <c r="D6064" s="570"/>
      <c r="E6064" s="570"/>
      <c r="F6064" s="570"/>
      <c r="G6064" s="570"/>
      <c r="H6064" s="570"/>
      <c r="I6064" s="570"/>
      <c r="J6064" s="570"/>
      <c r="K6064" s="570"/>
    </row>
    <row r="6065" ht="13.75" customHeight="1">
      <c r="A6065" s="833">
        <v>308</v>
      </c>
      <c r="B6065" t="s" s="834">
        <v>224</v>
      </c>
      <c r="C6065" t="s" s="834">
        <v>480</v>
      </c>
      <c r="D6065" s="835">
        <v>46044</v>
      </c>
      <c r="E6065" t="s" s="834">
        <v>478</v>
      </c>
      <c r="F6065" t="s" s="834">
        <v>478</v>
      </c>
      <c r="G6065" s="570"/>
      <c r="H6065" s="570"/>
      <c r="I6065" s="570"/>
      <c r="J6065" s="570"/>
      <c r="K6065" s="570"/>
    </row>
    <row r="6066" ht="13.75" customHeight="1">
      <c r="A6066" s="833">
        <v>308</v>
      </c>
      <c r="B6066" t="s" s="834">
        <v>224</v>
      </c>
      <c r="C6066" t="s" s="834">
        <v>480</v>
      </c>
      <c r="D6066" s="835">
        <v>46045</v>
      </c>
      <c r="E6066" s="836">
        <v>1.777581018518518</v>
      </c>
      <c r="F6066" t="s" s="834">
        <v>478</v>
      </c>
      <c r="G6066" s="570"/>
      <c r="H6066" s="570"/>
      <c r="I6066" s="570"/>
      <c r="J6066" s="570"/>
      <c r="K6066" s="570"/>
    </row>
    <row r="6067" ht="13.75" customHeight="1">
      <c r="A6067" t="s" s="834">
        <v>4104</v>
      </c>
      <c r="B6067" t="s" s="834">
        <v>485</v>
      </c>
      <c r="C6067" t="s" s="834">
        <v>486</v>
      </c>
      <c r="D6067" s="570"/>
      <c r="E6067" s="570"/>
      <c r="F6067" s="570"/>
      <c r="G6067" s="570"/>
      <c r="H6067" s="570"/>
      <c r="I6067" s="570"/>
      <c r="J6067" s="570"/>
      <c r="K6067" s="570"/>
    </row>
    <row r="6068" ht="13.75" customHeight="1">
      <c r="A6068" s="833">
        <v>308</v>
      </c>
      <c r="B6068" t="s" s="834">
        <v>224</v>
      </c>
      <c r="C6068" t="s" s="834">
        <v>480</v>
      </c>
      <c r="D6068" s="835">
        <v>46046</v>
      </c>
      <c r="E6068" t="s" s="834">
        <v>478</v>
      </c>
      <c r="F6068" t="s" s="834">
        <v>478</v>
      </c>
      <c r="G6068" s="570"/>
      <c r="H6068" s="570"/>
      <c r="I6068" s="570"/>
      <c r="J6068" s="570"/>
      <c r="K6068" s="570"/>
    </row>
    <row r="6069" ht="13.75" customHeight="1">
      <c r="A6069" s="833">
        <v>308</v>
      </c>
      <c r="B6069" t="s" s="834">
        <v>224</v>
      </c>
      <c r="C6069" t="s" s="834">
        <v>480</v>
      </c>
      <c r="D6069" s="835">
        <v>46047</v>
      </c>
      <c r="E6069" t="s" s="834">
        <v>478</v>
      </c>
      <c r="F6069" t="s" s="834">
        <v>478</v>
      </c>
      <c r="G6069" s="570"/>
      <c r="H6069" s="570"/>
      <c r="I6069" s="570"/>
      <c r="J6069" s="570"/>
      <c r="K6069" s="570"/>
    </row>
    <row r="6070" ht="13.75" customHeight="1">
      <c r="A6070" s="833">
        <v>308</v>
      </c>
      <c r="B6070" t="s" s="834">
        <v>224</v>
      </c>
      <c r="C6070" t="s" s="834">
        <v>480</v>
      </c>
      <c r="D6070" s="835">
        <v>46048</v>
      </c>
      <c r="E6070" t="s" s="834">
        <v>478</v>
      </c>
      <c r="F6070" t="s" s="834">
        <v>478</v>
      </c>
      <c r="G6070" s="570"/>
      <c r="H6070" s="570"/>
      <c r="I6070" s="570"/>
      <c r="J6070" s="570"/>
      <c r="K6070" s="570"/>
    </row>
    <row r="6071" ht="13.75" customHeight="1">
      <c r="A6071" s="833">
        <v>308</v>
      </c>
      <c r="B6071" t="s" s="834">
        <v>224</v>
      </c>
      <c r="C6071" t="s" s="834">
        <v>480</v>
      </c>
      <c r="D6071" s="835">
        <v>46049</v>
      </c>
      <c r="E6071" s="836">
        <v>1.341909722222222</v>
      </c>
      <c r="F6071" s="836">
        <v>1.821956018518518</v>
      </c>
      <c r="G6071" s="570"/>
      <c r="H6071" s="570"/>
      <c r="I6071" s="570"/>
      <c r="J6071" s="570"/>
      <c r="K6071" s="570"/>
    </row>
    <row r="6072" ht="13.75" customHeight="1">
      <c r="A6072" t="s" s="834">
        <v>4105</v>
      </c>
      <c r="B6072" t="s" s="834">
        <v>4106</v>
      </c>
      <c r="C6072" t="s" s="834">
        <v>4107</v>
      </c>
      <c r="D6072" s="570"/>
      <c r="E6072" s="570"/>
      <c r="F6072" s="570"/>
      <c r="G6072" s="570"/>
      <c r="H6072" s="570"/>
      <c r="I6072" s="570"/>
      <c r="J6072" s="570"/>
      <c r="K6072" s="570"/>
    </row>
    <row r="6073" ht="13.75" customHeight="1">
      <c r="A6073" s="833">
        <v>308</v>
      </c>
      <c r="B6073" t="s" s="834">
        <v>224</v>
      </c>
      <c r="C6073" t="s" s="834">
        <v>480</v>
      </c>
      <c r="D6073" s="835">
        <v>46050</v>
      </c>
      <c r="E6073" t="s" s="834">
        <v>478</v>
      </c>
      <c r="F6073" t="s" s="834">
        <v>478</v>
      </c>
      <c r="G6073" s="570"/>
      <c r="H6073" s="570"/>
      <c r="I6073" s="570"/>
      <c r="J6073" s="570"/>
      <c r="K6073" s="570"/>
    </row>
    <row r="6074" ht="13.75" customHeight="1">
      <c r="A6074" s="833">
        <v>308</v>
      </c>
      <c r="B6074" t="s" s="834">
        <v>224</v>
      </c>
      <c r="C6074" t="s" s="834">
        <v>480</v>
      </c>
      <c r="D6074" s="835">
        <v>46051</v>
      </c>
      <c r="E6074" s="836">
        <v>1.367916666666667</v>
      </c>
      <c r="F6074" s="836">
        <v>1.8253125</v>
      </c>
      <c r="G6074" s="570"/>
      <c r="H6074" s="570"/>
      <c r="I6074" s="570"/>
      <c r="J6074" s="570"/>
      <c r="K6074" s="570"/>
    </row>
    <row r="6075" ht="13.75" customHeight="1">
      <c r="A6075" t="s" s="834">
        <v>4108</v>
      </c>
      <c r="B6075" t="s" s="834">
        <v>4109</v>
      </c>
      <c r="C6075" t="s" s="834">
        <v>4110</v>
      </c>
      <c r="D6075" s="570"/>
      <c r="E6075" s="570"/>
      <c r="F6075" s="570"/>
      <c r="G6075" s="570"/>
      <c r="H6075" s="570"/>
      <c r="I6075" s="570"/>
      <c r="J6075" s="570"/>
      <c r="K6075" s="570"/>
    </row>
    <row r="6076" ht="13.75" customHeight="1">
      <c r="A6076" s="833">
        <v>308</v>
      </c>
      <c r="B6076" t="s" s="834">
        <v>224</v>
      </c>
      <c r="C6076" t="s" s="834">
        <v>480</v>
      </c>
      <c r="D6076" s="835">
        <v>46052</v>
      </c>
      <c r="E6076" s="836">
        <v>1.355543981481481</v>
      </c>
      <c r="F6076" s="836">
        <v>1.693449074074074</v>
      </c>
      <c r="G6076" s="570"/>
      <c r="H6076" s="570"/>
      <c r="I6076" s="570"/>
      <c r="J6076" s="570"/>
      <c r="K6076" s="570"/>
    </row>
    <row r="6077" ht="13.75" customHeight="1">
      <c r="A6077" t="s" s="834">
        <v>4111</v>
      </c>
      <c r="B6077" t="s" s="834">
        <v>4112</v>
      </c>
      <c r="C6077" t="s" s="834">
        <v>4113</v>
      </c>
      <c r="D6077" s="570"/>
      <c r="E6077" s="570"/>
      <c r="F6077" s="570"/>
      <c r="G6077" s="570"/>
      <c r="H6077" s="570"/>
      <c r="I6077" s="570"/>
      <c r="J6077" s="570"/>
      <c r="K6077" s="570"/>
    </row>
    <row r="6078" ht="13.75" customHeight="1">
      <c r="A6078" s="833">
        <v>308</v>
      </c>
      <c r="B6078" t="s" s="834">
        <v>224</v>
      </c>
      <c r="C6078" t="s" s="834">
        <v>480</v>
      </c>
      <c r="D6078" s="835">
        <v>46053</v>
      </c>
      <c r="E6078" t="s" s="834">
        <v>478</v>
      </c>
      <c r="F6078" t="s" s="834">
        <v>478</v>
      </c>
      <c r="G6078" s="570"/>
      <c r="H6078" s="570"/>
      <c r="I6078" s="570"/>
      <c r="J6078" s="570"/>
      <c r="K6078" s="570"/>
    </row>
    <row r="6079" ht="13.75" customHeight="1">
      <c r="A6079" s="833">
        <v>308</v>
      </c>
      <c r="B6079" t="s" s="834">
        <v>224</v>
      </c>
      <c r="C6079" t="s" s="834">
        <v>480</v>
      </c>
      <c r="D6079" s="835">
        <v>46054</v>
      </c>
      <c r="E6079" t="s" s="834">
        <v>478</v>
      </c>
      <c r="F6079" t="s" s="834">
        <v>478</v>
      </c>
      <c r="G6079" s="570"/>
      <c r="H6079" s="570"/>
      <c r="I6079" s="570"/>
      <c r="J6079" s="570"/>
      <c r="K6079" s="570"/>
    </row>
    <row r="6080" ht="13.75" customHeight="1">
      <c r="A6080" s="833">
        <v>309</v>
      </c>
      <c r="B6080" t="s" s="834">
        <v>232</v>
      </c>
      <c r="C6080" t="s" s="834">
        <v>480</v>
      </c>
      <c r="D6080" s="835">
        <v>46023</v>
      </c>
      <c r="E6080" t="s" s="834">
        <v>478</v>
      </c>
      <c r="F6080" t="s" s="834">
        <v>478</v>
      </c>
      <c r="G6080" s="570"/>
      <c r="H6080" s="570"/>
      <c r="I6080" s="570"/>
      <c r="J6080" s="570"/>
      <c r="K6080" s="570"/>
    </row>
    <row r="6081" ht="13.75" customHeight="1">
      <c r="A6081" s="833">
        <v>309</v>
      </c>
      <c r="B6081" t="s" s="834">
        <v>232</v>
      </c>
      <c r="C6081" t="s" s="834">
        <v>480</v>
      </c>
      <c r="D6081" s="835">
        <v>46024</v>
      </c>
      <c r="E6081" s="836">
        <v>1.356469907407407</v>
      </c>
      <c r="F6081" s="836">
        <v>1.586793981481482</v>
      </c>
      <c r="G6081" s="570"/>
      <c r="H6081" s="570"/>
      <c r="I6081" s="570"/>
      <c r="J6081" s="570"/>
      <c r="K6081" s="570"/>
    </row>
    <row r="6082" ht="13.75" customHeight="1">
      <c r="A6082" t="s" s="834">
        <v>4114</v>
      </c>
      <c r="B6082" t="s" s="834">
        <v>4115</v>
      </c>
      <c r="C6082" t="s" s="834">
        <v>676</v>
      </c>
      <c r="D6082" s="570"/>
      <c r="E6082" s="570"/>
      <c r="F6082" s="570"/>
      <c r="G6082" s="570"/>
      <c r="H6082" s="570"/>
      <c r="I6082" s="570"/>
      <c r="J6082" s="570"/>
      <c r="K6082" s="570"/>
    </row>
    <row r="6083" ht="13.75" customHeight="1">
      <c r="A6083" s="833">
        <v>309</v>
      </c>
      <c r="B6083" t="s" s="834">
        <v>232</v>
      </c>
      <c r="C6083" t="s" s="834">
        <v>480</v>
      </c>
      <c r="D6083" s="835">
        <v>46025</v>
      </c>
      <c r="E6083" t="s" s="834">
        <v>478</v>
      </c>
      <c r="F6083" t="s" s="834">
        <v>478</v>
      </c>
      <c r="G6083" s="570"/>
      <c r="H6083" s="570"/>
      <c r="I6083" s="570"/>
      <c r="J6083" s="570"/>
      <c r="K6083" s="570"/>
    </row>
    <row r="6084" ht="13.75" customHeight="1">
      <c r="A6084" s="833">
        <v>309</v>
      </c>
      <c r="B6084" t="s" s="834">
        <v>232</v>
      </c>
      <c r="C6084" t="s" s="834">
        <v>480</v>
      </c>
      <c r="D6084" s="835">
        <v>46026</v>
      </c>
      <c r="E6084" t="s" s="834">
        <v>478</v>
      </c>
      <c r="F6084" t="s" s="834">
        <v>478</v>
      </c>
      <c r="G6084" s="570"/>
      <c r="H6084" s="570"/>
      <c r="I6084" s="570"/>
      <c r="J6084" s="570"/>
      <c r="K6084" s="570"/>
    </row>
    <row r="6085" ht="13.75" customHeight="1">
      <c r="A6085" s="833">
        <v>309</v>
      </c>
      <c r="B6085" t="s" s="834">
        <v>232</v>
      </c>
      <c r="C6085" t="s" s="834">
        <v>480</v>
      </c>
      <c r="D6085" s="835">
        <v>46027</v>
      </c>
      <c r="E6085" s="836">
        <v>1.381863425925926</v>
      </c>
      <c r="F6085" s="836">
        <v>1.760428240740741</v>
      </c>
      <c r="G6085" s="570"/>
      <c r="H6085" s="570"/>
      <c r="I6085" s="570"/>
      <c r="J6085" s="570"/>
      <c r="K6085" s="570"/>
    </row>
    <row r="6086" ht="13.75" customHeight="1">
      <c r="A6086" t="s" s="834">
        <v>4116</v>
      </c>
      <c r="B6086" t="s" s="834">
        <v>4117</v>
      </c>
      <c r="C6086" t="s" s="834">
        <v>562</v>
      </c>
      <c r="D6086" s="570"/>
      <c r="E6086" s="570"/>
      <c r="F6086" s="570"/>
      <c r="G6086" s="570"/>
      <c r="H6086" s="570"/>
      <c r="I6086" s="570"/>
      <c r="J6086" s="570"/>
      <c r="K6086" s="570"/>
    </row>
    <row r="6087" ht="13.75" customHeight="1">
      <c r="A6087" s="833">
        <v>309</v>
      </c>
      <c r="B6087" t="s" s="834">
        <v>232</v>
      </c>
      <c r="C6087" t="s" s="834">
        <v>480</v>
      </c>
      <c r="D6087" s="835">
        <v>46028</v>
      </c>
      <c r="E6087" s="836">
        <v>1.359074074074074</v>
      </c>
      <c r="F6087" s="836">
        <v>1.760740740740741</v>
      </c>
      <c r="G6087" s="570"/>
      <c r="H6087" s="570"/>
      <c r="I6087" s="570"/>
      <c r="J6087" s="570"/>
      <c r="K6087" s="570"/>
    </row>
    <row r="6088" ht="13.75" customHeight="1">
      <c r="A6088" t="s" s="834">
        <v>4118</v>
      </c>
      <c r="B6088" t="s" s="834">
        <v>4119</v>
      </c>
      <c r="C6088" t="s" s="834">
        <v>697</v>
      </c>
      <c r="D6088" s="570"/>
      <c r="E6088" s="570"/>
      <c r="F6088" s="570"/>
      <c r="G6088" s="570"/>
      <c r="H6088" s="570"/>
      <c r="I6088" s="570"/>
      <c r="J6088" s="570"/>
      <c r="K6088" s="570"/>
    </row>
    <row r="6089" ht="13.75" customHeight="1">
      <c r="A6089" s="833">
        <v>309</v>
      </c>
      <c r="B6089" t="s" s="834">
        <v>232</v>
      </c>
      <c r="C6089" t="s" s="834">
        <v>480</v>
      </c>
      <c r="D6089" s="835">
        <v>46029</v>
      </c>
      <c r="E6089" s="836">
        <v>1.383206018518519</v>
      </c>
      <c r="F6089" s="836">
        <v>1.758263888888889</v>
      </c>
      <c r="G6089" s="570"/>
      <c r="H6089" s="570"/>
      <c r="I6089" s="570"/>
      <c r="J6089" s="570"/>
      <c r="K6089" s="570"/>
    </row>
    <row r="6090" ht="13.75" customHeight="1">
      <c r="A6090" t="s" s="834">
        <v>4120</v>
      </c>
      <c r="B6090" t="s" s="834">
        <v>4121</v>
      </c>
      <c r="C6090" t="s" s="834">
        <v>673</v>
      </c>
      <c r="D6090" s="570"/>
      <c r="E6090" s="570"/>
      <c r="F6090" s="570"/>
      <c r="G6090" s="570"/>
      <c r="H6090" s="570"/>
      <c r="I6090" s="570"/>
      <c r="J6090" s="570"/>
      <c r="K6090" s="570"/>
    </row>
    <row r="6091" ht="13.75" customHeight="1">
      <c r="A6091" s="833">
        <v>309</v>
      </c>
      <c r="B6091" t="s" s="834">
        <v>232</v>
      </c>
      <c r="C6091" t="s" s="834">
        <v>480</v>
      </c>
      <c r="D6091" s="835">
        <v>46030</v>
      </c>
      <c r="E6091" s="836">
        <v>1.558483796296296</v>
      </c>
      <c r="F6091" s="836">
        <v>1.761203703703704</v>
      </c>
      <c r="G6091" s="570"/>
      <c r="H6091" s="570"/>
      <c r="I6091" s="570"/>
      <c r="J6091" s="570"/>
      <c r="K6091" s="570"/>
    </row>
    <row r="6092" ht="13.75" customHeight="1">
      <c r="A6092" t="s" s="834">
        <v>4122</v>
      </c>
      <c r="B6092" t="s" s="834">
        <v>4123</v>
      </c>
      <c r="C6092" t="s" s="834">
        <v>4124</v>
      </c>
      <c r="D6092" s="570"/>
      <c r="E6092" s="570"/>
      <c r="F6092" s="570"/>
      <c r="G6092" s="570"/>
      <c r="H6092" s="570"/>
      <c r="I6092" s="570"/>
      <c r="J6092" s="570"/>
      <c r="K6092" s="570"/>
    </row>
    <row r="6093" ht="13.75" customHeight="1">
      <c r="A6093" s="833">
        <v>309</v>
      </c>
      <c r="B6093" t="s" s="834">
        <v>232</v>
      </c>
      <c r="C6093" t="s" s="834">
        <v>480</v>
      </c>
      <c r="D6093" s="835">
        <v>46031</v>
      </c>
      <c r="E6093" s="836">
        <v>1.38962962962963</v>
      </c>
      <c r="F6093" s="836">
        <v>1.769351851851852</v>
      </c>
      <c r="G6093" s="570"/>
      <c r="H6093" s="570"/>
      <c r="I6093" s="570"/>
      <c r="J6093" s="570"/>
      <c r="K6093" s="570"/>
    </row>
    <row r="6094" ht="13.75" customHeight="1">
      <c r="A6094" t="s" s="834">
        <v>4125</v>
      </c>
      <c r="B6094" t="s" s="834">
        <v>4126</v>
      </c>
      <c r="C6094" t="s" s="834">
        <v>821</v>
      </c>
      <c r="D6094" s="570"/>
      <c r="E6094" s="570"/>
      <c r="F6094" s="570"/>
      <c r="G6094" s="570"/>
      <c r="H6094" s="570"/>
      <c r="I6094" s="570"/>
      <c r="J6094" s="570"/>
      <c r="K6094" s="570"/>
    </row>
    <row r="6095" ht="13.75" customHeight="1">
      <c r="A6095" s="833">
        <v>309</v>
      </c>
      <c r="B6095" t="s" s="834">
        <v>232</v>
      </c>
      <c r="C6095" t="s" s="834">
        <v>480</v>
      </c>
      <c r="D6095" s="835">
        <v>46032</v>
      </c>
      <c r="E6095" t="s" s="834">
        <v>478</v>
      </c>
      <c r="F6095" t="s" s="834">
        <v>478</v>
      </c>
      <c r="G6095" s="570"/>
      <c r="H6095" s="570"/>
      <c r="I6095" s="570"/>
      <c r="J6095" s="570"/>
      <c r="K6095" s="570"/>
    </row>
    <row r="6096" ht="13.75" customHeight="1">
      <c r="A6096" s="833">
        <v>309</v>
      </c>
      <c r="B6096" t="s" s="834">
        <v>232</v>
      </c>
      <c r="C6096" t="s" s="834">
        <v>480</v>
      </c>
      <c r="D6096" s="835">
        <v>46033</v>
      </c>
      <c r="E6096" t="s" s="834">
        <v>478</v>
      </c>
      <c r="F6096" t="s" s="834">
        <v>478</v>
      </c>
      <c r="G6096" s="570"/>
      <c r="H6096" s="570"/>
      <c r="I6096" s="570"/>
      <c r="J6096" s="570"/>
      <c r="K6096" s="570"/>
    </row>
    <row r="6097" ht="13.75" customHeight="1">
      <c r="A6097" s="833">
        <v>309</v>
      </c>
      <c r="B6097" t="s" s="834">
        <v>232</v>
      </c>
      <c r="C6097" t="s" s="834">
        <v>480</v>
      </c>
      <c r="D6097" s="835">
        <v>46034</v>
      </c>
      <c r="E6097" s="836">
        <v>1.37568287037037</v>
      </c>
      <c r="F6097" s="836">
        <v>1.762256944444444</v>
      </c>
      <c r="G6097" s="570"/>
      <c r="H6097" s="570"/>
      <c r="I6097" s="570"/>
      <c r="J6097" s="570"/>
      <c r="K6097" s="570"/>
    </row>
    <row r="6098" ht="13.75" customHeight="1">
      <c r="A6098" t="s" s="834">
        <v>4127</v>
      </c>
      <c r="B6098" t="s" s="834">
        <v>4128</v>
      </c>
      <c r="C6098" t="s" s="834">
        <v>995</v>
      </c>
      <c r="D6098" s="570"/>
      <c r="E6098" s="570"/>
      <c r="F6098" s="570"/>
      <c r="G6098" s="570"/>
      <c r="H6098" s="570"/>
      <c r="I6098" s="570"/>
      <c r="J6098" s="570"/>
      <c r="K6098" s="570"/>
    </row>
    <row r="6099" ht="13.75" customHeight="1">
      <c r="A6099" s="833">
        <v>309</v>
      </c>
      <c r="B6099" t="s" s="834">
        <v>232</v>
      </c>
      <c r="C6099" t="s" s="834">
        <v>480</v>
      </c>
      <c r="D6099" s="835">
        <v>46035</v>
      </c>
      <c r="E6099" s="836">
        <v>1.571724537037037</v>
      </c>
      <c r="F6099" t="s" s="834">
        <v>478</v>
      </c>
      <c r="G6099" s="570"/>
      <c r="H6099" s="570"/>
      <c r="I6099" s="570"/>
      <c r="J6099" s="570"/>
      <c r="K6099" s="570"/>
    </row>
    <row r="6100" ht="13.75" customHeight="1">
      <c r="A6100" t="s" s="834">
        <v>4129</v>
      </c>
      <c r="B6100" t="s" s="834">
        <v>485</v>
      </c>
      <c r="C6100" t="s" s="834">
        <v>486</v>
      </c>
      <c r="D6100" s="570"/>
      <c r="E6100" s="570"/>
      <c r="F6100" s="570"/>
      <c r="G6100" s="570"/>
      <c r="H6100" s="570"/>
      <c r="I6100" s="570"/>
      <c r="J6100" s="570"/>
      <c r="K6100" s="570"/>
    </row>
    <row r="6101" ht="13.75" customHeight="1">
      <c r="A6101" s="833">
        <v>309</v>
      </c>
      <c r="B6101" t="s" s="834">
        <v>232</v>
      </c>
      <c r="C6101" t="s" s="834">
        <v>480</v>
      </c>
      <c r="D6101" s="835">
        <v>46036</v>
      </c>
      <c r="E6101" s="836">
        <v>1.388935185185185</v>
      </c>
      <c r="F6101" s="836">
        <v>1.766701388888889</v>
      </c>
      <c r="G6101" s="570"/>
      <c r="H6101" s="570"/>
      <c r="I6101" s="570"/>
      <c r="J6101" s="570"/>
      <c r="K6101" s="570"/>
    </row>
    <row r="6102" ht="13.75" customHeight="1">
      <c r="A6102" t="s" s="834">
        <v>4130</v>
      </c>
      <c r="B6102" t="s" s="834">
        <v>4131</v>
      </c>
      <c r="C6102" t="s" s="834">
        <v>543</v>
      </c>
      <c r="D6102" s="570"/>
      <c r="E6102" s="570"/>
      <c r="F6102" s="570"/>
      <c r="G6102" s="570"/>
      <c r="H6102" s="570"/>
      <c r="I6102" s="570"/>
      <c r="J6102" s="570"/>
      <c r="K6102" s="570"/>
    </row>
    <row r="6103" ht="13.75" customHeight="1">
      <c r="A6103" s="833">
        <v>309</v>
      </c>
      <c r="B6103" t="s" s="834">
        <v>232</v>
      </c>
      <c r="C6103" t="s" s="834">
        <v>480</v>
      </c>
      <c r="D6103" s="835">
        <v>46037</v>
      </c>
      <c r="E6103" s="836">
        <v>1.375138888888889</v>
      </c>
      <c r="F6103" s="836">
        <v>1.762303240740741</v>
      </c>
      <c r="G6103" s="570"/>
      <c r="H6103" s="570"/>
      <c r="I6103" s="570"/>
      <c r="J6103" s="570"/>
      <c r="K6103" s="570"/>
    </row>
    <row r="6104" ht="13.75" customHeight="1">
      <c r="A6104" t="s" s="834">
        <v>4132</v>
      </c>
      <c r="B6104" t="s" s="834">
        <v>4133</v>
      </c>
      <c r="C6104" t="s" s="834">
        <v>640</v>
      </c>
      <c r="D6104" s="570"/>
      <c r="E6104" s="570"/>
      <c r="F6104" s="570"/>
      <c r="G6104" s="570"/>
      <c r="H6104" s="570"/>
      <c r="I6104" s="570"/>
      <c r="J6104" s="570"/>
      <c r="K6104" s="570"/>
    </row>
    <row r="6105" ht="13.75" customHeight="1">
      <c r="A6105" s="833">
        <v>309</v>
      </c>
      <c r="B6105" t="s" s="834">
        <v>232</v>
      </c>
      <c r="C6105" t="s" s="834">
        <v>480</v>
      </c>
      <c r="D6105" s="835">
        <v>46038</v>
      </c>
      <c r="E6105" s="836">
        <v>1.373819444444444</v>
      </c>
      <c r="F6105" s="836">
        <v>1.531458333333333</v>
      </c>
      <c r="G6105" s="570"/>
      <c r="H6105" s="570"/>
      <c r="I6105" s="570"/>
      <c r="J6105" s="570"/>
      <c r="K6105" s="570"/>
    </row>
    <row r="6106" ht="13.75" customHeight="1">
      <c r="A6106" t="s" s="834">
        <v>4134</v>
      </c>
      <c r="B6106" t="s" s="834">
        <v>4135</v>
      </c>
      <c r="C6106" t="s" s="834">
        <v>750</v>
      </c>
      <c r="D6106" s="570"/>
      <c r="E6106" s="570"/>
      <c r="F6106" s="570"/>
      <c r="G6106" s="570"/>
      <c r="H6106" s="570"/>
      <c r="I6106" s="570"/>
      <c r="J6106" s="570"/>
      <c r="K6106" s="570"/>
    </row>
    <row r="6107" ht="13.75" customHeight="1">
      <c r="A6107" s="833">
        <v>309</v>
      </c>
      <c r="B6107" t="s" s="834">
        <v>232</v>
      </c>
      <c r="C6107" t="s" s="834">
        <v>480</v>
      </c>
      <c r="D6107" s="835">
        <v>46039</v>
      </c>
      <c r="E6107" t="s" s="834">
        <v>478</v>
      </c>
      <c r="F6107" t="s" s="834">
        <v>478</v>
      </c>
      <c r="G6107" s="570"/>
      <c r="H6107" s="570"/>
      <c r="I6107" s="570"/>
      <c r="J6107" s="570"/>
      <c r="K6107" s="570"/>
    </row>
    <row r="6108" ht="13.75" customHeight="1">
      <c r="A6108" s="833">
        <v>309</v>
      </c>
      <c r="B6108" t="s" s="834">
        <v>232</v>
      </c>
      <c r="C6108" t="s" s="834">
        <v>480</v>
      </c>
      <c r="D6108" s="835">
        <v>46040</v>
      </c>
      <c r="E6108" t="s" s="834">
        <v>478</v>
      </c>
      <c r="F6108" t="s" s="834">
        <v>478</v>
      </c>
      <c r="G6108" s="570"/>
      <c r="H6108" s="570"/>
      <c r="I6108" s="570"/>
      <c r="J6108" s="570"/>
      <c r="K6108" s="570"/>
    </row>
    <row r="6109" ht="13.75" customHeight="1">
      <c r="A6109" s="833">
        <v>309</v>
      </c>
      <c r="B6109" t="s" s="834">
        <v>232</v>
      </c>
      <c r="C6109" t="s" s="834">
        <v>480</v>
      </c>
      <c r="D6109" s="835">
        <v>46041</v>
      </c>
      <c r="E6109" s="836">
        <v>1.383449074074074</v>
      </c>
      <c r="F6109" s="836">
        <v>1.764386574074074</v>
      </c>
      <c r="G6109" s="570"/>
      <c r="H6109" s="570"/>
      <c r="I6109" s="570"/>
      <c r="J6109" s="570"/>
      <c r="K6109" s="570"/>
    </row>
    <row r="6110" ht="13.75" customHeight="1">
      <c r="A6110" t="s" s="834">
        <v>4136</v>
      </c>
      <c r="B6110" t="s" s="834">
        <v>4137</v>
      </c>
      <c r="C6110" t="s" s="834">
        <v>843</v>
      </c>
      <c r="D6110" s="570"/>
      <c r="E6110" s="570"/>
      <c r="F6110" s="570"/>
      <c r="G6110" s="570"/>
      <c r="H6110" s="570"/>
      <c r="I6110" s="570"/>
      <c r="J6110" s="570"/>
      <c r="K6110" s="570"/>
    </row>
    <row r="6111" ht="13.75" customHeight="1">
      <c r="A6111" s="833">
        <v>309</v>
      </c>
      <c r="B6111" t="s" s="834">
        <v>232</v>
      </c>
      <c r="C6111" t="s" s="834">
        <v>480</v>
      </c>
      <c r="D6111" s="835">
        <v>46042</v>
      </c>
      <c r="E6111" s="836">
        <v>1.379375</v>
      </c>
      <c r="F6111" s="836">
        <v>1.757083333333333</v>
      </c>
      <c r="G6111" s="570"/>
      <c r="H6111" s="570"/>
      <c r="I6111" s="570"/>
      <c r="J6111" s="570"/>
      <c r="K6111" s="570"/>
    </row>
    <row r="6112" ht="13.75" customHeight="1">
      <c r="A6112" t="s" s="834">
        <v>4138</v>
      </c>
      <c r="B6112" t="s" s="834">
        <v>4139</v>
      </c>
      <c r="C6112" t="s" s="834">
        <v>543</v>
      </c>
      <c r="D6112" s="570"/>
      <c r="E6112" s="570"/>
      <c r="F6112" s="570"/>
      <c r="G6112" s="570"/>
      <c r="H6112" s="570"/>
      <c r="I6112" s="570"/>
      <c r="J6112" s="570"/>
      <c r="K6112" s="570"/>
    </row>
    <row r="6113" ht="13.75" customHeight="1">
      <c r="A6113" s="833">
        <v>309</v>
      </c>
      <c r="B6113" t="s" s="834">
        <v>232</v>
      </c>
      <c r="C6113" t="s" s="834">
        <v>480</v>
      </c>
      <c r="D6113" s="835">
        <v>46043</v>
      </c>
      <c r="E6113" s="836">
        <v>1.376145833333333</v>
      </c>
      <c r="F6113" s="836">
        <v>1.7615625</v>
      </c>
      <c r="G6113" s="570"/>
      <c r="H6113" s="570"/>
      <c r="I6113" s="570"/>
      <c r="J6113" s="570"/>
      <c r="K6113" s="570"/>
    </row>
    <row r="6114" ht="13.75" customHeight="1">
      <c r="A6114" t="s" s="834">
        <v>4140</v>
      </c>
      <c r="B6114" t="s" s="834">
        <v>4141</v>
      </c>
      <c r="C6114" t="s" s="834">
        <v>831</v>
      </c>
      <c r="D6114" s="570"/>
      <c r="E6114" s="570"/>
      <c r="F6114" s="570"/>
      <c r="G6114" s="570"/>
      <c r="H6114" s="570"/>
      <c r="I6114" s="570"/>
      <c r="J6114" s="570"/>
      <c r="K6114" s="570"/>
    </row>
    <row r="6115" ht="13.75" customHeight="1">
      <c r="A6115" s="833">
        <v>309</v>
      </c>
      <c r="B6115" t="s" s="834">
        <v>232</v>
      </c>
      <c r="C6115" t="s" s="834">
        <v>480</v>
      </c>
      <c r="D6115" s="835">
        <v>46044</v>
      </c>
      <c r="E6115" s="836">
        <v>1.379525462962963</v>
      </c>
      <c r="F6115" s="836">
        <v>1.759456018518518</v>
      </c>
      <c r="G6115" s="570"/>
      <c r="H6115" s="570"/>
      <c r="I6115" s="570"/>
      <c r="J6115" s="570"/>
      <c r="K6115" s="570"/>
    </row>
    <row r="6116" ht="13.75" customHeight="1">
      <c r="A6116" t="s" s="834">
        <v>4142</v>
      </c>
      <c r="B6116" t="s" s="834">
        <v>4143</v>
      </c>
      <c r="C6116" t="s" s="834">
        <v>821</v>
      </c>
      <c r="D6116" s="570"/>
      <c r="E6116" s="570"/>
      <c r="F6116" s="570"/>
      <c r="G6116" s="570"/>
      <c r="H6116" s="570"/>
      <c r="I6116" s="570"/>
      <c r="J6116" s="570"/>
      <c r="K6116" s="570"/>
    </row>
    <row r="6117" ht="13.75" customHeight="1">
      <c r="A6117" s="833">
        <v>309</v>
      </c>
      <c r="B6117" t="s" s="834">
        <v>232</v>
      </c>
      <c r="C6117" t="s" s="834">
        <v>480</v>
      </c>
      <c r="D6117" s="835">
        <v>46045</v>
      </c>
      <c r="E6117" t="s" s="834">
        <v>478</v>
      </c>
      <c r="F6117" t="s" s="834">
        <v>478</v>
      </c>
      <c r="G6117" s="570"/>
      <c r="H6117" s="570"/>
      <c r="I6117" s="570"/>
      <c r="J6117" s="570"/>
      <c r="K6117" s="570"/>
    </row>
    <row r="6118" ht="13.75" customHeight="1">
      <c r="A6118" s="833">
        <v>309</v>
      </c>
      <c r="B6118" t="s" s="834">
        <v>232</v>
      </c>
      <c r="C6118" t="s" s="834">
        <v>480</v>
      </c>
      <c r="D6118" s="835">
        <v>46046</v>
      </c>
      <c r="E6118" t="s" s="834">
        <v>478</v>
      </c>
      <c r="F6118" t="s" s="834">
        <v>478</v>
      </c>
      <c r="G6118" s="570"/>
      <c r="H6118" s="570"/>
      <c r="I6118" s="570"/>
      <c r="J6118" s="570"/>
      <c r="K6118" s="570"/>
    </row>
    <row r="6119" ht="13.75" customHeight="1">
      <c r="A6119" s="833">
        <v>309</v>
      </c>
      <c r="B6119" t="s" s="834">
        <v>232</v>
      </c>
      <c r="C6119" t="s" s="834">
        <v>480</v>
      </c>
      <c r="D6119" s="835">
        <v>46047</v>
      </c>
      <c r="E6119" t="s" s="834">
        <v>478</v>
      </c>
      <c r="F6119" t="s" s="834">
        <v>478</v>
      </c>
      <c r="G6119" s="570"/>
      <c r="H6119" s="570"/>
      <c r="I6119" s="570"/>
      <c r="J6119" s="570"/>
      <c r="K6119" s="570"/>
    </row>
    <row r="6120" ht="13.75" customHeight="1">
      <c r="A6120" s="833">
        <v>309</v>
      </c>
      <c r="B6120" t="s" s="834">
        <v>232</v>
      </c>
      <c r="C6120" t="s" s="834">
        <v>480</v>
      </c>
      <c r="D6120" s="835">
        <v>46048</v>
      </c>
      <c r="E6120" s="836">
        <v>1.38068287037037</v>
      </c>
      <c r="F6120" s="836">
        <v>1.763645833333333</v>
      </c>
      <c r="G6120" s="570"/>
      <c r="H6120" s="570"/>
      <c r="I6120" s="570"/>
      <c r="J6120" s="570"/>
      <c r="K6120" s="570"/>
    </row>
    <row r="6121" ht="13.75" customHeight="1">
      <c r="A6121" t="s" s="834">
        <v>4144</v>
      </c>
      <c r="B6121" t="s" s="834">
        <v>4145</v>
      </c>
      <c r="C6121" t="s" s="834">
        <v>540</v>
      </c>
      <c r="D6121" s="570"/>
      <c r="E6121" s="570"/>
      <c r="F6121" s="570"/>
      <c r="G6121" s="570"/>
      <c r="H6121" s="570"/>
      <c r="I6121" s="570"/>
      <c r="J6121" s="570"/>
      <c r="K6121" s="570"/>
    </row>
    <row r="6122" ht="13.75" customHeight="1">
      <c r="A6122" s="833">
        <v>309</v>
      </c>
      <c r="B6122" t="s" s="834">
        <v>232</v>
      </c>
      <c r="C6122" t="s" s="834">
        <v>480</v>
      </c>
      <c r="D6122" s="835">
        <v>46049</v>
      </c>
      <c r="E6122" s="836">
        <v>1.3853125</v>
      </c>
      <c r="F6122" s="836">
        <v>1.7609375</v>
      </c>
      <c r="G6122" s="570"/>
      <c r="H6122" s="570"/>
      <c r="I6122" s="570"/>
      <c r="J6122" s="570"/>
      <c r="K6122" s="570"/>
    </row>
    <row r="6123" ht="13.75" customHeight="1">
      <c r="A6123" t="s" s="834">
        <v>4146</v>
      </c>
      <c r="B6123" t="s" s="834">
        <v>4147</v>
      </c>
      <c r="C6123" t="s" s="834">
        <v>556</v>
      </c>
      <c r="D6123" s="570"/>
      <c r="E6123" s="570"/>
      <c r="F6123" s="570"/>
      <c r="G6123" s="570"/>
      <c r="H6123" s="570"/>
      <c r="I6123" s="570"/>
      <c r="J6123" s="570"/>
      <c r="K6123" s="570"/>
    </row>
    <row r="6124" ht="13.75" customHeight="1">
      <c r="A6124" s="833">
        <v>309</v>
      </c>
      <c r="B6124" t="s" s="834">
        <v>232</v>
      </c>
      <c r="C6124" t="s" s="834">
        <v>480</v>
      </c>
      <c r="D6124" s="835">
        <v>46050</v>
      </c>
      <c r="E6124" s="836">
        <v>1.387094907407407</v>
      </c>
      <c r="F6124" s="836">
        <v>1.757650462962963</v>
      </c>
      <c r="G6124" s="570"/>
      <c r="H6124" s="570"/>
      <c r="I6124" s="570"/>
      <c r="J6124" s="570"/>
      <c r="K6124" s="570"/>
    </row>
    <row r="6125" ht="13.75" customHeight="1">
      <c r="A6125" t="s" s="834">
        <v>4148</v>
      </c>
      <c r="B6125" t="s" s="834">
        <v>4149</v>
      </c>
      <c r="C6125" t="s" s="834">
        <v>826</v>
      </c>
      <c r="D6125" s="570"/>
      <c r="E6125" s="570"/>
      <c r="F6125" s="570"/>
      <c r="G6125" s="570"/>
      <c r="H6125" s="570"/>
      <c r="I6125" s="570"/>
      <c r="J6125" s="570"/>
      <c r="K6125" s="570"/>
    </row>
    <row r="6126" ht="13.75" customHeight="1">
      <c r="A6126" s="833">
        <v>309</v>
      </c>
      <c r="B6126" t="s" s="834">
        <v>232</v>
      </c>
      <c r="C6126" t="s" s="834">
        <v>480</v>
      </c>
      <c r="D6126" s="835">
        <v>46051</v>
      </c>
      <c r="E6126" s="836">
        <v>1.3925</v>
      </c>
      <c r="F6126" s="836">
        <v>1.759664351851852</v>
      </c>
      <c r="G6126" s="570"/>
      <c r="H6126" s="570"/>
      <c r="I6126" s="570"/>
      <c r="J6126" s="570"/>
      <c r="K6126" s="570"/>
    </row>
    <row r="6127" ht="13.75" customHeight="1">
      <c r="A6127" t="s" s="834">
        <v>4150</v>
      </c>
      <c r="B6127" t="s" s="834">
        <v>4151</v>
      </c>
      <c r="C6127" t="s" s="834">
        <v>1264</v>
      </c>
      <c r="D6127" s="570"/>
      <c r="E6127" s="570"/>
      <c r="F6127" s="570"/>
      <c r="G6127" s="570"/>
      <c r="H6127" s="570"/>
      <c r="I6127" s="570"/>
      <c r="J6127" s="570"/>
      <c r="K6127" s="570"/>
    </row>
    <row r="6128" ht="13.75" customHeight="1">
      <c r="A6128" s="833">
        <v>309</v>
      </c>
      <c r="B6128" t="s" s="834">
        <v>232</v>
      </c>
      <c r="C6128" t="s" s="834">
        <v>480</v>
      </c>
      <c r="D6128" s="835">
        <v>46052</v>
      </c>
      <c r="E6128" s="836">
        <v>1.387361111111111</v>
      </c>
      <c r="F6128" s="836">
        <v>1.71119212962963</v>
      </c>
      <c r="G6128" s="570"/>
      <c r="H6128" s="570"/>
      <c r="I6128" s="570"/>
      <c r="J6128" s="570"/>
      <c r="K6128" s="570"/>
    </row>
    <row r="6129" ht="13.75" customHeight="1">
      <c r="A6129" t="s" s="834">
        <v>4152</v>
      </c>
      <c r="B6129" t="s" s="834">
        <v>4153</v>
      </c>
      <c r="C6129" t="s" s="834">
        <v>4154</v>
      </c>
      <c r="D6129" s="570"/>
      <c r="E6129" s="570"/>
      <c r="F6129" s="570"/>
      <c r="G6129" s="570"/>
      <c r="H6129" s="570"/>
      <c r="I6129" s="570"/>
      <c r="J6129" s="570"/>
      <c r="K6129" s="570"/>
    </row>
    <row r="6130" ht="13.75" customHeight="1">
      <c r="A6130" s="833">
        <v>309</v>
      </c>
      <c r="B6130" t="s" s="834">
        <v>232</v>
      </c>
      <c r="C6130" t="s" s="834">
        <v>480</v>
      </c>
      <c r="D6130" s="835">
        <v>46053</v>
      </c>
      <c r="E6130" t="s" s="834">
        <v>478</v>
      </c>
      <c r="F6130" t="s" s="834">
        <v>478</v>
      </c>
      <c r="G6130" s="570"/>
      <c r="H6130" s="570"/>
      <c r="I6130" s="570"/>
      <c r="J6130" s="570"/>
      <c r="K6130" s="570"/>
    </row>
    <row r="6131" ht="13.75" customHeight="1">
      <c r="A6131" s="833">
        <v>309</v>
      </c>
      <c r="B6131" t="s" s="834">
        <v>232</v>
      </c>
      <c r="C6131" t="s" s="834">
        <v>480</v>
      </c>
      <c r="D6131" s="835">
        <v>46054</v>
      </c>
      <c r="E6131" t="s" s="834">
        <v>478</v>
      </c>
      <c r="F6131" t="s" s="834">
        <v>478</v>
      </c>
      <c r="G6131" s="570"/>
      <c r="H6131" s="570"/>
      <c r="I6131" s="570"/>
      <c r="J6131" s="570"/>
      <c r="K6131" s="570"/>
    </row>
    <row r="6132" ht="13.75" customHeight="1">
      <c r="A6132" t="s" s="834">
        <v>4155</v>
      </c>
      <c r="B6132" t="s" s="834">
        <v>485</v>
      </c>
      <c r="C6132" t="s" s="834">
        <v>486</v>
      </c>
      <c r="D6132" s="570"/>
      <c r="E6132" s="570"/>
      <c r="F6132" s="570"/>
      <c r="G6132" s="570"/>
      <c r="H6132" s="570"/>
      <c r="I6132" s="570"/>
      <c r="J6132" s="570"/>
      <c r="K6132" s="570"/>
    </row>
    <row r="6133" ht="13.75" customHeight="1">
      <c r="A6133" t="s" s="838">
        <v>4156</v>
      </c>
      <c r="B6133" t="s" s="838">
        <v>485</v>
      </c>
      <c r="C6133" t="s" s="838">
        <v>486</v>
      </c>
      <c r="D6133" s="839"/>
      <c r="E6133" s="839"/>
      <c r="F6133" s="839"/>
      <c r="G6133" s="839"/>
      <c r="H6133" s="839"/>
      <c r="I6133" s="839"/>
      <c r="J6133" s="570"/>
      <c r="K6133" s="570"/>
    </row>
    <row r="6134" ht="13.75" customHeight="1">
      <c r="A6134" s="840">
        <v>311</v>
      </c>
      <c r="B6134" t="s" s="841">
        <v>142</v>
      </c>
      <c r="C6134" t="s" s="841">
        <v>480</v>
      </c>
      <c r="D6134" s="842">
        <v>46023</v>
      </c>
      <c r="E6134" t="s" s="841">
        <v>478</v>
      </c>
      <c r="F6134" t="s" s="841">
        <v>478</v>
      </c>
      <c r="G6134" t="s" s="844">
        <v>1710</v>
      </c>
      <c r="H6134" t="s" s="844">
        <v>4157</v>
      </c>
      <c r="I6134" t="s" s="844">
        <v>1710</v>
      </c>
      <c r="J6134" t="s" s="864">
        <v>4157</v>
      </c>
      <c r="K6134" s="570"/>
    </row>
    <row r="6135" ht="13.75" customHeight="1">
      <c r="A6135" s="840">
        <v>311</v>
      </c>
      <c r="B6135" t="s" s="841">
        <v>142</v>
      </c>
      <c r="C6135" t="s" s="841">
        <v>480</v>
      </c>
      <c r="D6135" s="842">
        <v>46024</v>
      </c>
      <c r="E6135" s="843">
        <v>1.771712962962963</v>
      </c>
      <c r="F6135" t="s" s="841">
        <v>478</v>
      </c>
      <c r="G6135" t="s" s="844">
        <v>1710</v>
      </c>
      <c r="H6135" t="s" s="844">
        <v>4158</v>
      </c>
      <c r="I6135" s="845"/>
      <c r="J6135" s="858"/>
      <c r="K6135" s="570"/>
    </row>
    <row r="6136" ht="13.75" customHeight="1">
      <c r="A6136" t="s" s="847">
        <v>4159</v>
      </c>
      <c r="B6136" t="s" s="847">
        <v>485</v>
      </c>
      <c r="C6136" t="s" s="847">
        <v>486</v>
      </c>
      <c r="D6136" s="848"/>
      <c r="E6136" s="848"/>
      <c r="F6136" s="848"/>
      <c r="G6136" s="848"/>
      <c r="H6136" s="848"/>
      <c r="I6136" s="848"/>
      <c r="J6136" s="570"/>
      <c r="K6136" s="570"/>
    </row>
    <row r="6137" ht="13.75" customHeight="1">
      <c r="A6137" s="840">
        <v>311</v>
      </c>
      <c r="B6137" t="s" s="841">
        <v>142</v>
      </c>
      <c r="C6137" t="s" s="841">
        <v>480</v>
      </c>
      <c r="D6137" s="842">
        <v>46025</v>
      </c>
      <c r="E6137" t="s" s="841">
        <v>478</v>
      </c>
      <c r="F6137" t="s" s="841">
        <v>478</v>
      </c>
      <c r="G6137" t="s" s="844">
        <v>1710</v>
      </c>
      <c r="H6137" t="s" s="844">
        <v>4160</v>
      </c>
      <c r="I6137" t="s" s="844">
        <v>1710</v>
      </c>
      <c r="J6137" t="s" s="864">
        <v>4160</v>
      </c>
      <c r="K6137" s="570"/>
    </row>
    <row r="6138" ht="13.75" customHeight="1">
      <c r="A6138" s="840">
        <v>311</v>
      </c>
      <c r="B6138" t="s" s="841">
        <v>142</v>
      </c>
      <c r="C6138" t="s" s="841">
        <v>480</v>
      </c>
      <c r="D6138" s="842">
        <v>46026</v>
      </c>
      <c r="E6138" t="s" s="841">
        <v>478</v>
      </c>
      <c r="F6138" t="s" s="841">
        <v>478</v>
      </c>
      <c r="G6138" t="s" s="844">
        <v>1710</v>
      </c>
      <c r="H6138" t="s" s="844">
        <v>4160</v>
      </c>
      <c r="I6138" t="s" s="844">
        <v>1710</v>
      </c>
      <c r="J6138" t="s" s="864">
        <v>4160</v>
      </c>
      <c r="K6138" s="570"/>
    </row>
    <row r="6139" ht="13.75" customHeight="1">
      <c r="A6139" s="840">
        <v>311</v>
      </c>
      <c r="B6139" t="s" s="841">
        <v>142</v>
      </c>
      <c r="C6139" t="s" s="841">
        <v>480</v>
      </c>
      <c r="D6139" s="842">
        <v>46027</v>
      </c>
      <c r="E6139" s="843">
        <v>1.347175925925926</v>
      </c>
      <c r="F6139" s="843">
        <v>1.765243055555556</v>
      </c>
      <c r="G6139" s="845"/>
      <c r="H6139" s="845"/>
      <c r="I6139" s="845"/>
      <c r="J6139" s="858"/>
      <c r="K6139" s="570"/>
    </row>
    <row r="6140" ht="13.75" customHeight="1">
      <c r="A6140" t="s" s="847">
        <v>4161</v>
      </c>
      <c r="B6140" t="s" s="847">
        <v>4162</v>
      </c>
      <c r="C6140" t="s" s="847">
        <v>1033</v>
      </c>
      <c r="D6140" s="848"/>
      <c r="E6140" s="848"/>
      <c r="F6140" s="848"/>
      <c r="G6140" s="848"/>
      <c r="H6140" s="848"/>
      <c r="I6140" s="848"/>
      <c r="J6140" s="570"/>
      <c r="K6140" s="570"/>
    </row>
    <row r="6141" ht="13.75" customHeight="1">
      <c r="A6141" s="840">
        <v>311</v>
      </c>
      <c r="B6141" t="s" s="841">
        <v>142</v>
      </c>
      <c r="C6141" t="s" s="841">
        <v>480</v>
      </c>
      <c r="D6141" s="842">
        <v>46028</v>
      </c>
      <c r="E6141" s="843">
        <v>1.349664351851852</v>
      </c>
      <c r="F6141" s="843">
        <v>1.759861111111111</v>
      </c>
      <c r="G6141" s="845"/>
      <c r="H6141" s="845"/>
      <c r="I6141" s="845"/>
      <c r="J6141" s="858"/>
      <c r="K6141" s="570"/>
    </row>
    <row r="6142" ht="13.75" customHeight="1">
      <c r="A6142" t="s" s="847">
        <v>4163</v>
      </c>
      <c r="B6142" t="s" s="847">
        <v>4164</v>
      </c>
      <c r="C6142" t="s" s="847">
        <v>1252</v>
      </c>
      <c r="D6142" s="848"/>
      <c r="E6142" s="848"/>
      <c r="F6142" s="848"/>
      <c r="G6142" s="848"/>
      <c r="H6142" s="848"/>
      <c r="I6142" s="848"/>
      <c r="J6142" s="570"/>
      <c r="K6142" s="570"/>
    </row>
    <row r="6143" ht="13.75" customHeight="1">
      <c r="A6143" s="840">
        <v>311</v>
      </c>
      <c r="B6143" t="s" s="841">
        <v>142</v>
      </c>
      <c r="C6143" t="s" s="841">
        <v>480</v>
      </c>
      <c r="D6143" s="842">
        <v>46029</v>
      </c>
      <c r="E6143" s="843">
        <v>1.348310185185185</v>
      </c>
      <c r="F6143" s="843">
        <v>1.760763888888889</v>
      </c>
      <c r="G6143" s="845"/>
      <c r="H6143" s="845"/>
      <c r="I6143" s="845"/>
      <c r="J6143" s="858"/>
      <c r="K6143" s="570"/>
    </row>
    <row r="6144" ht="13.75" customHeight="1">
      <c r="A6144" t="s" s="847">
        <v>4165</v>
      </c>
      <c r="B6144" t="s" s="847">
        <v>4166</v>
      </c>
      <c r="C6144" t="s" s="847">
        <v>1059</v>
      </c>
      <c r="D6144" s="848"/>
      <c r="E6144" s="848"/>
      <c r="F6144" s="848"/>
      <c r="G6144" s="848"/>
      <c r="H6144" s="848"/>
      <c r="I6144" s="848"/>
      <c r="J6144" s="570"/>
      <c r="K6144" s="570"/>
    </row>
    <row r="6145" ht="13.75" customHeight="1">
      <c r="A6145" s="840">
        <v>311</v>
      </c>
      <c r="B6145" t="s" s="841">
        <v>142</v>
      </c>
      <c r="C6145" t="s" s="841">
        <v>480</v>
      </c>
      <c r="D6145" s="842">
        <v>46030</v>
      </c>
      <c r="E6145" s="843">
        <v>1.354050925925926</v>
      </c>
      <c r="F6145" s="843">
        <v>1.765393518518519</v>
      </c>
      <c r="G6145" s="845"/>
      <c r="H6145" s="845"/>
      <c r="I6145" s="845"/>
      <c r="J6145" s="858"/>
      <c r="K6145" s="570"/>
    </row>
    <row r="6146" ht="13.75" customHeight="1">
      <c r="A6146" t="s" s="847">
        <v>4167</v>
      </c>
      <c r="B6146" t="s" s="847">
        <v>4168</v>
      </c>
      <c r="C6146" t="s" s="847">
        <v>850</v>
      </c>
      <c r="D6146" s="848"/>
      <c r="E6146" s="848"/>
      <c r="F6146" s="848"/>
      <c r="G6146" s="848"/>
      <c r="H6146" s="848"/>
      <c r="I6146" s="848"/>
      <c r="J6146" s="570"/>
      <c r="K6146" s="570"/>
    </row>
    <row r="6147" ht="13.75" customHeight="1">
      <c r="A6147" s="840">
        <v>311</v>
      </c>
      <c r="B6147" t="s" s="841">
        <v>142</v>
      </c>
      <c r="C6147" t="s" s="841">
        <v>480</v>
      </c>
      <c r="D6147" s="842">
        <v>46031</v>
      </c>
      <c r="E6147" s="843">
        <v>1.350729166666667</v>
      </c>
      <c r="F6147" s="843">
        <v>1.768842592592593</v>
      </c>
      <c r="G6147" s="845"/>
      <c r="H6147" s="845"/>
      <c r="I6147" s="845"/>
      <c r="J6147" s="858"/>
      <c r="K6147" s="570"/>
    </row>
    <row r="6148" ht="13.75" customHeight="1">
      <c r="A6148" t="s" s="847">
        <v>4169</v>
      </c>
      <c r="B6148" t="s" s="847">
        <v>4170</v>
      </c>
      <c r="C6148" t="s" s="847">
        <v>1033</v>
      </c>
      <c r="D6148" s="848"/>
      <c r="E6148" s="848"/>
      <c r="F6148" s="848"/>
      <c r="G6148" s="848"/>
      <c r="H6148" s="848"/>
      <c r="I6148" s="848"/>
      <c r="J6148" s="570"/>
      <c r="K6148" s="570"/>
    </row>
    <row r="6149" ht="13.75" customHeight="1">
      <c r="A6149" s="840">
        <v>311</v>
      </c>
      <c r="B6149" t="s" s="841">
        <v>142</v>
      </c>
      <c r="C6149" t="s" s="841">
        <v>480</v>
      </c>
      <c r="D6149" s="842">
        <v>46032</v>
      </c>
      <c r="E6149" t="s" s="841">
        <v>478</v>
      </c>
      <c r="F6149" t="s" s="841">
        <v>478</v>
      </c>
      <c r="G6149" t="s" s="844">
        <v>1710</v>
      </c>
      <c r="H6149" t="s" s="844">
        <v>4160</v>
      </c>
      <c r="I6149" t="s" s="844">
        <v>1710</v>
      </c>
      <c r="J6149" t="s" s="864">
        <v>4160</v>
      </c>
      <c r="K6149" s="570"/>
    </row>
    <row r="6150" ht="13.75" customHeight="1">
      <c r="A6150" s="840">
        <v>311</v>
      </c>
      <c r="B6150" t="s" s="841">
        <v>142</v>
      </c>
      <c r="C6150" t="s" s="841">
        <v>480</v>
      </c>
      <c r="D6150" s="842">
        <v>46033</v>
      </c>
      <c r="E6150" t="s" s="841">
        <v>478</v>
      </c>
      <c r="F6150" t="s" s="841">
        <v>478</v>
      </c>
      <c r="G6150" t="s" s="844">
        <v>1710</v>
      </c>
      <c r="H6150" t="s" s="844">
        <v>4160</v>
      </c>
      <c r="I6150" t="s" s="844">
        <v>1710</v>
      </c>
      <c r="J6150" t="s" s="864">
        <v>4160</v>
      </c>
      <c r="K6150" s="570"/>
    </row>
    <row r="6151" ht="13.75" customHeight="1">
      <c r="A6151" s="840">
        <v>311</v>
      </c>
      <c r="B6151" t="s" s="841">
        <v>142</v>
      </c>
      <c r="C6151" t="s" s="841">
        <v>480</v>
      </c>
      <c r="D6151" s="842">
        <v>46034</v>
      </c>
      <c r="E6151" s="843">
        <v>1.348981481481482</v>
      </c>
      <c r="F6151" s="843">
        <v>1.761087962962963</v>
      </c>
      <c r="G6151" s="845"/>
      <c r="H6151" s="845"/>
      <c r="I6151" s="845"/>
      <c r="J6151" s="858"/>
      <c r="K6151" s="570"/>
    </row>
    <row r="6152" ht="13.75" customHeight="1">
      <c r="A6152" t="s" s="847">
        <v>4171</v>
      </c>
      <c r="B6152" t="s" s="847">
        <v>4172</v>
      </c>
      <c r="C6152" t="s" s="847">
        <v>597</v>
      </c>
      <c r="D6152" s="848"/>
      <c r="E6152" s="848"/>
      <c r="F6152" s="848"/>
      <c r="G6152" s="848"/>
      <c r="H6152" s="848"/>
      <c r="I6152" s="848"/>
      <c r="J6152" s="839"/>
      <c r="K6152" s="570"/>
    </row>
    <row r="6153" ht="13.75" customHeight="1">
      <c r="A6153" s="840">
        <v>311</v>
      </c>
      <c r="B6153" t="s" s="841">
        <v>142</v>
      </c>
      <c r="C6153" t="s" s="841">
        <v>480</v>
      </c>
      <c r="D6153" s="842">
        <v>46035</v>
      </c>
      <c r="E6153" s="843">
        <v>1.353831018518519</v>
      </c>
      <c r="F6153" t="s" s="841">
        <v>478</v>
      </c>
      <c r="G6153" s="845"/>
      <c r="H6153" s="845"/>
      <c r="I6153" t="s" s="844">
        <v>1710</v>
      </c>
      <c r="J6153" t="s" s="844">
        <v>4173</v>
      </c>
      <c r="K6153" s="858"/>
    </row>
    <row r="6154" ht="13.75" customHeight="1">
      <c r="A6154" t="s" s="847">
        <v>4174</v>
      </c>
      <c r="B6154" t="s" s="847">
        <v>485</v>
      </c>
      <c r="C6154" t="s" s="847">
        <v>486</v>
      </c>
      <c r="D6154" s="848"/>
      <c r="E6154" s="848"/>
      <c r="F6154" s="848"/>
      <c r="G6154" s="848"/>
      <c r="H6154" s="848"/>
      <c r="I6154" s="848"/>
      <c r="J6154" s="633"/>
      <c r="K6154" s="570"/>
    </row>
    <row r="6155" ht="13.75" customHeight="1">
      <c r="A6155" s="840">
        <v>311</v>
      </c>
      <c r="B6155" t="s" s="841">
        <v>142</v>
      </c>
      <c r="C6155" t="s" s="841">
        <v>480</v>
      </c>
      <c r="D6155" s="842">
        <v>46036</v>
      </c>
      <c r="E6155" s="843">
        <v>1.360115740740741</v>
      </c>
      <c r="F6155" s="843">
        <v>1.764479166666667</v>
      </c>
      <c r="G6155" t="s" s="844">
        <v>1710</v>
      </c>
      <c r="H6155" t="s" s="844">
        <v>4175</v>
      </c>
      <c r="I6155" s="845"/>
      <c r="J6155" s="858"/>
      <c r="K6155" s="570"/>
    </row>
    <row r="6156" ht="13.75" customHeight="1">
      <c r="A6156" t="s" s="847">
        <v>4176</v>
      </c>
      <c r="B6156" t="s" s="847">
        <v>4177</v>
      </c>
      <c r="C6156" t="s" s="847">
        <v>493</v>
      </c>
      <c r="D6156" s="848"/>
      <c r="E6156" s="848"/>
      <c r="F6156" s="848"/>
      <c r="G6156" s="848"/>
      <c r="H6156" s="848"/>
      <c r="I6156" s="848"/>
      <c r="J6156" s="570"/>
      <c r="K6156" s="570"/>
    </row>
    <row r="6157" ht="13.75" customHeight="1">
      <c r="A6157" s="840">
        <v>311</v>
      </c>
      <c r="B6157" t="s" s="841">
        <v>142</v>
      </c>
      <c r="C6157" t="s" s="841">
        <v>480</v>
      </c>
      <c r="D6157" s="842">
        <v>46037</v>
      </c>
      <c r="E6157" s="843">
        <v>1.350763888888889</v>
      </c>
      <c r="F6157" s="843">
        <v>1.762627314814815</v>
      </c>
      <c r="G6157" s="845"/>
      <c r="H6157" s="845"/>
      <c r="I6157" s="845"/>
      <c r="J6157" s="858"/>
      <c r="K6157" s="570"/>
    </row>
    <row r="6158" ht="13.75" customHeight="1">
      <c r="A6158" t="s" s="847">
        <v>4178</v>
      </c>
      <c r="B6158" t="s" s="847">
        <v>4179</v>
      </c>
      <c r="C6158" t="s" s="847">
        <v>597</v>
      </c>
      <c r="D6158" s="848"/>
      <c r="E6158" s="848"/>
      <c r="F6158" s="848"/>
      <c r="G6158" s="848"/>
      <c r="H6158" s="848"/>
      <c r="I6158" s="848"/>
      <c r="J6158" s="570"/>
      <c r="K6158" s="570"/>
    </row>
    <row r="6159" ht="13.75" customHeight="1">
      <c r="A6159" s="840">
        <v>311</v>
      </c>
      <c r="B6159" t="s" s="841">
        <v>142</v>
      </c>
      <c r="C6159" t="s" s="841">
        <v>480</v>
      </c>
      <c r="D6159" s="842">
        <v>46038</v>
      </c>
      <c r="E6159" s="843">
        <v>1.352650462962963</v>
      </c>
      <c r="F6159" s="843">
        <v>1.763657407407407</v>
      </c>
      <c r="G6159" s="845"/>
      <c r="H6159" s="845"/>
      <c r="I6159" s="845"/>
      <c r="J6159" s="858"/>
      <c r="K6159" s="570"/>
    </row>
    <row r="6160" ht="13.75" customHeight="1">
      <c r="A6160" t="s" s="847">
        <v>4180</v>
      </c>
      <c r="B6160" t="s" s="847">
        <v>4181</v>
      </c>
      <c r="C6160" t="s" s="847">
        <v>850</v>
      </c>
      <c r="D6160" s="848"/>
      <c r="E6160" s="848"/>
      <c r="F6160" s="848"/>
      <c r="G6160" s="848"/>
      <c r="H6160" s="848"/>
      <c r="I6160" s="848"/>
      <c r="J6160" s="570"/>
      <c r="K6160" s="570"/>
    </row>
    <row r="6161" ht="13.75" customHeight="1">
      <c r="A6161" s="840">
        <v>311</v>
      </c>
      <c r="B6161" t="s" s="841">
        <v>142</v>
      </c>
      <c r="C6161" t="s" s="841">
        <v>480</v>
      </c>
      <c r="D6161" s="842">
        <v>46039</v>
      </c>
      <c r="E6161" t="s" s="841">
        <v>478</v>
      </c>
      <c r="F6161" t="s" s="841">
        <v>478</v>
      </c>
      <c r="G6161" t="s" s="844">
        <v>1710</v>
      </c>
      <c r="H6161" t="s" s="844">
        <v>4160</v>
      </c>
      <c r="I6161" t="s" s="844">
        <v>1710</v>
      </c>
      <c r="J6161" t="s" s="864">
        <v>4160</v>
      </c>
      <c r="K6161" s="570"/>
    </row>
    <row r="6162" ht="13.75" customHeight="1">
      <c r="A6162" s="840">
        <v>311</v>
      </c>
      <c r="B6162" t="s" s="841">
        <v>142</v>
      </c>
      <c r="C6162" t="s" s="841">
        <v>480</v>
      </c>
      <c r="D6162" s="842">
        <v>46040</v>
      </c>
      <c r="E6162" t="s" s="841">
        <v>478</v>
      </c>
      <c r="F6162" t="s" s="841">
        <v>478</v>
      </c>
      <c r="G6162" t="s" s="844">
        <v>1710</v>
      </c>
      <c r="H6162" t="s" s="844">
        <v>4160</v>
      </c>
      <c r="I6162" t="s" s="844">
        <v>1710</v>
      </c>
      <c r="J6162" t="s" s="864">
        <v>4160</v>
      </c>
      <c r="K6162" s="570"/>
    </row>
    <row r="6163" ht="13.75" customHeight="1">
      <c r="A6163" s="840">
        <v>311</v>
      </c>
      <c r="B6163" t="s" s="841">
        <v>142</v>
      </c>
      <c r="C6163" t="s" s="841">
        <v>480</v>
      </c>
      <c r="D6163" s="842">
        <v>46041</v>
      </c>
      <c r="E6163" s="843">
        <v>1.397581018518518</v>
      </c>
      <c r="F6163" s="843">
        <v>1.760081018518519</v>
      </c>
      <c r="G6163" t="s" s="844">
        <v>1710</v>
      </c>
      <c r="H6163" t="s" s="844">
        <v>4175</v>
      </c>
      <c r="I6163" s="845"/>
      <c r="J6163" s="858"/>
      <c r="K6163" s="570"/>
    </row>
    <row r="6164" ht="13.75" customHeight="1">
      <c r="A6164" t="s" s="847">
        <v>4182</v>
      </c>
      <c r="B6164" t="s" s="847">
        <v>4183</v>
      </c>
      <c r="C6164" t="s" s="847">
        <v>4184</v>
      </c>
      <c r="D6164" s="848"/>
      <c r="E6164" s="848"/>
      <c r="F6164" s="848"/>
      <c r="G6164" s="848"/>
      <c r="H6164" s="848"/>
      <c r="I6164" s="848"/>
      <c r="J6164" s="570"/>
      <c r="K6164" s="570"/>
    </row>
    <row r="6165" ht="13.75" customHeight="1">
      <c r="A6165" s="840">
        <v>311</v>
      </c>
      <c r="B6165" t="s" s="841">
        <v>142</v>
      </c>
      <c r="C6165" t="s" s="841">
        <v>480</v>
      </c>
      <c r="D6165" s="842">
        <v>46042</v>
      </c>
      <c r="E6165" s="843">
        <v>1.360520833333333</v>
      </c>
      <c r="F6165" s="843">
        <v>1.767037037037037</v>
      </c>
      <c r="G6165" t="s" s="844">
        <v>1710</v>
      </c>
      <c r="H6165" t="s" s="844">
        <v>4175</v>
      </c>
      <c r="I6165" s="845"/>
      <c r="J6165" s="858"/>
      <c r="K6165" s="570"/>
    </row>
    <row r="6166" ht="13.75" customHeight="1">
      <c r="A6166" t="s" s="847">
        <v>4185</v>
      </c>
      <c r="B6166" t="s" s="847">
        <v>4186</v>
      </c>
      <c r="C6166" t="s" s="847">
        <v>603</v>
      </c>
      <c r="D6166" s="848"/>
      <c r="E6166" s="848"/>
      <c r="F6166" s="848"/>
      <c r="G6166" s="848"/>
      <c r="H6166" s="848"/>
      <c r="I6166" s="848"/>
      <c r="J6166" s="570"/>
      <c r="K6166" s="570"/>
    </row>
    <row r="6167" ht="13.75" customHeight="1">
      <c r="A6167" s="840">
        <v>311</v>
      </c>
      <c r="B6167" t="s" s="841">
        <v>142</v>
      </c>
      <c r="C6167" t="s" s="841">
        <v>480</v>
      </c>
      <c r="D6167" s="842">
        <v>46043</v>
      </c>
      <c r="E6167" s="843">
        <v>1.355671296296296</v>
      </c>
      <c r="F6167" s="843">
        <v>1.763310185185185</v>
      </c>
      <c r="G6167" t="s" s="844">
        <v>1710</v>
      </c>
      <c r="H6167" t="s" s="844">
        <v>4187</v>
      </c>
      <c r="I6167" s="845"/>
      <c r="J6167" s="858"/>
      <c r="K6167" s="570"/>
    </row>
    <row r="6168" ht="13.75" customHeight="1">
      <c r="A6168" t="s" s="847">
        <v>4188</v>
      </c>
      <c r="B6168" t="s" s="847">
        <v>4189</v>
      </c>
      <c r="C6168" t="s" s="847">
        <v>882</v>
      </c>
      <c r="D6168" s="848"/>
      <c r="E6168" s="848"/>
      <c r="F6168" s="848"/>
      <c r="G6168" s="848"/>
      <c r="H6168" s="848"/>
      <c r="I6168" s="848"/>
      <c r="J6168" s="570"/>
      <c r="K6168" s="570"/>
    </row>
    <row r="6169" ht="13.75" customHeight="1">
      <c r="A6169" s="840">
        <v>311</v>
      </c>
      <c r="B6169" t="s" s="841">
        <v>142</v>
      </c>
      <c r="C6169" t="s" s="841">
        <v>480</v>
      </c>
      <c r="D6169" s="842">
        <v>46044</v>
      </c>
      <c r="E6169" s="843">
        <v>1.355671296296296</v>
      </c>
      <c r="F6169" s="843">
        <v>1.766319444444445</v>
      </c>
      <c r="G6169" t="s" s="844">
        <v>1710</v>
      </c>
      <c r="H6169" t="s" s="844">
        <v>4187</v>
      </c>
      <c r="I6169" s="845"/>
      <c r="J6169" s="858"/>
      <c r="K6169" s="570"/>
    </row>
    <row r="6170" ht="13.75" customHeight="1">
      <c r="A6170" t="s" s="847">
        <v>4190</v>
      </c>
      <c r="B6170" t="s" s="847">
        <v>4191</v>
      </c>
      <c r="C6170" t="s" s="847">
        <v>1252</v>
      </c>
      <c r="D6170" s="848"/>
      <c r="E6170" s="848"/>
      <c r="F6170" s="848"/>
      <c r="G6170" s="848"/>
      <c r="H6170" s="848"/>
      <c r="I6170" s="848"/>
      <c r="J6170" s="570"/>
      <c r="K6170" s="570"/>
    </row>
    <row r="6171" ht="13.75" customHeight="1">
      <c r="A6171" s="840">
        <v>311</v>
      </c>
      <c r="B6171" t="s" s="841">
        <v>142</v>
      </c>
      <c r="C6171" t="s" s="841">
        <v>480</v>
      </c>
      <c r="D6171" s="842">
        <v>46045</v>
      </c>
      <c r="E6171" s="843">
        <v>1.508113425925926</v>
      </c>
      <c r="F6171" s="843">
        <v>1.767349537037037</v>
      </c>
      <c r="G6171" t="s" s="844">
        <v>1710</v>
      </c>
      <c r="H6171" t="s" s="844">
        <v>4192</v>
      </c>
      <c r="I6171" s="845"/>
      <c r="J6171" s="858"/>
      <c r="K6171" s="570"/>
    </row>
    <row r="6172" ht="13.75" customHeight="1">
      <c r="A6172" t="s" s="847">
        <v>4193</v>
      </c>
      <c r="B6172" t="s" s="847">
        <v>4194</v>
      </c>
      <c r="C6172" t="s" s="847">
        <v>4195</v>
      </c>
      <c r="D6172" s="848"/>
      <c r="E6172" s="848"/>
      <c r="F6172" s="848"/>
      <c r="G6172" s="848"/>
      <c r="H6172" s="848"/>
      <c r="I6172" s="848"/>
      <c r="J6172" s="570"/>
      <c r="K6172" s="570"/>
    </row>
    <row r="6173" ht="13.75" customHeight="1">
      <c r="A6173" s="840">
        <v>311</v>
      </c>
      <c r="B6173" t="s" s="841">
        <v>142</v>
      </c>
      <c r="C6173" t="s" s="841">
        <v>480</v>
      </c>
      <c r="D6173" s="842">
        <v>46046</v>
      </c>
      <c r="E6173" t="s" s="841">
        <v>478</v>
      </c>
      <c r="F6173" t="s" s="841">
        <v>478</v>
      </c>
      <c r="G6173" t="s" s="844">
        <v>1710</v>
      </c>
      <c r="H6173" t="s" s="844">
        <v>4160</v>
      </c>
      <c r="I6173" t="s" s="844">
        <v>1710</v>
      </c>
      <c r="J6173" t="s" s="864">
        <v>4160</v>
      </c>
      <c r="K6173" s="570"/>
    </row>
    <row r="6174" ht="13.75" customHeight="1">
      <c r="A6174" s="840">
        <v>311</v>
      </c>
      <c r="B6174" t="s" s="841">
        <v>142</v>
      </c>
      <c r="C6174" t="s" s="841">
        <v>480</v>
      </c>
      <c r="D6174" s="842">
        <v>46047</v>
      </c>
      <c r="E6174" t="s" s="841">
        <v>478</v>
      </c>
      <c r="F6174" t="s" s="841">
        <v>478</v>
      </c>
      <c r="G6174" t="s" s="844">
        <v>1710</v>
      </c>
      <c r="H6174" t="s" s="844">
        <v>4160</v>
      </c>
      <c r="I6174" t="s" s="844">
        <v>1710</v>
      </c>
      <c r="J6174" t="s" s="864">
        <v>4160</v>
      </c>
      <c r="K6174" s="570"/>
    </row>
    <row r="6175" ht="13.75" customHeight="1">
      <c r="A6175" s="865">
        <v>311</v>
      </c>
      <c r="B6175" t="s" s="849">
        <v>142</v>
      </c>
      <c r="C6175" t="s" s="849">
        <v>480</v>
      </c>
      <c r="D6175" s="866">
        <v>46048</v>
      </c>
      <c r="E6175" s="867">
        <v>1.353356481481482</v>
      </c>
      <c r="F6175" s="867">
        <v>1.760671296296296</v>
      </c>
      <c r="G6175" s="633"/>
      <c r="H6175" s="633"/>
      <c r="I6175" s="633"/>
      <c r="J6175" s="570"/>
      <c r="K6175" s="570"/>
    </row>
    <row r="6176" ht="13.75" customHeight="1">
      <c r="A6176" t="s" s="834">
        <v>4196</v>
      </c>
      <c r="B6176" t="s" s="834">
        <v>4197</v>
      </c>
      <c r="C6176" t="s" s="834">
        <v>882</v>
      </c>
      <c r="D6176" s="570"/>
      <c r="E6176" s="570"/>
      <c r="F6176" s="570"/>
      <c r="G6176" s="570"/>
      <c r="H6176" s="570"/>
      <c r="I6176" s="570"/>
      <c r="J6176" s="570"/>
      <c r="K6176" s="570"/>
    </row>
    <row r="6177" ht="13.75" customHeight="1">
      <c r="A6177" s="833">
        <v>311</v>
      </c>
      <c r="B6177" t="s" s="834">
        <v>142</v>
      </c>
      <c r="C6177" t="s" s="834">
        <v>480</v>
      </c>
      <c r="D6177" s="835">
        <v>46049</v>
      </c>
      <c r="E6177" s="836">
        <v>1.349016203703704</v>
      </c>
      <c r="F6177" s="836">
        <v>1.769699074074074</v>
      </c>
      <c r="G6177" s="570"/>
      <c r="H6177" s="570"/>
      <c r="I6177" s="570"/>
      <c r="J6177" s="570"/>
      <c r="K6177" s="570"/>
    </row>
    <row r="6178" ht="13.75" customHeight="1">
      <c r="A6178" t="s" s="834">
        <v>4198</v>
      </c>
      <c r="B6178" t="s" s="834">
        <v>4199</v>
      </c>
      <c r="C6178" t="s" s="834">
        <v>1116</v>
      </c>
      <c r="D6178" s="570"/>
      <c r="E6178" s="570"/>
      <c r="F6178" s="570"/>
      <c r="G6178" s="570"/>
      <c r="H6178" s="570"/>
      <c r="I6178" s="570"/>
      <c r="J6178" s="570"/>
      <c r="K6178" s="570"/>
    </row>
    <row r="6179" ht="13.75" customHeight="1">
      <c r="A6179" s="833">
        <v>311</v>
      </c>
      <c r="B6179" t="s" s="834">
        <v>142</v>
      </c>
      <c r="C6179" t="s" s="834">
        <v>480</v>
      </c>
      <c r="D6179" s="835">
        <v>46050</v>
      </c>
      <c r="E6179" s="836">
        <v>1.354166666666667</v>
      </c>
      <c r="F6179" s="836">
        <v>1.760381944444444</v>
      </c>
      <c r="G6179" s="570"/>
      <c r="H6179" s="570"/>
      <c r="I6179" s="570"/>
      <c r="J6179" s="570"/>
      <c r="K6179" s="570"/>
    </row>
    <row r="6180" ht="13.75" customHeight="1">
      <c r="A6180" t="s" s="834">
        <v>4200</v>
      </c>
      <c r="B6180" t="s" s="834">
        <v>4201</v>
      </c>
      <c r="C6180" t="s" s="834">
        <v>603</v>
      </c>
      <c r="D6180" s="570"/>
      <c r="E6180" s="570"/>
      <c r="F6180" s="570"/>
      <c r="G6180" s="570"/>
      <c r="H6180" s="570"/>
      <c r="I6180" s="570"/>
      <c r="J6180" s="570"/>
      <c r="K6180" s="570"/>
    </row>
    <row r="6181" ht="13.75" customHeight="1">
      <c r="A6181" s="833">
        <v>311</v>
      </c>
      <c r="B6181" t="s" s="834">
        <v>142</v>
      </c>
      <c r="C6181" t="s" s="834">
        <v>480</v>
      </c>
      <c r="D6181" s="835">
        <v>46051</v>
      </c>
      <c r="E6181" s="836">
        <v>1.354016203703704</v>
      </c>
      <c r="F6181" s="836">
        <v>1.759375</v>
      </c>
      <c r="G6181" s="570"/>
      <c r="H6181" s="570"/>
      <c r="I6181" s="570"/>
      <c r="J6181" s="570"/>
      <c r="K6181" s="570"/>
    </row>
    <row r="6182" ht="13.75" customHeight="1">
      <c r="A6182" t="s" s="834">
        <v>4202</v>
      </c>
      <c r="B6182" t="s" s="834">
        <v>4203</v>
      </c>
      <c r="C6182" t="s" s="834">
        <v>1601</v>
      </c>
      <c r="D6182" s="570"/>
      <c r="E6182" s="570"/>
      <c r="F6182" s="570"/>
      <c r="G6182" s="570"/>
      <c r="H6182" s="570"/>
      <c r="I6182" s="570"/>
      <c r="J6182" s="570"/>
      <c r="K6182" s="570"/>
    </row>
    <row r="6183" ht="13.75" customHeight="1">
      <c r="A6183" s="833">
        <v>311</v>
      </c>
      <c r="B6183" t="s" s="834">
        <v>142</v>
      </c>
      <c r="C6183" t="s" s="834">
        <v>480</v>
      </c>
      <c r="D6183" s="835">
        <v>46052</v>
      </c>
      <c r="E6183" t="s" s="834">
        <v>478</v>
      </c>
      <c r="F6183" t="s" s="834">
        <v>478</v>
      </c>
      <c r="G6183" t="s" s="837">
        <v>1710</v>
      </c>
      <c r="H6183" t="s" s="837">
        <v>591</v>
      </c>
      <c r="I6183" t="s" s="837">
        <v>1710</v>
      </c>
      <c r="J6183" t="s" s="837">
        <v>591</v>
      </c>
      <c r="K6183" s="570"/>
    </row>
    <row r="6184" ht="13.75" customHeight="1">
      <c r="A6184" s="833">
        <v>311</v>
      </c>
      <c r="B6184" t="s" s="834">
        <v>142</v>
      </c>
      <c r="C6184" t="s" s="834">
        <v>480</v>
      </c>
      <c r="D6184" s="835">
        <v>46053</v>
      </c>
      <c r="E6184" t="s" s="834">
        <v>478</v>
      </c>
      <c r="F6184" t="s" s="834">
        <v>478</v>
      </c>
      <c r="G6184" t="s" s="837">
        <v>1710</v>
      </c>
      <c r="H6184" t="s" s="837">
        <v>4160</v>
      </c>
      <c r="I6184" t="s" s="837">
        <v>1710</v>
      </c>
      <c r="J6184" t="s" s="837">
        <v>4160</v>
      </c>
      <c r="K6184" s="570"/>
    </row>
    <row r="6185" ht="13.75" customHeight="1">
      <c r="A6185" s="833">
        <v>312</v>
      </c>
      <c r="B6185" t="s" s="834">
        <v>247</v>
      </c>
      <c r="C6185" t="s" s="834">
        <v>480</v>
      </c>
      <c r="D6185" s="835">
        <v>46023</v>
      </c>
      <c r="E6185" t="s" s="834">
        <v>478</v>
      </c>
      <c r="F6185" t="s" s="834">
        <v>478</v>
      </c>
      <c r="G6185" s="570"/>
      <c r="H6185" s="570"/>
      <c r="I6185" s="570"/>
      <c r="J6185" s="570"/>
      <c r="K6185" s="570"/>
    </row>
    <row r="6186" ht="13.75" customHeight="1">
      <c r="A6186" s="833">
        <v>312</v>
      </c>
      <c r="B6186" t="s" s="834">
        <v>247</v>
      </c>
      <c r="C6186" t="s" s="834">
        <v>480</v>
      </c>
      <c r="D6186" s="835">
        <v>46024</v>
      </c>
      <c r="E6186" t="s" s="834">
        <v>478</v>
      </c>
      <c r="F6186" t="s" s="834">
        <v>478</v>
      </c>
      <c r="G6186" s="570"/>
      <c r="H6186" s="570"/>
      <c r="I6186" s="570"/>
      <c r="J6186" s="570"/>
      <c r="K6186" s="570"/>
    </row>
    <row r="6187" ht="13.75" customHeight="1">
      <c r="A6187" s="833">
        <v>312</v>
      </c>
      <c r="B6187" t="s" s="834">
        <v>247</v>
      </c>
      <c r="C6187" t="s" s="834">
        <v>480</v>
      </c>
      <c r="D6187" s="835">
        <v>46025</v>
      </c>
      <c r="E6187" t="s" s="834">
        <v>478</v>
      </c>
      <c r="F6187" t="s" s="834">
        <v>478</v>
      </c>
      <c r="G6187" s="570"/>
      <c r="H6187" s="570"/>
      <c r="I6187" s="570"/>
      <c r="J6187" s="570"/>
      <c r="K6187" s="570"/>
    </row>
    <row r="6188" ht="13.75" customHeight="1">
      <c r="A6188" s="833">
        <v>312</v>
      </c>
      <c r="B6188" t="s" s="834">
        <v>247</v>
      </c>
      <c r="C6188" t="s" s="834">
        <v>480</v>
      </c>
      <c r="D6188" s="835">
        <v>46026</v>
      </c>
      <c r="E6188" t="s" s="834">
        <v>478</v>
      </c>
      <c r="F6188" t="s" s="834">
        <v>478</v>
      </c>
      <c r="G6188" s="570"/>
      <c r="H6188" s="570"/>
      <c r="I6188" s="570"/>
      <c r="J6188" s="570"/>
      <c r="K6188" s="570"/>
    </row>
    <row r="6189" ht="13.75" customHeight="1">
      <c r="A6189" s="833">
        <v>312</v>
      </c>
      <c r="B6189" t="s" s="834">
        <v>247</v>
      </c>
      <c r="C6189" t="s" s="834">
        <v>480</v>
      </c>
      <c r="D6189" s="835">
        <v>46027</v>
      </c>
      <c r="E6189" t="s" s="834">
        <v>478</v>
      </c>
      <c r="F6189" t="s" s="834">
        <v>478</v>
      </c>
      <c r="G6189" s="570"/>
      <c r="H6189" s="570"/>
      <c r="I6189" s="570"/>
      <c r="J6189" s="570"/>
      <c r="K6189" s="570"/>
    </row>
    <row r="6190" ht="13.75" customHeight="1">
      <c r="A6190" s="833">
        <v>312</v>
      </c>
      <c r="B6190" t="s" s="834">
        <v>247</v>
      </c>
      <c r="C6190" t="s" s="834">
        <v>480</v>
      </c>
      <c r="D6190" s="835">
        <v>46028</v>
      </c>
      <c r="E6190" t="s" s="834">
        <v>478</v>
      </c>
      <c r="F6190" t="s" s="834">
        <v>478</v>
      </c>
      <c r="G6190" s="570"/>
      <c r="H6190" s="570"/>
      <c r="I6190" s="570"/>
      <c r="J6190" s="570"/>
      <c r="K6190" s="570"/>
    </row>
    <row r="6191" ht="13.75" customHeight="1">
      <c r="A6191" s="833">
        <v>312</v>
      </c>
      <c r="B6191" t="s" s="834">
        <v>247</v>
      </c>
      <c r="C6191" t="s" s="834">
        <v>480</v>
      </c>
      <c r="D6191" s="835">
        <v>46029</v>
      </c>
      <c r="E6191" t="s" s="834">
        <v>478</v>
      </c>
      <c r="F6191" t="s" s="834">
        <v>478</v>
      </c>
      <c r="G6191" s="570"/>
      <c r="H6191" s="570"/>
      <c r="I6191" s="570"/>
      <c r="J6191" s="570"/>
      <c r="K6191" s="570"/>
    </row>
    <row r="6192" ht="13.75" customHeight="1">
      <c r="A6192" s="833">
        <v>312</v>
      </c>
      <c r="B6192" t="s" s="834">
        <v>247</v>
      </c>
      <c r="C6192" t="s" s="834">
        <v>480</v>
      </c>
      <c r="D6192" s="835">
        <v>46030</v>
      </c>
      <c r="E6192" t="s" s="834">
        <v>478</v>
      </c>
      <c r="F6192" t="s" s="834">
        <v>478</v>
      </c>
      <c r="G6192" s="570"/>
      <c r="H6192" s="570"/>
      <c r="I6192" s="570"/>
      <c r="J6192" s="570"/>
      <c r="K6192" s="570"/>
    </row>
    <row r="6193" ht="13.75" customHeight="1">
      <c r="A6193" s="833">
        <v>312</v>
      </c>
      <c r="B6193" t="s" s="834">
        <v>247</v>
      </c>
      <c r="C6193" t="s" s="834">
        <v>480</v>
      </c>
      <c r="D6193" s="835">
        <v>46031</v>
      </c>
      <c r="E6193" t="s" s="834">
        <v>478</v>
      </c>
      <c r="F6193" t="s" s="834">
        <v>478</v>
      </c>
      <c r="G6193" s="570"/>
      <c r="H6193" s="570"/>
      <c r="I6193" s="570"/>
      <c r="J6193" s="570"/>
      <c r="K6193" s="570"/>
    </row>
    <row r="6194" ht="13.75" customHeight="1">
      <c r="A6194" s="833">
        <v>312</v>
      </c>
      <c r="B6194" t="s" s="834">
        <v>247</v>
      </c>
      <c r="C6194" t="s" s="834">
        <v>480</v>
      </c>
      <c r="D6194" s="835">
        <v>46032</v>
      </c>
      <c r="E6194" t="s" s="834">
        <v>478</v>
      </c>
      <c r="F6194" t="s" s="834">
        <v>478</v>
      </c>
      <c r="G6194" s="570"/>
      <c r="H6194" s="570"/>
      <c r="I6194" s="570"/>
      <c r="J6194" s="570"/>
      <c r="K6194" s="570"/>
    </row>
    <row r="6195" ht="13.75" customHeight="1">
      <c r="A6195" s="833">
        <v>312</v>
      </c>
      <c r="B6195" t="s" s="834">
        <v>247</v>
      </c>
      <c r="C6195" t="s" s="834">
        <v>480</v>
      </c>
      <c r="D6195" s="835">
        <v>46033</v>
      </c>
      <c r="E6195" t="s" s="834">
        <v>478</v>
      </c>
      <c r="F6195" t="s" s="834">
        <v>478</v>
      </c>
      <c r="G6195" s="570"/>
      <c r="H6195" s="570"/>
      <c r="I6195" s="570"/>
      <c r="J6195" s="570"/>
      <c r="K6195" s="570"/>
    </row>
    <row r="6196" ht="13.75" customHeight="1">
      <c r="A6196" s="833">
        <v>312</v>
      </c>
      <c r="B6196" t="s" s="834">
        <v>247</v>
      </c>
      <c r="C6196" t="s" s="834">
        <v>480</v>
      </c>
      <c r="D6196" s="835">
        <v>46034</v>
      </c>
      <c r="E6196" t="s" s="834">
        <v>478</v>
      </c>
      <c r="F6196" t="s" s="834">
        <v>478</v>
      </c>
      <c r="G6196" s="570"/>
      <c r="H6196" s="570"/>
      <c r="I6196" s="570"/>
      <c r="J6196" s="570"/>
      <c r="K6196" s="570"/>
    </row>
    <row r="6197" ht="13.75" customHeight="1">
      <c r="A6197" s="833">
        <v>312</v>
      </c>
      <c r="B6197" t="s" s="834">
        <v>247</v>
      </c>
      <c r="C6197" t="s" s="834">
        <v>480</v>
      </c>
      <c r="D6197" s="835">
        <v>46035</v>
      </c>
      <c r="E6197" t="s" s="834">
        <v>478</v>
      </c>
      <c r="F6197" t="s" s="834">
        <v>478</v>
      </c>
      <c r="G6197" s="570"/>
      <c r="H6197" s="570"/>
      <c r="I6197" s="570"/>
      <c r="J6197" s="570"/>
      <c r="K6197" s="570"/>
    </row>
    <row r="6198" ht="13.75" customHeight="1">
      <c r="A6198" s="833">
        <v>312</v>
      </c>
      <c r="B6198" t="s" s="834">
        <v>247</v>
      </c>
      <c r="C6198" t="s" s="834">
        <v>480</v>
      </c>
      <c r="D6198" s="835">
        <v>46036</v>
      </c>
      <c r="E6198" t="s" s="834">
        <v>478</v>
      </c>
      <c r="F6198" t="s" s="834">
        <v>478</v>
      </c>
      <c r="G6198" s="570"/>
      <c r="H6198" s="570"/>
      <c r="I6198" s="570"/>
      <c r="J6198" s="570"/>
      <c r="K6198" s="570"/>
    </row>
    <row r="6199" ht="13.75" customHeight="1">
      <c r="A6199" s="833">
        <v>312</v>
      </c>
      <c r="B6199" t="s" s="834">
        <v>247</v>
      </c>
      <c r="C6199" t="s" s="834">
        <v>480</v>
      </c>
      <c r="D6199" s="835">
        <v>46037</v>
      </c>
      <c r="E6199" t="s" s="834">
        <v>478</v>
      </c>
      <c r="F6199" t="s" s="834">
        <v>478</v>
      </c>
      <c r="G6199" s="570"/>
      <c r="H6199" s="570"/>
      <c r="I6199" s="570"/>
      <c r="J6199" s="570"/>
      <c r="K6199" s="570"/>
    </row>
    <row r="6200" ht="13.75" customHeight="1">
      <c r="A6200" s="833">
        <v>312</v>
      </c>
      <c r="B6200" t="s" s="834">
        <v>247</v>
      </c>
      <c r="C6200" t="s" s="834">
        <v>480</v>
      </c>
      <c r="D6200" s="835">
        <v>46038</v>
      </c>
      <c r="E6200" t="s" s="834">
        <v>478</v>
      </c>
      <c r="F6200" t="s" s="834">
        <v>478</v>
      </c>
      <c r="G6200" s="570"/>
      <c r="H6200" s="570"/>
      <c r="I6200" s="570"/>
      <c r="J6200" s="570"/>
      <c r="K6200" s="570"/>
    </row>
    <row r="6201" ht="13.75" customHeight="1">
      <c r="A6201" s="833">
        <v>312</v>
      </c>
      <c r="B6201" t="s" s="834">
        <v>247</v>
      </c>
      <c r="C6201" t="s" s="834">
        <v>480</v>
      </c>
      <c r="D6201" s="835">
        <v>46039</v>
      </c>
      <c r="E6201" t="s" s="834">
        <v>478</v>
      </c>
      <c r="F6201" t="s" s="834">
        <v>478</v>
      </c>
      <c r="G6201" s="570"/>
      <c r="H6201" s="570"/>
      <c r="I6201" s="570"/>
      <c r="J6201" s="570"/>
      <c r="K6201" s="570"/>
    </row>
    <row r="6202" ht="13.75" customHeight="1">
      <c r="A6202" s="833">
        <v>312</v>
      </c>
      <c r="B6202" t="s" s="834">
        <v>247</v>
      </c>
      <c r="C6202" t="s" s="834">
        <v>480</v>
      </c>
      <c r="D6202" s="835">
        <v>46040</v>
      </c>
      <c r="E6202" t="s" s="834">
        <v>478</v>
      </c>
      <c r="F6202" t="s" s="834">
        <v>478</v>
      </c>
      <c r="G6202" s="570"/>
      <c r="H6202" s="570"/>
      <c r="I6202" s="570"/>
      <c r="J6202" s="570"/>
      <c r="K6202" s="570"/>
    </row>
    <row r="6203" ht="13.75" customHeight="1">
      <c r="A6203" s="833">
        <v>312</v>
      </c>
      <c r="B6203" t="s" s="834">
        <v>247</v>
      </c>
      <c r="C6203" t="s" s="834">
        <v>480</v>
      </c>
      <c r="D6203" s="835">
        <v>46041</v>
      </c>
      <c r="E6203" t="s" s="834">
        <v>478</v>
      </c>
      <c r="F6203" t="s" s="834">
        <v>478</v>
      </c>
      <c r="G6203" s="570"/>
      <c r="H6203" s="570"/>
      <c r="I6203" s="570"/>
      <c r="J6203" s="570"/>
      <c r="K6203" s="570"/>
    </row>
    <row r="6204" ht="13.75" customHeight="1">
      <c r="A6204" s="833">
        <v>312</v>
      </c>
      <c r="B6204" t="s" s="834">
        <v>247</v>
      </c>
      <c r="C6204" t="s" s="834">
        <v>480</v>
      </c>
      <c r="D6204" s="835">
        <v>46042</v>
      </c>
      <c r="E6204" t="s" s="834">
        <v>478</v>
      </c>
      <c r="F6204" t="s" s="834">
        <v>478</v>
      </c>
      <c r="G6204" s="570"/>
      <c r="H6204" s="570"/>
      <c r="I6204" s="570"/>
      <c r="J6204" s="570"/>
      <c r="K6204" s="570"/>
    </row>
    <row r="6205" ht="13.75" customHeight="1">
      <c r="A6205" s="833">
        <v>312</v>
      </c>
      <c r="B6205" t="s" s="834">
        <v>247</v>
      </c>
      <c r="C6205" t="s" s="834">
        <v>480</v>
      </c>
      <c r="D6205" s="835">
        <v>46043</v>
      </c>
      <c r="E6205" t="s" s="834">
        <v>478</v>
      </c>
      <c r="F6205" t="s" s="834">
        <v>478</v>
      </c>
      <c r="G6205" s="570"/>
      <c r="H6205" s="570"/>
      <c r="I6205" s="570"/>
      <c r="J6205" s="570"/>
      <c r="K6205" s="570"/>
    </row>
    <row r="6206" ht="13.75" customHeight="1">
      <c r="A6206" s="833">
        <v>312</v>
      </c>
      <c r="B6206" t="s" s="834">
        <v>247</v>
      </c>
      <c r="C6206" t="s" s="834">
        <v>480</v>
      </c>
      <c r="D6206" s="835">
        <v>46044</v>
      </c>
      <c r="E6206" t="s" s="834">
        <v>478</v>
      </c>
      <c r="F6206" t="s" s="834">
        <v>478</v>
      </c>
      <c r="G6206" s="570"/>
      <c r="H6206" s="570"/>
      <c r="I6206" s="570"/>
      <c r="J6206" s="570"/>
      <c r="K6206" s="570"/>
    </row>
    <row r="6207" ht="13.75" customHeight="1">
      <c r="A6207" s="833">
        <v>312</v>
      </c>
      <c r="B6207" t="s" s="834">
        <v>247</v>
      </c>
      <c r="C6207" t="s" s="834">
        <v>480</v>
      </c>
      <c r="D6207" s="835">
        <v>46045</v>
      </c>
      <c r="E6207" t="s" s="834">
        <v>478</v>
      </c>
      <c r="F6207" t="s" s="834">
        <v>478</v>
      </c>
      <c r="G6207" s="570"/>
      <c r="H6207" s="570"/>
      <c r="I6207" s="570"/>
      <c r="J6207" s="570"/>
      <c r="K6207" s="570"/>
    </row>
    <row r="6208" ht="13.75" customHeight="1">
      <c r="A6208" s="833">
        <v>312</v>
      </c>
      <c r="B6208" t="s" s="834">
        <v>247</v>
      </c>
      <c r="C6208" t="s" s="834">
        <v>480</v>
      </c>
      <c r="D6208" s="835">
        <v>46046</v>
      </c>
      <c r="E6208" t="s" s="834">
        <v>478</v>
      </c>
      <c r="F6208" t="s" s="834">
        <v>478</v>
      </c>
      <c r="G6208" s="570"/>
      <c r="H6208" s="570"/>
      <c r="I6208" s="570"/>
      <c r="J6208" s="570"/>
      <c r="K6208" s="570"/>
    </row>
    <row r="6209" ht="13.75" customHeight="1">
      <c r="A6209" s="833">
        <v>312</v>
      </c>
      <c r="B6209" t="s" s="834">
        <v>247</v>
      </c>
      <c r="C6209" t="s" s="834">
        <v>480</v>
      </c>
      <c r="D6209" s="835">
        <v>46047</v>
      </c>
      <c r="E6209" t="s" s="834">
        <v>478</v>
      </c>
      <c r="F6209" t="s" s="834">
        <v>478</v>
      </c>
      <c r="G6209" s="570"/>
      <c r="H6209" s="570"/>
      <c r="I6209" s="570"/>
      <c r="J6209" s="570"/>
      <c r="K6209" s="570"/>
    </row>
    <row r="6210" ht="13.75" customHeight="1">
      <c r="A6210" s="833">
        <v>312</v>
      </c>
      <c r="B6210" t="s" s="834">
        <v>247</v>
      </c>
      <c r="C6210" t="s" s="834">
        <v>480</v>
      </c>
      <c r="D6210" s="835">
        <v>46048</v>
      </c>
      <c r="E6210" t="s" s="834">
        <v>478</v>
      </c>
      <c r="F6210" t="s" s="834">
        <v>478</v>
      </c>
      <c r="G6210" s="570"/>
      <c r="H6210" s="570"/>
      <c r="I6210" s="570"/>
      <c r="J6210" s="570"/>
      <c r="K6210" s="570"/>
    </row>
    <row r="6211" ht="13.75" customHeight="1">
      <c r="A6211" s="833">
        <v>312</v>
      </c>
      <c r="B6211" t="s" s="834">
        <v>247</v>
      </c>
      <c r="C6211" t="s" s="834">
        <v>480</v>
      </c>
      <c r="D6211" s="835">
        <v>46049</v>
      </c>
      <c r="E6211" t="s" s="834">
        <v>478</v>
      </c>
      <c r="F6211" t="s" s="834">
        <v>478</v>
      </c>
      <c r="G6211" s="570"/>
      <c r="H6211" s="570"/>
      <c r="I6211" s="570"/>
      <c r="J6211" s="570"/>
      <c r="K6211" s="570"/>
    </row>
    <row r="6212" ht="13.75" customHeight="1">
      <c r="A6212" s="833">
        <v>312</v>
      </c>
      <c r="B6212" t="s" s="834">
        <v>247</v>
      </c>
      <c r="C6212" t="s" s="834">
        <v>480</v>
      </c>
      <c r="D6212" s="835">
        <v>46050</v>
      </c>
      <c r="E6212" t="s" s="834">
        <v>478</v>
      </c>
      <c r="F6212" t="s" s="834">
        <v>478</v>
      </c>
      <c r="G6212" s="570"/>
      <c r="H6212" s="570"/>
      <c r="I6212" s="570"/>
      <c r="J6212" s="570"/>
      <c r="K6212" s="570"/>
    </row>
    <row r="6213" ht="13.75" customHeight="1">
      <c r="A6213" s="833">
        <v>312</v>
      </c>
      <c r="B6213" t="s" s="834">
        <v>247</v>
      </c>
      <c r="C6213" t="s" s="834">
        <v>480</v>
      </c>
      <c r="D6213" s="835">
        <v>46051</v>
      </c>
      <c r="E6213" t="s" s="834">
        <v>478</v>
      </c>
      <c r="F6213" t="s" s="834">
        <v>478</v>
      </c>
      <c r="G6213" s="570"/>
      <c r="H6213" s="570"/>
      <c r="I6213" s="570"/>
      <c r="J6213" s="570"/>
      <c r="K6213" s="570"/>
    </row>
    <row r="6214" ht="13.75" customHeight="1">
      <c r="A6214" s="833">
        <v>312</v>
      </c>
      <c r="B6214" t="s" s="834">
        <v>247</v>
      </c>
      <c r="C6214" t="s" s="834">
        <v>480</v>
      </c>
      <c r="D6214" s="835">
        <v>46052</v>
      </c>
      <c r="E6214" t="s" s="834">
        <v>478</v>
      </c>
      <c r="F6214" t="s" s="834">
        <v>478</v>
      </c>
      <c r="G6214" s="570"/>
      <c r="H6214" s="570"/>
      <c r="I6214" s="570"/>
      <c r="J6214" s="570"/>
      <c r="K6214" s="570"/>
    </row>
    <row r="6215" ht="13.75" customHeight="1">
      <c r="A6215" s="833">
        <v>312</v>
      </c>
      <c r="B6215" t="s" s="834">
        <v>247</v>
      </c>
      <c r="C6215" t="s" s="834">
        <v>480</v>
      </c>
      <c r="D6215" s="835">
        <v>46053</v>
      </c>
      <c r="E6215" t="s" s="834">
        <v>478</v>
      </c>
      <c r="F6215" t="s" s="834">
        <v>478</v>
      </c>
      <c r="G6215" s="570"/>
      <c r="H6215" s="570"/>
      <c r="I6215" s="570"/>
      <c r="J6215" s="570"/>
      <c r="K6215" s="570"/>
    </row>
    <row r="6216" ht="13.75" customHeight="1">
      <c r="A6216" s="833">
        <v>312</v>
      </c>
      <c r="B6216" t="s" s="834">
        <v>247</v>
      </c>
      <c r="C6216" t="s" s="834">
        <v>480</v>
      </c>
      <c r="D6216" s="835">
        <v>46054</v>
      </c>
      <c r="E6216" t="s" s="834">
        <v>478</v>
      </c>
      <c r="F6216" t="s" s="834">
        <v>478</v>
      </c>
      <c r="G6216" s="570"/>
      <c r="H6216" s="570"/>
      <c r="I6216" s="570"/>
      <c r="J6216" s="570"/>
      <c r="K6216" s="570"/>
    </row>
    <row r="6217" ht="13.75" customHeight="1">
      <c r="A6217" s="833">
        <v>313</v>
      </c>
      <c r="B6217" t="s" s="834">
        <v>256</v>
      </c>
      <c r="C6217" t="s" s="834">
        <v>480</v>
      </c>
      <c r="D6217" s="835">
        <v>46023</v>
      </c>
      <c r="E6217" t="s" s="834">
        <v>478</v>
      </c>
      <c r="F6217" t="s" s="834">
        <v>478</v>
      </c>
      <c r="G6217" t="s" s="837">
        <v>567</v>
      </c>
      <c r="H6217" t="s" s="837">
        <v>568</v>
      </c>
      <c r="I6217" t="s" s="837">
        <v>567</v>
      </c>
      <c r="J6217" t="s" s="837">
        <v>568</v>
      </c>
      <c r="K6217" s="570"/>
    </row>
    <row r="6218" ht="13.75" customHeight="1">
      <c r="A6218" s="833">
        <v>313</v>
      </c>
      <c r="B6218" t="s" s="834">
        <v>256</v>
      </c>
      <c r="C6218" t="s" s="834">
        <v>480</v>
      </c>
      <c r="D6218" s="835">
        <v>46024</v>
      </c>
      <c r="E6218" t="s" s="834">
        <v>478</v>
      </c>
      <c r="F6218" t="s" s="834">
        <v>478</v>
      </c>
      <c r="G6218" t="s" s="837">
        <v>567</v>
      </c>
      <c r="H6218" t="s" s="837">
        <v>4204</v>
      </c>
      <c r="I6218" t="s" s="837">
        <v>567</v>
      </c>
      <c r="J6218" t="s" s="837">
        <v>1742</v>
      </c>
      <c r="K6218" s="570"/>
    </row>
    <row r="6219" ht="13.75" customHeight="1">
      <c r="A6219" s="833">
        <v>313</v>
      </c>
      <c r="B6219" t="s" s="834">
        <v>256</v>
      </c>
      <c r="C6219" t="s" s="834">
        <v>480</v>
      </c>
      <c r="D6219" s="835">
        <v>46025</v>
      </c>
      <c r="E6219" t="s" s="834">
        <v>478</v>
      </c>
      <c r="F6219" t="s" s="834">
        <v>478</v>
      </c>
      <c r="G6219" t="s" s="837">
        <v>567</v>
      </c>
      <c r="H6219" t="s" s="837">
        <v>4205</v>
      </c>
      <c r="I6219" t="s" s="837">
        <v>567</v>
      </c>
      <c r="J6219" t="s" s="837">
        <v>4205</v>
      </c>
      <c r="K6219" s="570"/>
    </row>
    <row r="6220" ht="13.75" customHeight="1">
      <c r="A6220" s="851">
        <v>313</v>
      </c>
      <c r="B6220" t="s" s="838">
        <v>256</v>
      </c>
      <c r="C6220" t="s" s="838">
        <v>480</v>
      </c>
      <c r="D6220" s="852">
        <v>46026</v>
      </c>
      <c r="E6220" t="s" s="838">
        <v>478</v>
      </c>
      <c r="F6220" t="s" s="838">
        <v>478</v>
      </c>
      <c r="G6220" t="s" s="853">
        <v>567</v>
      </c>
      <c r="H6220" t="s" s="853">
        <v>4205</v>
      </c>
      <c r="I6220" t="s" s="853">
        <v>567</v>
      </c>
      <c r="J6220" t="s" s="837">
        <v>4205</v>
      </c>
      <c r="K6220" s="570"/>
    </row>
    <row r="6221" ht="13.75" customHeight="1">
      <c r="A6221" s="840">
        <v>313</v>
      </c>
      <c r="B6221" t="s" s="841">
        <v>256</v>
      </c>
      <c r="C6221" t="s" s="841">
        <v>480</v>
      </c>
      <c r="D6221" s="842">
        <v>46027</v>
      </c>
      <c r="E6221" s="843">
        <v>1.357303240740741</v>
      </c>
      <c r="F6221" s="843">
        <v>1.769664351851852</v>
      </c>
      <c r="G6221" t="s" s="844">
        <v>567</v>
      </c>
      <c r="H6221" t="s" s="844">
        <v>587</v>
      </c>
      <c r="I6221" s="845"/>
      <c r="J6221" s="858"/>
      <c r="K6221" s="570"/>
    </row>
    <row r="6222" ht="13.75" customHeight="1">
      <c r="A6222" t="s" s="847">
        <v>4206</v>
      </c>
      <c r="B6222" t="s" s="847">
        <v>4207</v>
      </c>
      <c r="C6222" t="s" s="847">
        <v>1059</v>
      </c>
      <c r="D6222" s="848"/>
      <c r="E6222" s="848"/>
      <c r="F6222" s="848"/>
      <c r="G6222" s="848"/>
      <c r="H6222" s="848"/>
      <c r="I6222" s="848"/>
      <c r="J6222" s="570"/>
      <c r="K6222" s="570"/>
    </row>
    <row r="6223" ht="13.75" customHeight="1">
      <c r="A6223" s="840">
        <v>313</v>
      </c>
      <c r="B6223" t="s" s="841">
        <v>256</v>
      </c>
      <c r="C6223" t="s" s="841">
        <v>480</v>
      </c>
      <c r="D6223" s="842">
        <v>46028</v>
      </c>
      <c r="E6223" s="843">
        <v>1.361215277777778</v>
      </c>
      <c r="F6223" s="843">
        <v>1.731076388888889</v>
      </c>
      <c r="G6223" t="s" s="844">
        <v>567</v>
      </c>
      <c r="H6223" t="s" s="844">
        <v>587</v>
      </c>
      <c r="I6223" s="845"/>
      <c r="J6223" s="858"/>
      <c r="K6223" s="570"/>
    </row>
    <row r="6224" ht="13.75" customHeight="1">
      <c r="A6224" t="s" s="847">
        <v>4208</v>
      </c>
      <c r="B6224" t="s" s="847">
        <v>4209</v>
      </c>
      <c r="C6224" t="s" s="847">
        <v>1480</v>
      </c>
      <c r="D6224" s="848"/>
      <c r="E6224" s="848"/>
      <c r="F6224" s="848"/>
      <c r="G6224" s="848"/>
      <c r="H6224" s="848"/>
      <c r="I6224" s="848"/>
      <c r="J6224" s="570"/>
      <c r="K6224" s="570"/>
    </row>
    <row r="6225" ht="13.75" customHeight="1">
      <c r="A6225" s="840">
        <v>313</v>
      </c>
      <c r="B6225" t="s" s="841">
        <v>256</v>
      </c>
      <c r="C6225" t="s" s="841">
        <v>480</v>
      </c>
      <c r="D6225" s="842">
        <v>46029</v>
      </c>
      <c r="E6225" s="843">
        <v>1.360960648148148</v>
      </c>
      <c r="F6225" s="843">
        <v>1.781377314814815</v>
      </c>
      <c r="G6225" t="s" s="844">
        <v>567</v>
      </c>
      <c r="H6225" t="s" s="844">
        <v>587</v>
      </c>
      <c r="I6225" s="845"/>
      <c r="J6225" s="858"/>
      <c r="K6225" s="570"/>
    </row>
    <row r="6226" ht="13.75" customHeight="1">
      <c r="A6226" t="s" s="847">
        <v>4210</v>
      </c>
      <c r="B6226" t="s" s="847">
        <v>4211</v>
      </c>
      <c r="C6226" t="s" s="847">
        <v>1906</v>
      </c>
      <c r="D6226" s="848"/>
      <c r="E6226" s="848"/>
      <c r="F6226" s="848"/>
      <c r="G6226" s="848"/>
      <c r="H6226" s="848"/>
      <c r="I6226" s="848"/>
      <c r="J6226" s="570"/>
      <c r="K6226" s="570"/>
    </row>
    <row r="6227" ht="13.75" customHeight="1">
      <c r="A6227" s="840">
        <v>313</v>
      </c>
      <c r="B6227" t="s" s="841">
        <v>256</v>
      </c>
      <c r="C6227" t="s" s="841">
        <v>480</v>
      </c>
      <c r="D6227" s="842">
        <v>46030</v>
      </c>
      <c r="E6227" s="843">
        <v>1.353854166666667</v>
      </c>
      <c r="F6227" s="843">
        <v>1.755416666666667</v>
      </c>
      <c r="G6227" s="845"/>
      <c r="H6227" s="845"/>
      <c r="I6227" s="845"/>
      <c r="J6227" s="858"/>
      <c r="K6227" s="570"/>
    </row>
    <row r="6228" ht="13.75" customHeight="1">
      <c r="A6228" t="s" s="847">
        <v>4212</v>
      </c>
      <c r="B6228" t="s" s="847">
        <v>4213</v>
      </c>
      <c r="C6228" t="s" s="847">
        <v>697</v>
      </c>
      <c r="D6228" s="848"/>
      <c r="E6228" s="848"/>
      <c r="F6228" s="848"/>
      <c r="G6228" s="848"/>
      <c r="H6228" s="848"/>
      <c r="I6228" s="848"/>
      <c r="J6228" s="570"/>
      <c r="K6228" s="570"/>
    </row>
    <row r="6229" ht="13.75" customHeight="1">
      <c r="A6229" s="840">
        <v>313</v>
      </c>
      <c r="B6229" t="s" s="841">
        <v>256</v>
      </c>
      <c r="C6229" t="s" s="841">
        <v>480</v>
      </c>
      <c r="D6229" s="842">
        <v>46031</v>
      </c>
      <c r="E6229" s="843">
        <v>1.353263888888889</v>
      </c>
      <c r="F6229" s="843">
        <v>1.759548611111111</v>
      </c>
      <c r="G6229" s="845"/>
      <c r="H6229" s="845"/>
      <c r="I6229" s="845"/>
      <c r="J6229" s="858"/>
      <c r="K6229" s="570"/>
    </row>
    <row r="6230" ht="13.75" customHeight="1">
      <c r="A6230" t="s" s="847">
        <v>4214</v>
      </c>
      <c r="B6230" t="s" s="847">
        <v>4215</v>
      </c>
      <c r="C6230" t="s" s="847">
        <v>603</v>
      </c>
      <c r="D6230" s="848"/>
      <c r="E6230" s="848"/>
      <c r="F6230" s="848"/>
      <c r="G6230" s="848"/>
      <c r="H6230" s="848"/>
      <c r="I6230" s="848"/>
      <c r="J6230" s="570"/>
      <c r="K6230" s="570"/>
    </row>
    <row r="6231" ht="13.75" customHeight="1">
      <c r="A6231" s="840">
        <v>313</v>
      </c>
      <c r="B6231" t="s" s="841">
        <v>256</v>
      </c>
      <c r="C6231" t="s" s="841">
        <v>480</v>
      </c>
      <c r="D6231" s="842">
        <v>46032</v>
      </c>
      <c r="E6231" t="s" s="841">
        <v>478</v>
      </c>
      <c r="F6231" t="s" s="841">
        <v>478</v>
      </c>
      <c r="G6231" t="s" s="844">
        <v>567</v>
      </c>
      <c r="H6231" t="s" s="844">
        <v>4205</v>
      </c>
      <c r="I6231" t="s" s="844">
        <v>567</v>
      </c>
      <c r="J6231" t="s" s="864">
        <v>4205</v>
      </c>
      <c r="K6231" s="570"/>
    </row>
    <row r="6232" ht="13.75" customHeight="1">
      <c r="A6232" s="840">
        <v>313</v>
      </c>
      <c r="B6232" t="s" s="841">
        <v>256</v>
      </c>
      <c r="C6232" t="s" s="841">
        <v>480</v>
      </c>
      <c r="D6232" s="842">
        <v>46033</v>
      </c>
      <c r="E6232" t="s" s="841">
        <v>478</v>
      </c>
      <c r="F6232" t="s" s="841">
        <v>478</v>
      </c>
      <c r="G6232" t="s" s="844">
        <v>567</v>
      </c>
      <c r="H6232" t="s" s="844">
        <v>4205</v>
      </c>
      <c r="I6232" t="s" s="844">
        <v>567</v>
      </c>
      <c r="J6232" t="s" s="864">
        <v>4205</v>
      </c>
      <c r="K6232" s="570"/>
    </row>
    <row r="6233" ht="13.75" customHeight="1">
      <c r="A6233" s="840">
        <v>313</v>
      </c>
      <c r="B6233" t="s" s="841">
        <v>256</v>
      </c>
      <c r="C6233" t="s" s="841">
        <v>480</v>
      </c>
      <c r="D6233" s="842">
        <v>46034</v>
      </c>
      <c r="E6233" s="843">
        <v>1.355891203703704</v>
      </c>
      <c r="F6233" s="843">
        <v>1.753981481481481</v>
      </c>
      <c r="G6233" t="s" s="844">
        <v>567</v>
      </c>
      <c r="H6233" t="s" s="844">
        <v>587</v>
      </c>
      <c r="I6233" s="845"/>
      <c r="J6233" s="858"/>
      <c r="K6233" s="570"/>
    </row>
    <row r="6234" ht="13.75" customHeight="1">
      <c r="A6234" t="s" s="847">
        <v>4216</v>
      </c>
      <c r="B6234" t="s" s="847">
        <v>4217</v>
      </c>
      <c r="C6234" t="s" s="847">
        <v>688</v>
      </c>
      <c r="D6234" s="848"/>
      <c r="E6234" s="848"/>
      <c r="F6234" s="848"/>
      <c r="G6234" s="848"/>
      <c r="H6234" s="848"/>
      <c r="I6234" s="848"/>
      <c r="J6234" s="570"/>
      <c r="K6234" s="570"/>
    </row>
    <row r="6235" ht="13.75" customHeight="1">
      <c r="A6235" s="840">
        <v>313</v>
      </c>
      <c r="B6235" t="s" s="841">
        <v>256</v>
      </c>
      <c r="C6235" t="s" s="841">
        <v>480</v>
      </c>
      <c r="D6235" s="842">
        <v>46035</v>
      </c>
      <c r="E6235" s="843">
        <v>1.347638888888889</v>
      </c>
      <c r="F6235" s="843">
        <v>1.688356481481482</v>
      </c>
      <c r="G6235" s="845"/>
      <c r="H6235" s="845"/>
      <c r="I6235" s="845"/>
      <c r="J6235" s="858"/>
      <c r="K6235" s="570"/>
    </row>
    <row r="6236" ht="13.75" customHeight="1">
      <c r="A6236" t="s" s="847">
        <v>4218</v>
      </c>
      <c r="B6236" t="s" s="847">
        <v>4219</v>
      </c>
      <c r="C6236" t="s" s="847">
        <v>578</v>
      </c>
      <c r="D6236" s="848"/>
      <c r="E6236" s="848"/>
      <c r="F6236" s="848"/>
      <c r="G6236" s="848"/>
      <c r="H6236" s="848"/>
      <c r="I6236" s="848"/>
      <c r="J6236" s="570"/>
      <c r="K6236" s="570"/>
    </row>
    <row r="6237" ht="13.75" customHeight="1">
      <c r="A6237" s="840">
        <v>313</v>
      </c>
      <c r="B6237" t="s" s="841">
        <v>256</v>
      </c>
      <c r="C6237" t="s" s="841">
        <v>480</v>
      </c>
      <c r="D6237" s="842">
        <v>46036</v>
      </c>
      <c r="E6237" s="843">
        <v>1.354490740740741</v>
      </c>
      <c r="F6237" s="843">
        <v>1.764421296296296</v>
      </c>
      <c r="G6237" s="845"/>
      <c r="H6237" s="845"/>
      <c r="I6237" s="845"/>
      <c r="J6237" s="858"/>
      <c r="K6237" s="570"/>
    </row>
    <row r="6238" ht="13.75" customHeight="1">
      <c r="A6238" t="s" s="847">
        <v>4220</v>
      </c>
      <c r="B6238" t="s" s="847">
        <v>4221</v>
      </c>
      <c r="C6238" t="s" s="847">
        <v>1119</v>
      </c>
      <c r="D6238" s="848"/>
      <c r="E6238" s="848"/>
      <c r="F6238" s="848"/>
      <c r="G6238" s="848"/>
      <c r="H6238" s="848"/>
      <c r="I6238" s="848"/>
      <c r="J6238" s="570"/>
      <c r="K6238" s="570"/>
    </row>
    <row r="6239" ht="13.75" customHeight="1">
      <c r="A6239" s="840">
        <v>313</v>
      </c>
      <c r="B6239" t="s" s="841">
        <v>256</v>
      </c>
      <c r="C6239" t="s" s="841">
        <v>480</v>
      </c>
      <c r="D6239" s="842">
        <v>46037</v>
      </c>
      <c r="E6239" s="843">
        <v>1.385405092592593</v>
      </c>
      <c r="F6239" s="843">
        <v>1.762476851851852</v>
      </c>
      <c r="G6239" t="s" s="844">
        <v>567</v>
      </c>
      <c r="H6239" t="s" s="844">
        <v>587</v>
      </c>
      <c r="I6239" s="845"/>
      <c r="J6239" s="858"/>
      <c r="K6239" s="570"/>
    </row>
    <row r="6240" ht="13.75" customHeight="1">
      <c r="A6240" t="s" s="847">
        <v>4222</v>
      </c>
      <c r="B6240" t="s" s="847">
        <v>4223</v>
      </c>
      <c r="C6240" t="s" s="847">
        <v>846</v>
      </c>
      <c r="D6240" s="848"/>
      <c r="E6240" s="848"/>
      <c r="F6240" s="848"/>
      <c r="G6240" s="848"/>
      <c r="H6240" s="848"/>
      <c r="I6240" s="848"/>
      <c r="J6240" s="570"/>
      <c r="K6240" s="570"/>
    </row>
    <row r="6241" ht="13.75" customHeight="1">
      <c r="A6241" s="840">
        <v>313</v>
      </c>
      <c r="B6241" t="s" s="841">
        <v>256</v>
      </c>
      <c r="C6241" t="s" s="841">
        <v>480</v>
      </c>
      <c r="D6241" s="842">
        <v>46038</v>
      </c>
      <c r="E6241" s="843">
        <v>1.484259259259259</v>
      </c>
      <c r="F6241" s="843">
        <v>1.766793981481481</v>
      </c>
      <c r="G6241" t="s" s="844">
        <v>567</v>
      </c>
      <c r="H6241" t="s" s="844">
        <v>4224</v>
      </c>
      <c r="I6241" s="845"/>
      <c r="J6241" s="858"/>
      <c r="K6241" s="570"/>
    </row>
    <row r="6242" ht="13.75" customHeight="1">
      <c r="A6242" t="s" s="847">
        <v>4225</v>
      </c>
      <c r="B6242" t="s" s="847">
        <v>4226</v>
      </c>
      <c r="C6242" t="s" s="847">
        <v>3508</v>
      </c>
      <c r="D6242" s="848"/>
      <c r="E6242" s="848"/>
      <c r="F6242" s="848"/>
      <c r="G6242" s="848"/>
      <c r="H6242" s="848"/>
      <c r="I6242" s="848"/>
      <c r="J6242" s="570"/>
      <c r="K6242" s="570"/>
    </row>
    <row r="6243" ht="13.75" customHeight="1">
      <c r="A6243" s="840">
        <v>313</v>
      </c>
      <c r="B6243" t="s" s="841">
        <v>256</v>
      </c>
      <c r="C6243" t="s" s="841">
        <v>480</v>
      </c>
      <c r="D6243" s="842">
        <v>46039</v>
      </c>
      <c r="E6243" t="s" s="841">
        <v>478</v>
      </c>
      <c r="F6243" t="s" s="841">
        <v>478</v>
      </c>
      <c r="G6243" t="s" s="844">
        <v>567</v>
      </c>
      <c r="H6243" t="s" s="844">
        <v>4205</v>
      </c>
      <c r="I6243" t="s" s="844">
        <v>567</v>
      </c>
      <c r="J6243" t="s" s="864">
        <v>4205</v>
      </c>
      <c r="K6243" s="570"/>
    </row>
    <row r="6244" ht="13.75" customHeight="1">
      <c r="A6244" s="840">
        <v>313</v>
      </c>
      <c r="B6244" t="s" s="841">
        <v>256</v>
      </c>
      <c r="C6244" t="s" s="841">
        <v>480</v>
      </c>
      <c r="D6244" s="842">
        <v>46040</v>
      </c>
      <c r="E6244" t="s" s="841">
        <v>478</v>
      </c>
      <c r="F6244" t="s" s="841">
        <v>478</v>
      </c>
      <c r="G6244" t="s" s="844">
        <v>567</v>
      </c>
      <c r="H6244" t="s" s="844">
        <v>4205</v>
      </c>
      <c r="I6244" t="s" s="844">
        <v>567</v>
      </c>
      <c r="J6244" t="s" s="864">
        <v>4205</v>
      </c>
      <c r="K6244" s="570"/>
    </row>
    <row r="6245" ht="13.75" customHeight="1">
      <c r="A6245" s="840">
        <v>313</v>
      </c>
      <c r="B6245" t="s" s="841">
        <v>256</v>
      </c>
      <c r="C6245" t="s" s="841">
        <v>480</v>
      </c>
      <c r="D6245" s="842">
        <v>46041</v>
      </c>
      <c r="E6245" s="843">
        <v>1.354988425925926</v>
      </c>
      <c r="F6245" s="843">
        <v>1.762141203703704</v>
      </c>
      <c r="G6245" t="s" s="844">
        <v>567</v>
      </c>
      <c r="H6245" t="s" s="844">
        <v>4187</v>
      </c>
      <c r="I6245" s="845"/>
      <c r="J6245" s="858"/>
      <c r="K6245" s="570"/>
    </row>
    <row r="6246" ht="13.75" customHeight="1">
      <c r="A6246" t="s" s="847">
        <v>4227</v>
      </c>
      <c r="B6246" t="s" s="847">
        <v>4228</v>
      </c>
      <c r="C6246" t="s" s="847">
        <v>1113</v>
      </c>
      <c r="D6246" s="848"/>
      <c r="E6246" s="848"/>
      <c r="F6246" s="848"/>
      <c r="G6246" s="848"/>
      <c r="H6246" s="848"/>
      <c r="I6246" s="848"/>
      <c r="J6246" s="570"/>
      <c r="K6246" s="570"/>
    </row>
    <row r="6247" ht="13.75" customHeight="1">
      <c r="A6247" s="840">
        <v>313</v>
      </c>
      <c r="B6247" t="s" s="841">
        <v>256</v>
      </c>
      <c r="C6247" t="s" s="841">
        <v>480</v>
      </c>
      <c r="D6247" s="842">
        <v>46042</v>
      </c>
      <c r="E6247" s="843">
        <v>1.5090625</v>
      </c>
      <c r="F6247" s="843">
        <v>1.764733796296296</v>
      </c>
      <c r="G6247" t="s" s="844">
        <v>567</v>
      </c>
      <c r="H6247" t="s" s="844">
        <v>1712</v>
      </c>
      <c r="I6247" s="845"/>
      <c r="J6247" s="858"/>
      <c r="K6247" s="570"/>
    </row>
    <row r="6248" ht="13.75" customHeight="1">
      <c r="A6248" t="s" s="847">
        <v>4229</v>
      </c>
      <c r="B6248" t="s" s="847">
        <v>4230</v>
      </c>
      <c r="C6248" t="s" s="847">
        <v>4231</v>
      </c>
      <c r="D6248" s="848"/>
      <c r="E6248" s="848"/>
      <c r="F6248" s="848"/>
      <c r="G6248" s="848"/>
      <c r="H6248" s="848"/>
      <c r="I6248" s="848"/>
      <c r="J6248" s="570"/>
      <c r="K6248" s="570"/>
    </row>
    <row r="6249" ht="13.75" customHeight="1">
      <c r="A6249" s="840">
        <v>313</v>
      </c>
      <c r="B6249" t="s" s="841">
        <v>256</v>
      </c>
      <c r="C6249" t="s" s="841">
        <v>480</v>
      </c>
      <c r="D6249" s="842">
        <v>46043</v>
      </c>
      <c r="E6249" s="843">
        <v>1.353333333333333</v>
      </c>
      <c r="F6249" s="843">
        <v>1.753518518518518</v>
      </c>
      <c r="G6249" t="s" s="844">
        <v>567</v>
      </c>
      <c r="H6249" s="845"/>
      <c r="I6249" s="845"/>
      <c r="J6249" s="858"/>
      <c r="K6249" s="570"/>
    </row>
    <row r="6250" ht="13.75" customHeight="1">
      <c r="A6250" t="s" s="847">
        <v>4232</v>
      </c>
      <c r="B6250" t="s" s="847">
        <v>4233</v>
      </c>
      <c r="C6250" t="s" s="847">
        <v>759</v>
      </c>
      <c r="D6250" s="848"/>
      <c r="E6250" s="848"/>
      <c r="F6250" s="848"/>
      <c r="G6250" s="848"/>
      <c r="H6250" s="848"/>
      <c r="I6250" s="848"/>
      <c r="J6250" s="570"/>
      <c r="K6250" s="570"/>
    </row>
    <row r="6251" ht="13.75" customHeight="1">
      <c r="A6251" s="840">
        <v>313</v>
      </c>
      <c r="B6251" t="s" s="841">
        <v>256</v>
      </c>
      <c r="C6251" t="s" s="841">
        <v>480</v>
      </c>
      <c r="D6251" s="842">
        <v>46044</v>
      </c>
      <c r="E6251" s="843">
        <v>1.359525462962963</v>
      </c>
      <c r="F6251" s="843">
        <v>1.770185185185185</v>
      </c>
      <c r="G6251" t="s" s="844">
        <v>567</v>
      </c>
      <c r="H6251" t="s" s="844">
        <v>587</v>
      </c>
      <c r="I6251" s="845"/>
      <c r="J6251" s="858"/>
      <c r="K6251" s="570"/>
    </row>
    <row r="6252" ht="13.75" customHeight="1">
      <c r="A6252" t="s" s="847">
        <v>4234</v>
      </c>
      <c r="B6252" t="s" s="847">
        <v>4235</v>
      </c>
      <c r="C6252" t="s" s="847">
        <v>1252</v>
      </c>
      <c r="D6252" s="848"/>
      <c r="E6252" s="848"/>
      <c r="F6252" s="848"/>
      <c r="G6252" s="848"/>
      <c r="H6252" s="848"/>
      <c r="I6252" s="848"/>
      <c r="J6252" s="570"/>
      <c r="K6252" s="570"/>
    </row>
    <row r="6253" ht="13.75" customHeight="1">
      <c r="A6253" s="840">
        <v>313</v>
      </c>
      <c r="B6253" t="s" s="841">
        <v>256</v>
      </c>
      <c r="C6253" t="s" s="841">
        <v>480</v>
      </c>
      <c r="D6253" s="842">
        <v>46045</v>
      </c>
      <c r="E6253" s="843">
        <v>1.508090277777778</v>
      </c>
      <c r="F6253" s="843">
        <v>1.771076388888889</v>
      </c>
      <c r="G6253" t="s" s="844">
        <v>567</v>
      </c>
      <c r="H6253" t="s" s="844">
        <v>4236</v>
      </c>
      <c r="I6253" s="845"/>
      <c r="J6253" s="858"/>
      <c r="K6253" s="570"/>
    </row>
    <row r="6254" ht="13.75" customHeight="1">
      <c r="A6254" t="s" s="847">
        <v>4237</v>
      </c>
      <c r="B6254" t="s" s="847">
        <v>4238</v>
      </c>
      <c r="C6254" t="s" s="847">
        <v>3465</v>
      </c>
      <c r="D6254" s="848"/>
      <c r="E6254" s="848"/>
      <c r="F6254" s="848"/>
      <c r="G6254" s="848"/>
      <c r="H6254" s="848"/>
      <c r="I6254" s="848"/>
      <c r="J6254" s="570"/>
      <c r="K6254" s="570"/>
    </row>
    <row r="6255" ht="13.75" customHeight="1">
      <c r="A6255" s="840">
        <v>313</v>
      </c>
      <c r="B6255" t="s" s="841">
        <v>256</v>
      </c>
      <c r="C6255" t="s" s="841">
        <v>480</v>
      </c>
      <c r="D6255" s="842">
        <v>46046</v>
      </c>
      <c r="E6255" t="s" s="841">
        <v>478</v>
      </c>
      <c r="F6255" t="s" s="841">
        <v>478</v>
      </c>
      <c r="G6255" t="s" s="844">
        <v>567</v>
      </c>
      <c r="H6255" t="s" s="844">
        <v>4205</v>
      </c>
      <c r="I6255" t="s" s="844">
        <v>567</v>
      </c>
      <c r="J6255" t="s" s="864">
        <v>4205</v>
      </c>
      <c r="K6255" s="570"/>
    </row>
    <row r="6256" ht="13.75" customHeight="1">
      <c r="A6256" s="840">
        <v>313</v>
      </c>
      <c r="B6256" t="s" s="841">
        <v>256</v>
      </c>
      <c r="C6256" t="s" s="841">
        <v>480</v>
      </c>
      <c r="D6256" s="842">
        <v>46047</v>
      </c>
      <c r="E6256" t="s" s="841">
        <v>478</v>
      </c>
      <c r="F6256" t="s" s="841">
        <v>478</v>
      </c>
      <c r="G6256" t="s" s="844">
        <v>567</v>
      </c>
      <c r="H6256" t="s" s="844">
        <v>4205</v>
      </c>
      <c r="I6256" t="s" s="844">
        <v>567</v>
      </c>
      <c r="J6256" t="s" s="864">
        <v>4205</v>
      </c>
      <c r="K6256" s="570"/>
    </row>
    <row r="6257" ht="13.75" customHeight="1">
      <c r="A6257" s="840">
        <v>313</v>
      </c>
      <c r="B6257" t="s" s="841">
        <v>256</v>
      </c>
      <c r="C6257" t="s" s="841">
        <v>480</v>
      </c>
      <c r="D6257" s="842">
        <v>46048</v>
      </c>
      <c r="E6257" s="843">
        <v>1.592569444444444</v>
      </c>
      <c r="F6257" s="843">
        <v>1.750289351851852</v>
      </c>
      <c r="G6257" t="s" s="844">
        <v>567</v>
      </c>
      <c r="H6257" t="s" s="844">
        <v>1742</v>
      </c>
      <c r="I6257" s="845"/>
      <c r="J6257" s="858"/>
      <c r="K6257" s="570"/>
    </row>
    <row r="6258" ht="13.75" customHeight="1">
      <c r="A6258" t="s" s="849">
        <v>4239</v>
      </c>
      <c r="B6258" t="s" s="849">
        <v>4240</v>
      </c>
      <c r="C6258" t="s" s="849">
        <v>750</v>
      </c>
      <c r="D6258" s="633"/>
      <c r="E6258" s="633"/>
      <c r="F6258" s="633"/>
      <c r="G6258" s="633"/>
      <c r="H6258" s="633"/>
      <c r="I6258" s="633"/>
      <c r="J6258" s="570"/>
      <c r="K6258" s="570"/>
    </row>
    <row r="6259" ht="13.75" customHeight="1">
      <c r="A6259" s="833">
        <v>313</v>
      </c>
      <c r="B6259" t="s" s="834">
        <v>256</v>
      </c>
      <c r="C6259" t="s" s="834">
        <v>480</v>
      </c>
      <c r="D6259" s="835">
        <v>46049</v>
      </c>
      <c r="E6259" s="836">
        <v>1.44375</v>
      </c>
      <c r="F6259" s="836">
        <v>1.759988425925926</v>
      </c>
      <c r="G6259" t="s" s="837">
        <v>567</v>
      </c>
      <c r="H6259" t="s" s="837">
        <v>4236</v>
      </c>
      <c r="I6259" s="570"/>
      <c r="J6259" s="570"/>
      <c r="K6259" s="570"/>
    </row>
    <row r="6260" ht="13.75" customHeight="1">
      <c r="A6260" t="s" s="834">
        <v>4241</v>
      </c>
      <c r="B6260" t="s" s="834">
        <v>4242</v>
      </c>
      <c r="C6260" t="s" s="834">
        <v>4243</v>
      </c>
      <c r="D6260" s="570"/>
      <c r="E6260" s="570"/>
      <c r="F6260" s="570"/>
      <c r="G6260" s="570"/>
      <c r="H6260" s="570"/>
      <c r="I6260" s="570"/>
      <c r="J6260" s="570"/>
      <c r="K6260" s="570"/>
    </row>
    <row r="6261" ht="13.75" customHeight="1">
      <c r="A6261" s="833">
        <v>313</v>
      </c>
      <c r="B6261" t="s" s="834">
        <v>256</v>
      </c>
      <c r="C6261" t="s" s="834">
        <v>480</v>
      </c>
      <c r="D6261" s="835">
        <v>46050</v>
      </c>
      <c r="E6261" s="836">
        <v>1.351215277777778</v>
      </c>
      <c r="F6261" s="836">
        <v>1.75875</v>
      </c>
      <c r="G6261" s="570"/>
      <c r="H6261" s="570"/>
      <c r="I6261" s="570"/>
      <c r="J6261" s="570"/>
      <c r="K6261" s="570"/>
    </row>
    <row r="6262" ht="13.75" customHeight="1">
      <c r="A6262" t="s" s="834">
        <v>4244</v>
      </c>
      <c r="B6262" t="s" s="834">
        <v>4245</v>
      </c>
      <c r="C6262" t="s" s="834">
        <v>882</v>
      </c>
      <c r="D6262" s="570"/>
      <c r="E6262" s="570"/>
      <c r="F6262" s="570"/>
      <c r="G6262" s="570"/>
      <c r="H6262" s="570"/>
      <c r="I6262" s="570"/>
      <c r="J6262" s="570"/>
      <c r="K6262" s="570"/>
    </row>
    <row r="6263" ht="13.75" customHeight="1">
      <c r="A6263" s="833">
        <v>313</v>
      </c>
      <c r="B6263" t="s" s="834">
        <v>256</v>
      </c>
      <c r="C6263" t="s" s="834">
        <v>480</v>
      </c>
      <c r="D6263" s="835">
        <v>46051</v>
      </c>
      <c r="E6263" s="836">
        <v>1.359039351851852</v>
      </c>
      <c r="F6263" s="836">
        <v>1.760300925925926</v>
      </c>
      <c r="G6263" t="s" s="837">
        <v>567</v>
      </c>
      <c r="H6263" t="s" s="837">
        <v>587</v>
      </c>
      <c r="I6263" s="570"/>
      <c r="J6263" s="570"/>
      <c r="K6263" s="570"/>
    </row>
    <row r="6264" ht="13.75" customHeight="1">
      <c r="A6264" t="s" s="834">
        <v>4246</v>
      </c>
      <c r="B6264" t="s" s="834">
        <v>4247</v>
      </c>
      <c r="C6264" t="s" s="834">
        <v>697</v>
      </c>
      <c r="D6264" s="570"/>
      <c r="E6264" s="570"/>
      <c r="F6264" s="570"/>
      <c r="G6264" s="570"/>
      <c r="H6264" s="570"/>
      <c r="I6264" s="570"/>
      <c r="J6264" s="570"/>
      <c r="K6264" s="570"/>
    </row>
    <row r="6265" ht="13.75" customHeight="1">
      <c r="A6265" s="833">
        <v>313</v>
      </c>
      <c r="B6265" t="s" s="834">
        <v>256</v>
      </c>
      <c r="C6265" t="s" s="834">
        <v>480</v>
      </c>
      <c r="D6265" s="835">
        <v>46052</v>
      </c>
      <c r="E6265" s="836">
        <v>1.336111111111111</v>
      </c>
      <c r="F6265" s="836">
        <v>1.773298611111111</v>
      </c>
      <c r="G6265" s="570"/>
      <c r="H6265" s="570"/>
      <c r="I6265" s="570"/>
      <c r="J6265" s="570"/>
      <c r="K6265" s="570"/>
    </row>
    <row r="6266" ht="13.75" customHeight="1">
      <c r="A6266" t="s" s="834">
        <v>4248</v>
      </c>
      <c r="B6266" t="s" s="834">
        <v>4249</v>
      </c>
      <c r="C6266" t="s" s="834">
        <v>1901</v>
      </c>
      <c r="D6266" s="570"/>
      <c r="E6266" s="570"/>
      <c r="F6266" s="570"/>
      <c r="G6266" s="570"/>
      <c r="H6266" s="570"/>
      <c r="I6266" s="570"/>
      <c r="J6266" s="570"/>
      <c r="K6266" s="570"/>
    </row>
    <row r="6267" ht="13.75" customHeight="1">
      <c r="A6267" s="833">
        <v>313</v>
      </c>
      <c r="B6267" t="s" s="834">
        <v>256</v>
      </c>
      <c r="C6267" t="s" s="834">
        <v>480</v>
      </c>
      <c r="D6267" s="835">
        <v>46053</v>
      </c>
      <c r="E6267" t="s" s="834">
        <v>478</v>
      </c>
      <c r="F6267" t="s" s="834">
        <v>478</v>
      </c>
      <c r="G6267" t="s" s="837">
        <v>567</v>
      </c>
      <c r="H6267" t="s" s="837">
        <v>4205</v>
      </c>
      <c r="I6267" t="s" s="837">
        <v>567</v>
      </c>
      <c r="J6267" t="s" s="837">
        <v>4205</v>
      </c>
      <c r="K6267" s="570"/>
    </row>
    <row r="6268" ht="13.75" customHeight="1">
      <c r="A6268" s="833">
        <v>314</v>
      </c>
      <c r="B6268" t="s" s="834">
        <v>4250</v>
      </c>
      <c r="C6268" t="s" s="834">
        <v>480</v>
      </c>
      <c r="D6268" s="835">
        <v>46023</v>
      </c>
      <c r="E6268" t="s" s="834">
        <v>478</v>
      </c>
      <c r="F6268" t="s" s="834">
        <v>478</v>
      </c>
      <c r="G6268" s="570"/>
      <c r="H6268" s="570"/>
      <c r="I6268" s="570"/>
      <c r="J6268" s="570"/>
      <c r="K6268" s="570"/>
    </row>
    <row r="6269" ht="13.75" customHeight="1">
      <c r="A6269" s="833">
        <v>314</v>
      </c>
      <c r="B6269" t="s" s="834">
        <v>4250</v>
      </c>
      <c r="C6269" t="s" s="834">
        <v>480</v>
      </c>
      <c r="D6269" s="835">
        <v>46024</v>
      </c>
      <c r="E6269" t="s" s="834">
        <v>478</v>
      </c>
      <c r="F6269" t="s" s="834">
        <v>478</v>
      </c>
      <c r="G6269" s="570"/>
      <c r="H6269" s="570"/>
      <c r="I6269" s="570"/>
      <c r="J6269" s="570"/>
      <c r="K6269" s="570"/>
    </row>
    <row r="6270" ht="13.75" customHeight="1">
      <c r="A6270" s="833">
        <v>314</v>
      </c>
      <c r="B6270" t="s" s="834">
        <v>4250</v>
      </c>
      <c r="C6270" t="s" s="834">
        <v>480</v>
      </c>
      <c r="D6270" s="835">
        <v>46025</v>
      </c>
      <c r="E6270" t="s" s="834">
        <v>478</v>
      </c>
      <c r="F6270" t="s" s="834">
        <v>478</v>
      </c>
      <c r="G6270" s="570"/>
      <c r="H6270" s="570"/>
      <c r="I6270" s="570"/>
      <c r="J6270" s="570"/>
      <c r="K6270" s="570"/>
    </row>
    <row r="6271" ht="13.75" customHeight="1">
      <c r="A6271" s="833">
        <v>314</v>
      </c>
      <c r="B6271" t="s" s="834">
        <v>4250</v>
      </c>
      <c r="C6271" t="s" s="834">
        <v>480</v>
      </c>
      <c r="D6271" s="835">
        <v>46026</v>
      </c>
      <c r="E6271" t="s" s="834">
        <v>478</v>
      </c>
      <c r="F6271" t="s" s="834">
        <v>478</v>
      </c>
      <c r="G6271" s="570"/>
      <c r="H6271" s="570"/>
      <c r="I6271" s="570"/>
      <c r="J6271" s="570"/>
      <c r="K6271" s="570"/>
    </row>
    <row r="6272" ht="13.75" customHeight="1">
      <c r="A6272" s="833">
        <v>314</v>
      </c>
      <c r="B6272" t="s" s="834">
        <v>4250</v>
      </c>
      <c r="C6272" t="s" s="834">
        <v>480</v>
      </c>
      <c r="D6272" s="835">
        <v>46027</v>
      </c>
      <c r="E6272" t="s" s="834">
        <v>478</v>
      </c>
      <c r="F6272" t="s" s="834">
        <v>478</v>
      </c>
      <c r="G6272" s="570"/>
      <c r="H6272" s="570"/>
      <c r="I6272" s="570"/>
      <c r="J6272" s="570"/>
      <c r="K6272" s="570"/>
    </row>
    <row r="6273" ht="13.75" customHeight="1">
      <c r="A6273" s="833">
        <v>314</v>
      </c>
      <c r="B6273" t="s" s="834">
        <v>4250</v>
      </c>
      <c r="C6273" t="s" s="834">
        <v>480</v>
      </c>
      <c r="D6273" s="835">
        <v>46028</v>
      </c>
      <c r="E6273" t="s" s="834">
        <v>478</v>
      </c>
      <c r="F6273" t="s" s="834">
        <v>478</v>
      </c>
      <c r="G6273" s="570"/>
      <c r="H6273" s="570"/>
      <c r="I6273" s="570"/>
      <c r="J6273" s="570"/>
      <c r="K6273" s="570"/>
    </row>
    <row r="6274" ht="13.75" customHeight="1">
      <c r="A6274" s="833">
        <v>314</v>
      </c>
      <c r="B6274" t="s" s="834">
        <v>4250</v>
      </c>
      <c r="C6274" t="s" s="834">
        <v>480</v>
      </c>
      <c r="D6274" s="835">
        <v>46029</v>
      </c>
      <c r="E6274" t="s" s="834">
        <v>478</v>
      </c>
      <c r="F6274" t="s" s="834">
        <v>478</v>
      </c>
      <c r="G6274" s="570"/>
      <c r="H6274" s="570"/>
      <c r="I6274" s="570"/>
      <c r="J6274" s="570"/>
      <c r="K6274" s="570"/>
    </row>
    <row r="6275" ht="13.75" customHeight="1">
      <c r="A6275" s="833">
        <v>314</v>
      </c>
      <c r="B6275" t="s" s="834">
        <v>4250</v>
      </c>
      <c r="C6275" t="s" s="834">
        <v>480</v>
      </c>
      <c r="D6275" s="835">
        <v>46030</v>
      </c>
      <c r="E6275" t="s" s="834">
        <v>478</v>
      </c>
      <c r="F6275" t="s" s="834">
        <v>478</v>
      </c>
      <c r="G6275" s="570"/>
      <c r="H6275" s="570"/>
      <c r="I6275" s="570"/>
      <c r="J6275" s="570"/>
      <c r="K6275" s="570"/>
    </row>
    <row r="6276" ht="13.75" customHeight="1">
      <c r="A6276" s="833">
        <v>314</v>
      </c>
      <c r="B6276" t="s" s="834">
        <v>4250</v>
      </c>
      <c r="C6276" t="s" s="834">
        <v>480</v>
      </c>
      <c r="D6276" s="835">
        <v>46031</v>
      </c>
      <c r="E6276" t="s" s="834">
        <v>478</v>
      </c>
      <c r="F6276" t="s" s="834">
        <v>478</v>
      </c>
      <c r="G6276" s="570"/>
      <c r="H6276" s="570"/>
      <c r="I6276" s="570"/>
      <c r="J6276" s="570"/>
      <c r="K6276" s="570"/>
    </row>
    <row r="6277" ht="13.75" customHeight="1">
      <c r="A6277" s="833">
        <v>314</v>
      </c>
      <c r="B6277" t="s" s="834">
        <v>4250</v>
      </c>
      <c r="C6277" t="s" s="834">
        <v>480</v>
      </c>
      <c r="D6277" s="835">
        <v>46032</v>
      </c>
      <c r="E6277" t="s" s="834">
        <v>478</v>
      </c>
      <c r="F6277" t="s" s="834">
        <v>478</v>
      </c>
      <c r="G6277" s="570"/>
      <c r="H6277" s="570"/>
      <c r="I6277" s="570"/>
      <c r="J6277" s="570"/>
      <c r="K6277" s="570"/>
    </row>
    <row r="6278" ht="13.75" customHeight="1">
      <c r="A6278" s="833">
        <v>314</v>
      </c>
      <c r="B6278" t="s" s="834">
        <v>4250</v>
      </c>
      <c r="C6278" t="s" s="834">
        <v>480</v>
      </c>
      <c r="D6278" s="835">
        <v>46033</v>
      </c>
      <c r="E6278" t="s" s="834">
        <v>478</v>
      </c>
      <c r="F6278" t="s" s="834">
        <v>478</v>
      </c>
      <c r="G6278" s="570"/>
      <c r="H6278" s="570"/>
      <c r="I6278" s="570"/>
      <c r="J6278" s="570"/>
      <c r="K6278" s="570"/>
    </row>
    <row r="6279" ht="13.75" customHeight="1">
      <c r="A6279" s="833">
        <v>314</v>
      </c>
      <c r="B6279" t="s" s="834">
        <v>4250</v>
      </c>
      <c r="C6279" t="s" s="834">
        <v>480</v>
      </c>
      <c r="D6279" s="835">
        <v>46034</v>
      </c>
      <c r="E6279" t="s" s="834">
        <v>478</v>
      </c>
      <c r="F6279" t="s" s="834">
        <v>478</v>
      </c>
      <c r="G6279" s="570"/>
      <c r="H6279" s="570"/>
      <c r="I6279" s="570"/>
      <c r="J6279" s="570"/>
      <c r="K6279" s="570"/>
    </row>
    <row r="6280" ht="13.75" customHeight="1">
      <c r="A6280" s="833">
        <v>314</v>
      </c>
      <c r="B6280" t="s" s="834">
        <v>4250</v>
      </c>
      <c r="C6280" t="s" s="834">
        <v>480</v>
      </c>
      <c r="D6280" s="835">
        <v>46035</v>
      </c>
      <c r="E6280" t="s" s="834">
        <v>478</v>
      </c>
      <c r="F6280" t="s" s="834">
        <v>478</v>
      </c>
      <c r="G6280" s="570"/>
      <c r="H6280" s="570"/>
      <c r="I6280" s="570"/>
      <c r="J6280" s="570"/>
      <c r="K6280" s="570"/>
    </row>
    <row r="6281" ht="13.75" customHeight="1">
      <c r="A6281" s="833">
        <v>314</v>
      </c>
      <c r="B6281" t="s" s="834">
        <v>4250</v>
      </c>
      <c r="C6281" t="s" s="834">
        <v>480</v>
      </c>
      <c r="D6281" s="835">
        <v>46036</v>
      </c>
      <c r="E6281" t="s" s="834">
        <v>478</v>
      </c>
      <c r="F6281" t="s" s="834">
        <v>478</v>
      </c>
      <c r="G6281" s="570"/>
      <c r="H6281" s="570"/>
      <c r="I6281" s="570"/>
      <c r="J6281" s="570"/>
      <c r="K6281" s="570"/>
    </row>
    <row r="6282" ht="13.75" customHeight="1">
      <c r="A6282" s="833">
        <v>314</v>
      </c>
      <c r="B6282" t="s" s="834">
        <v>4250</v>
      </c>
      <c r="C6282" t="s" s="834">
        <v>480</v>
      </c>
      <c r="D6282" s="835">
        <v>46037</v>
      </c>
      <c r="E6282" t="s" s="834">
        <v>478</v>
      </c>
      <c r="F6282" t="s" s="834">
        <v>478</v>
      </c>
      <c r="G6282" s="570"/>
      <c r="H6282" s="570"/>
      <c r="I6282" s="570"/>
      <c r="J6282" s="570"/>
      <c r="K6282" s="570"/>
    </row>
    <row r="6283" ht="13.75" customHeight="1">
      <c r="A6283" s="833">
        <v>314</v>
      </c>
      <c r="B6283" t="s" s="834">
        <v>4250</v>
      </c>
      <c r="C6283" t="s" s="834">
        <v>480</v>
      </c>
      <c r="D6283" s="835">
        <v>46038</v>
      </c>
      <c r="E6283" t="s" s="834">
        <v>478</v>
      </c>
      <c r="F6283" t="s" s="834">
        <v>478</v>
      </c>
      <c r="G6283" s="570"/>
      <c r="H6283" s="570"/>
      <c r="I6283" s="570"/>
      <c r="J6283" s="570"/>
      <c r="K6283" s="570"/>
    </row>
    <row r="6284" ht="13.75" customHeight="1">
      <c r="A6284" s="833">
        <v>314</v>
      </c>
      <c r="B6284" t="s" s="834">
        <v>4250</v>
      </c>
      <c r="C6284" t="s" s="834">
        <v>480</v>
      </c>
      <c r="D6284" s="835">
        <v>46039</v>
      </c>
      <c r="E6284" t="s" s="834">
        <v>478</v>
      </c>
      <c r="F6284" t="s" s="834">
        <v>478</v>
      </c>
      <c r="G6284" s="570"/>
      <c r="H6284" s="570"/>
      <c r="I6284" s="570"/>
      <c r="J6284" s="570"/>
      <c r="K6284" s="570"/>
    </row>
    <row r="6285" ht="13.75" customHeight="1">
      <c r="A6285" s="833">
        <v>314</v>
      </c>
      <c r="B6285" t="s" s="834">
        <v>4250</v>
      </c>
      <c r="C6285" t="s" s="834">
        <v>480</v>
      </c>
      <c r="D6285" s="835">
        <v>46040</v>
      </c>
      <c r="E6285" t="s" s="834">
        <v>478</v>
      </c>
      <c r="F6285" t="s" s="834">
        <v>478</v>
      </c>
      <c r="G6285" s="570"/>
      <c r="H6285" s="570"/>
      <c r="I6285" s="570"/>
      <c r="J6285" s="570"/>
      <c r="K6285" s="570"/>
    </row>
    <row r="6286" ht="13.75" customHeight="1">
      <c r="A6286" s="833">
        <v>314</v>
      </c>
      <c r="B6286" t="s" s="834">
        <v>4250</v>
      </c>
      <c r="C6286" t="s" s="834">
        <v>480</v>
      </c>
      <c r="D6286" s="835">
        <v>46041</v>
      </c>
      <c r="E6286" t="s" s="834">
        <v>478</v>
      </c>
      <c r="F6286" t="s" s="834">
        <v>478</v>
      </c>
      <c r="G6286" s="570"/>
      <c r="H6286" s="570"/>
      <c r="I6286" s="570"/>
      <c r="J6286" s="570"/>
      <c r="K6286" s="570"/>
    </row>
    <row r="6287" ht="13.75" customHeight="1">
      <c r="A6287" s="833">
        <v>314</v>
      </c>
      <c r="B6287" t="s" s="834">
        <v>4250</v>
      </c>
      <c r="C6287" t="s" s="834">
        <v>480</v>
      </c>
      <c r="D6287" s="835">
        <v>46042</v>
      </c>
      <c r="E6287" t="s" s="834">
        <v>478</v>
      </c>
      <c r="F6287" t="s" s="834">
        <v>478</v>
      </c>
      <c r="G6287" s="570"/>
      <c r="H6287" s="570"/>
      <c r="I6287" s="570"/>
      <c r="J6287" s="570"/>
      <c r="K6287" s="570"/>
    </row>
    <row r="6288" ht="13.75" customHeight="1">
      <c r="A6288" s="833">
        <v>314</v>
      </c>
      <c r="B6288" t="s" s="834">
        <v>4250</v>
      </c>
      <c r="C6288" t="s" s="834">
        <v>480</v>
      </c>
      <c r="D6288" s="835">
        <v>46043</v>
      </c>
      <c r="E6288" t="s" s="834">
        <v>478</v>
      </c>
      <c r="F6288" t="s" s="834">
        <v>478</v>
      </c>
      <c r="G6288" s="570"/>
      <c r="H6288" s="570"/>
      <c r="I6288" s="570"/>
      <c r="J6288" s="570"/>
      <c r="K6288" s="570"/>
    </row>
    <row r="6289" ht="13.75" customHeight="1">
      <c r="A6289" s="833">
        <v>314</v>
      </c>
      <c r="B6289" t="s" s="834">
        <v>4250</v>
      </c>
      <c r="C6289" t="s" s="834">
        <v>480</v>
      </c>
      <c r="D6289" s="835">
        <v>46044</v>
      </c>
      <c r="E6289" t="s" s="834">
        <v>478</v>
      </c>
      <c r="F6289" t="s" s="834">
        <v>478</v>
      </c>
      <c r="G6289" s="570"/>
      <c r="H6289" s="570"/>
      <c r="I6289" s="570"/>
      <c r="J6289" s="570"/>
      <c r="K6289" s="570"/>
    </row>
    <row r="6290" ht="13.75" customHeight="1">
      <c r="A6290" s="833">
        <v>314</v>
      </c>
      <c r="B6290" t="s" s="834">
        <v>4250</v>
      </c>
      <c r="C6290" t="s" s="834">
        <v>480</v>
      </c>
      <c r="D6290" s="835">
        <v>46045</v>
      </c>
      <c r="E6290" t="s" s="834">
        <v>478</v>
      </c>
      <c r="F6290" t="s" s="834">
        <v>478</v>
      </c>
      <c r="G6290" s="570"/>
      <c r="H6290" s="570"/>
      <c r="I6290" s="570"/>
      <c r="J6290" s="570"/>
      <c r="K6290" s="570"/>
    </row>
    <row r="6291" ht="13.75" customHeight="1">
      <c r="A6291" s="833">
        <v>314</v>
      </c>
      <c r="B6291" t="s" s="834">
        <v>4250</v>
      </c>
      <c r="C6291" t="s" s="834">
        <v>480</v>
      </c>
      <c r="D6291" s="835">
        <v>46046</v>
      </c>
      <c r="E6291" t="s" s="834">
        <v>478</v>
      </c>
      <c r="F6291" t="s" s="834">
        <v>478</v>
      </c>
      <c r="G6291" s="570"/>
      <c r="H6291" s="570"/>
      <c r="I6291" s="570"/>
      <c r="J6291" s="570"/>
      <c r="K6291" s="570"/>
    </row>
    <row r="6292" ht="13.75" customHeight="1">
      <c r="A6292" s="833">
        <v>314</v>
      </c>
      <c r="B6292" t="s" s="834">
        <v>4250</v>
      </c>
      <c r="C6292" t="s" s="834">
        <v>480</v>
      </c>
      <c r="D6292" s="835">
        <v>46047</v>
      </c>
      <c r="E6292" t="s" s="834">
        <v>478</v>
      </c>
      <c r="F6292" t="s" s="834">
        <v>478</v>
      </c>
      <c r="G6292" s="570"/>
      <c r="H6292" s="570"/>
      <c r="I6292" s="570"/>
      <c r="J6292" s="570"/>
      <c r="K6292" s="570"/>
    </row>
    <row r="6293" ht="13.75" customHeight="1">
      <c r="A6293" s="833">
        <v>314</v>
      </c>
      <c r="B6293" t="s" s="834">
        <v>4250</v>
      </c>
      <c r="C6293" t="s" s="834">
        <v>480</v>
      </c>
      <c r="D6293" s="835">
        <v>46048</v>
      </c>
      <c r="E6293" t="s" s="834">
        <v>478</v>
      </c>
      <c r="F6293" t="s" s="834">
        <v>478</v>
      </c>
      <c r="G6293" s="570"/>
      <c r="H6293" s="570"/>
      <c r="I6293" s="570"/>
      <c r="J6293" s="570"/>
      <c r="K6293" s="570"/>
    </row>
    <row r="6294" ht="13.75" customHeight="1">
      <c r="A6294" s="833">
        <v>314</v>
      </c>
      <c r="B6294" t="s" s="834">
        <v>4250</v>
      </c>
      <c r="C6294" t="s" s="834">
        <v>480</v>
      </c>
      <c r="D6294" s="835">
        <v>46049</v>
      </c>
      <c r="E6294" t="s" s="834">
        <v>478</v>
      </c>
      <c r="F6294" t="s" s="834">
        <v>478</v>
      </c>
      <c r="G6294" s="570"/>
      <c r="H6294" s="570"/>
      <c r="I6294" s="570"/>
      <c r="J6294" s="570"/>
      <c r="K6294" s="570"/>
    </row>
    <row r="6295" ht="13.75" customHeight="1">
      <c r="A6295" s="833">
        <v>314</v>
      </c>
      <c r="B6295" t="s" s="834">
        <v>4250</v>
      </c>
      <c r="C6295" t="s" s="834">
        <v>480</v>
      </c>
      <c r="D6295" s="835">
        <v>46050</v>
      </c>
      <c r="E6295" t="s" s="834">
        <v>478</v>
      </c>
      <c r="F6295" t="s" s="834">
        <v>478</v>
      </c>
      <c r="G6295" s="570"/>
      <c r="H6295" s="570"/>
      <c r="I6295" s="570"/>
      <c r="J6295" s="570"/>
      <c r="K6295" s="570"/>
    </row>
    <row r="6296" ht="13.75" customHeight="1">
      <c r="A6296" s="833">
        <v>314</v>
      </c>
      <c r="B6296" t="s" s="834">
        <v>4250</v>
      </c>
      <c r="C6296" t="s" s="834">
        <v>480</v>
      </c>
      <c r="D6296" s="835">
        <v>46051</v>
      </c>
      <c r="E6296" t="s" s="834">
        <v>478</v>
      </c>
      <c r="F6296" t="s" s="834">
        <v>478</v>
      </c>
      <c r="G6296" s="570"/>
      <c r="H6296" s="570"/>
      <c r="I6296" s="570"/>
      <c r="J6296" s="570"/>
      <c r="K6296" s="570"/>
    </row>
    <row r="6297" ht="13.75" customHeight="1">
      <c r="A6297" s="833">
        <v>314</v>
      </c>
      <c r="B6297" t="s" s="834">
        <v>4250</v>
      </c>
      <c r="C6297" t="s" s="834">
        <v>480</v>
      </c>
      <c r="D6297" s="835">
        <v>46052</v>
      </c>
      <c r="E6297" t="s" s="834">
        <v>478</v>
      </c>
      <c r="F6297" t="s" s="834">
        <v>478</v>
      </c>
      <c r="G6297" s="570"/>
      <c r="H6297" s="570"/>
      <c r="I6297" s="570"/>
      <c r="J6297" s="570"/>
      <c r="K6297" s="570"/>
    </row>
    <row r="6298" ht="13.75" customHeight="1">
      <c r="A6298" s="833">
        <v>314</v>
      </c>
      <c r="B6298" t="s" s="834">
        <v>4250</v>
      </c>
      <c r="C6298" t="s" s="834">
        <v>480</v>
      </c>
      <c r="D6298" s="835">
        <v>46053</v>
      </c>
      <c r="E6298" t="s" s="834">
        <v>478</v>
      </c>
      <c r="F6298" t="s" s="834">
        <v>478</v>
      </c>
      <c r="G6298" s="570"/>
      <c r="H6298" s="570"/>
      <c r="I6298" s="570"/>
      <c r="J6298" s="570"/>
      <c r="K6298" s="570"/>
    </row>
    <row r="6299" ht="13.75" customHeight="1">
      <c r="A6299" s="833">
        <v>314</v>
      </c>
      <c r="B6299" t="s" s="834">
        <v>4250</v>
      </c>
      <c r="C6299" t="s" s="834">
        <v>480</v>
      </c>
      <c r="D6299" s="835">
        <v>46054</v>
      </c>
      <c r="E6299" t="s" s="834">
        <v>478</v>
      </c>
      <c r="F6299" t="s" s="834">
        <v>478</v>
      </c>
      <c r="G6299" s="570"/>
      <c r="H6299" s="570"/>
      <c r="I6299" s="570"/>
      <c r="J6299" s="570"/>
      <c r="K6299" s="570"/>
    </row>
    <row r="6300" ht="13.75" customHeight="1">
      <c r="A6300" s="833">
        <v>315</v>
      </c>
      <c r="B6300" t="s" s="834">
        <v>157</v>
      </c>
      <c r="C6300" t="s" s="834">
        <v>480</v>
      </c>
      <c r="D6300" s="835">
        <v>46023</v>
      </c>
      <c r="E6300" t="s" s="834">
        <v>478</v>
      </c>
      <c r="F6300" t="s" s="834">
        <v>478</v>
      </c>
      <c r="G6300" t="s" s="837">
        <v>1741</v>
      </c>
      <c r="H6300" t="s" s="837">
        <v>4251</v>
      </c>
      <c r="I6300" t="s" s="837">
        <v>1741</v>
      </c>
      <c r="J6300" t="s" s="837">
        <v>4251</v>
      </c>
      <c r="K6300" s="570"/>
    </row>
    <row r="6301" ht="13.75" customHeight="1">
      <c r="A6301" s="833">
        <v>315</v>
      </c>
      <c r="B6301" t="s" s="834">
        <v>157</v>
      </c>
      <c r="C6301" t="s" s="834">
        <v>480</v>
      </c>
      <c r="D6301" s="835">
        <v>46024</v>
      </c>
      <c r="E6301" t="s" s="834">
        <v>478</v>
      </c>
      <c r="F6301" t="s" s="834">
        <v>478</v>
      </c>
      <c r="G6301" t="s" s="837">
        <v>1741</v>
      </c>
      <c r="H6301" t="s" s="837">
        <v>1742</v>
      </c>
      <c r="I6301" t="s" s="837">
        <v>1741</v>
      </c>
      <c r="J6301" t="s" s="837">
        <v>1742</v>
      </c>
      <c r="K6301" s="570"/>
    </row>
    <row r="6302" ht="13.75" customHeight="1">
      <c r="A6302" s="833">
        <v>315</v>
      </c>
      <c r="B6302" t="s" s="834">
        <v>157</v>
      </c>
      <c r="C6302" t="s" s="834">
        <v>480</v>
      </c>
      <c r="D6302" s="835">
        <v>46025</v>
      </c>
      <c r="E6302" t="s" s="834">
        <v>478</v>
      </c>
      <c r="F6302" t="s" s="834">
        <v>478</v>
      </c>
      <c r="G6302" t="s" s="837">
        <v>1741</v>
      </c>
      <c r="H6302" t="s" s="837">
        <v>1713</v>
      </c>
      <c r="I6302" t="s" s="837">
        <v>1741</v>
      </c>
      <c r="J6302" t="s" s="837">
        <v>1713</v>
      </c>
      <c r="K6302" s="570"/>
    </row>
    <row r="6303" ht="13.75" customHeight="1">
      <c r="A6303" s="851">
        <v>315</v>
      </c>
      <c r="B6303" t="s" s="838">
        <v>157</v>
      </c>
      <c r="C6303" t="s" s="838">
        <v>480</v>
      </c>
      <c r="D6303" s="852">
        <v>46026</v>
      </c>
      <c r="E6303" t="s" s="838">
        <v>478</v>
      </c>
      <c r="F6303" t="s" s="838">
        <v>478</v>
      </c>
      <c r="G6303" t="s" s="853">
        <v>1741</v>
      </c>
      <c r="H6303" t="s" s="853">
        <v>1713</v>
      </c>
      <c r="I6303" t="s" s="837">
        <v>1741</v>
      </c>
      <c r="J6303" t="s" s="837">
        <v>1713</v>
      </c>
      <c r="K6303" s="570"/>
    </row>
    <row r="6304" ht="13.75" customHeight="1">
      <c r="A6304" s="840">
        <v>315</v>
      </c>
      <c r="B6304" t="s" s="841">
        <v>157</v>
      </c>
      <c r="C6304" t="s" s="841">
        <v>480</v>
      </c>
      <c r="D6304" s="842">
        <v>46027</v>
      </c>
      <c r="E6304" s="843">
        <v>1.366585648148148</v>
      </c>
      <c r="F6304" s="843">
        <v>1.756655092592593</v>
      </c>
      <c r="G6304" t="s" s="844">
        <v>1741</v>
      </c>
      <c r="H6304" t="s" s="844">
        <v>4252</v>
      </c>
      <c r="I6304" s="858"/>
      <c r="J6304" s="570"/>
      <c r="K6304" s="570"/>
    </row>
    <row r="6305" ht="13.75" customHeight="1">
      <c r="A6305" t="s" s="847">
        <v>4253</v>
      </c>
      <c r="B6305" t="s" s="847">
        <v>4254</v>
      </c>
      <c r="C6305" t="s" s="847">
        <v>901</v>
      </c>
      <c r="D6305" s="848"/>
      <c r="E6305" s="848"/>
      <c r="F6305" s="848"/>
      <c r="G6305" s="848"/>
      <c r="H6305" s="848"/>
      <c r="I6305" s="570"/>
      <c r="J6305" s="570"/>
      <c r="K6305" s="570"/>
    </row>
    <row r="6306" ht="13.75" customHeight="1">
      <c r="A6306" s="840">
        <v>315</v>
      </c>
      <c r="B6306" t="s" s="841">
        <v>157</v>
      </c>
      <c r="C6306" t="s" s="841">
        <v>480</v>
      </c>
      <c r="D6306" s="842">
        <v>46028</v>
      </c>
      <c r="E6306" s="843">
        <v>1.360717592592593</v>
      </c>
      <c r="F6306" s="843">
        <v>1.762581018518519</v>
      </c>
      <c r="G6306" t="s" s="844">
        <v>1741</v>
      </c>
      <c r="H6306" t="s" s="844">
        <v>4252</v>
      </c>
      <c r="I6306" s="858"/>
      <c r="J6306" s="570"/>
      <c r="K6306" s="570"/>
    </row>
    <row r="6307" ht="13.75" customHeight="1">
      <c r="A6307" t="s" s="847">
        <v>4255</v>
      </c>
      <c r="B6307" t="s" s="847">
        <v>4256</v>
      </c>
      <c r="C6307" t="s" s="847">
        <v>772</v>
      </c>
      <c r="D6307" s="848"/>
      <c r="E6307" s="848"/>
      <c r="F6307" s="848"/>
      <c r="G6307" s="848"/>
      <c r="H6307" s="848"/>
      <c r="I6307" s="839"/>
      <c r="J6307" s="839"/>
      <c r="K6307" s="570"/>
    </row>
    <row r="6308" ht="13.75" customHeight="1">
      <c r="A6308" s="840">
        <v>315</v>
      </c>
      <c r="B6308" t="s" s="841">
        <v>157</v>
      </c>
      <c r="C6308" t="s" s="841">
        <v>480</v>
      </c>
      <c r="D6308" s="842">
        <v>46029</v>
      </c>
      <c r="E6308" t="s" s="841">
        <v>478</v>
      </c>
      <c r="F6308" t="s" s="841">
        <v>478</v>
      </c>
      <c r="G6308" t="s" s="844">
        <v>1741</v>
      </c>
      <c r="H6308" t="s" s="844">
        <v>1712</v>
      </c>
      <c r="I6308" t="s" s="844">
        <v>1741</v>
      </c>
      <c r="J6308" t="s" s="844">
        <v>1712</v>
      </c>
      <c r="K6308" s="858"/>
    </row>
    <row r="6309" ht="13.75" customHeight="1">
      <c r="A6309" s="840">
        <v>315</v>
      </c>
      <c r="B6309" t="s" s="841">
        <v>157</v>
      </c>
      <c r="C6309" t="s" s="841">
        <v>480</v>
      </c>
      <c r="D6309" s="842">
        <v>46030</v>
      </c>
      <c r="E6309" s="843">
        <v>1.363356481481481</v>
      </c>
      <c r="F6309" s="843">
        <v>1.761655092592592</v>
      </c>
      <c r="G6309" t="s" s="844">
        <v>1741</v>
      </c>
      <c r="H6309" t="s" s="844">
        <v>4252</v>
      </c>
      <c r="I6309" s="868"/>
      <c r="J6309" s="633"/>
      <c r="K6309" s="570"/>
    </row>
    <row r="6310" ht="13.75" customHeight="1">
      <c r="A6310" t="s" s="847">
        <v>4257</v>
      </c>
      <c r="B6310" t="s" s="847">
        <v>4258</v>
      </c>
      <c r="C6310" t="s" s="847">
        <v>611</v>
      </c>
      <c r="D6310" s="848"/>
      <c r="E6310" s="848"/>
      <c r="F6310" s="848"/>
      <c r="G6310" s="848"/>
      <c r="H6310" s="848"/>
      <c r="I6310" s="570"/>
      <c r="J6310" s="570"/>
      <c r="K6310" s="570"/>
    </row>
    <row r="6311" ht="13.75" customHeight="1">
      <c r="A6311" s="840">
        <v>315</v>
      </c>
      <c r="B6311" t="s" s="841">
        <v>157</v>
      </c>
      <c r="C6311" t="s" s="841">
        <v>480</v>
      </c>
      <c r="D6311" s="842">
        <v>46031</v>
      </c>
      <c r="E6311" s="843">
        <v>1.350520833333333</v>
      </c>
      <c r="F6311" s="843">
        <v>1.752893518518519</v>
      </c>
      <c r="G6311" s="845"/>
      <c r="H6311" s="845"/>
      <c r="I6311" s="858"/>
      <c r="J6311" s="570"/>
      <c r="K6311" s="570"/>
    </row>
    <row r="6312" ht="13.75" customHeight="1">
      <c r="A6312" t="s" s="847">
        <v>4259</v>
      </c>
      <c r="B6312" t="s" s="847">
        <v>4260</v>
      </c>
      <c r="C6312" t="s" s="847">
        <v>772</v>
      </c>
      <c r="D6312" s="848"/>
      <c r="E6312" s="848"/>
      <c r="F6312" s="848"/>
      <c r="G6312" s="848"/>
      <c r="H6312" s="848"/>
      <c r="I6312" s="570"/>
      <c r="J6312" s="570"/>
      <c r="K6312" s="570"/>
    </row>
    <row r="6313" ht="13.75" customHeight="1">
      <c r="A6313" s="840">
        <v>315</v>
      </c>
      <c r="B6313" t="s" s="841">
        <v>157</v>
      </c>
      <c r="C6313" t="s" s="841">
        <v>480</v>
      </c>
      <c r="D6313" s="842">
        <v>46032</v>
      </c>
      <c r="E6313" t="s" s="841">
        <v>478</v>
      </c>
      <c r="F6313" t="s" s="841">
        <v>478</v>
      </c>
      <c r="G6313" t="s" s="844">
        <v>1741</v>
      </c>
      <c r="H6313" t="s" s="844">
        <v>1713</v>
      </c>
      <c r="I6313" t="s" s="864">
        <v>1741</v>
      </c>
      <c r="J6313" t="s" s="837">
        <v>1713</v>
      </c>
      <c r="K6313" s="570"/>
    </row>
    <row r="6314" ht="13.75" customHeight="1">
      <c r="A6314" s="840">
        <v>315</v>
      </c>
      <c r="B6314" t="s" s="841">
        <v>157</v>
      </c>
      <c r="C6314" t="s" s="841">
        <v>480</v>
      </c>
      <c r="D6314" s="842">
        <v>46033</v>
      </c>
      <c r="E6314" t="s" s="841">
        <v>478</v>
      </c>
      <c r="F6314" t="s" s="841">
        <v>478</v>
      </c>
      <c r="G6314" t="s" s="844">
        <v>1741</v>
      </c>
      <c r="H6314" t="s" s="844">
        <v>1713</v>
      </c>
      <c r="I6314" t="s" s="864">
        <v>1741</v>
      </c>
      <c r="J6314" t="s" s="837">
        <v>1713</v>
      </c>
      <c r="K6314" s="570"/>
    </row>
    <row r="6315" ht="13.75" customHeight="1">
      <c r="A6315" s="840">
        <v>315</v>
      </c>
      <c r="B6315" t="s" s="841">
        <v>157</v>
      </c>
      <c r="C6315" t="s" s="841">
        <v>480</v>
      </c>
      <c r="D6315" s="842">
        <v>46034</v>
      </c>
      <c r="E6315" s="843">
        <v>1.352094907407407</v>
      </c>
      <c r="F6315" s="843">
        <v>1.762280092592593</v>
      </c>
      <c r="G6315" s="845"/>
      <c r="H6315" s="845"/>
      <c r="I6315" s="858"/>
      <c r="J6315" s="570"/>
      <c r="K6315" s="570"/>
    </row>
    <row r="6316" ht="13.75" customHeight="1">
      <c r="A6316" t="s" s="847">
        <v>4261</v>
      </c>
      <c r="B6316" t="s" s="847">
        <v>4262</v>
      </c>
      <c r="C6316" t="s" s="847">
        <v>1252</v>
      </c>
      <c r="D6316" s="848"/>
      <c r="E6316" s="848"/>
      <c r="F6316" s="848"/>
      <c r="G6316" s="848"/>
      <c r="H6316" s="848"/>
      <c r="I6316" s="570"/>
      <c r="J6316" s="570"/>
      <c r="K6316" s="570"/>
    </row>
    <row r="6317" ht="13.75" customHeight="1">
      <c r="A6317" s="840">
        <v>315</v>
      </c>
      <c r="B6317" t="s" s="841">
        <v>157</v>
      </c>
      <c r="C6317" t="s" s="841">
        <v>480</v>
      </c>
      <c r="D6317" s="842">
        <v>46035</v>
      </c>
      <c r="E6317" s="843">
        <v>1.351527777777778</v>
      </c>
      <c r="F6317" t="s" s="841">
        <v>478</v>
      </c>
      <c r="G6317" s="845"/>
      <c r="H6317" s="845"/>
      <c r="I6317" t="s" s="864">
        <v>1741</v>
      </c>
      <c r="J6317" t="s" s="837">
        <v>4263</v>
      </c>
      <c r="K6317" s="570"/>
    </row>
    <row r="6318" ht="13.75" customHeight="1">
      <c r="A6318" t="s" s="847">
        <v>4264</v>
      </c>
      <c r="B6318" t="s" s="847">
        <v>485</v>
      </c>
      <c r="C6318" t="s" s="847">
        <v>486</v>
      </c>
      <c r="D6318" s="848"/>
      <c r="E6318" s="848"/>
      <c r="F6318" s="848"/>
      <c r="G6318" s="848"/>
      <c r="H6318" s="848"/>
      <c r="I6318" s="570"/>
      <c r="J6318" s="570"/>
      <c r="K6318" s="570"/>
    </row>
    <row r="6319" ht="13.75" customHeight="1">
      <c r="A6319" s="840">
        <v>315</v>
      </c>
      <c r="B6319" t="s" s="841">
        <v>157</v>
      </c>
      <c r="C6319" t="s" s="841">
        <v>480</v>
      </c>
      <c r="D6319" s="842">
        <v>46036</v>
      </c>
      <c r="E6319" s="843">
        <v>1.361111111111111</v>
      </c>
      <c r="F6319" t="s" s="841">
        <v>478</v>
      </c>
      <c r="G6319" t="s" s="844">
        <v>1741</v>
      </c>
      <c r="H6319" t="s" s="844">
        <v>4175</v>
      </c>
      <c r="I6319" t="s" s="864">
        <v>1741</v>
      </c>
      <c r="J6319" t="s" s="837">
        <v>4263</v>
      </c>
      <c r="K6319" s="570"/>
    </row>
    <row r="6320" ht="13.75" customHeight="1">
      <c r="A6320" t="s" s="847">
        <v>4265</v>
      </c>
      <c r="B6320" t="s" s="847">
        <v>4266</v>
      </c>
      <c r="C6320" t="s" s="847">
        <v>2350</v>
      </c>
      <c r="D6320" s="848"/>
      <c r="E6320" s="848"/>
      <c r="F6320" s="848"/>
      <c r="G6320" s="848"/>
      <c r="H6320" s="848"/>
      <c r="I6320" s="570"/>
      <c r="J6320" s="570"/>
      <c r="K6320" s="570"/>
    </row>
    <row r="6321" ht="13.75" customHeight="1">
      <c r="A6321" s="840">
        <v>315</v>
      </c>
      <c r="B6321" t="s" s="841">
        <v>157</v>
      </c>
      <c r="C6321" t="s" s="841">
        <v>480</v>
      </c>
      <c r="D6321" s="842">
        <v>46037</v>
      </c>
      <c r="E6321" s="845"/>
      <c r="F6321" s="845"/>
      <c r="G6321" t="s" s="844">
        <v>1741</v>
      </c>
      <c r="H6321" t="s" s="844">
        <v>1712</v>
      </c>
      <c r="I6321" t="s" s="864">
        <v>1741</v>
      </c>
      <c r="J6321" t="s" s="837">
        <v>1712</v>
      </c>
      <c r="K6321" s="570"/>
    </row>
    <row r="6322" ht="13.75" customHeight="1">
      <c r="A6322" t="s" s="847">
        <v>4267</v>
      </c>
      <c r="B6322" t="s" s="847">
        <v>485</v>
      </c>
      <c r="C6322" t="s" s="847">
        <v>486</v>
      </c>
      <c r="D6322" s="848"/>
      <c r="E6322" s="848"/>
      <c r="F6322" s="848"/>
      <c r="G6322" s="848"/>
      <c r="H6322" s="848"/>
      <c r="I6322" s="570"/>
      <c r="J6322" s="570"/>
      <c r="K6322" s="570"/>
    </row>
    <row r="6323" ht="13.75" customHeight="1">
      <c r="A6323" s="840">
        <v>315</v>
      </c>
      <c r="B6323" t="s" s="841">
        <v>157</v>
      </c>
      <c r="C6323" t="s" s="841">
        <v>480</v>
      </c>
      <c r="D6323" s="842">
        <v>46038</v>
      </c>
      <c r="E6323" t="s" s="841">
        <v>478</v>
      </c>
      <c r="F6323" t="s" s="841">
        <v>478</v>
      </c>
      <c r="G6323" t="s" s="844">
        <v>1741</v>
      </c>
      <c r="H6323" t="s" s="844">
        <v>1712</v>
      </c>
      <c r="I6323" t="s" s="864">
        <v>1741</v>
      </c>
      <c r="J6323" t="s" s="837">
        <v>1712</v>
      </c>
      <c r="K6323" s="570"/>
    </row>
    <row r="6324" ht="13.75" customHeight="1">
      <c r="A6324" s="840">
        <v>315</v>
      </c>
      <c r="B6324" t="s" s="841">
        <v>157</v>
      </c>
      <c r="C6324" t="s" s="841">
        <v>480</v>
      </c>
      <c r="D6324" s="842">
        <v>46039</v>
      </c>
      <c r="E6324" t="s" s="841">
        <v>478</v>
      </c>
      <c r="F6324" t="s" s="841">
        <v>478</v>
      </c>
      <c r="G6324" t="s" s="844">
        <v>1741</v>
      </c>
      <c r="H6324" t="s" s="844">
        <v>1713</v>
      </c>
      <c r="I6324" t="s" s="864">
        <v>1741</v>
      </c>
      <c r="J6324" t="s" s="837">
        <v>1713</v>
      </c>
      <c r="K6324" s="570"/>
    </row>
    <row r="6325" ht="13.75" customHeight="1">
      <c r="A6325" s="840">
        <v>315</v>
      </c>
      <c r="B6325" t="s" s="841">
        <v>157</v>
      </c>
      <c r="C6325" t="s" s="841">
        <v>480</v>
      </c>
      <c r="D6325" s="842">
        <v>46040</v>
      </c>
      <c r="E6325" t="s" s="841">
        <v>478</v>
      </c>
      <c r="F6325" t="s" s="841">
        <v>478</v>
      </c>
      <c r="G6325" t="s" s="844">
        <v>1741</v>
      </c>
      <c r="H6325" t="s" s="844">
        <v>1713</v>
      </c>
      <c r="I6325" t="s" s="864">
        <v>1741</v>
      </c>
      <c r="J6325" t="s" s="837">
        <v>1713</v>
      </c>
      <c r="K6325" s="570"/>
    </row>
    <row r="6326" ht="13.75" customHeight="1">
      <c r="A6326" s="840">
        <v>315</v>
      </c>
      <c r="B6326" t="s" s="841">
        <v>157</v>
      </c>
      <c r="C6326" t="s" s="841">
        <v>480</v>
      </c>
      <c r="D6326" s="842">
        <v>46041</v>
      </c>
      <c r="E6326" t="s" s="841">
        <v>478</v>
      </c>
      <c r="F6326" t="s" s="841">
        <v>478</v>
      </c>
      <c r="G6326" t="s" s="844">
        <v>1741</v>
      </c>
      <c r="H6326" t="s" s="844">
        <v>1712</v>
      </c>
      <c r="I6326" t="s" s="864">
        <v>1741</v>
      </c>
      <c r="J6326" t="s" s="837">
        <v>1712</v>
      </c>
      <c r="K6326" s="570"/>
    </row>
    <row r="6327" ht="13.75" customHeight="1">
      <c r="A6327" s="840">
        <v>315</v>
      </c>
      <c r="B6327" t="s" s="841">
        <v>157</v>
      </c>
      <c r="C6327" t="s" s="841">
        <v>480</v>
      </c>
      <c r="D6327" s="842">
        <v>46042</v>
      </c>
      <c r="E6327" t="s" s="841">
        <v>478</v>
      </c>
      <c r="F6327" t="s" s="841">
        <v>478</v>
      </c>
      <c r="G6327" t="s" s="844">
        <v>1741</v>
      </c>
      <c r="H6327" t="s" s="844">
        <v>1712</v>
      </c>
      <c r="I6327" t="s" s="864">
        <v>1741</v>
      </c>
      <c r="J6327" t="s" s="837">
        <v>1712</v>
      </c>
      <c r="K6327" s="570"/>
    </row>
    <row r="6328" ht="13.75" customHeight="1">
      <c r="A6328" s="840">
        <v>315</v>
      </c>
      <c r="B6328" t="s" s="841">
        <v>157</v>
      </c>
      <c r="C6328" t="s" s="841">
        <v>480</v>
      </c>
      <c r="D6328" s="842">
        <v>46043</v>
      </c>
      <c r="E6328" s="843">
        <v>1.355833333333333</v>
      </c>
      <c r="F6328" t="s" s="841">
        <v>478</v>
      </c>
      <c r="G6328" t="s" s="844">
        <v>1741</v>
      </c>
      <c r="H6328" t="s" s="844">
        <v>4187</v>
      </c>
      <c r="I6328" s="858"/>
      <c r="J6328" s="570"/>
      <c r="K6328" s="570"/>
    </row>
    <row r="6329" ht="13.75" customHeight="1">
      <c r="A6329" t="s" s="847">
        <v>4268</v>
      </c>
      <c r="B6329" t="s" s="847">
        <v>485</v>
      </c>
      <c r="C6329" t="s" s="847">
        <v>486</v>
      </c>
      <c r="D6329" s="848"/>
      <c r="E6329" s="848"/>
      <c r="F6329" s="848"/>
      <c r="G6329" s="848"/>
      <c r="H6329" s="848"/>
      <c r="I6329" s="570"/>
      <c r="J6329" s="570"/>
      <c r="K6329" s="570"/>
    </row>
    <row r="6330" ht="13.75" customHeight="1">
      <c r="A6330" s="840">
        <v>315</v>
      </c>
      <c r="B6330" t="s" s="841">
        <v>157</v>
      </c>
      <c r="C6330" t="s" s="841">
        <v>480</v>
      </c>
      <c r="D6330" s="842">
        <v>46044</v>
      </c>
      <c r="E6330" s="843">
        <v>1.359351851851852</v>
      </c>
      <c r="F6330" s="843">
        <v>1.760127314814815</v>
      </c>
      <c r="G6330" t="s" s="844">
        <v>1741</v>
      </c>
      <c r="H6330" t="s" s="844">
        <v>4252</v>
      </c>
      <c r="I6330" s="858"/>
      <c r="J6330" s="570"/>
      <c r="K6330" s="570"/>
    </row>
    <row r="6331" ht="13.75" customHeight="1">
      <c r="A6331" t="s" s="849">
        <v>4269</v>
      </c>
      <c r="B6331" t="s" s="849">
        <v>4270</v>
      </c>
      <c r="C6331" t="s" s="849">
        <v>606</v>
      </c>
      <c r="D6331" s="633"/>
      <c r="E6331" s="633"/>
      <c r="F6331" s="633"/>
      <c r="G6331" s="633"/>
      <c r="H6331" s="633"/>
      <c r="I6331" s="570"/>
      <c r="J6331" s="570"/>
      <c r="K6331" s="570"/>
    </row>
    <row r="6332" ht="13.75" customHeight="1">
      <c r="A6332" s="833">
        <v>315</v>
      </c>
      <c r="B6332" t="s" s="834">
        <v>157</v>
      </c>
      <c r="C6332" t="s" s="834">
        <v>480</v>
      </c>
      <c r="D6332" s="835">
        <v>46045</v>
      </c>
      <c r="E6332" s="836">
        <v>1.349965277777778</v>
      </c>
      <c r="F6332" s="836">
        <v>1.760428240740741</v>
      </c>
      <c r="G6332" s="570"/>
      <c r="H6332" s="570"/>
      <c r="I6332" s="570"/>
      <c r="J6332" s="570"/>
      <c r="K6332" s="570"/>
    </row>
    <row r="6333" ht="13.75" customHeight="1">
      <c r="A6333" t="s" s="834">
        <v>4271</v>
      </c>
      <c r="B6333" t="s" s="834">
        <v>4272</v>
      </c>
      <c r="C6333" t="s" s="834">
        <v>1252</v>
      </c>
      <c r="D6333" s="570"/>
      <c r="E6333" s="570"/>
      <c r="F6333" s="570"/>
      <c r="G6333" s="570"/>
      <c r="H6333" s="570"/>
      <c r="I6333" s="570"/>
      <c r="J6333" s="570"/>
      <c r="K6333" s="570"/>
    </row>
    <row r="6334" ht="13.75" customHeight="1">
      <c r="A6334" s="833">
        <v>315</v>
      </c>
      <c r="B6334" t="s" s="834">
        <v>157</v>
      </c>
      <c r="C6334" t="s" s="834">
        <v>480</v>
      </c>
      <c r="D6334" s="835">
        <v>46046</v>
      </c>
      <c r="E6334" t="s" s="834">
        <v>478</v>
      </c>
      <c r="F6334" t="s" s="834">
        <v>478</v>
      </c>
      <c r="G6334" t="s" s="837">
        <v>1741</v>
      </c>
      <c r="H6334" t="s" s="837">
        <v>1713</v>
      </c>
      <c r="I6334" t="s" s="837">
        <v>1741</v>
      </c>
      <c r="J6334" t="s" s="837">
        <v>1713</v>
      </c>
      <c r="K6334" s="570"/>
    </row>
    <row r="6335" ht="13.75" customHeight="1">
      <c r="A6335" s="851">
        <v>315</v>
      </c>
      <c r="B6335" t="s" s="838">
        <v>157</v>
      </c>
      <c r="C6335" t="s" s="838">
        <v>480</v>
      </c>
      <c r="D6335" s="852">
        <v>46047</v>
      </c>
      <c r="E6335" t="s" s="838">
        <v>478</v>
      </c>
      <c r="F6335" t="s" s="838">
        <v>478</v>
      </c>
      <c r="G6335" t="s" s="853">
        <v>1741</v>
      </c>
      <c r="H6335" t="s" s="853">
        <v>1713</v>
      </c>
      <c r="I6335" t="s" s="837">
        <v>1741</v>
      </c>
      <c r="J6335" t="s" s="837">
        <v>1713</v>
      </c>
      <c r="K6335" s="570"/>
    </row>
    <row r="6336" ht="13.75" customHeight="1">
      <c r="A6336" s="840">
        <v>315</v>
      </c>
      <c r="B6336" t="s" s="841">
        <v>157</v>
      </c>
      <c r="C6336" t="s" s="841">
        <v>480</v>
      </c>
      <c r="D6336" s="842">
        <v>46048</v>
      </c>
      <c r="E6336" s="843">
        <v>1.576793981481482</v>
      </c>
      <c r="F6336" s="843">
        <v>1.763726851851852</v>
      </c>
      <c r="G6336" t="s" s="844">
        <v>1741</v>
      </c>
      <c r="H6336" t="s" s="844">
        <v>4273</v>
      </c>
      <c r="I6336" s="858"/>
      <c r="J6336" s="570"/>
      <c r="K6336" s="570"/>
    </row>
    <row r="6337" ht="13.75" customHeight="1">
      <c r="A6337" t="s" s="849">
        <v>4274</v>
      </c>
      <c r="B6337" t="s" s="849">
        <v>4275</v>
      </c>
      <c r="C6337" t="s" s="849">
        <v>1957</v>
      </c>
      <c r="D6337" s="633"/>
      <c r="E6337" s="633"/>
      <c r="F6337" s="633"/>
      <c r="G6337" s="633"/>
      <c r="H6337" s="633"/>
      <c r="I6337" s="570"/>
      <c r="J6337" s="570"/>
      <c r="K6337" s="570"/>
    </row>
    <row r="6338" ht="13.75" customHeight="1">
      <c r="A6338" s="833">
        <v>315</v>
      </c>
      <c r="B6338" t="s" s="834">
        <v>157</v>
      </c>
      <c r="C6338" t="s" s="834">
        <v>480</v>
      </c>
      <c r="D6338" s="835">
        <v>46049</v>
      </c>
      <c r="E6338" t="s" s="834">
        <v>478</v>
      </c>
      <c r="F6338" t="s" s="834">
        <v>478</v>
      </c>
      <c r="G6338" t="s" s="837">
        <v>1741</v>
      </c>
      <c r="H6338" t="s" s="837">
        <v>1742</v>
      </c>
      <c r="I6338" t="s" s="837">
        <v>1741</v>
      </c>
      <c r="J6338" t="s" s="837">
        <v>1742</v>
      </c>
      <c r="K6338" s="570"/>
    </row>
    <row r="6339" ht="13.75" customHeight="1">
      <c r="A6339" s="833">
        <v>315</v>
      </c>
      <c r="B6339" t="s" s="834">
        <v>157</v>
      </c>
      <c r="C6339" t="s" s="834">
        <v>480</v>
      </c>
      <c r="D6339" s="835">
        <v>46050</v>
      </c>
      <c r="E6339" s="836">
        <v>1.350127314814815</v>
      </c>
      <c r="F6339" s="836">
        <v>1.757071759259259</v>
      </c>
      <c r="G6339" s="570"/>
      <c r="H6339" s="570"/>
      <c r="I6339" s="570"/>
      <c r="J6339" s="570"/>
      <c r="K6339" s="570"/>
    </row>
    <row r="6340" ht="13.75" customHeight="1">
      <c r="A6340" t="s" s="834">
        <v>4276</v>
      </c>
      <c r="B6340" t="s" s="834">
        <v>4277</v>
      </c>
      <c r="C6340" t="s" s="834">
        <v>1113</v>
      </c>
      <c r="D6340" s="570"/>
      <c r="E6340" s="570"/>
      <c r="F6340" s="570"/>
      <c r="G6340" s="570"/>
      <c r="H6340" s="570"/>
      <c r="I6340" s="570"/>
      <c r="J6340" s="570"/>
      <c r="K6340" s="570"/>
    </row>
    <row r="6341" ht="13.75" customHeight="1">
      <c r="A6341" s="833">
        <v>315</v>
      </c>
      <c r="B6341" t="s" s="834">
        <v>157</v>
      </c>
      <c r="C6341" t="s" s="834">
        <v>480</v>
      </c>
      <c r="D6341" s="835">
        <v>46051</v>
      </c>
      <c r="E6341" s="836">
        <v>1.354618055555556</v>
      </c>
      <c r="F6341" s="836">
        <v>1.723634259259259</v>
      </c>
      <c r="G6341" s="570"/>
      <c r="H6341" s="570"/>
      <c r="I6341" t="s" s="837">
        <v>1741</v>
      </c>
      <c r="J6341" t="s" s="837">
        <v>4278</v>
      </c>
      <c r="K6341" s="570"/>
    </row>
    <row r="6342" ht="13.75" customHeight="1">
      <c r="A6342" t="s" s="834">
        <v>4279</v>
      </c>
      <c r="B6342" t="s" s="834">
        <v>4280</v>
      </c>
      <c r="C6342" t="s" s="834">
        <v>2749</v>
      </c>
      <c r="D6342" s="570"/>
      <c r="E6342" s="570"/>
      <c r="F6342" s="570"/>
      <c r="G6342" s="570"/>
      <c r="H6342" s="570"/>
      <c r="I6342" s="570"/>
      <c r="J6342" s="570"/>
      <c r="K6342" s="570"/>
    </row>
    <row r="6343" ht="13.75" customHeight="1">
      <c r="A6343" s="833">
        <v>315</v>
      </c>
      <c r="B6343" t="s" s="834">
        <v>157</v>
      </c>
      <c r="C6343" t="s" s="834">
        <v>480</v>
      </c>
      <c r="D6343" s="835">
        <v>46052</v>
      </c>
      <c r="E6343" t="s" s="834">
        <v>478</v>
      </c>
      <c r="F6343" t="s" s="834">
        <v>478</v>
      </c>
      <c r="G6343" t="s" s="837">
        <v>1741</v>
      </c>
      <c r="H6343" t="s" s="837">
        <v>1742</v>
      </c>
      <c r="I6343" t="s" s="837">
        <v>1741</v>
      </c>
      <c r="J6343" t="s" s="837">
        <v>1742</v>
      </c>
      <c r="K6343" s="570"/>
    </row>
    <row r="6344" ht="13.75" customHeight="1">
      <c r="A6344" s="833">
        <v>315</v>
      </c>
      <c r="B6344" t="s" s="834">
        <v>157</v>
      </c>
      <c r="C6344" t="s" s="834">
        <v>480</v>
      </c>
      <c r="D6344" s="835">
        <v>46053</v>
      </c>
      <c r="E6344" t="s" s="834">
        <v>478</v>
      </c>
      <c r="F6344" t="s" s="834">
        <v>478</v>
      </c>
      <c r="G6344" t="s" s="837">
        <v>1741</v>
      </c>
      <c r="H6344" t="s" s="837">
        <v>1713</v>
      </c>
      <c r="I6344" t="s" s="837">
        <v>1741</v>
      </c>
      <c r="J6344" t="s" s="837">
        <v>1713</v>
      </c>
      <c r="K6344" s="570"/>
    </row>
    <row r="6345" ht="13.75" customHeight="1">
      <c r="A6345" s="833">
        <v>316</v>
      </c>
      <c r="B6345" t="s" s="834">
        <v>4281</v>
      </c>
      <c r="C6345" t="s" s="834">
        <v>480</v>
      </c>
      <c r="D6345" s="835">
        <v>46023</v>
      </c>
      <c r="E6345" t="s" s="834">
        <v>478</v>
      </c>
      <c r="F6345" t="s" s="834">
        <v>478</v>
      </c>
      <c r="G6345" s="570"/>
      <c r="H6345" s="570"/>
      <c r="I6345" s="570"/>
      <c r="J6345" s="570"/>
      <c r="K6345" s="570"/>
    </row>
    <row r="6346" ht="13.75" customHeight="1">
      <c r="A6346" s="833">
        <v>316</v>
      </c>
      <c r="B6346" t="s" s="834">
        <v>4281</v>
      </c>
      <c r="C6346" t="s" s="834">
        <v>480</v>
      </c>
      <c r="D6346" s="835">
        <v>46024</v>
      </c>
      <c r="E6346" t="s" s="834">
        <v>478</v>
      </c>
      <c r="F6346" t="s" s="834">
        <v>478</v>
      </c>
      <c r="G6346" s="570"/>
      <c r="H6346" s="570"/>
      <c r="I6346" s="570"/>
      <c r="J6346" s="570"/>
      <c r="K6346" s="570"/>
    </row>
    <row r="6347" ht="13.75" customHeight="1">
      <c r="A6347" s="833">
        <v>316</v>
      </c>
      <c r="B6347" t="s" s="834">
        <v>4281</v>
      </c>
      <c r="C6347" t="s" s="834">
        <v>480</v>
      </c>
      <c r="D6347" s="835">
        <v>46025</v>
      </c>
      <c r="E6347" t="s" s="834">
        <v>478</v>
      </c>
      <c r="F6347" t="s" s="834">
        <v>478</v>
      </c>
      <c r="G6347" s="570"/>
      <c r="H6347" s="570"/>
      <c r="I6347" s="570"/>
      <c r="J6347" s="570"/>
      <c r="K6347" s="570"/>
    </row>
    <row r="6348" ht="13.75" customHeight="1">
      <c r="A6348" s="833">
        <v>316</v>
      </c>
      <c r="B6348" t="s" s="834">
        <v>4281</v>
      </c>
      <c r="C6348" t="s" s="834">
        <v>480</v>
      </c>
      <c r="D6348" s="835">
        <v>46026</v>
      </c>
      <c r="E6348" t="s" s="834">
        <v>478</v>
      </c>
      <c r="F6348" t="s" s="834">
        <v>478</v>
      </c>
      <c r="G6348" s="570"/>
      <c r="H6348" s="570"/>
      <c r="I6348" s="570"/>
      <c r="J6348" s="570"/>
      <c r="K6348" s="570"/>
    </row>
    <row r="6349" ht="13.75" customHeight="1">
      <c r="A6349" s="833">
        <v>316</v>
      </c>
      <c r="B6349" t="s" s="834">
        <v>4281</v>
      </c>
      <c r="C6349" t="s" s="834">
        <v>480</v>
      </c>
      <c r="D6349" s="835">
        <v>46027</v>
      </c>
      <c r="E6349" t="s" s="834">
        <v>478</v>
      </c>
      <c r="F6349" t="s" s="834">
        <v>478</v>
      </c>
      <c r="G6349" s="570"/>
      <c r="H6349" s="570"/>
      <c r="I6349" s="570"/>
      <c r="J6349" s="570"/>
      <c r="K6349" s="570"/>
    </row>
    <row r="6350" ht="13.75" customHeight="1">
      <c r="A6350" s="833">
        <v>316</v>
      </c>
      <c r="B6350" t="s" s="834">
        <v>4281</v>
      </c>
      <c r="C6350" t="s" s="834">
        <v>480</v>
      </c>
      <c r="D6350" s="835">
        <v>46028</v>
      </c>
      <c r="E6350" t="s" s="834">
        <v>478</v>
      </c>
      <c r="F6350" t="s" s="834">
        <v>478</v>
      </c>
      <c r="G6350" s="570"/>
      <c r="H6350" s="570"/>
      <c r="I6350" s="570"/>
      <c r="J6350" s="570"/>
      <c r="K6350" s="570"/>
    </row>
    <row r="6351" ht="13.75" customHeight="1">
      <c r="A6351" s="833">
        <v>316</v>
      </c>
      <c r="B6351" t="s" s="834">
        <v>4281</v>
      </c>
      <c r="C6351" t="s" s="834">
        <v>480</v>
      </c>
      <c r="D6351" s="835">
        <v>46029</v>
      </c>
      <c r="E6351" t="s" s="834">
        <v>478</v>
      </c>
      <c r="F6351" t="s" s="834">
        <v>478</v>
      </c>
      <c r="G6351" s="570"/>
      <c r="H6351" s="570"/>
      <c r="I6351" s="570"/>
      <c r="J6351" s="570"/>
      <c r="K6351" s="570"/>
    </row>
    <row r="6352" ht="13.75" customHeight="1">
      <c r="A6352" s="833">
        <v>316</v>
      </c>
      <c r="B6352" t="s" s="834">
        <v>4281</v>
      </c>
      <c r="C6352" t="s" s="834">
        <v>480</v>
      </c>
      <c r="D6352" s="835">
        <v>46030</v>
      </c>
      <c r="E6352" t="s" s="834">
        <v>478</v>
      </c>
      <c r="F6352" t="s" s="834">
        <v>478</v>
      </c>
      <c r="G6352" s="570"/>
      <c r="H6352" s="570"/>
      <c r="I6352" s="570"/>
      <c r="J6352" s="570"/>
      <c r="K6352" s="570"/>
    </row>
    <row r="6353" ht="13.75" customHeight="1">
      <c r="A6353" s="833">
        <v>316</v>
      </c>
      <c r="B6353" t="s" s="834">
        <v>4281</v>
      </c>
      <c r="C6353" t="s" s="834">
        <v>480</v>
      </c>
      <c r="D6353" s="835">
        <v>46031</v>
      </c>
      <c r="E6353" t="s" s="834">
        <v>478</v>
      </c>
      <c r="F6353" t="s" s="834">
        <v>478</v>
      </c>
      <c r="G6353" s="570"/>
      <c r="H6353" s="570"/>
      <c r="I6353" s="570"/>
      <c r="J6353" s="570"/>
      <c r="K6353" s="570"/>
    </row>
    <row r="6354" ht="13.75" customHeight="1">
      <c r="A6354" s="833">
        <v>316</v>
      </c>
      <c r="B6354" t="s" s="834">
        <v>4281</v>
      </c>
      <c r="C6354" t="s" s="834">
        <v>480</v>
      </c>
      <c r="D6354" s="835">
        <v>46032</v>
      </c>
      <c r="E6354" t="s" s="834">
        <v>478</v>
      </c>
      <c r="F6354" t="s" s="834">
        <v>478</v>
      </c>
      <c r="G6354" s="570"/>
      <c r="H6354" s="570"/>
      <c r="I6354" s="570"/>
      <c r="J6354" s="570"/>
      <c r="K6354" s="570"/>
    </row>
    <row r="6355" ht="13.75" customHeight="1">
      <c r="A6355" s="833">
        <v>316</v>
      </c>
      <c r="B6355" t="s" s="834">
        <v>4281</v>
      </c>
      <c r="C6355" t="s" s="834">
        <v>480</v>
      </c>
      <c r="D6355" s="835">
        <v>46033</v>
      </c>
      <c r="E6355" t="s" s="834">
        <v>478</v>
      </c>
      <c r="F6355" t="s" s="834">
        <v>478</v>
      </c>
      <c r="G6355" s="570"/>
      <c r="H6355" s="570"/>
      <c r="I6355" s="570"/>
      <c r="J6355" s="570"/>
      <c r="K6355" s="570"/>
    </row>
    <row r="6356" ht="13.75" customHeight="1">
      <c r="A6356" s="833">
        <v>316</v>
      </c>
      <c r="B6356" t="s" s="834">
        <v>4281</v>
      </c>
      <c r="C6356" t="s" s="834">
        <v>480</v>
      </c>
      <c r="D6356" s="835">
        <v>46034</v>
      </c>
      <c r="E6356" t="s" s="834">
        <v>478</v>
      </c>
      <c r="F6356" t="s" s="834">
        <v>478</v>
      </c>
      <c r="G6356" s="570"/>
      <c r="H6356" s="570"/>
      <c r="I6356" s="570"/>
      <c r="J6356" s="570"/>
      <c r="K6356" s="570"/>
    </row>
    <row r="6357" ht="13.75" customHeight="1">
      <c r="A6357" s="833">
        <v>316</v>
      </c>
      <c r="B6357" t="s" s="834">
        <v>4281</v>
      </c>
      <c r="C6357" t="s" s="834">
        <v>480</v>
      </c>
      <c r="D6357" s="835">
        <v>46035</v>
      </c>
      <c r="E6357" t="s" s="834">
        <v>478</v>
      </c>
      <c r="F6357" t="s" s="834">
        <v>478</v>
      </c>
      <c r="G6357" s="570"/>
      <c r="H6357" s="570"/>
      <c r="I6357" s="570"/>
      <c r="J6357" s="570"/>
      <c r="K6357" s="570"/>
    </row>
    <row r="6358" ht="13.75" customHeight="1">
      <c r="A6358" s="833">
        <v>316</v>
      </c>
      <c r="B6358" t="s" s="834">
        <v>4281</v>
      </c>
      <c r="C6358" t="s" s="834">
        <v>480</v>
      </c>
      <c r="D6358" s="835">
        <v>46036</v>
      </c>
      <c r="E6358" t="s" s="834">
        <v>478</v>
      </c>
      <c r="F6358" t="s" s="834">
        <v>478</v>
      </c>
      <c r="G6358" s="570"/>
      <c r="H6358" s="570"/>
      <c r="I6358" s="570"/>
      <c r="J6358" s="570"/>
      <c r="K6358" s="570"/>
    </row>
    <row r="6359" ht="13.75" customHeight="1">
      <c r="A6359" s="833">
        <v>316</v>
      </c>
      <c r="B6359" t="s" s="834">
        <v>4281</v>
      </c>
      <c r="C6359" t="s" s="834">
        <v>480</v>
      </c>
      <c r="D6359" s="835">
        <v>46037</v>
      </c>
      <c r="E6359" t="s" s="834">
        <v>478</v>
      </c>
      <c r="F6359" t="s" s="834">
        <v>478</v>
      </c>
      <c r="G6359" s="570"/>
      <c r="H6359" s="570"/>
      <c r="I6359" s="570"/>
      <c r="J6359" s="570"/>
      <c r="K6359" s="570"/>
    </row>
    <row r="6360" ht="13.75" customHeight="1">
      <c r="A6360" s="833">
        <v>316</v>
      </c>
      <c r="B6360" t="s" s="834">
        <v>4281</v>
      </c>
      <c r="C6360" t="s" s="834">
        <v>480</v>
      </c>
      <c r="D6360" s="835">
        <v>46038</v>
      </c>
      <c r="E6360" t="s" s="834">
        <v>478</v>
      </c>
      <c r="F6360" t="s" s="834">
        <v>478</v>
      </c>
      <c r="G6360" s="570"/>
      <c r="H6360" s="570"/>
      <c r="I6360" s="570"/>
      <c r="J6360" s="570"/>
      <c r="K6360" s="570"/>
    </row>
    <row r="6361" ht="13.75" customHeight="1">
      <c r="A6361" s="833">
        <v>316</v>
      </c>
      <c r="B6361" t="s" s="834">
        <v>4281</v>
      </c>
      <c r="C6361" t="s" s="834">
        <v>480</v>
      </c>
      <c r="D6361" s="835">
        <v>46039</v>
      </c>
      <c r="E6361" t="s" s="834">
        <v>478</v>
      </c>
      <c r="F6361" t="s" s="834">
        <v>478</v>
      </c>
      <c r="G6361" s="570"/>
      <c r="H6361" s="570"/>
      <c r="I6361" s="570"/>
      <c r="J6361" s="570"/>
      <c r="K6361" s="570"/>
    </row>
    <row r="6362" ht="13.75" customHeight="1">
      <c r="A6362" s="833">
        <v>316</v>
      </c>
      <c r="B6362" t="s" s="834">
        <v>4281</v>
      </c>
      <c r="C6362" t="s" s="834">
        <v>480</v>
      </c>
      <c r="D6362" s="835">
        <v>46040</v>
      </c>
      <c r="E6362" t="s" s="834">
        <v>478</v>
      </c>
      <c r="F6362" t="s" s="834">
        <v>478</v>
      </c>
      <c r="G6362" s="570"/>
      <c r="H6362" s="570"/>
      <c r="I6362" s="570"/>
      <c r="J6362" s="570"/>
      <c r="K6362" s="570"/>
    </row>
    <row r="6363" ht="13.75" customHeight="1">
      <c r="A6363" s="833">
        <v>316</v>
      </c>
      <c r="B6363" t="s" s="834">
        <v>4281</v>
      </c>
      <c r="C6363" t="s" s="834">
        <v>480</v>
      </c>
      <c r="D6363" s="835">
        <v>46041</v>
      </c>
      <c r="E6363" t="s" s="834">
        <v>478</v>
      </c>
      <c r="F6363" t="s" s="834">
        <v>478</v>
      </c>
      <c r="G6363" s="570"/>
      <c r="H6363" s="570"/>
      <c r="I6363" s="570"/>
      <c r="J6363" s="570"/>
      <c r="K6363" s="570"/>
    </row>
    <row r="6364" ht="13.75" customHeight="1">
      <c r="A6364" s="833">
        <v>316</v>
      </c>
      <c r="B6364" t="s" s="834">
        <v>4281</v>
      </c>
      <c r="C6364" t="s" s="834">
        <v>480</v>
      </c>
      <c r="D6364" s="835">
        <v>46042</v>
      </c>
      <c r="E6364" t="s" s="834">
        <v>478</v>
      </c>
      <c r="F6364" t="s" s="834">
        <v>478</v>
      </c>
      <c r="G6364" s="570"/>
      <c r="H6364" s="570"/>
      <c r="I6364" s="570"/>
      <c r="J6364" s="570"/>
      <c r="K6364" s="570"/>
    </row>
    <row r="6365" ht="13.75" customHeight="1">
      <c r="A6365" s="833">
        <v>316</v>
      </c>
      <c r="B6365" t="s" s="834">
        <v>4281</v>
      </c>
      <c r="C6365" t="s" s="834">
        <v>480</v>
      </c>
      <c r="D6365" s="835">
        <v>46043</v>
      </c>
      <c r="E6365" t="s" s="834">
        <v>478</v>
      </c>
      <c r="F6365" t="s" s="834">
        <v>478</v>
      </c>
      <c r="G6365" s="570"/>
      <c r="H6365" s="570"/>
      <c r="I6365" s="570"/>
      <c r="J6365" s="570"/>
      <c r="K6365" s="570"/>
    </row>
    <row r="6366" ht="13.75" customHeight="1">
      <c r="A6366" s="833">
        <v>316</v>
      </c>
      <c r="B6366" t="s" s="834">
        <v>4281</v>
      </c>
      <c r="C6366" t="s" s="834">
        <v>480</v>
      </c>
      <c r="D6366" s="835">
        <v>46044</v>
      </c>
      <c r="E6366" t="s" s="834">
        <v>478</v>
      </c>
      <c r="F6366" t="s" s="834">
        <v>478</v>
      </c>
      <c r="G6366" s="570"/>
      <c r="H6366" s="570"/>
      <c r="I6366" s="570"/>
      <c r="J6366" s="570"/>
      <c r="K6366" s="570"/>
    </row>
    <row r="6367" ht="13.75" customHeight="1">
      <c r="A6367" s="833">
        <v>316</v>
      </c>
      <c r="B6367" t="s" s="834">
        <v>4281</v>
      </c>
      <c r="C6367" t="s" s="834">
        <v>480</v>
      </c>
      <c r="D6367" s="835">
        <v>46045</v>
      </c>
      <c r="E6367" t="s" s="834">
        <v>478</v>
      </c>
      <c r="F6367" t="s" s="834">
        <v>478</v>
      </c>
      <c r="G6367" s="570"/>
      <c r="H6367" s="570"/>
      <c r="I6367" s="570"/>
      <c r="J6367" s="570"/>
      <c r="K6367" s="570"/>
    </row>
    <row r="6368" ht="13.75" customHeight="1">
      <c r="A6368" s="833">
        <v>316</v>
      </c>
      <c r="B6368" t="s" s="834">
        <v>4281</v>
      </c>
      <c r="C6368" t="s" s="834">
        <v>480</v>
      </c>
      <c r="D6368" s="835">
        <v>46046</v>
      </c>
      <c r="E6368" t="s" s="834">
        <v>478</v>
      </c>
      <c r="F6368" t="s" s="834">
        <v>478</v>
      </c>
      <c r="G6368" s="570"/>
      <c r="H6368" s="570"/>
      <c r="I6368" s="570"/>
      <c r="J6368" s="570"/>
      <c r="K6368" s="570"/>
    </row>
    <row r="6369" ht="13.75" customHeight="1">
      <c r="A6369" s="833">
        <v>316</v>
      </c>
      <c r="B6369" t="s" s="834">
        <v>4281</v>
      </c>
      <c r="C6369" t="s" s="834">
        <v>480</v>
      </c>
      <c r="D6369" s="835">
        <v>46047</v>
      </c>
      <c r="E6369" t="s" s="834">
        <v>478</v>
      </c>
      <c r="F6369" t="s" s="834">
        <v>478</v>
      </c>
      <c r="G6369" s="570"/>
      <c r="H6369" s="570"/>
      <c r="I6369" s="570"/>
      <c r="J6369" s="570"/>
      <c r="K6369" s="570"/>
    </row>
    <row r="6370" ht="13.75" customHeight="1">
      <c r="A6370" s="833">
        <v>316</v>
      </c>
      <c r="B6370" t="s" s="834">
        <v>4281</v>
      </c>
      <c r="C6370" t="s" s="834">
        <v>480</v>
      </c>
      <c r="D6370" s="835">
        <v>46048</v>
      </c>
      <c r="E6370" t="s" s="834">
        <v>478</v>
      </c>
      <c r="F6370" t="s" s="834">
        <v>478</v>
      </c>
      <c r="G6370" s="570"/>
      <c r="H6370" s="570"/>
      <c r="I6370" s="570"/>
      <c r="J6370" s="570"/>
      <c r="K6370" s="570"/>
    </row>
    <row r="6371" ht="13.75" customHeight="1">
      <c r="A6371" s="833">
        <v>316</v>
      </c>
      <c r="B6371" t="s" s="834">
        <v>4281</v>
      </c>
      <c r="C6371" t="s" s="834">
        <v>480</v>
      </c>
      <c r="D6371" s="835">
        <v>46049</v>
      </c>
      <c r="E6371" t="s" s="834">
        <v>478</v>
      </c>
      <c r="F6371" t="s" s="834">
        <v>478</v>
      </c>
      <c r="G6371" s="570"/>
      <c r="H6371" s="570"/>
      <c r="I6371" s="570"/>
      <c r="J6371" s="570"/>
      <c r="K6371" s="570"/>
    </row>
    <row r="6372" ht="13.75" customHeight="1">
      <c r="A6372" s="833">
        <v>316</v>
      </c>
      <c r="B6372" t="s" s="834">
        <v>4281</v>
      </c>
      <c r="C6372" t="s" s="834">
        <v>480</v>
      </c>
      <c r="D6372" s="835">
        <v>46050</v>
      </c>
      <c r="E6372" t="s" s="834">
        <v>478</v>
      </c>
      <c r="F6372" t="s" s="834">
        <v>478</v>
      </c>
      <c r="G6372" s="570"/>
      <c r="H6372" s="570"/>
      <c r="I6372" s="570"/>
      <c r="J6372" s="570"/>
      <c r="K6372" s="570"/>
    </row>
    <row r="6373" ht="13.75" customHeight="1">
      <c r="A6373" s="833">
        <v>316</v>
      </c>
      <c r="B6373" t="s" s="834">
        <v>4281</v>
      </c>
      <c r="C6373" t="s" s="834">
        <v>480</v>
      </c>
      <c r="D6373" s="835">
        <v>46051</v>
      </c>
      <c r="E6373" t="s" s="834">
        <v>478</v>
      </c>
      <c r="F6373" t="s" s="834">
        <v>478</v>
      </c>
      <c r="G6373" s="570"/>
      <c r="H6373" s="570"/>
      <c r="I6373" s="570"/>
      <c r="J6373" s="570"/>
      <c r="K6373" s="570"/>
    </row>
    <row r="6374" ht="13.75" customHeight="1">
      <c r="A6374" s="833">
        <v>316</v>
      </c>
      <c r="B6374" t="s" s="834">
        <v>4281</v>
      </c>
      <c r="C6374" t="s" s="834">
        <v>480</v>
      </c>
      <c r="D6374" s="835">
        <v>46052</v>
      </c>
      <c r="E6374" t="s" s="834">
        <v>478</v>
      </c>
      <c r="F6374" t="s" s="834">
        <v>478</v>
      </c>
      <c r="G6374" s="570"/>
      <c r="H6374" s="570"/>
      <c r="I6374" s="570"/>
      <c r="J6374" s="570"/>
      <c r="K6374" s="570"/>
    </row>
    <row r="6375" ht="13.75" customHeight="1">
      <c r="A6375" s="833">
        <v>316</v>
      </c>
      <c r="B6375" t="s" s="834">
        <v>4281</v>
      </c>
      <c r="C6375" t="s" s="834">
        <v>480</v>
      </c>
      <c r="D6375" s="835">
        <v>46053</v>
      </c>
      <c r="E6375" t="s" s="834">
        <v>478</v>
      </c>
      <c r="F6375" t="s" s="834">
        <v>478</v>
      </c>
      <c r="G6375" s="570"/>
      <c r="H6375" s="570"/>
      <c r="I6375" s="570"/>
      <c r="J6375" s="570"/>
      <c r="K6375" s="570"/>
    </row>
    <row r="6376" ht="13.75" customHeight="1">
      <c r="A6376" s="833">
        <v>316</v>
      </c>
      <c r="B6376" t="s" s="834">
        <v>4281</v>
      </c>
      <c r="C6376" t="s" s="834">
        <v>480</v>
      </c>
      <c r="D6376" s="835">
        <v>46054</v>
      </c>
      <c r="E6376" t="s" s="834">
        <v>478</v>
      </c>
      <c r="F6376" t="s" s="834">
        <v>478</v>
      </c>
      <c r="G6376" s="570"/>
      <c r="H6376" s="570"/>
      <c r="I6376" s="570"/>
      <c r="J6376" s="570"/>
      <c r="K6376" s="570"/>
    </row>
    <row r="6377" ht="13.75" customHeight="1">
      <c r="A6377" s="833">
        <v>317</v>
      </c>
      <c r="B6377" t="s" s="834">
        <v>267</v>
      </c>
      <c r="C6377" t="s" s="834">
        <v>480</v>
      </c>
      <c r="D6377" s="835">
        <v>46023</v>
      </c>
      <c r="E6377" t="s" s="834">
        <v>478</v>
      </c>
      <c r="F6377" t="s" s="834">
        <v>478</v>
      </c>
      <c r="G6377" s="570"/>
      <c r="H6377" s="570"/>
      <c r="I6377" s="570"/>
      <c r="J6377" s="570"/>
      <c r="K6377" s="570"/>
    </row>
    <row r="6378" ht="13.75" customHeight="1">
      <c r="A6378" s="833">
        <v>317</v>
      </c>
      <c r="B6378" t="s" s="834">
        <v>267</v>
      </c>
      <c r="C6378" t="s" s="834">
        <v>480</v>
      </c>
      <c r="D6378" s="835">
        <v>46024</v>
      </c>
      <c r="E6378" t="s" s="834">
        <v>478</v>
      </c>
      <c r="F6378" t="s" s="834">
        <v>478</v>
      </c>
      <c r="G6378" s="570"/>
      <c r="H6378" s="570"/>
      <c r="I6378" s="570"/>
      <c r="J6378" s="570"/>
      <c r="K6378" s="570"/>
    </row>
    <row r="6379" ht="13.75" customHeight="1">
      <c r="A6379" s="833">
        <v>317</v>
      </c>
      <c r="B6379" t="s" s="834">
        <v>267</v>
      </c>
      <c r="C6379" t="s" s="834">
        <v>480</v>
      </c>
      <c r="D6379" s="835">
        <v>46025</v>
      </c>
      <c r="E6379" t="s" s="834">
        <v>478</v>
      </c>
      <c r="F6379" t="s" s="834">
        <v>478</v>
      </c>
      <c r="G6379" s="570"/>
      <c r="H6379" s="570"/>
      <c r="I6379" s="570"/>
      <c r="J6379" s="570"/>
      <c r="K6379" s="570"/>
    </row>
    <row r="6380" ht="13.75" customHeight="1">
      <c r="A6380" s="833">
        <v>317</v>
      </c>
      <c r="B6380" t="s" s="834">
        <v>267</v>
      </c>
      <c r="C6380" t="s" s="834">
        <v>480</v>
      </c>
      <c r="D6380" s="835">
        <v>46026</v>
      </c>
      <c r="E6380" t="s" s="834">
        <v>478</v>
      </c>
      <c r="F6380" t="s" s="834">
        <v>478</v>
      </c>
      <c r="G6380" s="570"/>
      <c r="H6380" s="570"/>
      <c r="I6380" s="570"/>
      <c r="J6380" s="570"/>
      <c r="K6380" s="570"/>
    </row>
    <row r="6381" ht="13.75" customHeight="1">
      <c r="A6381" s="833">
        <v>317</v>
      </c>
      <c r="B6381" t="s" s="834">
        <v>267</v>
      </c>
      <c r="C6381" t="s" s="834">
        <v>480</v>
      </c>
      <c r="D6381" s="835">
        <v>46027</v>
      </c>
      <c r="E6381" t="s" s="834">
        <v>478</v>
      </c>
      <c r="F6381" t="s" s="834">
        <v>478</v>
      </c>
      <c r="G6381" s="570"/>
      <c r="H6381" s="570"/>
      <c r="I6381" s="570"/>
      <c r="J6381" s="570"/>
      <c r="K6381" s="570"/>
    </row>
    <row r="6382" ht="13.75" customHeight="1">
      <c r="A6382" s="833">
        <v>317</v>
      </c>
      <c r="B6382" t="s" s="834">
        <v>267</v>
      </c>
      <c r="C6382" t="s" s="834">
        <v>480</v>
      </c>
      <c r="D6382" s="835">
        <v>46028</v>
      </c>
      <c r="E6382" t="s" s="834">
        <v>478</v>
      </c>
      <c r="F6382" t="s" s="834">
        <v>478</v>
      </c>
      <c r="G6382" s="570"/>
      <c r="H6382" s="570"/>
      <c r="I6382" s="570"/>
      <c r="J6382" s="570"/>
      <c r="K6382" s="570"/>
    </row>
    <row r="6383" ht="13.75" customHeight="1">
      <c r="A6383" s="833">
        <v>317</v>
      </c>
      <c r="B6383" t="s" s="834">
        <v>267</v>
      </c>
      <c r="C6383" t="s" s="834">
        <v>480</v>
      </c>
      <c r="D6383" s="835">
        <v>46029</v>
      </c>
      <c r="E6383" t="s" s="834">
        <v>478</v>
      </c>
      <c r="F6383" t="s" s="834">
        <v>478</v>
      </c>
      <c r="G6383" s="570"/>
      <c r="H6383" s="570"/>
      <c r="I6383" s="570"/>
      <c r="J6383" s="570"/>
      <c r="K6383" s="570"/>
    </row>
    <row r="6384" ht="13.75" customHeight="1">
      <c r="A6384" s="833">
        <v>317</v>
      </c>
      <c r="B6384" t="s" s="834">
        <v>267</v>
      </c>
      <c r="C6384" t="s" s="834">
        <v>480</v>
      </c>
      <c r="D6384" s="835">
        <v>46030</v>
      </c>
      <c r="E6384" t="s" s="834">
        <v>478</v>
      </c>
      <c r="F6384" t="s" s="834">
        <v>478</v>
      </c>
      <c r="G6384" s="570"/>
      <c r="H6384" s="570"/>
      <c r="I6384" s="570"/>
      <c r="J6384" s="570"/>
      <c r="K6384" s="570"/>
    </row>
    <row r="6385" ht="13.75" customHeight="1">
      <c r="A6385" s="833">
        <v>317</v>
      </c>
      <c r="B6385" t="s" s="834">
        <v>267</v>
      </c>
      <c r="C6385" t="s" s="834">
        <v>480</v>
      </c>
      <c r="D6385" s="835">
        <v>46031</v>
      </c>
      <c r="E6385" t="s" s="834">
        <v>478</v>
      </c>
      <c r="F6385" t="s" s="834">
        <v>478</v>
      </c>
      <c r="G6385" s="570"/>
      <c r="H6385" s="570"/>
      <c r="I6385" s="570"/>
      <c r="J6385" s="570"/>
      <c r="K6385" s="570"/>
    </row>
    <row r="6386" ht="13.75" customHeight="1">
      <c r="A6386" s="833">
        <v>317</v>
      </c>
      <c r="B6386" t="s" s="834">
        <v>267</v>
      </c>
      <c r="C6386" t="s" s="834">
        <v>480</v>
      </c>
      <c r="D6386" s="835">
        <v>46032</v>
      </c>
      <c r="E6386" t="s" s="834">
        <v>478</v>
      </c>
      <c r="F6386" t="s" s="834">
        <v>478</v>
      </c>
      <c r="G6386" s="570"/>
      <c r="H6386" s="570"/>
      <c r="I6386" s="570"/>
      <c r="J6386" s="570"/>
      <c r="K6386" s="570"/>
    </row>
    <row r="6387" ht="13.75" customHeight="1">
      <c r="A6387" s="833">
        <v>317</v>
      </c>
      <c r="B6387" t="s" s="834">
        <v>267</v>
      </c>
      <c r="C6387" t="s" s="834">
        <v>480</v>
      </c>
      <c r="D6387" s="835">
        <v>46033</v>
      </c>
      <c r="E6387" t="s" s="834">
        <v>478</v>
      </c>
      <c r="F6387" t="s" s="834">
        <v>478</v>
      </c>
      <c r="G6387" s="570"/>
      <c r="H6387" s="570"/>
      <c r="I6387" s="570"/>
      <c r="J6387" s="570"/>
      <c r="K6387" s="570"/>
    </row>
    <row r="6388" ht="13.75" customHeight="1">
      <c r="A6388" s="833">
        <v>317</v>
      </c>
      <c r="B6388" t="s" s="834">
        <v>267</v>
      </c>
      <c r="C6388" t="s" s="834">
        <v>480</v>
      </c>
      <c r="D6388" s="835">
        <v>46034</v>
      </c>
      <c r="E6388" t="s" s="834">
        <v>478</v>
      </c>
      <c r="F6388" t="s" s="834">
        <v>478</v>
      </c>
      <c r="G6388" s="570"/>
      <c r="H6388" s="570"/>
      <c r="I6388" s="570"/>
      <c r="J6388" s="570"/>
      <c r="K6388" s="570"/>
    </row>
    <row r="6389" ht="13.75" customHeight="1">
      <c r="A6389" s="833">
        <v>317</v>
      </c>
      <c r="B6389" t="s" s="834">
        <v>267</v>
      </c>
      <c r="C6389" t="s" s="834">
        <v>480</v>
      </c>
      <c r="D6389" s="835">
        <v>46035</v>
      </c>
      <c r="E6389" t="s" s="834">
        <v>478</v>
      </c>
      <c r="F6389" t="s" s="834">
        <v>478</v>
      </c>
      <c r="G6389" s="570"/>
      <c r="H6389" s="570"/>
      <c r="I6389" s="570"/>
      <c r="J6389" s="570"/>
      <c r="K6389" s="570"/>
    </row>
    <row r="6390" ht="13.75" customHeight="1">
      <c r="A6390" s="833">
        <v>317</v>
      </c>
      <c r="B6390" t="s" s="834">
        <v>267</v>
      </c>
      <c r="C6390" t="s" s="834">
        <v>480</v>
      </c>
      <c r="D6390" s="835">
        <v>46036</v>
      </c>
      <c r="E6390" t="s" s="834">
        <v>478</v>
      </c>
      <c r="F6390" t="s" s="834">
        <v>478</v>
      </c>
      <c r="G6390" s="570"/>
      <c r="H6390" s="570"/>
      <c r="I6390" s="570"/>
      <c r="J6390" s="570"/>
      <c r="K6390" s="570"/>
    </row>
    <row r="6391" ht="13.75" customHeight="1">
      <c r="A6391" s="833">
        <v>317</v>
      </c>
      <c r="B6391" t="s" s="834">
        <v>267</v>
      </c>
      <c r="C6391" t="s" s="834">
        <v>480</v>
      </c>
      <c r="D6391" s="835">
        <v>46037</v>
      </c>
      <c r="E6391" t="s" s="834">
        <v>478</v>
      </c>
      <c r="F6391" t="s" s="834">
        <v>478</v>
      </c>
      <c r="G6391" s="570"/>
      <c r="H6391" s="570"/>
      <c r="I6391" s="570"/>
      <c r="J6391" s="570"/>
      <c r="K6391" s="570"/>
    </row>
    <row r="6392" ht="13.75" customHeight="1">
      <c r="A6392" s="833">
        <v>317</v>
      </c>
      <c r="B6392" t="s" s="834">
        <v>267</v>
      </c>
      <c r="C6392" t="s" s="834">
        <v>480</v>
      </c>
      <c r="D6392" s="835">
        <v>46038</v>
      </c>
      <c r="E6392" t="s" s="834">
        <v>478</v>
      </c>
      <c r="F6392" t="s" s="834">
        <v>478</v>
      </c>
      <c r="G6392" s="570"/>
      <c r="H6392" s="570"/>
      <c r="I6392" s="570"/>
      <c r="J6392" s="570"/>
      <c r="K6392" s="570"/>
    </row>
    <row r="6393" ht="13.75" customHeight="1">
      <c r="A6393" s="833">
        <v>317</v>
      </c>
      <c r="B6393" t="s" s="834">
        <v>267</v>
      </c>
      <c r="C6393" t="s" s="834">
        <v>480</v>
      </c>
      <c r="D6393" s="835">
        <v>46039</v>
      </c>
      <c r="E6393" t="s" s="834">
        <v>478</v>
      </c>
      <c r="F6393" t="s" s="834">
        <v>478</v>
      </c>
      <c r="G6393" s="570"/>
      <c r="H6393" s="570"/>
      <c r="I6393" s="570"/>
      <c r="J6393" s="570"/>
      <c r="K6393" s="570"/>
    </row>
    <row r="6394" ht="13.75" customHeight="1">
      <c r="A6394" s="833">
        <v>317</v>
      </c>
      <c r="B6394" t="s" s="834">
        <v>267</v>
      </c>
      <c r="C6394" t="s" s="834">
        <v>480</v>
      </c>
      <c r="D6394" s="835">
        <v>46040</v>
      </c>
      <c r="E6394" t="s" s="834">
        <v>478</v>
      </c>
      <c r="F6394" t="s" s="834">
        <v>478</v>
      </c>
      <c r="G6394" s="570"/>
      <c r="H6394" s="570"/>
      <c r="I6394" s="570"/>
      <c r="J6394" s="570"/>
      <c r="K6394" s="570"/>
    </row>
    <row r="6395" ht="13.75" customHeight="1">
      <c r="A6395" s="833">
        <v>317</v>
      </c>
      <c r="B6395" t="s" s="834">
        <v>267</v>
      </c>
      <c r="C6395" t="s" s="834">
        <v>480</v>
      </c>
      <c r="D6395" s="835">
        <v>46041</v>
      </c>
      <c r="E6395" t="s" s="834">
        <v>478</v>
      </c>
      <c r="F6395" t="s" s="834">
        <v>478</v>
      </c>
      <c r="G6395" s="570"/>
      <c r="H6395" s="570"/>
      <c r="I6395" s="570"/>
      <c r="J6395" s="570"/>
      <c r="K6395" s="570"/>
    </row>
    <row r="6396" ht="13.75" customHeight="1">
      <c r="A6396" s="833">
        <v>317</v>
      </c>
      <c r="B6396" t="s" s="834">
        <v>267</v>
      </c>
      <c r="C6396" t="s" s="834">
        <v>480</v>
      </c>
      <c r="D6396" s="835">
        <v>46042</v>
      </c>
      <c r="E6396" t="s" s="834">
        <v>478</v>
      </c>
      <c r="F6396" t="s" s="834">
        <v>478</v>
      </c>
      <c r="G6396" s="570"/>
      <c r="H6396" s="570"/>
      <c r="I6396" s="570"/>
      <c r="J6396" s="570"/>
      <c r="K6396" s="570"/>
    </row>
    <row r="6397" ht="13.75" customHeight="1">
      <c r="A6397" s="833">
        <v>317</v>
      </c>
      <c r="B6397" t="s" s="834">
        <v>267</v>
      </c>
      <c r="C6397" t="s" s="834">
        <v>480</v>
      </c>
      <c r="D6397" s="835">
        <v>46043</v>
      </c>
      <c r="E6397" t="s" s="834">
        <v>478</v>
      </c>
      <c r="F6397" t="s" s="834">
        <v>478</v>
      </c>
      <c r="G6397" s="570"/>
      <c r="H6397" s="570"/>
      <c r="I6397" s="570"/>
      <c r="J6397" s="570"/>
      <c r="K6397" s="570"/>
    </row>
    <row r="6398" ht="13.75" customHeight="1">
      <c r="A6398" s="833">
        <v>317</v>
      </c>
      <c r="B6398" t="s" s="834">
        <v>267</v>
      </c>
      <c r="C6398" t="s" s="834">
        <v>480</v>
      </c>
      <c r="D6398" s="835">
        <v>46044</v>
      </c>
      <c r="E6398" t="s" s="834">
        <v>478</v>
      </c>
      <c r="F6398" t="s" s="834">
        <v>478</v>
      </c>
      <c r="G6398" s="570"/>
      <c r="H6398" s="570"/>
      <c r="I6398" s="570"/>
      <c r="J6398" s="570"/>
      <c r="K6398" s="570"/>
    </row>
    <row r="6399" ht="13.75" customHeight="1">
      <c r="A6399" s="833">
        <v>317</v>
      </c>
      <c r="B6399" t="s" s="834">
        <v>267</v>
      </c>
      <c r="C6399" t="s" s="834">
        <v>480</v>
      </c>
      <c r="D6399" s="835">
        <v>46045</v>
      </c>
      <c r="E6399" t="s" s="834">
        <v>478</v>
      </c>
      <c r="F6399" t="s" s="834">
        <v>478</v>
      </c>
      <c r="G6399" s="570"/>
      <c r="H6399" s="570"/>
      <c r="I6399" s="570"/>
      <c r="J6399" s="570"/>
      <c r="K6399" s="570"/>
    </row>
    <row r="6400" ht="13.75" customHeight="1">
      <c r="A6400" s="833">
        <v>317</v>
      </c>
      <c r="B6400" t="s" s="834">
        <v>267</v>
      </c>
      <c r="C6400" t="s" s="834">
        <v>480</v>
      </c>
      <c r="D6400" s="835">
        <v>46046</v>
      </c>
      <c r="E6400" t="s" s="834">
        <v>478</v>
      </c>
      <c r="F6400" t="s" s="834">
        <v>478</v>
      </c>
      <c r="G6400" s="570"/>
      <c r="H6400" s="570"/>
      <c r="I6400" s="570"/>
      <c r="J6400" s="570"/>
      <c r="K6400" s="570"/>
    </row>
    <row r="6401" ht="13.75" customHeight="1">
      <c r="A6401" s="833">
        <v>317</v>
      </c>
      <c r="B6401" t="s" s="834">
        <v>267</v>
      </c>
      <c r="C6401" t="s" s="834">
        <v>480</v>
      </c>
      <c r="D6401" s="835">
        <v>46047</v>
      </c>
      <c r="E6401" t="s" s="834">
        <v>478</v>
      </c>
      <c r="F6401" t="s" s="834">
        <v>478</v>
      </c>
      <c r="G6401" s="570"/>
      <c r="H6401" s="570"/>
      <c r="I6401" s="570"/>
      <c r="J6401" s="570"/>
      <c r="K6401" s="570"/>
    </row>
    <row r="6402" ht="13.75" customHeight="1">
      <c r="A6402" s="833">
        <v>317</v>
      </c>
      <c r="B6402" t="s" s="834">
        <v>267</v>
      </c>
      <c r="C6402" t="s" s="834">
        <v>480</v>
      </c>
      <c r="D6402" s="835">
        <v>46048</v>
      </c>
      <c r="E6402" t="s" s="834">
        <v>478</v>
      </c>
      <c r="F6402" t="s" s="834">
        <v>478</v>
      </c>
      <c r="G6402" s="570"/>
      <c r="H6402" s="570"/>
      <c r="I6402" s="570"/>
      <c r="J6402" s="570"/>
      <c r="K6402" s="570"/>
    </row>
    <row r="6403" ht="13.75" customHeight="1">
      <c r="A6403" s="833">
        <v>317</v>
      </c>
      <c r="B6403" t="s" s="834">
        <v>267</v>
      </c>
      <c r="C6403" t="s" s="834">
        <v>480</v>
      </c>
      <c r="D6403" s="835">
        <v>46049</v>
      </c>
      <c r="E6403" t="s" s="834">
        <v>478</v>
      </c>
      <c r="F6403" t="s" s="834">
        <v>478</v>
      </c>
      <c r="G6403" s="570"/>
      <c r="H6403" s="570"/>
      <c r="I6403" s="570"/>
      <c r="J6403" s="570"/>
      <c r="K6403" s="570"/>
    </row>
    <row r="6404" ht="13.75" customHeight="1">
      <c r="A6404" s="833">
        <v>317</v>
      </c>
      <c r="B6404" t="s" s="834">
        <v>267</v>
      </c>
      <c r="C6404" t="s" s="834">
        <v>480</v>
      </c>
      <c r="D6404" s="835">
        <v>46050</v>
      </c>
      <c r="E6404" t="s" s="834">
        <v>478</v>
      </c>
      <c r="F6404" t="s" s="834">
        <v>478</v>
      </c>
      <c r="G6404" s="570"/>
      <c r="H6404" s="570"/>
      <c r="I6404" s="570"/>
      <c r="J6404" s="570"/>
      <c r="K6404" s="570"/>
    </row>
    <row r="6405" ht="13.75" customHeight="1">
      <c r="A6405" s="833">
        <v>317</v>
      </c>
      <c r="B6405" t="s" s="834">
        <v>267</v>
      </c>
      <c r="C6405" t="s" s="834">
        <v>480</v>
      </c>
      <c r="D6405" s="835">
        <v>46051</v>
      </c>
      <c r="E6405" t="s" s="834">
        <v>478</v>
      </c>
      <c r="F6405" t="s" s="834">
        <v>478</v>
      </c>
      <c r="G6405" s="570"/>
      <c r="H6405" s="570"/>
      <c r="I6405" s="570"/>
      <c r="J6405" s="570"/>
      <c r="K6405" s="570"/>
    </row>
    <row r="6406" ht="13.75" customHeight="1">
      <c r="A6406" s="833">
        <v>317</v>
      </c>
      <c r="B6406" t="s" s="834">
        <v>267</v>
      </c>
      <c r="C6406" t="s" s="834">
        <v>480</v>
      </c>
      <c r="D6406" s="835">
        <v>46052</v>
      </c>
      <c r="E6406" t="s" s="834">
        <v>478</v>
      </c>
      <c r="F6406" t="s" s="834">
        <v>478</v>
      </c>
      <c r="G6406" s="570"/>
      <c r="H6406" s="570"/>
      <c r="I6406" s="570"/>
      <c r="J6406" s="570"/>
      <c r="K6406" s="570"/>
    </row>
    <row r="6407" ht="13.75" customHeight="1">
      <c r="A6407" s="833">
        <v>317</v>
      </c>
      <c r="B6407" t="s" s="834">
        <v>267</v>
      </c>
      <c r="C6407" t="s" s="834">
        <v>480</v>
      </c>
      <c r="D6407" s="835">
        <v>46053</v>
      </c>
      <c r="E6407" t="s" s="834">
        <v>478</v>
      </c>
      <c r="F6407" t="s" s="834">
        <v>478</v>
      </c>
      <c r="G6407" s="570"/>
      <c r="H6407" s="570"/>
      <c r="I6407" s="570"/>
      <c r="J6407" s="570"/>
      <c r="K6407" s="570"/>
    </row>
    <row r="6408" ht="13.75" customHeight="1">
      <c r="A6408" s="833">
        <v>317</v>
      </c>
      <c r="B6408" t="s" s="834">
        <v>267</v>
      </c>
      <c r="C6408" t="s" s="834">
        <v>480</v>
      </c>
      <c r="D6408" s="835">
        <v>46054</v>
      </c>
      <c r="E6408" t="s" s="834">
        <v>478</v>
      </c>
      <c r="F6408" t="s" s="834">
        <v>478</v>
      </c>
      <c r="G6408" s="570"/>
      <c r="H6408" s="570"/>
      <c r="I6408" s="570"/>
      <c r="J6408" s="570"/>
      <c r="K6408" s="570"/>
    </row>
    <row r="6409" ht="13.75" customHeight="1">
      <c r="A6409" s="833">
        <v>318</v>
      </c>
      <c r="B6409" t="s" s="834">
        <v>270</v>
      </c>
      <c r="C6409" t="s" s="834">
        <v>480</v>
      </c>
      <c r="D6409" s="835">
        <v>46023</v>
      </c>
      <c r="E6409" t="s" s="834">
        <v>478</v>
      </c>
      <c r="F6409" t="s" s="834">
        <v>478</v>
      </c>
      <c r="G6409" s="570"/>
      <c r="H6409" s="570"/>
      <c r="I6409" s="570"/>
      <c r="J6409" s="570"/>
      <c r="K6409" s="570"/>
    </row>
    <row r="6410" ht="13.75" customHeight="1">
      <c r="A6410" s="833">
        <v>318</v>
      </c>
      <c r="B6410" t="s" s="834">
        <v>270</v>
      </c>
      <c r="C6410" t="s" s="834">
        <v>480</v>
      </c>
      <c r="D6410" s="835">
        <v>46024</v>
      </c>
      <c r="E6410" s="836">
        <v>1.380289351851852</v>
      </c>
      <c r="F6410" s="836">
        <v>1.771354166666667</v>
      </c>
      <c r="G6410" s="570"/>
      <c r="H6410" s="570"/>
      <c r="I6410" s="570"/>
      <c r="J6410" s="570"/>
      <c r="K6410" s="570"/>
    </row>
    <row r="6411" ht="13.75" customHeight="1">
      <c r="A6411" t="s" s="834">
        <v>4282</v>
      </c>
      <c r="B6411" t="s" s="834">
        <v>4283</v>
      </c>
      <c r="C6411" t="s" s="834">
        <v>668</v>
      </c>
      <c r="D6411" s="570"/>
      <c r="E6411" s="570"/>
      <c r="F6411" s="570"/>
      <c r="G6411" s="570"/>
      <c r="H6411" s="570"/>
      <c r="I6411" s="570"/>
      <c r="J6411" s="570"/>
      <c r="K6411" s="570"/>
    </row>
    <row r="6412" ht="13.75" customHeight="1">
      <c r="A6412" s="833">
        <v>318</v>
      </c>
      <c r="B6412" t="s" s="834">
        <v>270</v>
      </c>
      <c r="C6412" t="s" s="834">
        <v>480</v>
      </c>
      <c r="D6412" s="835">
        <v>46025</v>
      </c>
      <c r="E6412" t="s" s="834">
        <v>478</v>
      </c>
      <c r="F6412" t="s" s="834">
        <v>478</v>
      </c>
      <c r="G6412" s="570"/>
      <c r="H6412" s="570"/>
      <c r="I6412" s="570"/>
      <c r="J6412" s="570"/>
      <c r="K6412" s="570"/>
    </row>
    <row r="6413" ht="13.75" customHeight="1">
      <c r="A6413" s="833">
        <v>318</v>
      </c>
      <c r="B6413" t="s" s="834">
        <v>270</v>
      </c>
      <c r="C6413" t="s" s="834">
        <v>480</v>
      </c>
      <c r="D6413" s="835">
        <v>46026</v>
      </c>
      <c r="E6413" t="s" s="834">
        <v>478</v>
      </c>
      <c r="F6413" t="s" s="834">
        <v>478</v>
      </c>
      <c r="G6413" s="570"/>
      <c r="H6413" s="570"/>
      <c r="I6413" s="570"/>
      <c r="J6413" s="570"/>
      <c r="K6413" s="570"/>
    </row>
    <row r="6414" ht="13.75" customHeight="1">
      <c r="A6414" s="833">
        <v>318</v>
      </c>
      <c r="B6414" t="s" s="834">
        <v>270</v>
      </c>
      <c r="C6414" t="s" s="834">
        <v>480</v>
      </c>
      <c r="D6414" s="835">
        <v>46027</v>
      </c>
      <c r="E6414" s="836">
        <v>1.361053240740741</v>
      </c>
      <c r="F6414" s="836">
        <v>1.760381944444444</v>
      </c>
      <c r="G6414" s="570"/>
      <c r="H6414" s="570"/>
      <c r="I6414" s="570"/>
      <c r="J6414" s="570"/>
      <c r="K6414" s="570"/>
    </row>
    <row r="6415" ht="13.75" customHeight="1">
      <c r="A6415" t="s" s="834">
        <v>4284</v>
      </c>
      <c r="B6415" t="s" s="834">
        <v>4285</v>
      </c>
      <c r="C6415" t="s" s="834">
        <v>515</v>
      </c>
      <c r="D6415" s="570"/>
      <c r="E6415" s="570"/>
      <c r="F6415" s="570"/>
      <c r="G6415" s="570"/>
      <c r="H6415" s="570"/>
      <c r="I6415" s="570"/>
      <c r="J6415" s="570"/>
      <c r="K6415" s="570"/>
    </row>
    <row r="6416" ht="13.75" customHeight="1">
      <c r="A6416" s="833">
        <v>318</v>
      </c>
      <c r="B6416" t="s" s="834">
        <v>270</v>
      </c>
      <c r="C6416" t="s" s="834">
        <v>480</v>
      </c>
      <c r="D6416" s="835">
        <v>46028</v>
      </c>
      <c r="E6416" s="836">
        <v>1.376458333333333</v>
      </c>
      <c r="F6416" s="836">
        <v>1.760844907407408</v>
      </c>
      <c r="G6416" s="570"/>
      <c r="H6416" s="570"/>
      <c r="I6416" s="570"/>
      <c r="J6416" s="570"/>
      <c r="K6416" s="570"/>
    </row>
    <row r="6417" ht="13.75" customHeight="1">
      <c r="A6417" t="s" s="834">
        <v>4286</v>
      </c>
      <c r="B6417" t="s" s="834">
        <v>4287</v>
      </c>
      <c r="C6417" t="s" s="834">
        <v>2452</v>
      </c>
      <c r="D6417" s="570"/>
      <c r="E6417" s="570"/>
      <c r="F6417" s="570"/>
      <c r="G6417" s="570"/>
      <c r="H6417" s="570"/>
      <c r="I6417" s="570"/>
      <c r="J6417" s="570"/>
      <c r="K6417" s="570"/>
    </row>
    <row r="6418" ht="13.75" customHeight="1">
      <c r="A6418" s="833">
        <v>318</v>
      </c>
      <c r="B6418" t="s" s="834">
        <v>270</v>
      </c>
      <c r="C6418" t="s" s="834">
        <v>480</v>
      </c>
      <c r="D6418" s="835">
        <v>46029</v>
      </c>
      <c r="E6418" s="836">
        <v>1.368321759259259</v>
      </c>
      <c r="F6418" s="836">
        <v>1.758321759259259</v>
      </c>
      <c r="G6418" s="570"/>
      <c r="H6418" s="570"/>
      <c r="I6418" s="570"/>
      <c r="J6418" s="570"/>
      <c r="K6418" s="570"/>
    </row>
    <row r="6419" ht="13.75" customHeight="1">
      <c r="A6419" t="s" s="834">
        <v>4288</v>
      </c>
      <c r="B6419" t="s" s="834">
        <v>4289</v>
      </c>
      <c r="C6419" t="s" s="834">
        <v>901</v>
      </c>
      <c r="D6419" s="570"/>
      <c r="E6419" s="570"/>
      <c r="F6419" s="570"/>
      <c r="G6419" s="570"/>
      <c r="H6419" s="570"/>
      <c r="I6419" s="570"/>
      <c r="J6419" s="570"/>
      <c r="K6419" s="570"/>
    </row>
    <row r="6420" ht="13.75" customHeight="1">
      <c r="A6420" s="833">
        <v>318</v>
      </c>
      <c r="B6420" t="s" s="834">
        <v>270</v>
      </c>
      <c r="C6420" t="s" s="834">
        <v>480</v>
      </c>
      <c r="D6420" s="835">
        <v>46030</v>
      </c>
      <c r="E6420" s="836">
        <v>1.360717592592593</v>
      </c>
      <c r="F6420" s="836">
        <v>1.762037037037037</v>
      </c>
      <c r="G6420" s="570"/>
      <c r="H6420" s="570"/>
      <c r="I6420" s="570"/>
      <c r="J6420" s="570"/>
      <c r="K6420" s="570"/>
    </row>
    <row r="6421" ht="13.75" customHeight="1">
      <c r="A6421" t="s" s="834">
        <v>4290</v>
      </c>
      <c r="B6421" t="s" s="834">
        <v>4291</v>
      </c>
      <c r="C6421" t="s" s="834">
        <v>697</v>
      </c>
      <c r="D6421" s="570"/>
      <c r="E6421" s="570"/>
      <c r="F6421" s="570"/>
      <c r="G6421" s="570"/>
      <c r="H6421" s="570"/>
      <c r="I6421" s="570"/>
      <c r="J6421" s="570"/>
      <c r="K6421" s="570"/>
    </row>
    <row r="6422" ht="13.75" customHeight="1">
      <c r="A6422" s="833">
        <v>318</v>
      </c>
      <c r="B6422" t="s" s="834">
        <v>270</v>
      </c>
      <c r="C6422" t="s" s="834">
        <v>480</v>
      </c>
      <c r="D6422" s="835">
        <v>46031</v>
      </c>
      <c r="E6422" s="836">
        <v>1.353078703703704</v>
      </c>
      <c r="F6422" s="836">
        <v>1.768877314814815</v>
      </c>
      <c r="G6422" s="570"/>
      <c r="H6422" s="570"/>
      <c r="I6422" s="570"/>
      <c r="J6422" s="570"/>
      <c r="K6422" s="570"/>
    </row>
    <row r="6423" ht="13.75" customHeight="1">
      <c r="A6423" t="s" s="834">
        <v>4292</v>
      </c>
      <c r="B6423" t="s" s="834">
        <v>4293</v>
      </c>
      <c r="C6423" t="s" s="834">
        <v>652</v>
      </c>
      <c r="D6423" s="570"/>
      <c r="E6423" s="570"/>
      <c r="F6423" s="570"/>
      <c r="G6423" s="570"/>
      <c r="H6423" s="570"/>
      <c r="I6423" s="570"/>
      <c r="J6423" s="570"/>
      <c r="K6423" s="570"/>
    </row>
    <row r="6424" ht="13.75" customHeight="1">
      <c r="A6424" s="833">
        <v>318</v>
      </c>
      <c r="B6424" t="s" s="834">
        <v>270</v>
      </c>
      <c r="C6424" t="s" s="834">
        <v>480</v>
      </c>
      <c r="D6424" s="835">
        <v>46032</v>
      </c>
      <c r="E6424" t="s" s="834">
        <v>478</v>
      </c>
      <c r="F6424" t="s" s="834">
        <v>478</v>
      </c>
      <c r="G6424" s="570"/>
      <c r="H6424" s="570"/>
      <c r="I6424" s="570"/>
      <c r="J6424" s="570"/>
      <c r="K6424" s="570"/>
    </row>
    <row r="6425" ht="13.75" customHeight="1">
      <c r="A6425" s="833">
        <v>318</v>
      </c>
      <c r="B6425" t="s" s="834">
        <v>270</v>
      </c>
      <c r="C6425" t="s" s="834">
        <v>480</v>
      </c>
      <c r="D6425" s="835">
        <v>46033</v>
      </c>
      <c r="E6425" t="s" s="834">
        <v>478</v>
      </c>
      <c r="F6425" t="s" s="834">
        <v>478</v>
      </c>
      <c r="G6425" s="570"/>
      <c r="H6425" s="570"/>
      <c r="I6425" s="570"/>
      <c r="J6425" s="570"/>
      <c r="K6425" s="570"/>
    </row>
    <row r="6426" ht="13.75" customHeight="1">
      <c r="A6426" s="833">
        <v>318</v>
      </c>
      <c r="B6426" t="s" s="834">
        <v>270</v>
      </c>
      <c r="C6426" t="s" s="834">
        <v>480</v>
      </c>
      <c r="D6426" s="835">
        <v>46034</v>
      </c>
      <c r="E6426" s="836">
        <v>1.364560185185185</v>
      </c>
      <c r="F6426" s="836">
        <v>1.762337962962963</v>
      </c>
      <c r="G6426" s="570"/>
      <c r="H6426" s="570"/>
      <c r="I6426" s="570"/>
      <c r="J6426" s="570"/>
      <c r="K6426" s="570"/>
    </row>
    <row r="6427" ht="13.75" customHeight="1">
      <c r="A6427" t="s" s="834">
        <v>4294</v>
      </c>
      <c r="B6427" t="s" s="834">
        <v>4295</v>
      </c>
      <c r="C6427" t="s" s="834">
        <v>688</v>
      </c>
      <c r="D6427" s="570"/>
      <c r="E6427" s="570"/>
      <c r="F6427" s="570"/>
      <c r="G6427" s="570"/>
      <c r="H6427" s="570"/>
      <c r="I6427" s="570"/>
      <c r="J6427" s="570"/>
      <c r="K6427" s="570"/>
    </row>
    <row r="6428" ht="13.75" customHeight="1">
      <c r="A6428" s="833">
        <v>318</v>
      </c>
      <c r="B6428" t="s" s="834">
        <v>270</v>
      </c>
      <c r="C6428" t="s" s="834">
        <v>480</v>
      </c>
      <c r="D6428" s="835">
        <v>46035</v>
      </c>
      <c r="E6428" t="s" s="834">
        <v>478</v>
      </c>
      <c r="F6428" t="s" s="834">
        <v>478</v>
      </c>
      <c r="G6428" s="570"/>
      <c r="H6428" s="570"/>
      <c r="I6428" s="570"/>
      <c r="J6428" s="570"/>
      <c r="K6428" s="570"/>
    </row>
    <row r="6429" ht="13.75" customHeight="1">
      <c r="A6429" s="833">
        <v>318</v>
      </c>
      <c r="B6429" t="s" s="834">
        <v>270</v>
      </c>
      <c r="C6429" t="s" s="834">
        <v>480</v>
      </c>
      <c r="D6429" s="835">
        <v>46036</v>
      </c>
      <c r="E6429" s="836">
        <v>1.382939814814815</v>
      </c>
      <c r="F6429" s="836">
        <v>1.765972222222222</v>
      </c>
      <c r="G6429" s="570"/>
      <c r="H6429" s="570"/>
      <c r="I6429" s="570"/>
      <c r="J6429" s="570"/>
      <c r="K6429" s="570"/>
    </row>
    <row r="6430" ht="13.75" customHeight="1">
      <c r="A6430" t="s" s="834">
        <v>4296</v>
      </c>
      <c r="B6430" t="s" s="834">
        <v>4297</v>
      </c>
      <c r="C6430" t="s" s="834">
        <v>812</v>
      </c>
      <c r="D6430" s="570"/>
      <c r="E6430" s="570"/>
      <c r="F6430" s="570"/>
      <c r="G6430" s="570"/>
      <c r="H6430" s="570"/>
      <c r="I6430" s="570"/>
      <c r="J6430" s="570"/>
      <c r="K6430" s="570"/>
    </row>
    <row r="6431" ht="13.75" customHeight="1">
      <c r="A6431" s="833">
        <v>318</v>
      </c>
      <c r="B6431" t="s" s="834">
        <v>270</v>
      </c>
      <c r="C6431" t="s" s="834">
        <v>480</v>
      </c>
      <c r="D6431" s="835">
        <v>46037</v>
      </c>
      <c r="E6431" s="836">
        <v>1.384837962962963</v>
      </c>
      <c r="F6431" s="836">
        <v>1.76318287037037</v>
      </c>
      <c r="G6431" s="570"/>
      <c r="H6431" s="570"/>
      <c r="I6431" s="570"/>
      <c r="J6431" s="570"/>
      <c r="K6431" s="570"/>
    </row>
    <row r="6432" ht="13.75" customHeight="1">
      <c r="A6432" t="s" s="834">
        <v>4298</v>
      </c>
      <c r="B6432" t="s" s="834">
        <v>4299</v>
      </c>
      <c r="C6432" t="s" s="834">
        <v>562</v>
      </c>
      <c r="D6432" s="570"/>
      <c r="E6432" s="570"/>
      <c r="F6432" s="570"/>
      <c r="G6432" s="570"/>
      <c r="H6432" s="570"/>
      <c r="I6432" s="570"/>
      <c r="J6432" s="570"/>
      <c r="K6432" s="570"/>
    </row>
    <row r="6433" ht="13.75" customHeight="1">
      <c r="A6433" s="833">
        <v>318</v>
      </c>
      <c r="B6433" t="s" s="834">
        <v>270</v>
      </c>
      <c r="C6433" t="s" s="834">
        <v>480</v>
      </c>
      <c r="D6433" s="835">
        <v>46038</v>
      </c>
      <c r="E6433" s="836">
        <v>1.350787037037037</v>
      </c>
      <c r="F6433" s="836">
        <v>1.767453703703704</v>
      </c>
      <c r="G6433" s="570"/>
      <c r="H6433" s="570"/>
      <c r="I6433" s="570"/>
      <c r="J6433" s="570"/>
      <c r="K6433" s="570"/>
    </row>
    <row r="6434" ht="13.75" customHeight="1">
      <c r="A6434" t="s" s="834">
        <v>4300</v>
      </c>
      <c r="B6434" t="s" s="834">
        <v>4301</v>
      </c>
      <c r="C6434" t="s" s="834">
        <v>530</v>
      </c>
      <c r="D6434" s="570"/>
      <c r="E6434" s="570"/>
      <c r="F6434" s="570"/>
      <c r="G6434" s="570"/>
      <c r="H6434" s="570"/>
      <c r="I6434" s="570"/>
      <c r="J6434" s="570"/>
      <c r="K6434" s="570"/>
    </row>
    <row r="6435" ht="13.75" customHeight="1">
      <c r="A6435" s="833">
        <v>318</v>
      </c>
      <c r="B6435" t="s" s="834">
        <v>270</v>
      </c>
      <c r="C6435" t="s" s="834">
        <v>480</v>
      </c>
      <c r="D6435" s="835">
        <v>46039</v>
      </c>
      <c r="E6435" t="s" s="834">
        <v>478</v>
      </c>
      <c r="F6435" t="s" s="834">
        <v>478</v>
      </c>
      <c r="G6435" s="570"/>
      <c r="H6435" s="570"/>
      <c r="I6435" s="570"/>
      <c r="J6435" s="570"/>
      <c r="K6435" s="570"/>
    </row>
    <row r="6436" ht="13.75" customHeight="1">
      <c r="A6436" s="833">
        <v>318</v>
      </c>
      <c r="B6436" t="s" s="834">
        <v>270</v>
      </c>
      <c r="C6436" t="s" s="834">
        <v>480</v>
      </c>
      <c r="D6436" s="835">
        <v>46040</v>
      </c>
      <c r="E6436" t="s" s="834">
        <v>478</v>
      </c>
      <c r="F6436" t="s" s="834">
        <v>478</v>
      </c>
      <c r="G6436" s="570"/>
      <c r="H6436" s="570"/>
      <c r="I6436" s="570"/>
      <c r="J6436" s="570"/>
      <c r="K6436" s="570"/>
    </row>
    <row r="6437" ht="13.75" customHeight="1">
      <c r="A6437" s="833">
        <v>318</v>
      </c>
      <c r="B6437" t="s" s="834">
        <v>270</v>
      </c>
      <c r="C6437" t="s" s="834">
        <v>480</v>
      </c>
      <c r="D6437" s="835">
        <v>46041</v>
      </c>
      <c r="E6437" s="836">
        <v>1.378831018518519</v>
      </c>
      <c r="F6437" s="836">
        <v>1.765358796296296</v>
      </c>
      <c r="G6437" s="570"/>
      <c r="H6437" s="570"/>
      <c r="I6437" s="570"/>
      <c r="J6437" s="570"/>
      <c r="K6437" s="570"/>
    </row>
    <row r="6438" ht="13.75" customHeight="1">
      <c r="A6438" t="s" s="834">
        <v>4302</v>
      </c>
      <c r="B6438" t="s" s="834">
        <v>4303</v>
      </c>
      <c r="C6438" t="s" s="834">
        <v>995</v>
      </c>
      <c r="D6438" s="570"/>
      <c r="E6438" s="570"/>
      <c r="F6438" s="570"/>
      <c r="G6438" s="570"/>
      <c r="H6438" s="570"/>
      <c r="I6438" s="570"/>
      <c r="J6438" s="570"/>
      <c r="K6438" s="570"/>
    </row>
    <row r="6439" ht="13.75" customHeight="1">
      <c r="A6439" s="833">
        <v>318</v>
      </c>
      <c r="B6439" t="s" s="834">
        <v>270</v>
      </c>
      <c r="C6439" t="s" s="834">
        <v>480</v>
      </c>
      <c r="D6439" s="835">
        <v>46042</v>
      </c>
      <c r="E6439" s="836">
        <v>1.568726851851852</v>
      </c>
      <c r="F6439" s="836">
        <v>1.757048611111111</v>
      </c>
      <c r="G6439" s="570"/>
      <c r="H6439" s="570"/>
      <c r="I6439" s="570"/>
      <c r="J6439" s="570"/>
      <c r="K6439" s="570"/>
    </row>
    <row r="6440" ht="13.75" customHeight="1">
      <c r="A6440" t="s" s="834">
        <v>4304</v>
      </c>
      <c r="B6440" t="s" s="834">
        <v>4305</v>
      </c>
      <c r="C6440" t="s" s="834">
        <v>1408</v>
      </c>
      <c r="D6440" s="570"/>
      <c r="E6440" s="570"/>
      <c r="F6440" s="570"/>
      <c r="G6440" s="570"/>
      <c r="H6440" s="570"/>
      <c r="I6440" s="570"/>
      <c r="J6440" s="570"/>
      <c r="K6440" s="570"/>
    </row>
    <row r="6441" ht="13.75" customHeight="1">
      <c r="A6441" s="833">
        <v>318</v>
      </c>
      <c r="B6441" t="s" s="834">
        <v>270</v>
      </c>
      <c r="C6441" t="s" s="834">
        <v>480</v>
      </c>
      <c r="D6441" s="835">
        <v>46043</v>
      </c>
      <c r="E6441" s="836">
        <v>1.401793981481481</v>
      </c>
      <c r="F6441" s="836">
        <v>1.775462962962963</v>
      </c>
      <c r="G6441" s="570"/>
      <c r="H6441" s="570"/>
      <c r="I6441" s="570"/>
      <c r="J6441" s="570"/>
      <c r="K6441" s="570"/>
    </row>
    <row r="6442" ht="13.75" customHeight="1">
      <c r="A6442" t="s" s="834">
        <v>4306</v>
      </c>
      <c r="B6442" t="s" s="834">
        <v>4307</v>
      </c>
      <c r="C6442" t="s" s="834">
        <v>552</v>
      </c>
      <c r="D6442" s="570"/>
      <c r="E6442" s="570"/>
      <c r="F6442" s="570"/>
      <c r="G6442" s="570"/>
      <c r="H6442" s="570"/>
      <c r="I6442" s="570"/>
      <c r="J6442" s="570"/>
      <c r="K6442" s="570"/>
    </row>
    <row r="6443" ht="13.75" customHeight="1">
      <c r="A6443" s="833">
        <v>318</v>
      </c>
      <c r="B6443" t="s" s="834">
        <v>270</v>
      </c>
      <c r="C6443" t="s" s="834">
        <v>480</v>
      </c>
      <c r="D6443" s="835">
        <v>46044</v>
      </c>
      <c r="E6443" s="836">
        <v>1.361296296296296</v>
      </c>
      <c r="F6443" s="836">
        <v>1.760162037037037</v>
      </c>
      <c r="G6443" s="570"/>
      <c r="H6443" s="570"/>
      <c r="I6443" s="570"/>
      <c r="J6443" s="570"/>
      <c r="K6443" s="570"/>
    </row>
    <row r="6444" ht="13.75" customHeight="1">
      <c r="A6444" t="s" s="834">
        <v>4308</v>
      </c>
      <c r="B6444" t="s" s="834">
        <v>4309</v>
      </c>
      <c r="C6444" t="s" s="834">
        <v>611</v>
      </c>
      <c r="D6444" s="570"/>
      <c r="E6444" s="570"/>
      <c r="F6444" s="570"/>
      <c r="G6444" s="570"/>
      <c r="H6444" s="570"/>
      <c r="I6444" s="570"/>
      <c r="J6444" s="570"/>
      <c r="K6444" s="570"/>
    </row>
    <row r="6445" ht="13.75" customHeight="1">
      <c r="A6445" s="833">
        <v>318</v>
      </c>
      <c r="B6445" t="s" s="834">
        <v>270</v>
      </c>
      <c r="C6445" t="s" s="834">
        <v>480</v>
      </c>
      <c r="D6445" s="835">
        <v>46045</v>
      </c>
      <c r="E6445" s="836">
        <v>1.392974537037037</v>
      </c>
      <c r="F6445" s="836">
        <v>1.75943287037037</v>
      </c>
      <c r="G6445" s="570"/>
      <c r="H6445" s="570"/>
      <c r="I6445" s="570"/>
      <c r="J6445" s="570"/>
      <c r="K6445" s="570"/>
    </row>
    <row r="6446" ht="13.75" customHeight="1">
      <c r="A6446" t="s" s="834">
        <v>4310</v>
      </c>
      <c r="B6446" t="s" s="834">
        <v>4311</v>
      </c>
      <c r="C6446" t="s" s="834">
        <v>1772</v>
      </c>
      <c r="D6446" s="570"/>
      <c r="E6446" s="570"/>
      <c r="F6446" s="570"/>
      <c r="G6446" s="570"/>
      <c r="H6446" s="570"/>
      <c r="I6446" s="570"/>
      <c r="J6446" s="570"/>
      <c r="K6446" s="570"/>
    </row>
    <row r="6447" ht="13.75" customHeight="1">
      <c r="A6447" s="833">
        <v>318</v>
      </c>
      <c r="B6447" t="s" s="834">
        <v>270</v>
      </c>
      <c r="C6447" t="s" s="834">
        <v>480</v>
      </c>
      <c r="D6447" s="835">
        <v>46046</v>
      </c>
      <c r="E6447" t="s" s="834">
        <v>478</v>
      </c>
      <c r="F6447" t="s" s="834">
        <v>478</v>
      </c>
      <c r="G6447" s="570"/>
      <c r="H6447" s="570"/>
      <c r="I6447" s="570"/>
      <c r="J6447" s="570"/>
      <c r="K6447" s="570"/>
    </row>
    <row r="6448" ht="13.75" customHeight="1">
      <c r="A6448" s="833">
        <v>318</v>
      </c>
      <c r="B6448" t="s" s="834">
        <v>270</v>
      </c>
      <c r="C6448" t="s" s="834">
        <v>480</v>
      </c>
      <c r="D6448" s="835">
        <v>46047</v>
      </c>
      <c r="E6448" t="s" s="834">
        <v>478</v>
      </c>
      <c r="F6448" t="s" s="834">
        <v>478</v>
      </c>
      <c r="G6448" s="570"/>
      <c r="H6448" s="570"/>
      <c r="I6448" s="570"/>
      <c r="J6448" s="570"/>
      <c r="K6448" s="570"/>
    </row>
    <row r="6449" ht="13.75" customHeight="1">
      <c r="A6449" s="833">
        <v>318</v>
      </c>
      <c r="B6449" t="s" s="834">
        <v>270</v>
      </c>
      <c r="C6449" t="s" s="834">
        <v>480</v>
      </c>
      <c r="D6449" s="835">
        <v>46048</v>
      </c>
      <c r="E6449" s="836">
        <v>1.763703703703704</v>
      </c>
      <c r="F6449" t="s" s="834">
        <v>478</v>
      </c>
      <c r="G6449" s="570"/>
      <c r="H6449" s="570"/>
      <c r="I6449" s="570"/>
      <c r="J6449" s="570"/>
      <c r="K6449" s="570"/>
    </row>
    <row r="6450" ht="13.75" customHeight="1">
      <c r="A6450" t="s" s="834">
        <v>4312</v>
      </c>
      <c r="B6450" t="s" s="834">
        <v>485</v>
      </c>
      <c r="C6450" t="s" s="834">
        <v>486</v>
      </c>
      <c r="D6450" s="570"/>
      <c r="E6450" s="570"/>
      <c r="F6450" s="570"/>
      <c r="G6450" s="570"/>
      <c r="H6450" s="570"/>
      <c r="I6450" s="570"/>
      <c r="J6450" s="570"/>
      <c r="K6450" s="570"/>
    </row>
    <row r="6451" ht="13.75" customHeight="1">
      <c r="A6451" s="833">
        <v>318</v>
      </c>
      <c r="B6451" t="s" s="834">
        <v>270</v>
      </c>
      <c r="C6451" t="s" s="834">
        <v>480</v>
      </c>
      <c r="D6451" s="835">
        <v>46049</v>
      </c>
      <c r="E6451" s="836">
        <v>1.3934375</v>
      </c>
      <c r="F6451" s="836">
        <v>1.761006944444444</v>
      </c>
      <c r="G6451" s="570"/>
      <c r="H6451" s="570"/>
      <c r="I6451" s="570"/>
      <c r="J6451" s="570"/>
      <c r="K6451" s="570"/>
    </row>
    <row r="6452" ht="13.75" customHeight="1">
      <c r="A6452" t="s" s="834">
        <v>4313</v>
      </c>
      <c r="B6452" t="s" s="834">
        <v>4314</v>
      </c>
      <c r="C6452" t="s" s="834">
        <v>1264</v>
      </c>
      <c r="D6452" s="570"/>
      <c r="E6452" s="570"/>
      <c r="F6452" s="570"/>
      <c r="G6452" s="570"/>
      <c r="H6452" s="570"/>
      <c r="I6452" s="570"/>
      <c r="J6452" s="570"/>
      <c r="K6452" s="570"/>
    </row>
    <row r="6453" ht="13.75" customHeight="1">
      <c r="A6453" s="833">
        <v>318</v>
      </c>
      <c r="B6453" t="s" s="834">
        <v>270</v>
      </c>
      <c r="C6453" t="s" s="834">
        <v>480</v>
      </c>
      <c r="D6453" s="835">
        <v>46050</v>
      </c>
      <c r="E6453" s="836">
        <v>1.392291666666667</v>
      </c>
      <c r="F6453" s="836">
        <v>1.757719907407407</v>
      </c>
      <c r="G6453" s="570"/>
      <c r="H6453" s="570"/>
      <c r="I6453" s="570"/>
      <c r="J6453" s="570"/>
      <c r="K6453" s="570"/>
    </row>
    <row r="6454" ht="13.75" customHeight="1">
      <c r="A6454" t="s" s="834">
        <v>4315</v>
      </c>
      <c r="B6454" t="s" s="834">
        <v>4316</v>
      </c>
      <c r="C6454" t="s" s="834">
        <v>945</v>
      </c>
      <c r="D6454" s="570"/>
      <c r="E6454" s="570"/>
      <c r="F6454" s="570"/>
      <c r="G6454" s="570"/>
      <c r="H6454" s="570"/>
      <c r="I6454" s="570"/>
      <c r="J6454" s="570"/>
      <c r="K6454" s="570"/>
    </row>
    <row r="6455" ht="13.75" customHeight="1">
      <c r="A6455" s="833">
        <v>318</v>
      </c>
      <c r="B6455" t="s" s="834">
        <v>270</v>
      </c>
      <c r="C6455" t="s" s="834">
        <v>480</v>
      </c>
      <c r="D6455" s="835">
        <v>46051</v>
      </c>
      <c r="E6455" s="836">
        <v>1.39400462962963</v>
      </c>
      <c r="F6455" s="836">
        <v>1.759618055555555</v>
      </c>
      <c r="G6455" s="570"/>
      <c r="H6455" s="570"/>
      <c r="I6455" s="570"/>
      <c r="J6455" s="570"/>
      <c r="K6455" s="570"/>
    </row>
    <row r="6456" ht="13.75" customHeight="1">
      <c r="A6456" t="s" s="834">
        <v>4317</v>
      </c>
      <c r="B6456" t="s" s="834">
        <v>4318</v>
      </c>
      <c r="C6456" t="s" s="834">
        <v>945</v>
      </c>
      <c r="D6456" s="570"/>
      <c r="E6456" s="570"/>
      <c r="F6456" s="570"/>
      <c r="G6456" s="570"/>
      <c r="H6456" s="570"/>
      <c r="I6456" s="570"/>
      <c r="J6456" s="570"/>
      <c r="K6456" s="570"/>
    </row>
    <row r="6457" ht="13.75" customHeight="1">
      <c r="A6457" s="833">
        <v>318</v>
      </c>
      <c r="B6457" t="s" s="834">
        <v>270</v>
      </c>
      <c r="C6457" t="s" s="834">
        <v>480</v>
      </c>
      <c r="D6457" s="835">
        <v>46052</v>
      </c>
      <c r="E6457" s="836">
        <v>1.355798611111111</v>
      </c>
      <c r="F6457" s="836">
        <v>1.767106481481481</v>
      </c>
      <c r="G6457" s="570"/>
      <c r="H6457" s="570"/>
      <c r="I6457" s="570"/>
      <c r="J6457" s="570"/>
      <c r="K6457" s="570"/>
    </row>
    <row r="6458" ht="13.75" customHeight="1">
      <c r="A6458" t="s" s="834">
        <v>4319</v>
      </c>
      <c r="B6458" t="s" s="834">
        <v>4320</v>
      </c>
      <c r="C6458" t="s" s="834">
        <v>850</v>
      </c>
      <c r="D6458" s="570"/>
      <c r="E6458" s="570"/>
      <c r="F6458" s="570"/>
      <c r="G6458" s="570"/>
      <c r="H6458" s="570"/>
      <c r="I6458" s="570"/>
      <c r="J6458" s="570"/>
      <c r="K6458" s="570"/>
    </row>
    <row r="6459" ht="13.75" customHeight="1">
      <c r="A6459" s="833">
        <v>318</v>
      </c>
      <c r="B6459" t="s" s="834">
        <v>270</v>
      </c>
      <c r="C6459" t="s" s="834">
        <v>480</v>
      </c>
      <c r="D6459" s="835">
        <v>46053</v>
      </c>
      <c r="E6459" t="s" s="834">
        <v>478</v>
      </c>
      <c r="F6459" t="s" s="834">
        <v>478</v>
      </c>
      <c r="G6459" s="570"/>
      <c r="H6459" s="570"/>
      <c r="I6459" s="570"/>
      <c r="J6459" s="570"/>
      <c r="K6459" s="570"/>
    </row>
    <row r="6460" ht="13.75" customHeight="1">
      <c r="A6460" s="833">
        <v>318</v>
      </c>
      <c r="B6460" t="s" s="834">
        <v>270</v>
      </c>
      <c r="C6460" t="s" s="834">
        <v>480</v>
      </c>
      <c r="D6460" s="835">
        <v>46054</v>
      </c>
      <c r="E6460" t="s" s="834">
        <v>478</v>
      </c>
      <c r="F6460" t="s" s="834">
        <v>478</v>
      </c>
      <c r="G6460" s="570"/>
      <c r="H6460" s="570"/>
      <c r="I6460" s="570"/>
      <c r="J6460" s="570"/>
      <c r="K6460" s="570"/>
    </row>
    <row r="6461" ht="13.75" customHeight="1">
      <c r="A6461" s="833">
        <v>319</v>
      </c>
      <c r="B6461" t="s" s="834">
        <v>416</v>
      </c>
      <c r="C6461" t="s" s="834">
        <v>480</v>
      </c>
      <c r="D6461" s="835">
        <v>46023</v>
      </c>
      <c r="E6461" t="s" s="834">
        <v>478</v>
      </c>
      <c r="F6461" t="s" s="834">
        <v>478</v>
      </c>
      <c r="G6461" t="s" s="837">
        <v>567</v>
      </c>
      <c r="H6461" t="s" s="837">
        <v>4321</v>
      </c>
      <c r="I6461" t="s" s="837">
        <v>567</v>
      </c>
      <c r="J6461" t="s" s="837">
        <v>4321</v>
      </c>
      <c r="K6461" s="570"/>
    </row>
    <row r="6462" ht="13.75" customHeight="1">
      <c r="A6462" s="833">
        <v>319</v>
      </c>
      <c r="B6462" t="s" s="834">
        <v>416</v>
      </c>
      <c r="C6462" t="s" s="834">
        <v>480</v>
      </c>
      <c r="D6462" s="835">
        <v>46024</v>
      </c>
      <c r="E6462" s="836">
        <v>1.303182870370371</v>
      </c>
      <c r="F6462" s="836">
        <v>1.486527777777778</v>
      </c>
      <c r="G6462" s="570"/>
      <c r="H6462" s="570"/>
      <c r="I6462" t="s" s="837">
        <v>567</v>
      </c>
      <c r="J6462" t="s" s="837">
        <v>569</v>
      </c>
      <c r="K6462" s="570"/>
    </row>
    <row r="6463" ht="13.75" customHeight="1">
      <c r="A6463" t="s" s="834">
        <v>4322</v>
      </c>
      <c r="B6463" t="s" s="834">
        <v>4323</v>
      </c>
      <c r="C6463" t="s" s="834">
        <v>2941</v>
      </c>
      <c r="D6463" s="570"/>
      <c r="E6463" s="570"/>
      <c r="F6463" s="570"/>
      <c r="G6463" s="570"/>
      <c r="H6463" s="570"/>
      <c r="I6463" s="570"/>
      <c r="J6463" s="570"/>
      <c r="K6463" s="570"/>
    </row>
    <row r="6464" ht="13.75" customHeight="1">
      <c r="A6464" s="833">
        <v>319</v>
      </c>
      <c r="B6464" t="s" s="834">
        <v>416</v>
      </c>
      <c r="C6464" t="s" s="834">
        <v>480</v>
      </c>
      <c r="D6464" s="835">
        <v>46025</v>
      </c>
      <c r="E6464" t="s" s="834">
        <v>478</v>
      </c>
      <c r="F6464" t="s" s="834">
        <v>478</v>
      </c>
      <c r="G6464" t="s" s="837">
        <v>567</v>
      </c>
      <c r="H6464" t="s" s="837">
        <v>570</v>
      </c>
      <c r="I6464" t="s" s="837">
        <v>567</v>
      </c>
      <c r="J6464" t="s" s="837">
        <v>570</v>
      </c>
      <c r="K6464" s="570"/>
    </row>
    <row r="6465" ht="13.75" customHeight="1">
      <c r="A6465" s="833">
        <v>319</v>
      </c>
      <c r="B6465" t="s" s="834">
        <v>416</v>
      </c>
      <c r="C6465" t="s" s="834">
        <v>480</v>
      </c>
      <c r="D6465" s="835">
        <v>46026</v>
      </c>
      <c r="E6465" t="s" s="834">
        <v>478</v>
      </c>
      <c r="F6465" t="s" s="834">
        <v>478</v>
      </c>
      <c r="G6465" t="s" s="837">
        <v>567</v>
      </c>
      <c r="H6465" t="s" s="837">
        <v>570</v>
      </c>
      <c r="I6465" t="s" s="837">
        <v>567</v>
      </c>
      <c r="J6465" t="s" s="837">
        <v>570</v>
      </c>
      <c r="K6465" s="570"/>
    </row>
    <row r="6466" ht="13.75" customHeight="1">
      <c r="A6466" s="833">
        <v>319</v>
      </c>
      <c r="B6466" t="s" s="834">
        <v>416</v>
      </c>
      <c r="C6466" t="s" s="834">
        <v>480</v>
      </c>
      <c r="D6466" s="835">
        <v>46027</v>
      </c>
      <c r="E6466" s="836">
        <v>1.335474537037037</v>
      </c>
      <c r="F6466" s="836">
        <v>1.751145833333333</v>
      </c>
      <c r="G6466" s="570"/>
      <c r="H6466" s="570"/>
      <c r="I6466" s="570"/>
      <c r="J6466" s="570"/>
      <c r="K6466" s="570"/>
    </row>
    <row r="6467" ht="13.75" customHeight="1">
      <c r="A6467" t="s" s="834">
        <v>4324</v>
      </c>
      <c r="B6467" t="s" s="834">
        <v>4325</v>
      </c>
      <c r="C6467" t="s" s="834">
        <v>652</v>
      </c>
      <c r="D6467" s="570"/>
      <c r="E6467" s="570"/>
      <c r="F6467" s="570"/>
      <c r="G6467" s="570"/>
      <c r="H6467" s="570"/>
      <c r="I6467" s="570"/>
      <c r="J6467" s="570"/>
      <c r="K6467" s="570"/>
    </row>
    <row r="6468" ht="13.75" customHeight="1">
      <c r="A6468" s="833">
        <v>319</v>
      </c>
      <c r="B6468" t="s" s="834">
        <v>416</v>
      </c>
      <c r="C6468" t="s" s="834">
        <v>480</v>
      </c>
      <c r="D6468" s="835">
        <v>46028</v>
      </c>
      <c r="E6468" s="836">
        <v>1.341435185185185</v>
      </c>
      <c r="F6468" s="836">
        <v>1.752685185185185</v>
      </c>
      <c r="G6468" s="570"/>
      <c r="H6468" s="570"/>
      <c r="I6468" s="570"/>
      <c r="J6468" s="570"/>
      <c r="K6468" s="570"/>
    </row>
    <row r="6469" ht="13.75" customHeight="1">
      <c r="A6469" t="s" s="834">
        <v>4326</v>
      </c>
      <c r="B6469" t="s" s="834">
        <v>4327</v>
      </c>
      <c r="C6469" t="s" s="834">
        <v>850</v>
      </c>
      <c r="D6469" s="570"/>
      <c r="E6469" s="570"/>
      <c r="F6469" s="570"/>
      <c r="G6469" s="570"/>
      <c r="H6469" s="570"/>
      <c r="I6469" s="570"/>
      <c r="J6469" s="570"/>
      <c r="K6469" s="570"/>
    </row>
    <row r="6470" ht="13.75" customHeight="1">
      <c r="A6470" s="833">
        <v>319</v>
      </c>
      <c r="B6470" t="s" s="834">
        <v>416</v>
      </c>
      <c r="C6470" t="s" s="834">
        <v>480</v>
      </c>
      <c r="D6470" s="835">
        <v>46029</v>
      </c>
      <c r="E6470" s="836">
        <v>1.329641203703704</v>
      </c>
      <c r="F6470" s="836">
        <v>1.752453703703704</v>
      </c>
      <c r="G6470" s="570"/>
      <c r="H6470" s="570"/>
      <c r="I6470" s="570"/>
      <c r="J6470" s="570"/>
      <c r="K6470" s="570"/>
    </row>
    <row r="6471" ht="13.75" customHeight="1">
      <c r="A6471" t="s" s="834">
        <v>4328</v>
      </c>
      <c r="B6471" t="s" s="834">
        <v>4329</v>
      </c>
      <c r="C6471" t="s" s="834">
        <v>971</v>
      </c>
      <c r="D6471" s="570"/>
      <c r="E6471" s="570"/>
      <c r="F6471" s="570"/>
      <c r="G6471" s="570"/>
      <c r="H6471" s="570"/>
      <c r="I6471" s="570"/>
      <c r="J6471" s="570"/>
      <c r="K6471" s="570"/>
    </row>
    <row r="6472" ht="13.75" customHeight="1">
      <c r="A6472" s="833">
        <v>319</v>
      </c>
      <c r="B6472" t="s" s="834">
        <v>416</v>
      </c>
      <c r="C6472" t="s" s="834">
        <v>480</v>
      </c>
      <c r="D6472" s="835">
        <v>46030</v>
      </c>
      <c r="E6472" s="836">
        <v>1.347222222222222</v>
      </c>
      <c r="F6472" s="836">
        <v>1.753923611111111</v>
      </c>
      <c r="G6472" s="570"/>
      <c r="H6472" s="570"/>
      <c r="I6472" s="570"/>
      <c r="J6472" s="570"/>
      <c r="K6472" s="570"/>
    </row>
    <row r="6473" ht="13.75" customHeight="1">
      <c r="A6473" t="s" s="834">
        <v>4330</v>
      </c>
      <c r="B6473" t="s" s="834">
        <v>4331</v>
      </c>
      <c r="C6473" t="s" s="834">
        <v>1113</v>
      </c>
      <c r="D6473" s="570"/>
      <c r="E6473" s="570"/>
      <c r="F6473" s="570"/>
      <c r="G6473" s="570"/>
      <c r="H6473" s="570"/>
      <c r="I6473" s="570"/>
      <c r="J6473" s="570"/>
      <c r="K6473" s="570"/>
    </row>
    <row r="6474" ht="13.75" customHeight="1">
      <c r="A6474" s="833">
        <v>319</v>
      </c>
      <c r="B6474" t="s" s="834">
        <v>416</v>
      </c>
      <c r="C6474" t="s" s="834">
        <v>480</v>
      </c>
      <c r="D6474" s="835">
        <v>46031</v>
      </c>
      <c r="E6474" s="836">
        <v>1.314340277777778</v>
      </c>
      <c r="F6474" s="836">
        <v>1.525578703703704</v>
      </c>
      <c r="G6474" s="570"/>
      <c r="H6474" s="570"/>
      <c r="I6474" t="s" s="837">
        <v>567</v>
      </c>
      <c r="J6474" t="s" s="837">
        <v>591</v>
      </c>
      <c r="K6474" s="570"/>
    </row>
    <row r="6475" ht="13.75" customHeight="1">
      <c r="A6475" t="s" s="834">
        <v>4332</v>
      </c>
      <c r="B6475" t="s" s="834">
        <v>4333</v>
      </c>
      <c r="C6475" t="s" s="834">
        <v>4334</v>
      </c>
      <c r="D6475" s="570"/>
      <c r="E6475" s="570"/>
      <c r="F6475" s="570"/>
      <c r="G6475" s="570"/>
      <c r="H6475" s="570"/>
      <c r="I6475" s="570"/>
      <c r="J6475" s="570"/>
      <c r="K6475" s="570"/>
    </row>
    <row r="6476" ht="13.75" customHeight="1">
      <c r="A6476" s="833">
        <v>319</v>
      </c>
      <c r="B6476" t="s" s="834">
        <v>416</v>
      </c>
      <c r="C6476" t="s" s="834">
        <v>480</v>
      </c>
      <c r="D6476" s="835">
        <v>46032</v>
      </c>
      <c r="E6476" t="s" s="834">
        <v>478</v>
      </c>
      <c r="F6476" t="s" s="834">
        <v>478</v>
      </c>
      <c r="G6476" t="s" s="837">
        <v>567</v>
      </c>
      <c r="H6476" t="s" s="837">
        <v>570</v>
      </c>
      <c r="I6476" t="s" s="837">
        <v>567</v>
      </c>
      <c r="J6476" t="s" s="837">
        <v>570</v>
      </c>
      <c r="K6476" s="570"/>
    </row>
    <row r="6477" ht="13.75" customHeight="1">
      <c r="A6477" s="833">
        <v>319</v>
      </c>
      <c r="B6477" t="s" s="834">
        <v>416</v>
      </c>
      <c r="C6477" t="s" s="834">
        <v>480</v>
      </c>
      <c r="D6477" s="835">
        <v>46033</v>
      </c>
      <c r="E6477" t="s" s="834">
        <v>478</v>
      </c>
      <c r="F6477" t="s" s="834">
        <v>478</v>
      </c>
      <c r="G6477" t="s" s="837">
        <v>567</v>
      </c>
      <c r="H6477" t="s" s="837">
        <v>570</v>
      </c>
      <c r="I6477" t="s" s="837">
        <v>567</v>
      </c>
      <c r="J6477" t="s" s="837">
        <v>570</v>
      </c>
      <c r="K6477" s="570"/>
    </row>
    <row r="6478" ht="13.75" customHeight="1">
      <c r="A6478" s="833">
        <v>319</v>
      </c>
      <c r="B6478" t="s" s="834">
        <v>416</v>
      </c>
      <c r="C6478" t="s" s="834">
        <v>480</v>
      </c>
      <c r="D6478" s="835">
        <v>46034</v>
      </c>
      <c r="E6478" s="836">
        <v>1.332939814814815</v>
      </c>
      <c r="F6478" s="836">
        <v>1.757071759259259</v>
      </c>
      <c r="G6478" s="570"/>
      <c r="H6478" s="570"/>
      <c r="I6478" s="570"/>
      <c r="J6478" s="570"/>
      <c r="K6478" s="570"/>
    </row>
    <row r="6479" ht="13.75" customHeight="1">
      <c r="A6479" t="s" s="834">
        <v>4335</v>
      </c>
      <c r="B6479" t="s" s="834">
        <v>4336</v>
      </c>
      <c r="C6479" t="s" s="834">
        <v>623</v>
      </c>
      <c r="D6479" s="570"/>
      <c r="E6479" s="570"/>
      <c r="F6479" s="570"/>
      <c r="G6479" s="570"/>
      <c r="H6479" s="570"/>
      <c r="I6479" s="570"/>
      <c r="J6479" s="570"/>
      <c r="K6479" s="570"/>
    </row>
    <row r="6480" ht="13.75" customHeight="1">
      <c r="A6480" s="833">
        <v>319</v>
      </c>
      <c r="B6480" t="s" s="834">
        <v>416</v>
      </c>
      <c r="C6480" t="s" s="834">
        <v>480</v>
      </c>
      <c r="D6480" s="835">
        <v>46035</v>
      </c>
      <c r="E6480" s="836">
        <v>1.332337962962963</v>
      </c>
      <c r="F6480" s="836">
        <v>1.753657407407407</v>
      </c>
      <c r="G6480" s="570"/>
      <c r="H6480" s="570"/>
      <c r="I6480" s="570"/>
      <c r="J6480" s="570"/>
      <c r="K6480" s="570"/>
    </row>
    <row r="6481" ht="13.75" customHeight="1">
      <c r="A6481" t="s" s="834">
        <v>4337</v>
      </c>
      <c r="B6481" t="s" s="834">
        <v>4338</v>
      </c>
      <c r="C6481" t="s" s="834">
        <v>620</v>
      </c>
      <c r="D6481" s="570"/>
      <c r="E6481" s="570"/>
      <c r="F6481" s="570"/>
      <c r="G6481" s="570"/>
      <c r="H6481" s="570"/>
      <c r="I6481" s="570"/>
      <c r="J6481" s="570"/>
      <c r="K6481" s="570"/>
    </row>
    <row r="6482" ht="13.75" customHeight="1">
      <c r="A6482" s="833">
        <v>319</v>
      </c>
      <c r="B6482" t="s" s="834">
        <v>416</v>
      </c>
      <c r="C6482" t="s" s="834">
        <v>480</v>
      </c>
      <c r="D6482" s="835">
        <v>46036</v>
      </c>
      <c r="E6482" s="836">
        <v>1.348726851851852</v>
      </c>
      <c r="F6482" s="836">
        <v>1.751481481481481</v>
      </c>
      <c r="G6482" s="570"/>
      <c r="H6482" s="570"/>
      <c r="I6482" s="570"/>
      <c r="J6482" s="570"/>
      <c r="K6482" s="570"/>
    </row>
    <row r="6483" ht="13.75" customHeight="1">
      <c r="A6483" t="s" s="834">
        <v>4339</v>
      </c>
      <c r="B6483" t="s" s="834">
        <v>4340</v>
      </c>
      <c r="C6483" t="s" s="834">
        <v>861</v>
      </c>
      <c r="D6483" s="570"/>
      <c r="E6483" s="570"/>
      <c r="F6483" s="570"/>
      <c r="G6483" s="570"/>
      <c r="H6483" s="570"/>
      <c r="I6483" s="570"/>
      <c r="J6483" s="570"/>
      <c r="K6483" s="570"/>
    </row>
    <row r="6484" ht="13.75" customHeight="1">
      <c r="A6484" s="833">
        <v>319</v>
      </c>
      <c r="B6484" t="s" s="834">
        <v>416</v>
      </c>
      <c r="C6484" t="s" s="834">
        <v>480</v>
      </c>
      <c r="D6484" s="835">
        <v>46037</v>
      </c>
      <c r="E6484" s="836">
        <v>1.33037037037037</v>
      </c>
      <c r="F6484" s="836">
        <v>1.751597222222222</v>
      </c>
      <c r="G6484" s="570"/>
      <c r="H6484" s="570"/>
      <c r="I6484" s="570"/>
      <c r="J6484" s="570"/>
      <c r="K6484" s="570"/>
    </row>
    <row r="6485" ht="13.75" customHeight="1">
      <c r="A6485" t="s" s="834">
        <v>4341</v>
      </c>
      <c r="B6485" t="s" s="834">
        <v>4342</v>
      </c>
      <c r="C6485" t="s" s="834">
        <v>620</v>
      </c>
      <c r="D6485" s="570"/>
      <c r="E6485" s="570"/>
      <c r="F6485" s="570"/>
      <c r="G6485" s="570"/>
      <c r="H6485" s="570"/>
      <c r="I6485" s="570"/>
      <c r="J6485" s="570"/>
      <c r="K6485" s="570"/>
    </row>
    <row r="6486" ht="13.75" customHeight="1">
      <c r="A6486" s="833">
        <v>319</v>
      </c>
      <c r="B6486" t="s" s="834">
        <v>416</v>
      </c>
      <c r="C6486" t="s" s="834">
        <v>480</v>
      </c>
      <c r="D6486" s="835">
        <v>46038</v>
      </c>
      <c r="E6486" s="836">
        <v>1.307384259259259</v>
      </c>
      <c r="F6486" s="836">
        <v>1.486886574074074</v>
      </c>
      <c r="G6486" s="570"/>
      <c r="H6486" s="570"/>
      <c r="I6486" t="s" s="837">
        <v>567</v>
      </c>
      <c r="J6486" t="s" s="837">
        <v>591</v>
      </c>
      <c r="K6486" s="570"/>
    </row>
    <row r="6487" ht="13.75" customHeight="1">
      <c r="A6487" t="s" s="834">
        <v>4343</v>
      </c>
      <c r="B6487" t="s" s="834">
        <v>4344</v>
      </c>
      <c r="C6487" t="s" s="834">
        <v>4345</v>
      </c>
      <c r="D6487" s="570"/>
      <c r="E6487" s="570"/>
      <c r="F6487" s="570"/>
      <c r="G6487" s="570"/>
      <c r="H6487" s="570"/>
      <c r="I6487" s="570"/>
      <c r="J6487" s="570"/>
      <c r="K6487" s="570"/>
    </row>
    <row r="6488" ht="13.75" customHeight="1">
      <c r="A6488" s="833">
        <v>319</v>
      </c>
      <c r="B6488" t="s" s="834">
        <v>416</v>
      </c>
      <c r="C6488" t="s" s="834">
        <v>480</v>
      </c>
      <c r="D6488" s="835">
        <v>46039</v>
      </c>
      <c r="E6488" t="s" s="834">
        <v>478</v>
      </c>
      <c r="F6488" t="s" s="834">
        <v>478</v>
      </c>
      <c r="G6488" t="s" s="837">
        <v>567</v>
      </c>
      <c r="H6488" t="s" s="837">
        <v>570</v>
      </c>
      <c r="I6488" t="s" s="837">
        <v>567</v>
      </c>
      <c r="J6488" t="s" s="837">
        <v>570</v>
      </c>
      <c r="K6488" s="570"/>
    </row>
    <row r="6489" ht="13.75" customHeight="1">
      <c r="A6489" s="833">
        <v>319</v>
      </c>
      <c r="B6489" t="s" s="834">
        <v>416</v>
      </c>
      <c r="C6489" t="s" s="834">
        <v>480</v>
      </c>
      <c r="D6489" s="835">
        <v>46040</v>
      </c>
      <c r="E6489" t="s" s="834">
        <v>478</v>
      </c>
      <c r="F6489" t="s" s="834">
        <v>478</v>
      </c>
      <c r="G6489" t="s" s="837">
        <v>567</v>
      </c>
      <c r="H6489" t="s" s="837">
        <v>570</v>
      </c>
      <c r="I6489" t="s" s="837">
        <v>567</v>
      </c>
      <c r="J6489" t="s" s="837">
        <v>570</v>
      </c>
      <c r="K6489" s="570"/>
    </row>
    <row r="6490" ht="13.75" customHeight="1">
      <c r="A6490" s="833">
        <v>319</v>
      </c>
      <c r="B6490" t="s" s="834">
        <v>416</v>
      </c>
      <c r="C6490" t="s" s="834">
        <v>480</v>
      </c>
      <c r="D6490" s="835">
        <v>46041</v>
      </c>
      <c r="E6490" s="836">
        <v>1.357881944444444</v>
      </c>
      <c r="F6490" s="836">
        <v>1.758587962962963</v>
      </c>
      <c r="G6490" t="s" s="837">
        <v>567</v>
      </c>
      <c r="H6490" t="s" s="837">
        <v>587</v>
      </c>
      <c r="I6490" s="570"/>
      <c r="J6490" s="570"/>
      <c r="K6490" s="570"/>
    </row>
    <row r="6491" ht="13.75" customHeight="1">
      <c r="A6491" t="s" s="834">
        <v>4346</v>
      </c>
      <c r="B6491" t="s" s="834">
        <v>4347</v>
      </c>
      <c r="C6491" t="s" s="834">
        <v>606</v>
      </c>
      <c r="D6491" s="570"/>
      <c r="E6491" s="570"/>
      <c r="F6491" s="570"/>
      <c r="G6491" s="570"/>
      <c r="H6491" s="570"/>
      <c r="I6491" s="570"/>
      <c r="J6491" s="570"/>
      <c r="K6491" s="570"/>
    </row>
    <row r="6492" ht="13.75" customHeight="1">
      <c r="A6492" s="833">
        <v>319</v>
      </c>
      <c r="B6492" t="s" s="834">
        <v>416</v>
      </c>
      <c r="C6492" t="s" s="834">
        <v>480</v>
      </c>
      <c r="D6492" s="835">
        <v>46042</v>
      </c>
      <c r="E6492" s="836">
        <v>1.349247685185185</v>
      </c>
      <c r="F6492" s="836">
        <v>1.753657407407407</v>
      </c>
      <c r="G6492" s="570"/>
      <c r="H6492" s="570"/>
      <c r="I6492" s="570"/>
      <c r="J6492" s="570"/>
      <c r="K6492" s="570"/>
    </row>
    <row r="6493" ht="13.75" customHeight="1">
      <c r="A6493" t="s" s="834">
        <v>4348</v>
      </c>
      <c r="B6493" t="s" s="834">
        <v>4349</v>
      </c>
      <c r="C6493" t="s" s="834">
        <v>493</v>
      </c>
      <c r="D6493" s="570"/>
      <c r="E6493" s="570"/>
      <c r="F6493" s="570"/>
      <c r="G6493" s="570"/>
      <c r="H6493" s="570"/>
      <c r="I6493" s="570"/>
      <c r="J6493" s="570"/>
      <c r="K6493" s="570"/>
    </row>
    <row r="6494" ht="13.75" customHeight="1">
      <c r="A6494" s="833">
        <v>319</v>
      </c>
      <c r="B6494" t="s" s="834">
        <v>416</v>
      </c>
      <c r="C6494" t="s" s="834">
        <v>480</v>
      </c>
      <c r="D6494" s="835">
        <v>46043</v>
      </c>
      <c r="E6494" s="836">
        <v>1.339606481481481</v>
      </c>
      <c r="F6494" s="836">
        <v>1.756805555555556</v>
      </c>
      <c r="G6494" s="570"/>
      <c r="H6494" s="570"/>
      <c r="I6494" s="570"/>
      <c r="J6494" s="570"/>
      <c r="K6494" s="570"/>
    </row>
    <row r="6495" ht="13.75" customHeight="1">
      <c r="A6495" t="s" s="834">
        <v>4350</v>
      </c>
      <c r="B6495" t="s" s="834">
        <v>4351</v>
      </c>
      <c r="C6495" t="s" s="834">
        <v>1285</v>
      </c>
      <c r="D6495" s="570"/>
      <c r="E6495" s="570"/>
      <c r="F6495" s="570"/>
      <c r="G6495" s="570"/>
      <c r="H6495" s="570"/>
      <c r="I6495" s="570"/>
      <c r="J6495" s="570"/>
      <c r="K6495" s="570"/>
    </row>
    <row r="6496" ht="13.75" customHeight="1">
      <c r="A6496" s="833">
        <v>319</v>
      </c>
      <c r="B6496" t="s" s="834">
        <v>416</v>
      </c>
      <c r="C6496" t="s" s="834">
        <v>480</v>
      </c>
      <c r="D6496" s="835">
        <v>46044</v>
      </c>
      <c r="E6496" s="836">
        <v>1.34369212962963</v>
      </c>
      <c r="F6496" s="836">
        <v>1.767384259259259</v>
      </c>
      <c r="G6496" s="570"/>
      <c r="H6496" s="570"/>
      <c r="I6496" s="570"/>
      <c r="J6496" s="570"/>
      <c r="K6496" s="570"/>
    </row>
    <row r="6497" ht="13.75" customHeight="1">
      <c r="A6497" t="s" s="834">
        <v>4352</v>
      </c>
      <c r="B6497" t="s" s="834">
        <v>4353</v>
      </c>
      <c r="C6497" t="s" s="834">
        <v>649</v>
      </c>
      <c r="D6497" s="570"/>
      <c r="E6497" s="570"/>
      <c r="F6497" s="570"/>
      <c r="G6497" s="570"/>
      <c r="H6497" s="570"/>
      <c r="I6497" s="570"/>
      <c r="J6497" s="570"/>
      <c r="K6497" s="570"/>
    </row>
    <row r="6498" ht="13.75" customHeight="1">
      <c r="A6498" s="833">
        <v>319</v>
      </c>
      <c r="B6498" t="s" s="834">
        <v>416</v>
      </c>
      <c r="C6498" t="s" s="834">
        <v>480</v>
      </c>
      <c r="D6498" s="835">
        <v>46045</v>
      </c>
      <c r="E6498" s="836">
        <v>1.292002314814815</v>
      </c>
      <c r="F6498" s="836">
        <v>1.484675925925926</v>
      </c>
      <c r="G6498" s="570"/>
      <c r="H6498" s="570"/>
      <c r="I6498" t="s" s="837">
        <v>567</v>
      </c>
      <c r="J6498" t="s" s="837">
        <v>569</v>
      </c>
      <c r="K6498" s="570"/>
    </row>
    <row r="6499" ht="13.75" customHeight="1">
      <c r="A6499" t="s" s="834">
        <v>4354</v>
      </c>
      <c r="B6499" t="s" s="834">
        <v>4355</v>
      </c>
      <c r="C6499" t="s" s="834">
        <v>1217</v>
      </c>
      <c r="D6499" s="570"/>
      <c r="E6499" s="570"/>
      <c r="F6499" s="570"/>
      <c r="G6499" s="570"/>
      <c r="H6499" s="570"/>
      <c r="I6499" s="570"/>
      <c r="J6499" s="570"/>
      <c r="K6499" s="570"/>
    </row>
    <row r="6500" ht="13.75" customHeight="1">
      <c r="A6500" s="833">
        <v>319</v>
      </c>
      <c r="B6500" t="s" s="834">
        <v>416</v>
      </c>
      <c r="C6500" t="s" s="834">
        <v>480</v>
      </c>
      <c r="D6500" s="835">
        <v>46046</v>
      </c>
      <c r="E6500" t="s" s="834">
        <v>478</v>
      </c>
      <c r="F6500" t="s" s="834">
        <v>478</v>
      </c>
      <c r="G6500" t="s" s="837">
        <v>567</v>
      </c>
      <c r="H6500" t="s" s="837">
        <v>570</v>
      </c>
      <c r="I6500" t="s" s="837">
        <v>567</v>
      </c>
      <c r="J6500" t="s" s="837">
        <v>570</v>
      </c>
      <c r="K6500" s="570"/>
    </row>
    <row r="6501" ht="13.75" customHeight="1">
      <c r="A6501" s="833">
        <v>319</v>
      </c>
      <c r="B6501" t="s" s="834">
        <v>416</v>
      </c>
      <c r="C6501" t="s" s="834">
        <v>480</v>
      </c>
      <c r="D6501" s="835">
        <v>46047</v>
      </c>
      <c r="E6501" t="s" s="834">
        <v>478</v>
      </c>
      <c r="F6501" t="s" s="834">
        <v>478</v>
      </c>
      <c r="G6501" t="s" s="837">
        <v>567</v>
      </c>
      <c r="H6501" t="s" s="837">
        <v>570</v>
      </c>
      <c r="I6501" t="s" s="837">
        <v>567</v>
      </c>
      <c r="J6501" t="s" s="837">
        <v>570</v>
      </c>
      <c r="K6501" s="570"/>
    </row>
    <row r="6502" ht="13.75" customHeight="1">
      <c r="A6502" s="833">
        <v>319</v>
      </c>
      <c r="B6502" t="s" s="834">
        <v>416</v>
      </c>
      <c r="C6502" t="s" s="834">
        <v>480</v>
      </c>
      <c r="D6502" s="835">
        <v>46048</v>
      </c>
      <c r="E6502" s="836">
        <v>1.33849537037037</v>
      </c>
      <c r="F6502" s="836">
        <v>1.76505787037037</v>
      </c>
      <c r="G6502" s="570"/>
      <c r="H6502" s="570"/>
      <c r="I6502" s="570"/>
      <c r="J6502" s="570"/>
      <c r="K6502" s="570"/>
    </row>
    <row r="6503" ht="13.75" customHeight="1">
      <c r="A6503" t="s" s="834">
        <v>4356</v>
      </c>
      <c r="B6503" t="s" s="834">
        <v>4357</v>
      </c>
      <c r="C6503" t="s" s="834">
        <v>1549</v>
      </c>
      <c r="D6503" s="570"/>
      <c r="E6503" s="570"/>
      <c r="F6503" s="570"/>
      <c r="G6503" s="570"/>
      <c r="H6503" s="570"/>
      <c r="I6503" s="570"/>
      <c r="J6503" s="570"/>
      <c r="K6503" s="570"/>
    </row>
    <row r="6504" ht="13.75" customHeight="1">
      <c r="A6504" s="833">
        <v>319</v>
      </c>
      <c r="B6504" t="s" s="834">
        <v>416</v>
      </c>
      <c r="C6504" t="s" s="834">
        <v>480</v>
      </c>
      <c r="D6504" s="835">
        <v>46049</v>
      </c>
      <c r="E6504" s="836">
        <v>1.350543981481481</v>
      </c>
      <c r="F6504" s="836">
        <v>1.775949074074074</v>
      </c>
      <c r="G6504" s="570"/>
      <c r="H6504" s="570"/>
      <c r="I6504" s="570"/>
      <c r="J6504" s="570"/>
      <c r="K6504" s="570"/>
    </row>
    <row r="6505" ht="13.75" customHeight="1">
      <c r="A6505" t="s" s="834">
        <v>4358</v>
      </c>
      <c r="B6505" t="s" s="834">
        <v>4359</v>
      </c>
      <c r="C6505" t="s" s="834">
        <v>2028</v>
      </c>
      <c r="D6505" s="570"/>
      <c r="E6505" s="570"/>
      <c r="F6505" s="570"/>
      <c r="G6505" s="570"/>
      <c r="H6505" s="570"/>
      <c r="I6505" s="570"/>
      <c r="J6505" s="570"/>
      <c r="K6505" s="570"/>
    </row>
    <row r="6506" ht="13.75" customHeight="1">
      <c r="A6506" s="833">
        <v>319</v>
      </c>
      <c r="B6506" t="s" s="834">
        <v>416</v>
      </c>
      <c r="C6506" t="s" s="834">
        <v>480</v>
      </c>
      <c r="D6506" s="835">
        <v>46050</v>
      </c>
      <c r="E6506" s="836">
        <v>1.520046296296296</v>
      </c>
      <c r="F6506" s="836">
        <v>1.766018518518519</v>
      </c>
      <c r="G6506" t="s" s="837">
        <v>567</v>
      </c>
      <c r="H6506" t="s" s="837">
        <v>569</v>
      </c>
      <c r="I6506" s="570"/>
      <c r="J6506" s="570"/>
      <c r="K6506" s="570"/>
    </row>
    <row r="6507" ht="13.75" customHeight="1">
      <c r="A6507" t="s" s="834">
        <v>4360</v>
      </c>
      <c r="B6507" t="s" s="834">
        <v>4361</v>
      </c>
      <c r="C6507" t="s" s="834">
        <v>3568</v>
      </c>
      <c r="D6507" s="570"/>
      <c r="E6507" s="570"/>
      <c r="F6507" s="570"/>
      <c r="G6507" s="570"/>
      <c r="H6507" s="570"/>
      <c r="I6507" s="570"/>
      <c r="J6507" s="570"/>
      <c r="K6507" s="570"/>
    </row>
    <row r="6508" ht="13.75" customHeight="1">
      <c r="A6508" s="833">
        <v>319</v>
      </c>
      <c r="B6508" t="s" s="834">
        <v>416</v>
      </c>
      <c r="C6508" t="s" s="834">
        <v>480</v>
      </c>
      <c r="D6508" s="835">
        <v>46051</v>
      </c>
      <c r="E6508" s="836">
        <v>1.339606481481481</v>
      </c>
      <c r="F6508" s="836">
        <v>1.753530092592593</v>
      </c>
      <c r="G6508" s="570"/>
      <c r="H6508" s="570"/>
      <c r="I6508" s="570"/>
      <c r="J6508" s="570"/>
      <c r="K6508" s="570"/>
    </row>
    <row r="6509" ht="13.75" customHeight="1">
      <c r="A6509" t="s" s="834">
        <v>4362</v>
      </c>
      <c r="B6509" t="s" s="834">
        <v>4363</v>
      </c>
      <c r="C6509" t="s" s="834">
        <v>637</v>
      </c>
      <c r="D6509" s="570"/>
      <c r="E6509" s="570"/>
      <c r="F6509" s="570"/>
      <c r="G6509" s="570"/>
      <c r="H6509" s="570"/>
      <c r="I6509" s="570"/>
      <c r="J6509" s="570"/>
      <c r="K6509" s="570"/>
    </row>
    <row r="6510" ht="13.75" customHeight="1">
      <c r="A6510" s="833">
        <v>319</v>
      </c>
      <c r="B6510" t="s" s="834">
        <v>416</v>
      </c>
      <c r="C6510" t="s" s="834">
        <v>480</v>
      </c>
      <c r="D6510" s="835">
        <v>46052</v>
      </c>
      <c r="E6510" s="836">
        <v>1.314525462962963</v>
      </c>
      <c r="F6510" s="836">
        <v>1.504594907407407</v>
      </c>
      <c r="G6510" s="570"/>
      <c r="H6510" s="570"/>
      <c r="I6510" t="s" s="837">
        <v>567</v>
      </c>
      <c r="J6510" t="s" s="837">
        <v>569</v>
      </c>
      <c r="K6510" s="570"/>
    </row>
    <row r="6511" ht="13.75" customHeight="1">
      <c r="A6511" t="s" s="834">
        <v>4364</v>
      </c>
      <c r="B6511" t="s" s="834">
        <v>4365</v>
      </c>
      <c r="C6511" t="s" s="834">
        <v>4366</v>
      </c>
      <c r="D6511" s="570"/>
      <c r="E6511" s="570"/>
      <c r="F6511" s="570"/>
      <c r="G6511" s="570"/>
      <c r="H6511" s="570"/>
      <c r="I6511" s="570"/>
      <c r="J6511" s="570"/>
      <c r="K6511" s="570"/>
    </row>
    <row r="6512" ht="13.75" customHeight="1">
      <c r="A6512" s="833">
        <v>319</v>
      </c>
      <c r="B6512" t="s" s="834">
        <v>416</v>
      </c>
      <c r="C6512" t="s" s="834">
        <v>480</v>
      </c>
      <c r="D6512" s="835">
        <v>46053</v>
      </c>
      <c r="E6512" t="s" s="834">
        <v>478</v>
      </c>
      <c r="F6512" t="s" s="834">
        <v>478</v>
      </c>
      <c r="G6512" t="s" s="837">
        <v>567</v>
      </c>
      <c r="H6512" t="s" s="837">
        <v>570</v>
      </c>
      <c r="I6512" t="s" s="837">
        <v>567</v>
      </c>
      <c r="J6512" t="s" s="837">
        <v>570</v>
      </c>
      <c r="K6512" s="570"/>
    </row>
    <row r="6513" ht="13.75" customHeight="1">
      <c r="A6513" s="833">
        <v>320</v>
      </c>
      <c r="B6513" t="s" s="834">
        <v>4367</v>
      </c>
      <c r="C6513" t="s" s="834">
        <v>480</v>
      </c>
      <c r="D6513" s="835">
        <v>46023</v>
      </c>
      <c r="E6513" t="s" s="834">
        <v>478</v>
      </c>
      <c r="F6513" t="s" s="834">
        <v>478</v>
      </c>
      <c r="G6513" t="s" s="837">
        <v>567</v>
      </c>
      <c r="H6513" t="s" s="837">
        <v>4157</v>
      </c>
      <c r="I6513" t="s" s="837">
        <v>567</v>
      </c>
      <c r="J6513" t="s" s="837">
        <v>4157</v>
      </c>
      <c r="K6513" s="570"/>
    </row>
    <row r="6514" ht="13.75" customHeight="1">
      <c r="A6514" s="833">
        <v>320</v>
      </c>
      <c r="B6514" t="s" s="834">
        <v>4367</v>
      </c>
      <c r="C6514" t="s" s="834">
        <v>480</v>
      </c>
      <c r="D6514" s="835">
        <v>46024</v>
      </c>
      <c r="E6514" t="s" s="834">
        <v>478</v>
      </c>
      <c r="F6514" t="s" s="834">
        <v>478</v>
      </c>
      <c r="G6514" t="s" s="837">
        <v>567</v>
      </c>
      <c r="H6514" t="s" s="837">
        <v>4368</v>
      </c>
      <c r="I6514" t="s" s="837">
        <v>567</v>
      </c>
      <c r="J6514" t="s" s="837">
        <v>4368</v>
      </c>
      <c r="K6514" s="570"/>
    </row>
    <row r="6515" ht="13.75" customHeight="1">
      <c r="A6515" s="833">
        <v>320</v>
      </c>
      <c r="B6515" t="s" s="834">
        <v>4367</v>
      </c>
      <c r="C6515" t="s" s="834">
        <v>480</v>
      </c>
      <c r="D6515" s="835">
        <v>46025</v>
      </c>
      <c r="E6515" t="s" s="834">
        <v>478</v>
      </c>
      <c r="F6515" t="s" s="834">
        <v>478</v>
      </c>
      <c r="G6515" t="s" s="837">
        <v>567</v>
      </c>
      <c r="H6515" t="s" s="837">
        <v>570</v>
      </c>
      <c r="I6515" t="s" s="837">
        <v>567</v>
      </c>
      <c r="J6515" t="s" s="837">
        <v>570</v>
      </c>
      <c r="K6515" s="570"/>
    </row>
    <row r="6516" ht="13.75" customHeight="1">
      <c r="A6516" s="833">
        <v>320</v>
      </c>
      <c r="B6516" t="s" s="834">
        <v>4367</v>
      </c>
      <c r="C6516" t="s" s="834">
        <v>480</v>
      </c>
      <c r="D6516" s="835">
        <v>46026</v>
      </c>
      <c r="E6516" t="s" s="834">
        <v>478</v>
      </c>
      <c r="F6516" t="s" s="834">
        <v>478</v>
      </c>
      <c r="G6516" t="s" s="837">
        <v>567</v>
      </c>
      <c r="H6516" t="s" s="837">
        <v>570</v>
      </c>
      <c r="I6516" t="s" s="837">
        <v>567</v>
      </c>
      <c r="J6516" t="s" s="837">
        <v>570</v>
      </c>
      <c r="K6516" s="570"/>
    </row>
    <row r="6517" ht="13.75" customHeight="1">
      <c r="A6517" s="833">
        <v>320</v>
      </c>
      <c r="B6517" t="s" s="834">
        <v>4367</v>
      </c>
      <c r="C6517" t="s" s="834">
        <v>480</v>
      </c>
      <c r="D6517" s="835">
        <v>46027</v>
      </c>
      <c r="E6517" s="836">
        <v>1.354074074074074</v>
      </c>
      <c r="F6517" s="836">
        <v>1.759560185185185</v>
      </c>
      <c r="G6517" s="570"/>
      <c r="H6517" s="570"/>
      <c r="I6517" s="570"/>
      <c r="J6517" s="570"/>
      <c r="K6517" s="570"/>
    </row>
    <row r="6518" ht="13.75" customHeight="1">
      <c r="A6518" t="s" s="834">
        <v>4369</v>
      </c>
      <c r="B6518" t="s" s="834">
        <v>4370</v>
      </c>
      <c r="C6518" t="s" s="834">
        <v>1601</v>
      </c>
      <c r="D6518" s="570"/>
      <c r="E6518" s="570"/>
      <c r="F6518" s="570"/>
      <c r="G6518" s="570"/>
      <c r="H6518" s="570"/>
      <c r="I6518" s="570"/>
      <c r="J6518" s="570"/>
      <c r="K6518" s="570"/>
    </row>
    <row r="6519" ht="13.75" customHeight="1">
      <c r="A6519" s="833">
        <v>320</v>
      </c>
      <c r="B6519" t="s" s="834">
        <v>4367</v>
      </c>
      <c r="C6519" t="s" s="834">
        <v>480</v>
      </c>
      <c r="D6519" s="835">
        <v>46028</v>
      </c>
      <c r="E6519" s="836">
        <v>1.355081018518518</v>
      </c>
      <c r="F6519" s="836">
        <v>1.760034722222222</v>
      </c>
      <c r="G6519" t="s" s="837">
        <v>567</v>
      </c>
      <c r="H6519" t="s" s="837">
        <v>4371</v>
      </c>
      <c r="I6519" s="570"/>
      <c r="J6519" s="570"/>
      <c r="K6519" s="570"/>
    </row>
    <row r="6520" ht="13.75" customHeight="1">
      <c r="A6520" t="s" s="834">
        <v>4372</v>
      </c>
      <c r="B6520" t="s" s="834">
        <v>4373</v>
      </c>
      <c r="C6520" t="s" s="834">
        <v>582</v>
      </c>
      <c r="D6520" s="570"/>
      <c r="E6520" s="570"/>
      <c r="F6520" s="570"/>
      <c r="G6520" s="570"/>
      <c r="H6520" s="570"/>
      <c r="I6520" s="570"/>
      <c r="J6520" s="570"/>
      <c r="K6520" s="570"/>
    </row>
    <row r="6521" ht="13.75" customHeight="1">
      <c r="A6521" s="833">
        <v>320</v>
      </c>
      <c r="B6521" t="s" s="834">
        <v>4367</v>
      </c>
      <c r="C6521" t="s" s="834">
        <v>480</v>
      </c>
      <c r="D6521" s="835">
        <v>46029</v>
      </c>
      <c r="E6521" t="s" s="834">
        <v>478</v>
      </c>
      <c r="F6521" t="s" s="834">
        <v>478</v>
      </c>
      <c r="G6521" t="s" s="837">
        <v>567</v>
      </c>
      <c r="H6521" t="s" s="837">
        <v>4368</v>
      </c>
      <c r="I6521" t="s" s="837">
        <v>567</v>
      </c>
      <c r="J6521" t="s" s="837">
        <v>4368</v>
      </c>
      <c r="K6521" s="570"/>
    </row>
    <row r="6522" ht="13.75" customHeight="1">
      <c r="A6522" s="833">
        <v>320</v>
      </c>
      <c r="B6522" t="s" s="834">
        <v>4367</v>
      </c>
      <c r="C6522" t="s" s="834">
        <v>480</v>
      </c>
      <c r="D6522" s="835">
        <v>46030</v>
      </c>
      <c r="E6522" s="836">
        <v>1.562141203703704</v>
      </c>
      <c r="F6522" s="836">
        <v>1.755787037037037</v>
      </c>
      <c r="G6522" t="s" s="837">
        <v>567</v>
      </c>
      <c r="H6522" t="s" s="837">
        <v>1742</v>
      </c>
      <c r="I6522" s="570"/>
      <c r="J6522" s="570"/>
      <c r="K6522" s="570"/>
    </row>
    <row r="6523" ht="13.75" customHeight="1">
      <c r="A6523" t="s" s="834">
        <v>4374</v>
      </c>
      <c r="B6523" t="s" s="834">
        <v>4375</v>
      </c>
      <c r="C6523" t="s" s="834">
        <v>3284</v>
      </c>
      <c r="D6523" s="570"/>
      <c r="E6523" s="570"/>
      <c r="F6523" s="570"/>
      <c r="G6523" s="570"/>
      <c r="H6523" s="570"/>
      <c r="I6523" s="570"/>
      <c r="J6523" s="570"/>
      <c r="K6523" s="570"/>
    </row>
    <row r="6524" ht="13.75" customHeight="1">
      <c r="A6524" s="833">
        <v>320</v>
      </c>
      <c r="B6524" t="s" s="834">
        <v>4367</v>
      </c>
      <c r="C6524" t="s" s="834">
        <v>480</v>
      </c>
      <c r="D6524" s="835">
        <v>46031</v>
      </c>
      <c r="E6524" s="836">
        <v>1.349282407407407</v>
      </c>
      <c r="F6524" s="836">
        <v>1.502060185185185</v>
      </c>
      <c r="G6524" s="570"/>
      <c r="H6524" s="570"/>
      <c r="I6524" t="s" s="837">
        <v>567</v>
      </c>
      <c r="J6524" t="s" s="837">
        <v>1712</v>
      </c>
      <c r="K6524" s="570"/>
    </row>
    <row r="6525" ht="13.75" customHeight="1">
      <c r="A6525" t="s" s="834">
        <v>4376</v>
      </c>
      <c r="B6525" t="s" s="834">
        <v>4377</v>
      </c>
      <c r="C6525" t="s" s="834">
        <v>4378</v>
      </c>
      <c r="D6525" s="570"/>
      <c r="E6525" s="570"/>
      <c r="F6525" s="570"/>
      <c r="G6525" s="570"/>
      <c r="H6525" s="570"/>
      <c r="I6525" s="570"/>
      <c r="J6525" s="570"/>
      <c r="K6525" s="570"/>
    </row>
    <row r="6526" ht="13.75" customHeight="1">
      <c r="A6526" s="833">
        <v>320</v>
      </c>
      <c r="B6526" t="s" s="834">
        <v>4367</v>
      </c>
      <c r="C6526" t="s" s="834">
        <v>480</v>
      </c>
      <c r="D6526" s="835">
        <v>46032</v>
      </c>
      <c r="E6526" t="s" s="834">
        <v>478</v>
      </c>
      <c r="F6526" t="s" s="834">
        <v>478</v>
      </c>
      <c r="G6526" t="s" s="837">
        <v>567</v>
      </c>
      <c r="H6526" t="s" s="837">
        <v>570</v>
      </c>
      <c r="I6526" t="s" s="837">
        <v>567</v>
      </c>
      <c r="J6526" t="s" s="837">
        <v>570</v>
      </c>
      <c r="K6526" s="570"/>
    </row>
    <row r="6527" ht="13.75" customHeight="1">
      <c r="A6527" s="833">
        <v>320</v>
      </c>
      <c r="B6527" t="s" s="834">
        <v>4367</v>
      </c>
      <c r="C6527" t="s" s="834">
        <v>480</v>
      </c>
      <c r="D6527" s="835">
        <v>46033</v>
      </c>
      <c r="E6527" t="s" s="834">
        <v>478</v>
      </c>
      <c r="F6527" t="s" s="834">
        <v>478</v>
      </c>
      <c r="G6527" t="s" s="837">
        <v>567</v>
      </c>
      <c r="H6527" t="s" s="837">
        <v>570</v>
      </c>
      <c r="I6527" t="s" s="837">
        <v>567</v>
      </c>
      <c r="J6527" t="s" s="837">
        <v>570</v>
      </c>
      <c r="K6527" s="570"/>
    </row>
    <row r="6528" ht="13.75" customHeight="1">
      <c r="A6528" s="833">
        <v>320</v>
      </c>
      <c r="B6528" t="s" s="834">
        <v>4367</v>
      </c>
      <c r="C6528" t="s" s="834">
        <v>480</v>
      </c>
      <c r="D6528" s="835">
        <v>46034</v>
      </c>
      <c r="E6528" s="836">
        <v>1.353564814814815</v>
      </c>
      <c r="F6528" s="836">
        <v>1.758773148148148</v>
      </c>
      <c r="G6528" s="570"/>
      <c r="H6528" s="570"/>
      <c r="I6528" s="570"/>
      <c r="J6528" s="570"/>
      <c r="K6528" s="570"/>
    </row>
    <row r="6529" ht="13.75" customHeight="1">
      <c r="A6529" t="s" s="834">
        <v>4379</v>
      </c>
      <c r="B6529" t="s" s="834">
        <v>4380</v>
      </c>
      <c r="C6529" t="s" s="834">
        <v>1601</v>
      </c>
      <c r="D6529" s="570"/>
      <c r="E6529" s="570"/>
      <c r="F6529" s="570"/>
      <c r="G6529" s="570"/>
      <c r="H6529" s="570"/>
      <c r="I6529" s="570"/>
      <c r="J6529" s="570"/>
      <c r="K6529" s="570"/>
    </row>
    <row r="6530" ht="13.75" customHeight="1">
      <c r="A6530" s="833">
        <v>320</v>
      </c>
      <c r="B6530" t="s" s="834">
        <v>4367</v>
      </c>
      <c r="C6530" t="s" s="834">
        <v>480</v>
      </c>
      <c r="D6530" s="835">
        <v>46035</v>
      </c>
      <c r="E6530" t="s" s="834">
        <v>478</v>
      </c>
      <c r="F6530" t="s" s="834">
        <v>478</v>
      </c>
      <c r="G6530" t="s" s="837">
        <v>567</v>
      </c>
      <c r="H6530" t="s" s="837">
        <v>1742</v>
      </c>
      <c r="I6530" t="s" s="837">
        <v>567</v>
      </c>
      <c r="J6530" t="s" s="837">
        <v>1742</v>
      </c>
      <c r="K6530" s="570"/>
    </row>
    <row r="6531" ht="13.75" customHeight="1">
      <c r="A6531" s="833">
        <v>320</v>
      </c>
      <c r="B6531" t="s" s="834">
        <v>4367</v>
      </c>
      <c r="C6531" t="s" s="834">
        <v>480</v>
      </c>
      <c r="D6531" s="835">
        <v>46036</v>
      </c>
      <c r="E6531" s="836">
        <v>1.350428240740741</v>
      </c>
      <c r="F6531" s="836">
        <v>1.75380787037037</v>
      </c>
      <c r="G6531" s="570"/>
      <c r="H6531" s="570"/>
      <c r="I6531" s="570"/>
      <c r="J6531" s="570"/>
      <c r="K6531" s="570"/>
    </row>
    <row r="6532" ht="13.75" customHeight="1">
      <c r="A6532" t="s" s="834">
        <v>4381</v>
      </c>
      <c r="B6532" t="s" s="834">
        <v>4382</v>
      </c>
      <c r="C6532" t="s" s="834">
        <v>590</v>
      </c>
      <c r="D6532" s="570"/>
      <c r="E6532" s="570"/>
      <c r="F6532" s="570"/>
      <c r="G6532" s="570"/>
      <c r="H6532" s="570"/>
      <c r="I6532" s="570"/>
      <c r="J6532" s="570"/>
      <c r="K6532" s="570"/>
    </row>
    <row r="6533" ht="13.75" customHeight="1">
      <c r="A6533" s="833">
        <v>320</v>
      </c>
      <c r="B6533" t="s" s="834">
        <v>4367</v>
      </c>
      <c r="C6533" t="s" s="834">
        <v>480</v>
      </c>
      <c r="D6533" s="835">
        <v>46037</v>
      </c>
      <c r="E6533" s="836">
        <v>1.351898148148148</v>
      </c>
      <c r="F6533" s="836">
        <v>1.753287037037037</v>
      </c>
      <c r="G6533" s="570"/>
      <c r="H6533" s="570"/>
      <c r="I6533" s="570"/>
      <c r="J6533" s="570"/>
      <c r="K6533" s="570"/>
    </row>
    <row r="6534" ht="13.75" customHeight="1">
      <c r="A6534" t="s" s="834">
        <v>4383</v>
      </c>
      <c r="B6534" t="s" s="834">
        <v>4384</v>
      </c>
      <c r="C6534" t="s" s="834">
        <v>697</v>
      </c>
      <c r="D6534" s="570"/>
      <c r="E6534" s="570"/>
      <c r="F6534" s="570"/>
      <c r="G6534" s="570"/>
      <c r="H6534" s="570"/>
      <c r="I6534" s="570"/>
      <c r="J6534" s="570"/>
      <c r="K6534" s="570"/>
    </row>
    <row r="6535" ht="13.75" customHeight="1">
      <c r="A6535" s="833">
        <v>320</v>
      </c>
      <c r="B6535" t="s" s="834">
        <v>4367</v>
      </c>
      <c r="C6535" t="s" s="834">
        <v>480</v>
      </c>
      <c r="D6535" s="835">
        <v>46038</v>
      </c>
      <c r="E6535" s="836">
        <v>1.348240740740741</v>
      </c>
      <c r="F6535" s="836">
        <v>1.774085648148148</v>
      </c>
      <c r="G6535" s="570"/>
      <c r="H6535" s="570"/>
      <c r="I6535" s="570"/>
      <c r="J6535" s="570"/>
      <c r="K6535" s="570"/>
    </row>
    <row r="6536" ht="13.75" customHeight="1">
      <c r="A6536" t="s" s="834">
        <v>4385</v>
      </c>
      <c r="B6536" t="s" s="834">
        <v>4386</v>
      </c>
      <c r="C6536" t="s" s="834">
        <v>2028</v>
      </c>
      <c r="D6536" s="570"/>
      <c r="E6536" s="570"/>
      <c r="F6536" s="570"/>
      <c r="G6536" s="570"/>
      <c r="H6536" s="570"/>
      <c r="I6536" s="570"/>
      <c r="J6536" s="570"/>
      <c r="K6536" s="570"/>
    </row>
    <row r="6537" ht="13.75" customHeight="1">
      <c r="A6537" s="833">
        <v>320</v>
      </c>
      <c r="B6537" t="s" s="834">
        <v>4367</v>
      </c>
      <c r="C6537" t="s" s="834">
        <v>480</v>
      </c>
      <c r="D6537" s="835">
        <v>46039</v>
      </c>
      <c r="E6537" t="s" s="834">
        <v>478</v>
      </c>
      <c r="F6537" t="s" s="834">
        <v>478</v>
      </c>
      <c r="G6537" t="s" s="837">
        <v>567</v>
      </c>
      <c r="H6537" t="s" s="837">
        <v>570</v>
      </c>
      <c r="I6537" t="s" s="837">
        <v>567</v>
      </c>
      <c r="J6537" t="s" s="837">
        <v>570</v>
      </c>
      <c r="K6537" s="570"/>
    </row>
    <row r="6538" ht="13.75" customHeight="1">
      <c r="A6538" s="833">
        <v>320</v>
      </c>
      <c r="B6538" t="s" s="834">
        <v>4367</v>
      </c>
      <c r="C6538" t="s" s="834">
        <v>480</v>
      </c>
      <c r="D6538" s="835">
        <v>46040</v>
      </c>
      <c r="E6538" t="s" s="834">
        <v>478</v>
      </c>
      <c r="F6538" t="s" s="834">
        <v>478</v>
      </c>
      <c r="G6538" t="s" s="837">
        <v>567</v>
      </c>
      <c r="H6538" t="s" s="837">
        <v>570</v>
      </c>
      <c r="I6538" t="s" s="837">
        <v>567</v>
      </c>
      <c r="J6538" t="s" s="837">
        <v>570</v>
      </c>
      <c r="K6538" s="570"/>
    </row>
    <row r="6539" ht="13.75" customHeight="1">
      <c r="A6539" s="833">
        <v>320</v>
      </c>
      <c r="B6539" t="s" s="834">
        <v>4367</v>
      </c>
      <c r="C6539" t="s" s="834">
        <v>480</v>
      </c>
      <c r="D6539" s="835">
        <v>46041</v>
      </c>
      <c r="E6539" s="836">
        <v>1.362372685185185</v>
      </c>
      <c r="F6539" s="836">
        <v>1.759976851851852</v>
      </c>
      <c r="G6539" t="s" s="837">
        <v>567</v>
      </c>
      <c r="H6539" t="s" s="837">
        <v>4387</v>
      </c>
      <c r="I6539" s="570"/>
      <c r="J6539" s="570"/>
      <c r="K6539" s="570"/>
    </row>
    <row r="6540" ht="13.75" customHeight="1">
      <c r="A6540" t="s" s="834">
        <v>4388</v>
      </c>
      <c r="B6540" t="s" s="834">
        <v>4389</v>
      </c>
      <c r="C6540" t="s" s="834">
        <v>688</v>
      </c>
      <c r="D6540" s="570"/>
      <c r="E6540" s="570"/>
      <c r="F6540" s="570"/>
      <c r="G6540" s="570"/>
      <c r="H6540" s="570"/>
      <c r="I6540" s="570"/>
      <c r="J6540" s="570"/>
      <c r="K6540" s="570"/>
    </row>
    <row r="6541" ht="13.75" customHeight="1">
      <c r="A6541" s="833">
        <v>320</v>
      </c>
      <c r="B6541" t="s" s="834">
        <v>4367</v>
      </c>
      <c r="C6541" t="s" s="834">
        <v>480</v>
      </c>
      <c r="D6541" s="835">
        <v>46042</v>
      </c>
      <c r="E6541" s="836">
        <v>1.351284722222222</v>
      </c>
      <c r="F6541" s="836">
        <v>1.755486111111111</v>
      </c>
      <c r="G6541" s="570"/>
      <c r="H6541" s="570"/>
      <c r="I6541" s="570"/>
      <c r="J6541" s="570"/>
      <c r="K6541" s="570"/>
    </row>
    <row r="6542" ht="13.75" customHeight="1">
      <c r="A6542" t="s" s="834">
        <v>4390</v>
      </c>
      <c r="B6542" t="s" s="834">
        <v>4391</v>
      </c>
      <c r="C6542" t="s" s="834">
        <v>493</v>
      </c>
      <c r="D6542" s="570"/>
      <c r="E6542" s="570"/>
      <c r="F6542" s="570"/>
      <c r="G6542" s="570"/>
      <c r="H6542" s="570"/>
      <c r="I6542" s="570"/>
      <c r="J6542" s="570"/>
      <c r="K6542" s="570"/>
    </row>
    <row r="6543" ht="13.75" customHeight="1">
      <c r="A6543" s="833">
        <v>320</v>
      </c>
      <c r="B6543" t="s" s="834">
        <v>4367</v>
      </c>
      <c r="C6543" t="s" s="834">
        <v>480</v>
      </c>
      <c r="D6543" s="835">
        <v>46043</v>
      </c>
      <c r="E6543" s="836">
        <v>1.351840277777778</v>
      </c>
      <c r="F6543" s="836">
        <v>1.755358796296296</v>
      </c>
      <c r="G6543" s="570"/>
      <c r="H6543" s="570"/>
      <c r="I6543" s="570"/>
      <c r="J6543" s="570"/>
      <c r="K6543" s="570"/>
    </row>
    <row r="6544" ht="13.75" customHeight="1">
      <c r="A6544" t="s" s="834">
        <v>4392</v>
      </c>
      <c r="B6544" t="s" s="834">
        <v>4393</v>
      </c>
      <c r="C6544" t="s" s="834">
        <v>590</v>
      </c>
      <c r="D6544" s="570"/>
      <c r="E6544" s="570"/>
      <c r="F6544" s="570"/>
      <c r="G6544" s="570"/>
      <c r="H6544" s="570"/>
      <c r="I6544" s="570"/>
      <c r="J6544" s="570"/>
      <c r="K6544" s="570"/>
    </row>
    <row r="6545" ht="13.75" customHeight="1">
      <c r="A6545" s="833">
        <v>320</v>
      </c>
      <c r="B6545" t="s" s="834">
        <v>4367</v>
      </c>
      <c r="C6545" t="s" s="834">
        <v>480</v>
      </c>
      <c r="D6545" s="835">
        <v>46044</v>
      </c>
      <c r="E6545" s="836">
        <v>1.379537037037037</v>
      </c>
      <c r="F6545" s="836">
        <v>1.759224537037037</v>
      </c>
      <c r="G6545" t="s" s="837">
        <v>567</v>
      </c>
      <c r="H6545" t="s" s="837">
        <v>4387</v>
      </c>
      <c r="I6545" s="570"/>
      <c r="J6545" s="570"/>
      <c r="K6545" s="570"/>
    </row>
    <row r="6546" ht="13.75" customHeight="1">
      <c r="A6546" t="s" s="834">
        <v>4394</v>
      </c>
      <c r="B6546" t="s" s="834">
        <v>4395</v>
      </c>
      <c r="C6546" t="s" s="834">
        <v>821</v>
      </c>
      <c r="D6546" s="570"/>
      <c r="E6546" s="570"/>
      <c r="F6546" s="570"/>
      <c r="G6546" s="570"/>
      <c r="H6546" s="570"/>
      <c r="I6546" s="570"/>
      <c r="J6546" s="570"/>
      <c r="K6546" s="570"/>
    </row>
    <row r="6547" ht="13.75" customHeight="1">
      <c r="A6547" s="833">
        <v>320</v>
      </c>
      <c r="B6547" t="s" s="834">
        <v>4367</v>
      </c>
      <c r="C6547" t="s" s="834">
        <v>480</v>
      </c>
      <c r="D6547" s="835">
        <v>46045</v>
      </c>
      <c r="E6547" s="836">
        <v>1.508125</v>
      </c>
      <c r="F6547" s="836">
        <v>1.759571759259259</v>
      </c>
      <c r="G6547" s="570"/>
      <c r="H6547" s="570"/>
      <c r="I6547" s="570"/>
      <c r="J6547" s="570"/>
      <c r="K6547" s="570"/>
    </row>
    <row r="6548" ht="13.75" customHeight="1">
      <c r="A6548" t="s" s="834">
        <v>4396</v>
      </c>
      <c r="B6548" t="s" s="834">
        <v>4397</v>
      </c>
      <c r="C6548" t="s" s="834">
        <v>2976</v>
      </c>
      <c r="D6548" s="570"/>
      <c r="E6548" s="570"/>
      <c r="F6548" s="570"/>
      <c r="G6548" s="570"/>
      <c r="H6548" s="570"/>
      <c r="I6548" s="570"/>
      <c r="J6548" s="570"/>
      <c r="K6548" s="570"/>
    </row>
    <row r="6549" ht="13.75" customHeight="1">
      <c r="A6549" s="833">
        <v>320</v>
      </c>
      <c r="B6549" t="s" s="834">
        <v>4367</v>
      </c>
      <c r="C6549" t="s" s="834">
        <v>480</v>
      </c>
      <c r="D6549" s="835">
        <v>46046</v>
      </c>
      <c r="E6549" t="s" s="834">
        <v>478</v>
      </c>
      <c r="F6549" t="s" s="834">
        <v>478</v>
      </c>
      <c r="G6549" t="s" s="837">
        <v>567</v>
      </c>
      <c r="H6549" t="s" s="837">
        <v>570</v>
      </c>
      <c r="I6549" s="570"/>
      <c r="J6549" s="570"/>
      <c r="K6549" s="570"/>
    </row>
    <row r="6550" ht="13.75" customHeight="1">
      <c r="A6550" s="833">
        <v>320</v>
      </c>
      <c r="B6550" t="s" s="834">
        <v>4367</v>
      </c>
      <c r="C6550" t="s" s="834">
        <v>480</v>
      </c>
      <c r="D6550" s="835">
        <v>46047</v>
      </c>
      <c r="E6550" t="s" s="834">
        <v>478</v>
      </c>
      <c r="F6550" t="s" s="834">
        <v>478</v>
      </c>
      <c r="G6550" t="s" s="837">
        <v>567</v>
      </c>
      <c r="H6550" t="s" s="837">
        <v>570</v>
      </c>
      <c r="I6550" s="570"/>
      <c r="J6550" s="570"/>
      <c r="K6550" s="570"/>
    </row>
    <row r="6551" ht="13.75" customHeight="1">
      <c r="A6551" s="833">
        <v>320</v>
      </c>
      <c r="B6551" t="s" s="834">
        <v>4367</v>
      </c>
      <c r="C6551" t="s" s="834">
        <v>480</v>
      </c>
      <c r="D6551" s="835">
        <v>46048</v>
      </c>
      <c r="E6551" s="836">
        <v>1.353935185185185</v>
      </c>
      <c r="F6551" s="836">
        <v>1.758275462962963</v>
      </c>
      <c r="G6551" s="570"/>
      <c r="H6551" s="570"/>
      <c r="I6551" s="570"/>
      <c r="J6551" s="570"/>
      <c r="K6551" s="570"/>
    </row>
    <row r="6552" ht="13.75" customHeight="1">
      <c r="A6552" t="s" s="834">
        <v>4398</v>
      </c>
      <c r="B6552" t="s" s="834">
        <v>4399</v>
      </c>
      <c r="C6552" t="s" s="834">
        <v>493</v>
      </c>
      <c r="D6552" s="570"/>
      <c r="E6552" s="570"/>
      <c r="F6552" s="570"/>
      <c r="G6552" s="570"/>
      <c r="H6552" s="570"/>
      <c r="I6552" s="570"/>
      <c r="J6552" s="570"/>
      <c r="K6552" s="570"/>
    </row>
    <row r="6553" ht="13.75" customHeight="1">
      <c r="A6553" s="833">
        <v>320</v>
      </c>
      <c r="B6553" t="s" s="834">
        <v>4367</v>
      </c>
      <c r="C6553" t="s" s="834">
        <v>480</v>
      </c>
      <c r="D6553" s="835">
        <v>46049</v>
      </c>
      <c r="E6553" s="836">
        <v>1.353321759259259</v>
      </c>
      <c r="F6553" s="836">
        <v>1.760300925925926</v>
      </c>
      <c r="G6553" s="570"/>
      <c r="H6553" s="570"/>
      <c r="I6553" s="570"/>
      <c r="J6553" s="570"/>
      <c r="K6553" s="570"/>
    </row>
    <row r="6554" ht="13.75" customHeight="1">
      <c r="A6554" t="s" s="834">
        <v>4400</v>
      </c>
      <c r="B6554" t="s" s="834">
        <v>4401</v>
      </c>
      <c r="C6554" t="s" s="834">
        <v>1113</v>
      </c>
      <c r="D6554" s="570"/>
      <c r="E6554" s="570"/>
      <c r="F6554" s="570"/>
      <c r="G6554" s="570"/>
      <c r="H6554" s="570"/>
      <c r="I6554" s="570"/>
      <c r="J6554" s="570"/>
      <c r="K6554" s="570"/>
    </row>
    <row r="6555" ht="13.75" customHeight="1">
      <c r="A6555" s="833">
        <v>320</v>
      </c>
      <c r="B6555" t="s" s="834">
        <v>4367</v>
      </c>
      <c r="C6555" t="s" s="834">
        <v>480</v>
      </c>
      <c r="D6555" s="835">
        <v>46050</v>
      </c>
      <c r="E6555" s="836">
        <v>1.351574074074074</v>
      </c>
      <c r="F6555" s="836">
        <v>1.757013888888889</v>
      </c>
      <c r="G6555" s="570"/>
      <c r="H6555" s="570"/>
      <c r="I6555" s="570"/>
      <c r="J6555" s="570"/>
      <c r="K6555" s="570"/>
    </row>
    <row r="6556" ht="13.75" customHeight="1">
      <c r="A6556" t="s" s="834">
        <v>4402</v>
      </c>
      <c r="B6556" t="s" s="834">
        <v>4403</v>
      </c>
      <c r="C6556" t="s" s="834">
        <v>1601</v>
      </c>
      <c r="D6556" s="570"/>
      <c r="E6556" s="570"/>
      <c r="F6556" s="570"/>
      <c r="G6556" s="570"/>
      <c r="H6556" s="570"/>
      <c r="I6556" s="570"/>
      <c r="J6556" s="570"/>
      <c r="K6556" s="570"/>
    </row>
    <row r="6557" ht="13.75" customHeight="1">
      <c r="A6557" s="833">
        <v>320</v>
      </c>
      <c r="B6557" t="s" s="834">
        <v>4367</v>
      </c>
      <c r="C6557" t="s" s="834">
        <v>480</v>
      </c>
      <c r="D6557" s="835">
        <v>46051</v>
      </c>
      <c r="E6557" s="836">
        <v>1.371412037037037</v>
      </c>
      <c r="F6557" s="836">
        <v>1.752881944444444</v>
      </c>
      <c r="G6557" t="s" s="837">
        <v>567</v>
      </c>
      <c r="H6557" t="s" s="837">
        <v>567</v>
      </c>
      <c r="I6557" s="570"/>
      <c r="J6557" s="570"/>
      <c r="K6557" s="570"/>
    </row>
    <row r="6558" ht="13.75" customHeight="1">
      <c r="A6558" t="s" s="834">
        <v>4404</v>
      </c>
      <c r="B6558" t="s" s="834">
        <v>4405</v>
      </c>
      <c r="C6558" t="s" s="834">
        <v>843</v>
      </c>
      <c r="D6558" s="570"/>
      <c r="E6558" s="570"/>
      <c r="F6558" s="570"/>
      <c r="G6558" s="570"/>
      <c r="H6558" s="570"/>
      <c r="I6558" s="570"/>
      <c r="J6558" s="570"/>
      <c r="K6558" s="570"/>
    </row>
    <row r="6559" ht="13.75" customHeight="1">
      <c r="A6559" s="833">
        <v>320</v>
      </c>
      <c r="B6559" t="s" s="834">
        <v>4367</v>
      </c>
      <c r="C6559" t="s" s="834">
        <v>480</v>
      </c>
      <c r="D6559" s="835">
        <v>46052</v>
      </c>
      <c r="E6559" s="836">
        <v>1.354791666666667</v>
      </c>
      <c r="F6559" s="836">
        <v>1.754618055555556</v>
      </c>
      <c r="G6559" s="570"/>
      <c r="H6559" s="570"/>
      <c r="I6559" s="570"/>
      <c r="J6559" s="570"/>
      <c r="K6559" s="570"/>
    </row>
    <row r="6560" ht="13.75" customHeight="1">
      <c r="A6560" t="s" s="834">
        <v>4406</v>
      </c>
      <c r="B6560" t="s" s="834">
        <v>4407</v>
      </c>
      <c r="C6560" t="s" s="834">
        <v>759</v>
      </c>
      <c r="D6560" s="570"/>
      <c r="E6560" s="570"/>
      <c r="F6560" s="570"/>
      <c r="G6560" s="570"/>
      <c r="H6560" s="570"/>
      <c r="I6560" s="570"/>
      <c r="J6560" s="570"/>
      <c r="K6560" s="570"/>
    </row>
    <row r="6561" ht="13.75" customHeight="1">
      <c r="A6561" s="833">
        <v>320</v>
      </c>
      <c r="B6561" t="s" s="834">
        <v>4367</v>
      </c>
      <c r="C6561" t="s" s="834">
        <v>480</v>
      </c>
      <c r="D6561" s="835">
        <v>46053</v>
      </c>
      <c r="E6561" t="s" s="834">
        <v>478</v>
      </c>
      <c r="F6561" t="s" s="834">
        <v>478</v>
      </c>
      <c r="G6561" t="s" s="837">
        <v>567</v>
      </c>
      <c r="H6561" t="s" s="837">
        <v>570</v>
      </c>
      <c r="I6561" t="s" s="837">
        <v>567</v>
      </c>
      <c r="J6561" t="s" s="837">
        <v>570</v>
      </c>
      <c r="K6561" s="570"/>
    </row>
    <row r="6562" ht="13.75" customHeight="1">
      <c r="A6562" s="851">
        <v>321</v>
      </c>
      <c r="B6562" t="s" s="838">
        <v>282</v>
      </c>
      <c r="C6562" t="s" s="838">
        <v>480</v>
      </c>
      <c r="D6562" s="852">
        <v>46023</v>
      </c>
      <c r="E6562" t="s" s="838">
        <v>478</v>
      </c>
      <c r="F6562" t="s" s="838">
        <v>478</v>
      </c>
      <c r="G6562" t="s" s="853">
        <v>567</v>
      </c>
      <c r="H6562" t="s" s="853">
        <v>4157</v>
      </c>
      <c r="I6562" t="s" s="837">
        <v>567</v>
      </c>
      <c r="J6562" t="s" s="837">
        <v>4157</v>
      </c>
      <c r="K6562" s="570"/>
    </row>
    <row r="6563" ht="13.75" customHeight="1">
      <c r="A6563" s="854">
        <v>321</v>
      </c>
      <c r="B6563" t="s" s="855">
        <v>282</v>
      </c>
      <c r="C6563" t="s" s="855">
        <v>480</v>
      </c>
      <c r="D6563" s="856">
        <v>46024</v>
      </c>
      <c r="E6563" s="859">
        <v>1.563888888888889</v>
      </c>
      <c r="F6563" s="859">
        <v>1.771678240740741</v>
      </c>
      <c r="G6563" t="s" s="857">
        <v>567</v>
      </c>
      <c r="H6563" t="s" s="857">
        <v>4408</v>
      </c>
      <c r="I6563" s="858"/>
      <c r="J6563" s="570"/>
      <c r="K6563" s="570"/>
    </row>
    <row r="6564" ht="13.75" customHeight="1">
      <c r="A6564" t="s" s="849">
        <v>4409</v>
      </c>
      <c r="B6564" t="s" s="849">
        <v>4410</v>
      </c>
      <c r="C6564" t="s" s="849">
        <v>4411</v>
      </c>
      <c r="D6564" s="633"/>
      <c r="E6564" s="633"/>
      <c r="F6564" s="633"/>
      <c r="G6564" s="633"/>
      <c r="H6564" s="633"/>
      <c r="I6564" s="570"/>
      <c r="J6564" s="570"/>
      <c r="K6564" s="570"/>
    </row>
    <row r="6565" ht="13.75" customHeight="1">
      <c r="A6565" s="833">
        <v>321</v>
      </c>
      <c r="B6565" t="s" s="834">
        <v>282</v>
      </c>
      <c r="C6565" t="s" s="834">
        <v>480</v>
      </c>
      <c r="D6565" s="835">
        <v>46025</v>
      </c>
      <c r="E6565" t="s" s="834">
        <v>478</v>
      </c>
      <c r="F6565" t="s" s="834">
        <v>478</v>
      </c>
      <c r="G6565" t="s" s="837">
        <v>567</v>
      </c>
      <c r="H6565" t="s" s="837">
        <v>570</v>
      </c>
      <c r="I6565" t="s" s="837">
        <v>567</v>
      </c>
      <c r="J6565" t="s" s="837">
        <v>570</v>
      </c>
      <c r="K6565" s="570"/>
    </row>
    <row r="6566" ht="13.75" customHeight="1">
      <c r="A6566" s="833">
        <v>321</v>
      </c>
      <c r="B6566" t="s" s="834">
        <v>282</v>
      </c>
      <c r="C6566" t="s" s="834">
        <v>480</v>
      </c>
      <c r="D6566" s="835">
        <v>46026</v>
      </c>
      <c r="E6566" t="s" s="834">
        <v>478</v>
      </c>
      <c r="F6566" t="s" s="834">
        <v>478</v>
      </c>
      <c r="G6566" t="s" s="837">
        <v>567</v>
      </c>
      <c r="H6566" t="s" s="837">
        <v>570</v>
      </c>
      <c r="I6566" t="s" s="837">
        <v>567</v>
      </c>
      <c r="J6566" t="s" s="837">
        <v>570</v>
      </c>
      <c r="K6566" s="570"/>
    </row>
    <row r="6567" ht="13.75" customHeight="1">
      <c r="A6567" s="833">
        <v>321</v>
      </c>
      <c r="B6567" t="s" s="834">
        <v>282</v>
      </c>
      <c r="C6567" t="s" s="834">
        <v>480</v>
      </c>
      <c r="D6567" s="835">
        <v>46027</v>
      </c>
      <c r="E6567" s="836">
        <v>1.365486111111111</v>
      </c>
      <c r="F6567" t="s" s="834">
        <v>478</v>
      </c>
      <c r="G6567" t="s" s="837">
        <v>567</v>
      </c>
      <c r="H6567" t="s" s="837">
        <v>587</v>
      </c>
      <c r="I6567" s="570"/>
      <c r="J6567" s="570"/>
      <c r="K6567" s="570"/>
    </row>
    <row r="6568" ht="13.75" customHeight="1">
      <c r="A6568" t="s" s="834">
        <v>4412</v>
      </c>
      <c r="B6568" t="s" s="834">
        <v>485</v>
      </c>
      <c r="C6568" t="s" s="834">
        <v>486</v>
      </c>
      <c r="D6568" s="570"/>
      <c r="E6568" s="570"/>
      <c r="F6568" s="570"/>
      <c r="G6568" s="570"/>
      <c r="H6568" s="570"/>
      <c r="I6568" s="570"/>
      <c r="J6568" s="570"/>
      <c r="K6568" s="570"/>
    </row>
    <row r="6569" ht="13.75" customHeight="1">
      <c r="A6569" s="833">
        <v>321</v>
      </c>
      <c r="B6569" t="s" s="834">
        <v>282</v>
      </c>
      <c r="C6569" t="s" s="834">
        <v>480</v>
      </c>
      <c r="D6569" s="835">
        <v>46028</v>
      </c>
      <c r="E6569" s="836">
        <v>1.355023148148148</v>
      </c>
      <c r="F6569" s="836">
        <v>1.760023148148148</v>
      </c>
      <c r="G6569" t="s" s="837">
        <v>567</v>
      </c>
      <c r="H6569" t="s" s="837">
        <v>4413</v>
      </c>
      <c r="I6569" s="570"/>
      <c r="J6569" s="570"/>
      <c r="K6569" s="570"/>
    </row>
    <row r="6570" ht="13.75" customHeight="1">
      <c r="A6570" t="s" s="838">
        <v>4414</v>
      </c>
      <c r="B6570" t="s" s="838">
        <v>4415</v>
      </c>
      <c r="C6570" t="s" s="838">
        <v>582</v>
      </c>
      <c r="D6570" s="839"/>
      <c r="E6570" s="839"/>
      <c r="F6570" s="839"/>
      <c r="G6570" s="839"/>
      <c r="H6570" s="839"/>
      <c r="I6570" s="570"/>
      <c r="J6570" s="570"/>
      <c r="K6570" s="570"/>
    </row>
    <row r="6571" ht="13.75" customHeight="1">
      <c r="A6571" s="854">
        <v>321</v>
      </c>
      <c r="B6571" t="s" s="855">
        <v>282</v>
      </c>
      <c r="C6571" t="s" s="855">
        <v>480</v>
      </c>
      <c r="D6571" s="856">
        <v>46029</v>
      </c>
      <c r="E6571" s="859">
        <v>1.564930555555556</v>
      </c>
      <c r="F6571" s="859">
        <v>1.788946759259259</v>
      </c>
      <c r="G6571" t="s" s="857">
        <v>567</v>
      </c>
      <c r="H6571" t="s" s="857">
        <v>4416</v>
      </c>
      <c r="I6571" s="858"/>
      <c r="J6571" s="570"/>
      <c r="K6571" s="570"/>
    </row>
    <row r="6572" ht="13.75" customHeight="1">
      <c r="A6572" t="s" s="849">
        <v>4417</v>
      </c>
      <c r="B6572" t="s" s="849">
        <v>4418</v>
      </c>
      <c r="C6572" t="s" s="849">
        <v>2875</v>
      </c>
      <c r="D6572" s="633"/>
      <c r="E6572" s="633"/>
      <c r="F6572" s="633"/>
      <c r="G6572" s="633"/>
      <c r="H6572" s="633"/>
      <c r="I6572" s="570"/>
      <c r="J6572" s="570"/>
      <c r="K6572" s="570"/>
    </row>
    <row r="6573" ht="13.75" customHeight="1">
      <c r="A6573" s="833">
        <v>321</v>
      </c>
      <c r="B6573" t="s" s="834">
        <v>282</v>
      </c>
      <c r="C6573" t="s" s="834">
        <v>480</v>
      </c>
      <c r="D6573" s="835">
        <v>46030</v>
      </c>
      <c r="E6573" s="836">
        <v>1.354375</v>
      </c>
      <c r="F6573" s="836">
        <v>1.779965277777778</v>
      </c>
      <c r="G6573" s="570"/>
      <c r="H6573" s="570"/>
      <c r="I6573" s="570"/>
      <c r="J6573" s="570"/>
      <c r="K6573" s="570"/>
    </row>
    <row r="6574" ht="13.75" customHeight="1">
      <c r="A6574" t="s" s="834">
        <v>4419</v>
      </c>
      <c r="B6574" t="s" s="834">
        <v>4420</v>
      </c>
      <c r="C6574" t="s" s="834">
        <v>2028</v>
      </c>
      <c r="D6574" s="570"/>
      <c r="E6574" s="570"/>
      <c r="F6574" s="570"/>
      <c r="G6574" s="570"/>
      <c r="H6574" s="570"/>
      <c r="I6574" s="570"/>
      <c r="J6574" s="570"/>
      <c r="K6574" s="570"/>
    </row>
    <row r="6575" ht="13.75" customHeight="1">
      <c r="A6575" s="833">
        <v>321</v>
      </c>
      <c r="B6575" t="s" s="834">
        <v>282</v>
      </c>
      <c r="C6575" t="s" s="834">
        <v>480</v>
      </c>
      <c r="D6575" s="835">
        <v>46031</v>
      </c>
      <c r="E6575" s="836">
        <v>1.35443287037037</v>
      </c>
      <c r="F6575" s="836">
        <v>1.768738425925926</v>
      </c>
      <c r="G6575" s="570"/>
      <c r="H6575" s="570"/>
      <c r="I6575" s="570"/>
      <c r="J6575" s="570"/>
      <c r="K6575" s="570"/>
    </row>
    <row r="6576" ht="13.75" customHeight="1">
      <c r="A6576" t="s" s="834">
        <v>4421</v>
      </c>
      <c r="B6576" t="s" s="834">
        <v>4422</v>
      </c>
      <c r="C6576" t="s" s="834">
        <v>1259</v>
      </c>
      <c r="D6576" s="570"/>
      <c r="E6576" s="570"/>
      <c r="F6576" s="570"/>
      <c r="G6576" s="570"/>
      <c r="H6576" s="570"/>
      <c r="I6576" s="570"/>
      <c r="J6576" s="570"/>
      <c r="K6576" s="570"/>
    </row>
    <row r="6577" ht="13.75" customHeight="1">
      <c r="A6577" s="833">
        <v>321</v>
      </c>
      <c r="B6577" t="s" s="834">
        <v>282</v>
      </c>
      <c r="C6577" t="s" s="834">
        <v>480</v>
      </c>
      <c r="D6577" s="835">
        <v>46032</v>
      </c>
      <c r="E6577" t="s" s="834">
        <v>478</v>
      </c>
      <c r="F6577" t="s" s="834">
        <v>478</v>
      </c>
      <c r="G6577" t="s" s="837">
        <v>567</v>
      </c>
      <c r="H6577" t="s" s="837">
        <v>570</v>
      </c>
      <c r="I6577" t="s" s="837">
        <v>567</v>
      </c>
      <c r="J6577" t="s" s="837">
        <v>570</v>
      </c>
      <c r="K6577" s="570"/>
    </row>
    <row r="6578" ht="13.75" customHeight="1">
      <c r="A6578" s="833">
        <v>321</v>
      </c>
      <c r="B6578" t="s" s="834">
        <v>282</v>
      </c>
      <c r="C6578" t="s" s="834">
        <v>480</v>
      </c>
      <c r="D6578" s="835">
        <v>46033</v>
      </c>
      <c r="E6578" t="s" s="834">
        <v>478</v>
      </c>
      <c r="F6578" t="s" s="834">
        <v>478</v>
      </c>
      <c r="G6578" t="s" s="837">
        <v>567</v>
      </c>
      <c r="H6578" t="s" s="837">
        <v>570</v>
      </c>
      <c r="I6578" t="s" s="837">
        <v>567</v>
      </c>
      <c r="J6578" t="s" s="837">
        <v>570</v>
      </c>
      <c r="K6578" s="570"/>
    </row>
    <row r="6579" ht="13.75" customHeight="1">
      <c r="A6579" s="833">
        <v>321</v>
      </c>
      <c r="B6579" t="s" s="834">
        <v>282</v>
      </c>
      <c r="C6579" t="s" s="834">
        <v>480</v>
      </c>
      <c r="D6579" s="835">
        <v>46034</v>
      </c>
      <c r="E6579" s="836">
        <v>1.35443287037037</v>
      </c>
      <c r="F6579" s="836">
        <v>1.759247685185185</v>
      </c>
      <c r="G6579" s="570"/>
      <c r="H6579" s="570"/>
      <c r="I6579" s="570"/>
      <c r="J6579" s="570"/>
      <c r="K6579" s="570"/>
    </row>
    <row r="6580" ht="13.75" customHeight="1">
      <c r="A6580" t="s" s="838">
        <v>4423</v>
      </c>
      <c r="B6580" t="s" s="838">
        <v>4424</v>
      </c>
      <c r="C6580" t="s" s="838">
        <v>582</v>
      </c>
      <c r="D6580" s="839"/>
      <c r="E6580" s="839"/>
      <c r="F6580" s="839"/>
      <c r="G6580" s="839"/>
      <c r="H6580" s="839"/>
      <c r="I6580" s="570"/>
      <c r="J6580" s="570"/>
      <c r="K6580" s="570"/>
    </row>
    <row r="6581" ht="13.75" customHeight="1">
      <c r="A6581" s="854">
        <v>321</v>
      </c>
      <c r="B6581" t="s" s="855">
        <v>282</v>
      </c>
      <c r="C6581" t="s" s="855">
        <v>480</v>
      </c>
      <c r="D6581" s="856">
        <v>46035</v>
      </c>
      <c r="E6581" s="859">
        <v>1.379282407407407</v>
      </c>
      <c r="F6581" s="859">
        <v>1.688402777777778</v>
      </c>
      <c r="G6581" t="s" s="857">
        <v>567</v>
      </c>
      <c r="H6581" t="s" s="857">
        <v>4252</v>
      </c>
      <c r="I6581" s="858"/>
      <c r="J6581" s="570"/>
      <c r="K6581" s="570"/>
    </row>
    <row r="6582" ht="13.75" customHeight="1">
      <c r="A6582" t="s" s="849">
        <v>4425</v>
      </c>
      <c r="B6582" t="s" s="849">
        <v>4426</v>
      </c>
      <c r="C6582" t="s" s="849">
        <v>4427</v>
      </c>
      <c r="D6582" s="633"/>
      <c r="E6582" s="633"/>
      <c r="F6582" s="633"/>
      <c r="G6582" s="633"/>
      <c r="H6582" s="633"/>
      <c r="I6582" s="570"/>
      <c r="J6582" s="570"/>
      <c r="K6582" s="570"/>
    </row>
    <row r="6583" ht="13.75" customHeight="1">
      <c r="A6583" s="833">
        <v>321</v>
      </c>
      <c r="B6583" t="s" s="834">
        <v>282</v>
      </c>
      <c r="C6583" t="s" s="834">
        <v>480</v>
      </c>
      <c r="D6583" s="835">
        <v>46036</v>
      </c>
      <c r="E6583" s="836">
        <v>1.357037037037037</v>
      </c>
      <c r="F6583" s="836">
        <v>1.765474537037037</v>
      </c>
      <c r="G6583" t="s" s="837">
        <v>567</v>
      </c>
      <c r="H6583" t="s" s="837">
        <v>587</v>
      </c>
      <c r="I6583" s="570"/>
      <c r="J6583" s="570"/>
      <c r="K6583" s="570"/>
    </row>
    <row r="6584" ht="13.75" customHeight="1">
      <c r="A6584" t="s" s="834">
        <v>4428</v>
      </c>
      <c r="B6584" t="s" s="834">
        <v>4429</v>
      </c>
      <c r="C6584" t="s" s="834">
        <v>1330</v>
      </c>
      <c r="D6584" s="570"/>
      <c r="E6584" s="570"/>
      <c r="F6584" s="570"/>
      <c r="G6584" s="570"/>
      <c r="H6584" s="570"/>
      <c r="I6584" s="570"/>
      <c r="J6584" s="570"/>
      <c r="K6584" s="570"/>
    </row>
    <row r="6585" ht="13.75" customHeight="1">
      <c r="A6585" s="833">
        <v>321</v>
      </c>
      <c r="B6585" t="s" s="834">
        <v>282</v>
      </c>
      <c r="C6585" t="s" s="834">
        <v>480</v>
      </c>
      <c r="D6585" s="835">
        <v>46037</v>
      </c>
      <c r="E6585" s="836">
        <v>1.353969907407407</v>
      </c>
      <c r="F6585" s="836">
        <v>1.842291666666667</v>
      </c>
      <c r="G6585" s="570"/>
      <c r="H6585" s="570"/>
      <c r="I6585" s="570"/>
      <c r="J6585" s="570"/>
      <c r="K6585" s="570"/>
    </row>
    <row r="6586" ht="13.75" customHeight="1">
      <c r="A6586" t="s" s="834">
        <v>4430</v>
      </c>
      <c r="B6586" t="s" s="834">
        <v>4431</v>
      </c>
      <c r="C6586" t="s" s="834">
        <v>4432</v>
      </c>
      <c r="D6586" s="570"/>
      <c r="E6586" s="570"/>
      <c r="F6586" s="570"/>
      <c r="G6586" s="570"/>
      <c r="H6586" s="570"/>
      <c r="I6586" s="570"/>
      <c r="J6586" s="570"/>
      <c r="K6586" s="570"/>
    </row>
    <row r="6587" ht="13.75" customHeight="1">
      <c r="A6587" s="833">
        <v>321</v>
      </c>
      <c r="B6587" t="s" s="834">
        <v>282</v>
      </c>
      <c r="C6587" t="s" s="834">
        <v>480</v>
      </c>
      <c r="D6587" s="835">
        <v>46038</v>
      </c>
      <c r="E6587" s="836">
        <v>1.502210648148148</v>
      </c>
      <c r="F6587" s="836">
        <v>1.922997685185185</v>
      </c>
      <c r="G6587" t="s" s="837">
        <v>567</v>
      </c>
      <c r="H6587" t="s" s="837">
        <v>1712</v>
      </c>
      <c r="I6587" s="570"/>
      <c r="J6587" s="570"/>
      <c r="K6587" s="570"/>
    </row>
    <row r="6588" ht="13.75" customHeight="1">
      <c r="A6588" t="s" s="834">
        <v>4433</v>
      </c>
      <c r="B6588" t="s" s="834">
        <v>4434</v>
      </c>
      <c r="C6588" t="s" s="834">
        <v>1116</v>
      </c>
      <c r="D6588" s="570"/>
      <c r="E6588" s="570"/>
      <c r="F6588" s="570"/>
      <c r="G6588" s="570"/>
      <c r="H6588" s="570"/>
      <c r="I6588" s="570"/>
      <c r="J6588" s="570"/>
      <c r="K6588" s="570"/>
    </row>
    <row r="6589" ht="13.75" customHeight="1">
      <c r="A6589" s="833">
        <v>321</v>
      </c>
      <c r="B6589" t="s" s="834">
        <v>282</v>
      </c>
      <c r="C6589" t="s" s="834">
        <v>480</v>
      </c>
      <c r="D6589" s="835">
        <v>46039</v>
      </c>
      <c r="E6589" t="s" s="834">
        <v>478</v>
      </c>
      <c r="F6589" t="s" s="834">
        <v>478</v>
      </c>
      <c r="G6589" t="s" s="837">
        <v>567</v>
      </c>
      <c r="H6589" t="s" s="837">
        <v>570</v>
      </c>
      <c r="I6589" t="s" s="837">
        <v>567</v>
      </c>
      <c r="J6589" t="s" s="837">
        <v>570</v>
      </c>
      <c r="K6589" s="570"/>
    </row>
    <row r="6590" ht="13.75" customHeight="1">
      <c r="A6590" s="833">
        <v>321</v>
      </c>
      <c r="B6590" t="s" s="834">
        <v>282</v>
      </c>
      <c r="C6590" t="s" s="834">
        <v>480</v>
      </c>
      <c r="D6590" s="835">
        <v>46040</v>
      </c>
      <c r="E6590" t="s" s="834">
        <v>478</v>
      </c>
      <c r="F6590" t="s" s="834">
        <v>478</v>
      </c>
      <c r="G6590" t="s" s="837">
        <v>567</v>
      </c>
      <c r="H6590" t="s" s="837">
        <v>570</v>
      </c>
      <c r="I6590" t="s" s="837">
        <v>567</v>
      </c>
      <c r="J6590" t="s" s="837">
        <v>570</v>
      </c>
      <c r="K6590" s="570"/>
    </row>
    <row r="6591" ht="13.75" customHeight="1">
      <c r="A6591" s="833">
        <v>321</v>
      </c>
      <c r="B6591" t="s" s="834">
        <v>282</v>
      </c>
      <c r="C6591" t="s" s="834">
        <v>480</v>
      </c>
      <c r="D6591" s="835">
        <v>46041</v>
      </c>
      <c r="E6591" s="836">
        <v>1.354664351851852</v>
      </c>
      <c r="F6591" s="836">
        <v>1.7621875</v>
      </c>
      <c r="G6591" s="570"/>
      <c r="H6591" s="570"/>
      <c r="I6591" s="570"/>
      <c r="J6591" s="570"/>
      <c r="K6591" s="570"/>
    </row>
    <row r="6592" ht="13.75" customHeight="1">
      <c r="A6592" t="s" s="834">
        <v>4435</v>
      </c>
      <c r="B6592" t="s" s="834">
        <v>4436</v>
      </c>
      <c r="C6592" t="s" s="834">
        <v>882</v>
      </c>
      <c r="D6592" s="570"/>
      <c r="E6592" s="570"/>
      <c r="F6592" s="570"/>
      <c r="G6592" s="570"/>
      <c r="H6592" s="570"/>
      <c r="I6592" s="570"/>
      <c r="J6592" s="570"/>
      <c r="K6592" s="570"/>
    </row>
    <row r="6593" ht="13.75" customHeight="1">
      <c r="A6593" s="833">
        <v>321</v>
      </c>
      <c r="B6593" t="s" s="834">
        <v>282</v>
      </c>
      <c r="C6593" t="s" s="834">
        <v>480</v>
      </c>
      <c r="D6593" s="835">
        <v>46042</v>
      </c>
      <c r="E6593" s="836">
        <v>1.354791666666667</v>
      </c>
      <c r="F6593" s="836">
        <v>1.781030092592593</v>
      </c>
      <c r="G6593" s="570"/>
      <c r="H6593" s="570"/>
      <c r="I6593" s="570"/>
      <c r="J6593" s="570"/>
      <c r="K6593" s="570"/>
    </row>
    <row r="6594" ht="13.75" customHeight="1">
      <c r="A6594" t="s" s="838">
        <v>4437</v>
      </c>
      <c r="B6594" t="s" s="838">
        <v>4438</v>
      </c>
      <c r="C6594" t="s" s="838">
        <v>1549</v>
      </c>
      <c r="D6594" s="839"/>
      <c r="E6594" s="839"/>
      <c r="F6594" s="839"/>
      <c r="G6594" s="839"/>
      <c r="H6594" s="839"/>
      <c r="I6594" s="570"/>
      <c r="J6594" s="570"/>
      <c r="K6594" s="570"/>
    </row>
    <row r="6595" ht="13.75" customHeight="1">
      <c r="A6595" s="854">
        <v>321</v>
      </c>
      <c r="B6595" t="s" s="855">
        <v>282</v>
      </c>
      <c r="C6595" t="s" s="855">
        <v>480</v>
      </c>
      <c r="D6595" s="856">
        <v>46043</v>
      </c>
      <c r="E6595" s="859">
        <v>1.361030092592593</v>
      </c>
      <c r="F6595" s="859">
        <v>1.812523148148148</v>
      </c>
      <c r="G6595" t="s" s="857">
        <v>567</v>
      </c>
      <c r="H6595" t="s" s="857">
        <v>4252</v>
      </c>
      <c r="I6595" s="858"/>
      <c r="J6595" s="570"/>
      <c r="K6595" s="570"/>
    </row>
    <row r="6596" ht="13.75" customHeight="1">
      <c r="A6596" t="s" s="849">
        <v>4439</v>
      </c>
      <c r="B6596" t="s" s="849">
        <v>4440</v>
      </c>
      <c r="C6596" t="s" s="849">
        <v>3390</v>
      </c>
      <c r="D6596" s="633"/>
      <c r="E6596" s="633"/>
      <c r="F6596" s="633"/>
      <c r="G6596" s="633"/>
      <c r="H6596" s="633"/>
      <c r="I6596" s="570"/>
      <c r="J6596" s="570"/>
      <c r="K6596" s="570"/>
    </row>
    <row r="6597" ht="13.75" customHeight="1">
      <c r="A6597" s="833">
        <v>321</v>
      </c>
      <c r="B6597" t="s" s="834">
        <v>282</v>
      </c>
      <c r="C6597" t="s" s="834">
        <v>480</v>
      </c>
      <c r="D6597" s="835">
        <v>46044</v>
      </c>
      <c r="E6597" s="836">
        <v>1.354247685185185</v>
      </c>
      <c r="F6597" s="836">
        <v>1.770104166666667</v>
      </c>
      <c r="G6597" s="570"/>
      <c r="H6597" s="570"/>
      <c r="I6597" s="570"/>
      <c r="J6597" s="570"/>
      <c r="K6597" s="570"/>
    </row>
    <row r="6598" ht="13.75" customHeight="1">
      <c r="A6598" t="s" s="834">
        <v>4441</v>
      </c>
      <c r="B6598" t="s" s="834">
        <v>4442</v>
      </c>
      <c r="C6598" t="s" s="834">
        <v>652</v>
      </c>
      <c r="D6598" s="570"/>
      <c r="E6598" s="570"/>
      <c r="F6598" s="570"/>
      <c r="G6598" s="570"/>
      <c r="H6598" s="570"/>
      <c r="I6598" s="570"/>
      <c r="J6598" s="570"/>
      <c r="K6598" s="570"/>
    </row>
    <row r="6599" ht="13.75" customHeight="1">
      <c r="A6599" s="833">
        <v>321</v>
      </c>
      <c r="B6599" t="s" s="834">
        <v>282</v>
      </c>
      <c r="C6599" t="s" s="834">
        <v>480</v>
      </c>
      <c r="D6599" s="835">
        <v>46045</v>
      </c>
      <c r="E6599" s="836">
        <v>1.354849537037037</v>
      </c>
      <c r="F6599" s="836">
        <v>1.778530092592593</v>
      </c>
      <c r="G6599" s="570"/>
      <c r="H6599" s="570"/>
      <c r="I6599" s="570"/>
      <c r="J6599" s="570"/>
      <c r="K6599" s="570"/>
    </row>
    <row r="6600" ht="13.75" customHeight="1">
      <c r="A6600" t="s" s="834">
        <v>4443</v>
      </c>
      <c r="B6600" t="s" s="834">
        <v>4444</v>
      </c>
      <c r="C6600" t="s" s="834">
        <v>649</v>
      </c>
      <c r="D6600" s="570"/>
      <c r="E6600" s="570"/>
      <c r="F6600" s="570"/>
      <c r="G6600" s="570"/>
      <c r="H6600" s="570"/>
      <c r="I6600" s="570"/>
      <c r="J6600" s="570"/>
      <c r="K6600" s="570"/>
    </row>
    <row r="6601" ht="13.75" customHeight="1">
      <c r="A6601" s="833">
        <v>321</v>
      </c>
      <c r="B6601" t="s" s="834">
        <v>282</v>
      </c>
      <c r="C6601" t="s" s="834">
        <v>480</v>
      </c>
      <c r="D6601" s="835">
        <v>46046</v>
      </c>
      <c r="E6601" t="s" s="834">
        <v>478</v>
      </c>
      <c r="F6601" t="s" s="834">
        <v>478</v>
      </c>
      <c r="G6601" t="s" s="837">
        <v>567</v>
      </c>
      <c r="H6601" t="s" s="837">
        <v>570</v>
      </c>
      <c r="I6601" t="s" s="837">
        <v>567</v>
      </c>
      <c r="J6601" t="s" s="837">
        <v>570</v>
      </c>
      <c r="K6601" s="570"/>
    </row>
    <row r="6602" ht="13.75" customHeight="1">
      <c r="A6602" s="833">
        <v>321</v>
      </c>
      <c r="B6602" t="s" s="834">
        <v>282</v>
      </c>
      <c r="C6602" t="s" s="834">
        <v>480</v>
      </c>
      <c r="D6602" s="835">
        <v>46047</v>
      </c>
      <c r="E6602" t="s" s="834">
        <v>478</v>
      </c>
      <c r="F6602" t="s" s="834">
        <v>478</v>
      </c>
      <c r="G6602" t="s" s="837">
        <v>567</v>
      </c>
      <c r="H6602" t="s" s="837">
        <v>570</v>
      </c>
      <c r="I6602" t="s" s="837">
        <v>567</v>
      </c>
      <c r="J6602" t="s" s="837">
        <v>570</v>
      </c>
      <c r="K6602" s="570"/>
    </row>
    <row r="6603" ht="13.75" customHeight="1">
      <c r="A6603" s="833">
        <v>321</v>
      </c>
      <c r="B6603" t="s" s="834">
        <v>282</v>
      </c>
      <c r="C6603" t="s" s="834">
        <v>480</v>
      </c>
      <c r="D6603" s="835">
        <v>46048</v>
      </c>
      <c r="E6603" s="836">
        <v>1.353402777777778</v>
      </c>
      <c r="F6603" s="836">
        <v>1.76087962962963</v>
      </c>
      <c r="G6603" s="570"/>
      <c r="H6603" s="570"/>
      <c r="I6603" s="570"/>
      <c r="J6603" s="570"/>
      <c r="K6603" s="570"/>
    </row>
    <row r="6604" ht="13.75" customHeight="1">
      <c r="A6604" t="s" s="834">
        <v>4445</v>
      </c>
      <c r="B6604" t="s" s="834">
        <v>4446</v>
      </c>
      <c r="C6604" t="s" s="834">
        <v>882</v>
      </c>
      <c r="D6604" s="570"/>
      <c r="E6604" s="570"/>
      <c r="F6604" s="570"/>
      <c r="G6604" s="570"/>
      <c r="H6604" s="570"/>
      <c r="I6604" s="570"/>
      <c r="J6604" s="570"/>
      <c r="K6604" s="570"/>
    </row>
    <row r="6605" ht="13.75" customHeight="1">
      <c r="A6605" s="833">
        <v>321</v>
      </c>
      <c r="B6605" t="s" s="834">
        <v>282</v>
      </c>
      <c r="C6605" t="s" s="834">
        <v>480</v>
      </c>
      <c r="D6605" s="835">
        <v>46049</v>
      </c>
      <c r="E6605" s="836">
        <v>1.565185185185185</v>
      </c>
      <c r="F6605" s="836">
        <v>1.779375</v>
      </c>
      <c r="G6605" t="s" s="837">
        <v>567</v>
      </c>
      <c r="H6605" t="s" s="837">
        <v>4447</v>
      </c>
      <c r="I6605" s="570"/>
      <c r="J6605" s="570"/>
      <c r="K6605" s="570"/>
    </row>
    <row r="6606" ht="13.75" customHeight="1">
      <c r="A6606" t="s" s="834">
        <v>4448</v>
      </c>
      <c r="B6606" t="s" s="834">
        <v>4449</v>
      </c>
      <c r="C6606" t="s" s="834">
        <v>4450</v>
      </c>
      <c r="D6606" s="570"/>
      <c r="E6606" s="570"/>
      <c r="F6606" s="570"/>
      <c r="G6606" s="570"/>
      <c r="H6606" s="570"/>
      <c r="I6606" s="570"/>
      <c r="J6606" s="570"/>
      <c r="K6606" s="570"/>
    </row>
    <row r="6607" ht="13.75" customHeight="1">
      <c r="A6607" s="833">
        <v>321</v>
      </c>
      <c r="B6607" t="s" s="834">
        <v>282</v>
      </c>
      <c r="C6607" t="s" s="834">
        <v>480</v>
      </c>
      <c r="D6607" s="835">
        <v>46050</v>
      </c>
      <c r="E6607" s="836">
        <v>1.354212962962963</v>
      </c>
      <c r="F6607" s="836">
        <v>1.756388888888889</v>
      </c>
      <c r="G6607" s="570"/>
      <c r="H6607" s="570"/>
      <c r="I6607" s="570"/>
      <c r="J6607" s="570"/>
      <c r="K6607" s="570"/>
    </row>
    <row r="6608" ht="13.75" customHeight="1">
      <c r="A6608" t="s" s="834">
        <v>4451</v>
      </c>
      <c r="B6608" t="s" s="834">
        <v>4452</v>
      </c>
      <c r="C6608" t="s" s="834">
        <v>772</v>
      </c>
      <c r="D6608" s="570"/>
      <c r="E6608" s="570"/>
      <c r="F6608" s="570"/>
      <c r="G6608" s="570"/>
      <c r="H6608" s="570"/>
      <c r="I6608" s="570"/>
      <c r="J6608" s="570"/>
      <c r="K6608" s="570"/>
    </row>
    <row r="6609" ht="13.75" customHeight="1">
      <c r="A6609" s="833">
        <v>321</v>
      </c>
      <c r="B6609" t="s" s="834">
        <v>282</v>
      </c>
      <c r="C6609" t="s" s="834">
        <v>480</v>
      </c>
      <c r="D6609" s="835">
        <v>46051</v>
      </c>
      <c r="E6609" s="836">
        <v>1.355405092592593</v>
      </c>
      <c r="F6609" s="836">
        <v>1.765787037037037</v>
      </c>
      <c r="G6609" t="s" s="837">
        <v>567</v>
      </c>
      <c r="H6609" t="s" s="837">
        <v>4413</v>
      </c>
      <c r="I6609" s="570"/>
      <c r="J6609" s="570"/>
      <c r="K6609" s="570"/>
    </row>
    <row r="6610" ht="13.75" customHeight="1">
      <c r="A6610" t="s" s="834">
        <v>4453</v>
      </c>
      <c r="B6610" t="s" s="834">
        <v>4454</v>
      </c>
      <c r="C6610" t="s" s="834">
        <v>1252</v>
      </c>
      <c r="D6610" s="570"/>
      <c r="E6610" s="570"/>
      <c r="F6610" s="570"/>
      <c r="G6610" s="570"/>
      <c r="H6610" s="570"/>
      <c r="I6610" s="570"/>
      <c r="J6610" s="570"/>
      <c r="K6610" s="570"/>
    </row>
    <row r="6611" ht="13.75" customHeight="1">
      <c r="A6611" s="833">
        <v>321</v>
      </c>
      <c r="B6611" t="s" s="834">
        <v>282</v>
      </c>
      <c r="C6611" t="s" s="834">
        <v>480</v>
      </c>
      <c r="D6611" s="835">
        <v>46052</v>
      </c>
      <c r="E6611" s="836">
        <v>1.354826388888889</v>
      </c>
      <c r="F6611" s="836">
        <v>1.773217592592593</v>
      </c>
      <c r="G6611" s="570"/>
      <c r="H6611" s="570"/>
      <c r="I6611" s="570"/>
      <c r="J6611" s="570"/>
      <c r="K6611" s="570"/>
    </row>
    <row r="6612" ht="13.75" customHeight="1">
      <c r="A6612" t="s" s="834">
        <v>4455</v>
      </c>
      <c r="B6612" t="s" s="834">
        <v>4456</v>
      </c>
      <c r="C6612" t="s" s="834">
        <v>1033</v>
      </c>
      <c r="D6612" s="570"/>
      <c r="E6612" s="570"/>
      <c r="F6612" s="570"/>
      <c r="G6612" s="570"/>
      <c r="H6612" s="570"/>
      <c r="I6612" s="570"/>
      <c r="J6612" s="570"/>
      <c r="K6612" s="570"/>
    </row>
    <row r="6613" ht="13.75" customHeight="1">
      <c r="A6613" s="833">
        <v>321</v>
      </c>
      <c r="B6613" t="s" s="834">
        <v>282</v>
      </c>
      <c r="C6613" t="s" s="834">
        <v>480</v>
      </c>
      <c r="D6613" s="835">
        <v>46053</v>
      </c>
      <c r="E6613" t="s" s="834">
        <v>478</v>
      </c>
      <c r="F6613" t="s" s="834">
        <v>478</v>
      </c>
      <c r="G6613" t="s" s="837">
        <v>567</v>
      </c>
      <c r="H6613" t="s" s="837">
        <v>570</v>
      </c>
      <c r="I6613" t="s" s="837">
        <v>567</v>
      </c>
      <c r="J6613" t="s" s="837">
        <v>570</v>
      </c>
      <c r="K6613" s="570"/>
    </row>
    <row r="6614" ht="13.75" customHeight="1">
      <c r="A6614" s="833">
        <v>322</v>
      </c>
      <c r="B6614" t="s" s="834">
        <v>288</v>
      </c>
      <c r="C6614" t="s" s="834">
        <v>480</v>
      </c>
      <c r="D6614" s="835">
        <v>46023</v>
      </c>
      <c r="E6614" t="s" s="834">
        <v>478</v>
      </c>
      <c r="F6614" t="s" s="834">
        <v>478</v>
      </c>
      <c r="G6614" s="570"/>
      <c r="H6614" s="570"/>
      <c r="I6614" s="570"/>
      <c r="J6614" s="570"/>
      <c r="K6614" s="570"/>
    </row>
    <row r="6615" ht="13.75" customHeight="1">
      <c r="A6615" s="833">
        <v>322</v>
      </c>
      <c r="B6615" t="s" s="834">
        <v>288</v>
      </c>
      <c r="C6615" t="s" s="834">
        <v>480</v>
      </c>
      <c r="D6615" s="835">
        <v>46024</v>
      </c>
      <c r="E6615" t="s" s="834">
        <v>478</v>
      </c>
      <c r="F6615" t="s" s="834">
        <v>478</v>
      </c>
      <c r="G6615" s="570"/>
      <c r="H6615" s="570"/>
      <c r="I6615" s="570"/>
      <c r="J6615" s="570"/>
      <c r="K6615" s="570"/>
    </row>
    <row r="6616" ht="13.75" customHeight="1">
      <c r="A6616" s="833">
        <v>322</v>
      </c>
      <c r="B6616" t="s" s="834">
        <v>288</v>
      </c>
      <c r="C6616" t="s" s="834">
        <v>480</v>
      </c>
      <c r="D6616" s="835">
        <v>46025</v>
      </c>
      <c r="E6616" t="s" s="834">
        <v>478</v>
      </c>
      <c r="F6616" t="s" s="834">
        <v>478</v>
      </c>
      <c r="G6616" s="570"/>
      <c r="H6616" s="570"/>
      <c r="I6616" s="570"/>
      <c r="J6616" s="570"/>
      <c r="K6616" s="570"/>
    </row>
    <row r="6617" ht="13.75" customHeight="1">
      <c r="A6617" s="833">
        <v>322</v>
      </c>
      <c r="B6617" t="s" s="834">
        <v>288</v>
      </c>
      <c r="C6617" t="s" s="834">
        <v>480</v>
      </c>
      <c r="D6617" s="835">
        <v>46026</v>
      </c>
      <c r="E6617" t="s" s="834">
        <v>478</v>
      </c>
      <c r="F6617" t="s" s="834">
        <v>478</v>
      </c>
      <c r="G6617" s="570"/>
      <c r="H6617" s="570"/>
      <c r="I6617" s="570"/>
      <c r="J6617" s="570"/>
      <c r="K6617" s="570"/>
    </row>
    <row r="6618" ht="13.75" customHeight="1">
      <c r="A6618" s="833">
        <v>322</v>
      </c>
      <c r="B6618" t="s" s="834">
        <v>288</v>
      </c>
      <c r="C6618" t="s" s="834">
        <v>480</v>
      </c>
      <c r="D6618" s="835">
        <v>46027</v>
      </c>
      <c r="E6618" t="s" s="834">
        <v>478</v>
      </c>
      <c r="F6618" t="s" s="834">
        <v>478</v>
      </c>
      <c r="G6618" s="570"/>
      <c r="H6618" s="570"/>
      <c r="I6618" s="570"/>
      <c r="J6618" s="570"/>
      <c r="K6618" s="570"/>
    </row>
    <row r="6619" ht="13.75" customHeight="1">
      <c r="A6619" s="833">
        <v>322</v>
      </c>
      <c r="B6619" t="s" s="834">
        <v>288</v>
      </c>
      <c r="C6619" t="s" s="834">
        <v>480</v>
      </c>
      <c r="D6619" s="835">
        <v>46028</v>
      </c>
      <c r="E6619" s="836">
        <v>1.352372685185185</v>
      </c>
      <c r="F6619" s="836">
        <v>1.763217592592593</v>
      </c>
      <c r="G6619" s="570"/>
      <c r="H6619" s="570"/>
      <c r="I6619" s="570"/>
      <c r="J6619" s="570"/>
      <c r="K6619" s="570"/>
    </row>
    <row r="6620" ht="13.75" customHeight="1">
      <c r="A6620" t="s" s="834">
        <v>4457</v>
      </c>
      <c r="B6620" t="s" s="834">
        <v>4458</v>
      </c>
      <c r="C6620" t="s" s="834">
        <v>850</v>
      </c>
      <c r="D6620" s="570"/>
      <c r="E6620" s="570"/>
      <c r="F6620" s="570"/>
      <c r="G6620" s="570"/>
      <c r="H6620" s="570"/>
      <c r="I6620" s="570"/>
      <c r="J6620" s="570"/>
      <c r="K6620" s="570"/>
    </row>
    <row r="6621" ht="13.75" customHeight="1">
      <c r="A6621" s="833">
        <v>322</v>
      </c>
      <c r="B6621" t="s" s="834">
        <v>288</v>
      </c>
      <c r="C6621" t="s" s="834">
        <v>480</v>
      </c>
      <c r="D6621" s="835">
        <v>46029</v>
      </c>
      <c r="E6621" s="836">
        <v>1.348935185185185</v>
      </c>
      <c r="F6621" s="836">
        <v>1.762766203703704</v>
      </c>
      <c r="G6621" s="570"/>
      <c r="H6621" s="570"/>
      <c r="I6621" s="570"/>
      <c r="J6621" s="570"/>
      <c r="K6621" s="570"/>
    </row>
    <row r="6622" ht="13.75" customHeight="1">
      <c r="A6622" t="s" s="834">
        <v>4459</v>
      </c>
      <c r="B6622" t="s" s="834">
        <v>4460</v>
      </c>
      <c r="C6622" t="s" s="834">
        <v>637</v>
      </c>
      <c r="D6622" s="570"/>
      <c r="E6622" s="570"/>
      <c r="F6622" s="570"/>
      <c r="G6622" s="570"/>
      <c r="H6622" s="570"/>
      <c r="I6622" s="570"/>
      <c r="J6622" s="570"/>
      <c r="K6622" s="570"/>
    </row>
    <row r="6623" ht="13.75" customHeight="1">
      <c r="A6623" s="833">
        <v>322</v>
      </c>
      <c r="B6623" t="s" s="834">
        <v>288</v>
      </c>
      <c r="C6623" t="s" s="834">
        <v>480</v>
      </c>
      <c r="D6623" s="835">
        <v>46030</v>
      </c>
      <c r="E6623" s="836">
        <v>1.348275462962963</v>
      </c>
      <c r="F6623" s="836">
        <v>1.75962962962963</v>
      </c>
      <c r="G6623" s="570"/>
      <c r="H6623" s="570"/>
      <c r="I6623" s="570"/>
      <c r="J6623" s="570"/>
      <c r="K6623" s="570"/>
    </row>
    <row r="6624" ht="13.75" customHeight="1">
      <c r="A6624" t="s" s="834">
        <v>4461</v>
      </c>
      <c r="B6624" t="s" s="834">
        <v>4462</v>
      </c>
      <c r="C6624" t="s" s="834">
        <v>850</v>
      </c>
      <c r="D6624" s="570"/>
      <c r="E6624" s="570"/>
      <c r="F6624" s="570"/>
      <c r="G6624" s="570"/>
      <c r="H6624" s="570"/>
      <c r="I6624" s="570"/>
      <c r="J6624" s="570"/>
      <c r="K6624" s="570"/>
    </row>
    <row r="6625" ht="13.75" customHeight="1">
      <c r="A6625" s="833">
        <v>322</v>
      </c>
      <c r="B6625" t="s" s="834">
        <v>288</v>
      </c>
      <c r="C6625" t="s" s="834">
        <v>480</v>
      </c>
      <c r="D6625" s="835">
        <v>46031</v>
      </c>
      <c r="E6625" s="836">
        <v>1.353217592592593</v>
      </c>
      <c r="F6625" s="836">
        <v>1.764733796296296</v>
      </c>
      <c r="G6625" s="570"/>
      <c r="H6625" s="570"/>
      <c r="I6625" s="570"/>
      <c r="J6625" s="570"/>
      <c r="K6625" s="570"/>
    </row>
    <row r="6626" ht="13.75" customHeight="1">
      <c r="A6626" t="s" s="834">
        <v>4463</v>
      </c>
      <c r="B6626" t="s" s="834">
        <v>4464</v>
      </c>
      <c r="C6626" t="s" s="834">
        <v>597</v>
      </c>
      <c r="D6626" s="570"/>
      <c r="E6626" s="570"/>
      <c r="F6626" s="570"/>
      <c r="G6626" s="570"/>
      <c r="H6626" s="570"/>
      <c r="I6626" s="570"/>
      <c r="J6626" s="570"/>
      <c r="K6626" s="570"/>
    </row>
    <row r="6627" ht="13.75" customHeight="1">
      <c r="A6627" s="833">
        <v>322</v>
      </c>
      <c r="B6627" t="s" s="834">
        <v>288</v>
      </c>
      <c r="C6627" t="s" s="834">
        <v>480</v>
      </c>
      <c r="D6627" s="835">
        <v>46032</v>
      </c>
      <c r="E6627" t="s" s="834">
        <v>478</v>
      </c>
      <c r="F6627" t="s" s="834">
        <v>478</v>
      </c>
      <c r="G6627" s="570"/>
      <c r="H6627" s="570"/>
      <c r="I6627" s="570"/>
      <c r="J6627" s="570"/>
      <c r="K6627" s="570"/>
    </row>
    <row r="6628" ht="13.75" customHeight="1">
      <c r="A6628" s="833">
        <v>322</v>
      </c>
      <c r="B6628" t="s" s="834">
        <v>288</v>
      </c>
      <c r="C6628" t="s" s="834">
        <v>480</v>
      </c>
      <c r="D6628" s="835">
        <v>46033</v>
      </c>
      <c r="E6628" t="s" s="834">
        <v>478</v>
      </c>
      <c r="F6628" t="s" s="834">
        <v>478</v>
      </c>
      <c r="G6628" s="570"/>
      <c r="H6628" s="570"/>
      <c r="I6628" s="570"/>
      <c r="J6628" s="570"/>
      <c r="K6628" s="570"/>
    </row>
    <row r="6629" ht="13.75" customHeight="1">
      <c r="A6629" s="833">
        <v>322</v>
      </c>
      <c r="B6629" t="s" s="834">
        <v>288</v>
      </c>
      <c r="C6629" t="s" s="834">
        <v>480</v>
      </c>
      <c r="D6629" s="835">
        <v>46034</v>
      </c>
      <c r="E6629" s="836">
        <v>1.347858796296296</v>
      </c>
      <c r="F6629" s="836">
        <v>1.763611111111111</v>
      </c>
      <c r="G6629" s="570"/>
      <c r="H6629" s="570"/>
      <c r="I6629" s="570"/>
      <c r="J6629" s="570"/>
      <c r="K6629" s="570"/>
    </row>
    <row r="6630" ht="13.75" customHeight="1">
      <c r="A6630" t="s" s="834">
        <v>4465</v>
      </c>
      <c r="B6630" t="s" s="834">
        <v>4466</v>
      </c>
      <c r="C6630" t="s" s="834">
        <v>652</v>
      </c>
      <c r="D6630" s="570"/>
      <c r="E6630" s="570"/>
      <c r="F6630" s="570"/>
      <c r="G6630" s="570"/>
      <c r="H6630" s="570"/>
      <c r="I6630" s="570"/>
      <c r="J6630" s="570"/>
      <c r="K6630" s="570"/>
    </row>
    <row r="6631" ht="13.75" customHeight="1">
      <c r="A6631" s="833">
        <v>322</v>
      </c>
      <c r="B6631" t="s" s="834">
        <v>288</v>
      </c>
      <c r="C6631" t="s" s="834">
        <v>480</v>
      </c>
      <c r="D6631" s="835">
        <v>46035</v>
      </c>
      <c r="E6631" s="836">
        <v>1.350347222222222</v>
      </c>
      <c r="F6631" s="836">
        <v>1.350451388888889</v>
      </c>
      <c r="G6631" s="570"/>
      <c r="H6631" s="570"/>
      <c r="I6631" s="570"/>
      <c r="J6631" s="570"/>
      <c r="K6631" s="570"/>
    </row>
    <row r="6632" ht="13.75" customHeight="1">
      <c r="A6632" t="s" s="834">
        <v>4467</v>
      </c>
      <c r="B6632" t="s" s="834">
        <v>4468</v>
      </c>
      <c r="C6632" t="s" s="834">
        <v>486</v>
      </c>
      <c r="D6632" s="570"/>
      <c r="E6632" s="570"/>
      <c r="F6632" s="570"/>
      <c r="G6632" s="570"/>
      <c r="H6632" s="570"/>
      <c r="I6632" s="570"/>
      <c r="J6632" s="570"/>
      <c r="K6632" s="570"/>
    </row>
    <row r="6633" ht="13.75" customHeight="1">
      <c r="A6633" s="833">
        <v>322</v>
      </c>
      <c r="B6633" t="s" s="834">
        <v>288</v>
      </c>
      <c r="C6633" t="s" s="834">
        <v>480</v>
      </c>
      <c r="D6633" s="835">
        <v>46036</v>
      </c>
      <c r="E6633" s="836">
        <v>1.348981481481482</v>
      </c>
      <c r="F6633" s="836">
        <v>1.7690625</v>
      </c>
      <c r="G6633" s="570"/>
      <c r="H6633" s="570"/>
      <c r="I6633" s="570"/>
      <c r="J6633" s="570"/>
      <c r="K6633" s="570"/>
    </row>
    <row r="6634" ht="13.75" customHeight="1">
      <c r="A6634" t="s" s="834">
        <v>4469</v>
      </c>
      <c r="B6634" t="s" s="834">
        <v>4470</v>
      </c>
      <c r="C6634" t="s" s="834">
        <v>1906</v>
      </c>
      <c r="D6634" s="570"/>
      <c r="E6634" s="570"/>
      <c r="F6634" s="570"/>
      <c r="G6634" s="570"/>
      <c r="H6634" s="570"/>
      <c r="I6634" s="570"/>
      <c r="J6634" s="570"/>
      <c r="K6634" s="570"/>
    </row>
    <row r="6635" ht="13.75" customHeight="1">
      <c r="A6635" s="833">
        <v>322</v>
      </c>
      <c r="B6635" t="s" s="834">
        <v>288</v>
      </c>
      <c r="C6635" t="s" s="834">
        <v>480</v>
      </c>
      <c r="D6635" s="835">
        <v>46037</v>
      </c>
      <c r="E6635" s="836">
        <v>1.349236111111111</v>
      </c>
      <c r="F6635" s="836">
        <v>1.7609375</v>
      </c>
      <c r="G6635" s="570"/>
      <c r="H6635" s="570"/>
      <c r="I6635" s="570"/>
      <c r="J6635" s="570"/>
      <c r="K6635" s="570"/>
    </row>
    <row r="6636" ht="13.75" customHeight="1">
      <c r="A6636" t="s" s="834">
        <v>4471</v>
      </c>
      <c r="B6636" t="s" s="834">
        <v>4472</v>
      </c>
      <c r="C6636" t="s" s="834">
        <v>597</v>
      </c>
      <c r="D6636" s="570"/>
      <c r="E6636" s="570"/>
      <c r="F6636" s="570"/>
      <c r="G6636" s="570"/>
      <c r="H6636" s="570"/>
      <c r="I6636" s="570"/>
      <c r="J6636" s="570"/>
      <c r="K6636" s="570"/>
    </row>
    <row r="6637" ht="13.75" customHeight="1">
      <c r="A6637" s="833">
        <v>322</v>
      </c>
      <c r="B6637" t="s" s="834">
        <v>288</v>
      </c>
      <c r="C6637" t="s" s="834">
        <v>480</v>
      </c>
      <c r="D6637" s="835">
        <v>46038</v>
      </c>
      <c r="E6637" s="836">
        <v>1.350810185185185</v>
      </c>
      <c r="F6637" s="836">
        <v>1.762650462962963</v>
      </c>
      <c r="G6637" s="570"/>
      <c r="H6637" s="570"/>
      <c r="I6637" s="570"/>
      <c r="J6637" s="570"/>
      <c r="K6637" s="570"/>
    </row>
    <row r="6638" ht="13.75" customHeight="1">
      <c r="A6638" t="s" s="834">
        <v>4473</v>
      </c>
      <c r="B6638" t="s" s="834">
        <v>4474</v>
      </c>
      <c r="C6638" t="s" s="834">
        <v>597</v>
      </c>
      <c r="D6638" s="570"/>
      <c r="E6638" s="570"/>
      <c r="F6638" s="570"/>
      <c r="G6638" s="570"/>
      <c r="H6638" s="570"/>
      <c r="I6638" s="570"/>
      <c r="J6638" s="570"/>
      <c r="K6638" s="570"/>
    </row>
    <row r="6639" ht="13.75" customHeight="1">
      <c r="A6639" s="833">
        <v>322</v>
      </c>
      <c r="B6639" t="s" s="834">
        <v>288</v>
      </c>
      <c r="C6639" t="s" s="834">
        <v>480</v>
      </c>
      <c r="D6639" s="835">
        <v>46039</v>
      </c>
      <c r="E6639" t="s" s="834">
        <v>478</v>
      </c>
      <c r="F6639" t="s" s="834">
        <v>478</v>
      </c>
      <c r="G6639" s="570"/>
      <c r="H6639" s="570"/>
      <c r="I6639" s="570"/>
      <c r="J6639" s="570"/>
      <c r="K6639" s="570"/>
    </row>
    <row r="6640" ht="13.75" customHeight="1">
      <c r="A6640" s="833">
        <v>322</v>
      </c>
      <c r="B6640" t="s" s="834">
        <v>288</v>
      </c>
      <c r="C6640" t="s" s="834">
        <v>480</v>
      </c>
      <c r="D6640" s="835">
        <v>46040</v>
      </c>
      <c r="E6640" t="s" s="834">
        <v>478</v>
      </c>
      <c r="F6640" t="s" s="834">
        <v>478</v>
      </c>
      <c r="G6640" s="570"/>
      <c r="H6640" s="570"/>
      <c r="I6640" s="570"/>
      <c r="J6640" s="570"/>
      <c r="K6640" s="570"/>
    </row>
    <row r="6641" ht="13.75" customHeight="1">
      <c r="A6641" s="833">
        <v>322</v>
      </c>
      <c r="B6641" t="s" s="834">
        <v>288</v>
      </c>
      <c r="C6641" t="s" s="834">
        <v>480</v>
      </c>
      <c r="D6641" s="835">
        <v>46041</v>
      </c>
      <c r="E6641" s="836">
        <v>1.345486111111111</v>
      </c>
      <c r="F6641" s="836">
        <v>1.769490740740741</v>
      </c>
      <c r="G6641" s="570"/>
      <c r="H6641" s="570"/>
      <c r="I6641" s="570"/>
      <c r="J6641" s="570"/>
      <c r="K6641" s="570"/>
    </row>
    <row r="6642" ht="13.75" customHeight="1">
      <c r="A6642" t="s" s="834">
        <v>4475</v>
      </c>
      <c r="B6642" t="s" s="834">
        <v>4476</v>
      </c>
      <c r="C6642" t="s" s="834">
        <v>623</v>
      </c>
      <c r="D6642" s="570"/>
      <c r="E6642" s="570"/>
      <c r="F6642" s="570"/>
      <c r="G6642" s="570"/>
      <c r="H6642" s="570"/>
      <c r="I6642" s="570"/>
      <c r="J6642" s="570"/>
      <c r="K6642" s="570"/>
    </row>
    <row r="6643" ht="13.75" customHeight="1">
      <c r="A6643" s="833">
        <v>322</v>
      </c>
      <c r="B6643" t="s" s="834">
        <v>288</v>
      </c>
      <c r="C6643" t="s" s="834">
        <v>480</v>
      </c>
      <c r="D6643" s="835">
        <v>46042</v>
      </c>
      <c r="E6643" s="836">
        <v>1.354375</v>
      </c>
      <c r="F6643" s="836">
        <v>1.760868055555556</v>
      </c>
      <c r="G6643" s="570"/>
      <c r="H6643" s="570"/>
      <c r="I6643" s="570"/>
      <c r="J6643" s="570"/>
      <c r="K6643" s="570"/>
    </row>
    <row r="6644" ht="13.75" customHeight="1">
      <c r="A6644" t="s" s="834">
        <v>4477</v>
      </c>
      <c r="B6644" t="s" s="834">
        <v>4478</v>
      </c>
      <c r="C6644" t="s" s="834">
        <v>603</v>
      </c>
      <c r="D6644" s="570"/>
      <c r="E6644" s="570"/>
      <c r="F6644" s="570"/>
      <c r="G6644" s="570"/>
      <c r="H6644" s="570"/>
      <c r="I6644" s="570"/>
      <c r="J6644" s="570"/>
      <c r="K6644" s="570"/>
    </row>
    <row r="6645" ht="13.75" customHeight="1">
      <c r="A6645" s="833">
        <v>322</v>
      </c>
      <c r="B6645" t="s" s="834">
        <v>288</v>
      </c>
      <c r="C6645" t="s" s="834">
        <v>480</v>
      </c>
      <c r="D6645" s="835">
        <v>46043</v>
      </c>
      <c r="E6645" s="836">
        <v>1.355706018518519</v>
      </c>
      <c r="F6645" s="836">
        <v>1.761574074074074</v>
      </c>
      <c r="G6645" s="570"/>
      <c r="H6645" s="570"/>
      <c r="I6645" s="570"/>
      <c r="J6645" s="570"/>
      <c r="K6645" s="570"/>
    </row>
    <row r="6646" ht="13.75" customHeight="1">
      <c r="A6646" t="s" s="834">
        <v>4479</v>
      </c>
      <c r="B6646" t="s" s="834">
        <v>4480</v>
      </c>
      <c r="C6646" t="s" s="834">
        <v>1601</v>
      </c>
      <c r="D6646" s="570"/>
      <c r="E6646" s="570"/>
      <c r="F6646" s="570"/>
      <c r="G6646" s="570"/>
      <c r="H6646" s="570"/>
      <c r="I6646" s="570"/>
      <c r="J6646" s="570"/>
      <c r="K6646" s="570"/>
    </row>
    <row r="6647" ht="13.75" customHeight="1">
      <c r="A6647" s="833">
        <v>322</v>
      </c>
      <c r="B6647" t="s" s="834">
        <v>288</v>
      </c>
      <c r="C6647" t="s" s="834">
        <v>480</v>
      </c>
      <c r="D6647" s="835">
        <v>46044</v>
      </c>
      <c r="E6647" s="836">
        <v>1.352997685185185</v>
      </c>
      <c r="F6647" s="836">
        <v>1.766261574074074</v>
      </c>
      <c r="G6647" s="570"/>
      <c r="H6647" s="570"/>
      <c r="I6647" s="570"/>
      <c r="J6647" s="570"/>
      <c r="K6647" s="570"/>
    </row>
    <row r="6648" ht="13.75" customHeight="1">
      <c r="A6648" t="s" s="834">
        <v>4481</v>
      </c>
      <c r="B6648" t="s" s="834">
        <v>4482</v>
      </c>
      <c r="C6648" t="s" s="834">
        <v>586</v>
      </c>
      <c r="D6648" s="570"/>
      <c r="E6648" s="570"/>
      <c r="F6648" s="570"/>
      <c r="G6648" s="570"/>
      <c r="H6648" s="570"/>
      <c r="I6648" s="570"/>
      <c r="J6648" s="570"/>
      <c r="K6648" s="570"/>
    </row>
    <row r="6649" ht="13.75" customHeight="1">
      <c r="A6649" s="833">
        <v>322</v>
      </c>
      <c r="B6649" t="s" s="834">
        <v>288</v>
      </c>
      <c r="C6649" t="s" s="834">
        <v>480</v>
      </c>
      <c r="D6649" s="835">
        <v>46045</v>
      </c>
      <c r="E6649" s="836">
        <v>1.351342592592593</v>
      </c>
      <c r="F6649" s="836">
        <v>1.769097222222222</v>
      </c>
      <c r="G6649" s="570"/>
      <c r="H6649" s="570"/>
      <c r="I6649" s="570"/>
      <c r="J6649" s="570"/>
      <c r="K6649" s="570"/>
    </row>
    <row r="6650" ht="13.75" customHeight="1">
      <c r="A6650" t="s" s="834">
        <v>4483</v>
      </c>
      <c r="B6650" t="s" s="834">
        <v>4484</v>
      </c>
      <c r="C6650" t="s" s="834">
        <v>1033</v>
      </c>
      <c r="D6650" s="570"/>
      <c r="E6650" s="570"/>
      <c r="F6650" s="570"/>
      <c r="G6650" s="570"/>
      <c r="H6650" s="570"/>
      <c r="I6650" s="570"/>
      <c r="J6650" s="570"/>
      <c r="K6650" s="570"/>
    </row>
    <row r="6651" ht="13.75" customHeight="1">
      <c r="A6651" s="833">
        <v>322</v>
      </c>
      <c r="B6651" t="s" s="834">
        <v>288</v>
      </c>
      <c r="C6651" t="s" s="834">
        <v>480</v>
      </c>
      <c r="D6651" s="835">
        <v>46046</v>
      </c>
      <c r="E6651" t="s" s="834">
        <v>478</v>
      </c>
      <c r="F6651" t="s" s="834">
        <v>478</v>
      </c>
      <c r="G6651" s="570"/>
      <c r="H6651" s="570"/>
      <c r="I6651" s="570"/>
      <c r="J6651" s="570"/>
      <c r="K6651" s="570"/>
    </row>
    <row r="6652" ht="13.75" customHeight="1">
      <c r="A6652" s="833">
        <v>322</v>
      </c>
      <c r="B6652" t="s" s="834">
        <v>288</v>
      </c>
      <c r="C6652" t="s" s="834">
        <v>480</v>
      </c>
      <c r="D6652" s="835">
        <v>46047</v>
      </c>
      <c r="E6652" t="s" s="834">
        <v>478</v>
      </c>
      <c r="F6652" t="s" s="834">
        <v>478</v>
      </c>
      <c r="G6652" s="570"/>
      <c r="H6652" s="570"/>
      <c r="I6652" s="570"/>
      <c r="J6652" s="570"/>
      <c r="K6652" s="570"/>
    </row>
    <row r="6653" ht="13.75" customHeight="1">
      <c r="A6653" s="833">
        <v>322</v>
      </c>
      <c r="B6653" t="s" s="834">
        <v>288</v>
      </c>
      <c r="C6653" t="s" s="834">
        <v>480</v>
      </c>
      <c r="D6653" s="835">
        <v>46048</v>
      </c>
      <c r="E6653" s="836">
        <v>1.353981481481481</v>
      </c>
      <c r="F6653" s="836">
        <v>1.767418981481482</v>
      </c>
      <c r="G6653" s="570"/>
      <c r="H6653" s="570"/>
      <c r="I6653" s="570"/>
      <c r="J6653" s="570"/>
      <c r="K6653" s="570"/>
    </row>
    <row r="6654" ht="13.75" customHeight="1">
      <c r="A6654" t="s" s="834">
        <v>4485</v>
      </c>
      <c r="B6654" t="s" s="834">
        <v>4486</v>
      </c>
      <c r="C6654" t="s" s="834">
        <v>586</v>
      </c>
      <c r="D6654" s="570"/>
      <c r="E6654" s="570"/>
      <c r="F6654" s="570"/>
      <c r="G6654" s="570"/>
      <c r="H6654" s="570"/>
      <c r="I6654" s="570"/>
      <c r="J6654" s="570"/>
      <c r="K6654" s="570"/>
    </row>
    <row r="6655" ht="13.75" customHeight="1">
      <c r="A6655" s="833">
        <v>322</v>
      </c>
      <c r="B6655" t="s" s="834">
        <v>288</v>
      </c>
      <c r="C6655" t="s" s="834">
        <v>480</v>
      </c>
      <c r="D6655" s="835">
        <v>46049</v>
      </c>
      <c r="E6655" s="836">
        <v>1.352546296296296</v>
      </c>
      <c r="F6655" s="836">
        <v>1.779722222222222</v>
      </c>
      <c r="G6655" s="570"/>
      <c r="H6655" s="570"/>
      <c r="I6655" s="570"/>
      <c r="J6655" s="570"/>
      <c r="K6655" s="570"/>
    </row>
    <row r="6656" ht="13.75" customHeight="1">
      <c r="A6656" t="s" s="834">
        <v>4487</v>
      </c>
      <c r="B6656" t="s" s="834">
        <v>4488</v>
      </c>
      <c r="C6656" t="s" s="834">
        <v>655</v>
      </c>
      <c r="D6656" s="570"/>
      <c r="E6656" s="570"/>
      <c r="F6656" s="570"/>
      <c r="G6656" s="570"/>
      <c r="H6656" s="570"/>
      <c r="I6656" s="570"/>
      <c r="J6656" s="570"/>
      <c r="K6656" s="570"/>
    </row>
    <row r="6657" ht="13.75" customHeight="1">
      <c r="A6657" s="833">
        <v>322</v>
      </c>
      <c r="B6657" t="s" s="834">
        <v>288</v>
      </c>
      <c r="C6657" t="s" s="834">
        <v>480</v>
      </c>
      <c r="D6657" s="835">
        <v>46050</v>
      </c>
      <c r="E6657" s="836">
        <v>1.349259259259259</v>
      </c>
      <c r="F6657" s="836">
        <v>1.764618055555556</v>
      </c>
      <c r="G6657" s="570"/>
      <c r="H6657" s="570"/>
      <c r="I6657" s="570"/>
      <c r="J6657" s="570"/>
      <c r="K6657" s="570"/>
    </row>
    <row r="6658" ht="13.75" customHeight="1">
      <c r="A6658" t="s" s="834">
        <v>4489</v>
      </c>
      <c r="B6658" t="s" s="834">
        <v>4490</v>
      </c>
      <c r="C6658" t="s" s="834">
        <v>1124</v>
      </c>
      <c r="D6658" s="570"/>
      <c r="E6658" s="570"/>
      <c r="F6658" s="570"/>
      <c r="G6658" s="570"/>
      <c r="H6658" s="570"/>
      <c r="I6658" s="570"/>
      <c r="J6658" s="570"/>
      <c r="K6658" s="570"/>
    </row>
    <row r="6659" ht="13.75" customHeight="1">
      <c r="A6659" s="833">
        <v>322</v>
      </c>
      <c r="B6659" t="s" s="834">
        <v>288</v>
      </c>
      <c r="C6659" t="s" s="834">
        <v>480</v>
      </c>
      <c r="D6659" s="835">
        <v>46051</v>
      </c>
      <c r="E6659" s="836">
        <v>1.351122685185185</v>
      </c>
      <c r="F6659" s="836">
        <v>1.781539351851852</v>
      </c>
      <c r="G6659" s="570"/>
      <c r="H6659" s="570"/>
      <c r="I6659" s="570"/>
      <c r="J6659" s="570"/>
      <c r="K6659" s="570"/>
    </row>
    <row r="6660" ht="13.75" customHeight="1">
      <c r="A6660" t="s" s="834">
        <v>4491</v>
      </c>
      <c r="B6660" t="s" s="834">
        <v>4492</v>
      </c>
      <c r="C6660" t="s" s="834">
        <v>2283</v>
      </c>
      <c r="D6660" s="570"/>
      <c r="E6660" s="570"/>
      <c r="F6660" s="570"/>
      <c r="G6660" s="570"/>
      <c r="H6660" s="570"/>
      <c r="I6660" s="570"/>
      <c r="J6660" s="570"/>
      <c r="K6660" s="570"/>
    </row>
    <row r="6661" ht="13.75" customHeight="1">
      <c r="A6661" s="833">
        <v>322</v>
      </c>
      <c r="B6661" t="s" s="834">
        <v>288</v>
      </c>
      <c r="C6661" t="s" s="834">
        <v>480</v>
      </c>
      <c r="D6661" s="835">
        <v>46052</v>
      </c>
      <c r="E6661" s="836">
        <v>1.352349537037037</v>
      </c>
      <c r="F6661" s="836">
        <v>1.760740740740741</v>
      </c>
      <c r="G6661" s="570"/>
      <c r="H6661" s="570"/>
      <c r="I6661" s="570"/>
      <c r="J6661" s="570"/>
      <c r="K6661" s="570"/>
    </row>
    <row r="6662" ht="13.75" customHeight="1">
      <c r="A6662" t="s" s="834">
        <v>4493</v>
      </c>
      <c r="B6662" t="s" s="834">
        <v>4494</v>
      </c>
      <c r="C6662" t="s" s="834">
        <v>1330</v>
      </c>
      <c r="D6662" s="570"/>
      <c r="E6662" s="570"/>
      <c r="F6662" s="570"/>
      <c r="G6662" s="570"/>
      <c r="H6662" s="570"/>
      <c r="I6662" s="570"/>
      <c r="J6662" s="570"/>
      <c r="K6662" s="570"/>
    </row>
    <row r="6663" ht="13.75" customHeight="1">
      <c r="A6663" s="833">
        <v>322</v>
      </c>
      <c r="B6663" t="s" s="834">
        <v>288</v>
      </c>
      <c r="C6663" t="s" s="834">
        <v>480</v>
      </c>
      <c r="D6663" s="835">
        <v>46053</v>
      </c>
      <c r="E6663" t="s" s="834">
        <v>478</v>
      </c>
      <c r="F6663" t="s" s="834">
        <v>478</v>
      </c>
      <c r="G6663" s="570"/>
      <c r="H6663" s="570"/>
      <c r="I6663" s="570"/>
      <c r="J6663" s="570"/>
      <c r="K6663" s="570"/>
    </row>
    <row r="6664" ht="13.75" customHeight="1">
      <c r="A6664" s="833">
        <v>322</v>
      </c>
      <c r="B6664" t="s" s="834">
        <v>288</v>
      </c>
      <c r="C6664" t="s" s="834">
        <v>480</v>
      </c>
      <c r="D6664" s="835">
        <v>46054</v>
      </c>
      <c r="E6664" t="s" s="834">
        <v>478</v>
      </c>
      <c r="F6664" t="s" s="834">
        <v>478</v>
      </c>
      <c r="G6664" s="570"/>
      <c r="H6664" s="570"/>
      <c r="I6664" s="570"/>
      <c r="J6664" s="570"/>
      <c r="K6664" s="570"/>
    </row>
    <row r="6665" ht="13.75" customHeight="1">
      <c r="A6665" s="833">
        <v>323</v>
      </c>
      <c r="B6665" t="s" s="834">
        <v>4495</v>
      </c>
      <c r="C6665" t="s" s="834">
        <v>480</v>
      </c>
      <c r="D6665" s="835">
        <v>46023</v>
      </c>
      <c r="E6665" t="s" s="834">
        <v>478</v>
      </c>
      <c r="F6665" t="s" s="834">
        <v>478</v>
      </c>
      <c r="G6665" s="570"/>
      <c r="H6665" s="570"/>
      <c r="I6665" s="570"/>
      <c r="J6665" s="570"/>
      <c r="K6665" s="570"/>
    </row>
    <row r="6666" ht="13.75" customHeight="1">
      <c r="A6666" s="833">
        <v>323</v>
      </c>
      <c r="B6666" t="s" s="834">
        <v>4495</v>
      </c>
      <c r="C6666" t="s" s="834">
        <v>480</v>
      </c>
      <c r="D6666" s="835">
        <v>46024</v>
      </c>
      <c r="E6666" t="s" s="834">
        <v>478</v>
      </c>
      <c r="F6666" t="s" s="834">
        <v>478</v>
      </c>
      <c r="G6666" s="570"/>
      <c r="H6666" s="570"/>
      <c r="I6666" s="570"/>
      <c r="J6666" s="570"/>
      <c r="K6666" s="570"/>
    </row>
    <row r="6667" ht="13.75" customHeight="1">
      <c r="A6667" s="833">
        <v>323</v>
      </c>
      <c r="B6667" t="s" s="834">
        <v>4495</v>
      </c>
      <c r="C6667" t="s" s="834">
        <v>480</v>
      </c>
      <c r="D6667" s="835">
        <v>46025</v>
      </c>
      <c r="E6667" t="s" s="834">
        <v>478</v>
      </c>
      <c r="F6667" t="s" s="834">
        <v>478</v>
      </c>
      <c r="G6667" s="570"/>
      <c r="H6667" s="570"/>
      <c r="I6667" s="570"/>
      <c r="J6667" s="570"/>
      <c r="K6667" s="570"/>
    </row>
    <row r="6668" ht="13.75" customHeight="1">
      <c r="A6668" s="833">
        <v>323</v>
      </c>
      <c r="B6668" t="s" s="834">
        <v>4495</v>
      </c>
      <c r="C6668" t="s" s="834">
        <v>480</v>
      </c>
      <c r="D6668" s="835">
        <v>46026</v>
      </c>
      <c r="E6668" t="s" s="834">
        <v>478</v>
      </c>
      <c r="F6668" t="s" s="834">
        <v>478</v>
      </c>
      <c r="G6668" s="570"/>
      <c r="H6668" s="570"/>
      <c r="I6668" s="570"/>
      <c r="J6668" s="570"/>
      <c r="K6668" s="570"/>
    </row>
    <row r="6669" ht="13.75" customHeight="1">
      <c r="A6669" s="833">
        <v>323</v>
      </c>
      <c r="B6669" t="s" s="834">
        <v>4495</v>
      </c>
      <c r="C6669" t="s" s="834">
        <v>480</v>
      </c>
      <c r="D6669" s="835">
        <v>46027</v>
      </c>
      <c r="E6669" t="s" s="834">
        <v>478</v>
      </c>
      <c r="F6669" t="s" s="834">
        <v>478</v>
      </c>
      <c r="G6669" s="570"/>
      <c r="H6669" s="570"/>
      <c r="I6669" s="570"/>
      <c r="J6669" s="570"/>
      <c r="K6669" s="570"/>
    </row>
    <row r="6670" ht="13.75" customHeight="1">
      <c r="A6670" s="833">
        <v>323</v>
      </c>
      <c r="B6670" t="s" s="834">
        <v>4495</v>
      </c>
      <c r="C6670" t="s" s="834">
        <v>480</v>
      </c>
      <c r="D6670" s="835">
        <v>46028</v>
      </c>
      <c r="E6670" t="s" s="834">
        <v>478</v>
      </c>
      <c r="F6670" t="s" s="834">
        <v>478</v>
      </c>
      <c r="G6670" s="570"/>
      <c r="H6670" s="570"/>
      <c r="I6670" s="570"/>
      <c r="J6670" s="570"/>
      <c r="K6670" s="570"/>
    </row>
    <row r="6671" ht="13.75" customHeight="1">
      <c r="A6671" s="833">
        <v>323</v>
      </c>
      <c r="B6671" t="s" s="834">
        <v>4495</v>
      </c>
      <c r="C6671" t="s" s="834">
        <v>480</v>
      </c>
      <c r="D6671" s="835">
        <v>46029</v>
      </c>
      <c r="E6671" t="s" s="834">
        <v>478</v>
      </c>
      <c r="F6671" t="s" s="834">
        <v>478</v>
      </c>
      <c r="G6671" s="570"/>
      <c r="H6671" s="570"/>
      <c r="I6671" s="570"/>
      <c r="J6671" s="570"/>
      <c r="K6671" s="570"/>
    </row>
    <row r="6672" ht="13.75" customHeight="1">
      <c r="A6672" s="833">
        <v>323</v>
      </c>
      <c r="B6672" t="s" s="834">
        <v>4495</v>
      </c>
      <c r="C6672" t="s" s="834">
        <v>480</v>
      </c>
      <c r="D6672" s="835">
        <v>46030</v>
      </c>
      <c r="E6672" t="s" s="834">
        <v>478</v>
      </c>
      <c r="F6672" t="s" s="834">
        <v>478</v>
      </c>
      <c r="G6672" s="570"/>
      <c r="H6672" s="570"/>
      <c r="I6672" s="570"/>
      <c r="J6672" s="570"/>
      <c r="K6672" s="570"/>
    </row>
    <row r="6673" ht="13.75" customHeight="1">
      <c r="A6673" s="833">
        <v>323</v>
      </c>
      <c r="B6673" t="s" s="834">
        <v>4495</v>
      </c>
      <c r="C6673" t="s" s="834">
        <v>480</v>
      </c>
      <c r="D6673" s="835">
        <v>46031</v>
      </c>
      <c r="E6673" t="s" s="834">
        <v>478</v>
      </c>
      <c r="F6673" t="s" s="834">
        <v>478</v>
      </c>
      <c r="G6673" s="570"/>
      <c r="H6673" s="570"/>
      <c r="I6673" s="570"/>
      <c r="J6673" s="570"/>
      <c r="K6673" s="570"/>
    </row>
    <row r="6674" ht="13.75" customHeight="1">
      <c r="A6674" s="833">
        <v>323</v>
      </c>
      <c r="B6674" t="s" s="834">
        <v>4495</v>
      </c>
      <c r="C6674" t="s" s="834">
        <v>480</v>
      </c>
      <c r="D6674" s="835">
        <v>46032</v>
      </c>
      <c r="E6674" t="s" s="834">
        <v>478</v>
      </c>
      <c r="F6674" t="s" s="834">
        <v>478</v>
      </c>
      <c r="G6674" s="570"/>
      <c r="H6674" s="570"/>
      <c r="I6674" s="570"/>
      <c r="J6674" s="570"/>
      <c r="K6674" s="570"/>
    </row>
    <row r="6675" ht="13.75" customHeight="1">
      <c r="A6675" s="833">
        <v>323</v>
      </c>
      <c r="B6675" t="s" s="834">
        <v>4495</v>
      </c>
      <c r="C6675" t="s" s="834">
        <v>480</v>
      </c>
      <c r="D6675" s="835">
        <v>46033</v>
      </c>
      <c r="E6675" t="s" s="834">
        <v>478</v>
      </c>
      <c r="F6675" t="s" s="834">
        <v>478</v>
      </c>
      <c r="G6675" s="570"/>
      <c r="H6675" s="570"/>
      <c r="I6675" s="570"/>
      <c r="J6675" s="570"/>
      <c r="K6675" s="570"/>
    </row>
    <row r="6676" ht="13.75" customHeight="1">
      <c r="A6676" s="833">
        <v>323</v>
      </c>
      <c r="B6676" t="s" s="834">
        <v>4495</v>
      </c>
      <c r="C6676" t="s" s="834">
        <v>480</v>
      </c>
      <c r="D6676" s="835">
        <v>46034</v>
      </c>
      <c r="E6676" t="s" s="834">
        <v>478</v>
      </c>
      <c r="F6676" t="s" s="834">
        <v>478</v>
      </c>
      <c r="G6676" s="570"/>
      <c r="H6676" s="570"/>
      <c r="I6676" s="570"/>
      <c r="J6676" s="570"/>
      <c r="K6676" s="570"/>
    </row>
    <row r="6677" ht="13.75" customHeight="1">
      <c r="A6677" s="833">
        <v>323</v>
      </c>
      <c r="B6677" t="s" s="834">
        <v>4495</v>
      </c>
      <c r="C6677" t="s" s="834">
        <v>480</v>
      </c>
      <c r="D6677" s="835">
        <v>46035</v>
      </c>
      <c r="E6677" t="s" s="834">
        <v>478</v>
      </c>
      <c r="F6677" t="s" s="834">
        <v>478</v>
      </c>
      <c r="G6677" s="570"/>
      <c r="H6677" s="570"/>
      <c r="I6677" s="570"/>
      <c r="J6677" s="570"/>
      <c r="K6677" s="570"/>
    </row>
    <row r="6678" ht="13.75" customHeight="1">
      <c r="A6678" s="833">
        <v>323</v>
      </c>
      <c r="B6678" t="s" s="834">
        <v>4495</v>
      </c>
      <c r="C6678" t="s" s="834">
        <v>480</v>
      </c>
      <c r="D6678" s="835">
        <v>46036</v>
      </c>
      <c r="E6678" t="s" s="834">
        <v>478</v>
      </c>
      <c r="F6678" t="s" s="834">
        <v>478</v>
      </c>
      <c r="G6678" s="570"/>
      <c r="H6678" s="570"/>
      <c r="I6678" s="570"/>
      <c r="J6678" s="570"/>
      <c r="K6678" s="570"/>
    </row>
    <row r="6679" ht="13.75" customHeight="1">
      <c r="A6679" s="833">
        <v>323</v>
      </c>
      <c r="B6679" t="s" s="834">
        <v>4495</v>
      </c>
      <c r="C6679" t="s" s="834">
        <v>480</v>
      </c>
      <c r="D6679" s="835">
        <v>46037</v>
      </c>
      <c r="E6679" t="s" s="834">
        <v>478</v>
      </c>
      <c r="F6679" t="s" s="834">
        <v>478</v>
      </c>
      <c r="G6679" s="570"/>
      <c r="H6679" s="570"/>
      <c r="I6679" s="570"/>
      <c r="J6679" s="570"/>
      <c r="K6679" s="570"/>
    </row>
    <row r="6680" ht="13.75" customHeight="1">
      <c r="A6680" s="833">
        <v>323</v>
      </c>
      <c r="B6680" t="s" s="834">
        <v>4495</v>
      </c>
      <c r="C6680" t="s" s="834">
        <v>480</v>
      </c>
      <c r="D6680" s="835">
        <v>46038</v>
      </c>
      <c r="E6680" t="s" s="834">
        <v>478</v>
      </c>
      <c r="F6680" t="s" s="834">
        <v>478</v>
      </c>
      <c r="G6680" s="570"/>
      <c r="H6680" s="570"/>
      <c r="I6680" s="570"/>
      <c r="J6680" s="570"/>
      <c r="K6680" s="570"/>
    </row>
    <row r="6681" ht="13.75" customHeight="1">
      <c r="A6681" s="833">
        <v>323</v>
      </c>
      <c r="B6681" t="s" s="834">
        <v>4495</v>
      </c>
      <c r="C6681" t="s" s="834">
        <v>480</v>
      </c>
      <c r="D6681" s="835">
        <v>46039</v>
      </c>
      <c r="E6681" t="s" s="834">
        <v>478</v>
      </c>
      <c r="F6681" t="s" s="834">
        <v>478</v>
      </c>
      <c r="G6681" s="570"/>
      <c r="H6681" s="570"/>
      <c r="I6681" s="570"/>
      <c r="J6681" s="570"/>
      <c r="K6681" s="570"/>
    </row>
    <row r="6682" ht="13.75" customHeight="1">
      <c r="A6682" s="833">
        <v>323</v>
      </c>
      <c r="B6682" t="s" s="834">
        <v>4495</v>
      </c>
      <c r="C6682" t="s" s="834">
        <v>480</v>
      </c>
      <c r="D6682" s="835">
        <v>46040</v>
      </c>
      <c r="E6682" t="s" s="834">
        <v>478</v>
      </c>
      <c r="F6682" t="s" s="834">
        <v>478</v>
      </c>
      <c r="G6682" s="570"/>
      <c r="H6682" s="570"/>
      <c r="I6682" s="570"/>
      <c r="J6682" s="570"/>
      <c r="K6682" s="570"/>
    </row>
    <row r="6683" ht="13.75" customHeight="1">
      <c r="A6683" s="833">
        <v>323</v>
      </c>
      <c r="B6683" t="s" s="834">
        <v>4495</v>
      </c>
      <c r="C6683" t="s" s="834">
        <v>480</v>
      </c>
      <c r="D6683" s="835">
        <v>46041</v>
      </c>
      <c r="E6683" t="s" s="834">
        <v>478</v>
      </c>
      <c r="F6683" t="s" s="834">
        <v>478</v>
      </c>
      <c r="G6683" s="570"/>
      <c r="H6683" s="570"/>
      <c r="I6683" s="570"/>
      <c r="J6683" s="570"/>
      <c r="K6683" s="570"/>
    </row>
    <row r="6684" ht="13.75" customHeight="1">
      <c r="A6684" s="833">
        <v>323</v>
      </c>
      <c r="B6684" t="s" s="834">
        <v>4495</v>
      </c>
      <c r="C6684" t="s" s="834">
        <v>480</v>
      </c>
      <c r="D6684" s="835">
        <v>46042</v>
      </c>
      <c r="E6684" t="s" s="834">
        <v>478</v>
      </c>
      <c r="F6684" t="s" s="834">
        <v>478</v>
      </c>
      <c r="G6684" s="570"/>
      <c r="H6684" s="570"/>
      <c r="I6684" s="570"/>
      <c r="J6684" s="570"/>
      <c r="K6684" s="570"/>
    </row>
    <row r="6685" ht="13.75" customHeight="1">
      <c r="A6685" s="833">
        <v>323</v>
      </c>
      <c r="B6685" t="s" s="834">
        <v>4495</v>
      </c>
      <c r="C6685" t="s" s="834">
        <v>480</v>
      </c>
      <c r="D6685" s="835">
        <v>46043</v>
      </c>
      <c r="E6685" t="s" s="834">
        <v>478</v>
      </c>
      <c r="F6685" t="s" s="834">
        <v>478</v>
      </c>
      <c r="G6685" s="570"/>
      <c r="H6685" s="570"/>
      <c r="I6685" s="570"/>
      <c r="J6685" s="570"/>
      <c r="K6685" s="570"/>
    </row>
    <row r="6686" ht="13.75" customHeight="1">
      <c r="A6686" s="833">
        <v>323</v>
      </c>
      <c r="B6686" t="s" s="834">
        <v>4495</v>
      </c>
      <c r="C6686" t="s" s="834">
        <v>480</v>
      </c>
      <c r="D6686" s="835">
        <v>46044</v>
      </c>
      <c r="E6686" t="s" s="834">
        <v>478</v>
      </c>
      <c r="F6686" t="s" s="834">
        <v>478</v>
      </c>
      <c r="G6686" s="570"/>
      <c r="H6686" s="570"/>
      <c r="I6686" s="570"/>
      <c r="J6686" s="570"/>
      <c r="K6686" s="570"/>
    </row>
    <row r="6687" ht="13.75" customHeight="1">
      <c r="A6687" s="833">
        <v>323</v>
      </c>
      <c r="B6687" t="s" s="834">
        <v>4495</v>
      </c>
      <c r="C6687" t="s" s="834">
        <v>480</v>
      </c>
      <c r="D6687" s="835">
        <v>46045</v>
      </c>
      <c r="E6687" t="s" s="834">
        <v>478</v>
      </c>
      <c r="F6687" t="s" s="834">
        <v>478</v>
      </c>
      <c r="G6687" s="570"/>
      <c r="H6687" s="570"/>
      <c r="I6687" s="570"/>
      <c r="J6687" s="570"/>
      <c r="K6687" s="570"/>
    </row>
    <row r="6688" ht="13.75" customHeight="1">
      <c r="A6688" s="833">
        <v>323</v>
      </c>
      <c r="B6688" t="s" s="834">
        <v>4495</v>
      </c>
      <c r="C6688" t="s" s="834">
        <v>480</v>
      </c>
      <c r="D6688" s="835">
        <v>46046</v>
      </c>
      <c r="E6688" t="s" s="834">
        <v>478</v>
      </c>
      <c r="F6688" t="s" s="834">
        <v>478</v>
      </c>
      <c r="G6688" s="570"/>
      <c r="H6688" s="570"/>
      <c r="I6688" s="570"/>
      <c r="J6688" s="570"/>
      <c r="K6688" s="570"/>
    </row>
    <row r="6689" ht="13.75" customHeight="1">
      <c r="A6689" s="833">
        <v>323</v>
      </c>
      <c r="B6689" t="s" s="834">
        <v>4495</v>
      </c>
      <c r="C6689" t="s" s="834">
        <v>480</v>
      </c>
      <c r="D6689" s="835">
        <v>46047</v>
      </c>
      <c r="E6689" t="s" s="834">
        <v>478</v>
      </c>
      <c r="F6689" t="s" s="834">
        <v>478</v>
      </c>
      <c r="G6689" s="570"/>
      <c r="H6689" s="570"/>
      <c r="I6689" s="570"/>
      <c r="J6689" s="570"/>
      <c r="K6689" s="570"/>
    </row>
    <row r="6690" ht="13.75" customHeight="1">
      <c r="A6690" s="833">
        <v>323</v>
      </c>
      <c r="B6690" t="s" s="834">
        <v>4495</v>
      </c>
      <c r="C6690" t="s" s="834">
        <v>480</v>
      </c>
      <c r="D6690" s="835">
        <v>46048</v>
      </c>
      <c r="E6690" t="s" s="834">
        <v>478</v>
      </c>
      <c r="F6690" t="s" s="834">
        <v>478</v>
      </c>
      <c r="G6690" s="570"/>
      <c r="H6690" s="570"/>
      <c r="I6690" s="570"/>
      <c r="J6690" s="570"/>
      <c r="K6690" s="570"/>
    </row>
    <row r="6691" ht="13.75" customHeight="1">
      <c r="A6691" s="833">
        <v>323</v>
      </c>
      <c r="B6691" t="s" s="834">
        <v>4495</v>
      </c>
      <c r="C6691" t="s" s="834">
        <v>480</v>
      </c>
      <c r="D6691" s="835">
        <v>46049</v>
      </c>
      <c r="E6691" t="s" s="834">
        <v>478</v>
      </c>
      <c r="F6691" t="s" s="834">
        <v>478</v>
      </c>
      <c r="G6691" s="570"/>
      <c r="H6691" s="570"/>
      <c r="I6691" s="570"/>
      <c r="J6691" s="570"/>
      <c r="K6691" s="570"/>
    </row>
    <row r="6692" ht="13.75" customHeight="1">
      <c r="A6692" s="833">
        <v>323</v>
      </c>
      <c r="B6692" t="s" s="834">
        <v>4495</v>
      </c>
      <c r="C6692" t="s" s="834">
        <v>480</v>
      </c>
      <c r="D6692" s="835">
        <v>46050</v>
      </c>
      <c r="E6692" t="s" s="834">
        <v>478</v>
      </c>
      <c r="F6692" t="s" s="834">
        <v>478</v>
      </c>
      <c r="G6692" s="570"/>
      <c r="H6692" s="570"/>
      <c r="I6692" s="570"/>
      <c r="J6692" s="570"/>
      <c r="K6692" s="570"/>
    </row>
    <row r="6693" ht="13.75" customHeight="1">
      <c r="A6693" s="833">
        <v>323</v>
      </c>
      <c r="B6693" t="s" s="834">
        <v>4495</v>
      </c>
      <c r="C6693" t="s" s="834">
        <v>480</v>
      </c>
      <c r="D6693" s="835">
        <v>46051</v>
      </c>
      <c r="E6693" t="s" s="834">
        <v>478</v>
      </c>
      <c r="F6693" t="s" s="834">
        <v>478</v>
      </c>
      <c r="G6693" s="570"/>
      <c r="H6693" s="570"/>
      <c r="I6693" s="570"/>
      <c r="J6693" s="570"/>
      <c r="K6693" s="570"/>
    </row>
    <row r="6694" ht="13.75" customHeight="1">
      <c r="A6694" s="833">
        <v>323</v>
      </c>
      <c r="B6694" t="s" s="834">
        <v>4495</v>
      </c>
      <c r="C6694" t="s" s="834">
        <v>480</v>
      </c>
      <c r="D6694" s="835">
        <v>46052</v>
      </c>
      <c r="E6694" t="s" s="834">
        <v>478</v>
      </c>
      <c r="F6694" t="s" s="834">
        <v>478</v>
      </c>
      <c r="G6694" s="570"/>
      <c r="H6694" s="570"/>
      <c r="I6694" s="570"/>
      <c r="J6694" s="570"/>
      <c r="K6694" s="570"/>
    </row>
    <row r="6695" ht="13.75" customHeight="1">
      <c r="A6695" s="833">
        <v>323</v>
      </c>
      <c r="B6695" t="s" s="834">
        <v>4495</v>
      </c>
      <c r="C6695" t="s" s="834">
        <v>480</v>
      </c>
      <c r="D6695" s="835">
        <v>46053</v>
      </c>
      <c r="E6695" t="s" s="834">
        <v>478</v>
      </c>
      <c r="F6695" t="s" s="834">
        <v>478</v>
      </c>
      <c r="G6695" s="570"/>
      <c r="H6695" s="570"/>
      <c r="I6695" s="570"/>
      <c r="J6695" s="570"/>
      <c r="K6695" s="570"/>
    </row>
    <row r="6696" ht="13.75" customHeight="1">
      <c r="A6696" s="833">
        <v>323</v>
      </c>
      <c r="B6696" t="s" s="834">
        <v>4495</v>
      </c>
      <c r="C6696" t="s" s="834">
        <v>480</v>
      </c>
      <c r="D6696" s="835">
        <v>46054</v>
      </c>
      <c r="E6696" t="s" s="834">
        <v>478</v>
      </c>
      <c r="F6696" t="s" s="834">
        <v>478</v>
      </c>
      <c r="G6696" s="570"/>
      <c r="H6696" s="570"/>
      <c r="I6696" s="570"/>
      <c r="J6696" s="570"/>
      <c r="K6696" s="570"/>
    </row>
    <row r="6697" ht="13.75" customHeight="1">
      <c r="A6697" s="833">
        <v>324</v>
      </c>
      <c r="B6697" t="s" s="834">
        <v>346</v>
      </c>
      <c r="C6697" t="s" s="834">
        <v>480</v>
      </c>
      <c r="D6697" s="835">
        <v>46023</v>
      </c>
      <c r="E6697" t="s" s="834">
        <v>478</v>
      </c>
      <c r="F6697" t="s" s="834">
        <v>478</v>
      </c>
      <c r="G6697" t="s" s="863">
        <v>567</v>
      </c>
      <c r="H6697" t="s" s="837">
        <v>4251</v>
      </c>
      <c r="I6697" t="s" s="863">
        <v>567</v>
      </c>
      <c r="J6697" t="s" s="837">
        <v>4251</v>
      </c>
      <c r="K6697" s="570"/>
    </row>
    <row r="6698" ht="13.75" customHeight="1">
      <c r="A6698" s="833">
        <v>324</v>
      </c>
      <c r="B6698" t="s" s="834">
        <v>346</v>
      </c>
      <c r="C6698" t="s" s="834">
        <v>480</v>
      </c>
      <c r="D6698" s="835">
        <v>46024</v>
      </c>
      <c r="E6698" s="836">
        <v>1.498344907407407</v>
      </c>
      <c r="F6698" s="836">
        <v>1.754513888888889</v>
      </c>
      <c r="G6698" t="s" s="863">
        <v>567</v>
      </c>
      <c r="H6698" t="s" s="837">
        <v>1742</v>
      </c>
      <c r="I6698" s="570"/>
      <c r="J6698" s="570"/>
      <c r="K6698" s="570"/>
    </row>
    <row r="6699" ht="13.75" customHeight="1">
      <c r="A6699" t="s" s="838">
        <v>4496</v>
      </c>
      <c r="B6699" t="s" s="838">
        <v>4497</v>
      </c>
      <c r="C6699" t="s" s="838">
        <v>4498</v>
      </c>
      <c r="D6699" s="839"/>
      <c r="E6699" s="839"/>
      <c r="F6699" s="839"/>
      <c r="G6699" s="839"/>
      <c r="H6699" s="839"/>
      <c r="I6699" s="839"/>
      <c r="J6699" s="839"/>
      <c r="K6699" s="839"/>
    </row>
    <row r="6700" ht="13.75" customHeight="1">
      <c r="A6700" s="840">
        <v>324</v>
      </c>
      <c r="B6700" t="s" s="841">
        <v>346</v>
      </c>
      <c r="C6700" t="s" s="841">
        <v>480</v>
      </c>
      <c r="D6700" s="842">
        <v>46025</v>
      </c>
      <c r="E6700" t="s" s="841">
        <v>478</v>
      </c>
      <c r="F6700" t="s" s="841">
        <v>478</v>
      </c>
      <c r="G6700" t="s" s="869">
        <v>567</v>
      </c>
      <c r="H6700" t="s" s="844">
        <v>4205</v>
      </c>
      <c r="I6700" t="s" s="869">
        <v>567</v>
      </c>
      <c r="J6700" t="s" s="844">
        <v>4205</v>
      </c>
      <c r="K6700" s="846"/>
    </row>
    <row r="6701" ht="13.75" customHeight="1">
      <c r="A6701" s="840">
        <v>324</v>
      </c>
      <c r="B6701" t="s" s="841">
        <v>346</v>
      </c>
      <c r="C6701" t="s" s="841">
        <v>480</v>
      </c>
      <c r="D6701" s="842">
        <v>46026</v>
      </c>
      <c r="E6701" t="s" s="841">
        <v>478</v>
      </c>
      <c r="F6701" t="s" s="841">
        <v>478</v>
      </c>
      <c r="G6701" t="s" s="869">
        <v>567</v>
      </c>
      <c r="H6701" t="s" s="844">
        <v>4205</v>
      </c>
      <c r="I6701" t="s" s="869">
        <v>567</v>
      </c>
      <c r="J6701" t="s" s="844">
        <v>4205</v>
      </c>
      <c r="K6701" s="846"/>
    </row>
    <row r="6702" ht="13.75" customHeight="1">
      <c r="A6702" s="840">
        <v>324</v>
      </c>
      <c r="B6702" t="s" s="841">
        <v>346</v>
      </c>
      <c r="C6702" t="s" s="841">
        <v>480</v>
      </c>
      <c r="D6702" s="842">
        <v>46027</v>
      </c>
      <c r="E6702" s="843">
        <v>1.381805555555556</v>
      </c>
      <c r="F6702" t="s" s="841">
        <v>478</v>
      </c>
      <c r="G6702" t="s" s="869">
        <v>567</v>
      </c>
      <c r="H6702" t="s" s="844">
        <v>4175</v>
      </c>
      <c r="I6702" t="s" s="869">
        <v>567</v>
      </c>
      <c r="J6702" t="s" s="844">
        <v>4499</v>
      </c>
      <c r="K6702" s="846"/>
    </row>
    <row r="6703" ht="13.75" customHeight="1">
      <c r="A6703" t="s" s="847">
        <v>4500</v>
      </c>
      <c r="B6703" t="s" s="847">
        <v>485</v>
      </c>
      <c r="C6703" t="s" s="847">
        <v>486</v>
      </c>
      <c r="D6703" s="848"/>
      <c r="E6703" s="848"/>
      <c r="F6703" s="848"/>
      <c r="G6703" s="848"/>
      <c r="H6703" s="848"/>
      <c r="I6703" s="848"/>
      <c r="J6703" s="848"/>
      <c r="K6703" s="848"/>
    </row>
    <row r="6704" ht="13.75" customHeight="1">
      <c r="A6704" s="840">
        <v>324</v>
      </c>
      <c r="B6704" t="s" s="841">
        <v>346</v>
      </c>
      <c r="C6704" t="s" s="841">
        <v>480</v>
      </c>
      <c r="D6704" s="842">
        <v>46028</v>
      </c>
      <c r="E6704" s="843">
        <v>1.563263888888889</v>
      </c>
      <c r="F6704" s="843">
        <v>1.763321759259259</v>
      </c>
      <c r="G6704" t="s" s="869">
        <v>567</v>
      </c>
      <c r="H6704" t="s" s="844">
        <v>1742</v>
      </c>
      <c r="I6704" s="845"/>
      <c r="J6704" s="845"/>
      <c r="K6704" s="846"/>
    </row>
    <row r="6705" ht="13.75" customHeight="1">
      <c r="A6705" t="s" s="847">
        <v>4501</v>
      </c>
      <c r="B6705" t="s" s="847">
        <v>4502</v>
      </c>
      <c r="C6705" t="s" s="847">
        <v>3172</v>
      </c>
      <c r="D6705" s="848"/>
      <c r="E6705" s="848"/>
      <c r="F6705" s="848"/>
      <c r="G6705" s="848"/>
      <c r="H6705" s="848"/>
      <c r="I6705" s="848"/>
      <c r="J6705" s="848"/>
      <c r="K6705" s="848"/>
    </row>
    <row r="6706" ht="13.75" customHeight="1">
      <c r="A6706" s="840">
        <v>324</v>
      </c>
      <c r="B6706" t="s" s="841">
        <v>346</v>
      </c>
      <c r="C6706" t="s" s="841">
        <v>480</v>
      </c>
      <c r="D6706" s="842">
        <v>46029</v>
      </c>
      <c r="E6706" s="843">
        <v>1.790127314814815</v>
      </c>
      <c r="F6706" t="s" s="841">
        <v>478</v>
      </c>
      <c r="G6706" t="s" s="869">
        <v>567</v>
      </c>
      <c r="H6706" t="s" s="844">
        <v>4503</v>
      </c>
      <c r="I6706" s="845"/>
      <c r="J6706" s="845"/>
      <c r="K6706" s="846"/>
    </row>
    <row r="6707" ht="13.75" customHeight="1">
      <c r="A6707" t="s" s="847">
        <v>4504</v>
      </c>
      <c r="B6707" t="s" s="847">
        <v>485</v>
      </c>
      <c r="C6707" t="s" s="847">
        <v>486</v>
      </c>
      <c r="D6707" s="848"/>
      <c r="E6707" s="848"/>
      <c r="F6707" s="848"/>
      <c r="G6707" s="848"/>
      <c r="H6707" s="848"/>
      <c r="I6707" s="848"/>
      <c r="J6707" s="848"/>
      <c r="K6707" s="848"/>
    </row>
    <row r="6708" ht="13.75" customHeight="1">
      <c r="A6708" s="840">
        <v>324</v>
      </c>
      <c r="B6708" t="s" s="841">
        <v>346</v>
      </c>
      <c r="C6708" t="s" s="841">
        <v>480</v>
      </c>
      <c r="D6708" s="842">
        <v>46030</v>
      </c>
      <c r="E6708" s="843">
        <v>1.351481481481482</v>
      </c>
      <c r="F6708" s="843">
        <v>1.767210648148148</v>
      </c>
      <c r="G6708" s="845"/>
      <c r="H6708" s="845"/>
      <c r="I6708" s="845"/>
      <c r="J6708" s="845"/>
      <c r="K6708" s="846"/>
    </row>
    <row r="6709" ht="13.75" customHeight="1">
      <c r="A6709" t="s" s="847">
        <v>4505</v>
      </c>
      <c r="B6709" t="s" s="847">
        <v>4506</v>
      </c>
      <c r="C6709" t="s" s="847">
        <v>652</v>
      </c>
      <c r="D6709" s="848"/>
      <c r="E6709" s="848"/>
      <c r="F6709" s="848"/>
      <c r="G6709" s="848"/>
      <c r="H6709" s="848"/>
      <c r="I6709" s="848"/>
      <c r="J6709" s="848"/>
      <c r="K6709" s="848"/>
    </row>
    <row r="6710" ht="13.75" customHeight="1">
      <c r="A6710" s="840">
        <v>324</v>
      </c>
      <c r="B6710" t="s" s="841">
        <v>346</v>
      </c>
      <c r="C6710" t="s" s="841">
        <v>480</v>
      </c>
      <c r="D6710" s="842">
        <v>46031</v>
      </c>
      <c r="E6710" s="843">
        <v>1.35943287037037</v>
      </c>
      <c r="F6710" s="843">
        <v>1.768773148148148</v>
      </c>
      <c r="G6710" t="s" s="869">
        <v>567</v>
      </c>
      <c r="H6710" t="s" s="844">
        <v>587</v>
      </c>
      <c r="I6710" s="845"/>
      <c r="J6710" s="845"/>
      <c r="K6710" s="846"/>
    </row>
    <row r="6711" ht="13.75" customHeight="1">
      <c r="A6711" t="s" s="847">
        <v>4507</v>
      </c>
      <c r="B6711" t="s" s="847">
        <v>4508</v>
      </c>
      <c r="C6711" t="s" s="847">
        <v>600</v>
      </c>
      <c r="D6711" s="848"/>
      <c r="E6711" s="848"/>
      <c r="F6711" s="848"/>
      <c r="G6711" s="848"/>
      <c r="H6711" s="848"/>
      <c r="I6711" s="848"/>
      <c r="J6711" s="848"/>
      <c r="K6711" s="848"/>
    </row>
    <row r="6712" ht="13.75" customHeight="1">
      <c r="A6712" s="840">
        <v>324</v>
      </c>
      <c r="B6712" t="s" s="841">
        <v>346</v>
      </c>
      <c r="C6712" t="s" s="841">
        <v>480</v>
      </c>
      <c r="D6712" s="842">
        <v>46032</v>
      </c>
      <c r="E6712" t="s" s="841">
        <v>478</v>
      </c>
      <c r="F6712" t="s" s="841">
        <v>478</v>
      </c>
      <c r="G6712" t="s" s="869">
        <v>567</v>
      </c>
      <c r="H6712" t="s" s="844">
        <v>4205</v>
      </c>
      <c r="I6712" t="s" s="869">
        <v>567</v>
      </c>
      <c r="J6712" t="s" s="844">
        <v>4205</v>
      </c>
      <c r="K6712" s="846"/>
    </row>
    <row r="6713" ht="13.75" customHeight="1">
      <c r="A6713" s="840">
        <v>324</v>
      </c>
      <c r="B6713" t="s" s="841">
        <v>346</v>
      </c>
      <c r="C6713" t="s" s="841">
        <v>480</v>
      </c>
      <c r="D6713" s="842">
        <v>46033</v>
      </c>
      <c r="E6713" t="s" s="841">
        <v>478</v>
      </c>
      <c r="F6713" t="s" s="841">
        <v>478</v>
      </c>
      <c r="G6713" t="s" s="869">
        <v>567</v>
      </c>
      <c r="H6713" t="s" s="844">
        <v>4205</v>
      </c>
      <c r="I6713" t="s" s="869">
        <v>567</v>
      </c>
      <c r="J6713" t="s" s="844">
        <v>4205</v>
      </c>
      <c r="K6713" s="846"/>
    </row>
    <row r="6714" ht="13.75" customHeight="1">
      <c r="A6714" s="840">
        <v>324</v>
      </c>
      <c r="B6714" t="s" s="841">
        <v>346</v>
      </c>
      <c r="C6714" t="s" s="841">
        <v>480</v>
      </c>
      <c r="D6714" s="842">
        <v>46034</v>
      </c>
      <c r="E6714" s="843">
        <v>1.3403125</v>
      </c>
      <c r="F6714" s="843">
        <v>1.3675</v>
      </c>
      <c r="G6714" s="845"/>
      <c r="H6714" s="845"/>
      <c r="I6714" s="845"/>
      <c r="J6714" s="845"/>
      <c r="K6714" s="846"/>
    </row>
    <row r="6715" ht="13.75" customHeight="1">
      <c r="A6715" t="s" s="847">
        <v>4509</v>
      </c>
      <c r="B6715" t="s" s="847">
        <v>4510</v>
      </c>
      <c r="C6715" t="s" s="847">
        <v>4511</v>
      </c>
      <c r="D6715" s="848"/>
      <c r="E6715" s="848"/>
      <c r="F6715" s="848"/>
      <c r="G6715" s="848"/>
      <c r="H6715" s="848"/>
      <c r="I6715" s="848"/>
      <c r="J6715" s="848"/>
      <c r="K6715" s="848"/>
    </row>
    <row r="6716" ht="13.75" customHeight="1">
      <c r="A6716" s="840">
        <v>324</v>
      </c>
      <c r="B6716" t="s" s="841">
        <v>346</v>
      </c>
      <c r="C6716" t="s" s="841">
        <v>480</v>
      </c>
      <c r="D6716" s="842">
        <v>46035</v>
      </c>
      <c r="E6716" t="s" s="841">
        <v>478</v>
      </c>
      <c r="F6716" t="s" s="841">
        <v>478</v>
      </c>
      <c r="G6716" t="s" s="869">
        <v>567</v>
      </c>
      <c r="H6716" s="845"/>
      <c r="I6716" t="s" s="869">
        <v>567</v>
      </c>
      <c r="J6716" s="845"/>
      <c r="K6716" s="846"/>
    </row>
    <row r="6717" ht="13.75" customHeight="1">
      <c r="A6717" s="865">
        <v>324</v>
      </c>
      <c r="B6717" t="s" s="849">
        <v>346</v>
      </c>
      <c r="C6717" t="s" s="849">
        <v>480</v>
      </c>
      <c r="D6717" s="866">
        <v>46036</v>
      </c>
      <c r="E6717" s="867">
        <v>1.769467592592592</v>
      </c>
      <c r="F6717" t="s" s="849">
        <v>478</v>
      </c>
      <c r="G6717" s="633"/>
      <c r="H6717" s="633"/>
      <c r="I6717" s="633"/>
      <c r="J6717" s="633"/>
      <c r="K6717" s="633"/>
    </row>
    <row r="6718" ht="13.75" customHeight="1">
      <c r="A6718" t="s" s="834">
        <v>4512</v>
      </c>
      <c r="B6718" t="s" s="834">
        <v>485</v>
      </c>
      <c r="C6718" t="s" s="834">
        <v>486</v>
      </c>
      <c r="D6718" s="570"/>
      <c r="E6718" s="570"/>
      <c r="F6718" s="570"/>
      <c r="G6718" s="570"/>
      <c r="H6718" s="570"/>
      <c r="I6718" s="570"/>
      <c r="J6718" s="570"/>
      <c r="K6718" s="570"/>
    </row>
    <row r="6719" ht="13.75" customHeight="1">
      <c r="A6719" s="833">
        <v>324</v>
      </c>
      <c r="B6719" t="s" s="834">
        <v>346</v>
      </c>
      <c r="C6719" t="s" s="834">
        <v>480</v>
      </c>
      <c r="D6719" s="835">
        <v>46037</v>
      </c>
      <c r="E6719" s="836">
        <v>1.350949074074074</v>
      </c>
      <c r="F6719" s="836">
        <v>1.757048611111111</v>
      </c>
      <c r="G6719" s="570"/>
      <c r="H6719" s="570"/>
      <c r="I6719" s="570"/>
      <c r="J6719" s="570"/>
      <c r="K6719" s="570"/>
    </row>
    <row r="6720" ht="13.75" customHeight="1">
      <c r="A6720" t="s" s="834">
        <v>4513</v>
      </c>
      <c r="B6720" t="s" s="834">
        <v>4514</v>
      </c>
      <c r="C6720" t="s" s="834">
        <v>603</v>
      </c>
      <c r="D6720" s="570"/>
      <c r="E6720" s="570"/>
      <c r="F6720" s="570"/>
      <c r="G6720" s="570"/>
      <c r="H6720" s="570"/>
      <c r="I6720" s="570"/>
      <c r="J6720" s="570"/>
      <c r="K6720" s="570"/>
    </row>
    <row r="6721" ht="13.75" customHeight="1">
      <c r="A6721" s="833">
        <v>324</v>
      </c>
      <c r="B6721" t="s" s="834">
        <v>346</v>
      </c>
      <c r="C6721" t="s" s="834">
        <v>480</v>
      </c>
      <c r="D6721" s="835">
        <v>46038</v>
      </c>
      <c r="E6721" s="836">
        <v>1.357881944444444</v>
      </c>
      <c r="F6721" s="836">
        <v>1.357916666666667</v>
      </c>
      <c r="G6721" t="s" s="863">
        <v>567</v>
      </c>
      <c r="H6721" t="s" s="837">
        <v>587</v>
      </c>
      <c r="I6721" s="570"/>
      <c r="J6721" s="570"/>
      <c r="K6721" s="570"/>
    </row>
    <row r="6722" ht="13.75" customHeight="1">
      <c r="A6722" t="s" s="834">
        <v>4515</v>
      </c>
      <c r="B6722" t="s" s="834">
        <v>4516</v>
      </c>
      <c r="C6722" t="s" s="834">
        <v>486</v>
      </c>
      <c r="D6722" s="570"/>
      <c r="E6722" s="570"/>
      <c r="F6722" s="570"/>
      <c r="G6722" s="570"/>
      <c r="H6722" s="570"/>
      <c r="I6722" s="570"/>
      <c r="J6722" s="570"/>
      <c r="K6722" s="570"/>
    </row>
    <row r="6723" ht="13.75" customHeight="1">
      <c r="A6723" s="833">
        <v>324</v>
      </c>
      <c r="B6723" t="s" s="834">
        <v>346</v>
      </c>
      <c r="C6723" t="s" s="834">
        <v>480</v>
      </c>
      <c r="D6723" s="835">
        <v>46039</v>
      </c>
      <c r="E6723" t="s" s="834">
        <v>478</v>
      </c>
      <c r="F6723" t="s" s="834">
        <v>478</v>
      </c>
      <c r="G6723" t="s" s="863">
        <v>567</v>
      </c>
      <c r="H6723" t="s" s="837">
        <v>4205</v>
      </c>
      <c r="I6723" t="s" s="863">
        <v>567</v>
      </c>
      <c r="J6723" t="s" s="837">
        <v>4205</v>
      </c>
      <c r="K6723" s="570"/>
    </row>
    <row r="6724" ht="13.75" customHeight="1">
      <c r="A6724" s="833">
        <v>324</v>
      </c>
      <c r="B6724" t="s" s="834">
        <v>346</v>
      </c>
      <c r="C6724" t="s" s="834">
        <v>480</v>
      </c>
      <c r="D6724" s="835">
        <v>46040</v>
      </c>
      <c r="E6724" t="s" s="834">
        <v>478</v>
      </c>
      <c r="F6724" t="s" s="834">
        <v>478</v>
      </c>
      <c r="G6724" t="s" s="863">
        <v>567</v>
      </c>
      <c r="H6724" t="s" s="837">
        <v>4205</v>
      </c>
      <c r="I6724" t="s" s="863">
        <v>567</v>
      </c>
      <c r="J6724" t="s" s="837">
        <v>4205</v>
      </c>
      <c r="K6724" s="570"/>
    </row>
    <row r="6725" ht="13.75" customHeight="1">
      <c r="A6725" s="833">
        <v>324</v>
      </c>
      <c r="B6725" t="s" s="834">
        <v>346</v>
      </c>
      <c r="C6725" t="s" s="834">
        <v>480</v>
      </c>
      <c r="D6725" s="835">
        <v>46041</v>
      </c>
      <c r="E6725" s="836">
        <v>1.366631944444444</v>
      </c>
      <c r="F6725" s="836">
        <v>1.76224537037037</v>
      </c>
      <c r="G6725" t="s" s="863">
        <v>567</v>
      </c>
      <c r="H6725" t="s" s="837">
        <v>587</v>
      </c>
      <c r="I6725" s="570"/>
      <c r="J6725" s="570"/>
      <c r="K6725" s="570"/>
    </row>
    <row r="6726" ht="13.75" customHeight="1">
      <c r="A6726" t="s" s="834">
        <v>4517</v>
      </c>
      <c r="B6726" t="s" s="834">
        <v>4518</v>
      </c>
      <c r="C6726" t="s" s="834">
        <v>634</v>
      </c>
      <c r="D6726" s="570"/>
      <c r="E6726" s="570"/>
      <c r="F6726" s="570"/>
      <c r="G6726" s="570"/>
      <c r="H6726" s="570"/>
      <c r="I6726" s="570"/>
      <c r="J6726" s="570"/>
      <c r="K6726" s="570"/>
    </row>
    <row r="6727" ht="13.75" customHeight="1">
      <c r="A6727" s="833">
        <v>324</v>
      </c>
      <c r="B6727" t="s" s="834">
        <v>346</v>
      </c>
      <c r="C6727" t="s" s="834">
        <v>480</v>
      </c>
      <c r="D6727" s="835">
        <v>46042</v>
      </c>
      <c r="E6727" s="836">
        <v>1.348657407407407</v>
      </c>
      <c r="F6727" s="836">
        <v>1.783564814814815</v>
      </c>
      <c r="G6727" s="570"/>
      <c r="H6727" s="570"/>
      <c r="I6727" s="570"/>
      <c r="J6727" s="570"/>
      <c r="K6727" s="570"/>
    </row>
    <row r="6728" ht="13.75" customHeight="1">
      <c r="A6728" t="s" s="834">
        <v>4519</v>
      </c>
      <c r="B6728" t="s" s="834">
        <v>4520</v>
      </c>
      <c r="C6728" t="s" s="834">
        <v>1141</v>
      </c>
      <c r="D6728" s="570"/>
      <c r="E6728" s="570"/>
      <c r="F6728" s="570"/>
      <c r="G6728" s="570"/>
      <c r="H6728" s="570"/>
      <c r="I6728" s="570"/>
      <c r="J6728" s="570"/>
      <c r="K6728" s="570"/>
    </row>
    <row r="6729" ht="13.75" customHeight="1">
      <c r="A6729" s="833">
        <v>324</v>
      </c>
      <c r="B6729" t="s" s="834">
        <v>346</v>
      </c>
      <c r="C6729" t="s" s="834">
        <v>480</v>
      </c>
      <c r="D6729" s="835">
        <v>46043</v>
      </c>
      <c r="E6729" s="836">
        <v>1.350486111111111</v>
      </c>
      <c r="F6729" s="836">
        <v>1.753460648148148</v>
      </c>
      <c r="G6729" s="570"/>
      <c r="H6729" s="570"/>
      <c r="I6729" s="570"/>
      <c r="J6729" s="570"/>
      <c r="K6729" s="570"/>
    </row>
    <row r="6730" ht="13.75" customHeight="1">
      <c r="A6730" t="s" s="834">
        <v>4521</v>
      </c>
      <c r="B6730" t="s" s="834">
        <v>4522</v>
      </c>
      <c r="C6730" t="s" s="834">
        <v>861</v>
      </c>
      <c r="D6730" s="570"/>
      <c r="E6730" s="570"/>
      <c r="F6730" s="570"/>
      <c r="G6730" s="570"/>
      <c r="H6730" s="570"/>
      <c r="I6730" s="570"/>
      <c r="J6730" s="570"/>
      <c r="K6730" s="570"/>
    </row>
    <row r="6731" ht="13.75" customHeight="1">
      <c r="A6731" s="833">
        <v>324</v>
      </c>
      <c r="B6731" t="s" s="834">
        <v>346</v>
      </c>
      <c r="C6731" t="s" s="834">
        <v>480</v>
      </c>
      <c r="D6731" s="835">
        <v>46044</v>
      </c>
      <c r="E6731" s="836">
        <v>1.351087962962963</v>
      </c>
      <c r="F6731" s="836">
        <v>1.770266203703704</v>
      </c>
      <c r="G6731" s="570"/>
      <c r="H6731" s="570"/>
      <c r="I6731" s="570"/>
      <c r="J6731" s="570"/>
      <c r="K6731" s="570"/>
    </row>
    <row r="6732" ht="13.75" customHeight="1">
      <c r="A6732" t="s" s="834">
        <v>4523</v>
      </c>
      <c r="B6732" t="s" s="834">
        <v>4524</v>
      </c>
      <c r="C6732" t="s" s="834">
        <v>1016</v>
      </c>
      <c r="D6732" s="570"/>
      <c r="E6732" s="570"/>
      <c r="F6732" s="570"/>
      <c r="G6732" s="570"/>
      <c r="H6732" s="570"/>
      <c r="I6732" s="570"/>
      <c r="J6732" s="570"/>
      <c r="K6732" s="570"/>
    </row>
    <row r="6733" ht="13.75" customHeight="1">
      <c r="A6733" s="833">
        <v>324</v>
      </c>
      <c r="B6733" t="s" s="834">
        <v>346</v>
      </c>
      <c r="C6733" t="s" s="834">
        <v>480</v>
      </c>
      <c r="D6733" s="835">
        <v>46045</v>
      </c>
      <c r="E6733" t="s" s="834">
        <v>478</v>
      </c>
      <c r="F6733" t="s" s="834">
        <v>478</v>
      </c>
      <c r="G6733" t="s" s="863">
        <v>567</v>
      </c>
      <c r="H6733" t="s" s="837">
        <v>1712</v>
      </c>
      <c r="I6733" t="s" s="863">
        <v>567</v>
      </c>
      <c r="J6733" t="s" s="837">
        <v>1712</v>
      </c>
      <c r="K6733" s="570"/>
    </row>
    <row r="6734" ht="13.75" customHeight="1">
      <c r="A6734" s="833">
        <v>324</v>
      </c>
      <c r="B6734" t="s" s="834">
        <v>346</v>
      </c>
      <c r="C6734" t="s" s="834">
        <v>480</v>
      </c>
      <c r="D6734" s="835">
        <v>46046</v>
      </c>
      <c r="E6734" t="s" s="834">
        <v>478</v>
      </c>
      <c r="F6734" t="s" s="834">
        <v>478</v>
      </c>
      <c r="G6734" t="s" s="863">
        <v>567</v>
      </c>
      <c r="H6734" t="s" s="837">
        <v>4205</v>
      </c>
      <c r="I6734" t="s" s="863">
        <v>567</v>
      </c>
      <c r="J6734" t="s" s="837">
        <v>4205</v>
      </c>
      <c r="K6734" s="570"/>
    </row>
    <row r="6735" ht="13.75" customHeight="1">
      <c r="A6735" s="833">
        <v>324</v>
      </c>
      <c r="B6735" t="s" s="834">
        <v>346</v>
      </c>
      <c r="C6735" t="s" s="834">
        <v>480</v>
      </c>
      <c r="D6735" s="835">
        <v>46047</v>
      </c>
      <c r="E6735" t="s" s="834">
        <v>478</v>
      </c>
      <c r="F6735" t="s" s="834">
        <v>478</v>
      </c>
      <c r="G6735" t="s" s="863">
        <v>567</v>
      </c>
      <c r="H6735" t="s" s="837">
        <v>4205</v>
      </c>
      <c r="I6735" t="s" s="863">
        <v>567</v>
      </c>
      <c r="J6735" t="s" s="837">
        <v>4205</v>
      </c>
      <c r="K6735" s="570"/>
    </row>
    <row r="6736" ht="13.75" customHeight="1">
      <c r="A6736" s="833">
        <v>324</v>
      </c>
      <c r="B6736" t="s" s="834">
        <v>346</v>
      </c>
      <c r="C6736" t="s" s="834">
        <v>480</v>
      </c>
      <c r="D6736" s="835">
        <v>46048</v>
      </c>
      <c r="E6736" s="836">
        <v>1.366388888888889</v>
      </c>
      <c r="F6736" s="836">
        <v>1.760856481481481</v>
      </c>
      <c r="G6736" t="s" s="863">
        <v>567</v>
      </c>
      <c r="H6736" t="s" s="837">
        <v>587</v>
      </c>
      <c r="I6736" s="570"/>
      <c r="J6736" s="570"/>
      <c r="K6736" s="570"/>
    </row>
    <row r="6737" ht="13.75" customHeight="1">
      <c r="A6737" t="s" s="834">
        <v>4525</v>
      </c>
      <c r="B6737" t="s" s="834">
        <v>4526</v>
      </c>
      <c r="C6737" t="s" s="834">
        <v>512</v>
      </c>
      <c r="D6737" s="570"/>
      <c r="E6737" s="570"/>
      <c r="F6737" s="570"/>
      <c r="G6737" s="570"/>
      <c r="H6737" s="570"/>
      <c r="I6737" s="570"/>
      <c r="J6737" s="570"/>
      <c r="K6737" s="570"/>
    </row>
    <row r="6738" ht="13.75" customHeight="1">
      <c r="A6738" s="833">
        <v>324</v>
      </c>
      <c r="B6738" t="s" s="834">
        <v>346</v>
      </c>
      <c r="C6738" t="s" s="834">
        <v>480</v>
      </c>
      <c r="D6738" s="835">
        <v>46049</v>
      </c>
      <c r="E6738" s="836">
        <v>1.349976851851852</v>
      </c>
      <c r="F6738" s="836">
        <v>1.755474537037037</v>
      </c>
      <c r="G6738" s="570"/>
      <c r="H6738" s="570"/>
      <c r="I6738" s="570"/>
      <c r="J6738" s="570"/>
      <c r="K6738" s="570"/>
    </row>
    <row r="6739" ht="13.75" customHeight="1">
      <c r="A6739" t="s" s="834">
        <v>4527</v>
      </c>
      <c r="B6739" t="s" s="834">
        <v>4528</v>
      </c>
      <c r="C6739" t="s" s="834">
        <v>1601</v>
      </c>
      <c r="D6739" s="570"/>
      <c r="E6739" s="570"/>
      <c r="F6739" s="570"/>
      <c r="G6739" s="570"/>
      <c r="H6739" s="570"/>
      <c r="I6739" s="570"/>
      <c r="J6739" s="570"/>
      <c r="K6739" s="570"/>
    </row>
    <row r="6740" ht="13.75" customHeight="1">
      <c r="A6740" s="833">
        <v>324</v>
      </c>
      <c r="B6740" t="s" s="834">
        <v>346</v>
      </c>
      <c r="C6740" t="s" s="834">
        <v>480</v>
      </c>
      <c r="D6740" s="835">
        <v>46050</v>
      </c>
      <c r="E6740" s="836">
        <v>1.343125</v>
      </c>
      <c r="F6740" s="836">
        <v>1.775208333333333</v>
      </c>
      <c r="G6740" s="570"/>
      <c r="H6740" s="570"/>
      <c r="I6740" s="570"/>
      <c r="J6740" s="570"/>
      <c r="K6740" s="570"/>
    </row>
    <row r="6741" ht="13.75" customHeight="1">
      <c r="A6741" t="s" s="834">
        <v>4529</v>
      </c>
      <c r="B6741" t="s" s="834">
        <v>4530</v>
      </c>
      <c r="C6741" t="s" s="834">
        <v>1828</v>
      </c>
      <c r="D6741" s="570"/>
      <c r="E6741" s="570"/>
      <c r="F6741" s="570"/>
      <c r="G6741" s="570"/>
      <c r="H6741" s="570"/>
      <c r="I6741" s="570"/>
      <c r="J6741" s="570"/>
      <c r="K6741" s="570"/>
    </row>
    <row r="6742" ht="13.75" customHeight="1">
      <c r="A6742" s="833">
        <v>324</v>
      </c>
      <c r="B6742" t="s" s="834">
        <v>346</v>
      </c>
      <c r="C6742" t="s" s="834">
        <v>480</v>
      </c>
      <c r="D6742" s="835">
        <v>46051</v>
      </c>
      <c r="E6742" s="836">
        <v>1.350185185185185</v>
      </c>
      <c r="F6742" s="836">
        <v>1.765752314814815</v>
      </c>
      <c r="G6742" s="570"/>
      <c r="H6742" s="570"/>
      <c r="I6742" s="570"/>
      <c r="J6742" s="570"/>
      <c r="K6742" s="570"/>
    </row>
    <row r="6743" ht="13.75" customHeight="1">
      <c r="A6743" t="s" s="834">
        <v>4531</v>
      </c>
      <c r="B6743" t="s" s="834">
        <v>4532</v>
      </c>
      <c r="C6743" t="s" s="834">
        <v>1124</v>
      </c>
      <c r="D6743" s="570"/>
      <c r="E6743" s="570"/>
      <c r="F6743" s="570"/>
      <c r="G6743" s="570"/>
      <c r="H6743" s="570"/>
      <c r="I6743" s="570"/>
      <c r="J6743" s="570"/>
      <c r="K6743" s="570"/>
    </row>
    <row r="6744" ht="13.75" customHeight="1">
      <c r="A6744" s="833">
        <v>324</v>
      </c>
      <c r="B6744" t="s" s="834">
        <v>346</v>
      </c>
      <c r="C6744" t="s" s="834">
        <v>480</v>
      </c>
      <c r="D6744" s="835">
        <v>46052</v>
      </c>
      <c r="E6744" s="836">
        <v>1.351828703703704</v>
      </c>
      <c r="F6744" s="836">
        <v>1.763854166666667</v>
      </c>
      <c r="G6744" s="570"/>
      <c r="H6744" s="570"/>
      <c r="I6744" s="570"/>
      <c r="J6744" s="570"/>
      <c r="K6744" s="570"/>
    </row>
    <row r="6745" ht="13.75" customHeight="1">
      <c r="A6745" t="s" s="834">
        <v>4533</v>
      </c>
      <c r="B6745" t="s" s="834">
        <v>4534</v>
      </c>
      <c r="C6745" t="s" s="834">
        <v>597</v>
      </c>
      <c r="D6745" s="570"/>
      <c r="E6745" s="570"/>
      <c r="F6745" s="570"/>
      <c r="G6745" s="570"/>
      <c r="H6745" s="570"/>
      <c r="I6745" s="570"/>
      <c r="J6745" s="570"/>
      <c r="K6745" s="570"/>
    </row>
    <row r="6746" ht="13.75" customHeight="1">
      <c r="A6746" s="833">
        <v>324</v>
      </c>
      <c r="B6746" t="s" s="834">
        <v>346</v>
      </c>
      <c r="C6746" t="s" s="834">
        <v>480</v>
      </c>
      <c r="D6746" s="835">
        <v>46053</v>
      </c>
      <c r="E6746" t="s" s="834">
        <v>478</v>
      </c>
      <c r="F6746" t="s" s="834">
        <v>478</v>
      </c>
      <c r="G6746" t="s" s="863">
        <v>567</v>
      </c>
      <c r="H6746" t="s" s="837">
        <v>4205</v>
      </c>
      <c r="I6746" t="s" s="863">
        <v>567</v>
      </c>
      <c r="J6746" t="s" s="837">
        <v>4205</v>
      </c>
      <c r="K6746" s="570"/>
    </row>
    <row r="6747" ht="13.75" customHeight="1">
      <c r="A6747" s="851">
        <v>325</v>
      </c>
      <c r="B6747" t="s" s="838">
        <v>164</v>
      </c>
      <c r="C6747" t="s" s="838">
        <v>1528</v>
      </c>
      <c r="D6747" s="852">
        <v>46023</v>
      </c>
      <c r="E6747" t="s" s="838">
        <v>478</v>
      </c>
      <c r="F6747" t="s" s="838">
        <v>478</v>
      </c>
      <c r="G6747" t="s" s="853">
        <v>1710</v>
      </c>
      <c r="H6747" t="s" s="853">
        <v>4157</v>
      </c>
      <c r="I6747" t="s" s="853">
        <v>1710</v>
      </c>
      <c r="J6747" t="s" s="853">
        <v>4157</v>
      </c>
      <c r="K6747" s="570"/>
    </row>
    <row r="6748" ht="13.75" customHeight="1">
      <c r="A6748" s="840">
        <v>325</v>
      </c>
      <c r="B6748" t="s" s="841">
        <v>164</v>
      </c>
      <c r="C6748" t="s" s="841">
        <v>1528</v>
      </c>
      <c r="D6748" s="842">
        <v>46024</v>
      </c>
      <c r="E6748" s="843">
        <v>1.564699074074074</v>
      </c>
      <c r="F6748" s="843">
        <v>1.758622685185185</v>
      </c>
      <c r="G6748" t="s" s="844">
        <v>1710</v>
      </c>
      <c r="H6748" t="s" s="844">
        <v>1712</v>
      </c>
      <c r="I6748" s="845"/>
      <c r="J6748" s="845"/>
      <c r="K6748" s="858"/>
    </row>
    <row r="6749" ht="13.75" customHeight="1">
      <c r="A6749" t="s" s="849">
        <v>4535</v>
      </c>
      <c r="B6749" t="s" s="849">
        <v>4536</v>
      </c>
      <c r="C6749" t="s" s="849">
        <v>3284</v>
      </c>
      <c r="D6749" s="633"/>
      <c r="E6749" s="633"/>
      <c r="F6749" s="633"/>
      <c r="G6749" s="633"/>
      <c r="H6749" s="633"/>
      <c r="I6749" s="633"/>
      <c r="J6749" s="633"/>
      <c r="K6749" s="570"/>
    </row>
    <row r="6750" ht="13.75" customHeight="1">
      <c r="A6750" s="833">
        <v>325</v>
      </c>
      <c r="B6750" t="s" s="834">
        <v>164</v>
      </c>
      <c r="C6750" t="s" s="834">
        <v>1528</v>
      </c>
      <c r="D6750" s="835">
        <v>46025</v>
      </c>
      <c r="E6750" t="s" s="834">
        <v>478</v>
      </c>
      <c r="F6750" t="s" s="834">
        <v>478</v>
      </c>
      <c r="G6750" t="s" s="837">
        <v>1710</v>
      </c>
      <c r="H6750" t="s" s="837">
        <v>570</v>
      </c>
      <c r="I6750" t="s" s="837">
        <v>1710</v>
      </c>
      <c r="J6750" t="s" s="837">
        <v>570</v>
      </c>
      <c r="K6750" s="570"/>
    </row>
    <row r="6751" ht="13.75" customHeight="1">
      <c r="A6751" s="833">
        <v>325</v>
      </c>
      <c r="B6751" t="s" s="834">
        <v>164</v>
      </c>
      <c r="C6751" t="s" s="834">
        <v>1528</v>
      </c>
      <c r="D6751" s="835">
        <v>46026</v>
      </c>
      <c r="E6751" t="s" s="834">
        <v>478</v>
      </c>
      <c r="F6751" t="s" s="834">
        <v>478</v>
      </c>
      <c r="G6751" t="s" s="837">
        <v>1710</v>
      </c>
      <c r="H6751" t="s" s="837">
        <v>570</v>
      </c>
      <c r="I6751" t="s" s="837">
        <v>1710</v>
      </c>
      <c r="J6751" t="s" s="837">
        <v>570</v>
      </c>
      <c r="K6751" s="570"/>
    </row>
    <row r="6752" ht="13.75" customHeight="1">
      <c r="A6752" s="833">
        <v>325</v>
      </c>
      <c r="B6752" t="s" s="834">
        <v>164</v>
      </c>
      <c r="C6752" t="s" s="834">
        <v>1528</v>
      </c>
      <c r="D6752" s="835">
        <v>46027</v>
      </c>
      <c r="E6752" s="836">
        <v>1.353587962962963</v>
      </c>
      <c r="F6752" s="836">
        <v>1.757592592592593</v>
      </c>
      <c r="G6752" s="570"/>
      <c r="H6752" s="570"/>
      <c r="I6752" s="570"/>
      <c r="J6752" s="570"/>
      <c r="K6752" s="570"/>
    </row>
    <row r="6753" ht="13.75" customHeight="1">
      <c r="A6753" t="s" s="834">
        <v>4537</v>
      </c>
      <c r="B6753" t="s" s="834">
        <v>4538</v>
      </c>
      <c r="C6753" t="s" s="834">
        <v>493</v>
      </c>
      <c r="D6753" s="570"/>
      <c r="E6753" s="570"/>
      <c r="F6753" s="570"/>
      <c r="G6753" s="570"/>
      <c r="H6753" s="570"/>
      <c r="I6753" s="570"/>
      <c r="J6753" s="570"/>
      <c r="K6753" s="570"/>
    </row>
    <row r="6754" ht="13.75" customHeight="1">
      <c r="A6754" s="833">
        <v>325</v>
      </c>
      <c r="B6754" t="s" s="834">
        <v>164</v>
      </c>
      <c r="C6754" t="s" s="834">
        <v>1528</v>
      </c>
      <c r="D6754" s="835">
        <v>46028</v>
      </c>
      <c r="E6754" s="836">
        <v>1.568576388888889</v>
      </c>
      <c r="F6754" s="836">
        <v>1.764120370370371</v>
      </c>
      <c r="G6754" t="s" s="837">
        <v>1710</v>
      </c>
      <c r="H6754" t="s" s="837">
        <v>1742</v>
      </c>
      <c r="I6754" s="570"/>
      <c r="J6754" s="570"/>
      <c r="K6754" s="570"/>
    </row>
    <row r="6755" ht="13.75" customHeight="1">
      <c r="A6755" t="s" s="834">
        <v>4539</v>
      </c>
      <c r="B6755" t="s" s="834">
        <v>4540</v>
      </c>
      <c r="C6755" t="s" s="834">
        <v>1333</v>
      </c>
      <c r="D6755" s="570"/>
      <c r="E6755" s="570"/>
      <c r="F6755" s="570"/>
      <c r="G6755" s="570"/>
      <c r="H6755" s="570"/>
      <c r="I6755" s="570"/>
      <c r="J6755" s="570"/>
      <c r="K6755" s="570"/>
    </row>
    <row r="6756" ht="13.75" customHeight="1">
      <c r="A6756" s="833">
        <v>325</v>
      </c>
      <c r="B6756" t="s" s="834">
        <v>164</v>
      </c>
      <c r="C6756" t="s" s="834">
        <v>1528</v>
      </c>
      <c r="D6756" s="835">
        <v>46029</v>
      </c>
      <c r="E6756" s="836">
        <v>1.399270833333333</v>
      </c>
      <c r="F6756" s="836">
        <v>1.758298611111111</v>
      </c>
      <c r="G6756" t="s" s="837">
        <v>1710</v>
      </c>
      <c r="H6756" t="s" s="837">
        <v>4175</v>
      </c>
      <c r="I6756" s="570"/>
      <c r="J6756" s="570"/>
      <c r="K6756" s="570"/>
    </row>
    <row r="6757" ht="13.75" customHeight="1">
      <c r="A6757" t="s" s="834">
        <v>4541</v>
      </c>
      <c r="B6757" t="s" s="834">
        <v>4542</v>
      </c>
      <c r="C6757" t="s" s="834">
        <v>4543</v>
      </c>
      <c r="D6757" s="570"/>
      <c r="E6757" s="570"/>
      <c r="F6757" s="570"/>
      <c r="G6757" s="570"/>
      <c r="H6757" s="570"/>
      <c r="I6757" s="570"/>
      <c r="J6757" s="570"/>
      <c r="K6757" s="570"/>
    </row>
    <row r="6758" ht="13.75" customHeight="1">
      <c r="A6758" s="833">
        <v>325</v>
      </c>
      <c r="B6758" t="s" s="834">
        <v>164</v>
      </c>
      <c r="C6758" t="s" s="834">
        <v>1528</v>
      </c>
      <c r="D6758" s="835">
        <v>46030</v>
      </c>
      <c r="E6758" t="s" s="834">
        <v>478</v>
      </c>
      <c r="F6758" t="s" s="834">
        <v>478</v>
      </c>
      <c r="G6758" t="s" s="837">
        <v>1710</v>
      </c>
      <c r="H6758" t="s" s="837">
        <v>1712</v>
      </c>
      <c r="I6758" t="s" s="837">
        <v>1710</v>
      </c>
      <c r="J6758" t="s" s="837">
        <v>1712</v>
      </c>
      <c r="K6758" s="570"/>
    </row>
    <row r="6759" ht="13.75" customHeight="1">
      <c r="A6759" s="833">
        <v>325</v>
      </c>
      <c r="B6759" t="s" s="834">
        <v>164</v>
      </c>
      <c r="C6759" t="s" s="834">
        <v>1528</v>
      </c>
      <c r="D6759" s="835">
        <v>46031</v>
      </c>
      <c r="E6759" t="s" s="834">
        <v>478</v>
      </c>
      <c r="F6759" t="s" s="834">
        <v>478</v>
      </c>
      <c r="G6759" t="s" s="837">
        <v>1710</v>
      </c>
      <c r="H6759" t="s" s="837">
        <v>1712</v>
      </c>
      <c r="I6759" t="s" s="837">
        <v>1710</v>
      </c>
      <c r="J6759" t="s" s="837">
        <v>1712</v>
      </c>
      <c r="K6759" s="570"/>
    </row>
    <row r="6760" ht="13.75" customHeight="1">
      <c r="A6760" s="833">
        <v>325</v>
      </c>
      <c r="B6760" t="s" s="834">
        <v>164</v>
      </c>
      <c r="C6760" t="s" s="834">
        <v>1528</v>
      </c>
      <c r="D6760" s="835">
        <v>46032</v>
      </c>
      <c r="E6760" t="s" s="834">
        <v>478</v>
      </c>
      <c r="F6760" t="s" s="834">
        <v>478</v>
      </c>
      <c r="G6760" t="s" s="837">
        <v>1710</v>
      </c>
      <c r="H6760" t="s" s="837">
        <v>570</v>
      </c>
      <c r="I6760" t="s" s="837">
        <v>1710</v>
      </c>
      <c r="J6760" t="s" s="837">
        <v>570</v>
      </c>
      <c r="K6760" s="570"/>
    </row>
    <row r="6761" ht="13.75" customHeight="1">
      <c r="A6761" s="833">
        <v>325</v>
      </c>
      <c r="B6761" t="s" s="834">
        <v>164</v>
      </c>
      <c r="C6761" t="s" s="834">
        <v>1528</v>
      </c>
      <c r="D6761" s="835">
        <v>46033</v>
      </c>
      <c r="E6761" t="s" s="834">
        <v>478</v>
      </c>
      <c r="F6761" t="s" s="834">
        <v>478</v>
      </c>
      <c r="G6761" t="s" s="837">
        <v>1710</v>
      </c>
      <c r="H6761" t="s" s="837">
        <v>570</v>
      </c>
      <c r="I6761" t="s" s="837">
        <v>1710</v>
      </c>
      <c r="J6761" t="s" s="837">
        <v>570</v>
      </c>
      <c r="K6761" s="570"/>
    </row>
    <row r="6762" ht="13.75" customHeight="1">
      <c r="A6762" s="833">
        <v>325</v>
      </c>
      <c r="B6762" t="s" s="834">
        <v>164</v>
      </c>
      <c r="C6762" t="s" s="834">
        <v>1528</v>
      </c>
      <c r="D6762" s="835">
        <v>46034</v>
      </c>
      <c r="E6762" s="836">
        <v>1.518078703703704</v>
      </c>
      <c r="F6762" s="836">
        <v>1.762233796296296</v>
      </c>
      <c r="G6762" t="s" s="837">
        <v>1710</v>
      </c>
      <c r="H6762" t="s" s="837">
        <v>4544</v>
      </c>
      <c r="I6762" s="570"/>
      <c r="J6762" s="570"/>
      <c r="K6762" s="570"/>
    </row>
    <row r="6763" ht="13.75" customHeight="1">
      <c r="A6763" t="s" s="838">
        <v>4545</v>
      </c>
      <c r="B6763" t="s" s="838">
        <v>4546</v>
      </c>
      <c r="C6763" t="s" s="838">
        <v>4547</v>
      </c>
      <c r="D6763" s="839"/>
      <c r="E6763" s="839"/>
      <c r="F6763" s="839"/>
      <c r="G6763" s="839"/>
      <c r="H6763" s="839"/>
      <c r="I6763" s="839"/>
      <c r="J6763" s="839"/>
      <c r="K6763" s="839"/>
    </row>
    <row r="6764" ht="13.75" customHeight="1">
      <c r="A6764" s="840">
        <v>325</v>
      </c>
      <c r="B6764" t="s" s="841">
        <v>164</v>
      </c>
      <c r="C6764" t="s" s="841">
        <v>1528</v>
      </c>
      <c r="D6764" s="842">
        <v>46035</v>
      </c>
      <c r="E6764" s="843">
        <v>1.352118055555556</v>
      </c>
      <c r="F6764" t="s" s="841">
        <v>478</v>
      </c>
      <c r="G6764" s="845"/>
      <c r="H6764" s="845"/>
      <c r="I6764" t="s" s="844">
        <v>1710</v>
      </c>
      <c r="J6764" t="s" s="844">
        <v>4548</v>
      </c>
      <c r="K6764" s="846"/>
    </row>
    <row r="6765" ht="13.75" customHeight="1">
      <c r="A6765" t="s" s="849">
        <v>4549</v>
      </c>
      <c r="B6765" t="s" s="849">
        <v>485</v>
      </c>
      <c r="C6765" t="s" s="849">
        <v>486</v>
      </c>
      <c r="D6765" s="633"/>
      <c r="E6765" s="633"/>
      <c r="F6765" s="633"/>
      <c r="G6765" s="633"/>
      <c r="H6765" s="633"/>
      <c r="I6765" s="633"/>
      <c r="J6765" s="633"/>
      <c r="K6765" s="633"/>
    </row>
    <row r="6766" ht="13.75" customHeight="1">
      <c r="A6766" s="833">
        <v>325</v>
      </c>
      <c r="B6766" t="s" s="834">
        <v>164</v>
      </c>
      <c r="C6766" t="s" s="834">
        <v>1528</v>
      </c>
      <c r="D6766" s="835">
        <v>46036</v>
      </c>
      <c r="E6766" s="836">
        <v>1.348275462962963</v>
      </c>
      <c r="F6766" s="836">
        <v>1.766724537037037</v>
      </c>
      <c r="G6766" s="570"/>
      <c r="H6766" s="570"/>
      <c r="I6766" s="570"/>
      <c r="J6766" s="570"/>
      <c r="K6766" s="570"/>
    </row>
    <row r="6767" ht="13.75" customHeight="1">
      <c r="A6767" t="s" s="834">
        <v>4550</v>
      </c>
      <c r="B6767" t="s" s="834">
        <v>4551</v>
      </c>
      <c r="C6767" t="s" s="834">
        <v>1280</v>
      </c>
      <c r="D6767" s="570"/>
      <c r="E6767" s="570"/>
      <c r="F6767" s="570"/>
      <c r="G6767" s="570"/>
      <c r="H6767" s="570"/>
      <c r="I6767" s="570"/>
      <c r="J6767" s="570"/>
      <c r="K6767" s="570"/>
    </row>
    <row r="6768" ht="13.75" customHeight="1">
      <c r="A6768" s="833">
        <v>325</v>
      </c>
      <c r="B6768" t="s" s="834">
        <v>164</v>
      </c>
      <c r="C6768" t="s" s="834">
        <v>1528</v>
      </c>
      <c r="D6768" s="835">
        <v>46037</v>
      </c>
      <c r="E6768" s="836">
        <v>1.41755787037037</v>
      </c>
      <c r="F6768" s="836">
        <v>1.760011574074074</v>
      </c>
      <c r="G6768" t="s" s="837">
        <v>1710</v>
      </c>
      <c r="H6768" t="s" s="837">
        <v>4175</v>
      </c>
      <c r="I6768" s="570"/>
      <c r="J6768" s="570"/>
      <c r="K6768" s="570"/>
    </row>
    <row r="6769" ht="13.75" customHeight="1">
      <c r="A6769" t="s" s="834">
        <v>4552</v>
      </c>
      <c r="B6769" t="s" s="834">
        <v>4553</v>
      </c>
      <c r="C6769" t="s" s="834">
        <v>2005</v>
      </c>
      <c r="D6769" s="570"/>
      <c r="E6769" s="570"/>
      <c r="F6769" s="570"/>
      <c r="G6769" s="570"/>
      <c r="H6769" s="570"/>
      <c r="I6769" s="570"/>
      <c r="J6769" s="570"/>
      <c r="K6769" s="570"/>
    </row>
    <row r="6770" ht="13.75" customHeight="1">
      <c r="A6770" s="833">
        <v>325</v>
      </c>
      <c r="B6770" t="s" s="834">
        <v>164</v>
      </c>
      <c r="C6770" t="s" s="834">
        <v>1528</v>
      </c>
      <c r="D6770" s="835">
        <v>46038</v>
      </c>
      <c r="E6770" s="836">
        <v>1.355625</v>
      </c>
      <c r="F6770" s="836">
        <v>1.754826388888889</v>
      </c>
      <c r="G6770" t="s" s="837">
        <v>1710</v>
      </c>
      <c r="H6770" t="s" s="837">
        <v>608</v>
      </c>
      <c r="I6770" s="570"/>
      <c r="J6770" s="570"/>
      <c r="K6770" s="570"/>
    </row>
    <row r="6771" ht="13.75" customHeight="1">
      <c r="A6771" t="s" s="834">
        <v>4554</v>
      </c>
      <c r="B6771" t="s" s="834">
        <v>4555</v>
      </c>
      <c r="C6771" t="s" s="834">
        <v>515</v>
      </c>
      <c r="D6771" s="570"/>
      <c r="E6771" s="570"/>
      <c r="F6771" s="570"/>
      <c r="G6771" s="570"/>
      <c r="H6771" s="570"/>
      <c r="I6771" s="570"/>
      <c r="J6771" s="570"/>
      <c r="K6771" s="570"/>
    </row>
    <row r="6772" ht="13.75" customHeight="1">
      <c r="A6772" s="833">
        <v>325</v>
      </c>
      <c r="B6772" t="s" s="834">
        <v>164</v>
      </c>
      <c r="C6772" t="s" s="834">
        <v>1528</v>
      </c>
      <c r="D6772" s="835">
        <v>46039</v>
      </c>
      <c r="E6772" t="s" s="834">
        <v>478</v>
      </c>
      <c r="F6772" t="s" s="834">
        <v>478</v>
      </c>
      <c r="G6772" t="s" s="837">
        <v>1710</v>
      </c>
      <c r="H6772" t="s" s="837">
        <v>570</v>
      </c>
      <c r="I6772" t="s" s="837">
        <v>1710</v>
      </c>
      <c r="J6772" t="s" s="837">
        <v>570</v>
      </c>
      <c r="K6772" s="570"/>
    </row>
    <row r="6773" ht="13.75" customHeight="1">
      <c r="A6773" s="833">
        <v>325</v>
      </c>
      <c r="B6773" t="s" s="834">
        <v>164</v>
      </c>
      <c r="C6773" t="s" s="834">
        <v>1528</v>
      </c>
      <c r="D6773" s="835">
        <v>46040</v>
      </c>
      <c r="E6773" t="s" s="834">
        <v>478</v>
      </c>
      <c r="F6773" t="s" s="834">
        <v>478</v>
      </c>
      <c r="G6773" t="s" s="837">
        <v>1710</v>
      </c>
      <c r="H6773" t="s" s="837">
        <v>570</v>
      </c>
      <c r="I6773" t="s" s="837">
        <v>1710</v>
      </c>
      <c r="J6773" t="s" s="837">
        <v>570</v>
      </c>
      <c r="K6773" s="570"/>
    </row>
    <row r="6774" ht="13.75" customHeight="1">
      <c r="A6774" s="833">
        <v>325</v>
      </c>
      <c r="B6774" t="s" s="834">
        <v>164</v>
      </c>
      <c r="C6774" t="s" s="834">
        <v>1528</v>
      </c>
      <c r="D6774" s="835">
        <v>46041</v>
      </c>
      <c r="E6774" s="836">
        <v>1.563611111111111</v>
      </c>
      <c r="F6774" s="836">
        <v>1.764363425925926</v>
      </c>
      <c r="G6774" t="s" s="837">
        <v>1710</v>
      </c>
      <c r="H6774" t="s" s="837">
        <v>4175</v>
      </c>
      <c r="I6774" s="570"/>
      <c r="J6774" s="570"/>
      <c r="K6774" s="570"/>
    </row>
    <row r="6775" ht="13.75" customHeight="1">
      <c r="A6775" t="s" s="838">
        <v>4556</v>
      </c>
      <c r="B6775" t="s" s="838">
        <v>4557</v>
      </c>
      <c r="C6775" t="s" s="838">
        <v>4558</v>
      </c>
      <c r="D6775" s="839"/>
      <c r="E6775" s="839"/>
      <c r="F6775" s="839"/>
      <c r="G6775" s="839"/>
      <c r="H6775" s="839"/>
      <c r="I6775" s="570"/>
      <c r="J6775" s="570"/>
      <c r="K6775" s="570"/>
    </row>
    <row r="6776" ht="13.75" customHeight="1">
      <c r="A6776" s="840">
        <v>325</v>
      </c>
      <c r="B6776" t="s" s="841">
        <v>164</v>
      </c>
      <c r="C6776" t="s" s="841">
        <v>1528</v>
      </c>
      <c r="D6776" s="842">
        <v>46042</v>
      </c>
      <c r="E6776" s="843">
        <v>1.362638888888889</v>
      </c>
      <c r="F6776" s="843">
        <v>1.750428240740741</v>
      </c>
      <c r="G6776" t="s" s="844">
        <v>1710</v>
      </c>
      <c r="H6776" t="s" s="844">
        <v>4252</v>
      </c>
      <c r="I6776" s="858"/>
      <c r="J6776" s="570"/>
      <c r="K6776" s="570"/>
    </row>
    <row r="6777" ht="13.75" customHeight="1">
      <c r="A6777" t="s" s="847">
        <v>4559</v>
      </c>
      <c r="B6777" t="s" s="847">
        <v>4560</v>
      </c>
      <c r="C6777" t="s" s="847">
        <v>640</v>
      </c>
      <c r="D6777" s="848"/>
      <c r="E6777" s="848"/>
      <c r="F6777" s="848"/>
      <c r="G6777" s="848"/>
      <c r="H6777" s="848"/>
      <c r="I6777" s="570"/>
      <c r="J6777" s="570"/>
      <c r="K6777" s="570"/>
    </row>
    <row r="6778" ht="13.75" customHeight="1">
      <c r="A6778" s="840">
        <v>325</v>
      </c>
      <c r="B6778" t="s" s="841">
        <v>164</v>
      </c>
      <c r="C6778" t="s" s="841">
        <v>1528</v>
      </c>
      <c r="D6778" s="842">
        <v>46043</v>
      </c>
      <c r="E6778" s="843">
        <v>1.353483796296296</v>
      </c>
      <c r="F6778" s="843">
        <v>1.755891203703704</v>
      </c>
      <c r="G6778" s="845"/>
      <c r="H6778" s="845"/>
      <c r="I6778" s="858"/>
      <c r="J6778" s="570"/>
      <c r="K6778" s="570"/>
    </row>
    <row r="6779" ht="13.75" customHeight="1">
      <c r="A6779" t="s" s="847">
        <v>4561</v>
      </c>
      <c r="B6779" t="s" s="847">
        <v>4562</v>
      </c>
      <c r="C6779" t="s" s="847">
        <v>772</v>
      </c>
      <c r="D6779" s="848"/>
      <c r="E6779" s="848"/>
      <c r="F6779" s="848"/>
      <c r="G6779" s="848"/>
      <c r="H6779" s="848"/>
      <c r="I6779" s="570"/>
      <c r="J6779" s="570"/>
      <c r="K6779" s="570"/>
    </row>
    <row r="6780" ht="13.75" customHeight="1">
      <c r="A6780" s="840">
        <v>325</v>
      </c>
      <c r="B6780" t="s" s="841">
        <v>164</v>
      </c>
      <c r="C6780" t="s" s="841">
        <v>1528</v>
      </c>
      <c r="D6780" s="842">
        <v>46044</v>
      </c>
      <c r="E6780" s="843">
        <v>1.561215277777778</v>
      </c>
      <c r="F6780" s="843">
        <v>1.759398148148148</v>
      </c>
      <c r="G6780" t="s" s="844">
        <v>1710</v>
      </c>
      <c r="H6780" t="s" s="844">
        <v>1712</v>
      </c>
      <c r="I6780" s="858"/>
      <c r="J6780" s="570"/>
      <c r="K6780" s="570"/>
    </row>
    <row r="6781" ht="13.75" customHeight="1">
      <c r="A6781" t="s" s="847">
        <v>4563</v>
      </c>
      <c r="B6781" t="s" s="847">
        <v>4564</v>
      </c>
      <c r="C6781" t="s" s="847">
        <v>3958</v>
      </c>
      <c r="D6781" s="848"/>
      <c r="E6781" s="848"/>
      <c r="F6781" s="848"/>
      <c r="G6781" s="848"/>
      <c r="H6781" s="848"/>
      <c r="I6781" s="570"/>
      <c r="J6781" s="570"/>
      <c r="K6781" s="570"/>
    </row>
    <row r="6782" ht="13.75" customHeight="1">
      <c r="A6782" s="840">
        <v>325</v>
      </c>
      <c r="B6782" t="s" s="841">
        <v>164</v>
      </c>
      <c r="C6782" t="s" s="841">
        <v>1528</v>
      </c>
      <c r="D6782" s="842">
        <v>46045</v>
      </c>
      <c r="E6782" s="843">
        <v>1.412662037037037</v>
      </c>
      <c r="F6782" s="843">
        <v>1.759652777777778</v>
      </c>
      <c r="G6782" t="s" s="844">
        <v>1710</v>
      </c>
      <c r="H6782" t="s" s="844">
        <v>4387</v>
      </c>
      <c r="I6782" s="858"/>
      <c r="J6782" s="570"/>
      <c r="K6782" s="570"/>
    </row>
    <row r="6783" ht="13.75" customHeight="1">
      <c r="A6783" t="s" s="847">
        <v>4565</v>
      </c>
      <c r="B6783" t="s" s="847">
        <v>4566</v>
      </c>
      <c r="C6783" t="s" s="847">
        <v>1237</v>
      </c>
      <c r="D6783" s="848"/>
      <c r="E6783" s="848"/>
      <c r="F6783" s="848"/>
      <c r="G6783" s="848"/>
      <c r="H6783" s="848"/>
      <c r="I6783" s="570"/>
      <c r="J6783" s="570"/>
      <c r="K6783" s="570"/>
    </row>
    <row r="6784" ht="13.75" customHeight="1">
      <c r="A6784" s="840">
        <v>325</v>
      </c>
      <c r="B6784" t="s" s="841">
        <v>164</v>
      </c>
      <c r="C6784" t="s" s="841">
        <v>1528</v>
      </c>
      <c r="D6784" s="842">
        <v>46046</v>
      </c>
      <c r="E6784" t="s" s="841">
        <v>478</v>
      </c>
      <c r="F6784" t="s" s="841">
        <v>478</v>
      </c>
      <c r="G6784" t="s" s="844">
        <v>1710</v>
      </c>
      <c r="H6784" t="s" s="844">
        <v>570</v>
      </c>
      <c r="I6784" t="s" s="864">
        <v>1710</v>
      </c>
      <c r="J6784" t="s" s="837">
        <v>570</v>
      </c>
      <c r="K6784" s="570"/>
    </row>
    <row r="6785" ht="13.75" customHeight="1">
      <c r="A6785" s="840">
        <v>325</v>
      </c>
      <c r="B6785" t="s" s="841">
        <v>164</v>
      </c>
      <c r="C6785" t="s" s="841">
        <v>1528</v>
      </c>
      <c r="D6785" s="842">
        <v>46047</v>
      </c>
      <c r="E6785" t="s" s="841">
        <v>478</v>
      </c>
      <c r="F6785" t="s" s="841">
        <v>478</v>
      </c>
      <c r="G6785" t="s" s="844">
        <v>1710</v>
      </c>
      <c r="H6785" t="s" s="844">
        <v>570</v>
      </c>
      <c r="I6785" t="s" s="864">
        <v>1710</v>
      </c>
      <c r="J6785" t="s" s="837">
        <v>570</v>
      </c>
      <c r="K6785" s="570"/>
    </row>
    <row r="6786" ht="13.75" customHeight="1">
      <c r="A6786" s="840">
        <v>325</v>
      </c>
      <c r="B6786" t="s" s="841">
        <v>164</v>
      </c>
      <c r="C6786" t="s" s="841">
        <v>1528</v>
      </c>
      <c r="D6786" s="842">
        <v>46048</v>
      </c>
      <c r="E6786" s="843">
        <v>1.392766203703704</v>
      </c>
      <c r="F6786" s="843">
        <v>1.763680555555556</v>
      </c>
      <c r="G6786" t="s" s="844">
        <v>1710</v>
      </c>
      <c r="H6786" t="s" s="844">
        <v>4252</v>
      </c>
      <c r="I6786" s="858"/>
      <c r="J6786" s="570"/>
      <c r="K6786" s="570"/>
    </row>
    <row r="6787" ht="13.75" customHeight="1">
      <c r="A6787" t="s" s="847">
        <v>4567</v>
      </c>
      <c r="B6787" t="s" s="847">
        <v>4568</v>
      </c>
      <c r="C6787" t="s" s="847">
        <v>826</v>
      </c>
      <c r="D6787" s="848"/>
      <c r="E6787" s="848"/>
      <c r="F6787" s="848"/>
      <c r="G6787" s="848"/>
      <c r="H6787" s="848"/>
      <c r="I6787" s="570"/>
      <c r="J6787" s="570"/>
      <c r="K6787" s="570"/>
    </row>
    <row r="6788" ht="13.75" customHeight="1">
      <c r="A6788" s="840">
        <v>325</v>
      </c>
      <c r="B6788" t="s" s="841">
        <v>164</v>
      </c>
      <c r="C6788" t="s" s="841">
        <v>1528</v>
      </c>
      <c r="D6788" s="842">
        <v>46049</v>
      </c>
      <c r="E6788" s="843">
        <v>1.563599537037037</v>
      </c>
      <c r="F6788" s="843">
        <v>1.757962962962963</v>
      </c>
      <c r="G6788" t="s" s="844">
        <v>1710</v>
      </c>
      <c r="H6788" t="s" s="844">
        <v>1712</v>
      </c>
      <c r="I6788" s="858"/>
      <c r="J6788" s="570"/>
      <c r="K6788" s="570"/>
    </row>
    <row r="6789" ht="13.75" customHeight="1">
      <c r="A6789" t="s" s="847">
        <v>4569</v>
      </c>
      <c r="B6789" t="s" s="847">
        <v>4570</v>
      </c>
      <c r="C6789" t="s" s="847">
        <v>3769</v>
      </c>
      <c r="D6789" s="848"/>
      <c r="E6789" s="848"/>
      <c r="F6789" s="848"/>
      <c r="G6789" s="848"/>
      <c r="H6789" s="848"/>
      <c r="I6789" s="570"/>
      <c r="J6789" s="570"/>
      <c r="K6789" s="570"/>
    </row>
    <row r="6790" ht="13.75" customHeight="1">
      <c r="A6790" s="840">
        <v>325</v>
      </c>
      <c r="B6790" t="s" s="841">
        <v>164</v>
      </c>
      <c r="C6790" t="s" s="841">
        <v>1528</v>
      </c>
      <c r="D6790" s="842">
        <v>46050</v>
      </c>
      <c r="E6790" s="843">
        <v>1.757048611111111</v>
      </c>
      <c r="F6790" t="s" s="841">
        <v>478</v>
      </c>
      <c r="G6790" t="s" s="844">
        <v>1710</v>
      </c>
      <c r="H6790" t="s" s="844">
        <v>4571</v>
      </c>
      <c r="I6790" s="858"/>
      <c r="J6790" s="570"/>
      <c r="K6790" s="570"/>
    </row>
    <row r="6791" ht="13.75" customHeight="1">
      <c r="A6791" t="s" s="847">
        <v>4572</v>
      </c>
      <c r="B6791" t="s" s="847">
        <v>485</v>
      </c>
      <c r="C6791" t="s" s="847">
        <v>486</v>
      </c>
      <c r="D6791" s="848"/>
      <c r="E6791" s="848"/>
      <c r="F6791" s="848"/>
      <c r="G6791" s="848"/>
      <c r="H6791" s="848"/>
      <c r="I6791" s="570"/>
      <c r="J6791" s="570"/>
      <c r="K6791" s="570"/>
    </row>
    <row r="6792" ht="13.75" customHeight="1">
      <c r="A6792" s="840">
        <v>325</v>
      </c>
      <c r="B6792" t="s" s="841">
        <v>164</v>
      </c>
      <c r="C6792" t="s" s="841">
        <v>1528</v>
      </c>
      <c r="D6792" s="842">
        <v>46051</v>
      </c>
      <c r="E6792" s="843">
        <v>1.450474537037037</v>
      </c>
      <c r="F6792" s="843">
        <v>1.760277777777778</v>
      </c>
      <c r="G6792" t="s" s="844">
        <v>1710</v>
      </c>
      <c r="H6792" t="s" s="844">
        <v>4252</v>
      </c>
      <c r="I6792" s="858"/>
      <c r="J6792" s="570"/>
      <c r="K6792" s="570"/>
    </row>
    <row r="6793" ht="13.75" customHeight="1">
      <c r="A6793" t="s" s="847">
        <v>4573</v>
      </c>
      <c r="B6793" t="s" s="847">
        <v>4574</v>
      </c>
      <c r="C6793" t="s" s="847">
        <v>4575</v>
      </c>
      <c r="D6793" s="848"/>
      <c r="E6793" s="848"/>
      <c r="F6793" s="848"/>
      <c r="G6793" s="848"/>
      <c r="H6793" s="848"/>
      <c r="I6793" s="570"/>
      <c r="J6793" s="570"/>
      <c r="K6793" s="570"/>
    </row>
    <row r="6794" ht="13.75" customHeight="1">
      <c r="A6794" s="840">
        <v>325</v>
      </c>
      <c r="B6794" t="s" s="841">
        <v>164</v>
      </c>
      <c r="C6794" t="s" s="841">
        <v>1528</v>
      </c>
      <c r="D6794" s="842">
        <v>46052</v>
      </c>
      <c r="E6794" s="843">
        <v>1.567037037037037</v>
      </c>
      <c r="F6794" s="843">
        <v>1.767083333333333</v>
      </c>
      <c r="G6794" t="s" s="844">
        <v>1710</v>
      </c>
      <c r="H6794" t="s" s="844">
        <v>1742</v>
      </c>
      <c r="I6794" s="858"/>
      <c r="J6794" s="570"/>
      <c r="K6794" s="570"/>
    </row>
    <row r="6795" ht="13.75" customHeight="1">
      <c r="A6795" t="s" s="847">
        <v>4576</v>
      </c>
      <c r="B6795" t="s" s="847">
        <v>4577</v>
      </c>
      <c r="C6795" t="s" s="847">
        <v>3172</v>
      </c>
      <c r="D6795" s="848"/>
      <c r="E6795" s="848"/>
      <c r="F6795" s="848"/>
      <c r="G6795" s="848"/>
      <c r="H6795" s="848"/>
      <c r="I6795" s="570"/>
      <c r="J6795" s="570"/>
      <c r="K6795" s="570"/>
    </row>
    <row r="6796" ht="13.75" customHeight="1">
      <c r="A6796" s="840">
        <v>325</v>
      </c>
      <c r="B6796" t="s" s="841">
        <v>164</v>
      </c>
      <c r="C6796" t="s" s="841">
        <v>1528</v>
      </c>
      <c r="D6796" s="842">
        <v>46053</v>
      </c>
      <c r="E6796" t="s" s="841">
        <v>478</v>
      </c>
      <c r="F6796" t="s" s="841">
        <v>478</v>
      </c>
      <c r="G6796" t="s" s="844">
        <v>1710</v>
      </c>
      <c r="H6796" t="s" s="844">
        <v>570</v>
      </c>
      <c r="I6796" t="s" s="864">
        <v>1710</v>
      </c>
      <c r="J6796" t="s" s="837">
        <v>570</v>
      </c>
      <c r="K6796" s="570"/>
    </row>
    <row r="6797" ht="13.75" customHeight="1">
      <c r="A6797" s="865">
        <v>326</v>
      </c>
      <c r="B6797" t="s" s="849">
        <v>352</v>
      </c>
      <c r="C6797" t="s" s="849">
        <v>480</v>
      </c>
      <c r="D6797" s="866">
        <v>46023</v>
      </c>
      <c r="E6797" t="s" s="849">
        <v>478</v>
      </c>
      <c r="F6797" t="s" s="849">
        <v>478</v>
      </c>
      <c r="G6797" t="s" s="861">
        <v>1710</v>
      </c>
      <c r="H6797" t="s" s="861">
        <v>4157</v>
      </c>
      <c r="I6797" t="s" s="837">
        <v>1710</v>
      </c>
      <c r="J6797" t="s" s="837">
        <v>4157</v>
      </c>
      <c r="K6797" s="570"/>
    </row>
    <row r="6798" ht="13.75" customHeight="1">
      <c r="A6798" s="833">
        <v>326</v>
      </c>
      <c r="B6798" t="s" s="834">
        <v>352</v>
      </c>
      <c r="C6798" t="s" s="834">
        <v>480</v>
      </c>
      <c r="D6798" s="835">
        <v>46024</v>
      </c>
      <c r="E6798" t="s" s="834">
        <v>478</v>
      </c>
      <c r="F6798" t="s" s="834">
        <v>478</v>
      </c>
      <c r="G6798" t="s" s="837">
        <v>1710</v>
      </c>
      <c r="H6798" t="s" s="837">
        <v>1742</v>
      </c>
      <c r="I6798" t="s" s="837">
        <v>1710</v>
      </c>
      <c r="J6798" t="s" s="837">
        <v>1742</v>
      </c>
      <c r="K6798" s="570"/>
    </row>
    <row r="6799" ht="13.75" customHeight="1">
      <c r="A6799" s="833">
        <v>326</v>
      </c>
      <c r="B6799" t="s" s="834">
        <v>352</v>
      </c>
      <c r="C6799" t="s" s="834">
        <v>480</v>
      </c>
      <c r="D6799" s="835">
        <v>46025</v>
      </c>
      <c r="E6799" t="s" s="834">
        <v>478</v>
      </c>
      <c r="F6799" t="s" s="834">
        <v>478</v>
      </c>
      <c r="G6799" t="s" s="837">
        <v>1710</v>
      </c>
      <c r="H6799" t="s" s="837">
        <v>4160</v>
      </c>
      <c r="I6799" t="s" s="837">
        <v>1710</v>
      </c>
      <c r="J6799" t="s" s="837">
        <v>4160</v>
      </c>
      <c r="K6799" s="570"/>
    </row>
    <row r="6800" ht="13.75" customHeight="1">
      <c r="A6800" s="833">
        <v>326</v>
      </c>
      <c r="B6800" t="s" s="834">
        <v>352</v>
      </c>
      <c r="C6800" t="s" s="834">
        <v>480</v>
      </c>
      <c r="D6800" s="835">
        <v>46026</v>
      </c>
      <c r="E6800" t="s" s="834">
        <v>478</v>
      </c>
      <c r="F6800" t="s" s="834">
        <v>478</v>
      </c>
      <c r="G6800" t="s" s="837">
        <v>1710</v>
      </c>
      <c r="H6800" t="s" s="837">
        <v>4160</v>
      </c>
      <c r="I6800" t="s" s="837">
        <v>1710</v>
      </c>
      <c r="J6800" t="s" s="837">
        <v>4160</v>
      </c>
      <c r="K6800" s="570"/>
    </row>
    <row r="6801" ht="13.75" customHeight="1">
      <c r="A6801" s="833">
        <v>326</v>
      </c>
      <c r="B6801" t="s" s="834">
        <v>352</v>
      </c>
      <c r="C6801" t="s" s="834">
        <v>480</v>
      </c>
      <c r="D6801" s="835">
        <v>46027</v>
      </c>
      <c r="E6801" s="836">
        <v>1.517094907407407</v>
      </c>
      <c r="F6801" s="836">
        <v>1.758888888888889</v>
      </c>
      <c r="G6801" t="s" s="837">
        <v>1710</v>
      </c>
      <c r="H6801" t="s" s="837">
        <v>1712</v>
      </c>
      <c r="I6801" s="570"/>
      <c r="J6801" s="570"/>
      <c r="K6801" s="570"/>
    </row>
    <row r="6802" ht="13.75" customHeight="1">
      <c r="A6802" t="s" s="834">
        <v>4578</v>
      </c>
      <c r="B6802" t="s" s="834">
        <v>4579</v>
      </c>
      <c r="C6802" t="s" s="834">
        <v>4580</v>
      </c>
      <c r="D6802" s="570"/>
      <c r="E6802" s="570"/>
      <c r="F6802" s="570"/>
      <c r="G6802" s="570"/>
      <c r="H6802" s="570"/>
      <c r="I6802" s="570"/>
      <c r="J6802" s="570"/>
      <c r="K6802" s="570"/>
    </row>
    <row r="6803" ht="13.75" customHeight="1">
      <c r="A6803" s="833">
        <v>326</v>
      </c>
      <c r="B6803" t="s" s="834">
        <v>352</v>
      </c>
      <c r="C6803" t="s" s="834">
        <v>480</v>
      </c>
      <c r="D6803" s="835">
        <v>46028</v>
      </c>
      <c r="E6803" s="836">
        <v>1.3509375</v>
      </c>
      <c r="F6803" s="836">
        <v>1.76087962962963</v>
      </c>
      <c r="G6803" s="570"/>
      <c r="H6803" s="570"/>
      <c r="I6803" s="570"/>
      <c r="J6803" s="570"/>
      <c r="K6803" s="570"/>
    </row>
    <row r="6804" ht="13.75" customHeight="1">
      <c r="A6804" t="s" s="834">
        <v>4581</v>
      </c>
      <c r="B6804" t="s" s="834">
        <v>4582</v>
      </c>
      <c r="C6804" t="s" s="834">
        <v>1119</v>
      </c>
      <c r="D6804" s="570"/>
      <c r="E6804" s="570"/>
      <c r="F6804" s="570"/>
      <c r="G6804" s="570"/>
      <c r="H6804" s="570"/>
      <c r="I6804" s="570"/>
      <c r="J6804" s="570"/>
      <c r="K6804" s="570"/>
    </row>
    <row r="6805" ht="13.75" customHeight="1">
      <c r="A6805" s="833">
        <v>326</v>
      </c>
      <c r="B6805" t="s" s="834">
        <v>352</v>
      </c>
      <c r="C6805" t="s" s="834">
        <v>480</v>
      </c>
      <c r="D6805" s="835">
        <v>46029</v>
      </c>
      <c r="E6805" s="836">
        <v>1.347777777777778</v>
      </c>
      <c r="F6805" s="836">
        <v>1.762800925925926</v>
      </c>
      <c r="G6805" s="570"/>
      <c r="H6805" s="570"/>
      <c r="I6805" s="570"/>
      <c r="J6805" s="570"/>
      <c r="K6805" s="570"/>
    </row>
    <row r="6806" ht="13.75" customHeight="1">
      <c r="A6806" t="s" s="834">
        <v>4583</v>
      </c>
      <c r="B6806" t="s" s="834">
        <v>4584</v>
      </c>
      <c r="C6806" t="s" s="834">
        <v>1124</v>
      </c>
      <c r="D6806" s="570"/>
      <c r="E6806" s="570"/>
      <c r="F6806" s="570"/>
      <c r="G6806" s="570"/>
      <c r="H6806" s="570"/>
      <c r="I6806" s="570"/>
      <c r="J6806" s="570"/>
      <c r="K6806" s="570"/>
    </row>
    <row r="6807" ht="13.75" customHeight="1">
      <c r="A6807" s="833">
        <v>326</v>
      </c>
      <c r="B6807" t="s" s="834">
        <v>352</v>
      </c>
      <c r="C6807" t="s" s="834">
        <v>480</v>
      </c>
      <c r="D6807" s="835">
        <v>46030</v>
      </c>
      <c r="E6807" s="836">
        <v>1.347662037037037</v>
      </c>
      <c r="F6807" s="836">
        <v>1.759652777777778</v>
      </c>
      <c r="G6807" s="570"/>
      <c r="H6807" s="570"/>
      <c r="I6807" s="570"/>
      <c r="J6807" s="570"/>
      <c r="K6807" s="570"/>
    </row>
    <row r="6808" ht="13.75" customHeight="1">
      <c r="A6808" t="s" s="834">
        <v>4585</v>
      </c>
      <c r="B6808" t="s" s="834">
        <v>4586</v>
      </c>
      <c r="C6808" t="s" s="834">
        <v>597</v>
      </c>
      <c r="D6808" s="570"/>
      <c r="E6808" s="570"/>
      <c r="F6808" s="570"/>
      <c r="G6808" s="570"/>
      <c r="H6808" s="570"/>
      <c r="I6808" s="570"/>
      <c r="J6808" s="570"/>
      <c r="K6808" s="570"/>
    </row>
    <row r="6809" ht="13.75" customHeight="1">
      <c r="A6809" s="833">
        <v>326</v>
      </c>
      <c r="B6809" t="s" s="834">
        <v>352</v>
      </c>
      <c r="C6809" t="s" s="834">
        <v>480</v>
      </c>
      <c r="D6809" s="835">
        <v>46031</v>
      </c>
      <c r="E6809" s="836">
        <v>1.34931712962963</v>
      </c>
      <c r="F6809" s="836">
        <v>1.764756944444444</v>
      </c>
      <c r="G6809" s="570"/>
      <c r="H6809" s="570"/>
      <c r="I6809" s="570"/>
      <c r="J6809" s="570"/>
      <c r="K6809" s="570"/>
    </row>
    <row r="6810" ht="13.75" customHeight="1">
      <c r="A6810" t="s" s="834">
        <v>4587</v>
      </c>
      <c r="B6810" t="s" s="834">
        <v>4588</v>
      </c>
      <c r="C6810" t="s" s="834">
        <v>1124</v>
      </c>
      <c r="D6810" s="570"/>
      <c r="E6810" s="570"/>
      <c r="F6810" s="570"/>
      <c r="G6810" s="570"/>
      <c r="H6810" s="570"/>
      <c r="I6810" s="570"/>
      <c r="J6810" s="570"/>
      <c r="K6810" s="570"/>
    </row>
    <row r="6811" ht="13.75" customHeight="1">
      <c r="A6811" s="851">
        <v>326</v>
      </c>
      <c r="B6811" t="s" s="838">
        <v>352</v>
      </c>
      <c r="C6811" t="s" s="838">
        <v>480</v>
      </c>
      <c r="D6811" s="852">
        <v>46032</v>
      </c>
      <c r="E6811" t="s" s="838">
        <v>478</v>
      </c>
      <c r="F6811" t="s" s="838">
        <v>478</v>
      </c>
      <c r="G6811" t="s" s="853">
        <v>1710</v>
      </c>
      <c r="H6811" t="s" s="853">
        <v>4160</v>
      </c>
      <c r="I6811" t="s" s="853">
        <v>1710</v>
      </c>
      <c r="J6811" t="s" s="853">
        <v>4160</v>
      </c>
      <c r="K6811" s="570"/>
    </row>
    <row r="6812" ht="13.75" customHeight="1">
      <c r="A6812" s="840">
        <v>326</v>
      </c>
      <c r="B6812" t="s" s="841">
        <v>352</v>
      </c>
      <c r="C6812" t="s" s="841">
        <v>480</v>
      </c>
      <c r="D6812" s="842">
        <v>46033</v>
      </c>
      <c r="E6812" t="s" s="841">
        <v>478</v>
      </c>
      <c r="F6812" t="s" s="841">
        <v>478</v>
      </c>
      <c r="G6812" t="s" s="844">
        <v>1710</v>
      </c>
      <c r="H6812" t="s" s="844">
        <v>4160</v>
      </c>
      <c r="I6812" t="s" s="844">
        <v>1710</v>
      </c>
      <c r="J6812" t="s" s="844">
        <v>4160</v>
      </c>
      <c r="K6812" s="858"/>
    </row>
    <row r="6813" ht="13.75" customHeight="1">
      <c r="A6813" s="840">
        <v>326</v>
      </c>
      <c r="B6813" t="s" s="841">
        <v>352</v>
      </c>
      <c r="C6813" t="s" s="841">
        <v>480</v>
      </c>
      <c r="D6813" s="842">
        <v>46034</v>
      </c>
      <c r="E6813" s="843">
        <v>1.350393518518519</v>
      </c>
      <c r="F6813" s="843">
        <v>1.763703703703704</v>
      </c>
      <c r="G6813" s="845"/>
      <c r="H6813" s="845"/>
      <c r="I6813" s="845"/>
      <c r="J6813" s="845"/>
      <c r="K6813" s="858"/>
    </row>
    <row r="6814" ht="13.75" customHeight="1">
      <c r="A6814" t="s" s="847">
        <v>4589</v>
      </c>
      <c r="B6814" t="s" s="847">
        <v>4590</v>
      </c>
      <c r="C6814" t="s" s="847">
        <v>586</v>
      </c>
      <c r="D6814" s="848"/>
      <c r="E6814" s="848"/>
      <c r="F6814" s="848"/>
      <c r="G6814" s="848"/>
      <c r="H6814" s="848"/>
      <c r="I6814" s="848"/>
      <c r="J6814" s="848"/>
      <c r="K6814" s="570"/>
    </row>
    <row r="6815" ht="13.75" customHeight="1">
      <c r="A6815" s="840">
        <v>326</v>
      </c>
      <c r="B6815" t="s" s="841">
        <v>352</v>
      </c>
      <c r="C6815" t="s" s="841">
        <v>480</v>
      </c>
      <c r="D6815" s="842">
        <v>46035</v>
      </c>
      <c r="E6815" s="843">
        <v>1.351354166666667</v>
      </c>
      <c r="F6815" t="s" s="841">
        <v>478</v>
      </c>
      <c r="G6815" s="845"/>
      <c r="H6815" s="845"/>
      <c r="I6815" t="s" s="844">
        <v>1710</v>
      </c>
      <c r="J6815" t="s" s="844">
        <v>4591</v>
      </c>
      <c r="K6815" s="858"/>
    </row>
    <row r="6816" ht="13.75" customHeight="1">
      <c r="A6816" t="s" s="847">
        <v>4592</v>
      </c>
      <c r="B6816" t="s" s="847">
        <v>485</v>
      </c>
      <c r="C6816" t="s" s="847">
        <v>486</v>
      </c>
      <c r="D6816" s="848"/>
      <c r="E6816" s="848"/>
      <c r="F6816" s="848"/>
      <c r="G6816" s="848"/>
      <c r="H6816" s="848"/>
      <c r="I6816" s="848"/>
      <c r="J6816" s="848"/>
      <c r="K6816" s="570"/>
    </row>
    <row r="6817" ht="13.75" customHeight="1">
      <c r="A6817" s="840">
        <v>326</v>
      </c>
      <c r="B6817" t="s" s="841">
        <v>352</v>
      </c>
      <c r="C6817" t="s" s="841">
        <v>480</v>
      </c>
      <c r="D6817" s="842">
        <v>46036</v>
      </c>
      <c r="E6817" s="843">
        <v>1.347662037037037</v>
      </c>
      <c r="F6817" s="843">
        <v>1.768125</v>
      </c>
      <c r="G6817" s="845"/>
      <c r="H6817" s="845"/>
      <c r="I6817" s="845"/>
      <c r="J6817" s="845"/>
      <c r="K6817" s="858"/>
    </row>
    <row r="6818" ht="13.75" customHeight="1">
      <c r="A6818" t="s" s="847">
        <v>4593</v>
      </c>
      <c r="B6818" t="s" s="847">
        <v>4594</v>
      </c>
      <c r="C6818" t="s" s="847">
        <v>1906</v>
      </c>
      <c r="D6818" s="848"/>
      <c r="E6818" s="848"/>
      <c r="F6818" s="848"/>
      <c r="G6818" s="848"/>
      <c r="H6818" s="848"/>
      <c r="I6818" s="848"/>
      <c r="J6818" s="848"/>
      <c r="K6818" s="570"/>
    </row>
    <row r="6819" ht="13.75" customHeight="1">
      <c r="A6819" s="840">
        <v>326</v>
      </c>
      <c r="B6819" t="s" s="841">
        <v>352</v>
      </c>
      <c r="C6819" t="s" s="841">
        <v>480</v>
      </c>
      <c r="D6819" s="842">
        <v>46037</v>
      </c>
      <c r="E6819" s="843">
        <v>1.347824074074074</v>
      </c>
      <c r="F6819" s="843">
        <v>1.755648148148148</v>
      </c>
      <c r="G6819" s="845"/>
      <c r="H6819" s="845"/>
      <c r="I6819" s="845"/>
      <c r="J6819" s="845"/>
      <c r="K6819" s="858"/>
    </row>
    <row r="6820" ht="13.75" customHeight="1">
      <c r="A6820" t="s" s="847">
        <v>4595</v>
      </c>
      <c r="B6820" t="s" s="847">
        <v>4596</v>
      </c>
      <c r="C6820" t="s" s="847">
        <v>882</v>
      </c>
      <c r="D6820" s="848"/>
      <c r="E6820" s="848"/>
      <c r="F6820" s="848"/>
      <c r="G6820" s="848"/>
      <c r="H6820" s="848"/>
      <c r="I6820" s="848"/>
      <c r="J6820" s="848"/>
      <c r="K6820" s="570"/>
    </row>
    <row r="6821" ht="13.75" customHeight="1">
      <c r="A6821" s="840">
        <v>326</v>
      </c>
      <c r="B6821" t="s" s="841">
        <v>352</v>
      </c>
      <c r="C6821" t="s" s="841">
        <v>480</v>
      </c>
      <c r="D6821" s="842">
        <v>46038</v>
      </c>
      <c r="E6821" s="843">
        <v>1.351354166666667</v>
      </c>
      <c r="F6821" s="843">
        <v>1.763414351851852</v>
      </c>
      <c r="G6821" s="845"/>
      <c r="H6821" s="845"/>
      <c r="I6821" s="845"/>
      <c r="J6821" s="845"/>
      <c r="K6821" s="858"/>
    </row>
    <row r="6822" ht="13.75" customHeight="1">
      <c r="A6822" t="s" s="847">
        <v>4597</v>
      </c>
      <c r="B6822" t="s" s="847">
        <v>4598</v>
      </c>
      <c r="C6822" t="s" s="847">
        <v>597</v>
      </c>
      <c r="D6822" s="848"/>
      <c r="E6822" s="848"/>
      <c r="F6822" s="848"/>
      <c r="G6822" s="848"/>
      <c r="H6822" s="848"/>
      <c r="I6822" s="848"/>
      <c r="J6822" s="848"/>
      <c r="K6822" s="570"/>
    </row>
    <row r="6823" ht="13.75" customHeight="1">
      <c r="A6823" s="840">
        <v>326</v>
      </c>
      <c r="B6823" t="s" s="841">
        <v>352</v>
      </c>
      <c r="C6823" t="s" s="841">
        <v>480</v>
      </c>
      <c r="D6823" s="842">
        <v>46039</v>
      </c>
      <c r="E6823" t="s" s="841">
        <v>478</v>
      </c>
      <c r="F6823" t="s" s="841">
        <v>478</v>
      </c>
      <c r="G6823" t="s" s="844">
        <v>1710</v>
      </c>
      <c r="H6823" t="s" s="844">
        <v>4160</v>
      </c>
      <c r="I6823" t="s" s="844">
        <v>1710</v>
      </c>
      <c r="J6823" t="s" s="844">
        <v>4160</v>
      </c>
      <c r="K6823" s="858"/>
    </row>
    <row r="6824" ht="13.75" customHeight="1">
      <c r="A6824" s="840">
        <v>326</v>
      </c>
      <c r="B6824" t="s" s="841">
        <v>352</v>
      </c>
      <c r="C6824" t="s" s="841">
        <v>480</v>
      </c>
      <c r="D6824" s="842">
        <v>46040</v>
      </c>
      <c r="E6824" t="s" s="841">
        <v>478</v>
      </c>
      <c r="F6824" t="s" s="841">
        <v>478</v>
      </c>
      <c r="G6824" t="s" s="844">
        <v>1710</v>
      </c>
      <c r="H6824" t="s" s="844">
        <v>4160</v>
      </c>
      <c r="I6824" t="s" s="844">
        <v>1710</v>
      </c>
      <c r="J6824" t="s" s="844">
        <v>4160</v>
      </c>
      <c r="K6824" s="858"/>
    </row>
    <row r="6825" ht="13.75" customHeight="1">
      <c r="A6825" s="840">
        <v>326</v>
      </c>
      <c r="B6825" t="s" s="841">
        <v>352</v>
      </c>
      <c r="C6825" t="s" s="841">
        <v>480</v>
      </c>
      <c r="D6825" s="842">
        <v>46041</v>
      </c>
      <c r="E6825" s="843">
        <v>1.350162037037037</v>
      </c>
      <c r="F6825" s="843">
        <v>1.764421296296296</v>
      </c>
      <c r="G6825" s="845"/>
      <c r="H6825" s="845"/>
      <c r="I6825" s="845"/>
      <c r="J6825" s="845"/>
      <c r="K6825" s="858"/>
    </row>
    <row r="6826" ht="13.75" customHeight="1">
      <c r="A6826" t="s" s="847">
        <v>4599</v>
      </c>
      <c r="B6826" t="s" s="847">
        <v>4600</v>
      </c>
      <c r="C6826" t="s" s="847">
        <v>1259</v>
      </c>
      <c r="D6826" s="848"/>
      <c r="E6826" s="848"/>
      <c r="F6826" s="848"/>
      <c r="G6826" s="848"/>
      <c r="H6826" s="848"/>
      <c r="I6826" s="848"/>
      <c r="J6826" s="848"/>
      <c r="K6826" s="570"/>
    </row>
    <row r="6827" ht="13.75" customHeight="1">
      <c r="A6827" s="840">
        <v>326</v>
      </c>
      <c r="B6827" t="s" s="841">
        <v>352</v>
      </c>
      <c r="C6827" t="s" s="841">
        <v>480</v>
      </c>
      <c r="D6827" s="842">
        <v>46042</v>
      </c>
      <c r="E6827" s="843">
        <v>1.34994212962963</v>
      </c>
      <c r="F6827" t="s" s="841">
        <v>478</v>
      </c>
      <c r="G6827" s="845"/>
      <c r="H6827" s="845"/>
      <c r="I6827" t="s" s="844">
        <v>1710</v>
      </c>
      <c r="J6827" t="s" s="844">
        <v>4591</v>
      </c>
      <c r="K6827" s="858"/>
    </row>
    <row r="6828" ht="13.75" customHeight="1">
      <c r="A6828" t="s" s="847">
        <v>4601</v>
      </c>
      <c r="B6828" t="s" s="847">
        <v>485</v>
      </c>
      <c r="C6828" t="s" s="847">
        <v>486</v>
      </c>
      <c r="D6828" s="848"/>
      <c r="E6828" s="848"/>
      <c r="F6828" s="848"/>
      <c r="G6828" s="848"/>
      <c r="H6828" s="848"/>
      <c r="I6828" s="848"/>
      <c r="J6828" s="848"/>
      <c r="K6828" s="570"/>
    </row>
    <row r="6829" ht="13.75" customHeight="1">
      <c r="A6829" s="840">
        <v>326</v>
      </c>
      <c r="B6829" t="s" s="841">
        <v>352</v>
      </c>
      <c r="C6829" t="s" s="841">
        <v>480</v>
      </c>
      <c r="D6829" s="842">
        <v>46043</v>
      </c>
      <c r="E6829" s="843">
        <v>1.348888888888889</v>
      </c>
      <c r="F6829" s="843">
        <v>1.763032407407407</v>
      </c>
      <c r="G6829" s="845"/>
      <c r="H6829" s="845"/>
      <c r="I6829" s="845"/>
      <c r="J6829" s="845"/>
      <c r="K6829" s="858"/>
    </row>
    <row r="6830" ht="13.75" customHeight="1">
      <c r="A6830" t="s" s="847">
        <v>4602</v>
      </c>
      <c r="B6830" t="s" s="847">
        <v>4603</v>
      </c>
      <c r="C6830" t="s" s="847">
        <v>637</v>
      </c>
      <c r="D6830" s="848"/>
      <c r="E6830" s="848"/>
      <c r="F6830" s="848"/>
      <c r="G6830" s="848"/>
      <c r="H6830" s="848"/>
      <c r="I6830" s="633"/>
      <c r="J6830" s="633"/>
      <c r="K6830" s="570"/>
    </row>
    <row r="6831" ht="13.75" customHeight="1">
      <c r="A6831" s="854">
        <v>326</v>
      </c>
      <c r="B6831" t="s" s="855">
        <v>352</v>
      </c>
      <c r="C6831" t="s" s="855">
        <v>480</v>
      </c>
      <c r="D6831" s="856">
        <v>46044</v>
      </c>
      <c r="E6831" s="859">
        <v>1.377615740740741</v>
      </c>
      <c r="F6831" s="859">
        <v>1.762615740740741</v>
      </c>
      <c r="G6831" t="s" s="857">
        <v>1710</v>
      </c>
      <c r="H6831" t="s" s="857">
        <v>4252</v>
      </c>
      <c r="I6831" s="858"/>
      <c r="J6831" s="570"/>
      <c r="K6831" s="570"/>
    </row>
    <row r="6832" ht="13.75" customHeight="1">
      <c r="A6832" t="s" s="849">
        <v>4604</v>
      </c>
      <c r="B6832" t="s" s="849">
        <v>4605</v>
      </c>
      <c r="C6832" t="s" s="849">
        <v>2452</v>
      </c>
      <c r="D6832" s="633"/>
      <c r="E6832" s="633"/>
      <c r="F6832" s="633"/>
      <c r="G6832" s="633"/>
      <c r="H6832" s="633"/>
      <c r="I6832" s="570"/>
      <c r="J6832" s="570"/>
      <c r="K6832" s="570"/>
    </row>
    <row r="6833" ht="13.75" customHeight="1">
      <c r="A6833" s="833">
        <v>326</v>
      </c>
      <c r="B6833" t="s" s="834">
        <v>352</v>
      </c>
      <c r="C6833" t="s" s="834">
        <v>480</v>
      </c>
      <c r="D6833" s="835">
        <v>46045</v>
      </c>
      <c r="E6833" s="836">
        <v>1.348391203703704</v>
      </c>
      <c r="F6833" s="836">
        <v>1.759675925925926</v>
      </c>
      <c r="G6833" s="570"/>
      <c r="H6833" s="570"/>
      <c r="I6833" s="570"/>
      <c r="J6833" s="570"/>
      <c r="K6833" s="570"/>
    </row>
    <row r="6834" ht="13.75" customHeight="1">
      <c r="A6834" t="s" s="834">
        <v>4606</v>
      </c>
      <c r="B6834" t="s" s="834">
        <v>4607</v>
      </c>
      <c r="C6834" t="s" s="834">
        <v>850</v>
      </c>
      <c r="D6834" s="570"/>
      <c r="E6834" s="570"/>
      <c r="F6834" s="570"/>
      <c r="G6834" s="570"/>
      <c r="H6834" s="570"/>
      <c r="I6834" s="570"/>
      <c r="J6834" s="570"/>
      <c r="K6834" s="570"/>
    </row>
    <row r="6835" ht="13.75" customHeight="1">
      <c r="A6835" s="833">
        <v>326</v>
      </c>
      <c r="B6835" t="s" s="834">
        <v>352</v>
      </c>
      <c r="C6835" t="s" s="834">
        <v>480</v>
      </c>
      <c r="D6835" s="835">
        <v>46046</v>
      </c>
      <c r="E6835" t="s" s="834">
        <v>478</v>
      </c>
      <c r="F6835" t="s" s="834">
        <v>478</v>
      </c>
      <c r="G6835" t="s" s="837">
        <v>1710</v>
      </c>
      <c r="H6835" t="s" s="837">
        <v>4160</v>
      </c>
      <c r="I6835" t="s" s="837">
        <v>1710</v>
      </c>
      <c r="J6835" t="s" s="837">
        <v>4160</v>
      </c>
      <c r="K6835" s="570"/>
    </row>
    <row r="6836" ht="13.75" customHeight="1">
      <c r="A6836" s="833">
        <v>326</v>
      </c>
      <c r="B6836" t="s" s="834">
        <v>352</v>
      </c>
      <c r="C6836" t="s" s="834">
        <v>480</v>
      </c>
      <c r="D6836" s="835">
        <v>46047</v>
      </c>
      <c r="E6836" t="s" s="834">
        <v>478</v>
      </c>
      <c r="F6836" t="s" s="834">
        <v>478</v>
      </c>
      <c r="G6836" t="s" s="837">
        <v>1710</v>
      </c>
      <c r="H6836" t="s" s="837">
        <v>4160</v>
      </c>
      <c r="I6836" t="s" s="837">
        <v>1710</v>
      </c>
      <c r="J6836" t="s" s="837">
        <v>4160</v>
      </c>
      <c r="K6836" s="570"/>
    </row>
    <row r="6837" ht="13.75" customHeight="1">
      <c r="A6837" s="833">
        <v>326</v>
      </c>
      <c r="B6837" t="s" s="834">
        <v>352</v>
      </c>
      <c r="C6837" t="s" s="834">
        <v>480</v>
      </c>
      <c r="D6837" s="835">
        <v>46048</v>
      </c>
      <c r="E6837" s="836">
        <v>1.350717592592593</v>
      </c>
      <c r="F6837" s="836">
        <v>1.754571759259259</v>
      </c>
      <c r="G6837" s="570"/>
      <c r="H6837" s="570"/>
      <c r="I6837" s="570"/>
      <c r="J6837" s="570"/>
      <c r="K6837" s="570"/>
    </row>
    <row r="6838" ht="13.75" customHeight="1">
      <c r="A6838" t="s" s="834">
        <v>4608</v>
      </c>
      <c r="B6838" t="s" s="834">
        <v>4609</v>
      </c>
      <c r="C6838" t="s" s="834">
        <v>493</v>
      </c>
      <c r="D6838" s="570"/>
      <c r="E6838" s="570"/>
      <c r="F6838" s="570"/>
      <c r="G6838" s="570"/>
      <c r="H6838" s="570"/>
      <c r="I6838" s="570"/>
      <c r="J6838" s="570"/>
      <c r="K6838" s="570"/>
    </row>
    <row r="6839" ht="13.75" customHeight="1">
      <c r="A6839" s="833">
        <v>326</v>
      </c>
      <c r="B6839" t="s" s="834">
        <v>352</v>
      </c>
      <c r="C6839" t="s" s="834">
        <v>480</v>
      </c>
      <c r="D6839" s="835">
        <v>46049</v>
      </c>
      <c r="E6839" s="836">
        <v>1.352511574074074</v>
      </c>
      <c r="F6839" s="836">
        <v>1.762453703703704</v>
      </c>
      <c r="G6839" s="570"/>
      <c r="H6839" s="570"/>
      <c r="I6839" s="570"/>
      <c r="J6839" s="570"/>
      <c r="K6839" s="570"/>
    </row>
    <row r="6840" ht="13.75" customHeight="1">
      <c r="A6840" t="s" s="838">
        <v>4610</v>
      </c>
      <c r="B6840" t="s" s="838">
        <v>4611</v>
      </c>
      <c r="C6840" t="s" s="838">
        <v>1119</v>
      </c>
      <c r="D6840" s="839"/>
      <c r="E6840" s="839"/>
      <c r="F6840" s="839"/>
      <c r="G6840" s="839"/>
      <c r="H6840" s="839"/>
      <c r="I6840" s="570"/>
      <c r="J6840" s="570"/>
      <c r="K6840" s="570"/>
    </row>
    <row r="6841" ht="13.75" customHeight="1">
      <c r="A6841" s="854">
        <v>326</v>
      </c>
      <c r="B6841" t="s" s="855">
        <v>352</v>
      </c>
      <c r="C6841" t="s" s="855">
        <v>480</v>
      </c>
      <c r="D6841" s="856">
        <v>46050</v>
      </c>
      <c r="E6841" s="859">
        <v>1.405243055555556</v>
      </c>
      <c r="F6841" s="859">
        <v>1.754953703703704</v>
      </c>
      <c r="G6841" t="s" s="857">
        <v>1710</v>
      </c>
      <c r="H6841" t="s" s="857">
        <v>4252</v>
      </c>
      <c r="I6841" s="858"/>
      <c r="J6841" s="570"/>
      <c r="K6841" s="570"/>
    </row>
    <row r="6842" ht="13.75" customHeight="1">
      <c r="A6842" t="s" s="849">
        <v>4612</v>
      </c>
      <c r="B6842" t="s" s="849">
        <v>4613</v>
      </c>
      <c r="C6842" t="s" s="849">
        <v>1244</v>
      </c>
      <c r="D6842" s="633"/>
      <c r="E6842" s="633"/>
      <c r="F6842" s="633"/>
      <c r="G6842" s="633"/>
      <c r="H6842" s="633"/>
      <c r="I6842" s="570"/>
      <c r="J6842" s="570"/>
      <c r="K6842" s="570"/>
    </row>
    <row r="6843" ht="13.75" customHeight="1">
      <c r="A6843" s="833">
        <v>326</v>
      </c>
      <c r="B6843" t="s" s="834">
        <v>352</v>
      </c>
      <c r="C6843" t="s" s="834">
        <v>480</v>
      </c>
      <c r="D6843" s="835">
        <v>46051</v>
      </c>
      <c r="E6843" s="836">
        <v>1.351157407407408</v>
      </c>
      <c r="F6843" s="836">
        <v>1.763993055555555</v>
      </c>
      <c r="G6843" s="570"/>
      <c r="H6843" s="570"/>
      <c r="I6843" s="570"/>
      <c r="J6843" s="570"/>
      <c r="K6843" s="570"/>
    </row>
    <row r="6844" ht="13.75" customHeight="1">
      <c r="A6844" t="s" s="834">
        <v>4614</v>
      </c>
      <c r="B6844" t="s" s="834">
        <v>4615</v>
      </c>
      <c r="C6844" t="s" s="834">
        <v>1059</v>
      </c>
      <c r="D6844" s="570"/>
      <c r="E6844" s="570"/>
      <c r="F6844" s="570"/>
      <c r="G6844" s="570"/>
      <c r="H6844" s="570"/>
      <c r="I6844" s="570"/>
      <c r="J6844" s="570"/>
      <c r="K6844" s="570"/>
    </row>
    <row r="6845" ht="13.75" customHeight="1">
      <c r="A6845" s="833">
        <v>326</v>
      </c>
      <c r="B6845" t="s" s="834">
        <v>352</v>
      </c>
      <c r="C6845" t="s" s="834">
        <v>480</v>
      </c>
      <c r="D6845" s="835">
        <v>46052</v>
      </c>
      <c r="E6845" s="836">
        <v>1.350219907407407</v>
      </c>
      <c r="F6845" s="836">
        <v>1.507256944444444</v>
      </c>
      <c r="G6845" s="570"/>
      <c r="H6845" s="570"/>
      <c r="I6845" t="s" s="837">
        <v>1710</v>
      </c>
      <c r="J6845" t="s" s="837">
        <v>1712</v>
      </c>
      <c r="K6845" s="570"/>
    </row>
    <row r="6846" ht="13.75" customHeight="1">
      <c r="A6846" t="s" s="834">
        <v>4616</v>
      </c>
      <c r="B6846" t="s" s="834">
        <v>4617</v>
      </c>
      <c r="C6846" t="s" s="834">
        <v>4618</v>
      </c>
      <c r="D6846" s="570"/>
      <c r="E6846" s="570"/>
      <c r="F6846" s="570"/>
      <c r="G6846" s="570"/>
      <c r="H6846" s="570"/>
      <c r="I6846" s="570"/>
      <c r="J6846" s="570"/>
      <c r="K6846" s="570"/>
    </row>
    <row r="6847" ht="13.75" customHeight="1">
      <c r="A6847" s="833">
        <v>326</v>
      </c>
      <c r="B6847" t="s" s="834">
        <v>352</v>
      </c>
      <c r="C6847" t="s" s="834">
        <v>480</v>
      </c>
      <c r="D6847" s="835">
        <v>46053</v>
      </c>
      <c r="E6847" t="s" s="834">
        <v>478</v>
      </c>
      <c r="F6847" t="s" s="834">
        <v>478</v>
      </c>
      <c r="G6847" t="s" s="837">
        <v>1710</v>
      </c>
      <c r="H6847" t="s" s="837">
        <v>4160</v>
      </c>
      <c r="I6847" t="s" s="837">
        <v>1710</v>
      </c>
      <c r="J6847" t="s" s="837">
        <v>4160</v>
      </c>
      <c r="K6847" s="570"/>
    </row>
    <row r="6848" ht="13.75" customHeight="1">
      <c r="A6848" s="833">
        <v>327</v>
      </c>
      <c r="B6848" t="s" s="834">
        <v>372</v>
      </c>
      <c r="C6848" t="s" s="834">
        <v>480</v>
      </c>
      <c r="D6848" s="835">
        <v>46023</v>
      </c>
      <c r="E6848" t="s" s="834">
        <v>478</v>
      </c>
      <c r="F6848" t="s" s="834">
        <v>478</v>
      </c>
      <c r="G6848" s="570"/>
      <c r="H6848" s="570"/>
      <c r="I6848" s="570"/>
      <c r="J6848" s="570"/>
      <c r="K6848" s="570"/>
    </row>
    <row r="6849" ht="13.75" customHeight="1">
      <c r="A6849" s="833">
        <v>327</v>
      </c>
      <c r="B6849" t="s" s="834">
        <v>372</v>
      </c>
      <c r="C6849" t="s" s="834">
        <v>480</v>
      </c>
      <c r="D6849" s="835">
        <v>46024</v>
      </c>
      <c r="E6849" t="s" s="834">
        <v>478</v>
      </c>
      <c r="F6849" t="s" s="834">
        <v>478</v>
      </c>
      <c r="G6849" s="570"/>
      <c r="H6849" s="570"/>
      <c r="I6849" s="570"/>
      <c r="J6849" s="570"/>
      <c r="K6849" s="570"/>
    </row>
    <row r="6850" ht="13.75" customHeight="1">
      <c r="A6850" s="833">
        <v>327</v>
      </c>
      <c r="B6850" t="s" s="834">
        <v>372</v>
      </c>
      <c r="C6850" t="s" s="834">
        <v>480</v>
      </c>
      <c r="D6850" s="835">
        <v>46025</v>
      </c>
      <c r="E6850" t="s" s="834">
        <v>478</v>
      </c>
      <c r="F6850" t="s" s="834">
        <v>478</v>
      </c>
      <c r="G6850" s="570"/>
      <c r="H6850" s="570"/>
      <c r="I6850" s="570"/>
      <c r="J6850" s="570"/>
      <c r="K6850" s="570"/>
    </row>
    <row r="6851" ht="13.75" customHeight="1">
      <c r="A6851" s="833">
        <v>327</v>
      </c>
      <c r="B6851" t="s" s="834">
        <v>372</v>
      </c>
      <c r="C6851" t="s" s="834">
        <v>480</v>
      </c>
      <c r="D6851" s="835">
        <v>46026</v>
      </c>
      <c r="E6851" t="s" s="834">
        <v>478</v>
      </c>
      <c r="F6851" t="s" s="834">
        <v>478</v>
      </c>
      <c r="G6851" s="570"/>
      <c r="H6851" s="570"/>
      <c r="I6851" s="570"/>
      <c r="J6851" s="570"/>
      <c r="K6851" s="570"/>
    </row>
    <row r="6852" ht="13.75" customHeight="1">
      <c r="A6852" s="833">
        <v>327</v>
      </c>
      <c r="B6852" t="s" s="834">
        <v>372</v>
      </c>
      <c r="C6852" t="s" s="834">
        <v>480</v>
      </c>
      <c r="D6852" s="835">
        <v>46027</v>
      </c>
      <c r="E6852" t="s" s="834">
        <v>478</v>
      </c>
      <c r="F6852" t="s" s="834">
        <v>478</v>
      </c>
      <c r="G6852" s="570"/>
      <c r="H6852" s="570"/>
      <c r="I6852" s="570"/>
      <c r="J6852" s="570"/>
      <c r="K6852" s="570"/>
    </row>
    <row r="6853" ht="13.75" customHeight="1">
      <c r="A6853" s="833">
        <v>327</v>
      </c>
      <c r="B6853" t="s" s="834">
        <v>372</v>
      </c>
      <c r="C6853" t="s" s="834">
        <v>480</v>
      </c>
      <c r="D6853" s="835">
        <v>46028</v>
      </c>
      <c r="E6853" t="s" s="834">
        <v>478</v>
      </c>
      <c r="F6853" t="s" s="834">
        <v>478</v>
      </c>
      <c r="G6853" s="570"/>
      <c r="H6853" s="570"/>
      <c r="I6853" s="570"/>
      <c r="J6853" s="570"/>
      <c r="K6853" s="570"/>
    </row>
    <row r="6854" ht="13.75" customHeight="1">
      <c r="A6854" s="833">
        <v>327</v>
      </c>
      <c r="B6854" t="s" s="834">
        <v>372</v>
      </c>
      <c r="C6854" t="s" s="834">
        <v>480</v>
      </c>
      <c r="D6854" s="835">
        <v>46029</v>
      </c>
      <c r="E6854" t="s" s="834">
        <v>478</v>
      </c>
      <c r="F6854" t="s" s="834">
        <v>478</v>
      </c>
      <c r="G6854" s="570"/>
      <c r="H6854" s="570"/>
      <c r="I6854" s="570"/>
      <c r="J6854" s="570"/>
      <c r="K6854" s="570"/>
    </row>
    <row r="6855" ht="13.75" customHeight="1">
      <c r="A6855" s="833">
        <v>327</v>
      </c>
      <c r="B6855" t="s" s="834">
        <v>372</v>
      </c>
      <c r="C6855" t="s" s="834">
        <v>480</v>
      </c>
      <c r="D6855" s="835">
        <v>46030</v>
      </c>
      <c r="E6855" t="s" s="834">
        <v>478</v>
      </c>
      <c r="F6855" t="s" s="834">
        <v>478</v>
      </c>
      <c r="G6855" s="570"/>
      <c r="H6855" s="570"/>
      <c r="I6855" s="570"/>
      <c r="J6855" s="570"/>
      <c r="K6855" s="570"/>
    </row>
    <row r="6856" ht="13.75" customHeight="1">
      <c r="A6856" s="833">
        <v>327</v>
      </c>
      <c r="B6856" t="s" s="834">
        <v>372</v>
      </c>
      <c r="C6856" t="s" s="834">
        <v>480</v>
      </c>
      <c r="D6856" s="835">
        <v>46031</v>
      </c>
      <c r="E6856" t="s" s="834">
        <v>478</v>
      </c>
      <c r="F6856" t="s" s="834">
        <v>478</v>
      </c>
      <c r="G6856" s="570"/>
      <c r="H6856" s="570"/>
      <c r="I6856" s="570"/>
      <c r="J6856" s="570"/>
      <c r="K6856" s="570"/>
    </row>
    <row r="6857" ht="13.75" customHeight="1">
      <c r="A6857" s="833">
        <v>327</v>
      </c>
      <c r="B6857" t="s" s="834">
        <v>372</v>
      </c>
      <c r="C6857" t="s" s="834">
        <v>480</v>
      </c>
      <c r="D6857" s="835">
        <v>46032</v>
      </c>
      <c r="E6857" t="s" s="834">
        <v>478</v>
      </c>
      <c r="F6857" t="s" s="834">
        <v>478</v>
      </c>
      <c r="G6857" s="570"/>
      <c r="H6857" s="570"/>
      <c r="I6857" s="570"/>
      <c r="J6857" s="570"/>
      <c r="K6857" s="570"/>
    </row>
    <row r="6858" ht="13.75" customHeight="1">
      <c r="A6858" s="833">
        <v>327</v>
      </c>
      <c r="B6858" t="s" s="834">
        <v>372</v>
      </c>
      <c r="C6858" t="s" s="834">
        <v>480</v>
      </c>
      <c r="D6858" s="835">
        <v>46033</v>
      </c>
      <c r="E6858" t="s" s="834">
        <v>478</v>
      </c>
      <c r="F6858" t="s" s="834">
        <v>478</v>
      </c>
      <c r="G6858" s="570"/>
      <c r="H6858" s="570"/>
      <c r="I6858" s="570"/>
      <c r="J6858" s="570"/>
      <c r="K6858" s="570"/>
    </row>
    <row r="6859" ht="13.75" customHeight="1">
      <c r="A6859" s="833">
        <v>327</v>
      </c>
      <c r="B6859" t="s" s="834">
        <v>372</v>
      </c>
      <c r="C6859" t="s" s="834">
        <v>480</v>
      </c>
      <c r="D6859" s="835">
        <v>46034</v>
      </c>
      <c r="E6859" t="s" s="834">
        <v>478</v>
      </c>
      <c r="F6859" t="s" s="834">
        <v>478</v>
      </c>
      <c r="G6859" s="570"/>
      <c r="H6859" s="570"/>
      <c r="I6859" s="570"/>
      <c r="J6859" s="570"/>
      <c r="K6859" s="570"/>
    </row>
    <row r="6860" ht="13.75" customHeight="1">
      <c r="A6860" s="833">
        <v>327</v>
      </c>
      <c r="B6860" t="s" s="834">
        <v>372</v>
      </c>
      <c r="C6860" t="s" s="834">
        <v>480</v>
      </c>
      <c r="D6860" s="835">
        <v>46035</v>
      </c>
      <c r="E6860" t="s" s="834">
        <v>478</v>
      </c>
      <c r="F6860" t="s" s="834">
        <v>478</v>
      </c>
      <c r="G6860" s="570"/>
      <c r="H6860" s="570"/>
      <c r="I6860" s="570"/>
      <c r="J6860" s="570"/>
      <c r="K6860" s="570"/>
    </row>
    <row r="6861" ht="13.75" customHeight="1">
      <c r="A6861" s="833">
        <v>327</v>
      </c>
      <c r="B6861" t="s" s="834">
        <v>372</v>
      </c>
      <c r="C6861" t="s" s="834">
        <v>480</v>
      </c>
      <c r="D6861" s="835">
        <v>46036</v>
      </c>
      <c r="E6861" t="s" s="834">
        <v>478</v>
      </c>
      <c r="F6861" t="s" s="834">
        <v>478</v>
      </c>
      <c r="G6861" s="570"/>
      <c r="H6861" s="570"/>
      <c r="I6861" s="570"/>
      <c r="J6861" s="570"/>
      <c r="K6861" s="570"/>
    </row>
    <row r="6862" ht="13.75" customHeight="1">
      <c r="A6862" s="833">
        <v>327</v>
      </c>
      <c r="B6862" t="s" s="834">
        <v>372</v>
      </c>
      <c r="C6862" t="s" s="834">
        <v>480</v>
      </c>
      <c r="D6862" s="835">
        <v>46037</v>
      </c>
      <c r="E6862" t="s" s="834">
        <v>478</v>
      </c>
      <c r="F6862" t="s" s="834">
        <v>478</v>
      </c>
      <c r="G6862" s="570"/>
      <c r="H6862" s="570"/>
      <c r="I6862" s="570"/>
      <c r="J6862" s="570"/>
      <c r="K6862" s="570"/>
    </row>
    <row r="6863" ht="13.75" customHeight="1">
      <c r="A6863" s="833">
        <v>327</v>
      </c>
      <c r="B6863" t="s" s="834">
        <v>372</v>
      </c>
      <c r="C6863" t="s" s="834">
        <v>480</v>
      </c>
      <c r="D6863" s="835">
        <v>46038</v>
      </c>
      <c r="E6863" t="s" s="834">
        <v>478</v>
      </c>
      <c r="F6863" t="s" s="834">
        <v>478</v>
      </c>
      <c r="G6863" s="570"/>
      <c r="H6863" s="570"/>
      <c r="I6863" s="570"/>
      <c r="J6863" s="570"/>
      <c r="K6863" s="570"/>
    </row>
    <row r="6864" ht="13.75" customHeight="1">
      <c r="A6864" s="833">
        <v>327</v>
      </c>
      <c r="B6864" t="s" s="834">
        <v>372</v>
      </c>
      <c r="C6864" t="s" s="834">
        <v>480</v>
      </c>
      <c r="D6864" s="835">
        <v>46039</v>
      </c>
      <c r="E6864" t="s" s="834">
        <v>478</v>
      </c>
      <c r="F6864" t="s" s="834">
        <v>478</v>
      </c>
      <c r="G6864" s="570"/>
      <c r="H6864" s="570"/>
      <c r="I6864" s="570"/>
      <c r="J6864" s="570"/>
      <c r="K6864" s="570"/>
    </row>
    <row r="6865" ht="13.75" customHeight="1">
      <c r="A6865" s="833">
        <v>327</v>
      </c>
      <c r="B6865" t="s" s="834">
        <v>372</v>
      </c>
      <c r="C6865" t="s" s="834">
        <v>480</v>
      </c>
      <c r="D6865" s="835">
        <v>46040</v>
      </c>
      <c r="E6865" t="s" s="834">
        <v>478</v>
      </c>
      <c r="F6865" t="s" s="834">
        <v>478</v>
      </c>
      <c r="G6865" s="570"/>
      <c r="H6865" s="570"/>
      <c r="I6865" s="570"/>
      <c r="J6865" s="570"/>
      <c r="K6865" s="570"/>
    </row>
    <row r="6866" ht="13.75" customHeight="1">
      <c r="A6866" s="833">
        <v>327</v>
      </c>
      <c r="B6866" t="s" s="834">
        <v>372</v>
      </c>
      <c r="C6866" t="s" s="834">
        <v>480</v>
      </c>
      <c r="D6866" s="835">
        <v>46041</v>
      </c>
      <c r="E6866" t="s" s="834">
        <v>478</v>
      </c>
      <c r="F6866" t="s" s="834">
        <v>478</v>
      </c>
      <c r="G6866" s="570"/>
      <c r="H6866" s="570"/>
      <c r="I6866" s="570"/>
      <c r="J6866" s="570"/>
      <c r="K6866" s="570"/>
    </row>
    <row r="6867" ht="13.75" customHeight="1">
      <c r="A6867" s="833">
        <v>327</v>
      </c>
      <c r="B6867" t="s" s="834">
        <v>372</v>
      </c>
      <c r="C6867" t="s" s="834">
        <v>480</v>
      </c>
      <c r="D6867" s="835">
        <v>46042</v>
      </c>
      <c r="E6867" t="s" s="834">
        <v>478</v>
      </c>
      <c r="F6867" t="s" s="834">
        <v>478</v>
      </c>
      <c r="G6867" s="570"/>
      <c r="H6867" s="570"/>
      <c r="I6867" s="570"/>
      <c r="J6867" s="570"/>
      <c r="K6867" s="570"/>
    </row>
    <row r="6868" ht="13.75" customHeight="1">
      <c r="A6868" s="833">
        <v>327</v>
      </c>
      <c r="B6868" t="s" s="834">
        <v>372</v>
      </c>
      <c r="C6868" t="s" s="834">
        <v>480</v>
      </c>
      <c r="D6868" s="835">
        <v>46043</v>
      </c>
      <c r="E6868" t="s" s="834">
        <v>478</v>
      </c>
      <c r="F6868" t="s" s="834">
        <v>478</v>
      </c>
      <c r="G6868" s="570"/>
      <c r="H6868" s="570"/>
      <c r="I6868" s="570"/>
      <c r="J6868" s="570"/>
      <c r="K6868" s="570"/>
    </row>
    <row r="6869" ht="13.75" customHeight="1">
      <c r="A6869" s="833">
        <v>327</v>
      </c>
      <c r="B6869" t="s" s="834">
        <v>372</v>
      </c>
      <c r="C6869" t="s" s="834">
        <v>480</v>
      </c>
      <c r="D6869" s="835">
        <v>46044</v>
      </c>
      <c r="E6869" t="s" s="834">
        <v>478</v>
      </c>
      <c r="F6869" t="s" s="834">
        <v>478</v>
      </c>
      <c r="G6869" s="570"/>
      <c r="H6869" s="570"/>
      <c r="I6869" s="570"/>
      <c r="J6869" s="570"/>
      <c r="K6869" s="570"/>
    </row>
    <row r="6870" ht="13.75" customHeight="1">
      <c r="A6870" s="833">
        <v>327</v>
      </c>
      <c r="B6870" t="s" s="834">
        <v>372</v>
      </c>
      <c r="C6870" t="s" s="834">
        <v>480</v>
      </c>
      <c r="D6870" s="835">
        <v>46045</v>
      </c>
      <c r="E6870" t="s" s="834">
        <v>478</v>
      </c>
      <c r="F6870" t="s" s="834">
        <v>478</v>
      </c>
      <c r="G6870" s="570"/>
      <c r="H6870" s="570"/>
      <c r="I6870" s="570"/>
      <c r="J6870" s="570"/>
      <c r="K6870" s="570"/>
    </row>
    <row r="6871" ht="13.75" customHeight="1">
      <c r="A6871" s="833">
        <v>327</v>
      </c>
      <c r="B6871" t="s" s="834">
        <v>372</v>
      </c>
      <c r="C6871" t="s" s="834">
        <v>480</v>
      </c>
      <c r="D6871" s="835">
        <v>46046</v>
      </c>
      <c r="E6871" t="s" s="834">
        <v>478</v>
      </c>
      <c r="F6871" t="s" s="834">
        <v>478</v>
      </c>
      <c r="G6871" s="570"/>
      <c r="H6871" s="570"/>
      <c r="I6871" s="570"/>
      <c r="J6871" s="570"/>
      <c r="K6871" s="570"/>
    </row>
    <row r="6872" ht="13.75" customHeight="1">
      <c r="A6872" s="833">
        <v>327</v>
      </c>
      <c r="B6872" t="s" s="834">
        <v>372</v>
      </c>
      <c r="C6872" t="s" s="834">
        <v>480</v>
      </c>
      <c r="D6872" s="835">
        <v>46047</v>
      </c>
      <c r="E6872" t="s" s="834">
        <v>478</v>
      </c>
      <c r="F6872" t="s" s="834">
        <v>478</v>
      </c>
      <c r="G6872" s="570"/>
      <c r="H6872" s="570"/>
      <c r="I6872" s="570"/>
      <c r="J6872" s="570"/>
      <c r="K6872" s="570"/>
    </row>
    <row r="6873" ht="13.75" customHeight="1">
      <c r="A6873" s="833">
        <v>327</v>
      </c>
      <c r="B6873" t="s" s="834">
        <v>372</v>
      </c>
      <c r="C6873" t="s" s="834">
        <v>480</v>
      </c>
      <c r="D6873" s="835">
        <v>46048</v>
      </c>
      <c r="E6873" t="s" s="834">
        <v>478</v>
      </c>
      <c r="F6873" t="s" s="834">
        <v>478</v>
      </c>
      <c r="G6873" s="570"/>
      <c r="H6873" s="570"/>
      <c r="I6873" s="570"/>
      <c r="J6873" s="570"/>
      <c r="K6873" s="570"/>
    </row>
    <row r="6874" ht="13.75" customHeight="1">
      <c r="A6874" s="833">
        <v>327</v>
      </c>
      <c r="B6874" t="s" s="834">
        <v>372</v>
      </c>
      <c r="C6874" t="s" s="834">
        <v>480</v>
      </c>
      <c r="D6874" s="835">
        <v>46049</v>
      </c>
      <c r="E6874" t="s" s="834">
        <v>478</v>
      </c>
      <c r="F6874" t="s" s="834">
        <v>478</v>
      </c>
      <c r="G6874" s="570"/>
      <c r="H6874" s="570"/>
      <c r="I6874" s="570"/>
      <c r="J6874" s="570"/>
      <c r="K6874" s="570"/>
    </row>
    <row r="6875" ht="13.75" customHeight="1">
      <c r="A6875" s="833">
        <v>327</v>
      </c>
      <c r="B6875" t="s" s="834">
        <v>372</v>
      </c>
      <c r="C6875" t="s" s="834">
        <v>480</v>
      </c>
      <c r="D6875" s="835">
        <v>46050</v>
      </c>
      <c r="E6875" t="s" s="834">
        <v>478</v>
      </c>
      <c r="F6875" t="s" s="834">
        <v>478</v>
      </c>
      <c r="G6875" s="570"/>
      <c r="H6875" s="570"/>
      <c r="I6875" s="570"/>
      <c r="J6875" s="570"/>
      <c r="K6875" s="570"/>
    </row>
    <row r="6876" ht="13.75" customHeight="1">
      <c r="A6876" s="833">
        <v>327</v>
      </c>
      <c r="B6876" t="s" s="834">
        <v>372</v>
      </c>
      <c r="C6876" t="s" s="834">
        <v>480</v>
      </c>
      <c r="D6876" s="835">
        <v>46051</v>
      </c>
      <c r="E6876" t="s" s="834">
        <v>478</v>
      </c>
      <c r="F6876" t="s" s="834">
        <v>478</v>
      </c>
      <c r="G6876" s="570"/>
      <c r="H6876" s="570"/>
      <c r="I6876" s="570"/>
      <c r="J6876" s="570"/>
      <c r="K6876" s="570"/>
    </row>
    <row r="6877" ht="13.75" customHeight="1">
      <c r="A6877" s="833">
        <v>327</v>
      </c>
      <c r="B6877" t="s" s="834">
        <v>372</v>
      </c>
      <c r="C6877" t="s" s="834">
        <v>480</v>
      </c>
      <c r="D6877" s="835">
        <v>46052</v>
      </c>
      <c r="E6877" t="s" s="834">
        <v>478</v>
      </c>
      <c r="F6877" t="s" s="834">
        <v>478</v>
      </c>
      <c r="G6877" s="570"/>
      <c r="H6877" s="570"/>
      <c r="I6877" s="570"/>
      <c r="J6877" s="570"/>
      <c r="K6877" s="570"/>
    </row>
    <row r="6878" ht="13.75" customHeight="1">
      <c r="A6878" s="833">
        <v>327</v>
      </c>
      <c r="B6878" t="s" s="834">
        <v>372</v>
      </c>
      <c r="C6878" t="s" s="834">
        <v>480</v>
      </c>
      <c r="D6878" s="835">
        <v>46053</v>
      </c>
      <c r="E6878" t="s" s="834">
        <v>478</v>
      </c>
      <c r="F6878" t="s" s="834">
        <v>478</v>
      </c>
      <c r="G6878" s="570"/>
      <c r="H6878" s="570"/>
      <c r="I6878" s="570"/>
      <c r="J6878" s="570"/>
      <c r="K6878" s="570"/>
    </row>
    <row r="6879" ht="13.75" customHeight="1">
      <c r="A6879" s="833">
        <v>327</v>
      </c>
      <c r="B6879" t="s" s="834">
        <v>372</v>
      </c>
      <c r="C6879" t="s" s="834">
        <v>480</v>
      </c>
      <c r="D6879" s="835">
        <v>46054</v>
      </c>
      <c r="E6879" t="s" s="834">
        <v>478</v>
      </c>
      <c r="F6879" t="s" s="834">
        <v>478</v>
      </c>
      <c r="G6879" s="570"/>
      <c r="H6879" s="570"/>
      <c r="I6879" s="570"/>
      <c r="J6879" s="570"/>
      <c r="K6879" s="570"/>
    </row>
    <row r="6880" ht="13.75" customHeight="1">
      <c r="A6880" s="833">
        <v>328</v>
      </c>
      <c r="B6880" t="s" s="834">
        <v>459</v>
      </c>
      <c r="C6880" t="s" s="834">
        <v>480</v>
      </c>
      <c r="D6880" s="835">
        <v>46023</v>
      </c>
      <c r="E6880" t="s" s="834">
        <v>478</v>
      </c>
      <c r="F6880" t="s" s="834">
        <v>478</v>
      </c>
      <c r="G6880" t="s" s="837">
        <v>1710</v>
      </c>
      <c r="H6880" t="s" s="837">
        <v>4619</v>
      </c>
      <c r="I6880" t="s" s="837">
        <v>1710</v>
      </c>
      <c r="J6880" s="570"/>
      <c r="K6880" s="570"/>
    </row>
    <row r="6881" ht="13.75" customHeight="1">
      <c r="A6881" s="833">
        <v>328</v>
      </c>
      <c r="B6881" t="s" s="834">
        <v>459</v>
      </c>
      <c r="C6881" t="s" s="834">
        <v>480</v>
      </c>
      <c r="D6881" s="835">
        <v>46024</v>
      </c>
      <c r="E6881" t="s" s="834">
        <v>478</v>
      </c>
      <c r="F6881" t="s" s="834">
        <v>478</v>
      </c>
      <c r="G6881" t="s" s="837">
        <v>1710</v>
      </c>
      <c r="H6881" s="570"/>
      <c r="I6881" t="s" s="837">
        <v>1710</v>
      </c>
      <c r="J6881" s="570"/>
      <c r="K6881" s="570"/>
    </row>
    <row r="6882" ht="13.75" customHeight="1">
      <c r="A6882" s="833">
        <v>328</v>
      </c>
      <c r="B6882" t="s" s="834">
        <v>459</v>
      </c>
      <c r="C6882" t="s" s="834">
        <v>480</v>
      </c>
      <c r="D6882" s="835">
        <v>46025</v>
      </c>
      <c r="E6882" t="s" s="834">
        <v>478</v>
      </c>
      <c r="F6882" t="s" s="834">
        <v>478</v>
      </c>
      <c r="G6882" t="s" s="837">
        <v>1710</v>
      </c>
      <c r="H6882" t="s" s="837">
        <v>1713</v>
      </c>
      <c r="I6882" t="s" s="837">
        <v>1710</v>
      </c>
      <c r="J6882" t="s" s="837">
        <v>1713</v>
      </c>
      <c r="K6882" s="570"/>
    </row>
    <row r="6883" ht="13.75" customHeight="1">
      <c r="A6883" s="833">
        <v>328</v>
      </c>
      <c r="B6883" t="s" s="834">
        <v>459</v>
      </c>
      <c r="C6883" t="s" s="834">
        <v>480</v>
      </c>
      <c r="D6883" s="835">
        <v>46026</v>
      </c>
      <c r="E6883" t="s" s="834">
        <v>478</v>
      </c>
      <c r="F6883" t="s" s="834">
        <v>478</v>
      </c>
      <c r="G6883" t="s" s="837">
        <v>1710</v>
      </c>
      <c r="H6883" t="s" s="837">
        <v>1713</v>
      </c>
      <c r="I6883" t="s" s="837">
        <v>1710</v>
      </c>
      <c r="J6883" t="s" s="837">
        <v>1713</v>
      </c>
      <c r="K6883" s="570"/>
    </row>
    <row r="6884" ht="13.75" customHeight="1">
      <c r="A6884" s="833">
        <v>328</v>
      </c>
      <c r="B6884" t="s" s="834">
        <v>459</v>
      </c>
      <c r="C6884" t="s" s="834">
        <v>480</v>
      </c>
      <c r="D6884" s="835">
        <v>46027</v>
      </c>
      <c r="E6884" s="836">
        <v>1.347951388888889</v>
      </c>
      <c r="F6884" s="836">
        <v>1.764444444444444</v>
      </c>
      <c r="G6884" s="570"/>
      <c r="H6884" s="570"/>
      <c r="I6884" s="570"/>
      <c r="J6884" s="570"/>
      <c r="K6884" s="570"/>
    </row>
    <row r="6885" ht="13.75" customHeight="1">
      <c r="A6885" t="s" s="834">
        <v>4620</v>
      </c>
      <c r="B6885" t="s" s="834">
        <v>4621</v>
      </c>
      <c r="C6885" t="s" s="834">
        <v>530</v>
      </c>
      <c r="D6885" s="570"/>
      <c r="E6885" s="570"/>
      <c r="F6885" s="570"/>
      <c r="G6885" s="570"/>
      <c r="H6885" s="570"/>
      <c r="I6885" s="570"/>
      <c r="J6885" s="570"/>
      <c r="K6885" s="570"/>
    </row>
    <row r="6886" ht="13.75" customHeight="1">
      <c r="A6886" s="833">
        <v>328</v>
      </c>
      <c r="B6886" t="s" s="834">
        <v>459</v>
      </c>
      <c r="C6886" t="s" s="834">
        <v>480</v>
      </c>
      <c r="D6886" s="835">
        <v>46028</v>
      </c>
      <c r="E6886" s="836">
        <v>1.350543981481481</v>
      </c>
      <c r="F6886" s="836">
        <v>1.766759259259259</v>
      </c>
      <c r="G6886" s="570"/>
      <c r="H6886" s="570"/>
      <c r="I6886" s="570"/>
      <c r="J6886" s="570"/>
      <c r="K6886" s="570"/>
    </row>
    <row r="6887" ht="13.75" customHeight="1">
      <c r="A6887" t="s" s="834">
        <v>4622</v>
      </c>
      <c r="B6887" t="s" s="834">
        <v>4623</v>
      </c>
      <c r="C6887" t="s" s="834">
        <v>652</v>
      </c>
      <c r="D6887" s="570"/>
      <c r="E6887" s="570"/>
      <c r="F6887" s="570"/>
      <c r="G6887" s="570"/>
      <c r="H6887" s="570"/>
      <c r="I6887" s="570"/>
      <c r="J6887" s="570"/>
      <c r="K6887" s="570"/>
    </row>
    <row r="6888" ht="13.75" customHeight="1">
      <c r="A6888" s="833">
        <v>328</v>
      </c>
      <c r="B6888" t="s" s="834">
        <v>459</v>
      </c>
      <c r="C6888" t="s" s="834">
        <v>480</v>
      </c>
      <c r="D6888" s="835">
        <v>46029</v>
      </c>
      <c r="E6888" s="836">
        <v>1.35849537037037</v>
      </c>
      <c r="F6888" s="836">
        <v>1.766458333333333</v>
      </c>
      <c r="G6888" s="570"/>
      <c r="H6888" s="570"/>
      <c r="I6888" s="570"/>
      <c r="J6888" s="570"/>
      <c r="K6888" s="570"/>
    </row>
    <row r="6889" ht="13.75" customHeight="1">
      <c r="A6889" t="s" s="834">
        <v>4624</v>
      </c>
      <c r="B6889" t="s" s="834">
        <v>4625</v>
      </c>
      <c r="C6889" t="s" s="834">
        <v>882</v>
      </c>
      <c r="D6889" s="570"/>
      <c r="E6889" s="570"/>
      <c r="F6889" s="570"/>
      <c r="G6889" s="570"/>
      <c r="H6889" s="570"/>
      <c r="I6889" s="570"/>
      <c r="J6889" s="570"/>
      <c r="K6889" s="570"/>
    </row>
    <row r="6890" ht="13.75" customHeight="1">
      <c r="A6890" s="833">
        <v>328</v>
      </c>
      <c r="B6890" t="s" s="834">
        <v>459</v>
      </c>
      <c r="C6890" t="s" s="834">
        <v>480</v>
      </c>
      <c r="D6890" s="835">
        <v>46030</v>
      </c>
      <c r="E6890" s="836">
        <v>1.388715277777778</v>
      </c>
      <c r="F6890" s="836">
        <v>1.771481481481481</v>
      </c>
      <c r="G6890" s="570"/>
      <c r="H6890" s="570"/>
      <c r="I6890" s="570"/>
      <c r="J6890" s="570"/>
      <c r="K6890" s="570"/>
    </row>
    <row r="6891" ht="13.75" customHeight="1">
      <c r="A6891" t="s" s="834">
        <v>4626</v>
      </c>
      <c r="B6891" t="s" s="834">
        <v>4627</v>
      </c>
      <c r="C6891" t="s" s="834">
        <v>540</v>
      </c>
      <c r="D6891" s="570"/>
      <c r="E6891" s="570"/>
      <c r="F6891" s="570"/>
      <c r="G6891" s="570"/>
      <c r="H6891" s="570"/>
      <c r="I6891" s="570"/>
      <c r="J6891" s="570"/>
      <c r="K6891" s="570"/>
    </row>
    <row r="6892" ht="13.75" customHeight="1">
      <c r="A6892" s="833">
        <v>328</v>
      </c>
      <c r="B6892" t="s" s="834">
        <v>459</v>
      </c>
      <c r="C6892" t="s" s="834">
        <v>480</v>
      </c>
      <c r="D6892" s="835">
        <v>46031</v>
      </c>
      <c r="E6892" s="836">
        <v>1.353287037037037</v>
      </c>
      <c r="F6892" s="836">
        <v>1.752199074074074</v>
      </c>
      <c r="G6892" s="570"/>
      <c r="H6892" s="570"/>
      <c r="I6892" s="570"/>
      <c r="J6892" s="570"/>
      <c r="K6892" s="570"/>
    </row>
    <row r="6893" ht="13.75" customHeight="1">
      <c r="A6893" t="s" s="834">
        <v>4628</v>
      </c>
      <c r="B6893" t="s" s="834">
        <v>4629</v>
      </c>
      <c r="C6893" t="s" s="834">
        <v>611</v>
      </c>
      <c r="D6893" s="570"/>
      <c r="E6893" s="570"/>
      <c r="F6893" s="570"/>
      <c r="G6893" s="570"/>
      <c r="H6893" s="570"/>
      <c r="I6893" s="570"/>
      <c r="J6893" s="570"/>
      <c r="K6893" s="570"/>
    </row>
    <row r="6894" ht="13.75" customHeight="1">
      <c r="A6894" s="833">
        <v>328</v>
      </c>
      <c r="B6894" t="s" s="834">
        <v>459</v>
      </c>
      <c r="C6894" t="s" s="834">
        <v>480</v>
      </c>
      <c r="D6894" s="835">
        <v>46032</v>
      </c>
      <c r="E6894" t="s" s="834">
        <v>478</v>
      </c>
      <c r="F6894" t="s" s="834">
        <v>478</v>
      </c>
      <c r="G6894" t="s" s="837">
        <v>1710</v>
      </c>
      <c r="H6894" t="s" s="837">
        <v>1713</v>
      </c>
      <c r="I6894" t="s" s="837">
        <v>1710</v>
      </c>
      <c r="J6894" s="570"/>
      <c r="K6894" s="570"/>
    </row>
    <row r="6895" ht="13.75" customHeight="1">
      <c r="A6895" s="833">
        <v>328</v>
      </c>
      <c r="B6895" t="s" s="834">
        <v>459</v>
      </c>
      <c r="C6895" t="s" s="834">
        <v>480</v>
      </c>
      <c r="D6895" s="835">
        <v>46033</v>
      </c>
      <c r="E6895" t="s" s="834">
        <v>478</v>
      </c>
      <c r="F6895" t="s" s="834">
        <v>478</v>
      </c>
      <c r="G6895" t="s" s="837">
        <v>1710</v>
      </c>
      <c r="H6895" t="s" s="837">
        <v>1713</v>
      </c>
      <c r="I6895" t="s" s="837">
        <v>1710</v>
      </c>
      <c r="J6895" s="570"/>
      <c r="K6895" s="570"/>
    </row>
    <row r="6896" ht="13.75" customHeight="1">
      <c r="A6896" s="833">
        <v>328</v>
      </c>
      <c r="B6896" t="s" s="834">
        <v>459</v>
      </c>
      <c r="C6896" t="s" s="834">
        <v>480</v>
      </c>
      <c r="D6896" s="835">
        <v>46034</v>
      </c>
      <c r="E6896" s="836">
        <v>1.354247685185185</v>
      </c>
      <c r="F6896" s="836">
        <v>1.765949074074074</v>
      </c>
      <c r="G6896" s="570"/>
      <c r="H6896" s="570"/>
      <c r="I6896" s="570"/>
      <c r="J6896" s="570"/>
      <c r="K6896" s="570"/>
    </row>
    <row r="6897" ht="13.75" customHeight="1">
      <c r="A6897" t="s" s="834">
        <v>4630</v>
      </c>
      <c r="B6897" t="s" s="834">
        <v>4631</v>
      </c>
      <c r="C6897" t="s" s="834">
        <v>597</v>
      </c>
      <c r="D6897" s="570"/>
      <c r="E6897" s="570"/>
      <c r="F6897" s="570"/>
      <c r="G6897" s="570"/>
      <c r="H6897" s="570"/>
      <c r="I6897" s="570"/>
      <c r="J6897" s="570"/>
      <c r="K6897" s="570"/>
    </row>
    <row r="6898" ht="13.75" customHeight="1">
      <c r="A6898" s="833">
        <v>328</v>
      </c>
      <c r="B6898" t="s" s="834">
        <v>459</v>
      </c>
      <c r="C6898" t="s" s="834">
        <v>480</v>
      </c>
      <c r="D6898" s="835">
        <v>46035</v>
      </c>
      <c r="E6898" t="s" s="834">
        <v>478</v>
      </c>
      <c r="F6898" t="s" s="834">
        <v>478</v>
      </c>
      <c r="G6898" s="570"/>
      <c r="H6898" s="570"/>
      <c r="I6898" s="570"/>
      <c r="J6898" s="570"/>
      <c r="K6898" s="570"/>
    </row>
    <row r="6899" ht="13.75" customHeight="1">
      <c r="A6899" s="833">
        <v>328</v>
      </c>
      <c r="B6899" t="s" s="834">
        <v>459</v>
      </c>
      <c r="C6899" t="s" s="834">
        <v>480</v>
      </c>
      <c r="D6899" s="835">
        <v>46036</v>
      </c>
      <c r="E6899" s="836">
        <v>1.350462962962963</v>
      </c>
      <c r="F6899" s="836">
        <v>1.758668981481482</v>
      </c>
      <c r="G6899" s="570"/>
      <c r="H6899" s="570"/>
      <c r="I6899" s="570"/>
      <c r="J6899" s="570"/>
      <c r="K6899" s="570"/>
    </row>
    <row r="6900" ht="13.75" customHeight="1">
      <c r="A6900" t="s" s="834">
        <v>4632</v>
      </c>
      <c r="B6900" t="s" s="834">
        <v>4633</v>
      </c>
      <c r="C6900" t="s" s="834">
        <v>1330</v>
      </c>
      <c r="D6900" s="570"/>
      <c r="E6900" s="570"/>
      <c r="F6900" s="570"/>
      <c r="G6900" s="570"/>
      <c r="H6900" s="570"/>
      <c r="I6900" s="570"/>
      <c r="J6900" s="570"/>
      <c r="K6900" s="570"/>
    </row>
    <row r="6901" ht="13.75" customHeight="1">
      <c r="A6901" s="833">
        <v>328</v>
      </c>
      <c r="B6901" t="s" s="834">
        <v>459</v>
      </c>
      <c r="C6901" t="s" s="834">
        <v>480</v>
      </c>
      <c r="D6901" s="835">
        <v>46037</v>
      </c>
      <c r="E6901" s="836">
        <v>1.353518518518519</v>
      </c>
      <c r="F6901" s="836">
        <v>1.764594907407407</v>
      </c>
      <c r="G6901" s="570"/>
      <c r="H6901" s="570"/>
      <c r="I6901" s="570"/>
      <c r="J6901" s="570"/>
      <c r="K6901" s="570"/>
    </row>
    <row r="6902" ht="13.75" customHeight="1">
      <c r="A6902" t="s" s="834">
        <v>4634</v>
      </c>
      <c r="B6902" t="s" s="834">
        <v>4635</v>
      </c>
      <c r="C6902" t="s" s="834">
        <v>850</v>
      </c>
      <c r="D6902" s="570"/>
      <c r="E6902" s="570"/>
      <c r="F6902" s="570"/>
      <c r="G6902" s="570"/>
      <c r="H6902" s="570"/>
      <c r="I6902" s="570"/>
      <c r="J6902" s="570"/>
      <c r="K6902" s="570"/>
    </row>
    <row r="6903" ht="13.75" customHeight="1">
      <c r="A6903" s="833">
        <v>328</v>
      </c>
      <c r="B6903" t="s" s="834">
        <v>459</v>
      </c>
      <c r="C6903" t="s" s="834">
        <v>480</v>
      </c>
      <c r="D6903" s="835">
        <v>46038</v>
      </c>
      <c r="E6903" s="836">
        <v>1.356168981481481</v>
      </c>
      <c r="F6903" s="836">
        <v>1.774328703703704</v>
      </c>
      <c r="G6903" s="570"/>
      <c r="H6903" s="570"/>
      <c r="I6903" s="570"/>
      <c r="J6903" s="570"/>
      <c r="K6903" s="570"/>
    </row>
    <row r="6904" ht="13.75" customHeight="1">
      <c r="A6904" t="s" s="834">
        <v>4636</v>
      </c>
      <c r="B6904" t="s" s="834">
        <v>4637</v>
      </c>
      <c r="C6904" t="s" s="834">
        <v>1033</v>
      </c>
      <c r="D6904" s="570"/>
      <c r="E6904" s="570"/>
      <c r="F6904" s="570"/>
      <c r="G6904" s="570"/>
      <c r="H6904" s="570"/>
      <c r="I6904" s="570"/>
      <c r="J6904" s="570"/>
      <c r="K6904" s="570"/>
    </row>
    <row r="6905" ht="13.75" customHeight="1">
      <c r="A6905" s="833">
        <v>328</v>
      </c>
      <c r="B6905" t="s" s="834">
        <v>459</v>
      </c>
      <c r="C6905" t="s" s="834">
        <v>480</v>
      </c>
      <c r="D6905" s="835">
        <v>46039</v>
      </c>
      <c r="E6905" t="s" s="834">
        <v>478</v>
      </c>
      <c r="F6905" t="s" s="834">
        <v>478</v>
      </c>
      <c r="G6905" t="s" s="837">
        <v>1710</v>
      </c>
      <c r="H6905" t="s" s="837">
        <v>1713</v>
      </c>
      <c r="I6905" t="s" s="837">
        <v>1710</v>
      </c>
      <c r="J6905" s="570"/>
      <c r="K6905" s="570"/>
    </row>
    <row r="6906" ht="13.75" customHeight="1">
      <c r="A6906" s="833">
        <v>328</v>
      </c>
      <c r="B6906" t="s" s="834">
        <v>459</v>
      </c>
      <c r="C6906" t="s" s="834">
        <v>480</v>
      </c>
      <c r="D6906" s="835">
        <v>46040</v>
      </c>
      <c r="E6906" t="s" s="834">
        <v>478</v>
      </c>
      <c r="F6906" t="s" s="834">
        <v>478</v>
      </c>
      <c r="G6906" t="s" s="837">
        <v>1710</v>
      </c>
      <c r="H6906" t="s" s="837">
        <v>1713</v>
      </c>
      <c r="I6906" t="s" s="837">
        <v>1710</v>
      </c>
      <c r="J6906" t="s" s="837">
        <v>1713</v>
      </c>
      <c r="K6906" s="570"/>
    </row>
    <row r="6907" ht="13.75" customHeight="1">
      <c r="A6907" s="833">
        <v>328</v>
      </c>
      <c r="B6907" t="s" s="834">
        <v>459</v>
      </c>
      <c r="C6907" t="s" s="834">
        <v>480</v>
      </c>
      <c r="D6907" s="835">
        <v>46041</v>
      </c>
      <c r="E6907" s="836">
        <v>1.360520833333333</v>
      </c>
      <c r="F6907" s="836">
        <v>1.768009259259259</v>
      </c>
      <c r="G6907" s="570"/>
      <c r="H6907" s="570"/>
      <c r="I6907" s="570"/>
      <c r="J6907" s="570"/>
      <c r="K6907" s="570"/>
    </row>
    <row r="6908" ht="13.75" customHeight="1">
      <c r="A6908" t="s" s="834">
        <v>4638</v>
      </c>
      <c r="B6908" t="s" s="834">
        <v>4639</v>
      </c>
      <c r="C6908" t="s" s="834">
        <v>882</v>
      </c>
      <c r="D6908" s="570"/>
      <c r="E6908" s="570"/>
      <c r="F6908" s="570"/>
      <c r="G6908" s="570"/>
      <c r="H6908" s="570"/>
      <c r="I6908" s="570"/>
      <c r="J6908" s="570"/>
      <c r="K6908" s="570"/>
    </row>
    <row r="6909" ht="13.75" customHeight="1">
      <c r="A6909" s="833">
        <v>328</v>
      </c>
      <c r="B6909" t="s" s="834">
        <v>459</v>
      </c>
      <c r="C6909" t="s" s="834">
        <v>480</v>
      </c>
      <c r="D6909" s="835">
        <v>46042</v>
      </c>
      <c r="E6909" s="836">
        <v>1.349780092592593</v>
      </c>
      <c r="F6909" s="836">
        <v>1.758819444444444</v>
      </c>
      <c r="G6909" s="570"/>
      <c r="H6909" s="570"/>
      <c r="I6909" s="570"/>
      <c r="J6909" s="570"/>
      <c r="K6909" s="570"/>
    </row>
    <row r="6910" ht="13.75" customHeight="1">
      <c r="A6910" t="s" s="834">
        <v>4640</v>
      </c>
      <c r="B6910" t="s" s="834">
        <v>4641</v>
      </c>
      <c r="C6910" t="s" s="834">
        <v>600</v>
      </c>
      <c r="D6910" s="570"/>
      <c r="E6910" s="570"/>
      <c r="F6910" s="570"/>
      <c r="G6910" s="570"/>
      <c r="H6910" s="570"/>
      <c r="I6910" s="570"/>
      <c r="J6910" s="570"/>
      <c r="K6910" s="570"/>
    </row>
    <row r="6911" ht="13.75" customHeight="1">
      <c r="A6911" s="833">
        <v>328</v>
      </c>
      <c r="B6911" t="s" s="834">
        <v>459</v>
      </c>
      <c r="C6911" t="s" s="834">
        <v>480</v>
      </c>
      <c r="D6911" s="835">
        <v>46043</v>
      </c>
      <c r="E6911" s="836">
        <v>1.361076388888889</v>
      </c>
      <c r="F6911" s="836">
        <v>1.756747685185185</v>
      </c>
      <c r="G6911" s="570"/>
      <c r="H6911" s="570"/>
      <c r="I6911" s="570"/>
      <c r="J6911" s="570"/>
      <c r="K6911" s="570"/>
    </row>
    <row r="6912" ht="13.75" customHeight="1">
      <c r="A6912" t="s" s="834">
        <v>4642</v>
      </c>
      <c r="B6912" t="s" s="834">
        <v>4643</v>
      </c>
      <c r="C6912" t="s" s="834">
        <v>634</v>
      </c>
      <c r="D6912" s="570"/>
      <c r="E6912" s="570"/>
      <c r="F6912" s="570"/>
      <c r="G6912" s="570"/>
      <c r="H6912" s="570"/>
      <c r="I6912" s="570"/>
      <c r="J6912" s="570"/>
      <c r="K6912" s="570"/>
    </row>
    <row r="6913" ht="13.75" customHeight="1">
      <c r="A6913" s="833">
        <v>328</v>
      </c>
      <c r="B6913" t="s" s="834">
        <v>459</v>
      </c>
      <c r="C6913" t="s" s="834">
        <v>480</v>
      </c>
      <c r="D6913" s="835">
        <v>46044</v>
      </c>
      <c r="E6913" s="836">
        <v>1.35931712962963</v>
      </c>
      <c r="F6913" s="836">
        <v>1.763784722222222</v>
      </c>
      <c r="G6913" s="570"/>
      <c r="H6913" s="570"/>
      <c r="I6913" s="570"/>
      <c r="J6913" s="570"/>
      <c r="K6913" s="570"/>
    </row>
    <row r="6914" ht="13.75" customHeight="1">
      <c r="A6914" t="s" s="834">
        <v>4644</v>
      </c>
      <c r="B6914" t="s" s="834">
        <v>4645</v>
      </c>
      <c r="C6914" t="s" s="834">
        <v>493</v>
      </c>
      <c r="D6914" s="570"/>
      <c r="E6914" s="570"/>
      <c r="F6914" s="570"/>
      <c r="G6914" s="570"/>
      <c r="H6914" s="570"/>
      <c r="I6914" s="570"/>
      <c r="J6914" s="570"/>
      <c r="K6914" s="570"/>
    </row>
    <row r="6915" ht="13.75" customHeight="1">
      <c r="A6915" s="833">
        <v>328</v>
      </c>
      <c r="B6915" t="s" s="834">
        <v>459</v>
      </c>
      <c r="C6915" t="s" s="834">
        <v>480</v>
      </c>
      <c r="D6915" s="835">
        <v>46045</v>
      </c>
      <c r="E6915" t="s" s="834">
        <v>478</v>
      </c>
      <c r="F6915" t="s" s="834">
        <v>478</v>
      </c>
      <c r="G6915" s="570"/>
      <c r="H6915" s="570"/>
      <c r="I6915" s="570"/>
      <c r="J6915" s="570"/>
      <c r="K6915" s="570"/>
    </row>
    <row r="6916" ht="13.75" customHeight="1">
      <c r="A6916" s="833">
        <v>328</v>
      </c>
      <c r="B6916" t="s" s="834">
        <v>459</v>
      </c>
      <c r="C6916" t="s" s="834">
        <v>480</v>
      </c>
      <c r="D6916" s="835">
        <v>46046</v>
      </c>
      <c r="E6916" t="s" s="834">
        <v>478</v>
      </c>
      <c r="F6916" t="s" s="834">
        <v>478</v>
      </c>
      <c r="G6916" t="s" s="837">
        <v>1710</v>
      </c>
      <c r="H6916" t="s" s="837">
        <v>1713</v>
      </c>
      <c r="I6916" t="s" s="837">
        <v>1710</v>
      </c>
      <c r="J6916" t="s" s="837">
        <v>1713</v>
      </c>
      <c r="K6916" s="570"/>
    </row>
    <row r="6917" ht="13.75" customHeight="1">
      <c r="A6917" s="833">
        <v>328</v>
      </c>
      <c r="B6917" t="s" s="834">
        <v>459</v>
      </c>
      <c r="C6917" t="s" s="834">
        <v>480</v>
      </c>
      <c r="D6917" s="835">
        <v>46047</v>
      </c>
      <c r="E6917" t="s" s="834">
        <v>478</v>
      </c>
      <c r="F6917" t="s" s="834">
        <v>478</v>
      </c>
      <c r="G6917" t="s" s="837">
        <v>1710</v>
      </c>
      <c r="H6917" t="s" s="837">
        <v>1713</v>
      </c>
      <c r="I6917" t="s" s="837">
        <v>1710</v>
      </c>
      <c r="J6917" t="s" s="837">
        <v>1713</v>
      </c>
      <c r="K6917" s="570"/>
    </row>
    <row r="6918" ht="13.75" customHeight="1">
      <c r="A6918" s="833">
        <v>328</v>
      </c>
      <c r="B6918" t="s" s="834">
        <v>459</v>
      </c>
      <c r="C6918" t="s" s="834">
        <v>480</v>
      </c>
      <c r="D6918" s="835">
        <v>46048</v>
      </c>
      <c r="E6918" s="836">
        <v>1.384375</v>
      </c>
      <c r="F6918" s="836">
        <v>1.755069444444445</v>
      </c>
      <c r="G6918" s="570"/>
      <c r="H6918" s="570"/>
      <c r="I6918" s="570"/>
      <c r="J6918" s="570"/>
      <c r="K6918" s="570"/>
    </row>
    <row r="6919" ht="13.75" customHeight="1">
      <c r="A6919" t="s" s="834">
        <v>4646</v>
      </c>
      <c r="B6919" t="s" s="834">
        <v>4647</v>
      </c>
      <c r="C6919" t="s" s="834">
        <v>826</v>
      </c>
      <c r="D6919" s="570"/>
      <c r="E6919" s="570"/>
      <c r="F6919" s="570"/>
      <c r="G6919" s="570"/>
      <c r="H6919" s="570"/>
      <c r="I6919" s="570"/>
      <c r="J6919" s="570"/>
      <c r="K6919" s="570"/>
    </row>
    <row r="6920" ht="13.75" customHeight="1">
      <c r="A6920" s="833">
        <v>328</v>
      </c>
      <c r="B6920" t="s" s="834">
        <v>459</v>
      </c>
      <c r="C6920" t="s" s="834">
        <v>480</v>
      </c>
      <c r="D6920" s="835">
        <v>46049</v>
      </c>
      <c r="E6920" s="836">
        <v>1.353715277777778</v>
      </c>
      <c r="F6920" s="836">
        <v>1.763194444444444</v>
      </c>
      <c r="G6920" s="570"/>
      <c r="H6920" s="570"/>
      <c r="I6920" s="570"/>
      <c r="J6920" s="570"/>
      <c r="K6920" s="570"/>
    </row>
    <row r="6921" ht="13.75" customHeight="1">
      <c r="A6921" t="s" s="834">
        <v>4648</v>
      </c>
      <c r="B6921" t="s" s="834">
        <v>4649</v>
      </c>
      <c r="C6921" t="s" s="834">
        <v>1119</v>
      </c>
      <c r="D6921" s="570"/>
      <c r="E6921" s="570"/>
      <c r="F6921" s="570"/>
      <c r="G6921" s="570"/>
      <c r="H6921" s="570"/>
      <c r="I6921" s="570"/>
      <c r="J6921" s="570"/>
      <c r="K6921" s="570"/>
    </row>
    <row r="6922" ht="13.75" customHeight="1">
      <c r="A6922" s="833">
        <v>328</v>
      </c>
      <c r="B6922" t="s" s="834">
        <v>459</v>
      </c>
      <c r="C6922" t="s" s="834">
        <v>480</v>
      </c>
      <c r="D6922" s="835">
        <v>46050</v>
      </c>
      <c r="E6922" s="836">
        <v>1.362511574074074</v>
      </c>
      <c r="F6922" s="836">
        <v>1.759351851851852</v>
      </c>
      <c r="G6922" s="570"/>
      <c r="H6922" s="570"/>
      <c r="I6922" s="570"/>
      <c r="J6922" s="570"/>
      <c r="K6922" s="570"/>
    </row>
    <row r="6923" ht="13.75" customHeight="1">
      <c r="A6923" t="s" s="834">
        <v>4650</v>
      </c>
      <c r="B6923" t="s" s="834">
        <v>4651</v>
      </c>
      <c r="C6923" t="s" s="834">
        <v>683</v>
      </c>
      <c r="D6923" s="570"/>
      <c r="E6923" s="570"/>
      <c r="F6923" s="570"/>
      <c r="G6923" s="570"/>
      <c r="H6923" s="570"/>
      <c r="I6923" s="570"/>
      <c r="J6923" s="570"/>
      <c r="K6923" s="570"/>
    </row>
    <row r="6924" ht="13.75" customHeight="1">
      <c r="A6924" s="833">
        <v>328</v>
      </c>
      <c r="B6924" t="s" s="834">
        <v>459</v>
      </c>
      <c r="C6924" t="s" s="834">
        <v>480</v>
      </c>
      <c r="D6924" s="835">
        <v>46051</v>
      </c>
      <c r="E6924" s="836">
        <v>1.356296296296296</v>
      </c>
      <c r="F6924" s="836">
        <v>1.763518518518518</v>
      </c>
      <c r="G6924" s="570"/>
      <c r="H6924" s="570"/>
      <c r="I6924" s="570"/>
      <c r="J6924" s="570"/>
      <c r="K6924" s="570"/>
    </row>
    <row r="6925" ht="13.75" customHeight="1">
      <c r="A6925" t="s" s="834">
        <v>4652</v>
      </c>
      <c r="B6925" t="s" s="834">
        <v>4653</v>
      </c>
      <c r="C6925" t="s" s="834">
        <v>1113</v>
      </c>
      <c r="D6925" s="570"/>
      <c r="E6925" s="570"/>
      <c r="F6925" s="570"/>
      <c r="G6925" s="570"/>
      <c r="H6925" s="570"/>
      <c r="I6925" s="570"/>
      <c r="J6925" s="570"/>
      <c r="K6925" s="570"/>
    </row>
    <row r="6926" ht="13.75" customHeight="1">
      <c r="A6926" s="833">
        <v>328</v>
      </c>
      <c r="B6926" t="s" s="834">
        <v>459</v>
      </c>
      <c r="C6926" t="s" s="834">
        <v>480</v>
      </c>
      <c r="D6926" s="835">
        <v>46052</v>
      </c>
      <c r="E6926" s="836">
        <v>1.365324074074074</v>
      </c>
      <c r="F6926" s="836">
        <v>1.754641203703704</v>
      </c>
      <c r="G6926" s="570"/>
      <c r="H6926" s="570"/>
      <c r="I6926" s="570"/>
      <c r="J6926" s="570"/>
      <c r="K6926" s="570"/>
    </row>
    <row r="6927" ht="13.75" customHeight="1">
      <c r="A6927" t="s" s="834">
        <v>4654</v>
      </c>
      <c r="B6927" t="s" s="834">
        <v>4655</v>
      </c>
      <c r="C6927" t="s" s="834">
        <v>979</v>
      </c>
      <c r="D6927" s="570"/>
      <c r="E6927" s="570"/>
      <c r="F6927" s="570"/>
      <c r="G6927" s="570"/>
      <c r="H6927" s="570"/>
      <c r="I6927" s="570"/>
      <c r="J6927" s="570"/>
      <c r="K6927" s="570"/>
    </row>
    <row r="6928" ht="13.75" customHeight="1">
      <c r="A6928" s="833">
        <v>328</v>
      </c>
      <c r="B6928" t="s" s="834">
        <v>459</v>
      </c>
      <c r="C6928" t="s" s="834">
        <v>480</v>
      </c>
      <c r="D6928" s="835">
        <v>46053</v>
      </c>
      <c r="E6928" t="s" s="834">
        <v>478</v>
      </c>
      <c r="F6928" t="s" s="834">
        <v>478</v>
      </c>
      <c r="G6928" t="s" s="837">
        <v>1710</v>
      </c>
      <c r="H6928" t="s" s="837">
        <v>1713</v>
      </c>
      <c r="I6928" t="s" s="837">
        <v>1710</v>
      </c>
      <c r="J6928" t="s" s="837">
        <v>1713</v>
      </c>
      <c r="K6928" s="570"/>
    </row>
    <row r="6929" ht="13.75" customHeight="1">
      <c r="A6929" s="833">
        <v>329</v>
      </c>
      <c r="B6929" t="s" s="834">
        <v>152</v>
      </c>
      <c r="C6929" t="s" s="834">
        <v>480</v>
      </c>
      <c r="D6929" s="835">
        <v>46023</v>
      </c>
      <c r="E6929" t="s" s="834">
        <v>478</v>
      </c>
      <c r="F6929" t="s" s="834">
        <v>478</v>
      </c>
      <c r="G6929" s="570"/>
      <c r="H6929" s="570"/>
      <c r="I6929" s="570"/>
      <c r="J6929" s="570"/>
      <c r="K6929" s="570"/>
    </row>
    <row r="6930" ht="13.75" customHeight="1">
      <c r="A6930" s="833">
        <v>329</v>
      </c>
      <c r="B6930" t="s" s="834">
        <v>152</v>
      </c>
      <c r="C6930" t="s" s="834">
        <v>480</v>
      </c>
      <c r="D6930" s="835">
        <v>46024</v>
      </c>
      <c r="E6930" t="s" s="834">
        <v>478</v>
      </c>
      <c r="F6930" t="s" s="834">
        <v>478</v>
      </c>
      <c r="G6930" s="570"/>
      <c r="H6930" s="570"/>
      <c r="I6930" s="570"/>
      <c r="J6930" s="570"/>
      <c r="K6930" s="570"/>
    </row>
    <row r="6931" ht="13.75" customHeight="1">
      <c r="A6931" s="833">
        <v>329</v>
      </c>
      <c r="B6931" t="s" s="834">
        <v>152</v>
      </c>
      <c r="C6931" t="s" s="834">
        <v>480</v>
      </c>
      <c r="D6931" s="835">
        <v>46025</v>
      </c>
      <c r="E6931" t="s" s="834">
        <v>478</v>
      </c>
      <c r="F6931" t="s" s="834">
        <v>478</v>
      </c>
      <c r="G6931" s="570"/>
      <c r="H6931" s="570"/>
      <c r="I6931" s="570"/>
      <c r="J6931" s="570"/>
      <c r="K6931" s="570"/>
    </row>
    <row r="6932" ht="13.75" customHeight="1">
      <c r="A6932" s="833">
        <v>329</v>
      </c>
      <c r="B6932" t="s" s="834">
        <v>152</v>
      </c>
      <c r="C6932" t="s" s="834">
        <v>480</v>
      </c>
      <c r="D6932" s="835">
        <v>46026</v>
      </c>
      <c r="E6932" t="s" s="834">
        <v>478</v>
      </c>
      <c r="F6932" t="s" s="834">
        <v>478</v>
      </c>
      <c r="G6932" s="570"/>
      <c r="H6932" s="570"/>
      <c r="I6932" s="570"/>
      <c r="J6932" s="570"/>
      <c r="K6932" s="570"/>
    </row>
    <row r="6933" ht="13.75" customHeight="1">
      <c r="A6933" s="833">
        <v>329</v>
      </c>
      <c r="B6933" t="s" s="834">
        <v>152</v>
      </c>
      <c r="C6933" t="s" s="834">
        <v>480</v>
      </c>
      <c r="D6933" s="835">
        <v>46027</v>
      </c>
      <c r="E6933" t="s" s="834">
        <v>478</v>
      </c>
      <c r="F6933" t="s" s="834">
        <v>478</v>
      </c>
      <c r="G6933" s="570"/>
      <c r="H6933" s="570"/>
      <c r="I6933" s="570"/>
      <c r="J6933" s="570"/>
      <c r="K6933" s="570"/>
    </row>
    <row r="6934" ht="13.75" customHeight="1">
      <c r="A6934" s="833">
        <v>329</v>
      </c>
      <c r="B6934" t="s" s="834">
        <v>152</v>
      </c>
      <c r="C6934" t="s" s="834">
        <v>480</v>
      </c>
      <c r="D6934" s="835">
        <v>46028</v>
      </c>
      <c r="E6934" t="s" s="834">
        <v>478</v>
      </c>
      <c r="F6934" t="s" s="834">
        <v>478</v>
      </c>
      <c r="G6934" s="570"/>
      <c r="H6934" s="570"/>
      <c r="I6934" s="570"/>
      <c r="J6934" s="570"/>
      <c r="K6934" s="570"/>
    </row>
    <row r="6935" ht="13.75" customHeight="1">
      <c r="A6935" s="833">
        <v>329</v>
      </c>
      <c r="B6935" t="s" s="834">
        <v>152</v>
      </c>
      <c r="C6935" t="s" s="834">
        <v>480</v>
      </c>
      <c r="D6935" s="835">
        <v>46029</v>
      </c>
      <c r="E6935" t="s" s="834">
        <v>478</v>
      </c>
      <c r="F6935" t="s" s="834">
        <v>478</v>
      </c>
      <c r="G6935" s="570"/>
      <c r="H6935" s="570"/>
      <c r="I6935" s="570"/>
      <c r="J6935" s="570"/>
      <c r="K6935" s="570"/>
    </row>
    <row r="6936" ht="13.75" customHeight="1">
      <c r="A6936" s="833">
        <v>329</v>
      </c>
      <c r="B6936" t="s" s="834">
        <v>152</v>
      </c>
      <c r="C6936" t="s" s="834">
        <v>480</v>
      </c>
      <c r="D6936" s="835">
        <v>46030</v>
      </c>
      <c r="E6936" t="s" s="834">
        <v>478</v>
      </c>
      <c r="F6936" t="s" s="834">
        <v>478</v>
      </c>
      <c r="G6936" s="570"/>
      <c r="H6936" s="570"/>
      <c r="I6936" s="570"/>
      <c r="J6936" s="570"/>
      <c r="K6936" s="570"/>
    </row>
    <row r="6937" ht="13.75" customHeight="1">
      <c r="A6937" s="833">
        <v>329</v>
      </c>
      <c r="B6937" t="s" s="834">
        <v>152</v>
      </c>
      <c r="C6937" t="s" s="834">
        <v>480</v>
      </c>
      <c r="D6937" s="835">
        <v>46031</v>
      </c>
      <c r="E6937" t="s" s="834">
        <v>478</v>
      </c>
      <c r="F6937" t="s" s="834">
        <v>478</v>
      </c>
      <c r="G6937" s="570"/>
      <c r="H6937" s="570"/>
      <c r="I6937" s="570"/>
      <c r="J6937" s="570"/>
      <c r="K6937" s="570"/>
    </row>
    <row r="6938" ht="13.75" customHeight="1">
      <c r="A6938" s="833">
        <v>329</v>
      </c>
      <c r="B6938" t="s" s="834">
        <v>152</v>
      </c>
      <c r="C6938" t="s" s="834">
        <v>480</v>
      </c>
      <c r="D6938" s="835">
        <v>46032</v>
      </c>
      <c r="E6938" t="s" s="834">
        <v>478</v>
      </c>
      <c r="F6938" t="s" s="834">
        <v>478</v>
      </c>
      <c r="G6938" s="570"/>
      <c r="H6938" s="570"/>
      <c r="I6938" s="570"/>
      <c r="J6938" s="570"/>
      <c r="K6938" s="570"/>
    </row>
    <row r="6939" ht="13.75" customHeight="1">
      <c r="A6939" s="833">
        <v>329</v>
      </c>
      <c r="B6939" t="s" s="834">
        <v>152</v>
      </c>
      <c r="C6939" t="s" s="834">
        <v>480</v>
      </c>
      <c r="D6939" s="835">
        <v>46033</v>
      </c>
      <c r="E6939" t="s" s="834">
        <v>478</v>
      </c>
      <c r="F6939" t="s" s="834">
        <v>478</v>
      </c>
      <c r="G6939" s="570"/>
      <c r="H6939" s="570"/>
      <c r="I6939" s="570"/>
      <c r="J6939" s="570"/>
      <c r="K6939" s="570"/>
    </row>
    <row r="6940" ht="13.75" customHeight="1">
      <c r="A6940" s="833">
        <v>329</v>
      </c>
      <c r="B6940" t="s" s="834">
        <v>152</v>
      </c>
      <c r="C6940" t="s" s="834">
        <v>480</v>
      </c>
      <c r="D6940" s="835">
        <v>46034</v>
      </c>
      <c r="E6940" t="s" s="834">
        <v>478</v>
      </c>
      <c r="F6940" t="s" s="834">
        <v>478</v>
      </c>
      <c r="G6940" s="570"/>
      <c r="H6940" s="570"/>
      <c r="I6940" s="570"/>
      <c r="J6940" s="570"/>
      <c r="K6940" s="570"/>
    </row>
    <row r="6941" ht="13.75" customHeight="1">
      <c r="A6941" s="833">
        <v>329</v>
      </c>
      <c r="B6941" t="s" s="834">
        <v>152</v>
      </c>
      <c r="C6941" t="s" s="834">
        <v>480</v>
      </c>
      <c r="D6941" s="835">
        <v>46035</v>
      </c>
      <c r="E6941" t="s" s="834">
        <v>478</v>
      </c>
      <c r="F6941" t="s" s="834">
        <v>478</v>
      </c>
      <c r="G6941" s="570"/>
      <c r="H6941" s="570"/>
      <c r="I6941" s="570"/>
      <c r="J6941" s="570"/>
      <c r="K6941" s="570"/>
    </row>
    <row r="6942" ht="13.75" customHeight="1">
      <c r="A6942" s="833">
        <v>329</v>
      </c>
      <c r="B6942" t="s" s="834">
        <v>152</v>
      </c>
      <c r="C6942" t="s" s="834">
        <v>480</v>
      </c>
      <c r="D6942" s="835">
        <v>46036</v>
      </c>
      <c r="E6942" t="s" s="834">
        <v>478</v>
      </c>
      <c r="F6942" t="s" s="834">
        <v>478</v>
      </c>
      <c r="G6942" s="570"/>
      <c r="H6942" s="570"/>
      <c r="I6942" s="570"/>
      <c r="J6942" s="570"/>
      <c r="K6942" s="570"/>
    </row>
    <row r="6943" ht="13.75" customHeight="1">
      <c r="A6943" s="833">
        <v>329</v>
      </c>
      <c r="B6943" t="s" s="834">
        <v>152</v>
      </c>
      <c r="C6943" t="s" s="834">
        <v>480</v>
      </c>
      <c r="D6943" s="835">
        <v>46037</v>
      </c>
      <c r="E6943" t="s" s="834">
        <v>478</v>
      </c>
      <c r="F6943" t="s" s="834">
        <v>478</v>
      </c>
      <c r="G6943" s="570"/>
      <c r="H6943" s="570"/>
      <c r="I6943" s="570"/>
      <c r="J6943" s="570"/>
      <c r="K6943" s="570"/>
    </row>
    <row r="6944" ht="13.75" customHeight="1">
      <c r="A6944" s="833">
        <v>329</v>
      </c>
      <c r="B6944" t="s" s="834">
        <v>152</v>
      </c>
      <c r="C6944" t="s" s="834">
        <v>480</v>
      </c>
      <c r="D6944" s="835">
        <v>46038</v>
      </c>
      <c r="E6944" t="s" s="834">
        <v>478</v>
      </c>
      <c r="F6944" t="s" s="834">
        <v>478</v>
      </c>
      <c r="G6944" s="570"/>
      <c r="H6944" s="570"/>
      <c r="I6944" s="570"/>
      <c r="J6944" s="570"/>
      <c r="K6944" s="570"/>
    </row>
    <row r="6945" ht="13.75" customHeight="1">
      <c r="A6945" s="833">
        <v>329</v>
      </c>
      <c r="B6945" t="s" s="834">
        <v>152</v>
      </c>
      <c r="C6945" t="s" s="834">
        <v>480</v>
      </c>
      <c r="D6945" s="835">
        <v>46039</v>
      </c>
      <c r="E6945" t="s" s="834">
        <v>478</v>
      </c>
      <c r="F6945" t="s" s="834">
        <v>478</v>
      </c>
      <c r="G6945" s="570"/>
      <c r="H6945" s="570"/>
      <c r="I6945" s="570"/>
      <c r="J6945" s="570"/>
      <c r="K6945" s="570"/>
    </row>
    <row r="6946" ht="13.75" customHeight="1">
      <c r="A6946" s="833">
        <v>329</v>
      </c>
      <c r="B6946" t="s" s="834">
        <v>152</v>
      </c>
      <c r="C6946" t="s" s="834">
        <v>480</v>
      </c>
      <c r="D6946" s="835">
        <v>46040</v>
      </c>
      <c r="E6946" t="s" s="834">
        <v>478</v>
      </c>
      <c r="F6946" t="s" s="834">
        <v>478</v>
      </c>
      <c r="G6946" s="570"/>
      <c r="H6946" s="570"/>
      <c r="I6946" s="570"/>
      <c r="J6946" s="570"/>
      <c r="K6946" s="570"/>
    </row>
    <row r="6947" ht="13.75" customHeight="1">
      <c r="A6947" s="833">
        <v>329</v>
      </c>
      <c r="B6947" t="s" s="834">
        <v>152</v>
      </c>
      <c r="C6947" t="s" s="834">
        <v>480</v>
      </c>
      <c r="D6947" s="835">
        <v>46041</v>
      </c>
      <c r="E6947" t="s" s="834">
        <v>478</v>
      </c>
      <c r="F6947" t="s" s="834">
        <v>478</v>
      </c>
      <c r="G6947" s="570"/>
      <c r="H6947" s="570"/>
      <c r="I6947" s="570"/>
      <c r="J6947" s="570"/>
      <c r="K6947" s="570"/>
    </row>
    <row r="6948" ht="13.75" customHeight="1">
      <c r="A6948" s="833">
        <v>329</v>
      </c>
      <c r="B6948" t="s" s="834">
        <v>152</v>
      </c>
      <c r="C6948" t="s" s="834">
        <v>480</v>
      </c>
      <c r="D6948" s="835">
        <v>46042</v>
      </c>
      <c r="E6948" t="s" s="834">
        <v>478</v>
      </c>
      <c r="F6948" t="s" s="834">
        <v>478</v>
      </c>
      <c r="G6948" s="570"/>
      <c r="H6948" s="570"/>
      <c r="I6948" s="570"/>
      <c r="J6948" s="570"/>
      <c r="K6948" s="570"/>
    </row>
    <row r="6949" ht="13.75" customHeight="1">
      <c r="A6949" s="833">
        <v>329</v>
      </c>
      <c r="B6949" t="s" s="834">
        <v>152</v>
      </c>
      <c r="C6949" t="s" s="834">
        <v>480</v>
      </c>
      <c r="D6949" s="835">
        <v>46043</v>
      </c>
      <c r="E6949" t="s" s="834">
        <v>478</v>
      </c>
      <c r="F6949" t="s" s="834">
        <v>478</v>
      </c>
      <c r="G6949" s="570"/>
      <c r="H6949" s="570"/>
      <c r="I6949" s="570"/>
      <c r="J6949" s="570"/>
      <c r="K6949" s="570"/>
    </row>
    <row r="6950" ht="13.75" customHeight="1">
      <c r="A6950" s="833">
        <v>329</v>
      </c>
      <c r="B6950" t="s" s="834">
        <v>152</v>
      </c>
      <c r="C6950" t="s" s="834">
        <v>480</v>
      </c>
      <c r="D6950" s="835">
        <v>46044</v>
      </c>
      <c r="E6950" t="s" s="834">
        <v>478</v>
      </c>
      <c r="F6950" t="s" s="834">
        <v>478</v>
      </c>
      <c r="G6950" s="570"/>
      <c r="H6950" s="570"/>
      <c r="I6950" s="570"/>
      <c r="J6950" s="570"/>
      <c r="K6950" s="570"/>
    </row>
    <row r="6951" ht="13.75" customHeight="1">
      <c r="A6951" s="833">
        <v>329</v>
      </c>
      <c r="B6951" t="s" s="834">
        <v>152</v>
      </c>
      <c r="C6951" t="s" s="834">
        <v>480</v>
      </c>
      <c r="D6951" s="835">
        <v>46045</v>
      </c>
      <c r="E6951" t="s" s="834">
        <v>478</v>
      </c>
      <c r="F6951" t="s" s="834">
        <v>478</v>
      </c>
      <c r="G6951" s="570"/>
      <c r="H6951" s="570"/>
      <c r="I6951" s="570"/>
      <c r="J6951" s="570"/>
      <c r="K6951" s="570"/>
    </row>
    <row r="6952" ht="13.75" customHeight="1">
      <c r="A6952" s="833">
        <v>329</v>
      </c>
      <c r="B6952" t="s" s="834">
        <v>152</v>
      </c>
      <c r="C6952" t="s" s="834">
        <v>480</v>
      </c>
      <c r="D6952" s="835">
        <v>46046</v>
      </c>
      <c r="E6952" t="s" s="834">
        <v>478</v>
      </c>
      <c r="F6952" t="s" s="834">
        <v>478</v>
      </c>
      <c r="G6952" s="570"/>
      <c r="H6952" s="570"/>
      <c r="I6952" s="570"/>
      <c r="J6952" s="570"/>
      <c r="K6952" s="570"/>
    </row>
    <row r="6953" ht="13.75" customHeight="1">
      <c r="A6953" s="833">
        <v>329</v>
      </c>
      <c r="B6953" t="s" s="834">
        <v>152</v>
      </c>
      <c r="C6953" t="s" s="834">
        <v>480</v>
      </c>
      <c r="D6953" s="835">
        <v>46047</v>
      </c>
      <c r="E6953" t="s" s="834">
        <v>478</v>
      </c>
      <c r="F6953" t="s" s="834">
        <v>478</v>
      </c>
      <c r="G6953" s="570"/>
      <c r="H6953" s="570"/>
      <c r="I6953" s="570"/>
      <c r="J6953" s="570"/>
      <c r="K6953" s="570"/>
    </row>
    <row r="6954" ht="13.75" customHeight="1">
      <c r="A6954" s="833">
        <v>329</v>
      </c>
      <c r="B6954" t="s" s="834">
        <v>152</v>
      </c>
      <c r="C6954" t="s" s="834">
        <v>480</v>
      </c>
      <c r="D6954" s="835">
        <v>46048</v>
      </c>
      <c r="E6954" t="s" s="834">
        <v>478</v>
      </c>
      <c r="F6954" t="s" s="834">
        <v>478</v>
      </c>
      <c r="G6954" s="570"/>
      <c r="H6954" s="570"/>
      <c r="I6954" s="570"/>
      <c r="J6954" s="570"/>
      <c r="K6954" s="570"/>
    </row>
    <row r="6955" ht="13.75" customHeight="1">
      <c r="A6955" s="833">
        <v>329</v>
      </c>
      <c r="B6955" t="s" s="834">
        <v>152</v>
      </c>
      <c r="C6955" t="s" s="834">
        <v>480</v>
      </c>
      <c r="D6955" s="835">
        <v>46049</v>
      </c>
      <c r="E6955" t="s" s="834">
        <v>478</v>
      </c>
      <c r="F6955" t="s" s="834">
        <v>478</v>
      </c>
      <c r="G6955" s="570"/>
      <c r="H6955" s="570"/>
      <c r="I6955" s="570"/>
      <c r="J6955" s="570"/>
      <c r="K6955" s="570"/>
    </row>
    <row r="6956" ht="13.75" customHeight="1">
      <c r="A6956" s="833">
        <v>329</v>
      </c>
      <c r="B6956" t="s" s="834">
        <v>152</v>
      </c>
      <c r="C6956" t="s" s="834">
        <v>480</v>
      </c>
      <c r="D6956" s="835">
        <v>46050</v>
      </c>
      <c r="E6956" t="s" s="834">
        <v>478</v>
      </c>
      <c r="F6956" t="s" s="834">
        <v>478</v>
      </c>
      <c r="G6956" s="570"/>
      <c r="H6956" s="570"/>
      <c r="I6956" s="570"/>
      <c r="J6956" s="570"/>
      <c r="K6956" s="570"/>
    </row>
    <row r="6957" ht="13.75" customHeight="1">
      <c r="A6957" s="833">
        <v>329</v>
      </c>
      <c r="B6957" t="s" s="834">
        <v>152</v>
      </c>
      <c r="C6957" t="s" s="834">
        <v>480</v>
      </c>
      <c r="D6957" s="835">
        <v>46051</v>
      </c>
      <c r="E6957" t="s" s="834">
        <v>478</v>
      </c>
      <c r="F6957" t="s" s="834">
        <v>478</v>
      </c>
      <c r="G6957" s="570"/>
      <c r="H6957" s="570"/>
      <c r="I6957" s="570"/>
      <c r="J6957" s="570"/>
      <c r="K6957" s="570"/>
    </row>
    <row r="6958" ht="13.75" customHeight="1">
      <c r="A6958" s="833">
        <v>329</v>
      </c>
      <c r="B6958" t="s" s="834">
        <v>152</v>
      </c>
      <c r="C6958" t="s" s="834">
        <v>480</v>
      </c>
      <c r="D6958" s="835">
        <v>46052</v>
      </c>
      <c r="E6958" t="s" s="834">
        <v>478</v>
      </c>
      <c r="F6958" t="s" s="834">
        <v>478</v>
      </c>
      <c r="G6958" s="570"/>
      <c r="H6958" s="570"/>
      <c r="I6958" s="570"/>
      <c r="J6958" s="570"/>
      <c r="K6958" s="570"/>
    </row>
    <row r="6959" ht="13.75" customHeight="1">
      <c r="A6959" s="833">
        <v>329</v>
      </c>
      <c r="B6959" t="s" s="834">
        <v>152</v>
      </c>
      <c r="C6959" t="s" s="834">
        <v>480</v>
      </c>
      <c r="D6959" s="835">
        <v>46053</v>
      </c>
      <c r="E6959" t="s" s="834">
        <v>478</v>
      </c>
      <c r="F6959" t="s" s="834">
        <v>478</v>
      </c>
      <c r="G6959" s="570"/>
      <c r="H6959" s="570"/>
      <c r="I6959" s="570"/>
      <c r="J6959" s="570"/>
      <c r="K6959" s="570"/>
    </row>
    <row r="6960" ht="13.75" customHeight="1">
      <c r="A6960" s="833">
        <v>329</v>
      </c>
      <c r="B6960" t="s" s="834">
        <v>152</v>
      </c>
      <c r="C6960" t="s" s="834">
        <v>480</v>
      </c>
      <c r="D6960" s="835">
        <v>46054</v>
      </c>
      <c r="E6960" t="s" s="834">
        <v>478</v>
      </c>
      <c r="F6960" t="s" s="834">
        <v>478</v>
      </c>
      <c r="G6960" s="570"/>
      <c r="H6960" s="570"/>
      <c r="I6960" s="570"/>
      <c r="J6960" s="570"/>
      <c r="K6960" s="570"/>
    </row>
    <row r="6961" ht="13.75" customHeight="1">
      <c r="A6961" s="833">
        <v>33</v>
      </c>
      <c r="B6961" t="s" s="834">
        <v>4656</v>
      </c>
      <c r="C6961" t="s" s="834">
        <v>617</v>
      </c>
      <c r="D6961" s="835">
        <v>46023</v>
      </c>
      <c r="E6961" t="s" s="834">
        <v>478</v>
      </c>
      <c r="F6961" t="s" s="834">
        <v>478</v>
      </c>
      <c r="G6961" s="570"/>
      <c r="H6961" s="570"/>
      <c r="I6961" s="570"/>
      <c r="J6961" s="570"/>
      <c r="K6961" s="570"/>
    </row>
    <row r="6962" ht="13.75" customHeight="1">
      <c r="A6962" s="833">
        <v>33</v>
      </c>
      <c r="B6962" t="s" s="834">
        <v>4656</v>
      </c>
      <c r="C6962" t="s" s="834">
        <v>617</v>
      </c>
      <c r="D6962" s="835">
        <v>46024</v>
      </c>
      <c r="E6962" t="s" s="834">
        <v>478</v>
      </c>
      <c r="F6962" t="s" s="834">
        <v>478</v>
      </c>
      <c r="G6962" s="570"/>
      <c r="H6962" s="570"/>
      <c r="I6962" s="570"/>
      <c r="J6962" s="570"/>
      <c r="K6962" s="570"/>
    </row>
    <row r="6963" ht="13.75" customHeight="1">
      <c r="A6963" s="833">
        <v>33</v>
      </c>
      <c r="B6963" t="s" s="834">
        <v>4656</v>
      </c>
      <c r="C6963" t="s" s="834">
        <v>617</v>
      </c>
      <c r="D6963" s="835">
        <v>46025</v>
      </c>
      <c r="E6963" t="s" s="834">
        <v>478</v>
      </c>
      <c r="F6963" t="s" s="834">
        <v>478</v>
      </c>
      <c r="G6963" s="570"/>
      <c r="H6963" s="570"/>
      <c r="I6963" s="570"/>
      <c r="J6963" s="570"/>
      <c r="K6963" s="570"/>
    </row>
    <row r="6964" ht="13.75" customHeight="1">
      <c r="A6964" s="833">
        <v>33</v>
      </c>
      <c r="B6964" t="s" s="834">
        <v>4656</v>
      </c>
      <c r="C6964" t="s" s="834">
        <v>617</v>
      </c>
      <c r="D6964" s="835">
        <v>46026</v>
      </c>
      <c r="E6964" t="s" s="834">
        <v>478</v>
      </c>
      <c r="F6964" t="s" s="834">
        <v>478</v>
      </c>
      <c r="G6964" s="570"/>
      <c r="H6964" s="570"/>
      <c r="I6964" s="570"/>
      <c r="J6964" s="570"/>
      <c r="K6964" s="570"/>
    </row>
    <row r="6965" ht="13.75" customHeight="1">
      <c r="A6965" s="833">
        <v>33</v>
      </c>
      <c r="B6965" t="s" s="834">
        <v>4656</v>
      </c>
      <c r="C6965" t="s" s="834">
        <v>617</v>
      </c>
      <c r="D6965" s="835">
        <v>46027</v>
      </c>
      <c r="E6965" s="836">
        <v>1.354988425925926</v>
      </c>
      <c r="F6965" s="836">
        <v>1.751909722222222</v>
      </c>
      <c r="G6965" s="570"/>
      <c r="H6965" s="570"/>
      <c r="I6965" s="570"/>
      <c r="J6965" s="570"/>
      <c r="K6965" s="570"/>
    </row>
    <row r="6966" ht="13.75" customHeight="1">
      <c r="A6966" t="s" s="834">
        <v>4657</v>
      </c>
      <c r="B6966" t="s" s="834">
        <v>4658</v>
      </c>
      <c r="C6966" t="s" s="834">
        <v>747</v>
      </c>
      <c r="D6966" s="570"/>
      <c r="E6966" s="570"/>
      <c r="F6966" s="570"/>
      <c r="G6966" s="570"/>
      <c r="H6966" s="570"/>
      <c r="I6966" s="570"/>
      <c r="J6966" s="570"/>
      <c r="K6966" s="570"/>
    </row>
    <row r="6967" ht="13.75" customHeight="1">
      <c r="A6967" s="833">
        <v>33</v>
      </c>
      <c r="B6967" t="s" s="834">
        <v>4656</v>
      </c>
      <c r="C6967" t="s" s="834">
        <v>617</v>
      </c>
      <c r="D6967" s="835">
        <v>46028</v>
      </c>
      <c r="E6967" s="836">
        <v>1.35119212962963</v>
      </c>
      <c r="F6967" s="836">
        <v>1.752118055555556</v>
      </c>
      <c r="G6967" s="570"/>
      <c r="H6967" s="570"/>
      <c r="I6967" s="570"/>
      <c r="J6967" s="570"/>
      <c r="K6967" s="570"/>
    </row>
    <row r="6968" ht="13.75" customHeight="1">
      <c r="A6968" t="s" s="834">
        <v>4659</v>
      </c>
      <c r="B6968" t="s" s="834">
        <v>4660</v>
      </c>
      <c r="C6968" t="s" s="834">
        <v>606</v>
      </c>
      <c r="D6968" s="570"/>
      <c r="E6968" s="570"/>
      <c r="F6968" s="570"/>
      <c r="G6968" s="570"/>
      <c r="H6968" s="570"/>
      <c r="I6968" s="570"/>
      <c r="J6968" s="570"/>
      <c r="K6968" s="570"/>
    </row>
    <row r="6969" ht="13.75" customHeight="1">
      <c r="A6969" s="833">
        <v>33</v>
      </c>
      <c r="B6969" t="s" s="834">
        <v>4656</v>
      </c>
      <c r="C6969" t="s" s="834">
        <v>617</v>
      </c>
      <c r="D6969" s="835">
        <v>46029</v>
      </c>
      <c r="E6969" s="836">
        <v>1.352743055555556</v>
      </c>
      <c r="F6969" s="836">
        <v>1.751655092592593</v>
      </c>
      <c r="G6969" s="570"/>
      <c r="H6969" s="570"/>
      <c r="I6969" s="570"/>
      <c r="J6969" s="570"/>
      <c r="K6969" s="570"/>
    </row>
    <row r="6970" ht="13.75" customHeight="1">
      <c r="A6970" t="s" s="834">
        <v>4661</v>
      </c>
      <c r="B6970" t="s" s="834">
        <v>4662</v>
      </c>
      <c r="C6970" t="s" s="834">
        <v>611</v>
      </c>
      <c r="D6970" s="570"/>
      <c r="E6970" s="570"/>
      <c r="F6970" s="570"/>
      <c r="G6970" s="570"/>
      <c r="H6970" s="570"/>
      <c r="I6970" s="570"/>
      <c r="J6970" s="570"/>
      <c r="K6970" s="570"/>
    </row>
    <row r="6971" ht="13.75" customHeight="1">
      <c r="A6971" s="833">
        <v>33</v>
      </c>
      <c r="B6971" t="s" s="834">
        <v>4656</v>
      </c>
      <c r="C6971" t="s" s="834">
        <v>617</v>
      </c>
      <c r="D6971" s="835">
        <v>46030</v>
      </c>
      <c r="E6971" s="836">
        <v>1.352743055555556</v>
      </c>
      <c r="F6971" s="836">
        <v>1.756284722222222</v>
      </c>
      <c r="G6971" s="570"/>
      <c r="H6971" s="570"/>
      <c r="I6971" s="570"/>
      <c r="J6971" s="570"/>
      <c r="K6971" s="570"/>
    </row>
    <row r="6972" ht="13.75" customHeight="1">
      <c r="A6972" t="s" s="834">
        <v>4663</v>
      </c>
      <c r="B6972" t="s" s="834">
        <v>4664</v>
      </c>
      <c r="C6972" t="s" s="834">
        <v>590</v>
      </c>
      <c r="D6972" s="570"/>
      <c r="E6972" s="570"/>
      <c r="F6972" s="570"/>
      <c r="G6972" s="570"/>
      <c r="H6972" s="570"/>
      <c r="I6972" s="570"/>
      <c r="J6972" s="570"/>
      <c r="K6972" s="570"/>
    </row>
    <row r="6973" ht="13.75" customHeight="1">
      <c r="A6973" s="833">
        <v>33</v>
      </c>
      <c r="B6973" t="s" s="834">
        <v>4656</v>
      </c>
      <c r="C6973" t="s" s="834">
        <v>617</v>
      </c>
      <c r="D6973" s="835">
        <v>46031</v>
      </c>
      <c r="E6973" t="s" s="834">
        <v>478</v>
      </c>
      <c r="F6973" t="s" s="834">
        <v>478</v>
      </c>
      <c r="G6973" s="570"/>
      <c r="H6973" s="570"/>
      <c r="I6973" s="570"/>
      <c r="J6973" s="570"/>
      <c r="K6973" s="570"/>
    </row>
    <row r="6974" ht="13.75" customHeight="1">
      <c r="A6974" s="833">
        <v>33</v>
      </c>
      <c r="B6974" t="s" s="834">
        <v>4656</v>
      </c>
      <c r="C6974" t="s" s="834">
        <v>617</v>
      </c>
      <c r="D6974" s="835">
        <v>46032</v>
      </c>
      <c r="E6974" t="s" s="834">
        <v>478</v>
      </c>
      <c r="F6974" t="s" s="834">
        <v>478</v>
      </c>
      <c r="G6974" s="570"/>
      <c r="H6974" s="570"/>
      <c r="I6974" s="570"/>
      <c r="J6974" s="570"/>
      <c r="K6974" s="570"/>
    </row>
    <row r="6975" ht="13.75" customHeight="1">
      <c r="A6975" s="833">
        <v>33</v>
      </c>
      <c r="B6975" t="s" s="834">
        <v>4656</v>
      </c>
      <c r="C6975" t="s" s="834">
        <v>617</v>
      </c>
      <c r="D6975" s="835">
        <v>46033</v>
      </c>
      <c r="E6975" t="s" s="834">
        <v>478</v>
      </c>
      <c r="F6975" t="s" s="834">
        <v>478</v>
      </c>
      <c r="G6975" s="570"/>
      <c r="H6975" s="570"/>
      <c r="I6975" s="570"/>
      <c r="J6975" s="570"/>
      <c r="K6975" s="570"/>
    </row>
    <row r="6976" ht="13.75" customHeight="1">
      <c r="A6976" s="833">
        <v>33</v>
      </c>
      <c r="B6976" t="s" s="834">
        <v>4656</v>
      </c>
      <c r="C6976" t="s" s="834">
        <v>617</v>
      </c>
      <c r="D6976" s="835">
        <v>46034</v>
      </c>
      <c r="E6976" s="836">
        <v>1.352615740740741</v>
      </c>
      <c r="F6976" s="836">
        <v>1.752962962962963</v>
      </c>
      <c r="G6976" s="570"/>
      <c r="H6976" s="570"/>
      <c r="I6976" s="570"/>
      <c r="J6976" s="570"/>
      <c r="K6976" s="570"/>
    </row>
    <row r="6977" ht="13.75" customHeight="1">
      <c r="A6977" t="s" s="834">
        <v>4665</v>
      </c>
      <c r="B6977" t="s" s="834">
        <v>4666</v>
      </c>
      <c r="C6977" t="s" s="834">
        <v>606</v>
      </c>
      <c r="D6977" s="570"/>
      <c r="E6977" s="570"/>
      <c r="F6977" s="570"/>
      <c r="G6977" s="570"/>
      <c r="H6977" s="570"/>
      <c r="I6977" s="570"/>
      <c r="J6977" s="570"/>
      <c r="K6977" s="570"/>
    </row>
    <row r="6978" ht="13.75" customHeight="1">
      <c r="A6978" s="833">
        <v>33</v>
      </c>
      <c r="B6978" t="s" s="834">
        <v>4656</v>
      </c>
      <c r="C6978" t="s" s="834">
        <v>617</v>
      </c>
      <c r="D6978" s="835">
        <v>46035</v>
      </c>
      <c r="E6978" s="836">
        <v>1.353287037037037</v>
      </c>
      <c r="F6978" s="836">
        <v>1.75275462962963</v>
      </c>
      <c r="G6978" s="570"/>
      <c r="H6978" s="570"/>
      <c r="I6978" s="570"/>
      <c r="J6978" s="570"/>
      <c r="K6978" s="570"/>
    </row>
    <row r="6979" ht="13.75" customHeight="1">
      <c r="A6979" t="s" s="834">
        <v>4667</v>
      </c>
      <c r="B6979" t="s" s="834">
        <v>4668</v>
      </c>
      <c r="C6979" t="s" s="834">
        <v>515</v>
      </c>
      <c r="D6979" s="570"/>
      <c r="E6979" s="570"/>
      <c r="F6979" s="570"/>
      <c r="G6979" s="570"/>
      <c r="H6979" s="570"/>
      <c r="I6979" s="570"/>
      <c r="J6979" s="570"/>
      <c r="K6979" s="570"/>
    </row>
    <row r="6980" ht="13.75" customHeight="1">
      <c r="A6980" s="833">
        <v>33</v>
      </c>
      <c r="B6980" t="s" s="834">
        <v>4656</v>
      </c>
      <c r="C6980" t="s" s="834">
        <v>617</v>
      </c>
      <c r="D6980" s="835">
        <v>46036</v>
      </c>
      <c r="E6980" s="836">
        <v>1.352106481481481</v>
      </c>
      <c r="F6980" s="836">
        <v>1.753020833333333</v>
      </c>
      <c r="G6980" s="570"/>
      <c r="H6980" s="570"/>
      <c r="I6980" s="570"/>
      <c r="J6980" s="570"/>
      <c r="K6980" s="570"/>
    </row>
    <row r="6981" ht="13.75" customHeight="1">
      <c r="A6981" t="s" s="834">
        <v>4669</v>
      </c>
      <c r="B6981" t="s" s="834">
        <v>4670</v>
      </c>
      <c r="C6981" t="s" s="834">
        <v>606</v>
      </c>
      <c r="D6981" s="570"/>
      <c r="E6981" s="570"/>
      <c r="F6981" s="570"/>
      <c r="G6981" s="570"/>
      <c r="H6981" s="570"/>
      <c r="I6981" s="570"/>
      <c r="J6981" s="570"/>
      <c r="K6981" s="570"/>
    </row>
    <row r="6982" ht="13.75" customHeight="1">
      <c r="A6982" s="833">
        <v>33</v>
      </c>
      <c r="B6982" t="s" s="834">
        <v>4656</v>
      </c>
      <c r="C6982" t="s" s="834">
        <v>617</v>
      </c>
      <c r="D6982" s="835">
        <v>46037</v>
      </c>
      <c r="E6982" s="836">
        <v>1.354166666666667</v>
      </c>
      <c r="F6982" s="836">
        <v>1.752268518518519</v>
      </c>
      <c r="G6982" s="570"/>
      <c r="H6982" s="570"/>
      <c r="I6982" s="570"/>
      <c r="J6982" s="570"/>
      <c r="K6982" s="570"/>
    </row>
    <row r="6983" ht="13.75" customHeight="1">
      <c r="A6983" t="s" s="834">
        <v>4671</v>
      </c>
      <c r="B6983" t="s" s="834">
        <v>4672</v>
      </c>
      <c r="C6983" t="s" s="834">
        <v>688</v>
      </c>
      <c r="D6983" s="570"/>
      <c r="E6983" s="570"/>
      <c r="F6983" s="570"/>
      <c r="G6983" s="570"/>
      <c r="H6983" s="570"/>
      <c r="I6983" s="570"/>
      <c r="J6983" s="570"/>
      <c r="K6983" s="570"/>
    </row>
    <row r="6984" ht="13.75" customHeight="1">
      <c r="A6984" s="833">
        <v>33</v>
      </c>
      <c r="B6984" t="s" s="834">
        <v>4656</v>
      </c>
      <c r="C6984" t="s" s="834">
        <v>617</v>
      </c>
      <c r="D6984" s="835">
        <v>46038</v>
      </c>
      <c r="E6984" t="s" s="834">
        <v>478</v>
      </c>
      <c r="F6984" t="s" s="834">
        <v>478</v>
      </c>
      <c r="G6984" s="570"/>
      <c r="H6984" s="570"/>
      <c r="I6984" s="570"/>
      <c r="J6984" s="570"/>
      <c r="K6984" s="570"/>
    </row>
    <row r="6985" ht="13.75" customHeight="1">
      <c r="A6985" s="833">
        <v>33</v>
      </c>
      <c r="B6985" t="s" s="834">
        <v>4656</v>
      </c>
      <c r="C6985" t="s" s="834">
        <v>617</v>
      </c>
      <c r="D6985" s="835">
        <v>46039</v>
      </c>
      <c r="E6985" t="s" s="834">
        <v>478</v>
      </c>
      <c r="F6985" t="s" s="834">
        <v>478</v>
      </c>
      <c r="G6985" s="570"/>
      <c r="H6985" s="570"/>
      <c r="I6985" s="570"/>
      <c r="J6985" s="570"/>
      <c r="K6985" s="570"/>
    </row>
    <row r="6986" ht="13.75" customHeight="1">
      <c r="A6986" s="833">
        <v>33</v>
      </c>
      <c r="B6986" t="s" s="834">
        <v>4656</v>
      </c>
      <c r="C6986" t="s" s="834">
        <v>617</v>
      </c>
      <c r="D6986" s="835">
        <v>46040</v>
      </c>
      <c r="E6986" t="s" s="834">
        <v>478</v>
      </c>
      <c r="F6986" t="s" s="834">
        <v>478</v>
      </c>
      <c r="G6986" s="570"/>
      <c r="H6986" s="570"/>
      <c r="I6986" s="570"/>
      <c r="J6986" s="570"/>
      <c r="K6986" s="570"/>
    </row>
    <row r="6987" ht="13.75" customHeight="1">
      <c r="A6987" s="833">
        <v>33</v>
      </c>
      <c r="B6987" t="s" s="834">
        <v>4656</v>
      </c>
      <c r="C6987" t="s" s="834">
        <v>617</v>
      </c>
      <c r="D6987" s="835">
        <v>46041</v>
      </c>
      <c r="E6987" s="836">
        <v>1.376550925925926</v>
      </c>
      <c r="F6987" s="836">
        <v>1.755138888888889</v>
      </c>
      <c r="G6987" s="570"/>
      <c r="H6987" s="570"/>
      <c r="I6987" s="570"/>
      <c r="J6987" s="570"/>
      <c r="K6987" s="570"/>
    </row>
    <row r="6988" ht="13.75" customHeight="1">
      <c r="A6988" t="s" s="834">
        <v>4673</v>
      </c>
      <c r="B6988" t="s" s="834">
        <v>4674</v>
      </c>
      <c r="C6988" t="s" s="834">
        <v>562</v>
      </c>
      <c r="D6988" s="570"/>
      <c r="E6988" s="570"/>
      <c r="F6988" s="570"/>
      <c r="G6988" s="570"/>
      <c r="H6988" s="570"/>
      <c r="I6988" s="570"/>
      <c r="J6988" s="570"/>
      <c r="K6988" s="570"/>
    </row>
    <row r="6989" ht="13.75" customHeight="1">
      <c r="A6989" s="833">
        <v>33</v>
      </c>
      <c r="B6989" t="s" s="834">
        <v>4656</v>
      </c>
      <c r="C6989" t="s" s="834">
        <v>617</v>
      </c>
      <c r="D6989" s="835">
        <v>46042</v>
      </c>
      <c r="E6989" s="836">
        <v>1.353159722222222</v>
      </c>
      <c r="F6989" s="836">
        <v>1.752337962962963</v>
      </c>
      <c r="G6989" s="570"/>
      <c r="H6989" s="570"/>
      <c r="I6989" s="570"/>
      <c r="J6989" s="570"/>
      <c r="K6989" s="570"/>
    </row>
    <row r="6990" ht="13.75" customHeight="1">
      <c r="A6990" t="s" s="834">
        <v>4675</v>
      </c>
      <c r="B6990" t="s" s="834">
        <v>4676</v>
      </c>
      <c r="C6990" t="s" s="834">
        <v>515</v>
      </c>
      <c r="D6990" s="570"/>
      <c r="E6990" s="570"/>
      <c r="F6990" s="570"/>
      <c r="G6990" s="570"/>
      <c r="H6990" s="570"/>
      <c r="I6990" s="570"/>
      <c r="J6990" s="570"/>
      <c r="K6990" s="570"/>
    </row>
    <row r="6991" ht="13.75" customHeight="1">
      <c r="A6991" s="833">
        <v>33</v>
      </c>
      <c r="B6991" t="s" s="834">
        <v>4656</v>
      </c>
      <c r="C6991" t="s" s="834">
        <v>617</v>
      </c>
      <c r="D6991" s="835">
        <v>46043</v>
      </c>
      <c r="E6991" s="836">
        <v>1.357395833333333</v>
      </c>
      <c r="F6991" s="836">
        <v>1.752013888888889</v>
      </c>
      <c r="G6991" s="570"/>
      <c r="H6991" s="570"/>
      <c r="I6991" s="570"/>
      <c r="J6991" s="570"/>
      <c r="K6991" s="570"/>
    </row>
    <row r="6992" ht="13.75" customHeight="1">
      <c r="A6992" t="s" s="834">
        <v>4677</v>
      </c>
      <c r="B6992" t="s" s="834">
        <v>4678</v>
      </c>
      <c r="C6992" t="s" s="834">
        <v>512</v>
      </c>
      <c r="D6992" s="570"/>
      <c r="E6992" s="570"/>
      <c r="F6992" s="570"/>
      <c r="G6992" s="570"/>
      <c r="H6992" s="570"/>
      <c r="I6992" s="570"/>
      <c r="J6992" s="570"/>
      <c r="K6992" s="570"/>
    </row>
    <row r="6993" ht="13.75" customHeight="1">
      <c r="A6993" s="833">
        <v>33</v>
      </c>
      <c r="B6993" t="s" s="834">
        <v>4656</v>
      </c>
      <c r="C6993" t="s" s="834">
        <v>617</v>
      </c>
      <c r="D6993" s="835">
        <v>46044</v>
      </c>
      <c r="E6993" s="836">
        <v>1.353067129629629</v>
      </c>
      <c r="F6993" s="836">
        <v>1.751886574074074</v>
      </c>
      <c r="G6993" s="570"/>
      <c r="H6993" s="570"/>
      <c r="I6993" s="570"/>
      <c r="J6993" s="570"/>
      <c r="K6993" s="570"/>
    </row>
    <row r="6994" ht="13.75" customHeight="1">
      <c r="A6994" t="s" s="834">
        <v>4679</v>
      </c>
      <c r="B6994" t="s" s="834">
        <v>4680</v>
      </c>
      <c r="C6994" t="s" s="834">
        <v>611</v>
      </c>
      <c r="D6994" s="570"/>
      <c r="E6994" s="570"/>
      <c r="F6994" s="570"/>
      <c r="G6994" s="570"/>
      <c r="H6994" s="570"/>
      <c r="I6994" s="570"/>
      <c r="J6994" s="570"/>
      <c r="K6994" s="570"/>
    </row>
    <row r="6995" ht="13.75" customHeight="1">
      <c r="A6995" s="833">
        <v>33</v>
      </c>
      <c r="B6995" t="s" s="834">
        <v>4656</v>
      </c>
      <c r="C6995" t="s" s="834">
        <v>617</v>
      </c>
      <c r="D6995" s="835">
        <v>46045</v>
      </c>
      <c r="E6995" t="s" s="834">
        <v>478</v>
      </c>
      <c r="F6995" t="s" s="834">
        <v>478</v>
      </c>
      <c r="G6995" s="570"/>
      <c r="H6995" s="570"/>
      <c r="I6995" s="570"/>
      <c r="J6995" s="570"/>
      <c r="K6995" s="570"/>
    </row>
    <row r="6996" ht="13.75" customHeight="1">
      <c r="A6996" s="833">
        <v>33</v>
      </c>
      <c r="B6996" t="s" s="834">
        <v>4656</v>
      </c>
      <c r="C6996" t="s" s="834">
        <v>617</v>
      </c>
      <c r="D6996" s="835">
        <v>46046</v>
      </c>
      <c r="E6996" t="s" s="834">
        <v>478</v>
      </c>
      <c r="F6996" t="s" s="834">
        <v>478</v>
      </c>
      <c r="G6996" s="570"/>
      <c r="H6996" s="570"/>
      <c r="I6996" s="570"/>
      <c r="J6996" s="570"/>
      <c r="K6996" s="570"/>
    </row>
    <row r="6997" ht="13.75" customHeight="1">
      <c r="A6997" s="833">
        <v>33</v>
      </c>
      <c r="B6997" t="s" s="834">
        <v>4656</v>
      </c>
      <c r="C6997" t="s" s="834">
        <v>617</v>
      </c>
      <c r="D6997" s="835">
        <v>46047</v>
      </c>
      <c r="E6997" t="s" s="834">
        <v>478</v>
      </c>
      <c r="F6997" t="s" s="834">
        <v>478</v>
      </c>
      <c r="G6997" s="570"/>
      <c r="H6997" s="570"/>
      <c r="I6997" s="570"/>
      <c r="J6997" s="570"/>
      <c r="K6997" s="570"/>
    </row>
    <row r="6998" ht="13.75" customHeight="1">
      <c r="A6998" s="833">
        <v>33</v>
      </c>
      <c r="B6998" t="s" s="834">
        <v>4656</v>
      </c>
      <c r="C6998" t="s" s="834">
        <v>617</v>
      </c>
      <c r="D6998" s="835">
        <v>46048</v>
      </c>
      <c r="E6998" s="836">
        <v>1.353310185185185</v>
      </c>
      <c r="F6998" s="836">
        <v>1.752881944444444</v>
      </c>
      <c r="G6998" s="570"/>
      <c r="H6998" s="570"/>
      <c r="I6998" s="570"/>
      <c r="J6998" s="570"/>
      <c r="K6998" s="570"/>
    </row>
    <row r="6999" ht="13.75" customHeight="1">
      <c r="A6999" t="s" s="834">
        <v>4681</v>
      </c>
      <c r="B6999" t="s" s="834">
        <v>4682</v>
      </c>
      <c r="C6999" t="s" s="834">
        <v>515</v>
      </c>
      <c r="D6999" s="570"/>
      <c r="E6999" s="570"/>
      <c r="F6999" s="570"/>
      <c r="G6999" s="570"/>
      <c r="H6999" s="570"/>
      <c r="I6999" s="570"/>
      <c r="J6999" s="570"/>
      <c r="K6999" s="570"/>
    </row>
    <row r="7000" ht="13.75" customHeight="1">
      <c r="A7000" s="833">
        <v>33</v>
      </c>
      <c r="B7000" t="s" s="834">
        <v>4656</v>
      </c>
      <c r="C7000" t="s" s="834">
        <v>617</v>
      </c>
      <c r="D7000" s="835">
        <v>46049</v>
      </c>
      <c r="E7000" s="836">
        <v>1.352696759259259</v>
      </c>
      <c r="F7000" s="836">
        <v>1.754108796296296</v>
      </c>
      <c r="G7000" s="570"/>
      <c r="H7000" s="570"/>
      <c r="I7000" s="570"/>
      <c r="J7000" s="570"/>
      <c r="K7000" s="570"/>
    </row>
    <row r="7001" ht="13.75" customHeight="1">
      <c r="A7001" t="s" s="834">
        <v>4683</v>
      </c>
      <c r="B7001" t="s" s="834">
        <v>4684</v>
      </c>
      <c r="C7001" t="s" s="834">
        <v>697</v>
      </c>
      <c r="D7001" s="570"/>
      <c r="E7001" s="570"/>
      <c r="F7001" s="570"/>
      <c r="G7001" s="570"/>
      <c r="H7001" s="570"/>
      <c r="I7001" s="570"/>
      <c r="J7001" s="570"/>
      <c r="K7001" s="570"/>
    </row>
    <row r="7002" ht="13.75" customHeight="1">
      <c r="A7002" s="833">
        <v>33</v>
      </c>
      <c r="B7002" t="s" s="834">
        <v>4656</v>
      </c>
      <c r="C7002" t="s" s="834">
        <v>617</v>
      </c>
      <c r="D7002" s="835">
        <v>46050</v>
      </c>
      <c r="E7002" s="836">
        <v>1.35255787037037</v>
      </c>
      <c r="F7002" s="836">
        <v>1.753773148148148</v>
      </c>
      <c r="G7002" s="570"/>
      <c r="H7002" s="570"/>
      <c r="I7002" s="570"/>
      <c r="J7002" s="570"/>
      <c r="K7002" s="570"/>
    </row>
    <row r="7003" ht="13.75" customHeight="1">
      <c r="A7003" t="s" s="834">
        <v>4685</v>
      </c>
      <c r="B7003" t="s" s="834">
        <v>4686</v>
      </c>
      <c r="C7003" t="s" s="834">
        <v>697</v>
      </c>
      <c r="D7003" s="570"/>
      <c r="E7003" s="570"/>
      <c r="F7003" s="570"/>
      <c r="G7003" s="570"/>
      <c r="H7003" s="570"/>
      <c r="I7003" s="570"/>
      <c r="J7003" s="570"/>
      <c r="K7003" s="570"/>
    </row>
    <row r="7004" ht="13.75" customHeight="1">
      <c r="A7004" s="833">
        <v>33</v>
      </c>
      <c r="B7004" t="s" s="834">
        <v>4656</v>
      </c>
      <c r="C7004" t="s" s="834">
        <v>617</v>
      </c>
      <c r="D7004" s="835">
        <v>46051</v>
      </c>
      <c r="E7004" s="836">
        <v>1.352789351851852</v>
      </c>
      <c r="F7004" s="836">
        <v>1.757731481481482</v>
      </c>
      <c r="G7004" s="570"/>
      <c r="H7004" s="570"/>
      <c r="I7004" s="570"/>
      <c r="J7004" s="570"/>
      <c r="K7004" s="570"/>
    </row>
    <row r="7005" ht="13.75" customHeight="1">
      <c r="A7005" t="s" s="834">
        <v>4687</v>
      </c>
      <c r="B7005" t="s" s="834">
        <v>4688</v>
      </c>
      <c r="C7005" t="s" s="834">
        <v>582</v>
      </c>
      <c r="D7005" s="570"/>
      <c r="E7005" s="570"/>
      <c r="F7005" s="570"/>
      <c r="G7005" s="570"/>
      <c r="H7005" s="570"/>
      <c r="I7005" s="570"/>
      <c r="J7005" s="570"/>
      <c r="K7005" s="570"/>
    </row>
    <row r="7006" ht="13.75" customHeight="1">
      <c r="A7006" s="833">
        <v>33</v>
      </c>
      <c r="B7006" t="s" s="834">
        <v>4656</v>
      </c>
      <c r="C7006" t="s" s="834">
        <v>617</v>
      </c>
      <c r="D7006" s="835">
        <v>46052</v>
      </c>
      <c r="E7006" t="s" s="834">
        <v>478</v>
      </c>
      <c r="F7006" t="s" s="834">
        <v>478</v>
      </c>
      <c r="G7006" s="570"/>
      <c r="H7006" s="570"/>
      <c r="I7006" s="570"/>
      <c r="J7006" s="570"/>
      <c r="K7006" s="570"/>
    </row>
    <row r="7007" ht="13.75" customHeight="1">
      <c r="A7007" s="833">
        <v>33</v>
      </c>
      <c r="B7007" t="s" s="834">
        <v>4656</v>
      </c>
      <c r="C7007" t="s" s="834">
        <v>617</v>
      </c>
      <c r="D7007" s="835">
        <v>46053</v>
      </c>
      <c r="E7007" t="s" s="834">
        <v>478</v>
      </c>
      <c r="F7007" t="s" s="834">
        <v>478</v>
      </c>
      <c r="G7007" s="570"/>
      <c r="H7007" s="570"/>
      <c r="I7007" s="570"/>
      <c r="J7007" s="570"/>
      <c r="K7007" s="570"/>
    </row>
    <row r="7008" ht="13.75" customHeight="1">
      <c r="A7008" s="833">
        <v>33</v>
      </c>
      <c r="B7008" t="s" s="834">
        <v>4656</v>
      </c>
      <c r="C7008" t="s" s="834">
        <v>617</v>
      </c>
      <c r="D7008" s="835">
        <v>46054</v>
      </c>
      <c r="E7008" t="s" s="834">
        <v>478</v>
      </c>
      <c r="F7008" t="s" s="834">
        <v>478</v>
      </c>
      <c r="G7008" s="570"/>
      <c r="H7008" s="570"/>
      <c r="I7008" s="570"/>
      <c r="J7008" s="570"/>
      <c r="K7008" s="570"/>
    </row>
    <row r="7009" ht="13.75" customHeight="1">
      <c r="A7009" s="833">
        <v>330</v>
      </c>
      <c r="B7009" t="s" s="834">
        <v>253</v>
      </c>
      <c r="C7009" t="s" s="834">
        <v>480</v>
      </c>
      <c r="D7009" s="835">
        <v>46023</v>
      </c>
      <c r="E7009" t="s" s="834">
        <v>478</v>
      </c>
      <c r="F7009" t="s" s="834">
        <v>478</v>
      </c>
      <c r="G7009" t="s" s="837">
        <v>567</v>
      </c>
      <c r="H7009" t="s" s="837">
        <v>4321</v>
      </c>
      <c r="I7009" t="s" s="837">
        <v>567</v>
      </c>
      <c r="J7009" t="s" s="837">
        <v>4321</v>
      </c>
      <c r="K7009" s="570"/>
    </row>
    <row r="7010" ht="13.75" customHeight="1">
      <c r="A7010" s="833">
        <v>330</v>
      </c>
      <c r="B7010" t="s" s="834">
        <v>253</v>
      </c>
      <c r="C7010" t="s" s="834">
        <v>480</v>
      </c>
      <c r="D7010" s="835">
        <v>46024</v>
      </c>
      <c r="E7010" t="s" s="834">
        <v>478</v>
      </c>
      <c r="F7010" t="s" s="834">
        <v>478</v>
      </c>
      <c r="G7010" t="s" s="837">
        <v>567</v>
      </c>
      <c r="H7010" t="s" s="837">
        <v>591</v>
      </c>
      <c r="I7010" t="s" s="837">
        <v>567</v>
      </c>
      <c r="J7010" t="s" s="837">
        <v>591</v>
      </c>
      <c r="K7010" s="570"/>
    </row>
    <row r="7011" ht="13.75" customHeight="1">
      <c r="A7011" s="833">
        <v>330</v>
      </c>
      <c r="B7011" t="s" s="834">
        <v>253</v>
      </c>
      <c r="C7011" t="s" s="834">
        <v>480</v>
      </c>
      <c r="D7011" s="835">
        <v>46025</v>
      </c>
      <c r="E7011" t="s" s="834">
        <v>478</v>
      </c>
      <c r="F7011" t="s" s="834">
        <v>478</v>
      </c>
      <c r="G7011" t="s" s="837">
        <v>567</v>
      </c>
      <c r="H7011" t="s" s="837">
        <v>570</v>
      </c>
      <c r="I7011" t="s" s="837">
        <v>567</v>
      </c>
      <c r="J7011" t="s" s="837">
        <v>570</v>
      </c>
      <c r="K7011" s="570"/>
    </row>
    <row r="7012" ht="13.75" customHeight="1">
      <c r="A7012" s="833">
        <v>330</v>
      </c>
      <c r="B7012" t="s" s="834">
        <v>253</v>
      </c>
      <c r="C7012" t="s" s="834">
        <v>480</v>
      </c>
      <c r="D7012" s="835">
        <v>46026</v>
      </c>
      <c r="E7012" t="s" s="834">
        <v>478</v>
      </c>
      <c r="F7012" t="s" s="834">
        <v>478</v>
      </c>
      <c r="G7012" t="s" s="837">
        <v>567</v>
      </c>
      <c r="H7012" t="s" s="837">
        <v>570</v>
      </c>
      <c r="I7012" t="s" s="837">
        <v>567</v>
      </c>
      <c r="J7012" t="s" s="837">
        <v>570</v>
      </c>
      <c r="K7012" s="570"/>
    </row>
    <row r="7013" ht="13.75" customHeight="1">
      <c r="A7013" s="833">
        <v>330</v>
      </c>
      <c r="B7013" t="s" s="834">
        <v>253</v>
      </c>
      <c r="C7013" t="s" s="834">
        <v>480</v>
      </c>
      <c r="D7013" s="835">
        <v>46027</v>
      </c>
      <c r="E7013" s="836">
        <v>1.3546875</v>
      </c>
      <c r="F7013" s="836">
        <v>1.756689814814815</v>
      </c>
      <c r="G7013" s="570"/>
      <c r="H7013" s="570"/>
      <c r="I7013" s="570"/>
      <c r="J7013" s="570"/>
      <c r="K7013" s="570"/>
    </row>
    <row r="7014" ht="13.75" customHeight="1">
      <c r="A7014" t="s" s="834">
        <v>4689</v>
      </c>
      <c r="B7014" t="s" s="834">
        <v>4690</v>
      </c>
      <c r="C7014" t="s" s="834">
        <v>772</v>
      </c>
      <c r="D7014" s="570"/>
      <c r="E7014" s="570"/>
      <c r="F7014" s="570"/>
      <c r="G7014" s="570"/>
      <c r="H7014" s="570"/>
      <c r="I7014" s="570"/>
      <c r="J7014" s="570"/>
      <c r="K7014" s="570"/>
    </row>
    <row r="7015" ht="13.75" customHeight="1">
      <c r="A7015" s="833">
        <v>330</v>
      </c>
      <c r="B7015" t="s" s="834">
        <v>253</v>
      </c>
      <c r="C7015" t="s" s="834">
        <v>480</v>
      </c>
      <c r="D7015" s="835">
        <v>46028</v>
      </c>
      <c r="E7015" s="836">
        <v>1.361493055555556</v>
      </c>
      <c r="F7015" s="836">
        <v>1.761296296296296</v>
      </c>
      <c r="G7015" t="s" s="837">
        <v>567</v>
      </c>
      <c r="H7015" t="s" s="837">
        <v>587</v>
      </c>
      <c r="I7015" s="570"/>
      <c r="J7015" s="570"/>
      <c r="K7015" s="570"/>
    </row>
    <row r="7016" ht="13.75" customHeight="1">
      <c r="A7016" t="s" s="834">
        <v>4691</v>
      </c>
      <c r="B7016" t="s" s="834">
        <v>4692</v>
      </c>
      <c r="C7016" t="s" s="834">
        <v>759</v>
      </c>
      <c r="D7016" s="570"/>
      <c r="E7016" s="570"/>
      <c r="F7016" s="570"/>
      <c r="G7016" s="570"/>
      <c r="H7016" s="570"/>
      <c r="I7016" s="570"/>
      <c r="J7016" s="570"/>
      <c r="K7016" s="570"/>
    </row>
    <row r="7017" ht="13.75" customHeight="1">
      <c r="A7017" s="833">
        <v>330</v>
      </c>
      <c r="B7017" t="s" s="834">
        <v>253</v>
      </c>
      <c r="C7017" t="s" s="834">
        <v>480</v>
      </c>
      <c r="D7017" s="835">
        <v>46029</v>
      </c>
      <c r="E7017" s="836">
        <v>1.354502314814815</v>
      </c>
      <c r="F7017" s="836">
        <v>1.755347222222222</v>
      </c>
      <c r="G7017" s="570"/>
      <c r="H7017" s="570"/>
      <c r="I7017" s="570"/>
      <c r="J7017" s="570"/>
      <c r="K7017" s="570"/>
    </row>
    <row r="7018" ht="13.75" customHeight="1">
      <c r="A7018" t="s" s="838">
        <v>4693</v>
      </c>
      <c r="B7018" t="s" s="838">
        <v>4694</v>
      </c>
      <c r="C7018" t="s" s="838">
        <v>606</v>
      </c>
      <c r="D7018" s="839"/>
      <c r="E7018" s="839"/>
      <c r="F7018" s="839"/>
      <c r="G7018" s="839"/>
      <c r="H7018" s="839"/>
      <c r="I7018" s="839"/>
      <c r="J7018" s="839"/>
      <c r="K7018" s="839"/>
    </row>
    <row r="7019" ht="13.75" customHeight="1">
      <c r="A7019" s="840">
        <v>330</v>
      </c>
      <c r="B7019" t="s" s="841">
        <v>253</v>
      </c>
      <c r="C7019" t="s" s="841">
        <v>480</v>
      </c>
      <c r="D7019" s="842">
        <v>46030</v>
      </c>
      <c r="E7019" t="s" s="841">
        <v>478</v>
      </c>
      <c r="F7019" t="s" s="841">
        <v>478</v>
      </c>
      <c r="G7019" t="s" s="844">
        <v>567</v>
      </c>
      <c r="H7019" t="s" s="844">
        <v>4695</v>
      </c>
      <c r="I7019" t="s" s="844">
        <v>567</v>
      </c>
      <c r="J7019" t="s" s="844">
        <v>4695</v>
      </c>
      <c r="K7019" s="846"/>
    </row>
    <row r="7020" ht="13.75" customHeight="1">
      <c r="A7020" s="840">
        <v>330</v>
      </c>
      <c r="B7020" t="s" s="841">
        <v>253</v>
      </c>
      <c r="C7020" t="s" s="841">
        <v>480</v>
      </c>
      <c r="D7020" s="842">
        <v>46031</v>
      </c>
      <c r="E7020" s="843">
        <v>1.353159722222222</v>
      </c>
      <c r="F7020" s="843">
        <v>1.759791666666667</v>
      </c>
      <c r="G7020" s="845"/>
      <c r="H7020" s="845"/>
      <c r="I7020" s="845"/>
      <c r="J7020" s="845"/>
      <c r="K7020" s="846"/>
    </row>
    <row r="7021" ht="13.75" customHeight="1">
      <c r="A7021" t="s" s="847">
        <v>4696</v>
      </c>
      <c r="B7021" t="s" s="847">
        <v>4697</v>
      </c>
      <c r="C7021" t="s" s="847">
        <v>1113</v>
      </c>
      <c r="D7021" s="848"/>
      <c r="E7021" s="848"/>
      <c r="F7021" s="848"/>
      <c r="G7021" s="848"/>
      <c r="H7021" s="848"/>
      <c r="I7021" s="848"/>
      <c r="J7021" s="848"/>
      <c r="K7021" s="848"/>
    </row>
    <row r="7022" ht="13.75" customHeight="1">
      <c r="A7022" s="840">
        <v>330</v>
      </c>
      <c r="B7022" t="s" s="841">
        <v>253</v>
      </c>
      <c r="C7022" t="s" s="841">
        <v>480</v>
      </c>
      <c r="D7022" s="842">
        <v>46032</v>
      </c>
      <c r="E7022" t="s" s="841">
        <v>478</v>
      </c>
      <c r="F7022" t="s" s="841">
        <v>478</v>
      </c>
      <c r="G7022" t="s" s="844">
        <v>567</v>
      </c>
      <c r="H7022" t="s" s="844">
        <v>570</v>
      </c>
      <c r="I7022" t="s" s="844">
        <v>567</v>
      </c>
      <c r="J7022" t="s" s="844">
        <v>570</v>
      </c>
      <c r="K7022" s="846"/>
    </row>
    <row r="7023" ht="13.75" customHeight="1">
      <c r="A7023" s="840">
        <v>330</v>
      </c>
      <c r="B7023" t="s" s="841">
        <v>253</v>
      </c>
      <c r="C7023" t="s" s="841">
        <v>480</v>
      </c>
      <c r="D7023" s="842">
        <v>46033</v>
      </c>
      <c r="E7023" t="s" s="841">
        <v>478</v>
      </c>
      <c r="F7023" t="s" s="841">
        <v>478</v>
      </c>
      <c r="G7023" t="s" s="844">
        <v>567</v>
      </c>
      <c r="H7023" t="s" s="844">
        <v>570</v>
      </c>
      <c r="I7023" t="s" s="844">
        <v>567</v>
      </c>
      <c r="J7023" t="s" s="844">
        <v>570</v>
      </c>
      <c r="K7023" s="846"/>
    </row>
    <row r="7024" ht="13.75" customHeight="1">
      <c r="A7024" s="840">
        <v>330</v>
      </c>
      <c r="B7024" t="s" s="841">
        <v>253</v>
      </c>
      <c r="C7024" t="s" s="841">
        <v>480</v>
      </c>
      <c r="D7024" s="842">
        <v>46034</v>
      </c>
      <c r="E7024" s="843">
        <v>1.347523148148148</v>
      </c>
      <c r="F7024" s="843">
        <v>1.754421296296296</v>
      </c>
      <c r="G7024" s="845"/>
      <c r="H7024" s="845"/>
      <c r="I7024" s="845"/>
      <c r="J7024" s="845"/>
      <c r="K7024" s="846"/>
    </row>
    <row r="7025" ht="13.75" customHeight="1">
      <c r="A7025" t="s" s="847">
        <v>4698</v>
      </c>
      <c r="B7025" t="s" s="847">
        <v>4699</v>
      </c>
      <c r="C7025" t="s" s="847">
        <v>1113</v>
      </c>
      <c r="D7025" s="848"/>
      <c r="E7025" s="848"/>
      <c r="F7025" s="848"/>
      <c r="G7025" s="848"/>
      <c r="H7025" s="848"/>
      <c r="I7025" s="848"/>
      <c r="J7025" s="848"/>
      <c r="K7025" s="848"/>
    </row>
    <row r="7026" ht="13.75" customHeight="1">
      <c r="A7026" s="840">
        <v>330</v>
      </c>
      <c r="B7026" t="s" s="841">
        <v>253</v>
      </c>
      <c r="C7026" t="s" s="841">
        <v>480</v>
      </c>
      <c r="D7026" s="842">
        <v>46035</v>
      </c>
      <c r="E7026" s="843">
        <v>1.354525462962963</v>
      </c>
      <c r="F7026" s="843">
        <v>1.685277777777778</v>
      </c>
      <c r="G7026" s="845"/>
      <c r="H7026" s="845"/>
      <c r="I7026" t="s" s="844">
        <v>567</v>
      </c>
      <c r="J7026" t="s" s="844">
        <v>4700</v>
      </c>
      <c r="K7026" s="846"/>
    </row>
    <row r="7027" ht="13.75" customHeight="1">
      <c r="A7027" t="s" s="847">
        <v>4701</v>
      </c>
      <c r="B7027" t="s" s="847">
        <v>4702</v>
      </c>
      <c r="C7027" t="s" s="847">
        <v>3953</v>
      </c>
      <c r="D7027" s="848"/>
      <c r="E7027" s="848"/>
      <c r="F7027" s="848"/>
      <c r="G7027" s="848"/>
      <c r="H7027" s="848"/>
      <c r="I7027" s="848"/>
      <c r="J7027" s="848"/>
      <c r="K7027" s="848"/>
    </row>
    <row r="7028" ht="13.75" customHeight="1">
      <c r="A7028" s="840">
        <v>330</v>
      </c>
      <c r="B7028" t="s" s="841">
        <v>253</v>
      </c>
      <c r="C7028" t="s" s="841">
        <v>480</v>
      </c>
      <c r="D7028" s="842">
        <v>46036</v>
      </c>
      <c r="E7028" s="843">
        <v>1.355196759259259</v>
      </c>
      <c r="F7028" s="843">
        <v>1.759768518518519</v>
      </c>
      <c r="G7028" t="s" s="844">
        <v>567</v>
      </c>
      <c r="H7028" t="s" s="844">
        <v>587</v>
      </c>
      <c r="I7028" s="845"/>
      <c r="J7028" s="845"/>
      <c r="K7028" s="846"/>
    </row>
    <row r="7029" ht="13.75" customHeight="1">
      <c r="A7029" t="s" s="847">
        <v>4703</v>
      </c>
      <c r="B7029" t="s" s="847">
        <v>4704</v>
      </c>
      <c r="C7029" t="s" s="847">
        <v>582</v>
      </c>
      <c r="D7029" s="848"/>
      <c r="E7029" s="848"/>
      <c r="F7029" s="848"/>
      <c r="G7029" s="848"/>
      <c r="H7029" s="848"/>
      <c r="I7029" s="848"/>
      <c r="J7029" s="848"/>
      <c r="K7029" s="848"/>
    </row>
    <row r="7030" ht="13.75" customHeight="1">
      <c r="A7030" s="840">
        <v>330</v>
      </c>
      <c r="B7030" t="s" s="841">
        <v>253</v>
      </c>
      <c r="C7030" t="s" s="841">
        <v>480</v>
      </c>
      <c r="D7030" s="842">
        <v>46037</v>
      </c>
      <c r="E7030" t="s" s="841">
        <v>478</v>
      </c>
      <c r="F7030" t="s" s="841">
        <v>478</v>
      </c>
      <c r="G7030" t="s" s="844">
        <v>567</v>
      </c>
      <c r="H7030" t="s" s="844">
        <v>4695</v>
      </c>
      <c r="I7030" t="s" s="844">
        <v>567</v>
      </c>
      <c r="J7030" t="s" s="844">
        <v>4695</v>
      </c>
      <c r="K7030" s="846"/>
    </row>
    <row r="7031" ht="13.75" customHeight="1">
      <c r="A7031" s="840">
        <v>330</v>
      </c>
      <c r="B7031" t="s" s="841">
        <v>253</v>
      </c>
      <c r="C7031" t="s" s="841">
        <v>480</v>
      </c>
      <c r="D7031" s="842">
        <v>46038</v>
      </c>
      <c r="E7031" s="843">
        <v>1.347581018518519</v>
      </c>
      <c r="F7031" s="843">
        <v>1.76025462962963</v>
      </c>
      <c r="G7031" s="845"/>
      <c r="H7031" s="845"/>
      <c r="I7031" s="845"/>
      <c r="J7031" s="845"/>
      <c r="K7031" s="846"/>
    </row>
    <row r="7032" ht="13.75" customHeight="1">
      <c r="A7032" t="s" s="847">
        <v>4705</v>
      </c>
      <c r="B7032" t="s" s="847">
        <v>4706</v>
      </c>
      <c r="C7032" t="s" s="847">
        <v>1059</v>
      </c>
      <c r="D7032" s="848"/>
      <c r="E7032" s="848"/>
      <c r="F7032" s="848"/>
      <c r="G7032" s="848"/>
      <c r="H7032" s="848"/>
      <c r="I7032" s="848"/>
      <c r="J7032" s="848"/>
      <c r="K7032" s="848"/>
    </row>
    <row r="7033" ht="13.75" customHeight="1">
      <c r="A7033" s="840">
        <v>330</v>
      </c>
      <c r="B7033" t="s" s="841">
        <v>253</v>
      </c>
      <c r="C7033" t="s" s="841">
        <v>480</v>
      </c>
      <c r="D7033" s="842">
        <v>46039</v>
      </c>
      <c r="E7033" t="s" s="841">
        <v>478</v>
      </c>
      <c r="F7033" t="s" s="841">
        <v>478</v>
      </c>
      <c r="G7033" t="s" s="844">
        <v>567</v>
      </c>
      <c r="H7033" t="s" s="844">
        <v>570</v>
      </c>
      <c r="I7033" t="s" s="844">
        <v>567</v>
      </c>
      <c r="J7033" t="s" s="844">
        <v>570</v>
      </c>
      <c r="K7033" s="846"/>
    </row>
    <row r="7034" ht="13.75" customHeight="1">
      <c r="A7034" s="840">
        <v>330</v>
      </c>
      <c r="B7034" t="s" s="841">
        <v>253</v>
      </c>
      <c r="C7034" t="s" s="841">
        <v>480</v>
      </c>
      <c r="D7034" s="842">
        <v>46040</v>
      </c>
      <c r="E7034" t="s" s="841">
        <v>478</v>
      </c>
      <c r="F7034" t="s" s="841">
        <v>478</v>
      </c>
      <c r="G7034" t="s" s="844">
        <v>567</v>
      </c>
      <c r="H7034" t="s" s="844">
        <v>570</v>
      </c>
      <c r="I7034" t="s" s="844">
        <v>567</v>
      </c>
      <c r="J7034" t="s" s="844">
        <v>570</v>
      </c>
      <c r="K7034" s="846"/>
    </row>
    <row r="7035" ht="13.75" customHeight="1">
      <c r="A7035" s="840">
        <v>330</v>
      </c>
      <c r="B7035" t="s" s="841">
        <v>253</v>
      </c>
      <c r="C7035" t="s" s="841">
        <v>480</v>
      </c>
      <c r="D7035" s="842">
        <v>46041</v>
      </c>
      <c r="E7035" s="843">
        <v>1.359537037037037</v>
      </c>
      <c r="F7035" s="843">
        <v>1.758773148148148</v>
      </c>
      <c r="G7035" t="s" s="844">
        <v>567</v>
      </c>
      <c r="H7035" t="s" s="844">
        <v>587</v>
      </c>
      <c r="I7035" s="845"/>
      <c r="J7035" s="845"/>
      <c r="K7035" s="846"/>
    </row>
    <row r="7036" ht="13.75" customHeight="1">
      <c r="A7036" t="s" s="847">
        <v>4707</v>
      </c>
      <c r="B7036" t="s" s="847">
        <v>4708</v>
      </c>
      <c r="C7036" t="s" s="847">
        <v>515</v>
      </c>
      <c r="D7036" s="848"/>
      <c r="E7036" s="848"/>
      <c r="F7036" s="848"/>
      <c r="G7036" s="848"/>
      <c r="H7036" s="848"/>
      <c r="I7036" s="848"/>
      <c r="J7036" s="848"/>
      <c r="K7036" s="848"/>
    </row>
    <row r="7037" ht="13.75" customHeight="1">
      <c r="A7037" s="840">
        <v>330</v>
      </c>
      <c r="B7037" t="s" s="841">
        <v>253</v>
      </c>
      <c r="C7037" t="s" s="841">
        <v>480</v>
      </c>
      <c r="D7037" s="842">
        <v>46042</v>
      </c>
      <c r="E7037" s="843">
        <v>1.352291666666667</v>
      </c>
      <c r="F7037" s="843">
        <v>1.768530092592593</v>
      </c>
      <c r="G7037" s="845"/>
      <c r="H7037" s="845"/>
      <c r="I7037" s="845"/>
      <c r="J7037" s="845"/>
      <c r="K7037" s="846"/>
    </row>
    <row r="7038" ht="13.75" customHeight="1">
      <c r="A7038" t="s" s="847">
        <v>4709</v>
      </c>
      <c r="B7038" t="s" s="847">
        <v>4710</v>
      </c>
      <c r="C7038" t="s" s="847">
        <v>652</v>
      </c>
      <c r="D7038" s="848"/>
      <c r="E7038" s="848"/>
      <c r="F7038" s="848"/>
      <c r="G7038" s="848"/>
      <c r="H7038" s="848"/>
      <c r="I7038" s="848"/>
      <c r="J7038" s="848"/>
      <c r="K7038" s="848"/>
    </row>
    <row r="7039" ht="13.75" customHeight="1">
      <c r="A7039" s="840">
        <v>330</v>
      </c>
      <c r="B7039" t="s" s="841">
        <v>253</v>
      </c>
      <c r="C7039" t="s" s="841">
        <v>480</v>
      </c>
      <c r="D7039" s="842">
        <v>46043</v>
      </c>
      <c r="E7039" s="843">
        <v>1.352893518518518</v>
      </c>
      <c r="F7039" s="843">
        <v>1.75693287037037</v>
      </c>
      <c r="G7039" s="845"/>
      <c r="H7039" s="845"/>
      <c r="I7039" s="845"/>
      <c r="J7039" s="845"/>
      <c r="K7039" s="846"/>
    </row>
    <row r="7040" ht="13.75" customHeight="1">
      <c r="A7040" t="s" s="847">
        <v>4711</v>
      </c>
      <c r="B7040" t="s" s="847">
        <v>4712</v>
      </c>
      <c r="C7040" t="s" s="847">
        <v>493</v>
      </c>
      <c r="D7040" s="848"/>
      <c r="E7040" s="848"/>
      <c r="F7040" s="848"/>
      <c r="G7040" s="848"/>
      <c r="H7040" s="848"/>
      <c r="I7040" s="848"/>
      <c r="J7040" s="848"/>
      <c r="K7040" s="848"/>
    </row>
    <row r="7041" ht="13.75" customHeight="1">
      <c r="A7041" s="840">
        <v>330</v>
      </c>
      <c r="B7041" t="s" s="841">
        <v>253</v>
      </c>
      <c r="C7041" t="s" s="841">
        <v>480</v>
      </c>
      <c r="D7041" s="842">
        <v>46044</v>
      </c>
      <c r="E7041" s="843">
        <v>1.354606481481482</v>
      </c>
      <c r="F7041" s="843">
        <v>1.828171296296296</v>
      </c>
      <c r="G7041" s="845"/>
      <c r="H7041" s="845"/>
      <c r="I7041" s="845"/>
      <c r="J7041" s="845"/>
      <c r="K7041" s="846"/>
    </row>
    <row r="7042" ht="13.75" customHeight="1">
      <c r="A7042" t="s" s="847">
        <v>4713</v>
      </c>
      <c r="B7042" t="s" s="847">
        <v>4714</v>
      </c>
      <c r="C7042" t="s" s="847">
        <v>1038</v>
      </c>
      <c r="D7042" s="848"/>
      <c r="E7042" s="848"/>
      <c r="F7042" s="848"/>
      <c r="G7042" s="848"/>
      <c r="H7042" s="848"/>
      <c r="I7042" s="848"/>
      <c r="J7042" s="848"/>
      <c r="K7042" s="848"/>
    </row>
    <row r="7043" ht="13.75" customHeight="1">
      <c r="A7043" s="840">
        <v>330</v>
      </c>
      <c r="B7043" t="s" s="841">
        <v>253</v>
      </c>
      <c r="C7043" t="s" s="841">
        <v>480</v>
      </c>
      <c r="D7043" s="842">
        <v>46045</v>
      </c>
      <c r="E7043" s="843">
        <v>1.354826388888889</v>
      </c>
      <c r="F7043" s="843">
        <v>1.775520833333333</v>
      </c>
      <c r="G7043" s="845"/>
      <c r="H7043" s="845"/>
      <c r="I7043" s="845"/>
      <c r="J7043" s="845"/>
      <c r="K7043" s="846"/>
    </row>
    <row r="7044" ht="13.75" customHeight="1">
      <c r="A7044" t="s" s="847">
        <v>4715</v>
      </c>
      <c r="B7044" t="s" s="847">
        <v>4716</v>
      </c>
      <c r="C7044" t="s" s="847">
        <v>1116</v>
      </c>
      <c r="D7044" s="848"/>
      <c r="E7044" s="848"/>
      <c r="F7044" s="848"/>
      <c r="G7044" s="848"/>
      <c r="H7044" s="848"/>
      <c r="I7044" s="848"/>
      <c r="J7044" s="848"/>
      <c r="K7044" s="848"/>
    </row>
    <row r="7045" ht="13.75" customHeight="1">
      <c r="A7045" s="840">
        <v>330</v>
      </c>
      <c r="B7045" t="s" s="841">
        <v>253</v>
      </c>
      <c r="C7045" t="s" s="841">
        <v>480</v>
      </c>
      <c r="D7045" s="842">
        <v>46046</v>
      </c>
      <c r="E7045" t="s" s="841">
        <v>478</v>
      </c>
      <c r="F7045" t="s" s="841">
        <v>478</v>
      </c>
      <c r="G7045" t="s" s="844">
        <v>567</v>
      </c>
      <c r="H7045" t="s" s="844">
        <v>570</v>
      </c>
      <c r="I7045" t="s" s="844">
        <v>567</v>
      </c>
      <c r="J7045" t="s" s="844">
        <v>570</v>
      </c>
      <c r="K7045" s="846"/>
    </row>
    <row r="7046" ht="13.75" customHeight="1">
      <c r="A7046" s="840">
        <v>330</v>
      </c>
      <c r="B7046" t="s" s="841">
        <v>253</v>
      </c>
      <c r="C7046" t="s" s="841">
        <v>480</v>
      </c>
      <c r="D7046" s="842">
        <v>46047</v>
      </c>
      <c r="E7046" t="s" s="841">
        <v>478</v>
      </c>
      <c r="F7046" t="s" s="841">
        <v>478</v>
      </c>
      <c r="G7046" t="s" s="844">
        <v>567</v>
      </c>
      <c r="H7046" t="s" s="844">
        <v>570</v>
      </c>
      <c r="I7046" t="s" s="844">
        <v>567</v>
      </c>
      <c r="J7046" t="s" s="844">
        <v>570</v>
      </c>
      <c r="K7046" s="846"/>
    </row>
    <row r="7047" ht="13.75" customHeight="1">
      <c r="A7047" s="840">
        <v>330</v>
      </c>
      <c r="B7047" t="s" s="841">
        <v>253</v>
      </c>
      <c r="C7047" t="s" s="841">
        <v>480</v>
      </c>
      <c r="D7047" s="842">
        <v>46048</v>
      </c>
      <c r="E7047" s="843">
        <v>1.355150462962963</v>
      </c>
      <c r="F7047" s="843">
        <v>1.753912037037037</v>
      </c>
      <c r="G7047" t="s" s="844">
        <v>567</v>
      </c>
      <c r="H7047" t="s" s="844">
        <v>587</v>
      </c>
      <c r="I7047" s="845"/>
      <c r="J7047" s="845"/>
      <c r="K7047" s="846"/>
    </row>
    <row r="7048" ht="13.75" customHeight="1">
      <c r="A7048" t="s" s="847">
        <v>4717</v>
      </c>
      <c r="B7048" t="s" s="847">
        <v>4718</v>
      </c>
      <c r="C7048" t="s" s="847">
        <v>611</v>
      </c>
      <c r="D7048" s="848"/>
      <c r="E7048" s="848"/>
      <c r="F7048" s="848"/>
      <c r="G7048" s="848"/>
      <c r="H7048" s="848"/>
      <c r="I7048" s="848"/>
      <c r="J7048" s="848"/>
      <c r="K7048" s="848"/>
    </row>
    <row r="7049" ht="13.75" customHeight="1">
      <c r="A7049" s="840">
        <v>330</v>
      </c>
      <c r="B7049" t="s" s="841">
        <v>253</v>
      </c>
      <c r="C7049" t="s" s="841">
        <v>480</v>
      </c>
      <c r="D7049" s="842">
        <v>46049</v>
      </c>
      <c r="E7049" s="843">
        <v>1.348912037037037</v>
      </c>
      <c r="F7049" s="843">
        <v>1.757152777777778</v>
      </c>
      <c r="G7049" s="845"/>
      <c r="H7049" s="845"/>
      <c r="I7049" s="845"/>
      <c r="J7049" s="845"/>
      <c r="K7049" s="846"/>
    </row>
    <row r="7050" ht="13.75" customHeight="1">
      <c r="A7050" t="s" s="847">
        <v>4719</v>
      </c>
      <c r="B7050" t="s" s="847">
        <v>4720</v>
      </c>
      <c r="C7050" t="s" s="847">
        <v>1330</v>
      </c>
      <c r="D7050" s="848"/>
      <c r="E7050" s="848"/>
      <c r="F7050" s="848"/>
      <c r="G7050" s="848"/>
      <c r="H7050" s="848"/>
      <c r="I7050" s="848"/>
      <c r="J7050" s="848"/>
      <c r="K7050" s="848"/>
    </row>
    <row r="7051" ht="13.75" customHeight="1">
      <c r="A7051" s="840">
        <v>330</v>
      </c>
      <c r="B7051" t="s" s="841">
        <v>253</v>
      </c>
      <c r="C7051" t="s" s="841">
        <v>480</v>
      </c>
      <c r="D7051" s="842">
        <v>46050</v>
      </c>
      <c r="E7051" s="843">
        <v>1.3565625</v>
      </c>
      <c r="F7051" s="843">
        <v>1.753738425925926</v>
      </c>
      <c r="G7051" t="s" s="844">
        <v>567</v>
      </c>
      <c r="H7051" t="s" s="844">
        <v>587</v>
      </c>
      <c r="I7051" s="845"/>
      <c r="J7051" s="845"/>
      <c r="K7051" s="846"/>
    </row>
    <row r="7052" ht="13.75" customHeight="1">
      <c r="A7052" t="s" s="847">
        <v>4721</v>
      </c>
      <c r="B7052" t="s" s="847">
        <v>4722</v>
      </c>
      <c r="C7052" t="s" s="847">
        <v>747</v>
      </c>
      <c r="D7052" s="848"/>
      <c r="E7052" s="848"/>
      <c r="F7052" s="848"/>
      <c r="G7052" s="848"/>
      <c r="H7052" s="848"/>
      <c r="I7052" s="848"/>
      <c r="J7052" s="848"/>
      <c r="K7052" s="848"/>
    </row>
    <row r="7053" ht="13.75" customHeight="1">
      <c r="A7053" s="840">
        <v>330</v>
      </c>
      <c r="B7053" t="s" s="841">
        <v>253</v>
      </c>
      <c r="C7053" t="s" s="841">
        <v>480</v>
      </c>
      <c r="D7053" s="842">
        <v>46051</v>
      </c>
      <c r="E7053" s="843">
        <v>1.355439814814815</v>
      </c>
      <c r="F7053" s="843">
        <v>1.755324074074074</v>
      </c>
      <c r="G7053" t="s" s="844">
        <v>567</v>
      </c>
      <c r="H7053" t="s" s="844">
        <v>587</v>
      </c>
      <c r="I7053" s="845"/>
      <c r="J7053" s="845"/>
      <c r="K7053" s="846"/>
    </row>
    <row r="7054" ht="13.75" customHeight="1">
      <c r="A7054" t="s" s="847">
        <v>4723</v>
      </c>
      <c r="B7054" t="s" s="847">
        <v>4724</v>
      </c>
      <c r="C7054" t="s" s="847">
        <v>759</v>
      </c>
      <c r="D7054" s="848"/>
      <c r="E7054" s="848"/>
      <c r="F7054" s="848"/>
      <c r="G7054" s="848"/>
      <c r="H7054" s="848"/>
      <c r="I7054" s="848"/>
      <c r="J7054" s="848"/>
      <c r="K7054" s="848"/>
    </row>
    <row r="7055" ht="13.75" customHeight="1">
      <c r="A7055" s="840">
        <v>330</v>
      </c>
      <c r="B7055" t="s" s="841">
        <v>253</v>
      </c>
      <c r="C7055" t="s" s="841">
        <v>480</v>
      </c>
      <c r="D7055" s="842">
        <v>46052</v>
      </c>
      <c r="E7055" s="843">
        <v>1.355868055555556</v>
      </c>
      <c r="F7055" s="843">
        <v>1.758935185185185</v>
      </c>
      <c r="G7055" t="s" s="844">
        <v>567</v>
      </c>
      <c r="H7055" t="s" s="844">
        <v>587</v>
      </c>
      <c r="I7055" s="845"/>
      <c r="J7055" s="845"/>
      <c r="K7055" s="846"/>
    </row>
    <row r="7056" ht="13.75" customHeight="1">
      <c r="A7056" t="s" s="847">
        <v>4725</v>
      </c>
      <c r="B7056" t="s" s="847">
        <v>4726</v>
      </c>
      <c r="C7056" t="s" s="847">
        <v>861</v>
      </c>
      <c r="D7056" s="848"/>
      <c r="E7056" s="848"/>
      <c r="F7056" s="848"/>
      <c r="G7056" s="848"/>
      <c r="H7056" s="848"/>
      <c r="I7056" s="848"/>
      <c r="J7056" s="848"/>
      <c r="K7056" s="848"/>
    </row>
    <row r="7057" ht="13.75" customHeight="1">
      <c r="A7057" s="840">
        <v>330</v>
      </c>
      <c r="B7057" t="s" s="841">
        <v>253</v>
      </c>
      <c r="C7057" t="s" s="841">
        <v>480</v>
      </c>
      <c r="D7057" s="842">
        <v>46053</v>
      </c>
      <c r="E7057" t="s" s="841">
        <v>478</v>
      </c>
      <c r="F7057" t="s" s="841">
        <v>478</v>
      </c>
      <c r="G7057" t="s" s="844">
        <v>567</v>
      </c>
      <c r="H7057" t="s" s="844">
        <v>570</v>
      </c>
      <c r="I7057" t="s" s="844">
        <v>567</v>
      </c>
      <c r="J7057" t="s" s="844">
        <v>570</v>
      </c>
      <c r="K7057" s="846"/>
    </row>
    <row r="7058" ht="13.75" customHeight="1">
      <c r="A7058" s="865">
        <v>331</v>
      </c>
      <c r="B7058" t="s" s="849">
        <v>4727</v>
      </c>
      <c r="C7058" t="s" s="849">
        <v>480</v>
      </c>
      <c r="D7058" s="866">
        <v>46023</v>
      </c>
      <c r="E7058" t="s" s="849">
        <v>478</v>
      </c>
      <c r="F7058" t="s" s="849">
        <v>478</v>
      </c>
      <c r="G7058" s="633"/>
      <c r="H7058" s="633"/>
      <c r="I7058" s="633"/>
      <c r="J7058" s="633"/>
      <c r="K7058" s="633"/>
    </row>
    <row r="7059" ht="13.75" customHeight="1">
      <c r="A7059" s="833">
        <v>331</v>
      </c>
      <c r="B7059" t="s" s="834">
        <v>4727</v>
      </c>
      <c r="C7059" t="s" s="834">
        <v>480</v>
      </c>
      <c r="D7059" s="835">
        <v>46024</v>
      </c>
      <c r="E7059" t="s" s="834">
        <v>478</v>
      </c>
      <c r="F7059" t="s" s="834">
        <v>478</v>
      </c>
      <c r="G7059" s="570"/>
      <c r="H7059" s="570"/>
      <c r="I7059" s="570"/>
      <c r="J7059" s="570"/>
      <c r="K7059" s="570"/>
    </row>
    <row r="7060" ht="13.75" customHeight="1">
      <c r="A7060" s="833">
        <v>331</v>
      </c>
      <c r="B7060" t="s" s="834">
        <v>4727</v>
      </c>
      <c r="C7060" t="s" s="834">
        <v>480</v>
      </c>
      <c r="D7060" s="835">
        <v>46025</v>
      </c>
      <c r="E7060" t="s" s="834">
        <v>478</v>
      </c>
      <c r="F7060" t="s" s="834">
        <v>478</v>
      </c>
      <c r="G7060" s="570"/>
      <c r="H7060" s="570"/>
      <c r="I7060" s="570"/>
      <c r="J7060" s="570"/>
      <c r="K7060" s="570"/>
    </row>
    <row r="7061" ht="13.75" customHeight="1">
      <c r="A7061" s="833">
        <v>331</v>
      </c>
      <c r="B7061" t="s" s="834">
        <v>4727</v>
      </c>
      <c r="C7061" t="s" s="834">
        <v>480</v>
      </c>
      <c r="D7061" s="835">
        <v>46026</v>
      </c>
      <c r="E7061" t="s" s="834">
        <v>478</v>
      </c>
      <c r="F7061" t="s" s="834">
        <v>478</v>
      </c>
      <c r="G7061" s="570"/>
      <c r="H7061" s="570"/>
      <c r="I7061" s="570"/>
      <c r="J7061" s="570"/>
      <c r="K7061" s="570"/>
    </row>
    <row r="7062" ht="13.75" customHeight="1">
      <c r="A7062" s="833">
        <v>331</v>
      </c>
      <c r="B7062" t="s" s="834">
        <v>4727</v>
      </c>
      <c r="C7062" t="s" s="834">
        <v>480</v>
      </c>
      <c r="D7062" s="835">
        <v>46027</v>
      </c>
      <c r="E7062" t="s" s="834">
        <v>478</v>
      </c>
      <c r="F7062" t="s" s="834">
        <v>478</v>
      </c>
      <c r="G7062" s="570"/>
      <c r="H7062" s="570"/>
      <c r="I7062" s="570"/>
      <c r="J7062" s="570"/>
      <c r="K7062" s="570"/>
    </row>
    <row r="7063" ht="13.75" customHeight="1">
      <c r="A7063" s="833">
        <v>331</v>
      </c>
      <c r="B7063" t="s" s="834">
        <v>4727</v>
      </c>
      <c r="C7063" t="s" s="834">
        <v>480</v>
      </c>
      <c r="D7063" s="835">
        <v>46028</v>
      </c>
      <c r="E7063" t="s" s="834">
        <v>478</v>
      </c>
      <c r="F7063" t="s" s="834">
        <v>478</v>
      </c>
      <c r="G7063" s="570"/>
      <c r="H7063" s="570"/>
      <c r="I7063" s="570"/>
      <c r="J7063" s="570"/>
      <c r="K7063" s="570"/>
    </row>
    <row r="7064" ht="13.75" customHeight="1">
      <c r="A7064" s="833">
        <v>331</v>
      </c>
      <c r="B7064" t="s" s="834">
        <v>4727</v>
      </c>
      <c r="C7064" t="s" s="834">
        <v>480</v>
      </c>
      <c r="D7064" s="835">
        <v>46029</v>
      </c>
      <c r="E7064" s="836">
        <v>1.817268518518519</v>
      </c>
      <c r="F7064" s="836">
        <v>1.817314814814815</v>
      </c>
      <c r="G7064" s="570"/>
      <c r="H7064" s="570"/>
      <c r="I7064" s="570"/>
      <c r="J7064" s="570"/>
      <c r="K7064" s="570"/>
    </row>
    <row r="7065" ht="13.75" customHeight="1">
      <c r="A7065" t="s" s="834">
        <v>4728</v>
      </c>
      <c r="B7065" t="s" s="834">
        <v>4729</v>
      </c>
      <c r="C7065" t="s" s="834">
        <v>486</v>
      </c>
      <c r="D7065" s="570"/>
      <c r="E7065" s="570"/>
      <c r="F7065" s="570"/>
      <c r="G7065" s="570"/>
      <c r="H7065" s="570"/>
      <c r="I7065" s="570"/>
      <c r="J7065" s="570"/>
      <c r="K7065" s="570"/>
    </row>
    <row r="7066" ht="13.75" customHeight="1">
      <c r="A7066" s="833">
        <v>331</v>
      </c>
      <c r="B7066" t="s" s="834">
        <v>4727</v>
      </c>
      <c r="C7066" t="s" s="834">
        <v>480</v>
      </c>
      <c r="D7066" s="835">
        <v>46030</v>
      </c>
      <c r="E7066" t="s" s="834">
        <v>478</v>
      </c>
      <c r="F7066" t="s" s="834">
        <v>478</v>
      </c>
      <c r="G7066" s="570"/>
      <c r="H7066" s="570"/>
      <c r="I7066" s="570"/>
      <c r="J7066" s="570"/>
      <c r="K7066" s="570"/>
    </row>
    <row r="7067" ht="13.75" customHeight="1">
      <c r="A7067" s="833">
        <v>331</v>
      </c>
      <c r="B7067" t="s" s="834">
        <v>4727</v>
      </c>
      <c r="C7067" t="s" s="834">
        <v>480</v>
      </c>
      <c r="D7067" s="835">
        <v>46031</v>
      </c>
      <c r="E7067" t="s" s="834">
        <v>478</v>
      </c>
      <c r="F7067" t="s" s="834">
        <v>478</v>
      </c>
      <c r="G7067" s="570"/>
      <c r="H7067" s="570"/>
      <c r="I7067" s="570"/>
      <c r="J7067" s="570"/>
      <c r="K7067" s="570"/>
    </row>
    <row r="7068" ht="13.75" customHeight="1">
      <c r="A7068" s="833">
        <v>331</v>
      </c>
      <c r="B7068" t="s" s="834">
        <v>4727</v>
      </c>
      <c r="C7068" t="s" s="834">
        <v>480</v>
      </c>
      <c r="D7068" s="835">
        <v>46032</v>
      </c>
      <c r="E7068" t="s" s="834">
        <v>478</v>
      </c>
      <c r="F7068" t="s" s="834">
        <v>478</v>
      </c>
      <c r="G7068" s="570"/>
      <c r="H7068" s="570"/>
      <c r="I7068" s="570"/>
      <c r="J7068" s="570"/>
      <c r="K7068" s="570"/>
    </row>
    <row r="7069" ht="13.75" customHeight="1">
      <c r="A7069" s="833">
        <v>331</v>
      </c>
      <c r="B7069" t="s" s="834">
        <v>4727</v>
      </c>
      <c r="C7069" t="s" s="834">
        <v>480</v>
      </c>
      <c r="D7069" s="835">
        <v>46033</v>
      </c>
      <c r="E7069" t="s" s="834">
        <v>478</v>
      </c>
      <c r="F7069" t="s" s="834">
        <v>478</v>
      </c>
      <c r="G7069" s="570"/>
      <c r="H7069" s="570"/>
      <c r="I7069" s="570"/>
      <c r="J7069" s="570"/>
      <c r="K7069" s="570"/>
    </row>
    <row r="7070" ht="13.75" customHeight="1">
      <c r="A7070" s="833">
        <v>331</v>
      </c>
      <c r="B7070" t="s" s="834">
        <v>4727</v>
      </c>
      <c r="C7070" t="s" s="834">
        <v>480</v>
      </c>
      <c r="D7070" s="835">
        <v>46034</v>
      </c>
      <c r="E7070" t="s" s="834">
        <v>478</v>
      </c>
      <c r="F7070" t="s" s="834">
        <v>478</v>
      </c>
      <c r="G7070" s="570"/>
      <c r="H7070" s="570"/>
      <c r="I7070" s="570"/>
      <c r="J7070" s="570"/>
      <c r="K7070" s="570"/>
    </row>
    <row r="7071" ht="13.75" customHeight="1">
      <c r="A7071" s="833">
        <v>331</v>
      </c>
      <c r="B7071" t="s" s="834">
        <v>4727</v>
      </c>
      <c r="C7071" t="s" s="834">
        <v>480</v>
      </c>
      <c r="D7071" s="835">
        <v>46035</v>
      </c>
      <c r="E7071" t="s" s="834">
        <v>478</v>
      </c>
      <c r="F7071" t="s" s="834">
        <v>478</v>
      </c>
      <c r="G7071" s="570"/>
      <c r="H7071" s="570"/>
      <c r="I7071" s="570"/>
      <c r="J7071" s="570"/>
      <c r="K7071" s="570"/>
    </row>
    <row r="7072" ht="13.75" customHeight="1">
      <c r="A7072" s="833">
        <v>331</v>
      </c>
      <c r="B7072" t="s" s="834">
        <v>4727</v>
      </c>
      <c r="C7072" t="s" s="834">
        <v>480</v>
      </c>
      <c r="D7072" s="835">
        <v>46036</v>
      </c>
      <c r="E7072" t="s" s="834">
        <v>478</v>
      </c>
      <c r="F7072" t="s" s="834">
        <v>478</v>
      </c>
      <c r="G7072" s="570"/>
      <c r="H7072" s="570"/>
      <c r="I7072" s="570"/>
      <c r="J7072" s="570"/>
      <c r="K7072" s="570"/>
    </row>
    <row r="7073" ht="13.75" customHeight="1">
      <c r="A7073" s="833">
        <v>331</v>
      </c>
      <c r="B7073" t="s" s="834">
        <v>4727</v>
      </c>
      <c r="C7073" t="s" s="834">
        <v>480</v>
      </c>
      <c r="D7073" s="835">
        <v>46037</v>
      </c>
      <c r="E7073" t="s" s="834">
        <v>478</v>
      </c>
      <c r="F7073" t="s" s="834">
        <v>478</v>
      </c>
      <c r="G7073" s="570"/>
      <c r="H7073" s="570"/>
      <c r="I7073" s="570"/>
      <c r="J7073" s="570"/>
      <c r="K7073" s="570"/>
    </row>
    <row r="7074" ht="13.75" customHeight="1">
      <c r="A7074" s="833">
        <v>331</v>
      </c>
      <c r="B7074" t="s" s="834">
        <v>4727</v>
      </c>
      <c r="C7074" t="s" s="834">
        <v>480</v>
      </c>
      <c r="D7074" s="835">
        <v>46038</v>
      </c>
      <c r="E7074" t="s" s="834">
        <v>478</v>
      </c>
      <c r="F7074" t="s" s="834">
        <v>478</v>
      </c>
      <c r="G7074" s="570"/>
      <c r="H7074" s="570"/>
      <c r="I7074" s="570"/>
      <c r="J7074" s="570"/>
      <c r="K7074" s="570"/>
    </row>
    <row r="7075" ht="13.75" customHeight="1">
      <c r="A7075" s="833">
        <v>331</v>
      </c>
      <c r="B7075" t="s" s="834">
        <v>4727</v>
      </c>
      <c r="C7075" t="s" s="834">
        <v>480</v>
      </c>
      <c r="D7075" s="835">
        <v>46039</v>
      </c>
      <c r="E7075" t="s" s="834">
        <v>478</v>
      </c>
      <c r="F7075" t="s" s="834">
        <v>478</v>
      </c>
      <c r="G7075" s="570"/>
      <c r="H7075" s="570"/>
      <c r="I7075" s="570"/>
      <c r="J7075" s="570"/>
      <c r="K7075" s="570"/>
    </row>
    <row r="7076" ht="13.75" customHeight="1">
      <c r="A7076" s="833">
        <v>331</v>
      </c>
      <c r="B7076" t="s" s="834">
        <v>4727</v>
      </c>
      <c r="C7076" t="s" s="834">
        <v>480</v>
      </c>
      <c r="D7076" s="835">
        <v>46040</v>
      </c>
      <c r="E7076" t="s" s="834">
        <v>478</v>
      </c>
      <c r="F7076" t="s" s="834">
        <v>478</v>
      </c>
      <c r="G7076" s="570"/>
      <c r="H7076" s="570"/>
      <c r="I7076" s="570"/>
      <c r="J7076" s="570"/>
      <c r="K7076" s="570"/>
    </row>
    <row r="7077" ht="13.75" customHeight="1">
      <c r="A7077" s="833">
        <v>331</v>
      </c>
      <c r="B7077" t="s" s="834">
        <v>4727</v>
      </c>
      <c r="C7077" t="s" s="834">
        <v>480</v>
      </c>
      <c r="D7077" s="835">
        <v>46041</v>
      </c>
      <c r="E7077" t="s" s="834">
        <v>478</v>
      </c>
      <c r="F7077" t="s" s="834">
        <v>478</v>
      </c>
      <c r="G7077" s="570"/>
      <c r="H7077" s="570"/>
      <c r="I7077" s="570"/>
      <c r="J7077" s="570"/>
      <c r="K7077" s="570"/>
    </row>
    <row r="7078" ht="13.75" customHeight="1">
      <c r="A7078" s="833">
        <v>331</v>
      </c>
      <c r="B7078" t="s" s="834">
        <v>4727</v>
      </c>
      <c r="C7078" t="s" s="834">
        <v>480</v>
      </c>
      <c r="D7078" s="835">
        <v>46042</v>
      </c>
      <c r="E7078" t="s" s="834">
        <v>478</v>
      </c>
      <c r="F7078" t="s" s="834">
        <v>478</v>
      </c>
      <c r="G7078" s="570"/>
      <c r="H7078" s="570"/>
      <c r="I7078" s="570"/>
      <c r="J7078" s="570"/>
      <c r="K7078" s="570"/>
    </row>
    <row r="7079" ht="13.75" customHeight="1">
      <c r="A7079" s="833">
        <v>331</v>
      </c>
      <c r="B7079" t="s" s="834">
        <v>4727</v>
      </c>
      <c r="C7079" t="s" s="834">
        <v>480</v>
      </c>
      <c r="D7079" s="835">
        <v>46043</v>
      </c>
      <c r="E7079" t="s" s="834">
        <v>478</v>
      </c>
      <c r="F7079" t="s" s="834">
        <v>478</v>
      </c>
      <c r="G7079" s="570"/>
      <c r="H7079" s="570"/>
      <c r="I7079" s="570"/>
      <c r="J7079" s="570"/>
      <c r="K7079" s="570"/>
    </row>
    <row r="7080" ht="13.75" customHeight="1">
      <c r="A7080" s="833">
        <v>331</v>
      </c>
      <c r="B7080" t="s" s="834">
        <v>4727</v>
      </c>
      <c r="C7080" t="s" s="834">
        <v>480</v>
      </c>
      <c r="D7080" s="835">
        <v>46044</v>
      </c>
      <c r="E7080" t="s" s="834">
        <v>478</v>
      </c>
      <c r="F7080" t="s" s="834">
        <v>478</v>
      </c>
      <c r="G7080" s="570"/>
      <c r="H7080" s="570"/>
      <c r="I7080" s="570"/>
      <c r="J7080" s="570"/>
      <c r="K7080" s="570"/>
    </row>
    <row r="7081" ht="13.75" customHeight="1">
      <c r="A7081" s="833">
        <v>331</v>
      </c>
      <c r="B7081" t="s" s="834">
        <v>4727</v>
      </c>
      <c r="C7081" t="s" s="834">
        <v>480</v>
      </c>
      <c r="D7081" s="835">
        <v>46045</v>
      </c>
      <c r="E7081" t="s" s="834">
        <v>478</v>
      </c>
      <c r="F7081" t="s" s="834">
        <v>478</v>
      </c>
      <c r="G7081" s="570"/>
      <c r="H7081" s="570"/>
      <c r="I7081" s="570"/>
      <c r="J7081" s="570"/>
      <c r="K7081" s="570"/>
    </row>
    <row r="7082" ht="13.75" customHeight="1">
      <c r="A7082" s="833">
        <v>331</v>
      </c>
      <c r="B7082" t="s" s="834">
        <v>4727</v>
      </c>
      <c r="C7082" t="s" s="834">
        <v>480</v>
      </c>
      <c r="D7082" s="835">
        <v>46046</v>
      </c>
      <c r="E7082" t="s" s="834">
        <v>478</v>
      </c>
      <c r="F7082" t="s" s="834">
        <v>478</v>
      </c>
      <c r="G7082" s="570"/>
      <c r="H7082" s="570"/>
      <c r="I7082" s="570"/>
      <c r="J7082" s="570"/>
      <c r="K7082" s="570"/>
    </row>
    <row r="7083" ht="13.75" customHeight="1">
      <c r="A7083" s="833">
        <v>331</v>
      </c>
      <c r="B7083" t="s" s="834">
        <v>4727</v>
      </c>
      <c r="C7083" t="s" s="834">
        <v>480</v>
      </c>
      <c r="D7083" s="835">
        <v>46047</v>
      </c>
      <c r="E7083" t="s" s="834">
        <v>478</v>
      </c>
      <c r="F7083" t="s" s="834">
        <v>478</v>
      </c>
      <c r="G7083" s="570"/>
      <c r="H7083" s="570"/>
      <c r="I7083" s="570"/>
      <c r="J7083" s="570"/>
      <c r="K7083" s="570"/>
    </row>
    <row r="7084" ht="13.75" customHeight="1">
      <c r="A7084" s="833">
        <v>331</v>
      </c>
      <c r="B7084" t="s" s="834">
        <v>4727</v>
      </c>
      <c r="C7084" t="s" s="834">
        <v>480</v>
      </c>
      <c r="D7084" s="835">
        <v>46048</v>
      </c>
      <c r="E7084" t="s" s="834">
        <v>478</v>
      </c>
      <c r="F7084" t="s" s="834">
        <v>478</v>
      </c>
      <c r="G7084" s="570"/>
      <c r="H7084" s="570"/>
      <c r="I7084" s="570"/>
      <c r="J7084" s="570"/>
      <c r="K7084" s="570"/>
    </row>
    <row r="7085" ht="13.75" customHeight="1">
      <c r="A7085" s="833">
        <v>331</v>
      </c>
      <c r="B7085" t="s" s="834">
        <v>4727</v>
      </c>
      <c r="C7085" t="s" s="834">
        <v>480</v>
      </c>
      <c r="D7085" s="835">
        <v>46049</v>
      </c>
      <c r="E7085" t="s" s="834">
        <v>478</v>
      </c>
      <c r="F7085" t="s" s="834">
        <v>478</v>
      </c>
      <c r="G7085" s="570"/>
      <c r="H7085" s="570"/>
      <c r="I7085" s="570"/>
      <c r="J7085" s="570"/>
      <c r="K7085" s="570"/>
    </row>
    <row r="7086" ht="13.75" customHeight="1">
      <c r="A7086" s="833">
        <v>331</v>
      </c>
      <c r="B7086" t="s" s="834">
        <v>4727</v>
      </c>
      <c r="C7086" t="s" s="834">
        <v>480</v>
      </c>
      <c r="D7086" s="835">
        <v>46050</v>
      </c>
      <c r="E7086" t="s" s="834">
        <v>478</v>
      </c>
      <c r="F7086" t="s" s="834">
        <v>478</v>
      </c>
      <c r="G7086" s="570"/>
      <c r="H7086" s="570"/>
      <c r="I7086" s="570"/>
      <c r="J7086" s="570"/>
      <c r="K7086" s="570"/>
    </row>
    <row r="7087" ht="13.75" customHeight="1">
      <c r="A7087" s="833">
        <v>331</v>
      </c>
      <c r="B7087" t="s" s="834">
        <v>4727</v>
      </c>
      <c r="C7087" t="s" s="834">
        <v>480</v>
      </c>
      <c r="D7087" s="835">
        <v>46051</v>
      </c>
      <c r="E7087" t="s" s="834">
        <v>478</v>
      </c>
      <c r="F7087" t="s" s="834">
        <v>478</v>
      </c>
      <c r="G7087" s="570"/>
      <c r="H7087" s="570"/>
      <c r="I7087" s="570"/>
      <c r="J7087" s="570"/>
      <c r="K7087" s="570"/>
    </row>
    <row r="7088" ht="13.75" customHeight="1">
      <c r="A7088" s="833">
        <v>331</v>
      </c>
      <c r="B7088" t="s" s="834">
        <v>4727</v>
      </c>
      <c r="C7088" t="s" s="834">
        <v>480</v>
      </c>
      <c r="D7088" s="835">
        <v>46052</v>
      </c>
      <c r="E7088" t="s" s="834">
        <v>478</v>
      </c>
      <c r="F7088" t="s" s="834">
        <v>478</v>
      </c>
      <c r="G7088" s="570"/>
      <c r="H7088" s="570"/>
      <c r="I7088" s="570"/>
      <c r="J7088" s="570"/>
      <c r="K7088" s="570"/>
    </row>
    <row r="7089" ht="13.75" customHeight="1">
      <c r="A7089" s="833">
        <v>331</v>
      </c>
      <c r="B7089" t="s" s="834">
        <v>4727</v>
      </c>
      <c r="C7089" t="s" s="834">
        <v>480</v>
      </c>
      <c r="D7089" s="835">
        <v>46053</v>
      </c>
      <c r="E7089" t="s" s="834">
        <v>478</v>
      </c>
      <c r="F7089" t="s" s="834">
        <v>478</v>
      </c>
      <c r="G7089" s="570"/>
      <c r="H7089" s="570"/>
      <c r="I7089" s="570"/>
      <c r="J7089" s="570"/>
      <c r="K7089" s="570"/>
    </row>
    <row r="7090" ht="13.75" customHeight="1">
      <c r="A7090" s="833">
        <v>331</v>
      </c>
      <c r="B7090" t="s" s="834">
        <v>4727</v>
      </c>
      <c r="C7090" t="s" s="834">
        <v>480</v>
      </c>
      <c r="D7090" s="835">
        <v>46054</v>
      </c>
      <c r="E7090" t="s" s="834">
        <v>478</v>
      </c>
      <c r="F7090" t="s" s="834">
        <v>478</v>
      </c>
      <c r="G7090" s="570"/>
      <c r="H7090" s="570"/>
      <c r="I7090" s="570"/>
      <c r="J7090" s="570"/>
      <c r="K7090" s="570"/>
    </row>
    <row r="7091" ht="13.75" customHeight="1">
      <c r="A7091" s="833">
        <v>332</v>
      </c>
      <c r="B7091" t="s" s="834">
        <v>435</v>
      </c>
      <c r="C7091" t="s" s="834">
        <v>700</v>
      </c>
      <c r="D7091" s="835">
        <v>46023</v>
      </c>
      <c r="E7091" t="s" s="834">
        <v>478</v>
      </c>
      <c r="F7091" t="s" s="834">
        <v>478</v>
      </c>
      <c r="G7091" s="570"/>
      <c r="H7091" s="570"/>
      <c r="I7091" s="570"/>
      <c r="J7091" s="570"/>
      <c r="K7091" s="570"/>
    </row>
    <row r="7092" ht="13.75" customHeight="1">
      <c r="A7092" s="833">
        <v>332</v>
      </c>
      <c r="B7092" t="s" s="834">
        <v>435</v>
      </c>
      <c r="C7092" t="s" s="834">
        <v>700</v>
      </c>
      <c r="D7092" s="835">
        <v>46024</v>
      </c>
      <c r="E7092" s="836">
        <v>1.334895833333333</v>
      </c>
      <c r="F7092" s="836">
        <v>1.744421296296296</v>
      </c>
      <c r="G7092" s="570"/>
      <c r="H7092" s="570"/>
      <c r="I7092" s="570"/>
      <c r="J7092" s="570"/>
      <c r="K7092" s="570"/>
    </row>
    <row r="7093" ht="13.75" customHeight="1">
      <c r="A7093" t="s" s="834">
        <v>4730</v>
      </c>
      <c r="B7093" t="s" s="834">
        <v>4731</v>
      </c>
      <c r="C7093" t="s" s="834">
        <v>1119</v>
      </c>
      <c r="D7093" s="570"/>
      <c r="E7093" s="570"/>
      <c r="F7093" s="570"/>
      <c r="G7093" s="570"/>
      <c r="H7093" s="570"/>
      <c r="I7093" s="570"/>
      <c r="J7093" s="570"/>
      <c r="K7093" s="570"/>
    </row>
    <row r="7094" ht="13.75" customHeight="1">
      <c r="A7094" s="833">
        <v>332</v>
      </c>
      <c r="B7094" t="s" s="834">
        <v>435</v>
      </c>
      <c r="C7094" t="s" s="834">
        <v>700</v>
      </c>
      <c r="D7094" s="835">
        <v>46025</v>
      </c>
      <c r="E7094" t="s" s="834">
        <v>478</v>
      </c>
      <c r="F7094" t="s" s="834">
        <v>478</v>
      </c>
      <c r="G7094" s="570"/>
      <c r="H7094" s="570"/>
      <c r="I7094" s="570"/>
      <c r="J7094" s="570"/>
      <c r="K7094" s="570"/>
    </row>
    <row r="7095" ht="13.75" customHeight="1">
      <c r="A7095" s="833">
        <v>332</v>
      </c>
      <c r="B7095" t="s" s="834">
        <v>435</v>
      </c>
      <c r="C7095" t="s" s="834">
        <v>700</v>
      </c>
      <c r="D7095" s="835">
        <v>46026</v>
      </c>
      <c r="E7095" t="s" s="834">
        <v>478</v>
      </c>
      <c r="F7095" t="s" s="834">
        <v>478</v>
      </c>
      <c r="G7095" s="570"/>
      <c r="H7095" s="570"/>
      <c r="I7095" s="570"/>
      <c r="J7095" s="570"/>
      <c r="K7095" s="570"/>
    </row>
    <row r="7096" ht="13.75" customHeight="1">
      <c r="A7096" s="833">
        <v>332</v>
      </c>
      <c r="B7096" t="s" s="834">
        <v>435</v>
      </c>
      <c r="C7096" t="s" s="834">
        <v>700</v>
      </c>
      <c r="D7096" s="835">
        <v>46027</v>
      </c>
      <c r="E7096" s="836">
        <v>1.335833333333333</v>
      </c>
      <c r="F7096" s="836">
        <v>1.73474537037037</v>
      </c>
      <c r="G7096" s="570"/>
      <c r="H7096" s="570"/>
      <c r="I7096" s="570"/>
      <c r="J7096" s="570"/>
      <c r="K7096" s="570"/>
    </row>
    <row r="7097" ht="13.75" customHeight="1">
      <c r="A7097" t="s" s="834">
        <v>4732</v>
      </c>
      <c r="B7097" t="s" s="834">
        <v>4733</v>
      </c>
      <c r="C7097" t="s" s="834">
        <v>611</v>
      </c>
      <c r="D7097" s="570"/>
      <c r="E7097" s="570"/>
      <c r="F7097" s="570"/>
      <c r="G7097" s="570"/>
      <c r="H7097" s="570"/>
      <c r="I7097" s="570"/>
      <c r="J7097" s="570"/>
      <c r="K7097" s="570"/>
    </row>
    <row r="7098" ht="13.75" customHeight="1">
      <c r="A7098" s="833">
        <v>332</v>
      </c>
      <c r="B7098" t="s" s="834">
        <v>435</v>
      </c>
      <c r="C7098" t="s" s="834">
        <v>700</v>
      </c>
      <c r="D7098" s="835">
        <v>46028</v>
      </c>
      <c r="E7098" s="836">
        <v>1.337800925925926</v>
      </c>
      <c r="F7098" s="836">
        <v>1.735439814814815</v>
      </c>
      <c r="G7098" s="570"/>
      <c r="H7098" s="570"/>
      <c r="I7098" s="570"/>
      <c r="J7098" s="570"/>
      <c r="K7098" s="570"/>
    </row>
    <row r="7099" ht="13.75" customHeight="1">
      <c r="A7099" t="s" s="834">
        <v>4734</v>
      </c>
      <c r="B7099" t="s" s="834">
        <v>4735</v>
      </c>
      <c r="C7099" t="s" s="834">
        <v>688</v>
      </c>
      <c r="D7099" s="570"/>
      <c r="E7099" s="570"/>
      <c r="F7099" s="570"/>
      <c r="G7099" s="570"/>
      <c r="H7099" s="570"/>
      <c r="I7099" s="570"/>
      <c r="J7099" s="570"/>
      <c r="K7099" s="570"/>
    </row>
    <row r="7100" ht="13.75" customHeight="1">
      <c r="A7100" s="833">
        <v>332</v>
      </c>
      <c r="B7100" t="s" s="834">
        <v>435</v>
      </c>
      <c r="C7100" t="s" s="834">
        <v>700</v>
      </c>
      <c r="D7100" s="835">
        <v>46029</v>
      </c>
      <c r="E7100" s="836">
        <v>1.331793981481481</v>
      </c>
      <c r="F7100" s="836">
        <v>1.736296296296296</v>
      </c>
      <c r="G7100" s="570"/>
      <c r="H7100" s="570"/>
      <c r="I7100" s="570"/>
      <c r="J7100" s="570"/>
      <c r="K7100" s="570"/>
    </row>
    <row r="7101" ht="13.75" customHeight="1">
      <c r="A7101" t="s" s="834">
        <v>4736</v>
      </c>
      <c r="B7101" t="s" s="834">
        <v>4737</v>
      </c>
      <c r="C7101" t="s" s="834">
        <v>493</v>
      </c>
      <c r="D7101" s="570"/>
      <c r="E7101" s="570"/>
      <c r="F7101" s="570"/>
      <c r="G7101" s="570"/>
      <c r="H7101" s="570"/>
      <c r="I7101" s="570"/>
      <c r="J7101" s="570"/>
      <c r="K7101" s="570"/>
    </row>
    <row r="7102" ht="13.75" customHeight="1">
      <c r="A7102" s="833">
        <v>332</v>
      </c>
      <c r="B7102" t="s" s="834">
        <v>435</v>
      </c>
      <c r="C7102" t="s" s="834">
        <v>700</v>
      </c>
      <c r="D7102" s="835">
        <v>46030</v>
      </c>
      <c r="E7102" s="836">
        <v>1.32775462962963</v>
      </c>
      <c r="F7102" s="836">
        <v>1.734340277777778</v>
      </c>
      <c r="G7102" s="570"/>
      <c r="H7102" s="570"/>
      <c r="I7102" s="570"/>
      <c r="J7102" s="570"/>
      <c r="K7102" s="570"/>
    </row>
    <row r="7103" ht="13.75" customHeight="1">
      <c r="A7103" t="s" s="834">
        <v>4738</v>
      </c>
      <c r="B7103" t="s" s="834">
        <v>4739</v>
      </c>
      <c r="C7103" t="s" s="834">
        <v>603</v>
      </c>
      <c r="D7103" s="570"/>
      <c r="E7103" s="570"/>
      <c r="F7103" s="570"/>
      <c r="G7103" s="570"/>
      <c r="H7103" s="570"/>
      <c r="I7103" s="570"/>
      <c r="J7103" s="570"/>
      <c r="K7103" s="570"/>
    </row>
    <row r="7104" ht="13.75" customHeight="1">
      <c r="A7104" s="833">
        <v>332</v>
      </c>
      <c r="B7104" t="s" s="834">
        <v>435</v>
      </c>
      <c r="C7104" t="s" s="834">
        <v>700</v>
      </c>
      <c r="D7104" s="835">
        <v>46031</v>
      </c>
      <c r="E7104" s="836">
        <v>1.329074074074074</v>
      </c>
      <c r="F7104" s="836">
        <v>1.733969907407408</v>
      </c>
      <c r="G7104" s="570"/>
      <c r="H7104" s="570"/>
      <c r="I7104" s="570"/>
      <c r="J7104" s="570"/>
      <c r="K7104" s="570"/>
    </row>
    <row r="7105" ht="13.75" customHeight="1">
      <c r="A7105" t="s" s="834">
        <v>4740</v>
      </c>
      <c r="B7105" t="s" s="834">
        <v>4741</v>
      </c>
      <c r="C7105" t="s" s="834">
        <v>582</v>
      </c>
      <c r="D7105" s="570"/>
      <c r="E7105" s="570"/>
      <c r="F7105" s="570"/>
      <c r="G7105" s="570"/>
      <c r="H7105" s="570"/>
      <c r="I7105" s="570"/>
      <c r="J7105" s="570"/>
      <c r="K7105" s="570"/>
    </row>
    <row r="7106" ht="13.75" customHeight="1">
      <c r="A7106" s="833">
        <v>332</v>
      </c>
      <c r="B7106" t="s" s="834">
        <v>435</v>
      </c>
      <c r="C7106" t="s" s="834">
        <v>700</v>
      </c>
      <c r="D7106" s="835">
        <v>46032</v>
      </c>
      <c r="E7106" t="s" s="834">
        <v>478</v>
      </c>
      <c r="F7106" t="s" s="834">
        <v>478</v>
      </c>
      <c r="G7106" s="570"/>
      <c r="H7106" s="570"/>
      <c r="I7106" s="570"/>
      <c r="J7106" s="570"/>
      <c r="K7106" s="570"/>
    </row>
    <row r="7107" ht="13.75" customHeight="1">
      <c r="A7107" s="833">
        <v>332</v>
      </c>
      <c r="B7107" t="s" s="834">
        <v>435</v>
      </c>
      <c r="C7107" t="s" s="834">
        <v>700</v>
      </c>
      <c r="D7107" s="835">
        <v>46033</v>
      </c>
      <c r="E7107" t="s" s="834">
        <v>478</v>
      </c>
      <c r="F7107" t="s" s="834">
        <v>478</v>
      </c>
      <c r="G7107" s="570"/>
      <c r="H7107" s="570"/>
      <c r="I7107" s="570"/>
      <c r="J7107" s="570"/>
      <c r="K7107" s="570"/>
    </row>
    <row r="7108" ht="13.75" customHeight="1">
      <c r="A7108" s="833">
        <v>332</v>
      </c>
      <c r="B7108" t="s" s="834">
        <v>435</v>
      </c>
      <c r="C7108" t="s" s="834">
        <v>700</v>
      </c>
      <c r="D7108" s="835">
        <v>46034</v>
      </c>
      <c r="E7108" s="836">
        <v>1.325821759259259</v>
      </c>
      <c r="F7108" s="836">
        <v>1.735810185185185</v>
      </c>
      <c r="G7108" s="570"/>
      <c r="H7108" s="570"/>
      <c r="I7108" s="570"/>
      <c r="J7108" s="570"/>
      <c r="K7108" s="570"/>
    </row>
    <row r="7109" ht="13.75" customHeight="1">
      <c r="A7109" t="s" s="834">
        <v>4742</v>
      </c>
      <c r="B7109" t="s" s="834">
        <v>4743</v>
      </c>
      <c r="C7109" t="s" s="834">
        <v>1119</v>
      </c>
      <c r="D7109" s="570"/>
      <c r="E7109" s="570"/>
      <c r="F7109" s="570"/>
      <c r="G7109" s="570"/>
      <c r="H7109" s="570"/>
      <c r="I7109" s="570"/>
      <c r="J7109" s="570"/>
      <c r="K7109" s="570"/>
    </row>
    <row r="7110" ht="13.75" customHeight="1">
      <c r="A7110" s="833">
        <v>332</v>
      </c>
      <c r="B7110" t="s" s="834">
        <v>435</v>
      </c>
      <c r="C7110" t="s" s="834">
        <v>700</v>
      </c>
      <c r="D7110" s="835">
        <v>46035</v>
      </c>
      <c r="E7110" s="836">
        <v>1.340752314814815</v>
      </c>
      <c r="F7110" s="836">
        <v>1.679456018518519</v>
      </c>
      <c r="G7110" s="570"/>
      <c r="H7110" s="570"/>
      <c r="I7110" s="570"/>
      <c r="J7110" s="570"/>
      <c r="K7110" s="570"/>
    </row>
    <row r="7111" ht="13.75" customHeight="1">
      <c r="A7111" t="s" s="834">
        <v>4744</v>
      </c>
      <c r="B7111" t="s" s="834">
        <v>4745</v>
      </c>
      <c r="C7111" t="s" s="834">
        <v>736</v>
      </c>
      <c r="D7111" s="570"/>
      <c r="E7111" s="570"/>
      <c r="F7111" s="570"/>
      <c r="G7111" s="570"/>
      <c r="H7111" s="570"/>
      <c r="I7111" s="570"/>
      <c r="J7111" s="570"/>
      <c r="K7111" s="570"/>
    </row>
    <row r="7112" ht="13.75" customHeight="1">
      <c r="A7112" s="833">
        <v>332</v>
      </c>
      <c r="B7112" t="s" s="834">
        <v>435</v>
      </c>
      <c r="C7112" t="s" s="834">
        <v>700</v>
      </c>
      <c r="D7112" s="835">
        <v>46036</v>
      </c>
      <c r="E7112" s="836">
        <v>1.330046296296296</v>
      </c>
      <c r="F7112" s="836">
        <v>1.509814814814815</v>
      </c>
      <c r="G7112" s="570"/>
      <c r="H7112" s="570"/>
      <c r="I7112" s="570"/>
      <c r="J7112" s="570"/>
      <c r="K7112" s="570"/>
    </row>
    <row r="7113" ht="13.75" customHeight="1">
      <c r="A7113" t="s" s="834">
        <v>4746</v>
      </c>
      <c r="B7113" t="s" s="834">
        <v>4747</v>
      </c>
      <c r="C7113" t="s" s="834">
        <v>3932</v>
      </c>
      <c r="D7113" s="570"/>
      <c r="E7113" s="570"/>
      <c r="F7113" s="570"/>
      <c r="G7113" s="570"/>
      <c r="H7113" s="570"/>
      <c r="I7113" s="570"/>
      <c r="J7113" s="570"/>
      <c r="K7113" s="570"/>
    </row>
    <row r="7114" ht="13.75" customHeight="1">
      <c r="A7114" s="833">
        <v>332</v>
      </c>
      <c r="B7114" t="s" s="834">
        <v>435</v>
      </c>
      <c r="C7114" t="s" s="834">
        <v>700</v>
      </c>
      <c r="D7114" s="835">
        <v>46037</v>
      </c>
      <c r="E7114" s="836">
        <v>1.334976851851852</v>
      </c>
      <c r="F7114" s="836">
        <v>1.735879629629629</v>
      </c>
      <c r="G7114" s="570"/>
      <c r="H7114" s="570"/>
      <c r="I7114" s="570"/>
      <c r="J7114" s="570"/>
      <c r="K7114" s="570"/>
    </row>
    <row r="7115" ht="13.75" customHeight="1">
      <c r="A7115" t="s" s="834">
        <v>4748</v>
      </c>
      <c r="B7115" t="s" s="834">
        <v>4749</v>
      </c>
      <c r="C7115" t="s" s="834">
        <v>606</v>
      </c>
      <c r="D7115" s="570"/>
      <c r="E7115" s="570"/>
      <c r="F7115" s="570"/>
      <c r="G7115" s="570"/>
      <c r="H7115" s="570"/>
      <c r="I7115" s="570"/>
      <c r="J7115" s="570"/>
      <c r="K7115" s="570"/>
    </row>
    <row r="7116" ht="13.75" customHeight="1">
      <c r="A7116" s="833">
        <v>332</v>
      </c>
      <c r="B7116" t="s" s="834">
        <v>435</v>
      </c>
      <c r="C7116" t="s" s="834">
        <v>700</v>
      </c>
      <c r="D7116" s="835">
        <v>46038</v>
      </c>
      <c r="E7116" s="836">
        <v>1.332581018518519</v>
      </c>
      <c r="F7116" s="836">
        <v>1.787476851851852</v>
      </c>
      <c r="G7116" s="570"/>
      <c r="H7116" s="570"/>
      <c r="I7116" s="570"/>
      <c r="J7116" s="570"/>
      <c r="K7116" s="570"/>
    </row>
    <row r="7117" ht="13.75" customHeight="1">
      <c r="A7117" t="s" s="834">
        <v>4750</v>
      </c>
      <c r="B7117" t="s" s="834">
        <v>4751</v>
      </c>
      <c r="C7117" t="s" s="834">
        <v>2544</v>
      </c>
      <c r="D7117" s="570"/>
      <c r="E7117" s="570"/>
      <c r="F7117" s="570"/>
      <c r="G7117" s="570"/>
      <c r="H7117" s="570"/>
      <c r="I7117" s="570"/>
      <c r="J7117" s="570"/>
      <c r="K7117" s="570"/>
    </row>
    <row r="7118" ht="13.75" customHeight="1">
      <c r="A7118" s="833">
        <v>332</v>
      </c>
      <c r="B7118" t="s" s="834">
        <v>435</v>
      </c>
      <c r="C7118" t="s" s="834">
        <v>700</v>
      </c>
      <c r="D7118" s="835">
        <v>46039</v>
      </c>
      <c r="E7118" t="s" s="834">
        <v>478</v>
      </c>
      <c r="F7118" t="s" s="834">
        <v>478</v>
      </c>
      <c r="G7118" s="570"/>
      <c r="H7118" s="570"/>
      <c r="I7118" s="570"/>
      <c r="J7118" s="570"/>
      <c r="K7118" s="570"/>
    </row>
    <row r="7119" ht="13.75" customHeight="1">
      <c r="A7119" s="833">
        <v>332</v>
      </c>
      <c r="B7119" t="s" s="834">
        <v>435</v>
      </c>
      <c r="C7119" t="s" s="834">
        <v>700</v>
      </c>
      <c r="D7119" s="835">
        <v>46040</v>
      </c>
      <c r="E7119" t="s" s="834">
        <v>478</v>
      </c>
      <c r="F7119" t="s" s="834">
        <v>478</v>
      </c>
      <c r="G7119" s="570"/>
      <c r="H7119" s="570"/>
      <c r="I7119" s="570"/>
      <c r="J7119" s="570"/>
      <c r="K7119" s="570"/>
    </row>
    <row r="7120" ht="13.75" customHeight="1">
      <c r="A7120" s="833">
        <v>332</v>
      </c>
      <c r="B7120" t="s" s="834">
        <v>435</v>
      </c>
      <c r="C7120" t="s" s="834">
        <v>700</v>
      </c>
      <c r="D7120" s="835">
        <v>46041</v>
      </c>
      <c r="E7120" s="836">
        <v>1.332071759259259</v>
      </c>
      <c r="F7120" s="836">
        <v>1.733831018518519</v>
      </c>
      <c r="G7120" s="570"/>
      <c r="H7120" s="570"/>
      <c r="I7120" s="570"/>
      <c r="J7120" s="570"/>
      <c r="K7120" s="570"/>
    </row>
    <row r="7121" ht="13.75" customHeight="1">
      <c r="A7121" t="s" s="834">
        <v>4752</v>
      </c>
      <c r="B7121" t="s" s="834">
        <v>4753</v>
      </c>
      <c r="C7121" t="s" s="834">
        <v>772</v>
      </c>
      <c r="D7121" s="570"/>
      <c r="E7121" s="570"/>
      <c r="F7121" s="570"/>
      <c r="G7121" s="570"/>
      <c r="H7121" s="570"/>
      <c r="I7121" s="570"/>
      <c r="J7121" s="570"/>
      <c r="K7121" s="570"/>
    </row>
    <row r="7122" ht="13.75" customHeight="1">
      <c r="A7122" s="833">
        <v>332</v>
      </c>
      <c r="B7122" t="s" s="834">
        <v>435</v>
      </c>
      <c r="C7122" t="s" s="834">
        <v>700</v>
      </c>
      <c r="D7122" s="835">
        <v>46042</v>
      </c>
      <c r="E7122" s="836">
        <v>1.330543981481481</v>
      </c>
      <c r="F7122" s="836">
        <v>1.734976851851852</v>
      </c>
      <c r="G7122" s="570"/>
      <c r="H7122" s="570"/>
      <c r="I7122" s="570"/>
      <c r="J7122" s="570"/>
      <c r="K7122" s="570"/>
    </row>
    <row r="7123" ht="13.75" customHeight="1">
      <c r="A7123" t="s" s="834">
        <v>4754</v>
      </c>
      <c r="B7123" t="s" s="834">
        <v>4755</v>
      </c>
      <c r="C7123" t="s" s="834">
        <v>493</v>
      </c>
      <c r="D7123" s="570"/>
      <c r="E7123" s="570"/>
      <c r="F7123" s="570"/>
      <c r="G7123" s="570"/>
      <c r="H7123" s="570"/>
      <c r="I7123" s="570"/>
      <c r="J7123" s="570"/>
      <c r="K7123" s="570"/>
    </row>
    <row r="7124" ht="13.75" customHeight="1">
      <c r="A7124" s="833">
        <v>332</v>
      </c>
      <c r="B7124" t="s" s="834">
        <v>435</v>
      </c>
      <c r="C7124" t="s" s="834">
        <v>700</v>
      </c>
      <c r="D7124" s="835">
        <v>46043</v>
      </c>
      <c r="E7124" s="836">
        <v>1.329560185185185</v>
      </c>
      <c r="F7124" s="836">
        <v>1.734884259259259</v>
      </c>
      <c r="G7124" s="570"/>
      <c r="H7124" s="570"/>
      <c r="I7124" s="570"/>
      <c r="J7124" s="570"/>
      <c r="K7124" s="570"/>
    </row>
    <row r="7125" ht="13.75" customHeight="1">
      <c r="A7125" t="s" s="834">
        <v>4756</v>
      </c>
      <c r="B7125" t="s" s="834">
        <v>4757</v>
      </c>
      <c r="C7125" t="s" s="834">
        <v>1601</v>
      </c>
      <c r="D7125" s="570"/>
      <c r="E7125" s="570"/>
      <c r="F7125" s="570"/>
      <c r="G7125" s="570"/>
      <c r="H7125" s="570"/>
      <c r="I7125" s="570"/>
      <c r="J7125" s="570"/>
      <c r="K7125" s="570"/>
    </row>
    <row r="7126" ht="13.75" customHeight="1">
      <c r="A7126" s="833">
        <v>332</v>
      </c>
      <c r="B7126" t="s" s="834">
        <v>435</v>
      </c>
      <c r="C7126" t="s" s="834">
        <v>700</v>
      </c>
      <c r="D7126" s="835">
        <v>46044</v>
      </c>
      <c r="E7126" s="836">
        <v>1.329259259259259</v>
      </c>
      <c r="F7126" s="836">
        <v>1.734236111111111</v>
      </c>
      <c r="G7126" s="570"/>
      <c r="H7126" s="570"/>
      <c r="I7126" s="570"/>
      <c r="J7126" s="570"/>
      <c r="K7126" s="570"/>
    </row>
    <row r="7127" ht="13.75" customHeight="1">
      <c r="A7127" t="s" s="834">
        <v>4758</v>
      </c>
      <c r="B7127" t="s" s="834">
        <v>4759</v>
      </c>
      <c r="C7127" t="s" s="834">
        <v>582</v>
      </c>
      <c r="D7127" s="570"/>
      <c r="E7127" s="570"/>
      <c r="F7127" s="570"/>
      <c r="G7127" s="570"/>
      <c r="H7127" s="570"/>
      <c r="I7127" s="570"/>
      <c r="J7127" s="570"/>
      <c r="K7127" s="570"/>
    </row>
    <row r="7128" ht="13.75" customHeight="1">
      <c r="A7128" s="833">
        <v>332</v>
      </c>
      <c r="B7128" t="s" s="834">
        <v>435</v>
      </c>
      <c r="C7128" t="s" s="834">
        <v>700</v>
      </c>
      <c r="D7128" s="835">
        <v>46045</v>
      </c>
      <c r="E7128" s="836">
        <v>1.333055555555556</v>
      </c>
      <c r="F7128" s="836">
        <v>1.743877314814815</v>
      </c>
      <c r="G7128" s="570"/>
      <c r="H7128" s="570"/>
      <c r="I7128" s="570"/>
      <c r="J7128" s="570"/>
      <c r="K7128" s="570"/>
    </row>
    <row r="7129" ht="13.75" customHeight="1">
      <c r="A7129" t="s" s="834">
        <v>4760</v>
      </c>
      <c r="B7129" t="s" s="834">
        <v>4761</v>
      </c>
      <c r="C7129" t="s" s="834">
        <v>850</v>
      </c>
      <c r="D7129" s="570"/>
      <c r="E7129" s="570"/>
      <c r="F7129" s="570"/>
      <c r="G7129" s="570"/>
      <c r="H7129" s="570"/>
      <c r="I7129" s="570"/>
      <c r="J7129" s="570"/>
      <c r="K7129" s="570"/>
    </row>
    <row r="7130" ht="13.75" customHeight="1">
      <c r="A7130" s="833">
        <v>332</v>
      </c>
      <c r="B7130" t="s" s="834">
        <v>435</v>
      </c>
      <c r="C7130" t="s" s="834">
        <v>700</v>
      </c>
      <c r="D7130" s="835">
        <v>46046</v>
      </c>
      <c r="E7130" t="s" s="834">
        <v>478</v>
      </c>
      <c r="F7130" t="s" s="834">
        <v>478</v>
      </c>
      <c r="G7130" s="570"/>
      <c r="H7130" s="570"/>
      <c r="I7130" s="570"/>
      <c r="J7130" s="570"/>
      <c r="K7130" s="570"/>
    </row>
    <row r="7131" ht="13.75" customHeight="1">
      <c r="A7131" s="833">
        <v>332</v>
      </c>
      <c r="B7131" t="s" s="834">
        <v>435</v>
      </c>
      <c r="C7131" t="s" s="834">
        <v>700</v>
      </c>
      <c r="D7131" s="835">
        <v>46047</v>
      </c>
      <c r="E7131" t="s" s="834">
        <v>478</v>
      </c>
      <c r="F7131" t="s" s="834">
        <v>478</v>
      </c>
      <c r="G7131" s="570"/>
      <c r="H7131" s="570"/>
      <c r="I7131" s="570"/>
      <c r="J7131" s="570"/>
      <c r="K7131" s="570"/>
    </row>
    <row r="7132" ht="13.75" customHeight="1">
      <c r="A7132" s="833">
        <v>332</v>
      </c>
      <c r="B7132" t="s" s="834">
        <v>435</v>
      </c>
      <c r="C7132" t="s" s="834">
        <v>700</v>
      </c>
      <c r="D7132" s="835">
        <v>46048</v>
      </c>
      <c r="E7132" s="836">
        <v>1.332789351851852</v>
      </c>
      <c r="F7132" s="836">
        <v>1.735185185185185</v>
      </c>
      <c r="G7132" s="570"/>
      <c r="H7132" s="570"/>
      <c r="I7132" s="570"/>
      <c r="J7132" s="570"/>
      <c r="K7132" s="570"/>
    </row>
    <row r="7133" ht="13.75" customHeight="1">
      <c r="A7133" t="s" s="834">
        <v>4762</v>
      </c>
      <c r="B7133" t="s" s="834">
        <v>4763</v>
      </c>
      <c r="C7133" t="s" s="834">
        <v>772</v>
      </c>
      <c r="D7133" s="570"/>
      <c r="E7133" s="570"/>
      <c r="F7133" s="570"/>
      <c r="G7133" s="570"/>
      <c r="H7133" s="570"/>
      <c r="I7133" s="570"/>
      <c r="J7133" s="570"/>
      <c r="K7133" s="570"/>
    </row>
    <row r="7134" ht="13.75" customHeight="1">
      <c r="A7134" s="833">
        <v>332</v>
      </c>
      <c r="B7134" t="s" s="834">
        <v>435</v>
      </c>
      <c r="C7134" t="s" s="834">
        <v>700</v>
      </c>
      <c r="D7134" s="835">
        <v>46049</v>
      </c>
      <c r="E7134" s="836">
        <v>1.330868055555555</v>
      </c>
      <c r="F7134" s="836">
        <v>1.735347222222222</v>
      </c>
      <c r="G7134" s="570"/>
      <c r="H7134" s="570"/>
      <c r="I7134" s="570"/>
      <c r="J7134" s="570"/>
      <c r="K7134" s="570"/>
    </row>
    <row r="7135" ht="13.75" customHeight="1">
      <c r="A7135" t="s" s="834">
        <v>4764</v>
      </c>
      <c r="B7135" t="s" s="834">
        <v>4765</v>
      </c>
      <c r="C7135" t="s" s="834">
        <v>493</v>
      </c>
      <c r="D7135" s="570"/>
      <c r="E7135" s="570"/>
      <c r="F7135" s="570"/>
      <c r="G7135" s="570"/>
      <c r="H7135" s="570"/>
      <c r="I7135" s="570"/>
      <c r="J7135" s="570"/>
      <c r="K7135" s="570"/>
    </row>
    <row r="7136" ht="13.75" customHeight="1">
      <c r="A7136" s="833">
        <v>332</v>
      </c>
      <c r="B7136" t="s" s="834">
        <v>435</v>
      </c>
      <c r="C7136" t="s" s="834">
        <v>700</v>
      </c>
      <c r="D7136" s="835">
        <v>46050</v>
      </c>
      <c r="E7136" s="836">
        <v>1.341018518518518</v>
      </c>
      <c r="F7136" s="836">
        <v>1.73619212962963</v>
      </c>
      <c r="G7136" s="570"/>
      <c r="H7136" s="570"/>
      <c r="I7136" s="570"/>
      <c r="J7136" s="570"/>
      <c r="K7136" s="570"/>
    </row>
    <row r="7137" ht="13.75" customHeight="1">
      <c r="A7137" t="s" s="834">
        <v>4766</v>
      </c>
      <c r="B7137" t="s" s="834">
        <v>4767</v>
      </c>
      <c r="C7137" t="s" s="834">
        <v>643</v>
      </c>
      <c r="D7137" s="570"/>
      <c r="E7137" s="570"/>
      <c r="F7137" s="570"/>
      <c r="G7137" s="570"/>
      <c r="H7137" s="570"/>
      <c r="I7137" s="570"/>
      <c r="J7137" s="570"/>
      <c r="K7137" s="570"/>
    </row>
    <row r="7138" ht="13.75" customHeight="1">
      <c r="A7138" s="833">
        <v>332</v>
      </c>
      <c r="B7138" t="s" s="834">
        <v>435</v>
      </c>
      <c r="C7138" t="s" s="834">
        <v>700</v>
      </c>
      <c r="D7138" s="835">
        <v>46051</v>
      </c>
      <c r="E7138" s="836">
        <v>1.330543981481481</v>
      </c>
      <c r="F7138" s="836">
        <v>1.733969907407408</v>
      </c>
      <c r="G7138" s="570"/>
      <c r="H7138" s="570"/>
      <c r="I7138" s="570"/>
      <c r="J7138" s="570"/>
      <c r="K7138" s="570"/>
    </row>
    <row r="7139" ht="13.75" customHeight="1">
      <c r="A7139" t="s" s="834">
        <v>4768</v>
      </c>
      <c r="B7139" t="s" s="834">
        <v>4769</v>
      </c>
      <c r="C7139" t="s" s="834">
        <v>590</v>
      </c>
      <c r="D7139" s="570"/>
      <c r="E7139" s="570"/>
      <c r="F7139" s="570"/>
      <c r="G7139" s="570"/>
      <c r="H7139" s="570"/>
      <c r="I7139" s="570"/>
      <c r="J7139" s="570"/>
      <c r="K7139" s="570"/>
    </row>
    <row r="7140" ht="13.75" customHeight="1">
      <c r="A7140" s="833">
        <v>332</v>
      </c>
      <c r="B7140" t="s" s="834">
        <v>435</v>
      </c>
      <c r="C7140" t="s" s="834">
        <v>700</v>
      </c>
      <c r="D7140" s="835">
        <v>46052</v>
      </c>
      <c r="E7140" t="s" s="834">
        <v>478</v>
      </c>
      <c r="F7140" t="s" s="834">
        <v>478</v>
      </c>
      <c r="G7140" s="570"/>
      <c r="H7140" s="570"/>
      <c r="I7140" s="570"/>
      <c r="J7140" s="570"/>
      <c r="K7140" s="570"/>
    </row>
    <row r="7141" ht="13.75" customHeight="1">
      <c r="A7141" s="833">
        <v>332</v>
      </c>
      <c r="B7141" t="s" s="834">
        <v>435</v>
      </c>
      <c r="C7141" t="s" s="834">
        <v>700</v>
      </c>
      <c r="D7141" s="835">
        <v>46053</v>
      </c>
      <c r="E7141" t="s" s="834">
        <v>478</v>
      </c>
      <c r="F7141" t="s" s="834">
        <v>478</v>
      </c>
      <c r="G7141" s="570"/>
      <c r="H7141" s="570"/>
      <c r="I7141" s="570"/>
      <c r="J7141" s="570"/>
      <c r="K7141" s="570"/>
    </row>
    <row r="7142" ht="13.75" customHeight="1">
      <c r="A7142" s="833">
        <v>332</v>
      </c>
      <c r="B7142" t="s" s="834">
        <v>435</v>
      </c>
      <c r="C7142" t="s" s="834">
        <v>700</v>
      </c>
      <c r="D7142" s="835">
        <v>46054</v>
      </c>
      <c r="E7142" t="s" s="834">
        <v>478</v>
      </c>
      <c r="F7142" t="s" s="834">
        <v>478</v>
      </c>
      <c r="G7142" s="570"/>
      <c r="H7142" s="570"/>
      <c r="I7142" s="570"/>
      <c r="J7142" s="570"/>
      <c r="K7142" s="570"/>
    </row>
    <row r="7143" ht="13.75" customHeight="1">
      <c r="A7143" s="833">
        <v>333</v>
      </c>
      <c r="B7143" t="s" s="834">
        <v>379</v>
      </c>
      <c r="C7143" t="s" s="834">
        <v>480</v>
      </c>
      <c r="D7143" s="835">
        <v>46023</v>
      </c>
      <c r="E7143" t="s" s="834">
        <v>478</v>
      </c>
      <c r="F7143" t="s" s="834">
        <v>478</v>
      </c>
      <c r="G7143" s="570"/>
      <c r="H7143" s="570"/>
      <c r="I7143" s="570"/>
      <c r="J7143" s="570"/>
      <c r="K7143" s="570"/>
    </row>
    <row r="7144" ht="13.75" customHeight="1">
      <c r="A7144" s="833">
        <v>333</v>
      </c>
      <c r="B7144" t="s" s="834">
        <v>379</v>
      </c>
      <c r="C7144" t="s" s="834">
        <v>480</v>
      </c>
      <c r="D7144" s="835">
        <v>46024</v>
      </c>
      <c r="E7144" t="s" s="834">
        <v>478</v>
      </c>
      <c r="F7144" t="s" s="834">
        <v>478</v>
      </c>
      <c r="G7144" s="570"/>
      <c r="H7144" s="570"/>
      <c r="I7144" s="570"/>
      <c r="J7144" s="570"/>
      <c r="K7144" s="570"/>
    </row>
    <row r="7145" ht="13.75" customHeight="1">
      <c r="A7145" s="833">
        <v>333</v>
      </c>
      <c r="B7145" t="s" s="834">
        <v>379</v>
      </c>
      <c r="C7145" t="s" s="834">
        <v>480</v>
      </c>
      <c r="D7145" s="835">
        <v>46025</v>
      </c>
      <c r="E7145" t="s" s="834">
        <v>478</v>
      </c>
      <c r="F7145" t="s" s="834">
        <v>478</v>
      </c>
      <c r="G7145" s="570"/>
      <c r="H7145" s="570"/>
      <c r="I7145" s="570"/>
      <c r="J7145" s="570"/>
      <c r="K7145" s="570"/>
    </row>
    <row r="7146" ht="13.75" customHeight="1">
      <c r="A7146" s="833">
        <v>333</v>
      </c>
      <c r="B7146" t="s" s="834">
        <v>379</v>
      </c>
      <c r="C7146" t="s" s="834">
        <v>480</v>
      </c>
      <c r="D7146" s="835">
        <v>46026</v>
      </c>
      <c r="E7146" t="s" s="834">
        <v>478</v>
      </c>
      <c r="F7146" t="s" s="834">
        <v>478</v>
      </c>
      <c r="G7146" s="570"/>
      <c r="H7146" s="570"/>
      <c r="I7146" s="570"/>
      <c r="J7146" s="570"/>
      <c r="K7146" s="570"/>
    </row>
    <row r="7147" ht="13.75" customHeight="1">
      <c r="A7147" s="833">
        <v>333</v>
      </c>
      <c r="B7147" t="s" s="834">
        <v>379</v>
      </c>
      <c r="C7147" t="s" s="834">
        <v>480</v>
      </c>
      <c r="D7147" s="835">
        <v>46027</v>
      </c>
      <c r="E7147" t="s" s="834">
        <v>478</v>
      </c>
      <c r="F7147" t="s" s="834">
        <v>478</v>
      </c>
      <c r="G7147" s="570"/>
      <c r="H7147" s="570"/>
      <c r="I7147" s="570"/>
      <c r="J7147" s="570"/>
      <c r="K7147" s="570"/>
    </row>
    <row r="7148" ht="13.75" customHeight="1">
      <c r="A7148" s="833">
        <v>333</v>
      </c>
      <c r="B7148" t="s" s="834">
        <v>379</v>
      </c>
      <c r="C7148" t="s" s="834">
        <v>480</v>
      </c>
      <c r="D7148" s="835">
        <v>46028</v>
      </c>
      <c r="E7148" t="s" s="834">
        <v>478</v>
      </c>
      <c r="F7148" t="s" s="834">
        <v>478</v>
      </c>
      <c r="G7148" s="570"/>
      <c r="H7148" s="570"/>
      <c r="I7148" s="570"/>
      <c r="J7148" s="570"/>
      <c r="K7148" s="570"/>
    </row>
    <row r="7149" ht="13.75" customHeight="1">
      <c r="A7149" s="833">
        <v>333</v>
      </c>
      <c r="B7149" t="s" s="834">
        <v>379</v>
      </c>
      <c r="C7149" t="s" s="834">
        <v>480</v>
      </c>
      <c r="D7149" s="835">
        <v>46029</v>
      </c>
      <c r="E7149" t="s" s="834">
        <v>478</v>
      </c>
      <c r="F7149" t="s" s="834">
        <v>478</v>
      </c>
      <c r="G7149" s="570"/>
      <c r="H7149" s="570"/>
      <c r="I7149" s="570"/>
      <c r="J7149" s="570"/>
      <c r="K7149" s="570"/>
    </row>
    <row r="7150" ht="13.75" customHeight="1">
      <c r="A7150" s="833">
        <v>333</v>
      </c>
      <c r="B7150" t="s" s="834">
        <v>379</v>
      </c>
      <c r="C7150" t="s" s="834">
        <v>480</v>
      </c>
      <c r="D7150" s="835">
        <v>46030</v>
      </c>
      <c r="E7150" t="s" s="834">
        <v>478</v>
      </c>
      <c r="F7150" t="s" s="834">
        <v>478</v>
      </c>
      <c r="G7150" s="570"/>
      <c r="H7150" s="570"/>
      <c r="I7150" s="570"/>
      <c r="J7150" s="570"/>
      <c r="K7150" s="570"/>
    </row>
    <row r="7151" ht="13.75" customHeight="1">
      <c r="A7151" s="833">
        <v>333</v>
      </c>
      <c r="B7151" t="s" s="834">
        <v>379</v>
      </c>
      <c r="C7151" t="s" s="834">
        <v>480</v>
      </c>
      <c r="D7151" s="835">
        <v>46031</v>
      </c>
      <c r="E7151" t="s" s="834">
        <v>478</v>
      </c>
      <c r="F7151" t="s" s="834">
        <v>478</v>
      </c>
      <c r="G7151" s="570"/>
      <c r="H7151" s="570"/>
      <c r="I7151" s="570"/>
      <c r="J7151" s="570"/>
      <c r="K7151" s="570"/>
    </row>
    <row r="7152" ht="13.75" customHeight="1">
      <c r="A7152" s="833">
        <v>333</v>
      </c>
      <c r="B7152" t="s" s="834">
        <v>379</v>
      </c>
      <c r="C7152" t="s" s="834">
        <v>480</v>
      </c>
      <c r="D7152" s="835">
        <v>46032</v>
      </c>
      <c r="E7152" t="s" s="834">
        <v>478</v>
      </c>
      <c r="F7152" t="s" s="834">
        <v>478</v>
      </c>
      <c r="G7152" s="570"/>
      <c r="H7152" s="570"/>
      <c r="I7152" s="570"/>
      <c r="J7152" s="570"/>
      <c r="K7152" s="570"/>
    </row>
    <row r="7153" ht="13.75" customHeight="1">
      <c r="A7153" s="833">
        <v>333</v>
      </c>
      <c r="B7153" t="s" s="834">
        <v>379</v>
      </c>
      <c r="C7153" t="s" s="834">
        <v>480</v>
      </c>
      <c r="D7153" s="835">
        <v>46033</v>
      </c>
      <c r="E7153" t="s" s="834">
        <v>478</v>
      </c>
      <c r="F7153" t="s" s="834">
        <v>478</v>
      </c>
      <c r="G7153" s="570"/>
      <c r="H7153" s="570"/>
      <c r="I7153" s="570"/>
      <c r="J7153" s="570"/>
      <c r="K7153" s="570"/>
    </row>
    <row r="7154" ht="13.75" customHeight="1">
      <c r="A7154" s="833">
        <v>333</v>
      </c>
      <c r="B7154" t="s" s="834">
        <v>379</v>
      </c>
      <c r="C7154" t="s" s="834">
        <v>480</v>
      </c>
      <c r="D7154" s="835">
        <v>46034</v>
      </c>
      <c r="E7154" t="s" s="834">
        <v>478</v>
      </c>
      <c r="F7154" t="s" s="834">
        <v>478</v>
      </c>
      <c r="G7154" s="570"/>
      <c r="H7154" s="570"/>
      <c r="I7154" s="570"/>
      <c r="J7154" s="570"/>
      <c r="K7154" s="570"/>
    </row>
    <row r="7155" ht="13.75" customHeight="1">
      <c r="A7155" s="833">
        <v>333</v>
      </c>
      <c r="B7155" t="s" s="834">
        <v>379</v>
      </c>
      <c r="C7155" t="s" s="834">
        <v>480</v>
      </c>
      <c r="D7155" s="835">
        <v>46035</v>
      </c>
      <c r="E7155" t="s" s="834">
        <v>478</v>
      </c>
      <c r="F7155" t="s" s="834">
        <v>478</v>
      </c>
      <c r="G7155" s="570"/>
      <c r="H7155" s="570"/>
      <c r="I7155" s="570"/>
      <c r="J7155" s="570"/>
      <c r="K7155" s="570"/>
    </row>
    <row r="7156" ht="13.75" customHeight="1">
      <c r="A7156" s="833">
        <v>333</v>
      </c>
      <c r="B7156" t="s" s="834">
        <v>379</v>
      </c>
      <c r="C7156" t="s" s="834">
        <v>480</v>
      </c>
      <c r="D7156" s="835">
        <v>46036</v>
      </c>
      <c r="E7156" t="s" s="834">
        <v>478</v>
      </c>
      <c r="F7156" t="s" s="834">
        <v>478</v>
      </c>
      <c r="G7156" s="570"/>
      <c r="H7156" s="570"/>
      <c r="I7156" s="570"/>
      <c r="J7156" s="570"/>
      <c r="K7156" s="570"/>
    </row>
    <row r="7157" ht="13.75" customHeight="1">
      <c r="A7157" s="833">
        <v>333</v>
      </c>
      <c r="B7157" t="s" s="834">
        <v>379</v>
      </c>
      <c r="C7157" t="s" s="834">
        <v>480</v>
      </c>
      <c r="D7157" s="835">
        <v>46037</v>
      </c>
      <c r="E7157" t="s" s="834">
        <v>478</v>
      </c>
      <c r="F7157" t="s" s="834">
        <v>478</v>
      </c>
      <c r="G7157" s="570"/>
      <c r="H7157" s="570"/>
      <c r="I7157" s="570"/>
      <c r="J7157" s="570"/>
      <c r="K7157" s="570"/>
    </row>
    <row r="7158" ht="13.75" customHeight="1">
      <c r="A7158" s="833">
        <v>333</v>
      </c>
      <c r="B7158" t="s" s="834">
        <v>379</v>
      </c>
      <c r="C7158" t="s" s="834">
        <v>480</v>
      </c>
      <c r="D7158" s="835">
        <v>46038</v>
      </c>
      <c r="E7158" t="s" s="834">
        <v>478</v>
      </c>
      <c r="F7158" t="s" s="834">
        <v>478</v>
      </c>
      <c r="G7158" s="570"/>
      <c r="H7158" s="570"/>
      <c r="I7158" s="570"/>
      <c r="J7158" s="570"/>
      <c r="K7158" s="570"/>
    </row>
    <row r="7159" ht="13.75" customHeight="1">
      <c r="A7159" s="833">
        <v>333</v>
      </c>
      <c r="B7159" t="s" s="834">
        <v>379</v>
      </c>
      <c r="C7159" t="s" s="834">
        <v>480</v>
      </c>
      <c r="D7159" s="835">
        <v>46039</v>
      </c>
      <c r="E7159" t="s" s="834">
        <v>478</v>
      </c>
      <c r="F7159" t="s" s="834">
        <v>478</v>
      </c>
      <c r="G7159" s="570"/>
      <c r="H7159" s="570"/>
      <c r="I7159" s="570"/>
      <c r="J7159" s="570"/>
      <c r="K7159" s="570"/>
    </row>
    <row r="7160" ht="13.75" customHeight="1">
      <c r="A7160" s="833">
        <v>333</v>
      </c>
      <c r="B7160" t="s" s="834">
        <v>379</v>
      </c>
      <c r="C7160" t="s" s="834">
        <v>480</v>
      </c>
      <c r="D7160" s="835">
        <v>46040</v>
      </c>
      <c r="E7160" t="s" s="834">
        <v>478</v>
      </c>
      <c r="F7160" t="s" s="834">
        <v>478</v>
      </c>
      <c r="G7160" s="570"/>
      <c r="H7160" s="570"/>
      <c r="I7160" s="570"/>
      <c r="J7160" s="570"/>
      <c r="K7160" s="570"/>
    </row>
    <row r="7161" ht="13.75" customHeight="1">
      <c r="A7161" s="833">
        <v>333</v>
      </c>
      <c r="B7161" t="s" s="834">
        <v>379</v>
      </c>
      <c r="C7161" t="s" s="834">
        <v>480</v>
      </c>
      <c r="D7161" s="835">
        <v>46041</v>
      </c>
      <c r="E7161" t="s" s="834">
        <v>478</v>
      </c>
      <c r="F7161" t="s" s="834">
        <v>478</v>
      </c>
      <c r="G7161" s="570"/>
      <c r="H7161" s="570"/>
      <c r="I7161" s="570"/>
      <c r="J7161" s="570"/>
      <c r="K7161" s="570"/>
    </row>
    <row r="7162" ht="13.75" customHeight="1">
      <c r="A7162" s="833">
        <v>333</v>
      </c>
      <c r="B7162" t="s" s="834">
        <v>379</v>
      </c>
      <c r="C7162" t="s" s="834">
        <v>480</v>
      </c>
      <c r="D7162" s="835">
        <v>46042</v>
      </c>
      <c r="E7162" t="s" s="834">
        <v>478</v>
      </c>
      <c r="F7162" t="s" s="834">
        <v>478</v>
      </c>
      <c r="G7162" s="570"/>
      <c r="H7162" s="570"/>
      <c r="I7162" s="570"/>
      <c r="J7162" s="570"/>
      <c r="K7162" s="570"/>
    </row>
    <row r="7163" ht="13.75" customHeight="1">
      <c r="A7163" s="833">
        <v>333</v>
      </c>
      <c r="B7163" t="s" s="834">
        <v>379</v>
      </c>
      <c r="C7163" t="s" s="834">
        <v>480</v>
      </c>
      <c r="D7163" s="835">
        <v>46043</v>
      </c>
      <c r="E7163" t="s" s="834">
        <v>478</v>
      </c>
      <c r="F7163" t="s" s="834">
        <v>478</v>
      </c>
      <c r="G7163" s="570"/>
      <c r="H7163" s="570"/>
      <c r="I7163" s="570"/>
      <c r="J7163" s="570"/>
      <c r="K7163" s="570"/>
    </row>
    <row r="7164" ht="13.75" customHeight="1">
      <c r="A7164" s="833">
        <v>333</v>
      </c>
      <c r="B7164" t="s" s="834">
        <v>379</v>
      </c>
      <c r="C7164" t="s" s="834">
        <v>480</v>
      </c>
      <c r="D7164" s="835">
        <v>46044</v>
      </c>
      <c r="E7164" t="s" s="834">
        <v>478</v>
      </c>
      <c r="F7164" t="s" s="834">
        <v>478</v>
      </c>
      <c r="G7164" s="570"/>
      <c r="H7164" s="570"/>
      <c r="I7164" s="570"/>
      <c r="J7164" s="570"/>
      <c r="K7164" s="570"/>
    </row>
    <row r="7165" ht="13.75" customHeight="1">
      <c r="A7165" s="833">
        <v>333</v>
      </c>
      <c r="B7165" t="s" s="834">
        <v>379</v>
      </c>
      <c r="C7165" t="s" s="834">
        <v>480</v>
      </c>
      <c r="D7165" s="835">
        <v>46045</v>
      </c>
      <c r="E7165" t="s" s="834">
        <v>478</v>
      </c>
      <c r="F7165" t="s" s="834">
        <v>478</v>
      </c>
      <c r="G7165" s="570"/>
      <c r="H7165" s="570"/>
      <c r="I7165" s="570"/>
      <c r="J7165" s="570"/>
      <c r="K7165" s="570"/>
    </row>
    <row r="7166" ht="13.75" customHeight="1">
      <c r="A7166" s="833">
        <v>333</v>
      </c>
      <c r="B7166" t="s" s="834">
        <v>379</v>
      </c>
      <c r="C7166" t="s" s="834">
        <v>480</v>
      </c>
      <c r="D7166" s="835">
        <v>46046</v>
      </c>
      <c r="E7166" t="s" s="834">
        <v>478</v>
      </c>
      <c r="F7166" t="s" s="834">
        <v>478</v>
      </c>
      <c r="G7166" s="570"/>
      <c r="H7166" s="570"/>
      <c r="I7166" s="570"/>
      <c r="J7166" s="570"/>
      <c r="K7166" s="570"/>
    </row>
    <row r="7167" ht="13.75" customHeight="1">
      <c r="A7167" s="833">
        <v>333</v>
      </c>
      <c r="B7167" t="s" s="834">
        <v>379</v>
      </c>
      <c r="C7167" t="s" s="834">
        <v>480</v>
      </c>
      <c r="D7167" s="835">
        <v>46047</v>
      </c>
      <c r="E7167" t="s" s="834">
        <v>478</v>
      </c>
      <c r="F7167" t="s" s="834">
        <v>478</v>
      </c>
      <c r="G7167" s="570"/>
      <c r="H7167" s="570"/>
      <c r="I7167" s="570"/>
      <c r="J7167" s="570"/>
      <c r="K7167" s="570"/>
    </row>
    <row r="7168" ht="13.75" customHeight="1">
      <c r="A7168" s="833">
        <v>333</v>
      </c>
      <c r="B7168" t="s" s="834">
        <v>379</v>
      </c>
      <c r="C7168" t="s" s="834">
        <v>480</v>
      </c>
      <c r="D7168" s="835">
        <v>46048</v>
      </c>
      <c r="E7168" t="s" s="834">
        <v>478</v>
      </c>
      <c r="F7168" t="s" s="834">
        <v>478</v>
      </c>
      <c r="G7168" s="570"/>
      <c r="H7168" s="570"/>
      <c r="I7168" s="570"/>
      <c r="J7168" s="570"/>
      <c r="K7168" s="570"/>
    </row>
    <row r="7169" ht="13.75" customHeight="1">
      <c r="A7169" s="833">
        <v>333</v>
      </c>
      <c r="B7169" t="s" s="834">
        <v>379</v>
      </c>
      <c r="C7169" t="s" s="834">
        <v>480</v>
      </c>
      <c r="D7169" s="835">
        <v>46049</v>
      </c>
      <c r="E7169" t="s" s="834">
        <v>478</v>
      </c>
      <c r="F7169" t="s" s="834">
        <v>478</v>
      </c>
      <c r="G7169" s="570"/>
      <c r="H7169" s="570"/>
      <c r="I7169" s="570"/>
      <c r="J7169" s="570"/>
      <c r="K7169" s="570"/>
    </row>
    <row r="7170" ht="13.75" customHeight="1">
      <c r="A7170" s="833">
        <v>333</v>
      </c>
      <c r="B7170" t="s" s="834">
        <v>379</v>
      </c>
      <c r="C7170" t="s" s="834">
        <v>480</v>
      </c>
      <c r="D7170" s="835">
        <v>46050</v>
      </c>
      <c r="E7170" t="s" s="834">
        <v>478</v>
      </c>
      <c r="F7170" t="s" s="834">
        <v>478</v>
      </c>
      <c r="G7170" s="570"/>
      <c r="H7170" s="570"/>
      <c r="I7170" s="570"/>
      <c r="J7170" s="570"/>
      <c r="K7170" s="570"/>
    </row>
    <row r="7171" ht="13.75" customHeight="1">
      <c r="A7171" s="833">
        <v>333</v>
      </c>
      <c r="B7171" t="s" s="834">
        <v>379</v>
      </c>
      <c r="C7171" t="s" s="834">
        <v>480</v>
      </c>
      <c r="D7171" s="835">
        <v>46051</v>
      </c>
      <c r="E7171" t="s" s="834">
        <v>478</v>
      </c>
      <c r="F7171" t="s" s="834">
        <v>478</v>
      </c>
      <c r="G7171" s="570"/>
      <c r="H7171" s="570"/>
      <c r="I7171" s="570"/>
      <c r="J7171" s="570"/>
      <c r="K7171" s="570"/>
    </row>
    <row r="7172" ht="13.75" customHeight="1">
      <c r="A7172" s="833">
        <v>333</v>
      </c>
      <c r="B7172" t="s" s="834">
        <v>379</v>
      </c>
      <c r="C7172" t="s" s="834">
        <v>480</v>
      </c>
      <c r="D7172" s="835">
        <v>46052</v>
      </c>
      <c r="E7172" t="s" s="834">
        <v>478</v>
      </c>
      <c r="F7172" t="s" s="834">
        <v>478</v>
      </c>
      <c r="G7172" s="570"/>
      <c r="H7172" s="570"/>
      <c r="I7172" s="570"/>
      <c r="J7172" s="570"/>
      <c r="K7172" s="570"/>
    </row>
    <row r="7173" ht="13.75" customHeight="1">
      <c r="A7173" s="833">
        <v>333</v>
      </c>
      <c r="B7173" t="s" s="834">
        <v>379</v>
      </c>
      <c r="C7173" t="s" s="834">
        <v>480</v>
      </c>
      <c r="D7173" s="835">
        <v>46053</v>
      </c>
      <c r="E7173" t="s" s="834">
        <v>478</v>
      </c>
      <c r="F7173" t="s" s="834">
        <v>478</v>
      </c>
      <c r="G7173" s="570"/>
      <c r="H7173" s="570"/>
      <c r="I7173" s="570"/>
      <c r="J7173" s="570"/>
      <c r="K7173" s="570"/>
    </row>
    <row r="7174" ht="13.75" customHeight="1">
      <c r="A7174" s="833">
        <v>333</v>
      </c>
      <c r="B7174" t="s" s="834">
        <v>379</v>
      </c>
      <c r="C7174" t="s" s="834">
        <v>480</v>
      </c>
      <c r="D7174" s="835">
        <v>46054</v>
      </c>
      <c r="E7174" t="s" s="834">
        <v>478</v>
      </c>
      <c r="F7174" t="s" s="834">
        <v>478</v>
      </c>
      <c r="G7174" s="570"/>
      <c r="H7174" s="570"/>
      <c r="I7174" s="570"/>
      <c r="J7174" s="570"/>
      <c r="K7174" s="570"/>
    </row>
    <row r="7175" ht="13.75" customHeight="1">
      <c r="A7175" s="833">
        <v>334</v>
      </c>
      <c r="B7175" t="s" s="834">
        <v>4770</v>
      </c>
      <c r="C7175" t="s" s="834">
        <v>700</v>
      </c>
      <c r="D7175" s="835">
        <v>46023</v>
      </c>
      <c r="E7175" t="s" s="834">
        <v>478</v>
      </c>
      <c r="F7175" t="s" s="834">
        <v>478</v>
      </c>
      <c r="G7175" s="570"/>
      <c r="H7175" s="570"/>
      <c r="I7175" s="570"/>
      <c r="J7175" s="570"/>
      <c r="K7175" s="570"/>
    </row>
    <row r="7176" ht="13.75" customHeight="1">
      <c r="A7176" s="833">
        <v>334</v>
      </c>
      <c r="B7176" t="s" s="834">
        <v>4770</v>
      </c>
      <c r="C7176" t="s" s="834">
        <v>700</v>
      </c>
      <c r="D7176" s="835">
        <v>46024</v>
      </c>
      <c r="E7176" t="s" s="834">
        <v>478</v>
      </c>
      <c r="F7176" t="s" s="834">
        <v>478</v>
      </c>
      <c r="G7176" s="570"/>
      <c r="H7176" s="570"/>
      <c r="I7176" s="570"/>
      <c r="J7176" s="570"/>
      <c r="K7176" s="570"/>
    </row>
    <row r="7177" ht="13.75" customHeight="1">
      <c r="A7177" s="833">
        <v>334</v>
      </c>
      <c r="B7177" t="s" s="834">
        <v>4770</v>
      </c>
      <c r="C7177" t="s" s="834">
        <v>700</v>
      </c>
      <c r="D7177" s="835">
        <v>46025</v>
      </c>
      <c r="E7177" t="s" s="834">
        <v>478</v>
      </c>
      <c r="F7177" t="s" s="834">
        <v>478</v>
      </c>
      <c r="G7177" s="570"/>
      <c r="H7177" s="570"/>
      <c r="I7177" s="570"/>
      <c r="J7177" s="570"/>
      <c r="K7177" s="570"/>
    </row>
    <row r="7178" ht="13.75" customHeight="1">
      <c r="A7178" s="833">
        <v>334</v>
      </c>
      <c r="B7178" t="s" s="834">
        <v>4770</v>
      </c>
      <c r="C7178" t="s" s="834">
        <v>700</v>
      </c>
      <c r="D7178" s="835">
        <v>46026</v>
      </c>
      <c r="E7178" t="s" s="834">
        <v>478</v>
      </c>
      <c r="F7178" t="s" s="834">
        <v>478</v>
      </c>
      <c r="G7178" s="570"/>
      <c r="H7178" s="570"/>
      <c r="I7178" s="570"/>
      <c r="J7178" s="570"/>
      <c r="K7178" s="570"/>
    </row>
    <row r="7179" ht="13.75" customHeight="1">
      <c r="A7179" s="833">
        <v>334</v>
      </c>
      <c r="B7179" t="s" s="834">
        <v>4770</v>
      </c>
      <c r="C7179" t="s" s="834">
        <v>700</v>
      </c>
      <c r="D7179" s="835">
        <v>46027</v>
      </c>
      <c r="E7179" t="s" s="834">
        <v>478</v>
      </c>
      <c r="F7179" t="s" s="834">
        <v>478</v>
      </c>
      <c r="G7179" s="570"/>
      <c r="H7179" s="570"/>
      <c r="I7179" s="570"/>
      <c r="J7179" s="570"/>
      <c r="K7179" s="570"/>
    </row>
    <row r="7180" ht="13.75" customHeight="1">
      <c r="A7180" s="833">
        <v>334</v>
      </c>
      <c r="B7180" t="s" s="834">
        <v>4770</v>
      </c>
      <c r="C7180" t="s" s="834">
        <v>700</v>
      </c>
      <c r="D7180" s="835">
        <v>46028</v>
      </c>
      <c r="E7180" t="s" s="834">
        <v>478</v>
      </c>
      <c r="F7180" t="s" s="834">
        <v>478</v>
      </c>
      <c r="G7180" s="570"/>
      <c r="H7180" s="570"/>
      <c r="I7180" s="570"/>
      <c r="J7180" s="570"/>
      <c r="K7180" s="570"/>
    </row>
    <row r="7181" ht="13.75" customHeight="1">
      <c r="A7181" s="833">
        <v>334</v>
      </c>
      <c r="B7181" t="s" s="834">
        <v>4770</v>
      </c>
      <c r="C7181" t="s" s="834">
        <v>700</v>
      </c>
      <c r="D7181" s="835">
        <v>46029</v>
      </c>
      <c r="E7181" t="s" s="834">
        <v>478</v>
      </c>
      <c r="F7181" t="s" s="834">
        <v>478</v>
      </c>
      <c r="G7181" s="570"/>
      <c r="H7181" s="570"/>
      <c r="I7181" s="570"/>
      <c r="J7181" s="570"/>
      <c r="K7181" s="570"/>
    </row>
    <row r="7182" ht="13.75" customHeight="1">
      <c r="A7182" s="833">
        <v>334</v>
      </c>
      <c r="B7182" t="s" s="834">
        <v>4770</v>
      </c>
      <c r="C7182" t="s" s="834">
        <v>700</v>
      </c>
      <c r="D7182" s="835">
        <v>46030</v>
      </c>
      <c r="E7182" t="s" s="834">
        <v>478</v>
      </c>
      <c r="F7182" t="s" s="834">
        <v>478</v>
      </c>
      <c r="G7182" s="570"/>
      <c r="H7182" s="570"/>
      <c r="I7182" s="570"/>
      <c r="J7182" s="570"/>
      <c r="K7182" s="570"/>
    </row>
    <row r="7183" ht="13.75" customHeight="1">
      <c r="A7183" s="833">
        <v>334</v>
      </c>
      <c r="B7183" t="s" s="834">
        <v>4770</v>
      </c>
      <c r="C7183" t="s" s="834">
        <v>700</v>
      </c>
      <c r="D7183" s="835">
        <v>46031</v>
      </c>
      <c r="E7183" t="s" s="834">
        <v>478</v>
      </c>
      <c r="F7183" t="s" s="834">
        <v>478</v>
      </c>
      <c r="G7183" s="570"/>
      <c r="H7183" s="570"/>
      <c r="I7183" s="570"/>
      <c r="J7183" s="570"/>
      <c r="K7183" s="570"/>
    </row>
    <row r="7184" ht="13.75" customHeight="1">
      <c r="A7184" s="833">
        <v>334</v>
      </c>
      <c r="B7184" t="s" s="834">
        <v>4770</v>
      </c>
      <c r="C7184" t="s" s="834">
        <v>700</v>
      </c>
      <c r="D7184" s="835">
        <v>46032</v>
      </c>
      <c r="E7184" t="s" s="834">
        <v>478</v>
      </c>
      <c r="F7184" t="s" s="834">
        <v>478</v>
      </c>
      <c r="G7184" s="570"/>
      <c r="H7184" s="570"/>
      <c r="I7184" s="570"/>
      <c r="J7184" s="570"/>
      <c r="K7184" s="570"/>
    </row>
    <row r="7185" ht="13.75" customHeight="1">
      <c r="A7185" s="833">
        <v>334</v>
      </c>
      <c r="B7185" t="s" s="834">
        <v>4770</v>
      </c>
      <c r="C7185" t="s" s="834">
        <v>700</v>
      </c>
      <c r="D7185" s="835">
        <v>46033</v>
      </c>
      <c r="E7185" t="s" s="834">
        <v>478</v>
      </c>
      <c r="F7185" t="s" s="834">
        <v>478</v>
      </c>
      <c r="G7185" s="570"/>
      <c r="H7185" s="570"/>
      <c r="I7185" s="570"/>
      <c r="J7185" s="570"/>
      <c r="K7185" s="570"/>
    </row>
    <row r="7186" ht="13.75" customHeight="1">
      <c r="A7186" s="833">
        <v>334</v>
      </c>
      <c r="B7186" t="s" s="834">
        <v>4770</v>
      </c>
      <c r="C7186" t="s" s="834">
        <v>700</v>
      </c>
      <c r="D7186" s="835">
        <v>46034</v>
      </c>
      <c r="E7186" t="s" s="834">
        <v>478</v>
      </c>
      <c r="F7186" t="s" s="834">
        <v>478</v>
      </c>
      <c r="G7186" s="570"/>
      <c r="H7186" s="570"/>
      <c r="I7186" s="570"/>
      <c r="J7186" s="570"/>
      <c r="K7186" s="570"/>
    </row>
    <row r="7187" ht="13.75" customHeight="1">
      <c r="A7187" s="833">
        <v>334</v>
      </c>
      <c r="B7187" t="s" s="834">
        <v>4770</v>
      </c>
      <c r="C7187" t="s" s="834">
        <v>700</v>
      </c>
      <c r="D7187" s="835">
        <v>46035</v>
      </c>
      <c r="E7187" s="836">
        <v>1.615358796296296</v>
      </c>
      <c r="F7187" s="836">
        <v>1.683958333333333</v>
      </c>
      <c r="G7187" s="570"/>
      <c r="H7187" s="570"/>
      <c r="I7187" s="570"/>
      <c r="J7187" s="570"/>
      <c r="K7187" s="570"/>
    </row>
    <row r="7188" ht="13.75" customHeight="1">
      <c r="A7188" t="s" s="834">
        <v>4771</v>
      </c>
      <c r="B7188" t="s" s="834">
        <v>4772</v>
      </c>
      <c r="C7188" t="s" s="834">
        <v>1138</v>
      </c>
      <c r="D7188" s="570"/>
      <c r="E7188" s="570"/>
      <c r="F7188" s="570"/>
      <c r="G7188" s="570"/>
      <c r="H7188" s="570"/>
      <c r="I7188" s="570"/>
      <c r="J7188" s="570"/>
      <c r="K7188" s="570"/>
    </row>
    <row r="7189" ht="13.75" customHeight="1">
      <c r="A7189" s="833">
        <v>334</v>
      </c>
      <c r="B7189" t="s" s="834">
        <v>4770</v>
      </c>
      <c r="C7189" t="s" s="834">
        <v>700</v>
      </c>
      <c r="D7189" s="835">
        <v>46036</v>
      </c>
      <c r="E7189" t="s" s="834">
        <v>478</v>
      </c>
      <c r="F7189" t="s" s="834">
        <v>478</v>
      </c>
      <c r="G7189" s="570"/>
      <c r="H7189" s="570"/>
      <c r="I7189" s="570"/>
      <c r="J7189" s="570"/>
      <c r="K7189" s="570"/>
    </row>
    <row r="7190" ht="13.75" customHeight="1">
      <c r="A7190" s="833">
        <v>334</v>
      </c>
      <c r="B7190" t="s" s="834">
        <v>4770</v>
      </c>
      <c r="C7190" t="s" s="834">
        <v>700</v>
      </c>
      <c r="D7190" s="835">
        <v>46037</v>
      </c>
      <c r="E7190" t="s" s="834">
        <v>478</v>
      </c>
      <c r="F7190" t="s" s="834">
        <v>478</v>
      </c>
      <c r="G7190" s="570"/>
      <c r="H7190" s="570"/>
      <c r="I7190" s="570"/>
      <c r="J7190" s="570"/>
      <c r="K7190" s="570"/>
    </row>
    <row r="7191" ht="13.75" customHeight="1">
      <c r="A7191" s="833">
        <v>334</v>
      </c>
      <c r="B7191" t="s" s="834">
        <v>4770</v>
      </c>
      <c r="C7191" t="s" s="834">
        <v>700</v>
      </c>
      <c r="D7191" s="835">
        <v>46038</v>
      </c>
      <c r="E7191" t="s" s="834">
        <v>478</v>
      </c>
      <c r="F7191" t="s" s="834">
        <v>478</v>
      </c>
      <c r="G7191" s="570"/>
      <c r="H7191" s="570"/>
      <c r="I7191" s="570"/>
      <c r="J7191" s="570"/>
      <c r="K7191" s="570"/>
    </row>
    <row r="7192" ht="13.75" customHeight="1">
      <c r="A7192" s="833">
        <v>334</v>
      </c>
      <c r="B7192" t="s" s="834">
        <v>4770</v>
      </c>
      <c r="C7192" t="s" s="834">
        <v>700</v>
      </c>
      <c r="D7192" s="835">
        <v>46039</v>
      </c>
      <c r="E7192" t="s" s="834">
        <v>478</v>
      </c>
      <c r="F7192" t="s" s="834">
        <v>478</v>
      </c>
      <c r="G7192" s="570"/>
      <c r="H7192" s="570"/>
      <c r="I7192" s="570"/>
      <c r="J7192" s="570"/>
      <c r="K7192" s="570"/>
    </row>
    <row r="7193" ht="13.75" customHeight="1">
      <c r="A7193" s="833">
        <v>334</v>
      </c>
      <c r="B7193" t="s" s="834">
        <v>4770</v>
      </c>
      <c r="C7193" t="s" s="834">
        <v>700</v>
      </c>
      <c r="D7193" s="835">
        <v>46040</v>
      </c>
      <c r="E7193" t="s" s="834">
        <v>478</v>
      </c>
      <c r="F7193" t="s" s="834">
        <v>478</v>
      </c>
      <c r="G7193" s="570"/>
      <c r="H7193" s="570"/>
      <c r="I7193" s="570"/>
      <c r="J7193" s="570"/>
      <c r="K7193" s="570"/>
    </row>
    <row r="7194" ht="13.75" customHeight="1">
      <c r="A7194" s="833">
        <v>334</v>
      </c>
      <c r="B7194" t="s" s="834">
        <v>4770</v>
      </c>
      <c r="C7194" t="s" s="834">
        <v>700</v>
      </c>
      <c r="D7194" s="835">
        <v>46041</v>
      </c>
      <c r="E7194" t="s" s="834">
        <v>478</v>
      </c>
      <c r="F7194" t="s" s="834">
        <v>478</v>
      </c>
      <c r="G7194" s="570"/>
      <c r="H7194" s="570"/>
      <c r="I7194" s="570"/>
      <c r="J7194" s="570"/>
      <c r="K7194" s="570"/>
    </row>
    <row r="7195" ht="13.75" customHeight="1">
      <c r="A7195" s="833">
        <v>334</v>
      </c>
      <c r="B7195" t="s" s="834">
        <v>4770</v>
      </c>
      <c r="C7195" t="s" s="834">
        <v>700</v>
      </c>
      <c r="D7195" s="835">
        <v>46042</v>
      </c>
      <c r="E7195" t="s" s="834">
        <v>478</v>
      </c>
      <c r="F7195" t="s" s="834">
        <v>478</v>
      </c>
      <c r="G7195" s="570"/>
      <c r="H7195" s="570"/>
      <c r="I7195" s="570"/>
      <c r="J7195" s="570"/>
      <c r="K7195" s="570"/>
    </row>
    <row r="7196" ht="13.75" customHeight="1">
      <c r="A7196" s="833">
        <v>334</v>
      </c>
      <c r="B7196" t="s" s="834">
        <v>4770</v>
      </c>
      <c r="C7196" t="s" s="834">
        <v>700</v>
      </c>
      <c r="D7196" s="835">
        <v>46043</v>
      </c>
      <c r="E7196" t="s" s="834">
        <v>478</v>
      </c>
      <c r="F7196" t="s" s="834">
        <v>478</v>
      </c>
      <c r="G7196" s="570"/>
      <c r="H7196" s="570"/>
      <c r="I7196" s="570"/>
      <c r="J7196" s="570"/>
      <c r="K7196" s="570"/>
    </row>
    <row r="7197" ht="13.75" customHeight="1">
      <c r="A7197" s="833">
        <v>334</v>
      </c>
      <c r="B7197" t="s" s="834">
        <v>4770</v>
      </c>
      <c r="C7197" t="s" s="834">
        <v>700</v>
      </c>
      <c r="D7197" s="835">
        <v>46044</v>
      </c>
      <c r="E7197" t="s" s="834">
        <v>478</v>
      </c>
      <c r="F7197" t="s" s="834">
        <v>478</v>
      </c>
      <c r="G7197" s="570"/>
      <c r="H7197" s="570"/>
      <c r="I7197" s="570"/>
      <c r="J7197" s="570"/>
      <c r="K7197" s="570"/>
    </row>
    <row r="7198" ht="13.75" customHeight="1">
      <c r="A7198" s="833">
        <v>334</v>
      </c>
      <c r="B7198" t="s" s="834">
        <v>4770</v>
      </c>
      <c r="C7198" t="s" s="834">
        <v>700</v>
      </c>
      <c r="D7198" s="835">
        <v>46045</v>
      </c>
      <c r="E7198" t="s" s="834">
        <v>478</v>
      </c>
      <c r="F7198" t="s" s="834">
        <v>478</v>
      </c>
      <c r="G7198" s="570"/>
      <c r="H7198" s="570"/>
      <c r="I7198" s="570"/>
      <c r="J7198" s="570"/>
      <c r="K7198" s="570"/>
    </row>
    <row r="7199" ht="13.75" customHeight="1">
      <c r="A7199" s="833">
        <v>334</v>
      </c>
      <c r="B7199" t="s" s="834">
        <v>4770</v>
      </c>
      <c r="C7199" t="s" s="834">
        <v>700</v>
      </c>
      <c r="D7199" s="835">
        <v>46046</v>
      </c>
      <c r="E7199" t="s" s="834">
        <v>478</v>
      </c>
      <c r="F7199" t="s" s="834">
        <v>478</v>
      </c>
      <c r="G7199" s="570"/>
      <c r="H7199" s="570"/>
      <c r="I7199" s="570"/>
      <c r="J7199" s="570"/>
      <c r="K7199" s="570"/>
    </row>
    <row r="7200" ht="13.75" customHeight="1">
      <c r="A7200" s="833">
        <v>334</v>
      </c>
      <c r="B7200" t="s" s="834">
        <v>4770</v>
      </c>
      <c r="C7200" t="s" s="834">
        <v>700</v>
      </c>
      <c r="D7200" s="835">
        <v>46047</v>
      </c>
      <c r="E7200" t="s" s="834">
        <v>478</v>
      </c>
      <c r="F7200" t="s" s="834">
        <v>478</v>
      </c>
      <c r="G7200" s="570"/>
      <c r="H7200" s="570"/>
      <c r="I7200" s="570"/>
      <c r="J7200" s="570"/>
      <c r="K7200" s="570"/>
    </row>
    <row r="7201" ht="13.75" customHeight="1">
      <c r="A7201" s="833">
        <v>334</v>
      </c>
      <c r="B7201" t="s" s="834">
        <v>4770</v>
      </c>
      <c r="C7201" t="s" s="834">
        <v>700</v>
      </c>
      <c r="D7201" s="835">
        <v>46048</v>
      </c>
      <c r="E7201" t="s" s="834">
        <v>478</v>
      </c>
      <c r="F7201" t="s" s="834">
        <v>478</v>
      </c>
      <c r="G7201" s="570"/>
      <c r="H7201" s="570"/>
      <c r="I7201" s="570"/>
      <c r="J7201" s="570"/>
      <c r="K7201" s="570"/>
    </row>
    <row r="7202" ht="13.75" customHeight="1">
      <c r="A7202" s="833">
        <v>334</v>
      </c>
      <c r="B7202" t="s" s="834">
        <v>4770</v>
      </c>
      <c r="C7202" t="s" s="834">
        <v>700</v>
      </c>
      <c r="D7202" s="835">
        <v>46049</v>
      </c>
      <c r="E7202" t="s" s="834">
        <v>478</v>
      </c>
      <c r="F7202" t="s" s="834">
        <v>478</v>
      </c>
      <c r="G7202" s="570"/>
      <c r="H7202" s="570"/>
      <c r="I7202" s="570"/>
      <c r="J7202" s="570"/>
      <c r="K7202" s="570"/>
    </row>
    <row r="7203" ht="13.75" customHeight="1">
      <c r="A7203" s="833">
        <v>334</v>
      </c>
      <c r="B7203" t="s" s="834">
        <v>4770</v>
      </c>
      <c r="C7203" t="s" s="834">
        <v>700</v>
      </c>
      <c r="D7203" s="835">
        <v>46050</v>
      </c>
      <c r="E7203" t="s" s="834">
        <v>478</v>
      </c>
      <c r="F7203" t="s" s="834">
        <v>478</v>
      </c>
      <c r="G7203" s="570"/>
      <c r="H7203" s="570"/>
      <c r="I7203" s="570"/>
      <c r="J7203" s="570"/>
      <c r="K7203" s="570"/>
    </row>
    <row r="7204" ht="13.75" customHeight="1">
      <c r="A7204" s="833">
        <v>334</v>
      </c>
      <c r="B7204" t="s" s="834">
        <v>4770</v>
      </c>
      <c r="C7204" t="s" s="834">
        <v>700</v>
      </c>
      <c r="D7204" s="835">
        <v>46051</v>
      </c>
      <c r="E7204" t="s" s="834">
        <v>478</v>
      </c>
      <c r="F7204" t="s" s="834">
        <v>478</v>
      </c>
      <c r="G7204" s="570"/>
      <c r="H7204" s="570"/>
      <c r="I7204" s="570"/>
      <c r="J7204" s="570"/>
      <c r="K7204" s="570"/>
    </row>
    <row r="7205" ht="13.75" customHeight="1">
      <c r="A7205" s="833">
        <v>334</v>
      </c>
      <c r="B7205" t="s" s="834">
        <v>4770</v>
      </c>
      <c r="C7205" t="s" s="834">
        <v>700</v>
      </c>
      <c r="D7205" s="835">
        <v>46052</v>
      </c>
      <c r="E7205" t="s" s="834">
        <v>478</v>
      </c>
      <c r="F7205" t="s" s="834">
        <v>478</v>
      </c>
      <c r="G7205" s="570"/>
      <c r="H7205" s="570"/>
      <c r="I7205" s="570"/>
      <c r="J7205" s="570"/>
      <c r="K7205" s="570"/>
    </row>
    <row r="7206" ht="13.75" customHeight="1">
      <c r="A7206" s="833">
        <v>334</v>
      </c>
      <c r="B7206" t="s" s="834">
        <v>4770</v>
      </c>
      <c r="C7206" t="s" s="834">
        <v>700</v>
      </c>
      <c r="D7206" s="835">
        <v>46053</v>
      </c>
      <c r="E7206" t="s" s="834">
        <v>478</v>
      </c>
      <c r="F7206" t="s" s="834">
        <v>478</v>
      </c>
      <c r="G7206" s="570"/>
      <c r="H7206" s="570"/>
      <c r="I7206" s="570"/>
      <c r="J7206" s="570"/>
      <c r="K7206" s="570"/>
    </row>
    <row r="7207" ht="13.75" customHeight="1">
      <c r="A7207" s="833">
        <v>334</v>
      </c>
      <c r="B7207" t="s" s="834">
        <v>4770</v>
      </c>
      <c r="C7207" t="s" s="834">
        <v>700</v>
      </c>
      <c r="D7207" s="835">
        <v>46054</v>
      </c>
      <c r="E7207" t="s" s="834">
        <v>478</v>
      </c>
      <c r="F7207" t="s" s="834">
        <v>478</v>
      </c>
      <c r="G7207" s="570"/>
      <c r="H7207" s="570"/>
      <c r="I7207" s="570"/>
      <c r="J7207" s="570"/>
      <c r="K7207" s="570"/>
    </row>
    <row r="7208" ht="13.75" customHeight="1">
      <c r="A7208" s="833">
        <v>35</v>
      </c>
      <c r="B7208" t="s" s="834">
        <v>4773</v>
      </c>
      <c r="C7208" t="s" s="834">
        <v>617</v>
      </c>
      <c r="D7208" s="835">
        <v>46023</v>
      </c>
      <c r="E7208" t="s" s="834">
        <v>478</v>
      </c>
      <c r="F7208" t="s" s="834">
        <v>478</v>
      </c>
      <c r="G7208" s="570"/>
      <c r="H7208" s="570"/>
      <c r="I7208" s="570"/>
      <c r="J7208" s="570"/>
      <c r="K7208" s="570"/>
    </row>
    <row r="7209" ht="13.75" customHeight="1">
      <c r="A7209" s="833">
        <v>35</v>
      </c>
      <c r="B7209" t="s" s="834">
        <v>4773</v>
      </c>
      <c r="C7209" t="s" s="834">
        <v>617</v>
      </c>
      <c r="D7209" s="835">
        <v>46024</v>
      </c>
      <c r="E7209" t="s" s="834">
        <v>478</v>
      </c>
      <c r="F7209" t="s" s="834">
        <v>478</v>
      </c>
      <c r="G7209" s="570"/>
      <c r="H7209" s="570"/>
      <c r="I7209" s="570"/>
      <c r="J7209" s="570"/>
      <c r="K7209" s="570"/>
    </row>
    <row r="7210" ht="13.75" customHeight="1">
      <c r="A7210" s="833">
        <v>35</v>
      </c>
      <c r="B7210" t="s" s="834">
        <v>4773</v>
      </c>
      <c r="C7210" t="s" s="834">
        <v>617</v>
      </c>
      <c r="D7210" s="835">
        <v>46025</v>
      </c>
      <c r="E7210" t="s" s="834">
        <v>478</v>
      </c>
      <c r="F7210" t="s" s="834">
        <v>478</v>
      </c>
      <c r="G7210" s="570"/>
      <c r="H7210" s="570"/>
      <c r="I7210" s="570"/>
      <c r="J7210" s="570"/>
      <c r="K7210" s="570"/>
    </row>
    <row r="7211" ht="13.75" customHeight="1">
      <c r="A7211" s="833">
        <v>35</v>
      </c>
      <c r="B7211" t="s" s="834">
        <v>4773</v>
      </c>
      <c r="C7211" t="s" s="834">
        <v>617</v>
      </c>
      <c r="D7211" s="835">
        <v>46026</v>
      </c>
      <c r="E7211" t="s" s="834">
        <v>478</v>
      </c>
      <c r="F7211" t="s" s="834">
        <v>478</v>
      </c>
      <c r="G7211" s="570"/>
      <c r="H7211" s="570"/>
      <c r="I7211" s="570"/>
      <c r="J7211" s="570"/>
      <c r="K7211" s="570"/>
    </row>
    <row r="7212" ht="13.75" customHeight="1">
      <c r="A7212" s="833">
        <v>35</v>
      </c>
      <c r="B7212" t="s" s="834">
        <v>4773</v>
      </c>
      <c r="C7212" t="s" s="834">
        <v>617</v>
      </c>
      <c r="D7212" s="835">
        <v>46027</v>
      </c>
      <c r="E7212" t="s" s="834">
        <v>478</v>
      </c>
      <c r="F7212" t="s" s="834">
        <v>478</v>
      </c>
      <c r="G7212" s="570"/>
      <c r="H7212" s="570"/>
      <c r="I7212" s="570"/>
      <c r="J7212" s="570"/>
      <c r="K7212" s="570"/>
    </row>
    <row r="7213" ht="13.75" customHeight="1">
      <c r="A7213" s="833">
        <v>35</v>
      </c>
      <c r="B7213" t="s" s="834">
        <v>4773</v>
      </c>
      <c r="C7213" t="s" s="834">
        <v>617</v>
      </c>
      <c r="D7213" s="835">
        <v>46028</v>
      </c>
      <c r="E7213" s="836">
        <v>1.351157407407408</v>
      </c>
      <c r="F7213" s="836">
        <v>1.752048611111111</v>
      </c>
      <c r="G7213" s="570"/>
      <c r="H7213" s="570"/>
      <c r="I7213" s="570"/>
      <c r="J7213" s="570"/>
      <c r="K7213" s="570"/>
    </row>
    <row r="7214" ht="13.75" customHeight="1">
      <c r="A7214" t="s" s="834">
        <v>4774</v>
      </c>
      <c r="B7214" t="s" s="834">
        <v>4775</v>
      </c>
      <c r="C7214" t="s" s="834">
        <v>606</v>
      </c>
      <c r="D7214" s="570"/>
      <c r="E7214" s="570"/>
      <c r="F7214" s="570"/>
      <c r="G7214" s="570"/>
      <c r="H7214" s="570"/>
      <c r="I7214" s="570"/>
      <c r="J7214" s="570"/>
      <c r="K7214" s="570"/>
    </row>
    <row r="7215" ht="13.75" customHeight="1">
      <c r="A7215" s="833">
        <v>35</v>
      </c>
      <c r="B7215" t="s" s="834">
        <v>4773</v>
      </c>
      <c r="C7215" t="s" s="834">
        <v>617</v>
      </c>
      <c r="D7215" s="835">
        <v>46029</v>
      </c>
      <c r="E7215" s="836">
        <v>1.352777777777778</v>
      </c>
      <c r="F7215" s="836">
        <v>1.751504629629629</v>
      </c>
      <c r="G7215" s="570"/>
      <c r="H7215" s="570"/>
      <c r="I7215" s="570"/>
      <c r="J7215" s="570"/>
      <c r="K7215" s="570"/>
    </row>
    <row r="7216" ht="13.75" customHeight="1">
      <c r="A7216" t="s" s="834">
        <v>4776</v>
      </c>
      <c r="B7216" t="s" s="834">
        <v>4777</v>
      </c>
      <c r="C7216" t="s" s="834">
        <v>611</v>
      </c>
      <c r="D7216" s="570"/>
      <c r="E7216" s="570"/>
      <c r="F7216" s="570"/>
      <c r="G7216" s="570"/>
      <c r="H7216" s="570"/>
      <c r="I7216" s="570"/>
      <c r="J7216" s="570"/>
      <c r="K7216" s="570"/>
    </row>
    <row r="7217" ht="13.75" customHeight="1">
      <c r="A7217" s="833">
        <v>35</v>
      </c>
      <c r="B7217" t="s" s="834">
        <v>4773</v>
      </c>
      <c r="C7217" t="s" s="834">
        <v>617</v>
      </c>
      <c r="D7217" s="835">
        <v>46030</v>
      </c>
      <c r="E7217" s="836">
        <v>1.352708333333333</v>
      </c>
      <c r="F7217" s="836">
        <v>1.751273148148148</v>
      </c>
      <c r="G7217" s="570"/>
      <c r="H7217" s="570"/>
      <c r="I7217" s="570"/>
      <c r="J7217" s="570"/>
      <c r="K7217" s="570"/>
    </row>
    <row r="7218" ht="13.75" customHeight="1">
      <c r="A7218" t="s" s="834">
        <v>4778</v>
      </c>
      <c r="B7218" t="s" s="834">
        <v>4779</v>
      </c>
      <c r="C7218" t="s" s="834">
        <v>611</v>
      </c>
      <c r="D7218" s="570"/>
      <c r="E7218" s="570"/>
      <c r="F7218" s="570"/>
      <c r="G7218" s="570"/>
      <c r="H7218" s="570"/>
      <c r="I7218" s="570"/>
      <c r="J7218" s="570"/>
      <c r="K7218" s="570"/>
    </row>
    <row r="7219" ht="13.75" customHeight="1">
      <c r="A7219" s="833">
        <v>35</v>
      </c>
      <c r="B7219" t="s" s="834">
        <v>4773</v>
      </c>
      <c r="C7219" t="s" s="834">
        <v>617</v>
      </c>
      <c r="D7219" s="835">
        <v>46031</v>
      </c>
      <c r="E7219" t="s" s="834">
        <v>478</v>
      </c>
      <c r="F7219" t="s" s="834">
        <v>478</v>
      </c>
      <c r="G7219" s="570"/>
      <c r="H7219" s="570"/>
      <c r="I7219" s="570"/>
      <c r="J7219" s="570"/>
      <c r="K7219" s="570"/>
    </row>
    <row r="7220" ht="13.75" customHeight="1">
      <c r="A7220" s="833">
        <v>35</v>
      </c>
      <c r="B7220" t="s" s="834">
        <v>4773</v>
      </c>
      <c r="C7220" t="s" s="834">
        <v>617</v>
      </c>
      <c r="D7220" s="835">
        <v>46032</v>
      </c>
      <c r="E7220" t="s" s="834">
        <v>478</v>
      </c>
      <c r="F7220" t="s" s="834">
        <v>478</v>
      </c>
      <c r="G7220" s="570"/>
      <c r="H7220" s="570"/>
      <c r="I7220" s="570"/>
      <c r="J7220" s="570"/>
      <c r="K7220" s="570"/>
    </row>
    <row r="7221" ht="13.75" customHeight="1">
      <c r="A7221" s="833">
        <v>35</v>
      </c>
      <c r="B7221" t="s" s="834">
        <v>4773</v>
      </c>
      <c r="C7221" t="s" s="834">
        <v>617</v>
      </c>
      <c r="D7221" s="835">
        <v>46033</v>
      </c>
      <c r="E7221" t="s" s="834">
        <v>478</v>
      </c>
      <c r="F7221" t="s" s="834">
        <v>478</v>
      </c>
      <c r="G7221" s="570"/>
      <c r="H7221" s="570"/>
      <c r="I7221" s="570"/>
      <c r="J7221" s="570"/>
      <c r="K7221" s="570"/>
    </row>
    <row r="7222" ht="13.75" customHeight="1">
      <c r="A7222" s="833">
        <v>35</v>
      </c>
      <c r="B7222" t="s" s="834">
        <v>4773</v>
      </c>
      <c r="C7222" t="s" s="834">
        <v>617</v>
      </c>
      <c r="D7222" s="835">
        <v>46034</v>
      </c>
      <c r="E7222" s="836">
        <v>1.352592592592593</v>
      </c>
      <c r="F7222" s="836">
        <v>1.751747685185185</v>
      </c>
      <c r="G7222" s="570"/>
      <c r="H7222" s="570"/>
      <c r="I7222" s="570"/>
      <c r="J7222" s="570"/>
      <c r="K7222" s="570"/>
    </row>
    <row r="7223" ht="13.75" customHeight="1">
      <c r="A7223" t="s" s="834">
        <v>4780</v>
      </c>
      <c r="B7223" t="s" s="834">
        <v>4781</v>
      </c>
      <c r="C7223" t="s" s="834">
        <v>515</v>
      </c>
      <c r="D7223" s="570"/>
      <c r="E7223" s="570"/>
      <c r="F7223" s="570"/>
      <c r="G7223" s="570"/>
      <c r="H7223" s="570"/>
      <c r="I7223" s="570"/>
      <c r="J7223" s="570"/>
      <c r="K7223" s="570"/>
    </row>
    <row r="7224" ht="13.75" customHeight="1">
      <c r="A7224" s="833">
        <v>35</v>
      </c>
      <c r="B7224" t="s" s="834">
        <v>4773</v>
      </c>
      <c r="C7224" t="s" s="834">
        <v>617</v>
      </c>
      <c r="D7224" s="835">
        <v>46035</v>
      </c>
      <c r="E7224" s="836">
        <v>1.353356481481482</v>
      </c>
      <c r="F7224" s="836">
        <v>1.752511574074074</v>
      </c>
      <c r="G7224" s="570"/>
      <c r="H7224" s="570"/>
      <c r="I7224" s="570"/>
      <c r="J7224" s="570"/>
      <c r="K7224" s="570"/>
    </row>
    <row r="7225" ht="13.75" customHeight="1">
      <c r="A7225" t="s" s="834">
        <v>4782</v>
      </c>
      <c r="B7225" t="s" s="834">
        <v>4783</v>
      </c>
      <c r="C7225" t="s" s="834">
        <v>515</v>
      </c>
      <c r="D7225" s="570"/>
      <c r="E7225" s="570"/>
      <c r="F7225" s="570"/>
      <c r="G7225" s="570"/>
      <c r="H7225" s="570"/>
      <c r="I7225" s="570"/>
      <c r="J7225" s="570"/>
      <c r="K7225" s="570"/>
    </row>
    <row r="7226" ht="13.75" customHeight="1">
      <c r="A7226" s="833">
        <v>35</v>
      </c>
      <c r="B7226" t="s" s="834">
        <v>4773</v>
      </c>
      <c r="C7226" t="s" s="834">
        <v>617</v>
      </c>
      <c r="D7226" s="835">
        <v>46036</v>
      </c>
      <c r="E7226" s="836">
        <v>1.352199074074074</v>
      </c>
      <c r="F7226" s="836">
        <v>1.751782407407407</v>
      </c>
      <c r="G7226" s="570"/>
      <c r="H7226" s="570"/>
      <c r="I7226" s="570"/>
      <c r="J7226" s="570"/>
      <c r="K7226" s="570"/>
    </row>
    <row r="7227" ht="13.75" customHeight="1">
      <c r="A7227" t="s" s="834">
        <v>4784</v>
      </c>
      <c r="B7227" t="s" s="834">
        <v>4785</v>
      </c>
      <c r="C7227" t="s" s="834">
        <v>515</v>
      </c>
      <c r="D7227" s="570"/>
      <c r="E7227" s="570"/>
      <c r="F7227" s="570"/>
      <c r="G7227" s="570"/>
      <c r="H7227" s="570"/>
      <c r="I7227" s="570"/>
      <c r="J7227" s="570"/>
      <c r="K7227" s="570"/>
    </row>
    <row r="7228" ht="13.75" customHeight="1">
      <c r="A7228" s="833">
        <v>35</v>
      </c>
      <c r="B7228" t="s" s="834">
        <v>4773</v>
      </c>
      <c r="C7228" t="s" s="834">
        <v>617</v>
      </c>
      <c r="D7228" s="835">
        <v>46037</v>
      </c>
      <c r="E7228" s="836">
        <v>1.354328703703704</v>
      </c>
      <c r="F7228" s="836">
        <v>1.751550925925926</v>
      </c>
      <c r="G7228" s="570"/>
      <c r="H7228" s="570"/>
      <c r="I7228" s="570"/>
      <c r="J7228" s="570"/>
      <c r="K7228" s="570"/>
    </row>
    <row r="7229" ht="13.75" customHeight="1">
      <c r="A7229" t="s" s="834">
        <v>4786</v>
      </c>
      <c r="B7229" t="s" s="834">
        <v>4787</v>
      </c>
      <c r="C7229" t="s" s="834">
        <v>747</v>
      </c>
      <c r="D7229" s="570"/>
      <c r="E7229" s="570"/>
      <c r="F7229" s="570"/>
      <c r="G7229" s="570"/>
      <c r="H7229" s="570"/>
      <c r="I7229" s="570"/>
      <c r="J7229" s="570"/>
      <c r="K7229" s="570"/>
    </row>
    <row r="7230" ht="13.75" customHeight="1">
      <c r="A7230" s="833">
        <v>35</v>
      </c>
      <c r="B7230" t="s" s="834">
        <v>4773</v>
      </c>
      <c r="C7230" t="s" s="834">
        <v>617</v>
      </c>
      <c r="D7230" s="835">
        <v>46038</v>
      </c>
      <c r="E7230" t="s" s="834">
        <v>478</v>
      </c>
      <c r="F7230" t="s" s="834">
        <v>478</v>
      </c>
      <c r="G7230" s="570"/>
      <c r="H7230" s="570"/>
      <c r="I7230" s="570"/>
      <c r="J7230" s="570"/>
      <c r="K7230" s="570"/>
    </row>
    <row r="7231" ht="13.75" customHeight="1">
      <c r="A7231" s="833">
        <v>35</v>
      </c>
      <c r="B7231" t="s" s="834">
        <v>4773</v>
      </c>
      <c r="C7231" t="s" s="834">
        <v>617</v>
      </c>
      <c r="D7231" s="835">
        <v>46039</v>
      </c>
      <c r="E7231" t="s" s="834">
        <v>478</v>
      </c>
      <c r="F7231" t="s" s="834">
        <v>478</v>
      </c>
      <c r="G7231" s="570"/>
      <c r="H7231" s="570"/>
      <c r="I7231" s="570"/>
      <c r="J7231" s="570"/>
      <c r="K7231" s="570"/>
    </row>
    <row r="7232" ht="13.75" customHeight="1">
      <c r="A7232" s="833">
        <v>35</v>
      </c>
      <c r="B7232" t="s" s="834">
        <v>4773</v>
      </c>
      <c r="C7232" t="s" s="834">
        <v>617</v>
      </c>
      <c r="D7232" s="835">
        <v>46040</v>
      </c>
      <c r="E7232" t="s" s="834">
        <v>478</v>
      </c>
      <c r="F7232" t="s" s="834">
        <v>478</v>
      </c>
      <c r="G7232" s="570"/>
      <c r="H7232" s="570"/>
      <c r="I7232" s="570"/>
      <c r="J7232" s="570"/>
      <c r="K7232" s="570"/>
    </row>
    <row r="7233" ht="13.75" customHeight="1">
      <c r="A7233" s="833">
        <v>35</v>
      </c>
      <c r="B7233" t="s" s="834">
        <v>4773</v>
      </c>
      <c r="C7233" t="s" s="834">
        <v>617</v>
      </c>
      <c r="D7233" s="835">
        <v>46041</v>
      </c>
      <c r="E7233" s="836">
        <v>1.376412037037037</v>
      </c>
      <c r="F7233" s="836">
        <v>1.752094907407407</v>
      </c>
      <c r="G7233" s="570"/>
      <c r="H7233" s="570"/>
      <c r="I7233" s="570"/>
      <c r="J7233" s="570"/>
      <c r="K7233" s="570"/>
    </row>
    <row r="7234" ht="13.75" customHeight="1">
      <c r="A7234" t="s" s="834">
        <v>4788</v>
      </c>
      <c r="B7234" t="s" s="834">
        <v>4789</v>
      </c>
      <c r="C7234" t="s" s="834">
        <v>556</v>
      </c>
      <c r="D7234" s="570"/>
      <c r="E7234" s="570"/>
      <c r="F7234" s="570"/>
      <c r="G7234" s="570"/>
      <c r="H7234" s="570"/>
      <c r="I7234" s="570"/>
      <c r="J7234" s="570"/>
      <c r="K7234" s="570"/>
    </row>
    <row r="7235" ht="13.75" customHeight="1">
      <c r="A7235" s="833">
        <v>35</v>
      </c>
      <c r="B7235" t="s" s="834">
        <v>4773</v>
      </c>
      <c r="C7235" t="s" s="834">
        <v>617</v>
      </c>
      <c r="D7235" s="835">
        <v>46042</v>
      </c>
      <c r="E7235" s="836">
        <v>1.353194444444444</v>
      </c>
      <c r="F7235" s="836">
        <v>1.751701388888889</v>
      </c>
      <c r="G7235" s="570"/>
      <c r="H7235" s="570"/>
      <c r="I7235" s="570"/>
      <c r="J7235" s="570"/>
      <c r="K7235" s="570"/>
    </row>
    <row r="7236" ht="13.75" customHeight="1">
      <c r="A7236" t="s" s="834">
        <v>4790</v>
      </c>
      <c r="B7236" t="s" s="834">
        <v>4791</v>
      </c>
      <c r="C7236" t="s" s="834">
        <v>611</v>
      </c>
      <c r="D7236" s="570"/>
      <c r="E7236" s="570"/>
      <c r="F7236" s="570"/>
      <c r="G7236" s="570"/>
      <c r="H7236" s="570"/>
      <c r="I7236" s="570"/>
      <c r="J7236" s="570"/>
      <c r="K7236" s="570"/>
    </row>
    <row r="7237" ht="13.75" customHeight="1">
      <c r="A7237" s="833">
        <v>35</v>
      </c>
      <c r="B7237" t="s" s="834">
        <v>4773</v>
      </c>
      <c r="C7237" t="s" s="834">
        <v>617</v>
      </c>
      <c r="D7237" s="835">
        <v>46043</v>
      </c>
      <c r="E7237" s="836">
        <v>1.357361111111111</v>
      </c>
      <c r="F7237" s="836">
        <v>1.75162037037037</v>
      </c>
      <c r="G7237" s="570"/>
      <c r="H7237" s="570"/>
      <c r="I7237" s="570"/>
      <c r="J7237" s="570"/>
      <c r="K7237" s="570"/>
    </row>
    <row r="7238" ht="13.75" customHeight="1">
      <c r="A7238" t="s" s="834">
        <v>4792</v>
      </c>
      <c r="B7238" t="s" s="834">
        <v>4793</v>
      </c>
      <c r="C7238" t="s" s="834">
        <v>512</v>
      </c>
      <c r="D7238" s="570"/>
      <c r="E7238" s="570"/>
      <c r="F7238" s="570"/>
      <c r="G7238" s="570"/>
      <c r="H7238" s="570"/>
      <c r="I7238" s="570"/>
      <c r="J7238" s="570"/>
      <c r="K7238" s="570"/>
    </row>
    <row r="7239" ht="13.75" customHeight="1">
      <c r="A7239" s="833">
        <v>35</v>
      </c>
      <c r="B7239" t="s" s="834">
        <v>4773</v>
      </c>
      <c r="C7239" t="s" s="834">
        <v>617</v>
      </c>
      <c r="D7239" s="835">
        <v>46044</v>
      </c>
      <c r="E7239" s="836">
        <v>1.352939814814815</v>
      </c>
      <c r="F7239" s="836">
        <v>1.751331018518518</v>
      </c>
      <c r="G7239" s="570"/>
      <c r="H7239" s="570"/>
      <c r="I7239" s="570"/>
      <c r="J7239" s="570"/>
      <c r="K7239" s="570"/>
    </row>
    <row r="7240" ht="13.75" customHeight="1">
      <c r="A7240" t="s" s="834">
        <v>4794</v>
      </c>
      <c r="B7240" t="s" s="834">
        <v>4795</v>
      </c>
      <c r="C7240" t="s" s="834">
        <v>611</v>
      </c>
      <c r="D7240" s="570"/>
      <c r="E7240" s="570"/>
      <c r="F7240" s="570"/>
      <c r="G7240" s="570"/>
      <c r="H7240" s="570"/>
      <c r="I7240" s="570"/>
      <c r="J7240" s="570"/>
      <c r="K7240" s="570"/>
    </row>
    <row r="7241" ht="13.75" customHeight="1">
      <c r="A7241" s="833">
        <v>35</v>
      </c>
      <c r="B7241" t="s" s="834">
        <v>4773</v>
      </c>
      <c r="C7241" t="s" s="834">
        <v>617</v>
      </c>
      <c r="D7241" s="835">
        <v>46045</v>
      </c>
      <c r="E7241" t="s" s="834">
        <v>478</v>
      </c>
      <c r="F7241" t="s" s="834">
        <v>478</v>
      </c>
      <c r="G7241" s="570"/>
      <c r="H7241" s="570"/>
      <c r="I7241" s="570"/>
      <c r="J7241" s="570"/>
      <c r="K7241" s="570"/>
    </row>
    <row r="7242" ht="13.75" customHeight="1">
      <c r="A7242" s="833">
        <v>35</v>
      </c>
      <c r="B7242" t="s" s="834">
        <v>4773</v>
      </c>
      <c r="C7242" t="s" s="834">
        <v>617</v>
      </c>
      <c r="D7242" s="835">
        <v>46046</v>
      </c>
      <c r="E7242" t="s" s="834">
        <v>478</v>
      </c>
      <c r="F7242" t="s" s="834">
        <v>478</v>
      </c>
      <c r="G7242" s="570"/>
      <c r="H7242" s="570"/>
      <c r="I7242" s="570"/>
      <c r="J7242" s="570"/>
      <c r="K7242" s="570"/>
    </row>
    <row r="7243" ht="13.75" customHeight="1">
      <c r="A7243" s="833">
        <v>35</v>
      </c>
      <c r="B7243" t="s" s="834">
        <v>4773</v>
      </c>
      <c r="C7243" t="s" s="834">
        <v>617</v>
      </c>
      <c r="D7243" s="835">
        <v>46047</v>
      </c>
      <c r="E7243" t="s" s="834">
        <v>478</v>
      </c>
      <c r="F7243" t="s" s="834">
        <v>478</v>
      </c>
      <c r="G7243" s="570"/>
      <c r="H7243" s="570"/>
      <c r="I7243" s="570"/>
      <c r="J7243" s="570"/>
      <c r="K7243" s="570"/>
    </row>
    <row r="7244" ht="13.75" customHeight="1">
      <c r="A7244" s="833">
        <v>35</v>
      </c>
      <c r="B7244" t="s" s="834">
        <v>4773</v>
      </c>
      <c r="C7244" t="s" s="834">
        <v>617</v>
      </c>
      <c r="D7244" s="835">
        <v>46048</v>
      </c>
      <c r="E7244" s="836">
        <v>1.352291666666667</v>
      </c>
      <c r="F7244" s="836">
        <v>1.751851851851852</v>
      </c>
      <c r="G7244" s="570"/>
      <c r="H7244" s="570"/>
      <c r="I7244" s="570"/>
      <c r="J7244" s="570"/>
      <c r="K7244" s="570"/>
    </row>
    <row r="7245" ht="13.75" customHeight="1">
      <c r="A7245" t="s" s="834">
        <v>4796</v>
      </c>
      <c r="B7245" t="s" s="834">
        <v>4797</v>
      </c>
      <c r="C7245" t="s" s="834">
        <v>515</v>
      </c>
      <c r="D7245" s="570"/>
      <c r="E7245" s="570"/>
      <c r="F7245" s="570"/>
      <c r="G7245" s="570"/>
      <c r="H7245" s="570"/>
      <c r="I7245" s="570"/>
      <c r="J7245" s="570"/>
      <c r="K7245" s="570"/>
    </row>
    <row r="7246" ht="13.75" customHeight="1">
      <c r="A7246" s="833">
        <v>35</v>
      </c>
      <c r="B7246" t="s" s="834">
        <v>4773</v>
      </c>
      <c r="C7246" t="s" s="834">
        <v>617</v>
      </c>
      <c r="D7246" s="835">
        <v>46049</v>
      </c>
      <c r="E7246" s="836">
        <v>1.352673611111111</v>
      </c>
      <c r="F7246" s="836">
        <v>1.751747685185185</v>
      </c>
      <c r="G7246" s="570"/>
      <c r="H7246" s="570"/>
      <c r="I7246" s="570"/>
      <c r="J7246" s="570"/>
      <c r="K7246" s="570"/>
    </row>
    <row r="7247" ht="13.75" customHeight="1">
      <c r="A7247" t="s" s="834">
        <v>4798</v>
      </c>
      <c r="B7247" t="s" s="834">
        <v>4799</v>
      </c>
      <c r="C7247" t="s" s="834">
        <v>515</v>
      </c>
      <c r="D7247" s="570"/>
      <c r="E7247" s="570"/>
      <c r="F7247" s="570"/>
      <c r="G7247" s="570"/>
      <c r="H7247" s="570"/>
      <c r="I7247" s="570"/>
      <c r="J7247" s="570"/>
      <c r="K7247" s="570"/>
    </row>
    <row r="7248" ht="13.75" customHeight="1">
      <c r="A7248" s="833">
        <v>35</v>
      </c>
      <c r="B7248" t="s" s="834">
        <v>4773</v>
      </c>
      <c r="C7248" t="s" s="834">
        <v>617</v>
      </c>
      <c r="D7248" s="835">
        <v>46050</v>
      </c>
      <c r="E7248" s="836">
        <v>1.352476851851852</v>
      </c>
      <c r="F7248" s="836">
        <v>1.752233796296296</v>
      </c>
      <c r="G7248" s="570"/>
      <c r="H7248" s="570"/>
      <c r="I7248" s="570"/>
      <c r="J7248" s="570"/>
      <c r="K7248" s="570"/>
    </row>
    <row r="7249" ht="13.75" customHeight="1">
      <c r="A7249" t="s" s="834">
        <v>4800</v>
      </c>
      <c r="B7249" t="s" s="834">
        <v>4801</v>
      </c>
      <c r="C7249" t="s" s="834">
        <v>759</v>
      </c>
      <c r="D7249" s="570"/>
      <c r="E7249" s="570"/>
      <c r="F7249" s="570"/>
      <c r="G7249" s="570"/>
      <c r="H7249" s="570"/>
      <c r="I7249" s="570"/>
      <c r="J7249" s="570"/>
      <c r="K7249" s="570"/>
    </row>
    <row r="7250" ht="13.75" customHeight="1">
      <c r="A7250" s="833">
        <v>35</v>
      </c>
      <c r="B7250" t="s" s="834">
        <v>4773</v>
      </c>
      <c r="C7250" t="s" s="834">
        <v>617</v>
      </c>
      <c r="D7250" s="835">
        <v>46051</v>
      </c>
      <c r="E7250" s="836">
        <v>1.353298611111111</v>
      </c>
      <c r="F7250" s="836">
        <v>1.753090277777778</v>
      </c>
      <c r="G7250" s="570"/>
      <c r="H7250" s="570"/>
      <c r="I7250" s="570"/>
      <c r="J7250" s="570"/>
      <c r="K7250" s="570"/>
    </row>
    <row r="7251" ht="13.75" customHeight="1">
      <c r="A7251" t="s" s="834">
        <v>4802</v>
      </c>
      <c r="B7251" t="s" s="834">
        <v>4803</v>
      </c>
      <c r="C7251" t="s" s="834">
        <v>759</v>
      </c>
      <c r="D7251" s="570"/>
      <c r="E7251" s="570"/>
      <c r="F7251" s="570"/>
      <c r="G7251" s="570"/>
      <c r="H7251" s="570"/>
      <c r="I7251" s="570"/>
      <c r="J7251" s="570"/>
      <c r="K7251" s="570"/>
    </row>
    <row r="7252" ht="13.75" customHeight="1">
      <c r="A7252" s="833">
        <v>35</v>
      </c>
      <c r="B7252" t="s" s="834">
        <v>4773</v>
      </c>
      <c r="C7252" t="s" s="834">
        <v>617</v>
      </c>
      <c r="D7252" s="835">
        <v>46052</v>
      </c>
      <c r="E7252" t="s" s="834">
        <v>478</v>
      </c>
      <c r="F7252" t="s" s="834">
        <v>478</v>
      </c>
      <c r="G7252" s="570"/>
      <c r="H7252" s="570"/>
      <c r="I7252" s="570"/>
      <c r="J7252" s="570"/>
      <c r="K7252" s="570"/>
    </row>
    <row r="7253" ht="13.75" customHeight="1">
      <c r="A7253" s="833">
        <v>35</v>
      </c>
      <c r="B7253" t="s" s="834">
        <v>4773</v>
      </c>
      <c r="C7253" t="s" s="834">
        <v>617</v>
      </c>
      <c r="D7253" s="835">
        <v>46053</v>
      </c>
      <c r="E7253" t="s" s="834">
        <v>478</v>
      </c>
      <c r="F7253" t="s" s="834">
        <v>478</v>
      </c>
      <c r="G7253" s="570"/>
      <c r="H7253" s="570"/>
      <c r="I7253" s="570"/>
      <c r="J7253" s="570"/>
      <c r="K7253" s="570"/>
    </row>
    <row r="7254" ht="13.75" customHeight="1">
      <c r="A7254" s="833">
        <v>35</v>
      </c>
      <c r="B7254" t="s" s="834">
        <v>4773</v>
      </c>
      <c r="C7254" t="s" s="834">
        <v>617</v>
      </c>
      <c r="D7254" s="835">
        <v>46054</v>
      </c>
      <c r="E7254" t="s" s="834">
        <v>478</v>
      </c>
      <c r="F7254" t="s" s="834">
        <v>478</v>
      </c>
      <c r="G7254" s="570"/>
      <c r="H7254" s="570"/>
      <c r="I7254" s="570"/>
      <c r="J7254" s="570"/>
      <c r="K7254" s="570"/>
    </row>
    <row r="7255" ht="13.75" customHeight="1">
      <c r="A7255" s="833">
        <v>371</v>
      </c>
      <c r="B7255" t="s" s="834">
        <v>4804</v>
      </c>
      <c r="C7255" t="s" s="834">
        <v>1571</v>
      </c>
      <c r="D7255" s="835">
        <v>46023</v>
      </c>
      <c r="E7255" t="s" s="834">
        <v>478</v>
      </c>
      <c r="F7255" t="s" s="834">
        <v>478</v>
      </c>
      <c r="G7255" s="570"/>
      <c r="H7255" s="570"/>
      <c r="I7255" s="570"/>
      <c r="J7255" s="570"/>
      <c r="K7255" s="570"/>
    </row>
    <row r="7256" ht="13.75" customHeight="1">
      <c r="A7256" s="833">
        <v>371</v>
      </c>
      <c r="B7256" t="s" s="834">
        <v>4804</v>
      </c>
      <c r="C7256" t="s" s="834">
        <v>1571</v>
      </c>
      <c r="D7256" s="835">
        <v>46024</v>
      </c>
      <c r="E7256" t="s" s="834">
        <v>478</v>
      </c>
      <c r="F7256" t="s" s="834">
        <v>478</v>
      </c>
      <c r="G7256" s="570"/>
      <c r="H7256" s="570"/>
      <c r="I7256" s="570"/>
      <c r="J7256" s="570"/>
      <c r="K7256" s="570"/>
    </row>
    <row r="7257" ht="13.75" customHeight="1">
      <c r="A7257" s="833">
        <v>371</v>
      </c>
      <c r="B7257" t="s" s="834">
        <v>4804</v>
      </c>
      <c r="C7257" t="s" s="834">
        <v>1571</v>
      </c>
      <c r="D7257" s="835">
        <v>46025</v>
      </c>
      <c r="E7257" t="s" s="834">
        <v>478</v>
      </c>
      <c r="F7257" t="s" s="834">
        <v>478</v>
      </c>
      <c r="G7257" s="570"/>
      <c r="H7257" s="570"/>
      <c r="I7257" s="570"/>
      <c r="J7257" s="570"/>
      <c r="K7257" s="570"/>
    </row>
    <row r="7258" ht="13.75" customHeight="1">
      <c r="A7258" s="833">
        <v>371</v>
      </c>
      <c r="B7258" t="s" s="834">
        <v>4804</v>
      </c>
      <c r="C7258" t="s" s="834">
        <v>1571</v>
      </c>
      <c r="D7258" s="835">
        <v>46026</v>
      </c>
      <c r="E7258" t="s" s="834">
        <v>478</v>
      </c>
      <c r="F7258" t="s" s="834">
        <v>478</v>
      </c>
      <c r="G7258" s="570"/>
      <c r="H7258" s="570"/>
      <c r="I7258" s="570"/>
      <c r="J7258" s="570"/>
      <c r="K7258" s="570"/>
    </row>
    <row r="7259" ht="13.75" customHeight="1">
      <c r="A7259" s="833">
        <v>371</v>
      </c>
      <c r="B7259" t="s" s="834">
        <v>4804</v>
      </c>
      <c r="C7259" t="s" s="834">
        <v>1571</v>
      </c>
      <c r="D7259" s="835">
        <v>46027</v>
      </c>
      <c r="E7259" t="s" s="834">
        <v>478</v>
      </c>
      <c r="F7259" t="s" s="834">
        <v>478</v>
      </c>
      <c r="G7259" s="570"/>
      <c r="H7259" s="570"/>
      <c r="I7259" s="570"/>
      <c r="J7259" s="570"/>
      <c r="K7259" s="570"/>
    </row>
    <row r="7260" ht="13.75" customHeight="1">
      <c r="A7260" s="833">
        <v>371</v>
      </c>
      <c r="B7260" t="s" s="834">
        <v>4804</v>
      </c>
      <c r="C7260" t="s" s="834">
        <v>1571</v>
      </c>
      <c r="D7260" s="835">
        <v>46028</v>
      </c>
      <c r="E7260" t="s" s="834">
        <v>478</v>
      </c>
      <c r="F7260" t="s" s="834">
        <v>478</v>
      </c>
      <c r="G7260" s="570"/>
      <c r="H7260" s="570"/>
      <c r="I7260" s="570"/>
      <c r="J7260" s="570"/>
      <c r="K7260" s="570"/>
    </row>
    <row r="7261" ht="13.75" customHeight="1">
      <c r="A7261" s="833">
        <v>371</v>
      </c>
      <c r="B7261" t="s" s="834">
        <v>4804</v>
      </c>
      <c r="C7261" t="s" s="834">
        <v>1571</v>
      </c>
      <c r="D7261" s="835">
        <v>46029</v>
      </c>
      <c r="E7261" t="s" s="834">
        <v>478</v>
      </c>
      <c r="F7261" t="s" s="834">
        <v>478</v>
      </c>
      <c r="G7261" s="570"/>
      <c r="H7261" s="570"/>
      <c r="I7261" s="570"/>
      <c r="J7261" s="570"/>
      <c r="K7261" s="570"/>
    </row>
    <row r="7262" ht="13.75" customHeight="1">
      <c r="A7262" s="833">
        <v>371</v>
      </c>
      <c r="B7262" t="s" s="834">
        <v>4804</v>
      </c>
      <c r="C7262" t="s" s="834">
        <v>1571</v>
      </c>
      <c r="D7262" s="835">
        <v>46030</v>
      </c>
      <c r="E7262" t="s" s="834">
        <v>478</v>
      </c>
      <c r="F7262" t="s" s="834">
        <v>478</v>
      </c>
      <c r="G7262" s="570"/>
      <c r="H7262" s="570"/>
      <c r="I7262" s="570"/>
      <c r="J7262" s="570"/>
      <c r="K7262" s="570"/>
    </row>
    <row r="7263" ht="13.75" customHeight="1">
      <c r="A7263" s="833">
        <v>371</v>
      </c>
      <c r="B7263" t="s" s="834">
        <v>4804</v>
      </c>
      <c r="C7263" t="s" s="834">
        <v>1571</v>
      </c>
      <c r="D7263" s="835">
        <v>46031</v>
      </c>
      <c r="E7263" t="s" s="834">
        <v>478</v>
      </c>
      <c r="F7263" t="s" s="834">
        <v>478</v>
      </c>
      <c r="G7263" s="570"/>
      <c r="H7263" s="570"/>
      <c r="I7263" s="570"/>
      <c r="J7263" s="570"/>
      <c r="K7263" s="570"/>
    </row>
    <row r="7264" ht="13.75" customHeight="1">
      <c r="A7264" s="833">
        <v>371</v>
      </c>
      <c r="B7264" t="s" s="834">
        <v>4804</v>
      </c>
      <c r="C7264" t="s" s="834">
        <v>1571</v>
      </c>
      <c r="D7264" s="835">
        <v>46032</v>
      </c>
      <c r="E7264" t="s" s="834">
        <v>478</v>
      </c>
      <c r="F7264" t="s" s="834">
        <v>478</v>
      </c>
      <c r="G7264" s="570"/>
      <c r="H7264" s="570"/>
      <c r="I7264" s="570"/>
      <c r="J7264" s="570"/>
      <c r="K7264" s="570"/>
    </row>
    <row r="7265" ht="13.75" customHeight="1">
      <c r="A7265" s="833">
        <v>371</v>
      </c>
      <c r="B7265" t="s" s="834">
        <v>4804</v>
      </c>
      <c r="C7265" t="s" s="834">
        <v>1571</v>
      </c>
      <c r="D7265" s="835">
        <v>46033</v>
      </c>
      <c r="E7265" t="s" s="834">
        <v>478</v>
      </c>
      <c r="F7265" t="s" s="834">
        <v>478</v>
      </c>
      <c r="G7265" s="570"/>
      <c r="H7265" s="570"/>
      <c r="I7265" s="570"/>
      <c r="J7265" s="570"/>
      <c r="K7265" s="570"/>
    </row>
    <row r="7266" ht="13.75" customHeight="1">
      <c r="A7266" s="833">
        <v>371</v>
      </c>
      <c r="B7266" t="s" s="834">
        <v>4804</v>
      </c>
      <c r="C7266" t="s" s="834">
        <v>1571</v>
      </c>
      <c r="D7266" s="835">
        <v>46034</v>
      </c>
      <c r="E7266" t="s" s="834">
        <v>478</v>
      </c>
      <c r="F7266" t="s" s="834">
        <v>478</v>
      </c>
      <c r="G7266" s="570"/>
      <c r="H7266" s="570"/>
      <c r="I7266" s="570"/>
      <c r="J7266" s="570"/>
      <c r="K7266" s="570"/>
    </row>
    <row r="7267" ht="13.75" customHeight="1">
      <c r="A7267" s="833">
        <v>371</v>
      </c>
      <c r="B7267" t="s" s="834">
        <v>4804</v>
      </c>
      <c r="C7267" t="s" s="834">
        <v>1571</v>
      </c>
      <c r="D7267" s="835">
        <v>46035</v>
      </c>
      <c r="E7267" t="s" s="834">
        <v>478</v>
      </c>
      <c r="F7267" t="s" s="834">
        <v>478</v>
      </c>
      <c r="G7267" s="570"/>
      <c r="H7267" s="570"/>
      <c r="I7267" s="570"/>
      <c r="J7267" s="570"/>
      <c r="K7267" s="570"/>
    </row>
    <row r="7268" ht="13.75" customHeight="1">
      <c r="A7268" s="833">
        <v>371</v>
      </c>
      <c r="B7268" t="s" s="834">
        <v>4804</v>
      </c>
      <c r="C7268" t="s" s="834">
        <v>1571</v>
      </c>
      <c r="D7268" s="835">
        <v>46036</v>
      </c>
      <c r="E7268" t="s" s="834">
        <v>478</v>
      </c>
      <c r="F7268" t="s" s="834">
        <v>478</v>
      </c>
      <c r="G7268" s="570"/>
      <c r="H7268" s="570"/>
      <c r="I7268" s="570"/>
      <c r="J7268" s="570"/>
      <c r="K7268" s="570"/>
    </row>
    <row r="7269" ht="13.75" customHeight="1">
      <c r="A7269" s="833">
        <v>371</v>
      </c>
      <c r="B7269" t="s" s="834">
        <v>4804</v>
      </c>
      <c r="C7269" t="s" s="834">
        <v>1571</v>
      </c>
      <c r="D7269" s="835">
        <v>46037</v>
      </c>
      <c r="E7269" t="s" s="834">
        <v>478</v>
      </c>
      <c r="F7269" t="s" s="834">
        <v>478</v>
      </c>
      <c r="G7269" s="570"/>
      <c r="H7269" s="570"/>
      <c r="I7269" s="570"/>
      <c r="J7269" s="570"/>
      <c r="K7269" s="570"/>
    </row>
    <row r="7270" ht="13.75" customHeight="1">
      <c r="A7270" s="833">
        <v>371</v>
      </c>
      <c r="B7270" t="s" s="834">
        <v>4804</v>
      </c>
      <c r="C7270" t="s" s="834">
        <v>1571</v>
      </c>
      <c r="D7270" s="835">
        <v>46038</v>
      </c>
      <c r="E7270" t="s" s="834">
        <v>478</v>
      </c>
      <c r="F7270" t="s" s="834">
        <v>478</v>
      </c>
      <c r="G7270" s="570"/>
      <c r="H7270" s="570"/>
      <c r="I7270" s="570"/>
      <c r="J7270" s="570"/>
      <c r="K7270" s="570"/>
    </row>
    <row r="7271" ht="13.75" customHeight="1">
      <c r="A7271" s="833">
        <v>371</v>
      </c>
      <c r="B7271" t="s" s="834">
        <v>4804</v>
      </c>
      <c r="C7271" t="s" s="834">
        <v>1571</v>
      </c>
      <c r="D7271" s="835">
        <v>46039</v>
      </c>
      <c r="E7271" t="s" s="834">
        <v>478</v>
      </c>
      <c r="F7271" t="s" s="834">
        <v>478</v>
      </c>
      <c r="G7271" s="570"/>
      <c r="H7271" s="570"/>
      <c r="I7271" s="570"/>
      <c r="J7271" s="570"/>
      <c r="K7271" s="570"/>
    </row>
    <row r="7272" ht="13.75" customHeight="1">
      <c r="A7272" s="833">
        <v>371</v>
      </c>
      <c r="B7272" t="s" s="834">
        <v>4804</v>
      </c>
      <c r="C7272" t="s" s="834">
        <v>1571</v>
      </c>
      <c r="D7272" s="835">
        <v>46040</v>
      </c>
      <c r="E7272" t="s" s="834">
        <v>478</v>
      </c>
      <c r="F7272" t="s" s="834">
        <v>478</v>
      </c>
      <c r="G7272" s="570"/>
      <c r="H7272" s="570"/>
      <c r="I7272" s="570"/>
      <c r="J7272" s="570"/>
      <c r="K7272" s="570"/>
    </row>
    <row r="7273" ht="13.75" customHeight="1">
      <c r="A7273" s="833">
        <v>371</v>
      </c>
      <c r="B7273" t="s" s="834">
        <v>4804</v>
      </c>
      <c r="C7273" t="s" s="834">
        <v>1571</v>
      </c>
      <c r="D7273" s="835">
        <v>46041</v>
      </c>
      <c r="E7273" t="s" s="834">
        <v>478</v>
      </c>
      <c r="F7273" t="s" s="834">
        <v>478</v>
      </c>
      <c r="G7273" s="570"/>
      <c r="H7273" s="570"/>
      <c r="I7273" s="570"/>
      <c r="J7273" s="570"/>
      <c r="K7273" s="570"/>
    </row>
    <row r="7274" ht="13.75" customHeight="1">
      <c r="A7274" s="833">
        <v>371</v>
      </c>
      <c r="B7274" t="s" s="834">
        <v>4804</v>
      </c>
      <c r="C7274" t="s" s="834">
        <v>1571</v>
      </c>
      <c r="D7274" s="835">
        <v>46042</v>
      </c>
      <c r="E7274" t="s" s="834">
        <v>478</v>
      </c>
      <c r="F7274" t="s" s="834">
        <v>478</v>
      </c>
      <c r="G7274" s="570"/>
      <c r="H7274" s="570"/>
      <c r="I7274" s="570"/>
      <c r="J7274" s="570"/>
      <c r="K7274" s="570"/>
    </row>
    <row r="7275" ht="13.75" customHeight="1">
      <c r="A7275" s="833">
        <v>371</v>
      </c>
      <c r="B7275" t="s" s="834">
        <v>4804</v>
      </c>
      <c r="C7275" t="s" s="834">
        <v>1571</v>
      </c>
      <c r="D7275" s="835">
        <v>46043</v>
      </c>
      <c r="E7275" t="s" s="834">
        <v>478</v>
      </c>
      <c r="F7275" t="s" s="834">
        <v>478</v>
      </c>
      <c r="G7275" s="570"/>
      <c r="H7275" s="570"/>
      <c r="I7275" s="570"/>
      <c r="J7275" s="570"/>
      <c r="K7275" s="570"/>
    </row>
    <row r="7276" ht="13.75" customHeight="1">
      <c r="A7276" s="833">
        <v>371</v>
      </c>
      <c r="B7276" t="s" s="834">
        <v>4804</v>
      </c>
      <c r="C7276" t="s" s="834">
        <v>1571</v>
      </c>
      <c r="D7276" s="835">
        <v>46044</v>
      </c>
      <c r="E7276" t="s" s="834">
        <v>478</v>
      </c>
      <c r="F7276" t="s" s="834">
        <v>478</v>
      </c>
      <c r="G7276" s="570"/>
      <c r="H7276" s="570"/>
      <c r="I7276" s="570"/>
      <c r="J7276" s="570"/>
      <c r="K7276" s="570"/>
    </row>
    <row r="7277" ht="13.75" customHeight="1">
      <c r="A7277" s="833">
        <v>371</v>
      </c>
      <c r="B7277" t="s" s="834">
        <v>4804</v>
      </c>
      <c r="C7277" t="s" s="834">
        <v>1571</v>
      </c>
      <c r="D7277" s="835">
        <v>46045</v>
      </c>
      <c r="E7277" t="s" s="834">
        <v>478</v>
      </c>
      <c r="F7277" t="s" s="834">
        <v>478</v>
      </c>
      <c r="G7277" s="570"/>
      <c r="H7277" s="570"/>
      <c r="I7277" s="570"/>
      <c r="J7277" s="570"/>
      <c r="K7277" s="570"/>
    </row>
    <row r="7278" ht="13.75" customHeight="1">
      <c r="A7278" s="833">
        <v>371</v>
      </c>
      <c r="B7278" t="s" s="834">
        <v>4804</v>
      </c>
      <c r="C7278" t="s" s="834">
        <v>1571</v>
      </c>
      <c r="D7278" s="835">
        <v>46046</v>
      </c>
      <c r="E7278" t="s" s="834">
        <v>478</v>
      </c>
      <c r="F7278" t="s" s="834">
        <v>478</v>
      </c>
      <c r="G7278" s="570"/>
      <c r="H7278" s="570"/>
      <c r="I7278" s="570"/>
      <c r="J7278" s="570"/>
      <c r="K7278" s="570"/>
    </row>
    <row r="7279" ht="13.75" customHeight="1">
      <c r="A7279" s="833">
        <v>371</v>
      </c>
      <c r="B7279" t="s" s="834">
        <v>4804</v>
      </c>
      <c r="C7279" t="s" s="834">
        <v>1571</v>
      </c>
      <c r="D7279" s="835">
        <v>46047</v>
      </c>
      <c r="E7279" t="s" s="834">
        <v>478</v>
      </c>
      <c r="F7279" t="s" s="834">
        <v>478</v>
      </c>
      <c r="G7279" s="570"/>
      <c r="H7279" s="570"/>
      <c r="I7279" s="570"/>
      <c r="J7279" s="570"/>
      <c r="K7279" s="570"/>
    </row>
    <row r="7280" ht="13.75" customHeight="1">
      <c r="A7280" s="833">
        <v>371</v>
      </c>
      <c r="B7280" t="s" s="834">
        <v>4804</v>
      </c>
      <c r="C7280" t="s" s="834">
        <v>1571</v>
      </c>
      <c r="D7280" s="835">
        <v>46048</v>
      </c>
      <c r="E7280" t="s" s="834">
        <v>478</v>
      </c>
      <c r="F7280" t="s" s="834">
        <v>478</v>
      </c>
      <c r="G7280" s="570"/>
      <c r="H7280" s="570"/>
      <c r="I7280" s="570"/>
      <c r="J7280" s="570"/>
      <c r="K7280" s="570"/>
    </row>
    <row r="7281" ht="13.75" customHeight="1">
      <c r="A7281" s="833">
        <v>371</v>
      </c>
      <c r="B7281" t="s" s="834">
        <v>4804</v>
      </c>
      <c r="C7281" t="s" s="834">
        <v>1571</v>
      </c>
      <c r="D7281" s="835">
        <v>46049</v>
      </c>
      <c r="E7281" t="s" s="834">
        <v>478</v>
      </c>
      <c r="F7281" t="s" s="834">
        <v>478</v>
      </c>
      <c r="G7281" s="570"/>
      <c r="H7281" s="570"/>
      <c r="I7281" s="570"/>
      <c r="J7281" s="570"/>
      <c r="K7281" s="570"/>
    </row>
    <row r="7282" ht="13.75" customHeight="1">
      <c r="A7282" s="833">
        <v>371</v>
      </c>
      <c r="B7282" t="s" s="834">
        <v>4804</v>
      </c>
      <c r="C7282" t="s" s="834">
        <v>1571</v>
      </c>
      <c r="D7282" s="835">
        <v>46050</v>
      </c>
      <c r="E7282" t="s" s="834">
        <v>478</v>
      </c>
      <c r="F7282" t="s" s="834">
        <v>478</v>
      </c>
      <c r="G7282" s="570"/>
      <c r="H7282" s="570"/>
      <c r="I7282" s="570"/>
      <c r="J7282" s="570"/>
      <c r="K7282" s="570"/>
    </row>
    <row r="7283" ht="13.75" customHeight="1">
      <c r="A7283" s="833">
        <v>371</v>
      </c>
      <c r="B7283" t="s" s="834">
        <v>4804</v>
      </c>
      <c r="C7283" t="s" s="834">
        <v>1571</v>
      </c>
      <c r="D7283" s="835">
        <v>46051</v>
      </c>
      <c r="E7283" t="s" s="834">
        <v>478</v>
      </c>
      <c r="F7283" t="s" s="834">
        <v>478</v>
      </c>
      <c r="G7283" s="570"/>
      <c r="H7283" s="570"/>
      <c r="I7283" s="570"/>
      <c r="J7283" s="570"/>
      <c r="K7283" s="570"/>
    </row>
    <row r="7284" ht="13.75" customHeight="1">
      <c r="A7284" s="833">
        <v>371</v>
      </c>
      <c r="B7284" t="s" s="834">
        <v>4804</v>
      </c>
      <c r="C7284" t="s" s="834">
        <v>1571</v>
      </c>
      <c r="D7284" s="835">
        <v>46052</v>
      </c>
      <c r="E7284" t="s" s="834">
        <v>478</v>
      </c>
      <c r="F7284" t="s" s="834">
        <v>478</v>
      </c>
      <c r="G7284" s="570"/>
      <c r="H7284" s="570"/>
      <c r="I7284" s="570"/>
      <c r="J7284" s="570"/>
      <c r="K7284" s="570"/>
    </row>
    <row r="7285" ht="13.75" customHeight="1">
      <c r="A7285" s="833">
        <v>371</v>
      </c>
      <c r="B7285" t="s" s="834">
        <v>4804</v>
      </c>
      <c r="C7285" t="s" s="834">
        <v>1571</v>
      </c>
      <c r="D7285" s="835">
        <v>46053</v>
      </c>
      <c r="E7285" t="s" s="834">
        <v>478</v>
      </c>
      <c r="F7285" t="s" s="834">
        <v>478</v>
      </c>
      <c r="G7285" s="570"/>
      <c r="H7285" s="570"/>
      <c r="I7285" s="570"/>
      <c r="J7285" s="570"/>
      <c r="K7285" s="570"/>
    </row>
    <row r="7286" ht="13.75" customHeight="1">
      <c r="A7286" s="833">
        <v>371</v>
      </c>
      <c r="B7286" t="s" s="834">
        <v>4804</v>
      </c>
      <c r="C7286" t="s" s="834">
        <v>1571</v>
      </c>
      <c r="D7286" s="835">
        <v>46054</v>
      </c>
      <c r="E7286" t="s" s="834">
        <v>478</v>
      </c>
      <c r="F7286" t="s" s="834">
        <v>478</v>
      </c>
      <c r="G7286" s="570"/>
      <c r="H7286" s="570"/>
      <c r="I7286" s="570"/>
      <c r="J7286" s="570"/>
      <c r="K7286" s="570"/>
    </row>
    <row r="7287" ht="13.75" customHeight="1">
      <c r="A7287" s="833">
        <v>372</v>
      </c>
      <c r="B7287" t="s" s="834">
        <v>4805</v>
      </c>
      <c r="C7287" t="s" s="834">
        <v>1571</v>
      </c>
      <c r="D7287" s="835">
        <v>46023</v>
      </c>
      <c r="E7287" t="s" s="834">
        <v>478</v>
      </c>
      <c r="F7287" t="s" s="834">
        <v>478</v>
      </c>
      <c r="G7287" s="570"/>
      <c r="H7287" s="570"/>
      <c r="I7287" s="570"/>
      <c r="J7287" s="570"/>
      <c r="K7287" s="570"/>
    </row>
    <row r="7288" ht="13.75" customHeight="1">
      <c r="A7288" s="833">
        <v>372</v>
      </c>
      <c r="B7288" t="s" s="834">
        <v>4805</v>
      </c>
      <c r="C7288" t="s" s="834">
        <v>1571</v>
      </c>
      <c r="D7288" s="835">
        <v>46024</v>
      </c>
      <c r="E7288" t="s" s="834">
        <v>478</v>
      </c>
      <c r="F7288" t="s" s="834">
        <v>478</v>
      </c>
      <c r="G7288" s="570"/>
      <c r="H7288" s="570"/>
      <c r="I7288" s="570"/>
      <c r="J7288" s="570"/>
      <c r="K7288" s="570"/>
    </row>
    <row r="7289" ht="13.75" customHeight="1">
      <c r="A7289" s="833">
        <v>372</v>
      </c>
      <c r="B7289" t="s" s="834">
        <v>4805</v>
      </c>
      <c r="C7289" t="s" s="834">
        <v>1571</v>
      </c>
      <c r="D7289" s="835">
        <v>46025</v>
      </c>
      <c r="E7289" t="s" s="834">
        <v>478</v>
      </c>
      <c r="F7289" t="s" s="834">
        <v>478</v>
      </c>
      <c r="G7289" s="570"/>
      <c r="H7289" s="570"/>
      <c r="I7289" s="570"/>
      <c r="J7289" s="570"/>
      <c r="K7289" s="570"/>
    </row>
    <row r="7290" ht="13.75" customHeight="1">
      <c r="A7290" s="833">
        <v>372</v>
      </c>
      <c r="B7290" t="s" s="834">
        <v>4805</v>
      </c>
      <c r="C7290" t="s" s="834">
        <v>1571</v>
      </c>
      <c r="D7290" s="835">
        <v>46026</v>
      </c>
      <c r="E7290" t="s" s="834">
        <v>478</v>
      </c>
      <c r="F7290" t="s" s="834">
        <v>478</v>
      </c>
      <c r="G7290" s="570"/>
      <c r="H7290" s="570"/>
      <c r="I7290" s="570"/>
      <c r="J7290" s="570"/>
      <c r="K7290" s="570"/>
    </row>
    <row r="7291" ht="13.75" customHeight="1">
      <c r="A7291" s="833">
        <v>372</v>
      </c>
      <c r="B7291" t="s" s="834">
        <v>4805</v>
      </c>
      <c r="C7291" t="s" s="834">
        <v>1571</v>
      </c>
      <c r="D7291" s="835">
        <v>46027</v>
      </c>
      <c r="E7291" t="s" s="834">
        <v>478</v>
      </c>
      <c r="F7291" t="s" s="834">
        <v>478</v>
      </c>
      <c r="G7291" s="570"/>
      <c r="H7291" s="570"/>
      <c r="I7291" s="570"/>
      <c r="J7291" s="570"/>
      <c r="K7291" s="570"/>
    </row>
    <row r="7292" ht="13.75" customHeight="1">
      <c r="A7292" s="833">
        <v>372</v>
      </c>
      <c r="B7292" t="s" s="834">
        <v>4805</v>
      </c>
      <c r="C7292" t="s" s="834">
        <v>1571</v>
      </c>
      <c r="D7292" s="835">
        <v>46028</v>
      </c>
      <c r="E7292" t="s" s="834">
        <v>478</v>
      </c>
      <c r="F7292" t="s" s="834">
        <v>478</v>
      </c>
      <c r="G7292" s="570"/>
      <c r="H7292" s="570"/>
      <c r="I7292" s="570"/>
      <c r="J7292" s="570"/>
      <c r="K7292" s="570"/>
    </row>
    <row r="7293" ht="13.75" customHeight="1">
      <c r="A7293" s="833">
        <v>372</v>
      </c>
      <c r="B7293" t="s" s="834">
        <v>4805</v>
      </c>
      <c r="C7293" t="s" s="834">
        <v>1571</v>
      </c>
      <c r="D7293" s="835">
        <v>46029</v>
      </c>
      <c r="E7293" t="s" s="834">
        <v>478</v>
      </c>
      <c r="F7293" t="s" s="834">
        <v>478</v>
      </c>
      <c r="G7293" s="570"/>
      <c r="H7293" s="570"/>
      <c r="I7293" s="570"/>
      <c r="J7293" s="570"/>
      <c r="K7293" s="570"/>
    </row>
    <row r="7294" ht="13.75" customHeight="1">
      <c r="A7294" s="833">
        <v>372</v>
      </c>
      <c r="B7294" t="s" s="834">
        <v>4805</v>
      </c>
      <c r="C7294" t="s" s="834">
        <v>1571</v>
      </c>
      <c r="D7294" s="835">
        <v>46030</v>
      </c>
      <c r="E7294" t="s" s="834">
        <v>478</v>
      </c>
      <c r="F7294" t="s" s="834">
        <v>478</v>
      </c>
      <c r="G7294" s="570"/>
      <c r="H7294" s="570"/>
      <c r="I7294" s="570"/>
      <c r="J7294" s="570"/>
      <c r="K7294" s="570"/>
    </row>
    <row r="7295" ht="13.75" customHeight="1">
      <c r="A7295" s="833">
        <v>372</v>
      </c>
      <c r="B7295" t="s" s="834">
        <v>4805</v>
      </c>
      <c r="C7295" t="s" s="834">
        <v>1571</v>
      </c>
      <c r="D7295" s="835">
        <v>46031</v>
      </c>
      <c r="E7295" t="s" s="834">
        <v>478</v>
      </c>
      <c r="F7295" t="s" s="834">
        <v>478</v>
      </c>
      <c r="G7295" s="570"/>
      <c r="H7295" s="570"/>
      <c r="I7295" s="570"/>
      <c r="J7295" s="570"/>
      <c r="K7295" s="570"/>
    </row>
    <row r="7296" ht="13.75" customHeight="1">
      <c r="A7296" s="833">
        <v>372</v>
      </c>
      <c r="B7296" t="s" s="834">
        <v>4805</v>
      </c>
      <c r="C7296" t="s" s="834">
        <v>1571</v>
      </c>
      <c r="D7296" s="835">
        <v>46032</v>
      </c>
      <c r="E7296" t="s" s="834">
        <v>478</v>
      </c>
      <c r="F7296" t="s" s="834">
        <v>478</v>
      </c>
      <c r="G7296" s="570"/>
      <c r="H7296" s="570"/>
      <c r="I7296" s="570"/>
      <c r="J7296" s="570"/>
      <c r="K7296" s="570"/>
    </row>
    <row r="7297" ht="13.75" customHeight="1">
      <c r="A7297" s="833">
        <v>372</v>
      </c>
      <c r="B7297" t="s" s="834">
        <v>4805</v>
      </c>
      <c r="C7297" t="s" s="834">
        <v>1571</v>
      </c>
      <c r="D7297" s="835">
        <v>46033</v>
      </c>
      <c r="E7297" s="836">
        <v>1.499247685185185</v>
      </c>
      <c r="F7297" s="836">
        <v>1.499340277777778</v>
      </c>
      <c r="G7297" s="570"/>
      <c r="H7297" s="570"/>
      <c r="I7297" s="570"/>
      <c r="J7297" s="570"/>
      <c r="K7297" s="570"/>
    </row>
    <row r="7298" ht="13.75" customHeight="1">
      <c r="A7298" t="s" s="834">
        <v>4806</v>
      </c>
      <c r="B7298" t="s" s="834">
        <v>4807</v>
      </c>
      <c r="C7298" t="s" s="834">
        <v>486</v>
      </c>
      <c r="D7298" s="570"/>
      <c r="E7298" s="570"/>
      <c r="F7298" s="570"/>
      <c r="G7298" s="570"/>
      <c r="H7298" s="570"/>
      <c r="I7298" s="570"/>
      <c r="J7298" s="570"/>
      <c r="K7298" s="570"/>
    </row>
    <row r="7299" ht="13.75" customHeight="1">
      <c r="A7299" s="833">
        <v>372</v>
      </c>
      <c r="B7299" t="s" s="834">
        <v>4805</v>
      </c>
      <c r="C7299" t="s" s="834">
        <v>1571</v>
      </c>
      <c r="D7299" s="835">
        <v>46034</v>
      </c>
      <c r="E7299" s="836">
        <v>1.954386574074074</v>
      </c>
      <c r="F7299" t="s" s="834">
        <v>478</v>
      </c>
      <c r="G7299" s="570"/>
      <c r="H7299" s="570"/>
      <c r="I7299" s="570"/>
      <c r="J7299" s="570"/>
      <c r="K7299" s="570"/>
    </row>
    <row r="7300" ht="13.75" customHeight="1">
      <c r="A7300" t="s" s="834">
        <v>4808</v>
      </c>
      <c r="B7300" t="s" s="834">
        <v>485</v>
      </c>
      <c r="C7300" t="s" s="834">
        <v>486</v>
      </c>
      <c r="D7300" s="570"/>
      <c r="E7300" s="570"/>
      <c r="F7300" s="570"/>
      <c r="G7300" s="570"/>
      <c r="H7300" s="570"/>
      <c r="I7300" s="570"/>
      <c r="J7300" s="570"/>
      <c r="K7300" s="570"/>
    </row>
    <row r="7301" ht="13.75" customHeight="1">
      <c r="A7301" s="833">
        <v>372</v>
      </c>
      <c r="B7301" t="s" s="834">
        <v>4805</v>
      </c>
      <c r="C7301" t="s" s="834">
        <v>1571</v>
      </c>
      <c r="D7301" s="835">
        <v>46035</v>
      </c>
      <c r="E7301" t="s" s="834">
        <v>478</v>
      </c>
      <c r="F7301" t="s" s="834">
        <v>478</v>
      </c>
      <c r="G7301" s="570"/>
      <c r="H7301" s="570"/>
      <c r="I7301" s="570"/>
      <c r="J7301" s="570"/>
      <c r="K7301" s="570"/>
    </row>
    <row r="7302" ht="13.75" customHeight="1">
      <c r="A7302" s="833">
        <v>372</v>
      </c>
      <c r="B7302" t="s" s="834">
        <v>4805</v>
      </c>
      <c r="C7302" t="s" s="834">
        <v>1571</v>
      </c>
      <c r="D7302" s="835">
        <v>46036</v>
      </c>
      <c r="E7302" t="s" s="834">
        <v>478</v>
      </c>
      <c r="F7302" t="s" s="834">
        <v>478</v>
      </c>
      <c r="G7302" s="570"/>
      <c r="H7302" s="570"/>
      <c r="I7302" s="570"/>
      <c r="J7302" s="570"/>
      <c r="K7302" s="570"/>
    </row>
    <row r="7303" ht="13.75" customHeight="1">
      <c r="A7303" s="833">
        <v>372</v>
      </c>
      <c r="B7303" t="s" s="834">
        <v>4805</v>
      </c>
      <c r="C7303" t="s" s="834">
        <v>1571</v>
      </c>
      <c r="D7303" s="835">
        <v>46037</v>
      </c>
      <c r="E7303" t="s" s="834">
        <v>478</v>
      </c>
      <c r="F7303" t="s" s="834">
        <v>478</v>
      </c>
      <c r="G7303" s="570"/>
      <c r="H7303" s="570"/>
      <c r="I7303" s="570"/>
      <c r="J7303" s="570"/>
      <c r="K7303" s="570"/>
    </row>
    <row r="7304" ht="13.75" customHeight="1">
      <c r="A7304" s="833">
        <v>372</v>
      </c>
      <c r="B7304" t="s" s="834">
        <v>4805</v>
      </c>
      <c r="C7304" t="s" s="834">
        <v>1571</v>
      </c>
      <c r="D7304" s="835">
        <v>46038</v>
      </c>
      <c r="E7304" t="s" s="834">
        <v>478</v>
      </c>
      <c r="F7304" t="s" s="834">
        <v>478</v>
      </c>
      <c r="G7304" s="570"/>
      <c r="H7304" s="570"/>
      <c r="I7304" s="570"/>
      <c r="J7304" s="570"/>
      <c r="K7304" s="570"/>
    </row>
    <row r="7305" ht="13.75" customHeight="1">
      <c r="A7305" s="833">
        <v>372</v>
      </c>
      <c r="B7305" t="s" s="834">
        <v>4805</v>
      </c>
      <c r="C7305" t="s" s="834">
        <v>1571</v>
      </c>
      <c r="D7305" s="835">
        <v>46039</v>
      </c>
      <c r="E7305" s="836">
        <v>1.959537037037037</v>
      </c>
      <c r="F7305" s="836">
        <v>1.959641203703704</v>
      </c>
      <c r="G7305" s="570"/>
      <c r="H7305" s="570"/>
      <c r="I7305" s="570"/>
      <c r="J7305" s="570"/>
      <c r="K7305" s="570"/>
    </row>
    <row r="7306" ht="13.75" customHeight="1">
      <c r="A7306" t="s" s="834">
        <v>4809</v>
      </c>
      <c r="B7306" t="s" s="834">
        <v>4810</v>
      </c>
      <c r="C7306" t="s" s="834">
        <v>486</v>
      </c>
      <c r="D7306" s="570"/>
      <c r="E7306" s="570"/>
      <c r="F7306" s="570"/>
      <c r="G7306" s="570"/>
      <c r="H7306" s="570"/>
      <c r="I7306" s="570"/>
      <c r="J7306" s="570"/>
      <c r="K7306" s="570"/>
    </row>
    <row r="7307" ht="13.75" customHeight="1">
      <c r="A7307" s="833">
        <v>372</v>
      </c>
      <c r="B7307" t="s" s="834">
        <v>4805</v>
      </c>
      <c r="C7307" t="s" s="834">
        <v>1571</v>
      </c>
      <c r="D7307" s="835">
        <v>46040</v>
      </c>
      <c r="E7307" t="s" s="834">
        <v>478</v>
      </c>
      <c r="F7307" t="s" s="834">
        <v>478</v>
      </c>
      <c r="G7307" s="570"/>
      <c r="H7307" s="570"/>
      <c r="I7307" s="570"/>
      <c r="J7307" s="570"/>
      <c r="K7307" s="570"/>
    </row>
    <row r="7308" ht="13.75" customHeight="1">
      <c r="A7308" s="833">
        <v>372</v>
      </c>
      <c r="B7308" t="s" s="834">
        <v>4805</v>
      </c>
      <c r="C7308" t="s" s="834">
        <v>1571</v>
      </c>
      <c r="D7308" s="835">
        <v>46041</v>
      </c>
      <c r="E7308" t="s" s="834">
        <v>478</v>
      </c>
      <c r="F7308" t="s" s="834">
        <v>478</v>
      </c>
      <c r="G7308" s="570"/>
      <c r="H7308" s="570"/>
      <c r="I7308" s="570"/>
      <c r="J7308" s="570"/>
      <c r="K7308" s="570"/>
    </row>
    <row r="7309" ht="13.75" customHeight="1">
      <c r="A7309" s="833">
        <v>372</v>
      </c>
      <c r="B7309" t="s" s="834">
        <v>4805</v>
      </c>
      <c r="C7309" t="s" s="834">
        <v>1571</v>
      </c>
      <c r="D7309" s="835">
        <v>46042</v>
      </c>
      <c r="E7309" t="s" s="834">
        <v>478</v>
      </c>
      <c r="F7309" t="s" s="834">
        <v>478</v>
      </c>
      <c r="G7309" s="570"/>
      <c r="H7309" s="570"/>
      <c r="I7309" s="570"/>
      <c r="J7309" s="570"/>
      <c r="K7309" s="570"/>
    </row>
    <row r="7310" ht="13.75" customHeight="1">
      <c r="A7310" s="833">
        <v>372</v>
      </c>
      <c r="B7310" t="s" s="834">
        <v>4805</v>
      </c>
      <c r="C7310" t="s" s="834">
        <v>1571</v>
      </c>
      <c r="D7310" s="835">
        <v>46043</v>
      </c>
      <c r="E7310" t="s" s="834">
        <v>478</v>
      </c>
      <c r="F7310" t="s" s="834">
        <v>478</v>
      </c>
      <c r="G7310" s="570"/>
      <c r="H7310" s="570"/>
      <c r="I7310" s="570"/>
      <c r="J7310" s="570"/>
      <c r="K7310" s="570"/>
    </row>
    <row r="7311" ht="13.75" customHeight="1">
      <c r="A7311" s="833">
        <v>372</v>
      </c>
      <c r="B7311" t="s" s="834">
        <v>4805</v>
      </c>
      <c r="C7311" t="s" s="834">
        <v>1571</v>
      </c>
      <c r="D7311" s="835">
        <v>46044</v>
      </c>
      <c r="E7311" t="s" s="834">
        <v>478</v>
      </c>
      <c r="F7311" t="s" s="834">
        <v>478</v>
      </c>
      <c r="G7311" s="570"/>
      <c r="H7311" s="570"/>
      <c r="I7311" s="570"/>
      <c r="J7311" s="570"/>
      <c r="K7311" s="570"/>
    </row>
    <row r="7312" ht="13.75" customHeight="1">
      <c r="A7312" s="833">
        <v>372</v>
      </c>
      <c r="B7312" t="s" s="834">
        <v>4805</v>
      </c>
      <c r="C7312" t="s" s="834">
        <v>1571</v>
      </c>
      <c r="D7312" s="835">
        <v>46045</v>
      </c>
      <c r="E7312" t="s" s="834">
        <v>478</v>
      </c>
      <c r="F7312" t="s" s="834">
        <v>478</v>
      </c>
      <c r="G7312" s="570"/>
      <c r="H7312" s="570"/>
      <c r="I7312" s="570"/>
      <c r="J7312" s="570"/>
      <c r="K7312" s="570"/>
    </row>
    <row r="7313" ht="13.75" customHeight="1">
      <c r="A7313" s="833">
        <v>372</v>
      </c>
      <c r="B7313" t="s" s="834">
        <v>4805</v>
      </c>
      <c r="C7313" t="s" s="834">
        <v>1571</v>
      </c>
      <c r="D7313" s="835">
        <v>46046</v>
      </c>
      <c r="E7313" t="s" s="834">
        <v>478</v>
      </c>
      <c r="F7313" t="s" s="834">
        <v>478</v>
      </c>
      <c r="G7313" s="570"/>
      <c r="H7313" s="570"/>
      <c r="I7313" s="570"/>
      <c r="J7313" s="570"/>
      <c r="K7313" s="570"/>
    </row>
    <row r="7314" ht="13.75" customHeight="1">
      <c r="A7314" s="833">
        <v>372</v>
      </c>
      <c r="B7314" t="s" s="834">
        <v>4805</v>
      </c>
      <c r="C7314" t="s" s="834">
        <v>1571</v>
      </c>
      <c r="D7314" s="835">
        <v>46047</v>
      </c>
      <c r="E7314" t="s" s="834">
        <v>478</v>
      </c>
      <c r="F7314" t="s" s="834">
        <v>478</v>
      </c>
      <c r="G7314" s="570"/>
      <c r="H7314" s="570"/>
      <c r="I7314" s="570"/>
      <c r="J7314" s="570"/>
      <c r="K7314" s="570"/>
    </row>
    <row r="7315" ht="13.75" customHeight="1">
      <c r="A7315" s="833">
        <v>372</v>
      </c>
      <c r="B7315" t="s" s="834">
        <v>4805</v>
      </c>
      <c r="C7315" t="s" s="834">
        <v>1571</v>
      </c>
      <c r="D7315" s="835">
        <v>46048</v>
      </c>
      <c r="E7315" t="s" s="834">
        <v>478</v>
      </c>
      <c r="F7315" t="s" s="834">
        <v>478</v>
      </c>
      <c r="G7315" s="570"/>
      <c r="H7315" s="570"/>
      <c r="I7315" s="570"/>
      <c r="J7315" s="570"/>
      <c r="K7315" s="570"/>
    </row>
    <row r="7316" ht="13.75" customHeight="1">
      <c r="A7316" s="833">
        <v>372</v>
      </c>
      <c r="B7316" t="s" s="834">
        <v>4805</v>
      </c>
      <c r="C7316" t="s" s="834">
        <v>1571</v>
      </c>
      <c r="D7316" s="835">
        <v>46049</v>
      </c>
      <c r="E7316" t="s" s="834">
        <v>478</v>
      </c>
      <c r="F7316" t="s" s="834">
        <v>478</v>
      </c>
      <c r="G7316" s="570"/>
      <c r="H7316" s="570"/>
      <c r="I7316" s="570"/>
      <c r="J7316" s="570"/>
      <c r="K7316" s="570"/>
    </row>
    <row r="7317" ht="13.75" customHeight="1">
      <c r="A7317" s="833">
        <v>372</v>
      </c>
      <c r="B7317" t="s" s="834">
        <v>4805</v>
      </c>
      <c r="C7317" t="s" s="834">
        <v>1571</v>
      </c>
      <c r="D7317" s="835">
        <v>46050</v>
      </c>
      <c r="E7317" s="836">
        <v>1.829618055555556</v>
      </c>
      <c r="F7317" t="s" s="834">
        <v>478</v>
      </c>
      <c r="G7317" s="570"/>
      <c r="H7317" s="570"/>
      <c r="I7317" s="570"/>
      <c r="J7317" s="570"/>
      <c r="K7317" s="570"/>
    </row>
    <row r="7318" ht="13.75" customHeight="1">
      <c r="A7318" t="s" s="834">
        <v>4811</v>
      </c>
      <c r="B7318" t="s" s="834">
        <v>485</v>
      </c>
      <c r="C7318" t="s" s="834">
        <v>486</v>
      </c>
      <c r="D7318" s="570"/>
      <c r="E7318" s="570"/>
      <c r="F7318" s="570"/>
      <c r="G7318" s="570"/>
      <c r="H7318" s="570"/>
      <c r="I7318" s="570"/>
      <c r="J7318" s="570"/>
      <c r="K7318" s="570"/>
    </row>
    <row r="7319" ht="13.75" customHeight="1">
      <c r="A7319" s="833">
        <v>372</v>
      </c>
      <c r="B7319" t="s" s="834">
        <v>4805</v>
      </c>
      <c r="C7319" t="s" s="834">
        <v>1571</v>
      </c>
      <c r="D7319" s="835">
        <v>46051</v>
      </c>
      <c r="E7319" t="s" s="834">
        <v>478</v>
      </c>
      <c r="F7319" t="s" s="834">
        <v>478</v>
      </c>
      <c r="G7319" s="570"/>
      <c r="H7319" s="570"/>
      <c r="I7319" s="570"/>
      <c r="J7319" s="570"/>
      <c r="K7319" s="570"/>
    </row>
    <row r="7320" ht="13.75" customHeight="1">
      <c r="A7320" s="833">
        <v>372</v>
      </c>
      <c r="B7320" t="s" s="834">
        <v>4805</v>
      </c>
      <c r="C7320" t="s" s="834">
        <v>1571</v>
      </c>
      <c r="D7320" s="835">
        <v>46052</v>
      </c>
      <c r="E7320" s="836">
        <v>1.462210648148148</v>
      </c>
      <c r="F7320" s="836">
        <v>1.462256944444444</v>
      </c>
      <c r="G7320" s="570"/>
      <c r="H7320" s="570"/>
      <c r="I7320" s="570"/>
      <c r="J7320" s="570"/>
      <c r="K7320" s="570"/>
    </row>
    <row r="7321" ht="13.75" customHeight="1">
      <c r="A7321" t="s" s="834">
        <v>4812</v>
      </c>
      <c r="B7321" t="s" s="834">
        <v>4813</v>
      </c>
      <c r="C7321" t="s" s="834">
        <v>486</v>
      </c>
      <c r="D7321" s="570"/>
      <c r="E7321" s="570"/>
      <c r="F7321" s="570"/>
      <c r="G7321" s="570"/>
      <c r="H7321" s="570"/>
      <c r="I7321" s="570"/>
      <c r="J7321" s="570"/>
      <c r="K7321" s="570"/>
    </row>
    <row r="7322" ht="13.75" customHeight="1">
      <c r="A7322" s="833">
        <v>372</v>
      </c>
      <c r="B7322" t="s" s="834">
        <v>4805</v>
      </c>
      <c r="C7322" t="s" s="834">
        <v>1571</v>
      </c>
      <c r="D7322" s="835">
        <v>46053</v>
      </c>
      <c r="E7322" t="s" s="834">
        <v>478</v>
      </c>
      <c r="F7322" t="s" s="834">
        <v>478</v>
      </c>
      <c r="G7322" s="570"/>
      <c r="H7322" s="570"/>
      <c r="I7322" s="570"/>
      <c r="J7322" s="570"/>
      <c r="K7322" s="570"/>
    </row>
    <row r="7323" ht="13.75" customHeight="1">
      <c r="A7323" s="833">
        <v>372</v>
      </c>
      <c r="B7323" t="s" s="834">
        <v>4805</v>
      </c>
      <c r="C7323" t="s" s="834">
        <v>1571</v>
      </c>
      <c r="D7323" s="835">
        <v>46054</v>
      </c>
      <c r="E7323" t="s" s="834">
        <v>478</v>
      </c>
      <c r="F7323" t="s" s="834">
        <v>478</v>
      </c>
      <c r="G7323" s="570"/>
      <c r="H7323" s="570"/>
      <c r="I7323" s="570"/>
      <c r="J7323" s="570"/>
      <c r="K7323" s="570"/>
    </row>
    <row r="7324" ht="13.75" customHeight="1">
      <c r="A7324" s="833">
        <v>373</v>
      </c>
      <c r="B7324" t="s" s="834">
        <v>4814</v>
      </c>
      <c r="C7324" t="s" s="834">
        <v>1571</v>
      </c>
      <c r="D7324" s="835">
        <v>46023</v>
      </c>
      <c r="E7324" t="s" s="834">
        <v>478</v>
      </c>
      <c r="F7324" t="s" s="834">
        <v>478</v>
      </c>
      <c r="G7324" s="570"/>
      <c r="H7324" s="570"/>
      <c r="I7324" s="570"/>
      <c r="J7324" s="570"/>
      <c r="K7324" s="570"/>
    </row>
    <row r="7325" ht="13.75" customHeight="1">
      <c r="A7325" s="833">
        <v>373</v>
      </c>
      <c r="B7325" t="s" s="834">
        <v>4814</v>
      </c>
      <c r="C7325" t="s" s="834">
        <v>1571</v>
      </c>
      <c r="D7325" s="835">
        <v>46024</v>
      </c>
      <c r="E7325" t="s" s="834">
        <v>478</v>
      </c>
      <c r="F7325" t="s" s="834">
        <v>478</v>
      </c>
      <c r="G7325" s="570"/>
      <c r="H7325" s="570"/>
      <c r="I7325" s="570"/>
      <c r="J7325" s="570"/>
      <c r="K7325" s="570"/>
    </row>
    <row r="7326" ht="13.75" customHeight="1">
      <c r="A7326" s="833">
        <v>373</v>
      </c>
      <c r="B7326" t="s" s="834">
        <v>4814</v>
      </c>
      <c r="C7326" t="s" s="834">
        <v>1571</v>
      </c>
      <c r="D7326" s="835">
        <v>46025</v>
      </c>
      <c r="E7326" t="s" s="834">
        <v>478</v>
      </c>
      <c r="F7326" t="s" s="834">
        <v>478</v>
      </c>
      <c r="G7326" s="570"/>
      <c r="H7326" s="570"/>
      <c r="I7326" s="570"/>
      <c r="J7326" s="570"/>
      <c r="K7326" s="570"/>
    </row>
    <row r="7327" ht="13.75" customHeight="1">
      <c r="A7327" s="833">
        <v>373</v>
      </c>
      <c r="B7327" t="s" s="834">
        <v>4814</v>
      </c>
      <c r="C7327" t="s" s="834">
        <v>1571</v>
      </c>
      <c r="D7327" s="835">
        <v>46026</v>
      </c>
      <c r="E7327" t="s" s="834">
        <v>478</v>
      </c>
      <c r="F7327" t="s" s="834">
        <v>478</v>
      </c>
      <c r="G7327" s="570"/>
      <c r="H7327" s="570"/>
      <c r="I7327" s="570"/>
      <c r="J7327" s="570"/>
      <c r="K7327" s="570"/>
    </row>
    <row r="7328" ht="13.75" customHeight="1">
      <c r="A7328" s="833">
        <v>373</v>
      </c>
      <c r="B7328" t="s" s="834">
        <v>4814</v>
      </c>
      <c r="C7328" t="s" s="834">
        <v>1571</v>
      </c>
      <c r="D7328" s="835">
        <v>46027</v>
      </c>
      <c r="E7328" t="s" s="834">
        <v>478</v>
      </c>
      <c r="F7328" t="s" s="834">
        <v>478</v>
      </c>
      <c r="G7328" s="570"/>
      <c r="H7328" s="570"/>
      <c r="I7328" s="570"/>
      <c r="J7328" s="570"/>
      <c r="K7328" s="570"/>
    </row>
    <row r="7329" ht="13.75" customHeight="1">
      <c r="A7329" s="833">
        <v>373</v>
      </c>
      <c r="B7329" t="s" s="834">
        <v>4814</v>
      </c>
      <c r="C7329" t="s" s="834">
        <v>1571</v>
      </c>
      <c r="D7329" s="835">
        <v>46028</v>
      </c>
      <c r="E7329" t="s" s="834">
        <v>478</v>
      </c>
      <c r="F7329" t="s" s="834">
        <v>478</v>
      </c>
      <c r="G7329" s="570"/>
      <c r="H7329" s="570"/>
      <c r="I7329" s="570"/>
      <c r="J7329" s="570"/>
      <c r="K7329" s="570"/>
    </row>
    <row r="7330" ht="13.75" customHeight="1">
      <c r="A7330" s="833">
        <v>373</v>
      </c>
      <c r="B7330" t="s" s="834">
        <v>4814</v>
      </c>
      <c r="C7330" t="s" s="834">
        <v>1571</v>
      </c>
      <c r="D7330" s="835">
        <v>46029</v>
      </c>
      <c r="E7330" t="s" s="834">
        <v>478</v>
      </c>
      <c r="F7330" t="s" s="834">
        <v>478</v>
      </c>
      <c r="G7330" s="570"/>
      <c r="H7330" s="570"/>
      <c r="I7330" s="570"/>
      <c r="J7330" s="570"/>
      <c r="K7330" s="570"/>
    </row>
    <row r="7331" ht="13.75" customHeight="1">
      <c r="A7331" s="833">
        <v>373</v>
      </c>
      <c r="B7331" t="s" s="834">
        <v>4814</v>
      </c>
      <c r="C7331" t="s" s="834">
        <v>1571</v>
      </c>
      <c r="D7331" s="835">
        <v>46030</v>
      </c>
      <c r="E7331" t="s" s="834">
        <v>478</v>
      </c>
      <c r="F7331" t="s" s="834">
        <v>478</v>
      </c>
      <c r="G7331" s="570"/>
      <c r="H7331" s="570"/>
      <c r="I7331" s="570"/>
      <c r="J7331" s="570"/>
      <c r="K7331" s="570"/>
    </row>
    <row r="7332" ht="13.75" customHeight="1">
      <c r="A7332" s="833">
        <v>373</v>
      </c>
      <c r="B7332" t="s" s="834">
        <v>4814</v>
      </c>
      <c r="C7332" t="s" s="834">
        <v>1571</v>
      </c>
      <c r="D7332" s="835">
        <v>46031</v>
      </c>
      <c r="E7332" t="s" s="834">
        <v>478</v>
      </c>
      <c r="F7332" t="s" s="834">
        <v>478</v>
      </c>
      <c r="G7332" s="570"/>
      <c r="H7332" s="570"/>
      <c r="I7332" s="570"/>
      <c r="J7332" s="570"/>
      <c r="K7332" s="570"/>
    </row>
    <row r="7333" ht="13.75" customHeight="1">
      <c r="A7333" s="833">
        <v>373</v>
      </c>
      <c r="B7333" t="s" s="834">
        <v>4814</v>
      </c>
      <c r="C7333" t="s" s="834">
        <v>1571</v>
      </c>
      <c r="D7333" s="835">
        <v>46032</v>
      </c>
      <c r="E7333" t="s" s="834">
        <v>478</v>
      </c>
      <c r="F7333" t="s" s="834">
        <v>478</v>
      </c>
      <c r="G7333" s="570"/>
      <c r="H7333" s="570"/>
      <c r="I7333" s="570"/>
      <c r="J7333" s="570"/>
      <c r="K7333" s="570"/>
    </row>
    <row r="7334" ht="13.75" customHeight="1">
      <c r="A7334" s="833">
        <v>373</v>
      </c>
      <c r="B7334" t="s" s="834">
        <v>4814</v>
      </c>
      <c r="C7334" t="s" s="834">
        <v>1571</v>
      </c>
      <c r="D7334" s="835">
        <v>46033</v>
      </c>
      <c r="E7334" t="s" s="834">
        <v>478</v>
      </c>
      <c r="F7334" t="s" s="834">
        <v>478</v>
      </c>
      <c r="G7334" s="570"/>
      <c r="H7334" s="570"/>
      <c r="I7334" s="570"/>
      <c r="J7334" s="570"/>
      <c r="K7334" s="570"/>
    </row>
    <row r="7335" ht="13.75" customHeight="1">
      <c r="A7335" s="833">
        <v>373</v>
      </c>
      <c r="B7335" t="s" s="834">
        <v>4814</v>
      </c>
      <c r="C7335" t="s" s="834">
        <v>1571</v>
      </c>
      <c r="D7335" s="835">
        <v>46034</v>
      </c>
      <c r="E7335" s="836">
        <v>1.431006944444444</v>
      </c>
      <c r="F7335" s="836">
        <v>1.431099537037037</v>
      </c>
      <c r="G7335" s="570"/>
      <c r="H7335" s="570"/>
      <c r="I7335" s="570"/>
      <c r="J7335" s="570"/>
      <c r="K7335" s="570"/>
    </row>
    <row r="7336" ht="13.75" customHeight="1">
      <c r="A7336" t="s" s="834">
        <v>4815</v>
      </c>
      <c r="B7336" t="s" s="834">
        <v>4816</v>
      </c>
      <c r="C7336" t="s" s="834">
        <v>486</v>
      </c>
      <c r="D7336" s="570"/>
      <c r="E7336" s="570"/>
      <c r="F7336" s="570"/>
      <c r="G7336" s="570"/>
      <c r="H7336" s="570"/>
      <c r="I7336" s="570"/>
      <c r="J7336" s="570"/>
      <c r="K7336" s="570"/>
    </row>
    <row r="7337" ht="13.75" customHeight="1">
      <c r="A7337" s="833">
        <v>373</v>
      </c>
      <c r="B7337" t="s" s="834">
        <v>4814</v>
      </c>
      <c r="C7337" t="s" s="834">
        <v>1571</v>
      </c>
      <c r="D7337" s="835">
        <v>46035</v>
      </c>
      <c r="E7337" s="836">
        <v>1.429699074074074</v>
      </c>
      <c r="F7337" s="836">
        <v>1.430428240740741</v>
      </c>
      <c r="G7337" s="570"/>
      <c r="H7337" s="570"/>
      <c r="I7337" s="570"/>
      <c r="J7337" s="570"/>
      <c r="K7337" s="570"/>
    </row>
    <row r="7338" ht="13.75" customHeight="1">
      <c r="A7338" t="s" s="834">
        <v>4817</v>
      </c>
      <c r="B7338" t="s" s="834">
        <v>4818</v>
      </c>
      <c r="C7338" t="s" s="834">
        <v>805</v>
      </c>
      <c r="D7338" s="570"/>
      <c r="E7338" s="570"/>
      <c r="F7338" s="570"/>
      <c r="G7338" s="570"/>
      <c r="H7338" s="570"/>
      <c r="I7338" s="570"/>
      <c r="J7338" s="570"/>
      <c r="K7338" s="570"/>
    </row>
    <row r="7339" ht="13.75" customHeight="1">
      <c r="A7339" s="833">
        <v>373</v>
      </c>
      <c r="B7339" t="s" s="834">
        <v>4814</v>
      </c>
      <c r="C7339" t="s" s="834">
        <v>1571</v>
      </c>
      <c r="D7339" s="835">
        <v>46036</v>
      </c>
      <c r="E7339" t="s" s="834">
        <v>478</v>
      </c>
      <c r="F7339" t="s" s="834">
        <v>478</v>
      </c>
      <c r="G7339" s="570"/>
      <c r="H7339" s="570"/>
      <c r="I7339" s="570"/>
      <c r="J7339" s="570"/>
      <c r="K7339" s="570"/>
    </row>
    <row r="7340" ht="13.75" customHeight="1">
      <c r="A7340" s="833">
        <v>373</v>
      </c>
      <c r="B7340" t="s" s="834">
        <v>4814</v>
      </c>
      <c r="C7340" t="s" s="834">
        <v>1571</v>
      </c>
      <c r="D7340" s="835">
        <v>46037</v>
      </c>
      <c r="E7340" s="836">
        <v>1.680694444444444</v>
      </c>
      <c r="F7340" s="836">
        <v>1.984849537037037</v>
      </c>
      <c r="G7340" s="570"/>
      <c r="H7340" s="570"/>
      <c r="I7340" s="570"/>
      <c r="J7340" s="570"/>
      <c r="K7340" s="570"/>
    </row>
    <row r="7341" ht="13.75" customHeight="1">
      <c r="A7341" t="s" s="834">
        <v>4819</v>
      </c>
      <c r="B7341" t="s" s="834">
        <v>4820</v>
      </c>
      <c r="C7341" t="s" s="834">
        <v>2010</v>
      </c>
      <c r="D7341" s="570"/>
      <c r="E7341" s="570"/>
      <c r="F7341" s="570"/>
      <c r="G7341" s="570"/>
      <c r="H7341" s="570"/>
      <c r="I7341" s="570"/>
      <c r="J7341" s="570"/>
      <c r="K7341" s="570"/>
    </row>
    <row r="7342" ht="13.75" customHeight="1">
      <c r="A7342" s="833">
        <v>373</v>
      </c>
      <c r="B7342" t="s" s="834">
        <v>4814</v>
      </c>
      <c r="C7342" t="s" s="834">
        <v>1571</v>
      </c>
      <c r="D7342" s="835">
        <v>46038</v>
      </c>
      <c r="E7342" s="836">
        <v>1.130219907407407</v>
      </c>
      <c r="F7342" t="s" s="834">
        <v>478</v>
      </c>
      <c r="G7342" s="570"/>
      <c r="H7342" s="570"/>
      <c r="I7342" s="570"/>
      <c r="J7342" s="570"/>
      <c r="K7342" s="570"/>
    </row>
    <row r="7343" ht="13.75" customHeight="1">
      <c r="A7343" t="s" s="834">
        <v>4821</v>
      </c>
      <c r="B7343" t="s" s="834">
        <v>485</v>
      </c>
      <c r="C7343" t="s" s="834">
        <v>486</v>
      </c>
      <c r="D7343" s="570"/>
      <c r="E7343" s="570"/>
      <c r="F7343" s="570"/>
      <c r="G7343" s="570"/>
      <c r="H7343" s="570"/>
      <c r="I7343" s="570"/>
      <c r="J7343" s="570"/>
      <c r="K7343" s="570"/>
    </row>
    <row r="7344" ht="13.75" customHeight="1">
      <c r="A7344" s="833">
        <v>373</v>
      </c>
      <c r="B7344" t="s" s="834">
        <v>4814</v>
      </c>
      <c r="C7344" t="s" s="834">
        <v>1571</v>
      </c>
      <c r="D7344" s="835">
        <v>46039</v>
      </c>
      <c r="E7344" t="s" s="834">
        <v>478</v>
      </c>
      <c r="F7344" t="s" s="834">
        <v>478</v>
      </c>
      <c r="G7344" s="570"/>
      <c r="H7344" s="570"/>
      <c r="I7344" s="570"/>
      <c r="J7344" s="570"/>
      <c r="K7344" s="570"/>
    </row>
    <row r="7345" ht="13.75" customHeight="1">
      <c r="A7345" s="833">
        <v>373</v>
      </c>
      <c r="B7345" t="s" s="834">
        <v>4814</v>
      </c>
      <c r="C7345" t="s" s="834">
        <v>1571</v>
      </c>
      <c r="D7345" s="835">
        <v>46040</v>
      </c>
      <c r="E7345" s="836">
        <v>1.744953703703704</v>
      </c>
      <c r="F7345" t="s" s="834">
        <v>478</v>
      </c>
      <c r="G7345" s="570"/>
      <c r="H7345" s="570"/>
      <c r="I7345" s="570"/>
      <c r="J7345" s="570"/>
      <c r="K7345" s="570"/>
    </row>
    <row r="7346" ht="13.75" customHeight="1">
      <c r="A7346" t="s" s="834">
        <v>4822</v>
      </c>
      <c r="B7346" t="s" s="834">
        <v>485</v>
      </c>
      <c r="C7346" t="s" s="834">
        <v>486</v>
      </c>
      <c r="D7346" s="570"/>
      <c r="E7346" s="570"/>
      <c r="F7346" s="570"/>
      <c r="G7346" s="570"/>
      <c r="H7346" s="570"/>
      <c r="I7346" s="570"/>
      <c r="J7346" s="570"/>
      <c r="K7346" s="570"/>
    </row>
    <row r="7347" ht="13.75" customHeight="1">
      <c r="A7347" s="833">
        <v>373</v>
      </c>
      <c r="B7347" t="s" s="834">
        <v>4814</v>
      </c>
      <c r="C7347" t="s" s="834">
        <v>1571</v>
      </c>
      <c r="D7347" s="835">
        <v>46041</v>
      </c>
      <c r="E7347" s="836">
        <v>1.429305555555556</v>
      </c>
      <c r="F7347" t="s" s="834">
        <v>478</v>
      </c>
      <c r="G7347" s="570"/>
      <c r="H7347" s="570"/>
      <c r="I7347" s="570"/>
      <c r="J7347" s="570"/>
      <c r="K7347" s="570"/>
    </row>
    <row r="7348" ht="13.75" customHeight="1">
      <c r="A7348" t="s" s="834">
        <v>4823</v>
      </c>
      <c r="B7348" t="s" s="834">
        <v>485</v>
      </c>
      <c r="C7348" t="s" s="834">
        <v>486</v>
      </c>
      <c r="D7348" s="570"/>
      <c r="E7348" s="570"/>
      <c r="F7348" s="570"/>
      <c r="G7348" s="570"/>
      <c r="H7348" s="570"/>
      <c r="I7348" s="570"/>
      <c r="J7348" s="570"/>
      <c r="K7348" s="570"/>
    </row>
    <row r="7349" ht="13.75" customHeight="1">
      <c r="A7349" s="833">
        <v>373</v>
      </c>
      <c r="B7349" t="s" s="834">
        <v>4814</v>
      </c>
      <c r="C7349" t="s" s="834">
        <v>1571</v>
      </c>
      <c r="D7349" s="835">
        <v>46042</v>
      </c>
      <c r="E7349" s="836">
        <v>1.472407407407407</v>
      </c>
      <c r="F7349" t="s" s="834">
        <v>478</v>
      </c>
      <c r="G7349" s="570"/>
      <c r="H7349" s="570"/>
      <c r="I7349" s="570"/>
      <c r="J7349" s="570"/>
      <c r="K7349" s="570"/>
    </row>
    <row r="7350" ht="13.75" customHeight="1">
      <c r="A7350" t="s" s="834">
        <v>4824</v>
      </c>
      <c r="B7350" t="s" s="834">
        <v>485</v>
      </c>
      <c r="C7350" t="s" s="834">
        <v>486</v>
      </c>
      <c r="D7350" s="570"/>
      <c r="E7350" s="570"/>
      <c r="F7350" s="570"/>
      <c r="G7350" s="570"/>
      <c r="H7350" s="570"/>
      <c r="I7350" s="570"/>
      <c r="J7350" s="570"/>
      <c r="K7350" s="570"/>
    </row>
    <row r="7351" ht="13.75" customHeight="1">
      <c r="A7351" s="833">
        <v>373</v>
      </c>
      <c r="B7351" t="s" s="834">
        <v>4814</v>
      </c>
      <c r="C7351" t="s" s="834">
        <v>1571</v>
      </c>
      <c r="D7351" s="835">
        <v>46043</v>
      </c>
      <c r="E7351" t="s" s="834">
        <v>478</v>
      </c>
      <c r="F7351" t="s" s="834">
        <v>478</v>
      </c>
      <c r="G7351" s="570"/>
      <c r="H7351" s="570"/>
      <c r="I7351" s="570"/>
      <c r="J7351" s="570"/>
      <c r="K7351" s="570"/>
    </row>
    <row r="7352" ht="13.75" customHeight="1">
      <c r="A7352" s="833">
        <v>373</v>
      </c>
      <c r="B7352" t="s" s="834">
        <v>4814</v>
      </c>
      <c r="C7352" t="s" s="834">
        <v>1571</v>
      </c>
      <c r="D7352" s="835">
        <v>46044</v>
      </c>
      <c r="E7352" t="s" s="834">
        <v>478</v>
      </c>
      <c r="F7352" t="s" s="834">
        <v>478</v>
      </c>
      <c r="G7352" s="570"/>
      <c r="H7352" s="570"/>
      <c r="I7352" s="570"/>
      <c r="J7352" s="570"/>
      <c r="K7352" s="570"/>
    </row>
    <row r="7353" ht="13.75" customHeight="1">
      <c r="A7353" s="833">
        <v>373</v>
      </c>
      <c r="B7353" t="s" s="834">
        <v>4814</v>
      </c>
      <c r="C7353" t="s" s="834">
        <v>1571</v>
      </c>
      <c r="D7353" s="835">
        <v>46045</v>
      </c>
      <c r="E7353" t="s" s="834">
        <v>478</v>
      </c>
      <c r="F7353" t="s" s="834">
        <v>478</v>
      </c>
      <c r="G7353" s="570"/>
      <c r="H7353" s="570"/>
      <c r="I7353" s="570"/>
      <c r="J7353" s="570"/>
      <c r="K7353" s="570"/>
    </row>
    <row r="7354" ht="13.75" customHeight="1">
      <c r="A7354" s="833">
        <v>373</v>
      </c>
      <c r="B7354" t="s" s="834">
        <v>4814</v>
      </c>
      <c r="C7354" t="s" s="834">
        <v>1571</v>
      </c>
      <c r="D7354" s="835">
        <v>46046</v>
      </c>
      <c r="E7354" t="s" s="834">
        <v>478</v>
      </c>
      <c r="F7354" t="s" s="834">
        <v>478</v>
      </c>
      <c r="G7354" s="570"/>
      <c r="H7354" s="570"/>
      <c r="I7354" s="570"/>
      <c r="J7354" s="570"/>
      <c r="K7354" s="570"/>
    </row>
    <row r="7355" ht="13.75" customHeight="1">
      <c r="A7355" s="833">
        <v>373</v>
      </c>
      <c r="B7355" t="s" s="834">
        <v>4814</v>
      </c>
      <c r="C7355" t="s" s="834">
        <v>1571</v>
      </c>
      <c r="D7355" s="835">
        <v>46047</v>
      </c>
      <c r="E7355" t="s" s="834">
        <v>478</v>
      </c>
      <c r="F7355" t="s" s="834">
        <v>478</v>
      </c>
      <c r="G7355" s="570"/>
      <c r="H7355" s="570"/>
      <c r="I7355" s="570"/>
      <c r="J7355" s="570"/>
      <c r="K7355" s="570"/>
    </row>
    <row r="7356" ht="13.75" customHeight="1">
      <c r="A7356" s="833">
        <v>373</v>
      </c>
      <c r="B7356" t="s" s="834">
        <v>4814</v>
      </c>
      <c r="C7356" t="s" s="834">
        <v>1571</v>
      </c>
      <c r="D7356" s="835">
        <v>46048</v>
      </c>
      <c r="E7356" t="s" s="834">
        <v>478</v>
      </c>
      <c r="F7356" t="s" s="834">
        <v>478</v>
      </c>
      <c r="G7356" s="570"/>
      <c r="H7356" s="570"/>
      <c r="I7356" s="570"/>
      <c r="J7356" s="570"/>
      <c r="K7356" s="570"/>
    </row>
    <row r="7357" ht="13.75" customHeight="1">
      <c r="A7357" s="833">
        <v>373</v>
      </c>
      <c r="B7357" t="s" s="834">
        <v>4814</v>
      </c>
      <c r="C7357" t="s" s="834">
        <v>1571</v>
      </c>
      <c r="D7357" s="835">
        <v>46049</v>
      </c>
      <c r="E7357" s="836">
        <v>1.33125</v>
      </c>
      <c r="F7357" s="836">
        <v>1.3315625</v>
      </c>
      <c r="G7357" s="570"/>
      <c r="H7357" s="570"/>
      <c r="I7357" s="570"/>
      <c r="J7357" s="570"/>
      <c r="K7357" s="570"/>
    </row>
    <row r="7358" ht="13.75" customHeight="1">
      <c r="A7358" t="s" s="834">
        <v>4825</v>
      </c>
      <c r="B7358" t="s" s="834">
        <v>4826</v>
      </c>
      <c r="C7358" t="s" s="834">
        <v>486</v>
      </c>
      <c r="D7358" s="570"/>
      <c r="E7358" s="570"/>
      <c r="F7358" s="570"/>
      <c r="G7358" s="570"/>
      <c r="H7358" s="570"/>
      <c r="I7358" s="570"/>
      <c r="J7358" s="570"/>
      <c r="K7358" s="570"/>
    </row>
    <row r="7359" ht="13.75" customHeight="1">
      <c r="A7359" s="833">
        <v>373</v>
      </c>
      <c r="B7359" t="s" s="834">
        <v>4814</v>
      </c>
      <c r="C7359" t="s" s="834">
        <v>1571</v>
      </c>
      <c r="D7359" s="835">
        <v>46050</v>
      </c>
      <c r="E7359" t="s" s="834">
        <v>478</v>
      </c>
      <c r="F7359" t="s" s="834">
        <v>478</v>
      </c>
      <c r="G7359" s="570"/>
      <c r="H7359" s="570"/>
      <c r="I7359" s="570"/>
      <c r="J7359" s="570"/>
      <c r="K7359" s="570"/>
    </row>
    <row r="7360" ht="13.75" customHeight="1">
      <c r="A7360" s="833">
        <v>373</v>
      </c>
      <c r="B7360" t="s" s="834">
        <v>4814</v>
      </c>
      <c r="C7360" t="s" s="834">
        <v>1571</v>
      </c>
      <c r="D7360" s="835">
        <v>46051</v>
      </c>
      <c r="E7360" t="s" s="834">
        <v>478</v>
      </c>
      <c r="F7360" t="s" s="834">
        <v>478</v>
      </c>
      <c r="G7360" s="570"/>
      <c r="H7360" s="570"/>
      <c r="I7360" s="570"/>
      <c r="J7360" s="570"/>
      <c r="K7360" s="570"/>
    </row>
    <row r="7361" ht="13.75" customHeight="1">
      <c r="A7361" s="833">
        <v>373</v>
      </c>
      <c r="B7361" t="s" s="834">
        <v>4814</v>
      </c>
      <c r="C7361" t="s" s="834">
        <v>1571</v>
      </c>
      <c r="D7361" s="835">
        <v>46052</v>
      </c>
      <c r="E7361" t="s" s="834">
        <v>478</v>
      </c>
      <c r="F7361" t="s" s="834">
        <v>478</v>
      </c>
      <c r="G7361" s="570"/>
      <c r="H7361" s="570"/>
      <c r="I7361" s="570"/>
      <c r="J7361" s="570"/>
      <c r="K7361" s="570"/>
    </row>
    <row r="7362" ht="13.75" customHeight="1">
      <c r="A7362" s="833">
        <v>373</v>
      </c>
      <c r="B7362" t="s" s="834">
        <v>4814</v>
      </c>
      <c r="C7362" t="s" s="834">
        <v>1571</v>
      </c>
      <c r="D7362" s="835">
        <v>46053</v>
      </c>
      <c r="E7362" t="s" s="834">
        <v>478</v>
      </c>
      <c r="F7362" t="s" s="834">
        <v>478</v>
      </c>
      <c r="G7362" s="570"/>
      <c r="H7362" s="570"/>
      <c r="I7362" s="570"/>
      <c r="J7362" s="570"/>
      <c r="K7362" s="570"/>
    </row>
    <row r="7363" ht="13.75" customHeight="1">
      <c r="A7363" s="833">
        <v>373</v>
      </c>
      <c r="B7363" t="s" s="834">
        <v>4814</v>
      </c>
      <c r="C7363" t="s" s="834">
        <v>1571</v>
      </c>
      <c r="D7363" s="835">
        <v>46054</v>
      </c>
      <c r="E7363" s="836">
        <v>1.870416666666667</v>
      </c>
      <c r="F7363" t="s" s="834">
        <v>478</v>
      </c>
      <c r="G7363" s="570"/>
      <c r="H7363" s="570"/>
      <c r="I7363" s="570"/>
      <c r="J7363" s="570"/>
      <c r="K7363" s="570"/>
    </row>
    <row r="7364" ht="13.75" customHeight="1">
      <c r="A7364" t="s" s="834">
        <v>4827</v>
      </c>
      <c r="B7364" t="s" s="834">
        <v>485</v>
      </c>
      <c r="C7364" t="s" s="834">
        <v>486</v>
      </c>
      <c r="D7364" s="570"/>
      <c r="E7364" s="570"/>
      <c r="F7364" s="570"/>
      <c r="G7364" s="570"/>
      <c r="H7364" s="570"/>
      <c r="I7364" s="570"/>
      <c r="J7364" s="570"/>
      <c r="K7364" s="570"/>
    </row>
    <row r="7365" ht="13.75" customHeight="1">
      <c r="A7365" s="833">
        <v>374</v>
      </c>
      <c r="B7365" t="s" s="834">
        <v>4828</v>
      </c>
      <c r="C7365" t="s" s="834">
        <v>2718</v>
      </c>
      <c r="D7365" s="835">
        <v>46023</v>
      </c>
      <c r="E7365" t="s" s="834">
        <v>478</v>
      </c>
      <c r="F7365" t="s" s="834">
        <v>478</v>
      </c>
      <c r="G7365" s="570"/>
      <c r="H7365" s="570"/>
      <c r="I7365" s="570"/>
      <c r="J7365" s="570"/>
      <c r="K7365" s="570"/>
    </row>
    <row r="7366" ht="13.75" customHeight="1">
      <c r="A7366" s="833">
        <v>374</v>
      </c>
      <c r="B7366" t="s" s="834">
        <v>4828</v>
      </c>
      <c r="C7366" t="s" s="834">
        <v>2718</v>
      </c>
      <c r="D7366" s="835">
        <v>46024</v>
      </c>
      <c r="E7366" t="s" s="834">
        <v>478</v>
      </c>
      <c r="F7366" t="s" s="834">
        <v>478</v>
      </c>
      <c r="G7366" s="570"/>
      <c r="H7366" s="570"/>
      <c r="I7366" s="570"/>
      <c r="J7366" s="570"/>
      <c r="K7366" s="570"/>
    </row>
    <row r="7367" ht="13.75" customHeight="1">
      <c r="A7367" s="833">
        <v>374</v>
      </c>
      <c r="B7367" t="s" s="834">
        <v>4828</v>
      </c>
      <c r="C7367" t="s" s="834">
        <v>2718</v>
      </c>
      <c r="D7367" s="835">
        <v>46025</v>
      </c>
      <c r="E7367" t="s" s="834">
        <v>478</v>
      </c>
      <c r="F7367" t="s" s="834">
        <v>478</v>
      </c>
      <c r="G7367" s="570"/>
      <c r="H7367" s="570"/>
      <c r="I7367" s="570"/>
      <c r="J7367" s="570"/>
      <c r="K7367" s="570"/>
    </row>
    <row r="7368" ht="13.75" customHeight="1">
      <c r="A7368" s="833">
        <v>374</v>
      </c>
      <c r="B7368" t="s" s="834">
        <v>4828</v>
      </c>
      <c r="C7368" t="s" s="834">
        <v>2718</v>
      </c>
      <c r="D7368" s="835">
        <v>46026</v>
      </c>
      <c r="E7368" t="s" s="834">
        <v>478</v>
      </c>
      <c r="F7368" t="s" s="834">
        <v>478</v>
      </c>
      <c r="G7368" s="570"/>
      <c r="H7368" s="570"/>
      <c r="I7368" s="570"/>
      <c r="J7368" s="570"/>
      <c r="K7368" s="570"/>
    </row>
    <row r="7369" ht="13.75" customHeight="1">
      <c r="A7369" s="833">
        <v>374</v>
      </c>
      <c r="B7369" t="s" s="834">
        <v>4828</v>
      </c>
      <c r="C7369" t="s" s="834">
        <v>2718</v>
      </c>
      <c r="D7369" s="835">
        <v>46027</v>
      </c>
      <c r="E7369" t="s" s="834">
        <v>478</v>
      </c>
      <c r="F7369" t="s" s="834">
        <v>478</v>
      </c>
      <c r="G7369" s="570"/>
      <c r="H7369" s="570"/>
      <c r="I7369" s="570"/>
      <c r="J7369" s="570"/>
      <c r="K7369" s="570"/>
    </row>
    <row r="7370" ht="13.75" customHeight="1">
      <c r="A7370" s="833">
        <v>374</v>
      </c>
      <c r="B7370" t="s" s="834">
        <v>4828</v>
      </c>
      <c r="C7370" t="s" s="834">
        <v>2718</v>
      </c>
      <c r="D7370" s="835">
        <v>46028</v>
      </c>
      <c r="E7370" t="s" s="834">
        <v>478</v>
      </c>
      <c r="F7370" t="s" s="834">
        <v>478</v>
      </c>
      <c r="G7370" s="570"/>
      <c r="H7370" s="570"/>
      <c r="I7370" s="570"/>
      <c r="J7370" s="570"/>
      <c r="K7370" s="570"/>
    </row>
    <row r="7371" ht="13.75" customHeight="1">
      <c r="A7371" s="833">
        <v>374</v>
      </c>
      <c r="B7371" t="s" s="834">
        <v>4828</v>
      </c>
      <c r="C7371" t="s" s="834">
        <v>2718</v>
      </c>
      <c r="D7371" s="835">
        <v>46029</v>
      </c>
      <c r="E7371" t="s" s="834">
        <v>478</v>
      </c>
      <c r="F7371" t="s" s="834">
        <v>478</v>
      </c>
      <c r="G7371" s="570"/>
      <c r="H7371" s="570"/>
      <c r="I7371" s="570"/>
      <c r="J7371" s="570"/>
      <c r="K7371" s="570"/>
    </row>
    <row r="7372" ht="13.75" customHeight="1">
      <c r="A7372" s="833">
        <v>374</v>
      </c>
      <c r="B7372" t="s" s="834">
        <v>4828</v>
      </c>
      <c r="C7372" t="s" s="834">
        <v>2718</v>
      </c>
      <c r="D7372" s="835">
        <v>46030</v>
      </c>
      <c r="E7372" t="s" s="834">
        <v>478</v>
      </c>
      <c r="F7372" t="s" s="834">
        <v>478</v>
      </c>
      <c r="G7372" s="570"/>
      <c r="H7372" s="570"/>
      <c r="I7372" s="570"/>
      <c r="J7372" s="570"/>
      <c r="K7372" s="570"/>
    </row>
    <row r="7373" ht="13.75" customHeight="1">
      <c r="A7373" s="833">
        <v>374</v>
      </c>
      <c r="B7373" t="s" s="834">
        <v>4828</v>
      </c>
      <c r="C7373" t="s" s="834">
        <v>2718</v>
      </c>
      <c r="D7373" s="835">
        <v>46031</v>
      </c>
      <c r="E7373" t="s" s="834">
        <v>478</v>
      </c>
      <c r="F7373" t="s" s="834">
        <v>478</v>
      </c>
      <c r="G7373" s="570"/>
      <c r="H7373" s="570"/>
      <c r="I7373" s="570"/>
      <c r="J7373" s="570"/>
      <c r="K7373" s="570"/>
    </row>
    <row r="7374" ht="13.75" customHeight="1">
      <c r="A7374" s="833">
        <v>374</v>
      </c>
      <c r="B7374" t="s" s="834">
        <v>4828</v>
      </c>
      <c r="C7374" t="s" s="834">
        <v>2718</v>
      </c>
      <c r="D7374" s="835">
        <v>46032</v>
      </c>
      <c r="E7374" t="s" s="834">
        <v>478</v>
      </c>
      <c r="F7374" t="s" s="834">
        <v>478</v>
      </c>
      <c r="G7374" s="570"/>
      <c r="H7374" s="570"/>
      <c r="I7374" s="570"/>
      <c r="J7374" s="570"/>
      <c r="K7374" s="570"/>
    </row>
    <row r="7375" ht="13.75" customHeight="1">
      <c r="A7375" s="833">
        <v>374</v>
      </c>
      <c r="B7375" t="s" s="834">
        <v>4828</v>
      </c>
      <c r="C7375" t="s" s="834">
        <v>2718</v>
      </c>
      <c r="D7375" s="835">
        <v>46033</v>
      </c>
      <c r="E7375" t="s" s="834">
        <v>478</v>
      </c>
      <c r="F7375" t="s" s="834">
        <v>478</v>
      </c>
      <c r="G7375" s="570"/>
      <c r="H7375" s="570"/>
      <c r="I7375" s="570"/>
      <c r="J7375" s="570"/>
      <c r="K7375" s="570"/>
    </row>
    <row r="7376" ht="13.75" customHeight="1">
      <c r="A7376" s="833">
        <v>374</v>
      </c>
      <c r="B7376" t="s" s="834">
        <v>4828</v>
      </c>
      <c r="C7376" t="s" s="834">
        <v>2718</v>
      </c>
      <c r="D7376" s="835">
        <v>46034</v>
      </c>
      <c r="E7376" t="s" s="834">
        <v>478</v>
      </c>
      <c r="F7376" t="s" s="834">
        <v>478</v>
      </c>
      <c r="G7376" s="570"/>
      <c r="H7376" s="570"/>
      <c r="I7376" s="570"/>
      <c r="J7376" s="570"/>
      <c r="K7376" s="570"/>
    </row>
    <row r="7377" ht="13.75" customHeight="1">
      <c r="A7377" s="833">
        <v>374</v>
      </c>
      <c r="B7377" t="s" s="834">
        <v>4828</v>
      </c>
      <c r="C7377" t="s" s="834">
        <v>2718</v>
      </c>
      <c r="D7377" s="835">
        <v>46035</v>
      </c>
      <c r="E7377" t="s" s="834">
        <v>478</v>
      </c>
      <c r="F7377" t="s" s="834">
        <v>478</v>
      </c>
      <c r="G7377" s="570"/>
      <c r="H7377" s="570"/>
      <c r="I7377" s="570"/>
      <c r="J7377" s="570"/>
      <c r="K7377" s="570"/>
    </row>
    <row r="7378" ht="13.75" customHeight="1">
      <c r="A7378" s="833">
        <v>374</v>
      </c>
      <c r="B7378" t="s" s="834">
        <v>4828</v>
      </c>
      <c r="C7378" t="s" s="834">
        <v>2718</v>
      </c>
      <c r="D7378" s="835">
        <v>46036</v>
      </c>
      <c r="E7378" t="s" s="834">
        <v>478</v>
      </c>
      <c r="F7378" t="s" s="834">
        <v>478</v>
      </c>
      <c r="G7378" s="570"/>
      <c r="H7378" s="570"/>
      <c r="I7378" s="570"/>
      <c r="J7378" s="570"/>
      <c r="K7378" s="570"/>
    </row>
    <row r="7379" ht="13.75" customHeight="1">
      <c r="A7379" s="833">
        <v>374</v>
      </c>
      <c r="B7379" t="s" s="834">
        <v>4828</v>
      </c>
      <c r="C7379" t="s" s="834">
        <v>2718</v>
      </c>
      <c r="D7379" s="835">
        <v>46037</v>
      </c>
      <c r="E7379" t="s" s="834">
        <v>478</v>
      </c>
      <c r="F7379" t="s" s="834">
        <v>478</v>
      </c>
      <c r="G7379" s="570"/>
      <c r="H7379" s="570"/>
      <c r="I7379" s="570"/>
      <c r="J7379" s="570"/>
      <c r="K7379" s="570"/>
    </row>
    <row r="7380" ht="13.75" customHeight="1">
      <c r="A7380" s="833">
        <v>374</v>
      </c>
      <c r="B7380" t="s" s="834">
        <v>4828</v>
      </c>
      <c r="C7380" t="s" s="834">
        <v>2718</v>
      </c>
      <c r="D7380" s="835">
        <v>46038</v>
      </c>
      <c r="E7380" t="s" s="834">
        <v>478</v>
      </c>
      <c r="F7380" t="s" s="834">
        <v>478</v>
      </c>
      <c r="G7380" s="570"/>
      <c r="H7380" s="570"/>
      <c r="I7380" s="570"/>
      <c r="J7380" s="570"/>
      <c r="K7380" s="570"/>
    </row>
    <row r="7381" ht="13.75" customHeight="1">
      <c r="A7381" s="833">
        <v>374</v>
      </c>
      <c r="B7381" t="s" s="834">
        <v>4828</v>
      </c>
      <c r="C7381" t="s" s="834">
        <v>2718</v>
      </c>
      <c r="D7381" s="835">
        <v>46039</v>
      </c>
      <c r="E7381" t="s" s="834">
        <v>478</v>
      </c>
      <c r="F7381" t="s" s="834">
        <v>478</v>
      </c>
      <c r="G7381" s="570"/>
      <c r="H7381" s="570"/>
      <c r="I7381" s="570"/>
      <c r="J7381" s="570"/>
      <c r="K7381" s="570"/>
    </row>
    <row r="7382" ht="13.75" customHeight="1">
      <c r="A7382" s="833">
        <v>374</v>
      </c>
      <c r="B7382" t="s" s="834">
        <v>4828</v>
      </c>
      <c r="C7382" t="s" s="834">
        <v>2718</v>
      </c>
      <c r="D7382" s="835">
        <v>46040</v>
      </c>
      <c r="E7382" t="s" s="834">
        <v>478</v>
      </c>
      <c r="F7382" t="s" s="834">
        <v>478</v>
      </c>
      <c r="G7382" s="570"/>
      <c r="H7382" s="570"/>
      <c r="I7382" s="570"/>
      <c r="J7382" s="570"/>
      <c r="K7382" s="570"/>
    </row>
    <row r="7383" ht="13.75" customHeight="1">
      <c r="A7383" s="833">
        <v>374</v>
      </c>
      <c r="B7383" t="s" s="834">
        <v>4828</v>
      </c>
      <c r="C7383" t="s" s="834">
        <v>2718</v>
      </c>
      <c r="D7383" s="835">
        <v>46041</v>
      </c>
      <c r="E7383" t="s" s="834">
        <v>478</v>
      </c>
      <c r="F7383" t="s" s="834">
        <v>478</v>
      </c>
      <c r="G7383" s="570"/>
      <c r="H7383" s="570"/>
      <c r="I7383" s="570"/>
      <c r="J7383" s="570"/>
      <c r="K7383" s="570"/>
    </row>
    <row r="7384" ht="13.75" customHeight="1">
      <c r="A7384" s="833">
        <v>374</v>
      </c>
      <c r="B7384" t="s" s="834">
        <v>4828</v>
      </c>
      <c r="C7384" t="s" s="834">
        <v>2718</v>
      </c>
      <c r="D7384" s="835">
        <v>46042</v>
      </c>
      <c r="E7384" t="s" s="834">
        <v>478</v>
      </c>
      <c r="F7384" t="s" s="834">
        <v>478</v>
      </c>
      <c r="G7384" s="570"/>
      <c r="H7384" s="570"/>
      <c r="I7384" s="570"/>
      <c r="J7384" s="570"/>
      <c r="K7384" s="570"/>
    </row>
    <row r="7385" ht="13.75" customHeight="1">
      <c r="A7385" s="833">
        <v>374</v>
      </c>
      <c r="B7385" t="s" s="834">
        <v>4828</v>
      </c>
      <c r="C7385" t="s" s="834">
        <v>2718</v>
      </c>
      <c r="D7385" s="835">
        <v>46043</v>
      </c>
      <c r="E7385" t="s" s="834">
        <v>478</v>
      </c>
      <c r="F7385" t="s" s="834">
        <v>478</v>
      </c>
      <c r="G7385" s="570"/>
      <c r="H7385" s="570"/>
      <c r="I7385" s="570"/>
      <c r="J7385" s="570"/>
      <c r="K7385" s="570"/>
    </row>
    <row r="7386" ht="13.75" customHeight="1">
      <c r="A7386" s="833">
        <v>374</v>
      </c>
      <c r="B7386" t="s" s="834">
        <v>4828</v>
      </c>
      <c r="C7386" t="s" s="834">
        <v>2718</v>
      </c>
      <c r="D7386" s="835">
        <v>46044</v>
      </c>
      <c r="E7386" t="s" s="834">
        <v>478</v>
      </c>
      <c r="F7386" t="s" s="834">
        <v>478</v>
      </c>
      <c r="G7386" s="570"/>
      <c r="H7386" s="570"/>
      <c r="I7386" s="570"/>
      <c r="J7386" s="570"/>
      <c r="K7386" s="570"/>
    </row>
    <row r="7387" ht="13.75" customHeight="1">
      <c r="A7387" s="833">
        <v>374</v>
      </c>
      <c r="B7387" t="s" s="834">
        <v>4828</v>
      </c>
      <c r="C7387" t="s" s="834">
        <v>2718</v>
      </c>
      <c r="D7387" s="835">
        <v>46045</v>
      </c>
      <c r="E7387" t="s" s="834">
        <v>478</v>
      </c>
      <c r="F7387" t="s" s="834">
        <v>478</v>
      </c>
      <c r="G7387" s="570"/>
      <c r="H7387" s="570"/>
      <c r="I7387" s="570"/>
      <c r="J7387" s="570"/>
      <c r="K7387" s="570"/>
    </row>
    <row r="7388" ht="13.75" customHeight="1">
      <c r="A7388" s="833">
        <v>374</v>
      </c>
      <c r="B7388" t="s" s="834">
        <v>4828</v>
      </c>
      <c r="C7388" t="s" s="834">
        <v>2718</v>
      </c>
      <c r="D7388" s="835">
        <v>46046</v>
      </c>
      <c r="E7388" t="s" s="834">
        <v>478</v>
      </c>
      <c r="F7388" t="s" s="834">
        <v>478</v>
      </c>
      <c r="G7388" s="570"/>
      <c r="H7388" s="570"/>
      <c r="I7388" s="570"/>
      <c r="J7388" s="570"/>
      <c r="K7388" s="570"/>
    </row>
    <row r="7389" ht="13.75" customHeight="1">
      <c r="A7389" s="833">
        <v>374</v>
      </c>
      <c r="B7389" t="s" s="834">
        <v>4828</v>
      </c>
      <c r="C7389" t="s" s="834">
        <v>2718</v>
      </c>
      <c r="D7389" s="835">
        <v>46047</v>
      </c>
      <c r="E7389" t="s" s="834">
        <v>478</v>
      </c>
      <c r="F7389" t="s" s="834">
        <v>478</v>
      </c>
      <c r="G7389" s="570"/>
      <c r="H7389" s="570"/>
      <c r="I7389" s="570"/>
      <c r="J7389" s="570"/>
      <c r="K7389" s="570"/>
    </row>
    <row r="7390" ht="13.75" customHeight="1">
      <c r="A7390" s="833">
        <v>374</v>
      </c>
      <c r="B7390" t="s" s="834">
        <v>4828</v>
      </c>
      <c r="C7390" t="s" s="834">
        <v>2718</v>
      </c>
      <c r="D7390" s="835">
        <v>46048</v>
      </c>
      <c r="E7390" t="s" s="834">
        <v>478</v>
      </c>
      <c r="F7390" t="s" s="834">
        <v>478</v>
      </c>
      <c r="G7390" s="570"/>
      <c r="H7390" s="570"/>
      <c r="I7390" s="570"/>
      <c r="J7390" s="570"/>
      <c r="K7390" s="570"/>
    </row>
    <row r="7391" ht="13.75" customHeight="1">
      <c r="A7391" s="833">
        <v>374</v>
      </c>
      <c r="B7391" t="s" s="834">
        <v>4828</v>
      </c>
      <c r="C7391" t="s" s="834">
        <v>2718</v>
      </c>
      <c r="D7391" s="835">
        <v>46049</v>
      </c>
      <c r="E7391" t="s" s="834">
        <v>478</v>
      </c>
      <c r="F7391" t="s" s="834">
        <v>478</v>
      </c>
      <c r="G7391" s="570"/>
      <c r="H7391" s="570"/>
      <c r="I7391" s="570"/>
      <c r="J7391" s="570"/>
      <c r="K7391" s="570"/>
    </row>
    <row r="7392" ht="13.75" customHeight="1">
      <c r="A7392" s="833">
        <v>374</v>
      </c>
      <c r="B7392" t="s" s="834">
        <v>4828</v>
      </c>
      <c r="C7392" t="s" s="834">
        <v>2718</v>
      </c>
      <c r="D7392" s="835">
        <v>46050</v>
      </c>
      <c r="E7392" t="s" s="834">
        <v>478</v>
      </c>
      <c r="F7392" t="s" s="834">
        <v>478</v>
      </c>
      <c r="G7392" s="570"/>
      <c r="H7392" s="570"/>
      <c r="I7392" s="570"/>
      <c r="J7392" s="570"/>
      <c r="K7392" s="570"/>
    </row>
    <row r="7393" ht="13.75" customHeight="1">
      <c r="A7393" s="833">
        <v>374</v>
      </c>
      <c r="B7393" t="s" s="834">
        <v>4828</v>
      </c>
      <c r="C7393" t="s" s="834">
        <v>2718</v>
      </c>
      <c r="D7393" s="835">
        <v>46051</v>
      </c>
      <c r="E7393" t="s" s="834">
        <v>478</v>
      </c>
      <c r="F7393" t="s" s="834">
        <v>478</v>
      </c>
      <c r="G7393" s="570"/>
      <c r="H7393" s="570"/>
      <c r="I7393" s="570"/>
      <c r="J7393" s="570"/>
      <c r="K7393" s="570"/>
    </row>
    <row r="7394" ht="13.75" customHeight="1">
      <c r="A7394" s="833">
        <v>374</v>
      </c>
      <c r="B7394" t="s" s="834">
        <v>4828</v>
      </c>
      <c r="C7394" t="s" s="834">
        <v>2718</v>
      </c>
      <c r="D7394" s="835">
        <v>46052</v>
      </c>
      <c r="E7394" t="s" s="834">
        <v>478</v>
      </c>
      <c r="F7394" t="s" s="834">
        <v>478</v>
      </c>
      <c r="G7394" s="570"/>
      <c r="H7394" s="570"/>
      <c r="I7394" s="570"/>
      <c r="J7394" s="570"/>
      <c r="K7394" s="570"/>
    </row>
    <row r="7395" ht="13.75" customHeight="1">
      <c r="A7395" s="833">
        <v>374</v>
      </c>
      <c r="B7395" t="s" s="834">
        <v>4828</v>
      </c>
      <c r="C7395" t="s" s="834">
        <v>2718</v>
      </c>
      <c r="D7395" s="835">
        <v>46053</v>
      </c>
      <c r="E7395" t="s" s="834">
        <v>478</v>
      </c>
      <c r="F7395" t="s" s="834">
        <v>478</v>
      </c>
      <c r="G7395" s="570"/>
      <c r="H7395" s="570"/>
      <c r="I7395" s="570"/>
      <c r="J7395" s="570"/>
      <c r="K7395" s="570"/>
    </row>
    <row r="7396" ht="13.75" customHeight="1">
      <c r="A7396" s="833">
        <v>374</v>
      </c>
      <c r="B7396" t="s" s="834">
        <v>4828</v>
      </c>
      <c r="C7396" t="s" s="834">
        <v>2718</v>
      </c>
      <c r="D7396" s="835">
        <v>46054</v>
      </c>
      <c r="E7396" t="s" s="834">
        <v>478</v>
      </c>
      <c r="F7396" t="s" s="834">
        <v>478</v>
      </c>
      <c r="G7396" s="570"/>
      <c r="H7396" s="570"/>
      <c r="I7396" s="570"/>
      <c r="J7396" s="570"/>
      <c r="K7396" s="570"/>
    </row>
    <row r="7397" ht="13.75" customHeight="1">
      <c r="A7397" s="833">
        <v>375</v>
      </c>
      <c r="B7397" t="s" s="834">
        <v>4829</v>
      </c>
      <c r="C7397" t="s" s="834">
        <v>2718</v>
      </c>
      <c r="D7397" s="835">
        <v>46023</v>
      </c>
      <c r="E7397" t="s" s="834">
        <v>478</v>
      </c>
      <c r="F7397" t="s" s="834">
        <v>478</v>
      </c>
      <c r="G7397" s="570"/>
      <c r="H7397" s="570"/>
      <c r="I7397" s="570"/>
      <c r="J7397" s="570"/>
      <c r="K7397" s="570"/>
    </row>
    <row r="7398" ht="13.75" customHeight="1">
      <c r="A7398" s="833">
        <v>375</v>
      </c>
      <c r="B7398" t="s" s="834">
        <v>4829</v>
      </c>
      <c r="C7398" t="s" s="834">
        <v>2718</v>
      </c>
      <c r="D7398" s="835">
        <v>46024</v>
      </c>
      <c r="E7398" t="s" s="834">
        <v>478</v>
      </c>
      <c r="F7398" t="s" s="834">
        <v>478</v>
      </c>
      <c r="G7398" s="570"/>
      <c r="H7398" s="570"/>
      <c r="I7398" s="570"/>
      <c r="J7398" s="570"/>
      <c r="K7398" s="570"/>
    </row>
    <row r="7399" ht="13.75" customHeight="1">
      <c r="A7399" s="833">
        <v>375</v>
      </c>
      <c r="B7399" t="s" s="834">
        <v>4829</v>
      </c>
      <c r="C7399" t="s" s="834">
        <v>2718</v>
      </c>
      <c r="D7399" s="835">
        <v>46025</v>
      </c>
      <c r="E7399" t="s" s="834">
        <v>478</v>
      </c>
      <c r="F7399" t="s" s="834">
        <v>478</v>
      </c>
      <c r="G7399" s="570"/>
      <c r="H7399" s="570"/>
      <c r="I7399" s="570"/>
      <c r="J7399" s="570"/>
      <c r="K7399" s="570"/>
    </row>
    <row r="7400" ht="13.75" customHeight="1">
      <c r="A7400" s="833">
        <v>375</v>
      </c>
      <c r="B7400" t="s" s="834">
        <v>4829</v>
      </c>
      <c r="C7400" t="s" s="834">
        <v>2718</v>
      </c>
      <c r="D7400" s="835">
        <v>46026</v>
      </c>
      <c r="E7400" t="s" s="834">
        <v>478</v>
      </c>
      <c r="F7400" t="s" s="834">
        <v>478</v>
      </c>
      <c r="G7400" s="570"/>
      <c r="H7400" s="570"/>
      <c r="I7400" s="570"/>
      <c r="J7400" s="570"/>
      <c r="K7400" s="570"/>
    </row>
    <row r="7401" ht="13.75" customHeight="1">
      <c r="A7401" s="833">
        <v>375</v>
      </c>
      <c r="B7401" t="s" s="834">
        <v>4829</v>
      </c>
      <c r="C7401" t="s" s="834">
        <v>2718</v>
      </c>
      <c r="D7401" s="835">
        <v>46027</v>
      </c>
      <c r="E7401" t="s" s="834">
        <v>478</v>
      </c>
      <c r="F7401" t="s" s="834">
        <v>478</v>
      </c>
      <c r="G7401" s="570"/>
      <c r="H7401" s="570"/>
      <c r="I7401" s="570"/>
      <c r="J7401" s="570"/>
      <c r="K7401" s="570"/>
    </row>
    <row r="7402" ht="13.75" customHeight="1">
      <c r="A7402" s="833">
        <v>375</v>
      </c>
      <c r="B7402" t="s" s="834">
        <v>4829</v>
      </c>
      <c r="C7402" t="s" s="834">
        <v>2718</v>
      </c>
      <c r="D7402" s="835">
        <v>46028</v>
      </c>
      <c r="E7402" t="s" s="834">
        <v>478</v>
      </c>
      <c r="F7402" t="s" s="834">
        <v>478</v>
      </c>
      <c r="G7402" s="570"/>
      <c r="H7402" s="570"/>
      <c r="I7402" s="570"/>
      <c r="J7402" s="570"/>
      <c r="K7402" s="570"/>
    </row>
    <row r="7403" ht="13.75" customHeight="1">
      <c r="A7403" s="833">
        <v>375</v>
      </c>
      <c r="B7403" t="s" s="834">
        <v>4829</v>
      </c>
      <c r="C7403" t="s" s="834">
        <v>2718</v>
      </c>
      <c r="D7403" s="835">
        <v>46029</v>
      </c>
      <c r="E7403" t="s" s="834">
        <v>478</v>
      </c>
      <c r="F7403" t="s" s="834">
        <v>478</v>
      </c>
      <c r="G7403" s="570"/>
      <c r="H7403" s="570"/>
      <c r="I7403" s="570"/>
      <c r="J7403" s="570"/>
      <c r="K7403" s="570"/>
    </row>
    <row r="7404" ht="13.75" customHeight="1">
      <c r="A7404" s="833">
        <v>375</v>
      </c>
      <c r="B7404" t="s" s="834">
        <v>4829</v>
      </c>
      <c r="C7404" t="s" s="834">
        <v>2718</v>
      </c>
      <c r="D7404" s="835">
        <v>46030</v>
      </c>
      <c r="E7404" t="s" s="834">
        <v>478</v>
      </c>
      <c r="F7404" t="s" s="834">
        <v>478</v>
      </c>
      <c r="G7404" s="570"/>
      <c r="H7404" s="570"/>
      <c r="I7404" s="570"/>
      <c r="J7404" s="570"/>
      <c r="K7404" s="570"/>
    </row>
    <row r="7405" ht="13.75" customHeight="1">
      <c r="A7405" s="833">
        <v>375</v>
      </c>
      <c r="B7405" t="s" s="834">
        <v>4829</v>
      </c>
      <c r="C7405" t="s" s="834">
        <v>2718</v>
      </c>
      <c r="D7405" s="835">
        <v>46031</v>
      </c>
      <c r="E7405" t="s" s="834">
        <v>478</v>
      </c>
      <c r="F7405" t="s" s="834">
        <v>478</v>
      </c>
      <c r="G7405" s="570"/>
      <c r="H7405" s="570"/>
      <c r="I7405" s="570"/>
      <c r="J7405" s="570"/>
      <c r="K7405" s="570"/>
    </row>
    <row r="7406" ht="13.75" customHeight="1">
      <c r="A7406" s="833">
        <v>375</v>
      </c>
      <c r="B7406" t="s" s="834">
        <v>4829</v>
      </c>
      <c r="C7406" t="s" s="834">
        <v>2718</v>
      </c>
      <c r="D7406" s="835">
        <v>46032</v>
      </c>
      <c r="E7406" t="s" s="834">
        <v>478</v>
      </c>
      <c r="F7406" t="s" s="834">
        <v>478</v>
      </c>
      <c r="G7406" s="570"/>
      <c r="H7406" s="570"/>
      <c r="I7406" s="570"/>
      <c r="J7406" s="570"/>
      <c r="K7406" s="570"/>
    </row>
    <row r="7407" ht="13.75" customHeight="1">
      <c r="A7407" s="833">
        <v>375</v>
      </c>
      <c r="B7407" t="s" s="834">
        <v>4829</v>
      </c>
      <c r="C7407" t="s" s="834">
        <v>2718</v>
      </c>
      <c r="D7407" s="835">
        <v>46033</v>
      </c>
      <c r="E7407" t="s" s="834">
        <v>478</v>
      </c>
      <c r="F7407" t="s" s="834">
        <v>478</v>
      </c>
      <c r="G7407" s="570"/>
      <c r="H7407" s="570"/>
      <c r="I7407" s="570"/>
      <c r="J7407" s="570"/>
      <c r="K7407" s="570"/>
    </row>
    <row r="7408" ht="13.75" customHeight="1">
      <c r="A7408" s="833">
        <v>375</v>
      </c>
      <c r="B7408" t="s" s="834">
        <v>4829</v>
      </c>
      <c r="C7408" t="s" s="834">
        <v>2718</v>
      </c>
      <c r="D7408" s="835">
        <v>46034</v>
      </c>
      <c r="E7408" t="s" s="834">
        <v>478</v>
      </c>
      <c r="F7408" t="s" s="834">
        <v>478</v>
      </c>
      <c r="G7408" s="570"/>
      <c r="H7408" s="570"/>
      <c r="I7408" s="570"/>
      <c r="J7408" s="570"/>
      <c r="K7408" s="570"/>
    </row>
    <row r="7409" ht="13.75" customHeight="1">
      <c r="A7409" s="833">
        <v>375</v>
      </c>
      <c r="B7409" t="s" s="834">
        <v>4829</v>
      </c>
      <c r="C7409" t="s" s="834">
        <v>2718</v>
      </c>
      <c r="D7409" s="835">
        <v>46035</v>
      </c>
      <c r="E7409" t="s" s="834">
        <v>478</v>
      </c>
      <c r="F7409" t="s" s="834">
        <v>478</v>
      </c>
      <c r="G7409" s="570"/>
      <c r="H7409" s="570"/>
      <c r="I7409" s="570"/>
      <c r="J7409" s="570"/>
      <c r="K7409" s="570"/>
    </row>
    <row r="7410" ht="13.75" customHeight="1">
      <c r="A7410" s="833">
        <v>375</v>
      </c>
      <c r="B7410" t="s" s="834">
        <v>4829</v>
      </c>
      <c r="C7410" t="s" s="834">
        <v>2718</v>
      </c>
      <c r="D7410" s="835">
        <v>46036</v>
      </c>
      <c r="E7410" t="s" s="834">
        <v>478</v>
      </c>
      <c r="F7410" t="s" s="834">
        <v>478</v>
      </c>
      <c r="G7410" s="570"/>
      <c r="H7410" s="570"/>
      <c r="I7410" s="570"/>
      <c r="J7410" s="570"/>
      <c r="K7410" s="570"/>
    </row>
    <row r="7411" ht="13.75" customHeight="1">
      <c r="A7411" s="833">
        <v>375</v>
      </c>
      <c r="B7411" t="s" s="834">
        <v>4829</v>
      </c>
      <c r="C7411" t="s" s="834">
        <v>2718</v>
      </c>
      <c r="D7411" s="835">
        <v>46037</v>
      </c>
      <c r="E7411" t="s" s="834">
        <v>478</v>
      </c>
      <c r="F7411" t="s" s="834">
        <v>478</v>
      </c>
      <c r="G7411" s="570"/>
      <c r="H7411" s="570"/>
      <c r="I7411" s="570"/>
      <c r="J7411" s="570"/>
      <c r="K7411" s="570"/>
    </row>
    <row r="7412" ht="13.75" customHeight="1">
      <c r="A7412" s="833">
        <v>375</v>
      </c>
      <c r="B7412" t="s" s="834">
        <v>4829</v>
      </c>
      <c r="C7412" t="s" s="834">
        <v>2718</v>
      </c>
      <c r="D7412" s="835">
        <v>46038</v>
      </c>
      <c r="E7412" t="s" s="834">
        <v>478</v>
      </c>
      <c r="F7412" t="s" s="834">
        <v>478</v>
      </c>
      <c r="G7412" s="570"/>
      <c r="H7412" s="570"/>
      <c r="I7412" s="570"/>
      <c r="J7412" s="570"/>
      <c r="K7412" s="570"/>
    </row>
    <row r="7413" ht="13.75" customHeight="1">
      <c r="A7413" s="833">
        <v>375</v>
      </c>
      <c r="B7413" t="s" s="834">
        <v>4829</v>
      </c>
      <c r="C7413" t="s" s="834">
        <v>2718</v>
      </c>
      <c r="D7413" s="835">
        <v>46039</v>
      </c>
      <c r="E7413" t="s" s="834">
        <v>478</v>
      </c>
      <c r="F7413" t="s" s="834">
        <v>478</v>
      </c>
      <c r="G7413" s="570"/>
      <c r="H7413" s="570"/>
      <c r="I7413" s="570"/>
      <c r="J7413" s="570"/>
      <c r="K7413" s="570"/>
    </row>
    <row r="7414" ht="13.75" customHeight="1">
      <c r="A7414" s="833">
        <v>375</v>
      </c>
      <c r="B7414" t="s" s="834">
        <v>4829</v>
      </c>
      <c r="C7414" t="s" s="834">
        <v>2718</v>
      </c>
      <c r="D7414" s="835">
        <v>46040</v>
      </c>
      <c r="E7414" t="s" s="834">
        <v>478</v>
      </c>
      <c r="F7414" t="s" s="834">
        <v>478</v>
      </c>
      <c r="G7414" s="570"/>
      <c r="H7414" s="570"/>
      <c r="I7414" s="570"/>
      <c r="J7414" s="570"/>
      <c r="K7414" s="570"/>
    </row>
    <row r="7415" ht="13.75" customHeight="1">
      <c r="A7415" s="833">
        <v>375</v>
      </c>
      <c r="B7415" t="s" s="834">
        <v>4829</v>
      </c>
      <c r="C7415" t="s" s="834">
        <v>2718</v>
      </c>
      <c r="D7415" s="835">
        <v>46041</v>
      </c>
      <c r="E7415" t="s" s="834">
        <v>478</v>
      </c>
      <c r="F7415" t="s" s="834">
        <v>478</v>
      </c>
      <c r="G7415" s="570"/>
      <c r="H7415" s="570"/>
      <c r="I7415" s="570"/>
      <c r="J7415" s="570"/>
      <c r="K7415" s="570"/>
    </row>
    <row r="7416" ht="13.75" customHeight="1">
      <c r="A7416" s="833">
        <v>375</v>
      </c>
      <c r="B7416" t="s" s="834">
        <v>4829</v>
      </c>
      <c r="C7416" t="s" s="834">
        <v>2718</v>
      </c>
      <c r="D7416" s="835">
        <v>46042</v>
      </c>
      <c r="E7416" t="s" s="834">
        <v>478</v>
      </c>
      <c r="F7416" t="s" s="834">
        <v>478</v>
      </c>
      <c r="G7416" s="570"/>
      <c r="H7416" s="570"/>
      <c r="I7416" s="570"/>
      <c r="J7416" s="570"/>
      <c r="K7416" s="570"/>
    </row>
    <row r="7417" ht="13.75" customHeight="1">
      <c r="A7417" s="833">
        <v>375</v>
      </c>
      <c r="B7417" t="s" s="834">
        <v>4829</v>
      </c>
      <c r="C7417" t="s" s="834">
        <v>2718</v>
      </c>
      <c r="D7417" s="835">
        <v>46043</v>
      </c>
      <c r="E7417" t="s" s="834">
        <v>478</v>
      </c>
      <c r="F7417" t="s" s="834">
        <v>478</v>
      </c>
      <c r="G7417" s="570"/>
      <c r="H7417" s="570"/>
      <c r="I7417" s="570"/>
      <c r="J7417" s="570"/>
      <c r="K7417" s="570"/>
    </row>
    <row r="7418" ht="13.75" customHeight="1">
      <c r="A7418" s="833">
        <v>375</v>
      </c>
      <c r="B7418" t="s" s="834">
        <v>4829</v>
      </c>
      <c r="C7418" t="s" s="834">
        <v>2718</v>
      </c>
      <c r="D7418" s="835">
        <v>46044</v>
      </c>
      <c r="E7418" t="s" s="834">
        <v>478</v>
      </c>
      <c r="F7418" t="s" s="834">
        <v>478</v>
      </c>
      <c r="G7418" s="570"/>
      <c r="H7418" s="570"/>
      <c r="I7418" s="570"/>
      <c r="J7418" s="570"/>
      <c r="K7418" s="570"/>
    </row>
    <row r="7419" ht="13.75" customHeight="1">
      <c r="A7419" s="833">
        <v>375</v>
      </c>
      <c r="B7419" t="s" s="834">
        <v>4829</v>
      </c>
      <c r="C7419" t="s" s="834">
        <v>2718</v>
      </c>
      <c r="D7419" s="835">
        <v>46045</v>
      </c>
      <c r="E7419" t="s" s="834">
        <v>478</v>
      </c>
      <c r="F7419" t="s" s="834">
        <v>478</v>
      </c>
      <c r="G7419" s="570"/>
      <c r="H7419" s="570"/>
      <c r="I7419" s="570"/>
      <c r="J7419" s="570"/>
      <c r="K7419" s="570"/>
    </row>
    <row r="7420" ht="13.75" customHeight="1">
      <c r="A7420" s="833">
        <v>375</v>
      </c>
      <c r="B7420" t="s" s="834">
        <v>4829</v>
      </c>
      <c r="C7420" t="s" s="834">
        <v>2718</v>
      </c>
      <c r="D7420" s="835">
        <v>46046</v>
      </c>
      <c r="E7420" t="s" s="834">
        <v>478</v>
      </c>
      <c r="F7420" t="s" s="834">
        <v>478</v>
      </c>
      <c r="G7420" s="570"/>
      <c r="H7420" s="570"/>
      <c r="I7420" s="570"/>
      <c r="J7420" s="570"/>
      <c r="K7420" s="570"/>
    </row>
    <row r="7421" ht="13.75" customHeight="1">
      <c r="A7421" s="833">
        <v>375</v>
      </c>
      <c r="B7421" t="s" s="834">
        <v>4829</v>
      </c>
      <c r="C7421" t="s" s="834">
        <v>2718</v>
      </c>
      <c r="D7421" s="835">
        <v>46047</v>
      </c>
      <c r="E7421" t="s" s="834">
        <v>478</v>
      </c>
      <c r="F7421" t="s" s="834">
        <v>478</v>
      </c>
      <c r="G7421" s="570"/>
      <c r="H7421" s="570"/>
      <c r="I7421" s="570"/>
      <c r="J7421" s="570"/>
      <c r="K7421" s="570"/>
    </row>
    <row r="7422" ht="13.75" customHeight="1">
      <c r="A7422" s="833">
        <v>375</v>
      </c>
      <c r="B7422" t="s" s="834">
        <v>4829</v>
      </c>
      <c r="C7422" t="s" s="834">
        <v>2718</v>
      </c>
      <c r="D7422" s="835">
        <v>46048</v>
      </c>
      <c r="E7422" t="s" s="834">
        <v>478</v>
      </c>
      <c r="F7422" t="s" s="834">
        <v>478</v>
      </c>
      <c r="G7422" s="570"/>
      <c r="H7422" s="570"/>
      <c r="I7422" s="570"/>
      <c r="J7422" s="570"/>
      <c r="K7422" s="570"/>
    </row>
    <row r="7423" ht="13.75" customHeight="1">
      <c r="A7423" s="833">
        <v>375</v>
      </c>
      <c r="B7423" t="s" s="834">
        <v>4829</v>
      </c>
      <c r="C7423" t="s" s="834">
        <v>2718</v>
      </c>
      <c r="D7423" s="835">
        <v>46049</v>
      </c>
      <c r="E7423" t="s" s="834">
        <v>478</v>
      </c>
      <c r="F7423" t="s" s="834">
        <v>478</v>
      </c>
      <c r="G7423" s="570"/>
      <c r="H7423" s="570"/>
      <c r="I7423" s="570"/>
      <c r="J7423" s="570"/>
      <c r="K7423" s="570"/>
    </row>
    <row r="7424" ht="13.75" customHeight="1">
      <c r="A7424" s="833">
        <v>375</v>
      </c>
      <c r="B7424" t="s" s="834">
        <v>4829</v>
      </c>
      <c r="C7424" t="s" s="834">
        <v>2718</v>
      </c>
      <c r="D7424" s="835">
        <v>46050</v>
      </c>
      <c r="E7424" t="s" s="834">
        <v>478</v>
      </c>
      <c r="F7424" t="s" s="834">
        <v>478</v>
      </c>
      <c r="G7424" s="570"/>
      <c r="H7424" s="570"/>
      <c r="I7424" s="570"/>
      <c r="J7424" s="570"/>
      <c r="K7424" s="570"/>
    </row>
    <row r="7425" ht="13.75" customHeight="1">
      <c r="A7425" s="833">
        <v>375</v>
      </c>
      <c r="B7425" t="s" s="834">
        <v>4829</v>
      </c>
      <c r="C7425" t="s" s="834">
        <v>2718</v>
      </c>
      <c r="D7425" s="835">
        <v>46051</v>
      </c>
      <c r="E7425" t="s" s="834">
        <v>478</v>
      </c>
      <c r="F7425" t="s" s="834">
        <v>478</v>
      </c>
      <c r="G7425" s="570"/>
      <c r="H7425" s="570"/>
      <c r="I7425" s="570"/>
      <c r="J7425" s="570"/>
      <c r="K7425" s="570"/>
    </row>
    <row r="7426" ht="13.75" customHeight="1">
      <c r="A7426" s="833">
        <v>375</v>
      </c>
      <c r="B7426" t="s" s="834">
        <v>4829</v>
      </c>
      <c r="C7426" t="s" s="834">
        <v>2718</v>
      </c>
      <c r="D7426" s="835">
        <v>46052</v>
      </c>
      <c r="E7426" t="s" s="834">
        <v>478</v>
      </c>
      <c r="F7426" t="s" s="834">
        <v>478</v>
      </c>
      <c r="G7426" s="570"/>
      <c r="H7426" s="570"/>
      <c r="I7426" s="570"/>
      <c r="J7426" s="570"/>
      <c r="K7426" s="570"/>
    </row>
    <row r="7427" ht="13.75" customHeight="1">
      <c r="A7427" s="833">
        <v>375</v>
      </c>
      <c r="B7427" t="s" s="834">
        <v>4829</v>
      </c>
      <c r="C7427" t="s" s="834">
        <v>2718</v>
      </c>
      <c r="D7427" s="835">
        <v>46053</v>
      </c>
      <c r="E7427" t="s" s="834">
        <v>478</v>
      </c>
      <c r="F7427" t="s" s="834">
        <v>478</v>
      </c>
      <c r="G7427" s="570"/>
      <c r="H7427" s="570"/>
      <c r="I7427" s="570"/>
      <c r="J7427" s="570"/>
      <c r="K7427" s="570"/>
    </row>
    <row r="7428" ht="13.75" customHeight="1">
      <c r="A7428" s="833">
        <v>375</v>
      </c>
      <c r="B7428" t="s" s="834">
        <v>4829</v>
      </c>
      <c r="C7428" t="s" s="834">
        <v>2718</v>
      </c>
      <c r="D7428" s="835">
        <v>46054</v>
      </c>
      <c r="E7428" t="s" s="834">
        <v>478</v>
      </c>
      <c r="F7428" t="s" s="834">
        <v>478</v>
      </c>
      <c r="G7428" s="570"/>
      <c r="H7428" s="570"/>
      <c r="I7428" s="570"/>
      <c r="J7428" s="570"/>
      <c r="K7428" s="570"/>
    </row>
    <row r="7429" ht="13.75" customHeight="1">
      <c r="A7429" s="833">
        <v>376</v>
      </c>
      <c r="B7429" t="s" s="834">
        <v>4830</v>
      </c>
      <c r="C7429" t="s" s="834">
        <v>892</v>
      </c>
      <c r="D7429" s="835">
        <v>46023</v>
      </c>
      <c r="E7429" t="s" s="834">
        <v>478</v>
      </c>
      <c r="F7429" t="s" s="834">
        <v>478</v>
      </c>
      <c r="G7429" s="570"/>
      <c r="H7429" s="570"/>
      <c r="I7429" s="570"/>
      <c r="J7429" s="570"/>
      <c r="K7429" s="570"/>
    </row>
    <row r="7430" ht="13.75" customHeight="1">
      <c r="A7430" s="833">
        <v>376</v>
      </c>
      <c r="B7430" t="s" s="834">
        <v>4830</v>
      </c>
      <c r="C7430" t="s" s="834">
        <v>892</v>
      </c>
      <c r="D7430" s="835">
        <v>46024</v>
      </c>
      <c r="E7430" t="s" s="834">
        <v>478</v>
      </c>
      <c r="F7430" t="s" s="834">
        <v>478</v>
      </c>
      <c r="G7430" s="570"/>
      <c r="H7430" s="570"/>
      <c r="I7430" s="570"/>
      <c r="J7430" s="570"/>
      <c r="K7430" s="570"/>
    </row>
    <row r="7431" ht="13.75" customHeight="1">
      <c r="A7431" s="833">
        <v>376</v>
      </c>
      <c r="B7431" t="s" s="834">
        <v>4830</v>
      </c>
      <c r="C7431" t="s" s="834">
        <v>892</v>
      </c>
      <c r="D7431" s="835">
        <v>46025</v>
      </c>
      <c r="E7431" t="s" s="834">
        <v>478</v>
      </c>
      <c r="F7431" t="s" s="834">
        <v>478</v>
      </c>
      <c r="G7431" s="570"/>
      <c r="H7431" s="570"/>
      <c r="I7431" s="570"/>
      <c r="J7431" s="570"/>
      <c r="K7431" s="570"/>
    </row>
    <row r="7432" ht="13.75" customHeight="1">
      <c r="A7432" s="833">
        <v>376</v>
      </c>
      <c r="B7432" t="s" s="834">
        <v>4830</v>
      </c>
      <c r="C7432" t="s" s="834">
        <v>892</v>
      </c>
      <c r="D7432" s="835">
        <v>46026</v>
      </c>
      <c r="E7432" t="s" s="834">
        <v>478</v>
      </c>
      <c r="F7432" t="s" s="834">
        <v>478</v>
      </c>
      <c r="G7432" s="570"/>
      <c r="H7432" s="570"/>
      <c r="I7432" s="570"/>
      <c r="J7432" s="570"/>
      <c r="K7432" s="570"/>
    </row>
    <row r="7433" ht="13.75" customHeight="1">
      <c r="A7433" s="833">
        <v>376</v>
      </c>
      <c r="B7433" t="s" s="834">
        <v>4830</v>
      </c>
      <c r="C7433" t="s" s="834">
        <v>892</v>
      </c>
      <c r="D7433" s="835">
        <v>46027</v>
      </c>
      <c r="E7433" t="s" s="834">
        <v>478</v>
      </c>
      <c r="F7433" t="s" s="834">
        <v>478</v>
      </c>
      <c r="G7433" s="570"/>
      <c r="H7433" s="570"/>
      <c r="I7433" s="570"/>
      <c r="J7433" s="570"/>
      <c r="K7433" s="570"/>
    </row>
    <row r="7434" ht="13.75" customHeight="1">
      <c r="A7434" s="833">
        <v>376</v>
      </c>
      <c r="B7434" t="s" s="834">
        <v>4830</v>
      </c>
      <c r="C7434" t="s" s="834">
        <v>892</v>
      </c>
      <c r="D7434" s="835">
        <v>46028</v>
      </c>
      <c r="E7434" t="s" s="834">
        <v>478</v>
      </c>
      <c r="F7434" t="s" s="834">
        <v>478</v>
      </c>
      <c r="G7434" s="570"/>
      <c r="H7434" s="570"/>
      <c r="I7434" s="570"/>
      <c r="J7434" s="570"/>
      <c r="K7434" s="570"/>
    </row>
    <row r="7435" ht="13.75" customHeight="1">
      <c r="A7435" s="833">
        <v>376</v>
      </c>
      <c r="B7435" t="s" s="834">
        <v>4830</v>
      </c>
      <c r="C7435" t="s" s="834">
        <v>892</v>
      </c>
      <c r="D7435" s="835">
        <v>46029</v>
      </c>
      <c r="E7435" t="s" s="834">
        <v>478</v>
      </c>
      <c r="F7435" t="s" s="834">
        <v>478</v>
      </c>
      <c r="G7435" s="570"/>
      <c r="H7435" s="570"/>
      <c r="I7435" s="570"/>
      <c r="J7435" s="570"/>
      <c r="K7435" s="570"/>
    </row>
    <row r="7436" ht="13.75" customHeight="1">
      <c r="A7436" s="833">
        <v>376</v>
      </c>
      <c r="B7436" t="s" s="834">
        <v>4830</v>
      </c>
      <c r="C7436" t="s" s="834">
        <v>892</v>
      </c>
      <c r="D7436" s="835">
        <v>46030</v>
      </c>
      <c r="E7436" t="s" s="834">
        <v>478</v>
      </c>
      <c r="F7436" t="s" s="834">
        <v>478</v>
      </c>
      <c r="G7436" s="570"/>
      <c r="H7436" s="570"/>
      <c r="I7436" s="570"/>
      <c r="J7436" s="570"/>
      <c r="K7436" s="570"/>
    </row>
    <row r="7437" ht="13.75" customHeight="1">
      <c r="A7437" s="833">
        <v>376</v>
      </c>
      <c r="B7437" t="s" s="834">
        <v>4830</v>
      </c>
      <c r="C7437" t="s" s="834">
        <v>892</v>
      </c>
      <c r="D7437" s="835">
        <v>46031</v>
      </c>
      <c r="E7437" t="s" s="834">
        <v>478</v>
      </c>
      <c r="F7437" t="s" s="834">
        <v>478</v>
      </c>
      <c r="G7437" s="570"/>
      <c r="H7437" s="570"/>
      <c r="I7437" s="570"/>
      <c r="J7437" s="570"/>
      <c r="K7437" s="570"/>
    </row>
    <row r="7438" ht="13.75" customHeight="1">
      <c r="A7438" s="833">
        <v>376</v>
      </c>
      <c r="B7438" t="s" s="834">
        <v>4830</v>
      </c>
      <c r="C7438" t="s" s="834">
        <v>892</v>
      </c>
      <c r="D7438" s="835">
        <v>46032</v>
      </c>
      <c r="E7438" t="s" s="834">
        <v>478</v>
      </c>
      <c r="F7438" t="s" s="834">
        <v>478</v>
      </c>
      <c r="G7438" s="570"/>
      <c r="H7438" s="570"/>
      <c r="I7438" s="570"/>
      <c r="J7438" s="570"/>
      <c r="K7438" s="570"/>
    </row>
    <row r="7439" ht="13.75" customHeight="1">
      <c r="A7439" s="833">
        <v>376</v>
      </c>
      <c r="B7439" t="s" s="834">
        <v>4830</v>
      </c>
      <c r="C7439" t="s" s="834">
        <v>892</v>
      </c>
      <c r="D7439" s="835">
        <v>46033</v>
      </c>
      <c r="E7439" t="s" s="834">
        <v>478</v>
      </c>
      <c r="F7439" t="s" s="834">
        <v>478</v>
      </c>
      <c r="G7439" s="570"/>
      <c r="H7439" s="570"/>
      <c r="I7439" s="570"/>
      <c r="J7439" s="570"/>
      <c r="K7439" s="570"/>
    </row>
    <row r="7440" ht="13.75" customHeight="1">
      <c r="A7440" s="833">
        <v>376</v>
      </c>
      <c r="B7440" t="s" s="834">
        <v>4830</v>
      </c>
      <c r="C7440" t="s" s="834">
        <v>892</v>
      </c>
      <c r="D7440" s="835">
        <v>46034</v>
      </c>
      <c r="E7440" t="s" s="834">
        <v>478</v>
      </c>
      <c r="F7440" t="s" s="834">
        <v>478</v>
      </c>
      <c r="G7440" s="570"/>
      <c r="H7440" s="570"/>
      <c r="I7440" s="570"/>
      <c r="J7440" s="570"/>
      <c r="K7440" s="570"/>
    </row>
    <row r="7441" ht="13.75" customHeight="1">
      <c r="A7441" s="833">
        <v>376</v>
      </c>
      <c r="B7441" t="s" s="834">
        <v>4830</v>
      </c>
      <c r="C7441" t="s" s="834">
        <v>892</v>
      </c>
      <c r="D7441" s="835">
        <v>46035</v>
      </c>
      <c r="E7441" t="s" s="834">
        <v>478</v>
      </c>
      <c r="F7441" t="s" s="834">
        <v>478</v>
      </c>
      <c r="G7441" s="570"/>
      <c r="H7441" s="570"/>
      <c r="I7441" s="570"/>
      <c r="J7441" s="570"/>
      <c r="K7441" s="570"/>
    </row>
    <row r="7442" ht="13.75" customHeight="1">
      <c r="A7442" s="833">
        <v>376</v>
      </c>
      <c r="B7442" t="s" s="834">
        <v>4830</v>
      </c>
      <c r="C7442" t="s" s="834">
        <v>892</v>
      </c>
      <c r="D7442" s="835">
        <v>46036</v>
      </c>
      <c r="E7442" t="s" s="834">
        <v>478</v>
      </c>
      <c r="F7442" t="s" s="834">
        <v>478</v>
      </c>
      <c r="G7442" s="570"/>
      <c r="H7442" s="570"/>
      <c r="I7442" s="570"/>
      <c r="J7442" s="570"/>
      <c r="K7442" s="570"/>
    </row>
    <row r="7443" ht="13.75" customHeight="1">
      <c r="A7443" s="833">
        <v>376</v>
      </c>
      <c r="B7443" t="s" s="834">
        <v>4830</v>
      </c>
      <c r="C7443" t="s" s="834">
        <v>892</v>
      </c>
      <c r="D7443" s="835">
        <v>46037</v>
      </c>
      <c r="E7443" t="s" s="834">
        <v>478</v>
      </c>
      <c r="F7443" t="s" s="834">
        <v>478</v>
      </c>
      <c r="G7443" s="570"/>
      <c r="H7443" s="570"/>
      <c r="I7443" s="570"/>
      <c r="J7443" s="570"/>
      <c r="K7443" s="570"/>
    </row>
    <row r="7444" ht="13.75" customHeight="1">
      <c r="A7444" s="833">
        <v>376</v>
      </c>
      <c r="B7444" t="s" s="834">
        <v>4830</v>
      </c>
      <c r="C7444" t="s" s="834">
        <v>892</v>
      </c>
      <c r="D7444" s="835">
        <v>46038</v>
      </c>
      <c r="E7444" t="s" s="834">
        <v>478</v>
      </c>
      <c r="F7444" t="s" s="834">
        <v>478</v>
      </c>
      <c r="G7444" s="570"/>
      <c r="H7444" s="570"/>
      <c r="I7444" s="570"/>
      <c r="J7444" s="570"/>
      <c r="K7444" s="570"/>
    </row>
    <row r="7445" ht="13.75" customHeight="1">
      <c r="A7445" s="833">
        <v>376</v>
      </c>
      <c r="B7445" t="s" s="834">
        <v>4830</v>
      </c>
      <c r="C7445" t="s" s="834">
        <v>892</v>
      </c>
      <c r="D7445" s="835">
        <v>46039</v>
      </c>
      <c r="E7445" t="s" s="834">
        <v>478</v>
      </c>
      <c r="F7445" t="s" s="834">
        <v>478</v>
      </c>
      <c r="G7445" s="570"/>
      <c r="H7445" s="570"/>
      <c r="I7445" s="570"/>
      <c r="J7445" s="570"/>
      <c r="K7445" s="570"/>
    </row>
    <row r="7446" ht="13.75" customHeight="1">
      <c r="A7446" s="833">
        <v>376</v>
      </c>
      <c r="B7446" t="s" s="834">
        <v>4830</v>
      </c>
      <c r="C7446" t="s" s="834">
        <v>892</v>
      </c>
      <c r="D7446" s="835">
        <v>46040</v>
      </c>
      <c r="E7446" t="s" s="834">
        <v>478</v>
      </c>
      <c r="F7446" t="s" s="834">
        <v>478</v>
      </c>
      <c r="G7446" s="570"/>
      <c r="H7446" s="570"/>
      <c r="I7446" s="570"/>
      <c r="J7446" s="570"/>
      <c r="K7446" s="570"/>
    </row>
    <row r="7447" ht="13.75" customHeight="1">
      <c r="A7447" s="833">
        <v>376</v>
      </c>
      <c r="B7447" t="s" s="834">
        <v>4830</v>
      </c>
      <c r="C7447" t="s" s="834">
        <v>892</v>
      </c>
      <c r="D7447" s="835">
        <v>46041</v>
      </c>
      <c r="E7447" t="s" s="834">
        <v>478</v>
      </c>
      <c r="F7447" t="s" s="834">
        <v>478</v>
      </c>
      <c r="G7447" s="570"/>
      <c r="H7447" s="570"/>
      <c r="I7447" s="570"/>
      <c r="J7447" s="570"/>
      <c r="K7447" s="570"/>
    </row>
    <row r="7448" ht="13.75" customHeight="1">
      <c r="A7448" s="833">
        <v>376</v>
      </c>
      <c r="B7448" t="s" s="834">
        <v>4830</v>
      </c>
      <c r="C7448" t="s" s="834">
        <v>892</v>
      </c>
      <c r="D7448" s="835">
        <v>46042</v>
      </c>
      <c r="E7448" t="s" s="834">
        <v>478</v>
      </c>
      <c r="F7448" t="s" s="834">
        <v>478</v>
      </c>
      <c r="G7448" s="570"/>
      <c r="H7448" s="570"/>
      <c r="I7448" s="570"/>
      <c r="J7448" s="570"/>
      <c r="K7448" s="570"/>
    </row>
    <row r="7449" ht="13.75" customHeight="1">
      <c r="A7449" s="833">
        <v>376</v>
      </c>
      <c r="B7449" t="s" s="834">
        <v>4830</v>
      </c>
      <c r="C7449" t="s" s="834">
        <v>892</v>
      </c>
      <c r="D7449" s="835">
        <v>46043</v>
      </c>
      <c r="E7449" t="s" s="834">
        <v>478</v>
      </c>
      <c r="F7449" t="s" s="834">
        <v>478</v>
      </c>
      <c r="G7449" s="570"/>
      <c r="H7449" s="570"/>
      <c r="I7449" s="570"/>
      <c r="J7449" s="570"/>
      <c r="K7449" s="570"/>
    </row>
    <row r="7450" ht="13.75" customHeight="1">
      <c r="A7450" s="833">
        <v>376</v>
      </c>
      <c r="B7450" t="s" s="834">
        <v>4830</v>
      </c>
      <c r="C7450" t="s" s="834">
        <v>892</v>
      </c>
      <c r="D7450" s="835">
        <v>46044</v>
      </c>
      <c r="E7450" t="s" s="834">
        <v>478</v>
      </c>
      <c r="F7450" t="s" s="834">
        <v>478</v>
      </c>
      <c r="G7450" s="570"/>
      <c r="H7450" s="570"/>
      <c r="I7450" s="570"/>
      <c r="J7450" s="570"/>
      <c r="K7450" s="570"/>
    </row>
    <row r="7451" ht="13.75" customHeight="1">
      <c r="A7451" s="833">
        <v>376</v>
      </c>
      <c r="B7451" t="s" s="834">
        <v>4830</v>
      </c>
      <c r="C7451" t="s" s="834">
        <v>892</v>
      </c>
      <c r="D7451" s="835">
        <v>46045</v>
      </c>
      <c r="E7451" t="s" s="834">
        <v>478</v>
      </c>
      <c r="F7451" t="s" s="834">
        <v>478</v>
      </c>
      <c r="G7451" s="570"/>
      <c r="H7451" s="570"/>
      <c r="I7451" s="570"/>
      <c r="J7451" s="570"/>
      <c r="K7451" s="570"/>
    </row>
    <row r="7452" ht="13.75" customHeight="1">
      <c r="A7452" s="833">
        <v>376</v>
      </c>
      <c r="B7452" t="s" s="834">
        <v>4830</v>
      </c>
      <c r="C7452" t="s" s="834">
        <v>892</v>
      </c>
      <c r="D7452" s="835">
        <v>46046</v>
      </c>
      <c r="E7452" t="s" s="834">
        <v>478</v>
      </c>
      <c r="F7452" t="s" s="834">
        <v>478</v>
      </c>
      <c r="G7452" s="570"/>
      <c r="H7452" s="570"/>
      <c r="I7452" s="570"/>
      <c r="J7452" s="570"/>
      <c r="K7452" s="570"/>
    </row>
    <row r="7453" ht="13.75" customHeight="1">
      <c r="A7453" s="833">
        <v>376</v>
      </c>
      <c r="B7453" t="s" s="834">
        <v>4830</v>
      </c>
      <c r="C7453" t="s" s="834">
        <v>892</v>
      </c>
      <c r="D7453" s="835">
        <v>46047</v>
      </c>
      <c r="E7453" t="s" s="834">
        <v>478</v>
      </c>
      <c r="F7453" t="s" s="834">
        <v>478</v>
      </c>
      <c r="G7453" s="570"/>
      <c r="H7453" s="570"/>
      <c r="I7453" s="570"/>
      <c r="J7453" s="570"/>
      <c r="K7453" s="570"/>
    </row>
    <row r="7454" ht="13.75" customHeight="1">
      <c r="A7454" s="833">
        <v>376</v>
      </c>
      <c r="B7454" t="s" s="834">
        <v>4830</v>
      </c>
      <c r="C7454" t="s" s="834">
        <v>892</v>
      </c>
      <c r="D7454" s="835">
        <v>46048</v>
      </c>
      <c r="E7454" t="s" s="834">
        <v>478</v>
      </c>
      <c r="F7454" t="s" s="834">
        <v>478</v>
      </c>
      <c r="G7454" s="570"/>
      <c r="H7454" s="570"/>
      <c r="I7454" s="570"/>
      <c r="J7454" s="570"/>
      <c r="K7454" s="570"/>
    </row>
    <row r="7455" ht="13.75" customHeight="1">
      <c r="A7455" s="833">
        <v>376</v>
      </c>
      <c r="B7455" t="s" s="834">
        <v>4830</v>
      </c>
      <c r="C7455" t="s" s="834">
        <v>892</v>
      </c>
      <c r="D7455" s="835">
        <v>46049</v>
      </c>
      <c r="E7455" t="s" s="834">
        <v>478</v>
      </c>
      <c r="F7455" t="s" s="834">
        <v>478</v>
      </c>
      <c r="G7455" s="570"/>
      <c r="H7455" s="570"/>
      <c r="I7455" s="570"/>
      <c r="J7455" s="570"/>
      <c r="K7455" s="570"/>
    </row>
    <row r="7456" ht="13.75" customHeight="1">
      <c r="A7456" s="833">
        <v>376</v>
      </c>
      <c r="B7456" t="s" s="834">
        <v>4830</v>
      </c>
      <c r="C7456" t="s" s="834">
        <v>892</v>
      </c>
      <c r="D7456" s="835">
        <v>46050</v>
      </c>
      <c r="E7456" t="s" s="834">
        <v>478</v>
      </c>
      <c r="F7456" t="s" s="834">
        <v>478</v>
      </c>
      <c r="G7456" s="570"/>
      <c r="H7456" s="570"/>
      <c r="I7456" s="570"/>
      <c r="J7456" s="570"/>
      <c r="K7456" s="570"/>
    </row>
    <row r="7457" ht="13.75" customHeight="1">
      <c r="A7457" s="833">
        <v>376</v>
      </c>
      <c r="B7457" t="s" s="834">
        <v>4830</v>
      </c>
      <c r="C7457" t="s" s="834">
        <v>892</v>
      </c>
      <c r="D7457" s="835">
        <v>46051</v>
      </c>
      <c r="E7457" t="s" s="834">
        <v>478</v>
      </c>
      <c r="F7457" t="s" s="834">
        <v>478</v>
      </c>
      <c r="G7457" s="570"/>
      <c r="H7457" s="570"/>
      <c r="I7457" s="570"/>
      <c r="J7457" s="570"/>
      <c r="K7457" s="570"/>
    </row>
    <row r="7458" ht="13.75" customHeight="1">
      <c r="A7458" s="833">
        <v>376</v>
      </c>
      <c r="B7458" t="s" s="834">
        <v>4830</v>
      </c>
      <c r="C7458" t="s" s="834">
        <v>892</v>
      </c>
      <c r="D7458" s="835">
        <v>46052</v>
      </c>
      <c r="E7458" t="s" s="834">
        <v>478</v>
      </c>
      <c r="F7458" t="s" s="834">
        <v>478</v>
      </c>
      <c r="G7458" s="570"/>
      <c r="H7458" s="570"/>
      <c r="I7458" s="570"/>
      <c r="J7458" s="570"/>
      <c r="K7458" s="570"/>
    </row>
    <row r="7459" ht="13.75" customHeight="1">
      <c r="A7459" s="833">
        <v>376</v>
      </c>
      <c r="B7459" t="s" s="834">
        <v>4830</v>
      </c>
      <c r="C7459" t="s" s="834">
        <v>892</v>
      </c>
      <c r="D7459" s="835">
        <v>46053</v>
      </c>
      <c r="E7459" t="s" s="834">
        <v>478</v>
      </c>
      <c r="F7459" t="s" s="834">
        <v>478</v>
      </c>
      <c r="G7459" s="570"/>
      <c r="H7459" s="570"/>
      <c r="I7459" s="570"/>
      <c r="J7459" s="570"/>
      <c r="K7459" s="570"/>
    </row>
    <row r="7460" ht="13.75" customHeight="1">
      <c r="A7460" s="833">
        <v>376</v>
      </c>
      <c r="B7460" t="s" s="834">
        <v>4830</v>
      </c>
      <c r="C7460" t="s" s="834">
        <v>892</v>
      </c>
      <c r="D7460" s="835">
        <v>46054</v>
      </c>
      <c r="E7460" t="s" s="834">
        <v>478</v>
      </c>
      <c r="F7460" t="s" s="834">
        <v>478</v>
      </c>
      <c r="G7460" s="570"/>
      <c r="H7460" s="570"/>
      <c r="I7460" s="570"/>
      <c r="J7460" s="570"/>
      <c r="K7460" s="570"/>
    </row>
    <row r="7461" ht="13.75" customHeight="1">
      <c r="A7461" s="833">
        <v>377</v>
      </c>
      <c r="B7461" t="s" s="834">
        <v>4831</v>
      </c>
      <c r="C7461" t="s" s="834">
        <v>2718</v>
      </c>
      <c r="D7461" s="835">
        <v>46023</v>
      </c>
      <c r="E7461" t="s" s="834">
        <v>478</v>
      </c>
      <c r="F7461" t="s" s="834">
        <v>478</v>
      </c>
      <c r="G7461" s="570"/>
      <c r="H7461" s="570"/>
      <c r="I7461" s="570"/>
      <c r="J7461" s="570"/>
      <c r="K7461" s="570"/>
    </row>
    <row r="7462" ht="13.75" customHeight="1">
      <c r="A7462" s="833">
        <v>377</v>
      </c>
      <c r="B7462" t="s" s="834">
        <v>4831</v>
      </c>
      <c r="C7462" t="s" s="834">
        <v>2718</v>
      </c>
      <c r="D7462" s="835">
        <v>46024</v>
      </c>
      <c r="E7462" t="s" s="834">
        <v>478</v>
      </c>
      <c r="F7462" t="s" s="834">
        <v>478</v>
      </c>
      <c r="G7462" s="570"/>
      <c r="H7462" s="570"/>
      <c r="I7462" s="570"/>
      <c r="J7462" s="570"/>
      <c r="K7462" s="570"/>
    </row>
    <row r="7463" ht="13.75" customHeight="1">
      <c r="A7463" s="833">
        <v>377</v>
      </c>
      <c r="B7463" t="s" s="834">
        <v>4831</v>
      </c>
      <c r="C7463" t="s" s="834">
        <v>2718</v>
      </c>
      <c r="D7463" s="835">
        <v>46025</v>
      </c>
      <c r="E7463" t="s" s="834">
        <v>478</v>
      </c>
      <c r="F7463" t="s" s="834">
        <v>478</v>
      </c>
      <c r="G7463" s="570"/>
      <c r="H7463" s="570"/>
      <c r="I7463" s="570"/>
      <c r="J7463" s="570"/>
      <c r="K7463" s="570"/>
    </row>
    <row r="7464" ht="13.75" customHeight="1">
      <c r="A7464" s="833">
        <v>377</v>
      </c>
      <c r="B7464" t="s" s="834">
        <v>4831</v>
      </c>
      <c r="C7464" t="s" s="834">
        <v>2718</v>
      </c>
      <c r="D7464" s="835">
        <v>46026</v>
      </c>
      <c r="E7464" t="s" s="834">
        <v>478</v>
      </c>
      <c r="F7464" t="s" s="834">
        <v>478</v>
      </c>
      <c r="G7464" s="570"/>
      <c r="H7464" s="570"/>
      <c r="I7464" s="570"/>
      <c r="J7464" s="570"/>
      <c r="K7464" s="570"/>
    </row>
    <row r="7465" ht="13.75" customHeight="1">
      <c r="A7465" s="833">
        <v>377</v>
      </c>
      <c r="B7465" t="s" s="834">
        <v>4831</v>
      </c>
      <c r="C7465" t="s" s="834">
        <v>2718</v>
      </c>
      <c r="D7465" s="835">
        <v>46027</v>
      </c>
      <c r="E7465" t="s" s="834">
        <v>478</v>
      </c>
      <c r="F7465" t="s" s="834">
        <v>478</v>
      </c>
      <c r="G7465" s="570"/>
      <c r="H7465" s="570"/>
      <c r="I7465" s="570"/>
      <c r="J7465" s="570"/>
      <c r="K7465" s="570"/>
    </row>
    <row r="7466" ht="13.75" customHeight="1">
      <c r="A7466" s="833">
        <v>377</v>
      </c>
      <c r="B7466" t="s" s="834">
        <v>4831</v>
      </c>
      <c r="C7466" t="s" s="834">
        <v>2718</v>
      </c>
      <c r="D7466" s="835">
        <v>46028</v>
      </c>
      <c r="E7466" t="s" s="834">
        <v>478</v>
      </c>
      <c r="F7466" t="s" s="834">
        <v>478</v>
      </c>
      <c r="G7466" s="570"/>
      <c r="H7466" s="570"/>
      <c r="I7466" s="570"/>
      <c r="J7466" s="570"/>
      <c r="K7466" s="570"/>
    </row>
    <row r="7467" ht="13.75" customHeight="1">
      <c r="A7467" s="833">
        <v>377</v>
      </c>
      <c r="B7467" t="s" s="834">
        <v>4831</v>
      </c>
      <c r="C7467" t="s" s="834">
        <v>2718</v>
      </c>
      <c r="D7467" s="835">
        <v>46029</v>
      </c>
      <c r="E7467" t="s" s="834">
        <v>478</v>
      </c>
      <c r="F7467" t="s" s="834">
        <v>478</v>
      </c>
      <c r="G7467" s="570"/>
      <c r="H7467" s="570"/>
      <c r="I7467" s="570"/>
      <c r="J7467" s="570"/>
      <c r="K7467" s="570"/>
    </row>
    <row r="7468" ht="13.75" customHeight="1">
      <c r="A7468" s="833">
        <v>377</v>
      </c>
      <c r="B7468" t="s" s="834">
        <v>4831</v>
      </c>
      <c r="C7468" t="s" s="834">
        <v>2718</v>
      </c>
      <c r="D7468" s="835">
        <v>46030</v>
      </c>
      <c r="E7468" t="s" s="834">
        <v>478</v>
      </c>
      <c r="F7468" t="s" s="834">
        <v>478</v>
      </c>
      <c r="G7468" s="570"/>
      <c r="H7468" s="570"/>
      <c r="I7468" s="570"/>
      <c r="J7468" s="570"/>
      <c r="K7468" s="570"/>
    </row>
    <row r="7469" ht="13.75" customHeight="1">
      <c r="A7469" s="833">
        <v>377</v>
      </c>
      <c r="B7469" t="s" s="834">
        <v>4831</v>
      </c>
      <c r="C7469" t="s" s="834">
        <v>2718</v>
      </c>
      <c r="D7469" s="835">
        <v>46031</v>
      </c>
      <c r="E7469" t="s" s="834">
        <v>478</v>
      </c>
      <c r="F7469" t="s" s="834">
        <v>478</v>
      </c>
      <c r="G7469" s="570"/>
      <c r="H7469" s="570"/>
      <c r="I7469" s="570"/>
      <c r="J7469" s="570"/>
      <c r="K7469" s="570"/>
    </row>
    <row r="7470" ht="13.75" customHeight="1">
      <c r="A7470" s="833">
        <v>377</v>
      </c>
      <c r="B7470" t="s" s="834">
        <v>4831</v>
      </c>
      <c r="C7470" t="s" s="834">
        <v>2718</v>
      </c>
      <c r="D7470" s="835">
        <v>46032</v>
      </c>
      <c r="E7470" t="s" s="834">
        <v>478</v>
      </c>
      <c r="F7470" t="s" s="834">
        <v>478</v>
      </c>
      <c r="G7470" s="570"/>
      <c r="H7470" s="570"/>
      <c r="I7470" s="570"/>
      <c r="J7470" s="570"/>
      <c r="K7470" s="570"/>
    </row>
    <row r="7471" ht="13.75" customHeight="1">
      <c r="A7471" s="833">
        <v>377</v>
      </c>
      <c r="B7471" t="s" s="834">
        <v>4831</v>
      </c>
      <c r="C7471" t="s" s="834">
        <v>2718</v>
      </c>
      <c r="D7471" s="835">
        <v>46033</v>
      </c>
      <c r="E7471" t="s" s="834">
        <v>478</v>
      </c>
      <c r="F7471" t="s" s="834">
        <v>478</v>
      </c>
      <c r="G7471" s="570"/>
      <c r="H7471" s="570"/>
      <c r="I7471" s="570"/>
      <c r="J7471" s="570"/>
      <c r="K7471" s="570"/>
    </row>
    <row r="7472" ht="13.75" customHeight="1">
      <c r="A7472" s="833">
        <v>377</v>
      </c>
      <c r="B7472" t="s" s="834">
        <v>4831</v>
      </c>
      <c r="C7472" t="s" s="834">
        <v>2718</v>
      </c>
      <c r="D7472" s="835">
        <v>46034</v>
      </c>
      <c r="E7472" t="s" s="834">
        <v>478</v>
      </c>
      <c r="F7472" t="s" s="834">
        <v>478</v>
      </c>
      <c r="G7472" s="570"/>
      <c r="H7472" s="570"/>
      <c r="I7472" s="570"/>
      <c r="J7472" s="570"/>
      <c r="K7472" s="570"/>
    </row>
    <row r="7473" ht="13.75" customHeight="1">
      <c r="A7473" s="833">
        <v>377</v>
      </c>
      <c r="B7473" t="s" s="834">
        <v>4831</v>
      </c>
      <c r="C7473" t="s" s="834">
        <v>2718</v>
      </c>
      <c r="D7473" s="835">
        <v>46035</v>
      </c>
      <c r="E7473" t="s" s="834">
        <v>478</v>
      </c>
      <c r="F7473" t="s" s="834">
        <v>478</v>
      </c>
      <c r="G7473" s="570"/>
      <c r="H7473" s="570"/>
      <c r="I7473" s="570"/>
      <c r="J7473" s="570"/>
      <c r="K7473" s="570"/>
    </row>
    <row r="7474" ht="13.75" customHeight="1">
      <c r="A7474" s="833">
        <v>377</v>
      </c>
      <c r="B7474" t="s" s="834">
        <v>4831</v>
      </c>
      <c r="C7474" t="s" s="834">
        <v>2718</v>
      </c>
      <c r="D7474" s="835">
        <v>46036</v>
      </c>
      <c r="E7474" t="s" s="834">
        <v>478</v>
      </c>
      <c r="F7474" t="s" s="834">
        <v>478</v>
      </c>
      <c r="G7474" s="570"/>
      <c r="H7474" s="570"/>
      <c r="I7474" s="570"/>
      <c r="J7474" s="570"/>
      <c r="K7474" s="570"/>
    </row>
    <row r="7475" ht="13.75" customHeight="1">
      <c r="A7475" s="833">
        <v>377</v>
      </c>
      <c r="B7475" t="s" s="834">
        <v>4831</v>
      </c>
      <c r="C7475" t="s" s="834">
        <v>2718</v>
      </c>
      <c r="D7475" s="835">
        <v>46037</v>
      </c>
      <c r="E7475" t="s" s="834">
        <v>478</v>
      </c>
      <c r="F7475" t="s" s="834">
        <v>478</v>
      </c>
      <c r="G7475" s="570"/>
      <c r="H7475" s="570"/>
      <c r="I7475" s="570"/>
      <c r="J7475" s="570"/>
      <c r="K7475" s="570"/>
    </row>
    <row r="7476" ht="13.75" customHeight="1">
      <c r="A7476" s="833">
        <v>377</v>
      </c>
      <c r="B7476" t="s" s="834">
        <v>4831</v>
      </c>
      <c r="C7476" t="s" s="834">
        <v>2718</v>
      </c>
      <c r="D7476" s="835">
        <v>46038</v>
      </c>
      <c r="E7476" t="s" s="834">
        <v>478</v>
      </c>
      <c r="F7476" t="s" s="834">
        <v>478</v>
      </c>
      <c r="G7476" s="570"/>
      <c r="H7476" s="570"/>
      <c r="I7476" s="570"/>
      <c r="J7476" s="570"/>
      <c r="K7476" s="570"/>
    </row>
    <row r="7477" ht="13.75" customHeight="1">
      <c r="A7477" s="833">
        <v>377</v>
      </c>
      <c r="B7477" t="s" s="834">
        <v>4831</v>
      </c>
      <c r="C7477" t="s" s="834">
        <v>2718</v>
      </c>
      <c r="D7477" s="835">
        <v>46039</v>
      </c>
      <c r="E7477" t="s" s="834">
        <v>478</v>
      </c>
      <c r="F7477" t="s" s="834">
        <v>478</v>
      </c>
      <c r="G7477" s="570"/>
      <c r="H7477" s="570"/>
      <c r="I7477" s="570"/>
      <c r="J7477" s="570"/>
      <c r="K7477" s="570"/>
    </row>
    <row r="7478" ht="13.75" customHeight="1">
      <c r="A7478" s="833">
        <v>377</v>
      </c>
      <c r="B7478" t="s" s="834">
        <v>4831</v>
      </c>
      <c r="C7478" t="s" s="834">
        <v>2718</v>
      </c>
      <c r="D7478" s="835">
        <v>46040</v>
      </c>
      <c r="E7478" t="s" s="834">
        <v>478</v>
      </c>
      <c r="F7478" t="s" s="834">
        <v>478</v>
      </c>
      <c r="G7478" s="570"/>
      <c r="H7478" s="570"/>
      <c r="I7478" s="570"/>
      <c r="J7478" s="570"/>
      <c r="K7478" s="570"/>
    </row>
    <row r="7479" ht="13.75" customHeight="1">
      <c r="A7479" s="833">
        <v>377</v>
      </c>
      <c r="B7479" t="s" s="834">
        <v>4831</v>
      </c>
      <c r="C7479" t="s" s="834">
        <v>2718</v>
      </c>
      <c r="D7479" s="835">
        <v>46041</v>
      </c>
      <c r="E7479" t="s" s="834">
        <v>478</v>
      </c>
      <c r="F7479" t="s" s="834">
        <v>478</v>
      </c>
      <c r="G7479" s="570"/>
      <c r="H7479" s="570"/>
      <c r="I7479" s="570"/>
      <c r="J7479" s="570"/>
      <c r="K7479" s="570"/>
    </row>
    <row r="7480" ht="13.75" customHeight="1">
      <c r="A7480" s="833">
        <v>377</v>
      </c>
      <c r="B7480" t="s" s="834">
        <v>4831</v>
      </c>
      <c r="C7480" t="s" s="834">
        <v>2718</v>
      </c>
      <c r="D7480" s="835">
        <v>46042</v>
      </c>
      <c r="E7480" t="s" s="834">
        <v>478</v>
      </c>
      <c r="F7480" t="s" s="834">
        <v>478</v>
      </c>
      <c r="G7480" s="570"/>
      <c r="H7480" s="570"/>
      <c r="I7480" s="570"/>
      <c r="J7480" s="570"/>
      <c r="K7480" s="570"/>
    </row>
    <row r="7481" ht="13.75" customHeight="1">
      <c r="A7481" s="833">
        <v>377</v>
      </c>
      <c r="B7481" t="s" s="834">
        <v>4831</v>
      </c>
      <c r="C7481" t="s" s="834">
        <v>2718</v>
      </c>
      <c r="D7481" s="835">
        <v>46043</v>
      </c>
      <c r="E7481" t="s" s="834">
        <v>478</v>
      </c>
      <c r="F7481" t="s" s="834">
        <v>478</v>
      </c>
      <c r="G7481" s="570"/>
      <c r="H7481" s="570"/>
      <c r="I7481" s="570"/>
      <c r="J7481" s="570"/>
      <c r="K7481" s="570"/>
    </row>
    <row r="7482" ht="13.75" customHeight="1">
      <c r="A7482" s="833">
        <v>377</v>
      </c>
      <c r="B7482" t="s" s="834">
        <v>4831</v>
      </c>
      <c r="C7482" t="s" s="834">
        <v>2718</v>
      </c>
      <c r="D7482" s="835">
        <v>46044</v>
      </c>
      <c r="E7482" t="s" s="834">
        <v>478</v>
      </c>
      <c r="F7482" t="s" s="834">
        <v>478</v>
      </c>
      <c r="G7482" s="570"/>
      <c r="H7482" s="570"/>
      <c r="I7482" s="570"/>
      <c r="J7482" s="570"/>
      <c r="K7482" s="570"/>
    </row>
    <row r="7483" ht="13.75" customHeight="1">
      <c r="A7483" s="833">
        <v>377</v>
      </c>
      <c r="B7483" t="s" s="834">
        <v>4831</v>
      </c>
      <c r="C7483" t="s" s="834">
        <v>2718</v>
      </c>
      <c r="D7483" s="835">
        <v>46045</v>
      </c>
      <c r="E7483" t="s" s="834">
        <v>478</v>
      </c>
      <c r="F7483" t="s" s="834">
        <v>478</v>
      </c>
      <c r="G7483" s="570"/>
      <c r="H7483" s="570"/>
      <c r="I7483" s="570"/>
      <c r="J7483" s="570"/>
      <c r="K7483" s="570"/>
    </row>
    <row r="7484" ht="13.75" customHeight="1">
      <c r="A7484" s="833">
        <v>377</v>
      </c>
      <c r="B7484" t="s" s="834">
        <v>4831</v>
      </c>
      <c r="C7484" t="s" s="834">
        <v>2718</v>
      </c>
      <c r="D7484" s="835">
        <v>46046</v>
      </c>
      <c r="E7484" t="s" s="834">
        <v>478</v>
      </c>
      <c r="F7484" t="s" s="834">
        <v>478</v>
      </c>
      <c r="G7484" s="570"/>
      <c r="H7484" s="570"/>
      <c r="I7484" s="570"/>
      <c r="J7484" s="570"/>
      <c r="K7484" s="570"/>
    </row>
    <row r="7485" ht="13.75" customHeight="1">
      <c r="A7485" s="833">
        <v>377</v>
      </c>
      <c r="B7485" t="s" s="834">
        <v>4831</v>
      </c>
      <c r="C7485" t="s" s="834">
        <v>2718</v>
      </c>
      <c r="D7485" s="835">
        <v>46047</v>
      </c>
      <c r="E7485" t="s" s="834">
        <v>478</v>
      </c>
      <c r="F7485" t="s" s="834">
        <v>478</v>
      </c>
      <c r="G7485" s="570"/>
      <c r="H7485" s="570"/>
      <c r="I7485" s="570"/>
      <c r="J7485" s="570"/>
      <c r="K7485" s="570"/>
    </row>
    <row r="7486" ht="13.75" customHeight="1">
      <c r="A7486" s="833">
        <v>377</v>
      </c>
      <c r="B7486" t="s" s="834">
        <v>4831</v>
      </c>
      <c r="C7486" t="s" s="834">
        <v>2718</v>
      </c>
      <c r="D7486" s="835">
        <v>46048</v>
      </c>
      <c r="E7486" t="s" s="834">
        <v>478</v>
      </c>
      <c r="F7486" t="s" s="834">
        <v>478</v>
      </c>
      <c r="G7486" s="570"/>
      <c r="H7486" s="570"/>
      <c r="I7486" s="570"/>
      <c r="J7486" s="570"/>
      <c r="K7486" s="570"/>
    </row>
    <row r="7487" ht="13.75" customHeight="1">
      <c r="A7487" s="833">
        <v>377</v>
      </c>
      <c r="B7487" t="s" s="834">
        <v>4831</v>
      </c>
      <c r="C7487" t="s" s="834">
        <v>2718</v>
      </c>
      <c r="D7487" s="835">
        <v>46049</v>
      </c>
      <c r="E7487" t="s" s="834">
        <v>478</v>
      </c>
      <c r="F7487" t="s" s="834">
        <v>478</v>
      </c>
      <c r="G7487" s="570"/>
      <c r="H7487" s="570"/>
      <c r="I7487" s="570"/>
      <c r="J7487" s="570"/>
      <c r="K7487" s="570"/>
    </row>
    <row r="7488" ht="13.75" customHeight="1">
      <c r="A7488" s="833">
        <v>377</v>
      </c>
      <c r="B7488" t="s" s="834">
        <v>4831</v>
      </c>
      <c r="C7488" t="s" s="834">
        <v>2718</v>
      </c>
      <c r="D7488" s="835">
        <v>46050</v>
      </c>
      <c r="E7488" t="s" s="834">
        <v>478</v>
      </c>
      <c r="F7488" t="s" s="834">
        <v>478</v>
      </c>
      <c r="G7488" s="570"/>
      <c r="H7488" s="570"/>
      <c r="I7488" s="570"/>
      <c r="J7488" s="570"/>
      <c r="K7488" s="570"/>
    </row>
    <row r="7489" ht="13.75" customHeight="1">
      <c r="A7489" s="833">
        <v>377</v>
      </c>
      <c r="B7489" t="s" s="834">
        <v>4831</v>
      </c>
      <c r="C7489" t="s" s="834">
        <v>2718</v>
      </c>
      <c r="D7489" s="835">
        <v>46051</v>
      </c>
      <c r="E7489" t="s" s="834">
        <v>478</v>
      </c>
      <c r="F7489" t="s" s="834">
        <v>478</v>
      </c>
      <c r="G7489" s="570"/>
      <c r="H7489" s="570"/>
      <c r="I7489" s="570"/>
      <c r="J7489" s="570"/>
      <c r="K7489" s="570"/>
    </row>
    <row r="7490" ht="13.75" customHeight="1">
      <c r="A7490" s="833">
        <v>377</v>
      </c>
      <c r="B7490" t="s" s="834">
        <v>4831</v>
      </c>
      <c r="C7490" t="s" s="834">
        <v>2718</v>
      </c>
      <c r="D7490" s="835">
        <v>46052</v>
      </c>
      <c r="E7490" t="s" s="834">
        <v>478</v>
      </c>
      <c r="F7490" t="s" s="834">
        <v>478</v>
      </c>
      <c r="G7490" s="570"/>
      <c r="H7490" s="570"/>
      <c r="I7490" s="570"/>
      <c r="J7490" s="570"/>
      <c r="K7490" s="570"/>
    </row>
    <row r="7491" ht="13.75" customHeight="1">
      <c r="A7491" s="833">
        <v>377</v>
      </c>
      <c r="B7491" t="s" s="834">
        <v>4831</v>
      </c>
      <c r="C7491" t="s" s="834">
        <v>2718</v>
      </c>
      <c r="D7491" s="835">
        <v>46053</v>
      </c>
      <c r="E7491" t="s" s="834">
        <v>478</v>
      </c>
      <c r="F7491" t="s" s="834">
        <v>478</v>
      </c>
      <c r="G7491" s="570"/>
      <c r="H7491" s="570"/>
      <c r="I7491" s="570"/>
      <c r="J7491" s="570"/>
      <c r="K7491" s="570"/>
    </row>
    <row r="7492" ht="13.75" customHeight="1">
      <c r="A7492" s="833">
        <v>377</v>
      </c>
      <c r="B7492" t="s" s="834">
        <v>4831</v>
      </c>
      <c r="C7492" t="s" s="834">
        <v>2718</v>
      </c>
      <c r="D7492" s="835">
        <v>46054</v>
      </c>
      <c r="E7492" t="s" s="834">
        <v>478</v>
      </c>
      <c r="F7492" t="s" s="834">
        <v>478</v>
      </c>
      <c r="G7492" s="570"/>
      <c r="H7492" s="570"/>
      <c r="I7492" s="570"/>
      <c r="J7492" s="570"/>
      <c r="K7492" s="570"/>
    </row>
    <row r="7493" ht="13.75" customHeight="1">
      <c r="A7493" s="833">
        <v>378</v>
      </c>
      <c r="B7493" t="s" s="834">
        <v>4832</v>
      </c>
      <c r="C7493" t="s" s="834">
        <v>2718</v>
      </c>
      <c r="D7493" s="835">
        <v>46023</v>
      </c>
      <c r="E7493" t="s" s="834">
        <v>478</v>
      </c>
      <c r="F7493" t="s" s="834">
        <v>478</v>
      </c>
      <c r="G7493" s="570"/>
      <c r="H7493" s="570"/>
      <c r="I7493" s="570"/>
      <c r="J7493" s="570"/>
      <c r="K7493" s="570"/>
    </row>
    <row r="7494" ht="13.75" customHeight="1">
      <c r="A7494" s="833">
        <v>378</v>
      </c>
      <c r="B7494" t="s" s="834">
        <v>4832</v>
      </c>
      <c r="C7494" t="s" s="834">
        <v>2718</v>
      </c>
      <c r="D7494" s="835">
        <v>46024</v>
      </c>
      <c r="E7494" t="s" s="834">
        <v>478</v>
      </c>
      <c r="F7494" t="s" s="834">
        <v>478</v>
      </c>
      <c r="G7494" s="570"/>
      <c r="H7494" s="570"/>
      <c r="I7494" s="570"/>
      <c r="J7494" s="570"/>
      <c r="K7494" s="570"/>
    </row>
    <row r="7495" ht="13.75" customHeight="1">
      <c r="A7495" s="833">
        <v>378</v>
      </c>
      <c r="B7495" t="s" s="834">
        <v>4832</v>
      </c>
      <c r="C7495" t="s" s="834">
        <v>2718</v>
      </c>
      <c r="D7495" s="835">
        <v>46025</v>
      </c>
      <c r="E7495" t="s" s="834">
        <v>478</v>
      </c>
      <c r="F7495" t="s" s="834">
        <v>478</v>
      </c>
      <c r="G7495" s="570"/>
      <c r="H7495" s="570"/>
      <c r="I7495" s="570"/>
      <c r="J7495" s="570"/>
      <c r="K7495" s="570"/>
    </row>
    <row r="7496" ht="13.75" customHeight="1">
      <c r="A7496" s="833">
        <v>378</v>
      </c>
      <c r="B7496" t="s" s="834">
        <v>4832</v>
      </c>
      <c r="C7496" t="s" s="834">
        <v>2718</v>
      </c>
      <c r="D7496" s="835">
        <v>46026</v>
      </c>
      <c r="E7496" t="s" s="834">
        <v>478</v>
      </c>
      <c r="F7496" t="s" s="834">
        <v>478</v>
      </c>
      <c r="G7496" s="570"/>
      <c r="H7496" s="570"/>
      <c r="I7496" s="570"/>
      <c r="J7496" s="570"/>
      <c r="K7496" s="570"/>
    </row>
    <row r="7497" ht="13.75" customHeight="1">
      <c r="A7497" s="833">
        <v>378</v>
      </c>
      <c r="B7497" t="s" s="834">
        <v>4832</v>
      </c>
      <c r="C7497" t="s" s="834">
        <v>2718</v>
      </c>
      <c r="D7497" s="835">
        <v>46027</v>
      </c>
      <c r="E7497" t="s" s="834">
        <v>478</v>
      </c>
      <c r="F7497" t="s" s="834">
        <v>478</v>
      </c>
      <c r="G7497" s="570"/>
      <c r="H7497" s="570"/>
      <c r="I7497" s="570"/>
      <c r="J7497" s="570"/>
      <c r="K7497" s="570"/>
    </row>
    <row r="7498" ht="13.75" customHeight="1">
      <c r="A7498" s="833">
        <v>378</v>
      </c>
      <c r="B7498" t="s" s="834">
        <v>4832</v>
      </c>
      <c r="C7498" t="s" s="834">
        <v>2718</v>
      </c>
      <c r="D7498" s="835">
        <v>46028</v>
      </c>
      <c r="E7498" t="s" s="834">
        <v>478</v>
      </c>
      <c r="F7498" t="s" s="834">
        <v>478</v>
      </c>
      <c r="G7498" s="570"/>
      <c r="H7498" s="570"/>
      <c r="I7498" s="570"/>
      <c r="J7498" s="570"/>
      <c r="K7498" s="570"/>
    </row>
    <row r="7499" ht="13.75" customHeight="1">
      <c r="A7499" s="833">
        <v>378</v>
      </c>
      <c r="B7499" t="s" s="834">
        <v>4832</v>
      </c>
      <c r="C7499" t="s" s="834">
        <v>2718</v>
      </c>
      <c r="D7499" s="835">
        <v>46029</v>
      </c>
      <c r="E7499" t="s" s="834">
        <v>478</v>
      </c>
      <c r="F7499" t="s" s="834">
        <v>478</v>
      </c>
      <c r="G7499" s="570"/>
      <c r="H7499" s="570"/>
      <c r="I7499" s="570"/>
      <c r="J7499" s="570"/>
      <c r="K7499" s="570"/>
    </row>
    <row r="7500" ht="13.75" customHeight="1">
      <c r="A7500" s="833">
        <v>378</v>
      </c>
      <c r="B7500" t="s" s="834">
        <v>4832</v>
      </c>
      <c r="C7500" t="s" s="834">
        <v>2718</v>
      </c>
      <c r="D7500" s="835">
        <v>46030</v>
      </c>
      <c r="E7500" t="s" s="834">
        <v>478</v>
      </c>
      <c r="F7500" t="s" s="834">
        <v>478</v>
      </c>
      <c r="G7500" s="570"/>
      <c r="H7500" s="570"/>
      <c r="I7500" s="570"/>
      <c r="J7500" s="570"/>
      <c r="K7500" s="570"/>
    </row>
    <row r="7501" ht="13.75" customHeight="1">
      <c r="A7501" s="833">
        <v>378</v>
      </c>
      <c r="B7501" t="s" s="834">
        <v>4832</v>
      </c>
      <c r="C7501" t="s" s="834">
        <v>2718</v>
      </c>
      <c r="D7501" s="835">
        <v>46031</v>
      </c>
      <c r="E7501" t="s" s="834">
        <v>478</v>
      </c>
      <c r="F7501" t="s" s="834">
        <v>478</v>
      </c>
      <c r="G7501" s="570"/>
      <c r="H7501" s="570"/>
      <c r="I7501" s="570"/>
      <c r="J7501" s="570"/>
      <c r="K7501" s="570"/>
    </row>
    <row r="7502" ht="13.75" customHeight="1">
      <c r="A7502" s="833">
        <v>378</v>
      </c>
      <c r="B7502" t="s" s="834">
        <v>4832</v>
      </c>
      <c r="C7502" t="s" s="834">
        <v>2718</v>
      </c>
      <c r="D7502" s="835">
        <v>46032</v>
      </c>
      <c r="E7502" t="s" s="834">
        <v>478</v>
      </c>
      <c r="F7502" t="s" s="834">
        <v>478</v>
      </c>
      <c r="G7502" s="570"/>
      <c r="H7502" s="570"/>
      <c r="I7502" s="570"/>
      <c r="J7502" s="570"/>
      <c r="K7502" s="570"/>
    </row>
    <row r="7503" ht="13.75" customHeight="1">
      <c r="A7503" s="833">
        <v>378</v>
      </c>
      <c r="B7503" t="s" s="834">
        <v>4832</v>
      </c>
      <c r="C7503" t="s" s="834">
        <v>2718</v>
      </c>
      <c r="D7503" s="835">
        <v>46033</v>
      </c>
      <c r="E7503" t="s" s="834">
        <v>478</v>
      </c>
      <c r="F7503" t="s" s="834">
        <v>478</v>
      </c>
      <c r="G7503" s="570"/>
      <c r="H7503" s="570"/>
      <c r="I7503" s="570"/>
      <c r="J7503" s="570"/>
      <c r="K7503" s="570"/>
    </row>
    <row r="7504" ht="13.75" customHeight="1">
      <c r="A7504" s="833">
        <v>378</v>
      </c>
      <c r="B7504" t="s" s="834">
        <v>4832</v>
      </c>
      <c r="C7504" t="s" s="834">
        <v>2718</v>
      </c>
      <c r="D7504" s="835">
        <v>46034</v>
      </c>
      <c r="E7504" t="s" s="834">
        <v>478</v>
      </c>
      <c r="F7504" t="s" s="834">
        <v>478</v>
      </c>
      <c r="G7504" s="570"/>
      <c r="H7504" s="570"/>
      <c r="I7504" s="570"/>
      <c r="J7504" s="570"/>
      <c r="K7504" s="570"/>
    </row>
    <row r="7505" ht="13.75" customHeight="1">
      <c r="A7505" s="833">
        <v>378</v>
      </c>
      <c r="B7505" t="s" s="834">
        <v>4832</v>
      </c>
      <c r="C7505" t="s" s="834">
        <v>2718</v>
      </c>
      <c r="D7505" s="835">
        <v>46035</v>
      </c>
      <c r="E7505" t="s" s="834">
        <v>478</v>
      </c>
      <c r="F7505" t="s" s="834">
        <v>478</v>
      </c>
      <c r="G7505" s="570"/>
      <c r="H7505" s="570"/>
      <c r="I7505" s="570"/>
      <c r="J7505" s="570"/>
      <c r="K7505" s="570"/>
    </row>
    <row r="7506" ht="13.75" customHeight="1">
      <c r="A7506" s="833">
        <v>378</v>
      </c>
      <c r="B7506" t="s" s="834">
        <v>4832</v>
      </c>
      <c r="C7506" t="s" s="834">
        <v>2718</v>
      </c>
      <c r="D7506" s="835">
        <v>46036</v>
      </c>
      <c r="E7506" t="s" s="834">
        <v>478</v>
      </c>
      <c r="F7506" t="s" s="834">
        <v>478</v>
      </c>
      <c r="G7506" s="570"/>
      <c r="H7506" s="570"/>
      <c r="I7506" s="570"/>
      <c r="J7506" s="570"/>
      <c r="K7506" s="570"/>
    </row>
    <row r="7507" ht="13.75" customHeight="1">
      <c r="A7507" s="833">
        <v>378</v>
      </c>
      <c r="B7507" t="s" s="834">
        <v>4832</v>
      </c>
      <c r="C7507" t="s" s="834">
        <v>2718</v>
      </c>
      <c r="D7507" s="835">
        <v>46037</v>
      </c>
      <c r="E7507" t="s" s="834">
        <v>478</v>
      </c>
      <c r="F7507" t="s" s="834">
        <v>478</v>
      </c>
      <c r="G7507" s="570"/>
      <c r="H7507" s="570"/>
      <c r="I7507" s="570"/>
      <c r="J7507" s="570"/>
      <c r="K7507" s="570"/>
    </row>
    <row r="7508" ht="13.75" customHeight="1">
      <c r="A7508" s="833">
        <v>378</v>
      </c>
      <c r="B7508" t="s" s="834">
        <v>4832</v>
      </c>
      <c r="C7508" t="s" s="834">
        <v>2718</v>
      </c>
      <c r="D7508" s="835">
        <v>46038</v>
      </c>
      <c r="E7508" t="s" s="834">
        <v>478</v>
      </c>
      <c r="F7508" t="s" s="834">
        <v>478</v>
      </c>
      <c r="G7508" s="570"/>
      <c r="H7508" s="570"/>
      <c r="I7508" s="570"/>
      <c r="J7508" s="570"/>
      <c r="K7508" s="570"/>
    </row>
    <row r="7509" ht="13.75" customHeight="1">
      <c r="A7509" s="833">
        <v>378</v>
      </c>
      <c r="B7509" t="s" s="834">
        <v>4832</v>
      </c>
      <c r="C7509" t="s" s="834">
        <v>2718</v>
      </c>
      <c r="D7509" s="835">
        <v>46039</v>
      </c>
      <c r="E7509" t="s" s="834">
        <v>478</v>
      </c>
      <c r="F7509" t="s" s="834">
        <v>478</v>
      </c>
      <c r="G7509" s="570"/>
      <c r="H7509" s="570"/>
      <c r="I7509" s="570"/>
      <c r="J7509" s="570"/>
      <c r="K7509" s="570"/>
    </row>
    <row r="7510" ht="13.75" customHeight="1">
      <c r="A7510" s="833">
        <v>378</v>
      </c>
      <c r="B7510" t="s" s="834">
        <v>4832</v>
      </c>
      <c r="C7510" t="s" s="834">
        <v>2718</v>
      </c>
      <c r="D7510" s="835">
        <v>46040</v>
      </c>
      <c r="E7510" t="s" s="834">
        <v>478</v>
      </c>
      <c r="F7510" t="s" s="834">
        <v>478</v>
      </c>
      <c r="G7510" s="570"/>
      <c r="H7510" s="570"/>
      <c r="I7510" s="570"/>
      <c r="J7510" s="570"/>
      <c r="K7510" s="570"/>
    </row>
    <row r="7511" ht="13.75" customHeight="1">
      <c r="A7511" s="833">
        <v>378</v>
      </c>
      <c r="B7511" t="s" s="834">
        <v>4832</v>
      </c>
      <c r="C7511" t="s" s="834">
        <v>2718</v>
      </c>
      <c r="D7511" s="835">
        <v>46041</v>
      </c>
      <c r="E7511" t="s" s="834">
        <v>478</v>
      </c>
      <c r="F7511" t="s" s="834">
        <v>478</v>
      </c>
      <c r="G7511" s="570"/>
      <c r="H7511" s="570"/>
      <c r="I7511" s="570"/>
      <c r="J7511" s="570"/>
      <c r="K7511" s="570"/>
    </row>
    <row r="7512" ht="13.75" customHeight="1">
      <c r="A7512" s="833">
        <v>378</v>
      </c>
      <c r="B7512" t="s" s="834">
        <v>4832</v>
      </c>
      <c r="C7512" t="s" s="834">
        <v>2718</v>
      </c>
      <c r="D7512" s="835">
        <v>46042</v>
      </c>
      <c r="E7512" t="s" s="834">
        <v>478</v>
      </c>
      <c r="F7512" t="s" s="834">
        <v>478</v>
      </c>
      <c r="G7512" s="570"/>
      <c r="H7512" s="570"/>
      <c r="I7512" s="570"/>
      <c r="J7512" s="570"/>
      <c r="K7512" s="570"/>
    </row>
    <row r="7513" ht="13.75" customHeight="1">
      <c r="A7513" s="833">
        <v>378</v>
      </c>
      <c r="B7513" t="s" s="834">
        <v>4832</v>
      </c>
      <c r="C7513" t="s" s="834">
        <v>2718</v>
      </c>
      <c r="D7513" s="835">
        <v>46043</v>
      </c>
      <c r="E7513" t="s" s="834">
        <v>478</v>
      </c>
      <c r="F7513" t="s" s="834">
        <v>478</v>
      </c>
      <c r="G7513" s="570"/>
      <c r="H7513" s="570"/>
      <c r="I7513" s="570"/>
      <c r="J7513" s="570"/>
      <c r="K7513" s="570"/>
    </row>
    <row r="7514" ht="13.75" customHeight="1">
      <c r="A7514" s="833">
        <v>378</v>
      </c>
      <c r="B7514" t="s" s="834">
        <v>4832</v>
      </c>
      <c r="C7514" t="s" s="834">
        <v>2718</v>
      </c>
      <c r="D7514" s="835">
        <v>46044</v>
      </c>
      <c r="E7514" t="s" s="834">
        <v>478</v>
      </c>
      <c r="F7514" t="s" s="834">
        <v>478</v>
      </c>
      <c r="G7514" s="570"/>
      <c r="H7514" s="570"/>
      <c r="I7514" s="570"/>
      <c r="J7514" s="570"/>
      <c r="K7514" s="570"/>
    </row>
    <row r="7515" ht="13.75" customHeight="1">
      <c r="A7515" s="833">
        <v>378</v>
      </c>
      <c r="B7515" t="s" s="834">
        <v>4832</v>
      </c>
      <c r="C7515" t="s" s="834">
        <v>2718</v>
      </c>
      <c r="D7515" s="835">
        <v>46045</v>
      </c>
      <c r="E7515" t="s" s="834">
        <v>478</v>
      </c>
      <c r="F7515" t="s" s="834">
        <v>478</v>
      </c>
      <c r="G7515" s="570"/>
      <c r="H7515" s="570"/>
      <c r="I7515" s="570"/>
      <c r="J7515" s="570"/>
      <c r="K7515" s="570"/>
    </row>
    <row r="7516" ht="13.75" customHeight="1">
      <c r="A7516" s="833">
        <v>378</v>
      </c>
      <c r="B7516" t="s" s="834">
        <v>4832</v>
      </c>
      <c r="C7516" t="s" s="834">
        <v>2718</v>
      </c>
      <c r="D7516" s="835">
        <v>46046</v>
      </c>
      <c r="E7516" t="s" s="834">
        <v>478</v>
      </c>
      <c r="F7516" t="s" s="834">
        <v>478</v>
      </c>
      <c r="G7516" s="570"/>
      <c r="H7516" s="570"/>
      <c r="I7516" s="570"/>
      <c r="J7516" s="570"/>
      <c r="K7516" s="570"/>
    </row>
    <row r="7517" ht="13.75" customHeight="1">
      <c r="A7517" s="833">
        <v>378</v>
      </c>
      <c r="B7517" t="s" s="834">
        <v>4832</v>
      </c>
      <c r="C7517" t="s" s="834">
        <v>2718</v>
      </c>
      <c r="D7517" s="835">
        <v>46047</v>
      </c>
      <c r="E7517" t="s" s="834">
        <v>478</v>
      </c>
      <c r="F7517" t="s" s="834">
        <v>478</v>
      </c>
      <c r="G7517" s="570"/>
      <c r="H7517" s="570"/>
      <c r="I7517" s="570"/>
      <c r="J7517" s="570"/>
      <c r="K7517" s="570"/>
    </row>
    <row r="7518" ht="13.75" customHeight="1">
      <c r="A7518" s="833">
        <v>378</v>
      </c>
      <c r="B7518" t="s" s="834">
        <v>4832</v>
      </c>
      <c r="C7518" t="s" s="834">
        <v>2718</v>
      </c>
      <c r="D7518" s="835">
        <v>46048</v>
      </c>
      <c r="E7518" t="s" s="834">
        <v>478</v>
      </c>
      <c r="F7518" t="s" s="834">
        <v>478</v>
      </c>
      <c r="G7518" s="570"/>
      <c r="H7518" s="570"/>
      <c r="I7518" s="570"/>
      <c r="J7518" s="570"/>
      <c r="K7518" s="570"/>
    </row>
    <row r="7519" ht="13.75" customHeight="1">
      <c r="A7519" s="833">
        <v>378</v>
      </c>
      <c r="B7519" t="s" s="834">
        <v>4832</v>
      </c>
      <c r="C7519" t="s" s="834">
        <v>2718</v>
      </c>
      <c r="D7519" s="835">
        <v>46049</v>
      </c>
      <c r="E7519" t="s" s="834">
        <v>478</v>
      </c>
      <c r="F7519" t="s" s="834">
        <v>478</v>
      </c>
      <c r="G7519" s="570"/>
      <c r="H7519" s="570"/>
      <c r="I7519" s="570"/>
      <c r="J7519" s="570"/>
      <c r="K7519" s="570"/>
    </row>
    <row r="7520" ht="13.75" customHeight="1">
      <c r="A7520" s="833">
        <v>378</v>
      </c>
      <c r="B7520" t="s" s="834">
        <v>4832</v>
      </c>
      <c r="C7520" t="s" s="834">
        <v>2718</v>
      </c>
      <c r="D7520" s="835">
        <v>46050</v>
      </c>
      <c r="E7520" t="s" s="834">
        <v>478</v>
      </c>
      <c r="F7520" t="s" s="834">
        <v>478</v>
      </c>
      <c r="G7520" s="570"/>
      <c r="H7520" s="570"/>
      <c r="I7520" s="570"/>
      <c r="J7520" s="570"/>
      <c r="K7520" s="570"/>
    </row>
    <row r="7521" ht="13.75" customHeight="1">
      <c r="A7521" s="833">
        <v>378</v>
      </c>
      <c r="B7521" t="s" s="834">
        <v>4832</v>
      </c>
      <c r="C7521" t="s" s="834">
        <v>2718</v>
      </c>
      <c r="D7521" s="835">
        <v>46051</v>
      </c>
      <c r="E7521" t="s" s="834">
        <v>478</v>
      </c>
      <c r="F7521" t="s" s="834">
        <v>478</v>
      </c>
      <c r="G7521" s="570"/>
      <c r="H7521" s="570"/>
      <c r="I7521" s="570"/>
      <c r="J7521" s="570"/>
      <c r="K7521" s="570"/>
    </row>
    <row r="7522" ht="13.75" customHeight="1">
      <c r="A7522" s="833">
        <v>378</v>
      </c>
      <c r="B7522" t="s" s="834">
        <v>4832</v>
      </c>
      <c r="C7522" t="s" s="834">
        <v>2718</v>
      </c>
      <c r="D7522" s="835">
        <v>46052</v>
      </c>
      <c r="E7522" t="s" s="834">
        <v>478</v>
      </c>
      <c r="F7522" t="s" s="834">
        <v>478</v>
      </c>
      <c r="G7522" s="570"/>
      <c r="H7522" s="570"/>
      <c r="I7522" s="570"/>
      <c r="J7522" s="570"/>
      <c r="K7522" s="570"/>
    </row>
    <row r="7523" ht="13.75" customHeight="1">
      <c r="A7523" s="833">
        <v>378</v>
      </c>
      <c r="B7523" t="s" s="834">
        <v>4832</v>
      </c>
      <c r="C7523" t="s" s="834">
        <v>2718</v>
      </c>
      <c r="D7523" s="835">
        <v>46053</v>
      </c>
      <c r="E7523" t="s" s="834">
        <v>478</v>
      </c>
      <c r="F7523" t="s" s="834">
        <v>478</v>
      </c>
      <c r="G7523" s="570"/>
      <c r="H7523" s="570"/>
      <c r="I7523" s="570"/>
      <c r="J7523" s="570"/>
      <c r="K7523" s="570"/>
    </row>
    <row r="7524" ht="13.75" customHeight="1">
      <c r="A7524" s="833">
        <v>378</v>
      </c>
      <c r="B7524" t="s" s="834">
        <v>4832</v>
      </c>
      <c r="C7524" t="s" s="834">
        <v>2718</v>
      </c>
      <c r="D7524" s="835">
        <v>46054</v>
      </c>
      <c r="E7524" t="s" s="834">
        <v>478</v>
      </c>
      <c r="F7524" t="s" s="834">
        <v>478</v>
      </c>
      <c r="G7524" s="570"/>
      <c r="H7524" s="570"/>
      <c r="I7524" s="570"/>
      <c r="J7524" s="570"/>
      <c r="K7524" s="570"/>
    </row>
    <row r="7525" ht="13.75" customHeight="1">
      <c r="A7525" s="833">
        <v>379</v>
      </c>
      <c r="B7525" t="s" s="834">
        <v>4833</v>
      </c>
      <c r="C7525" t="s" s="834">
        <v>959</v>
      </c>
      <c r="D7525" s="835">
        <v>46023</v>
      </c>
      <c r="E7525" t="s" s="834">
        <v>478</v>
      </c>
      <c r="F7525" t="s" s="834">
        <v>478</v>
      </c>
      <c r="G7525" s="570"/>
      <c r="H7525" s="570"/>
      <c r="I7525" s="570"/>
      <c r="J7525" s="570"/>
      <c r="K7525" s="570"/>
    </row>
    <row r="7526" ht="13.75" customHeight="1">
      <c r="A7526" s="833">
        <v>379</v>
      </c>
      <c r="B7526" t="s" s="834">
        <v>4833</v>
      </c>
      <c r="C7526" t="s" s="834">
        <v>959</v>
      </c>
      <c r="D7526" s="835">
        <v>46024</v>
      </c>
      <c r="E7526" t="s" s="834">
        <v>478</v>
      </c>
      <c r="F7526" t="s" s="834">
        <v>478</v>
      </c>
      <c r="G7526" s="570"/>
      <c r="H7526" s="570"/>
      <c r="I7526" s="570"/>
      <c r="J7526" s="570"/>
      <c r="K7526" s="570"/>
    </row>
    <row r="7527" ht="13.75" customHeight="1">
      <c r="A7527" s="833">
        <v>379</v>
      </c>
      <c r="B7527" t="s" s="834">
        <v>4833</v>
      </c>
      <c r="C7527" t="s" s="834">
        <v>959</v>
      </c>
      <c r="D7527" s="835">
        <v>46025</v>
      </c>
      <c r="E7527" t="s" s="834">
        <v>478</v>
      </c>
      <c r="F7527" t="s" s="834">
        <v>478</v>
      </c>
      <c r="G7527" s="570"/>
      <c r="H7527" s="570"/>
      <c r="I7527" s="570"/>
      <c r="J7527" s="570"/>
      <c r="K7527" s="570"/>
    </row>
    <row r="7528" ht="13.75" customHeight="1">
      <c r="A7528" s="833">
        <v>379</v>
      </c>
      <c r="B7528" t="s" s="834">
        <v>4833</v>
      </c>
      <c r="C7528" t="s" s="834">
        <v>959</v>
      </c>
      <c r="D7528" s="835">
        <v>46026</v>
      </c>
      <c r="E7528" t="s" s="834">
        <v>478</v>
      </c>
      <c r="F7528" t="s" s="834">
        <v>478</v>
      </c>
      <c r="G7528" s="570"/>
      <c r="H7528" s="570"/>
      <c r="I7528" s="570"/>
      <c r="J7528" s="570"/>
      <c r="K7528" s="570"/>
    </row>
    <row r="7529" ht="13.75" customHeight="1">
      <c r="A7529" s="833">
        <v>379</v>
      </c>
      <c r="B7529" t="s" s="834">
        <v>4833</v>
      </c>
      <c r="C7529" t="s" s="834">
        <v>959</v>
      </c>
      <c r="D7529" s="835">
        <v>46027</v>
      </c>
      <c r="E7529" s="836">
        <v>1.363263888888889</v>
      </c>
      <c r="F7529" s="836">
        <v>1.761886574074074</v>
      </c>
      <c r="G7529" s="570"/>
      <c r="H7529" s="570"/>
      <c r="I7529" s="570"/>
      <c r="J7529" s="570"/>
      <c r="K7529" s="570"/>
    </row>
    <row r="7530" ht="13.75" customHeight="1">
      <c r="A7530" t="s" s="834">
        <v>4834</v>
      </c>
      <c r="B7530" t="s" s="834">
        <v>4835</v>
      </c>
      <c r="C7530" t="s" s="834">
        <v>611</v>
      </c>
      <c r="D7530" s="570"/>
      <c r="E7530" s="570"/>
      <c r="F7530" s="570"/>
      <c r="G7530" s="570"/>
      <c r="H7530" s="570"/>
      <c r="I7530" s="570"/>
      <c r="J7530" s="570"/>
      <c r="K7530" s="570"/>
    </row>
    <row r="7531" ht="13.75" customHeight="1">
      <c r="A7531" s="833">
        <v>379</v>
      </c>
      <c r="B7531" t="s" s="834">
        <v>4833</v>
      </c>
      <c r="C7531" t="s" s="834">
        <v>959</v>
      </c>
      <c r="D7531" s="835">
        <v>46028</v>
      </c>
      <c r="E7531" s="836">
        <v>1.358321759259259</v>
      </c>
      <c r="F7531" s="836">
        <v>1.759050925925926</v>
      </c>
      <c r="G7531" s="570"/>
      <c r="H7531" s="570"/>
      <c r="I7531" s="570"/>
      <c r="J7531" s="570"/>
      <c r="K7531" s="570"/>
    </row>
    <row r="7532" ht="13.75" customHeight="1">
      <c r="A7532" t="s" s="834">
        <v>4836</v>
      </c>
      <c r="B7532" t="s" s="834">
        <v>4837</v>
      </c>
      <c r="C7532" t="s" s="834">
        <v>606</v>
      </c>
      <c r="D7532" s="570"/>
      <c r="E7532" s="570"/>
      <c r="F7532" s="570"/>
      <c r="G7532" s="570"/>
      <c r="H7532" s="570"/>
      <c r="I7532" s="570"/>
      <c r="J7532" s="570"/>
      <c r="K7532" s="570"/>
    </row>
    <row r="7533" ht="13.75" customHeight="1">
      <c r="A7533" s="833">
        <v>379</v>
      </c>
      <c r="B7533" t="s" s="834">
        <v>4833</v>
      </c>
      <c r="C7533" t="s" s="834">
        <v>959</v>
      </c>
      <c r="D7533" s="835">
        <v>46029</v>
      </c>
      <c r="E7533" s="836">
        <v>1.35681712962963</v>
      </c>
      <c r="F7533" s="836">
        <v>1.756608796296296</v>
      </c>
      <c r="G7533" s="570"/>
      <c r="H7533" s="570"/>
      <c r="I7533" s="570"/>
      <c r="J7533" s="570"/>
      <c r="K7533" s="570"/>
    </row>
    <row r="7534" ht="13.75" customHeight="1">
      <c r="A7534" t="s" s="834">
        <v>4838</v>
      </c>
      <c r="B7534" t="s" s="834">
        <v>4839</v>
      </c>
      <c r="C7534" t="s" s="834">
        <v>759</v>
      </c>
      <c r="D7534" s="570"/>
      <c r="E7534" s="570"/>
      <c r="F7534" s="570"/>
      <c r="G7534" s="570"/>
      <c r="H7534" s="570"/>
      <c r="I7534" s="570"/>
      <c r="J7534" s="570"/>
      <c r="K7534" s="570"/>
    </row>
    <row r="7535" ht="13.75" customHeight="1">
      <c r="A7535" s="833">
        <v>379</v>
      </c>
      <c r="B7535" t="s" s="834">
        <v>4833</v>
      </c>
      <c r="C7535" t="s" s="834">
        <v>959</v>
      </c>
      <c r="D7535" s="835">
        <v>46030</v>
      </c>
      <c r="E7535" s="836">
        <v>1.336030092592593</v>
      </c>
      <c r="F7535" s="836">
        <v>1.762384259259259</v>
      </c>
      <c r="G7535" s="570"/>
      <c r="H7535" s="570"/>
      <c r="I7535" s="570"/>
      <c r="J7535" s="570"/>
      <c r="K7535" s="570"/>
    </row>
    <row r="7536" ht="13.75" customHeight="1">
      <c r="A7536" t="s" s="834">
        <v>4840</v>
      </c>
      <c r="B7536" t="s" s="834">
        <v>4841</v>
      </c>
      <c r="C7536" t="s" s="834">
        <v>1549</v>
      </c>
      <c r="D7536" s="570"/>
      <c r="E7536" s="570"/>
      <c r="F7536" s="570"/>
      <c r="G7536" s="570"/>
      <c r="H7536" s="570"/>
      <c r="I7536" s="570"/>
      <c r="J7536" s="570"/>
      <c r="K7536" s="570"/>
    </row>
    <row r="7537" ht="13.75" customHeight="1">
      <c r="A7537" s="833">
        <v>379</v>
      </c>
      <c r="B7537" t="s" s="834">
        <v>4833</v>
      </c>
      <c r="C7537" t="s" s="834">
        <v>959</v>
      </c>
      <c r="D7537" s="835">
        <v>46031</v>
      </c>
      <c r="E7537" s="836">
        <v>1.348946759259259</v>
      </c>
      <c r="F7537" s="836">
        <v>1.783958333333333</v>
      </c>
      <c r="G7537" s="570"/>
      <c r="H7537" s="570"/>
      <c r="I7537" s="570"/>
      <c r="J7537" s="570"/>
      <c r="K7537" s="570"/>
    </row>
    <row r="7538" ht="13.75" customHeight="1">
      <c r="A7538" t="s" s="834">
        <v>4842</v>
      </c>
      <c r="B7538" t="s" s="834">
        <v>4843</v>
      </c>
      <c r="C7538" t="s" s="834">
        <v>1141</v>
      </c>
      <c r="D7538" s="570"/>
      <c r="E7538" s="570"/>
      <c r="F7538" s="570"/>
      <c r="G7538" s="570"/>
      <c r="H7538" s="570"/>
      <c r="I7538" s="570"/>
      <c r="J7538" s="570"/>
      <c r="K7538" s="570"/>
    </row>
    <row r="7539" ht="13.75" customHeight="1">
      <c r="A7539" s="833">
        <v>379</v>
      </c>
      <c r="B7539" t="s" s="834">
        <v>4833</v>
      </c>
      <c r="C7539" t="s" s="834">
        <v>959</v>
      </c>
      <c r="D7539" s="835">
        <v>46032</v>
      </c>
      <c r="E7539" s="836">
        <v>1.363252314814815</v>
      </c>
      <c r="F7539" s="836">
        <v>1.751782407407407</v>
      </c>
      <c r="G7539" s="570"/>
      <c r="H7539" s="570"/>
      <c r="I7539" s="570"/>
      <c r="J7539" s="570"/>
      <c r="K7539" s="570"/>
    </row>
    <row r="7540" ht="13.75" customHeight="1">
      <c r="A7540" t="s" s="834">
        <v>4844</v>
      </c>
      <c r="B7540" t="s" s="834">
        <v>4845</v>
      </c>
      <c r="C7540" t="s" s="834">
        <v>716</v>
      </c>
      <c r="D7540" s="570"/>
      <c r="E7540" s="570"/>
      <c r="F7540" s="570"/>
      <c r="G7540" s="570"/>
      <c r="H7540" s="570"/>
      <c r="I7540" s="570"/>
      <c r="J7540" s="570"/>
      <c r="K7540" s="570"/>
    </row>
    <row r="7541" ht="13.75" customHeight="1">
      <c r="A7541" s="833">
        <v>379</v>
      </c>
      <c r="B7541" t="s" s="834">
        <v>4833</v>
      </c>
      <c r="C7541" t="s" s="834">
        <v>959</v>
      </c>
      <c r="D7541" s="835">
        <v>46033</v>
      </c>
      <c r="E7541" t="s" s="834">
        <v>478</v>
      </c>
      <c r="F7541" t="s" s="834">
        <v>478</v>
      </c>
      <c r="G7541" s="570"/>
      <c r="H7541" s="570"/>
      <c r="I7541" s="570"/>
      <c r="J7541" s="570"/>
      <c r="K7541" s="570"/>
    </row>
    <row r="7542" ht="13.75" customHeight="1">
      <c r="A7542" s="833">
        <v>379</v>
      </c>
      <c r="B7542" t="s" s="834">
        <v>4833</v>
      </c>
      <c r="C7542" t="s" s="834">
        <v>959</v>
      </c>
      <c r="D7542" s="835">
        <v>46034</v>
      </c>
      <c r="E7542" s="836">
        <v>1.352372685185185</v>
      </c>
      <c r="F7542" s="836">
        <v>1.8321875</v>
      </c>
      <c r="G7542" s="570"/>
      <c r="H7542" s="570"/>
      <c r="I7542" s="570"/>
      <c r="J7542" s="570"/>
      <c r="K7542" s="570"/>
    </row>
    <row r="7543" ht="13.75" customHeight="1">
      <c r="A7543" t="s" s="834">
        <v>4846</v>
      </c>
      <c r="B7543" t="s" s="834">
        <v>4847</v>
      </c>
      <c r="C7543" t="s" s="834">
        <v>4107</v>
      </c>
      <c r="D7543" s="570"/>
      <c r="E7543" s="570"/>
      <c r="F7543" s="570"/>
      <c r="G7543" s="570"/>
      <c r="H7543" s="570"/>
      <c r="I7543" s="570"/>
      <c r="J7543" s="570"/>
      <c r="K7543" s="570"/>
    </row>
    <row r="7544" ht="13.75" customHeight="1">
      <c r="A7544" s="833">
        <v>379</v>
      </c>
      <c r="B7544" t="s" s="834">
        <v>4833</v>
      </c>
      <c r="C7544" t="s" s="834">
        <v>959</v>
      </c>
      <c r="D7544" s="835">
        <v>46035</v>
      </c>
      <c r="E7544" s="836">
        <v>1.358449074074074</v>
      </c>
      <c r="F7544" s="836">
        <v>1.756053240740741</v>
      </c>
      <c r="G7544" s="570"/>
      <c r="H7544" s="570"/>
      <c r="I7544" s="570"/>
      <c r="J7544" s="570"/>
      <c r="K7544" s="570"/>
    </row>
    <row r="7545" ht="13.75" customHeight="1">
      <c r="A7545" t="s" s="834">
        <v>4848</v>
      </c>
      <c r="B7545" t="s" s="834">
        <v>4849</v>
      </c>
      <c r="C7545" t="s" s="834">
        <v>688</v>
      </c>
      <c r="D7545" s="570"/>
      <c r="E7545" s="570"/>
      <c r="F7545" s="570"/>
      <c r="G7545" s="570"/>
      <c r="H7545" s="570"/>
      <c r="I7545" s="570"/>
      <c r="J7545" s="570"/>
      <c r="K7545" s="570"/>
    </row>
    <row r="7546" ht="13.75" customHeight="1">
      <c r="A7546" s="833">
        <v>379</v>
      </c>
      <c r="B7546" t="s" s="834">
        <v>4833</v>
      </c>
      <c r="C7546" t="s" s="834">
        <v>959</v>
      </c>
      <c r="D7546" s="835">
        <v>46036</v>
      </c>
      <c r="E7546" s="836">
        <v>1.366516203703704</v>
      </c>
      <c r="F7546" s="836">
        <v>1.755069444444445</v>
      </c>
      <c r="G7546" s="570"/>
      <c r="H7546" s="570"/>
      <c r="I7546" s="570"/>
      <c r="J7546" s="570"/>
      <c r="K7546" s="570"/>
    </row>
    <row r="7547" ht="13.75" customHeight="1">
      <c r="A7547" t="s" s="834">
        <v>4850</v>
      </c>
      <c r="B7547" t="s" s="834">
        <v>4851</v>
      </c>
      <c r="C7547" t="s" s="834">
        <v>1490</v>
      </c>
      <c r="D7547" s="570"/>
      <c r="E7547" s="570"/>
      <c r="F7547" s="570"/>
      <c r="G7547" s="570"/>
      <c r="H7547" s="570"/>
      <c r="I7547" s="570"/>
      <c r="J7547" s="570"/>
      <c r="K7547" s="570"/>
    </row>
    <row r="7548" ht="13.75" customHeight="1">
      <c r="A7548" s="833">
        <v>379</v>
      </c>
      <c r="B7548" t="s" s="834">
        <v>4833</v>
      </c>
      <c r="C7548" t="s" s="834">
        <v>959</v>
      </c>
      <c r="D7548" s="835">
        <v>46037</v>
      </c>
      <c r="E7548" s="836">
        <v>1.346805555555556</v>
      </c>
      <c r="F7548" s="836">
        <v>1.753009259259259</v>
      </c>
      <c r="G7548" s="570"/>
      <c r="H7548" s="570"/>
      <c r="I7548" s="570"/>
      <c r="J7548" s="570"/>
      <c r="K7548" s="570"/>
    </row>
    <row r="7549" ht="13.75" customHeight="1">
      <c r="A7549" t="s" s="834">
        <v>4852</v>
      </c>
      <c r="B7549" t="s" s="834">
        <v>4853</v>
      </c>
      <c r="C7549" t="s" s="834">
        <v>603</v>
      </c>
      <c r="D7549" s="570"/>
      <c r="E7549" s="570"/>
      <c r="F7549" s="570"/>
      <c r="G7549" s="570"/>
      <c r="H7549" s="570"/>
      <c r="I7549" s="570"/>
      <c r="J7549" s="570"/>
      <c r="K7549" s="570"/>
    </row>
    <row r="7550" ht="13.75" customHeight="1">
      <c r="A7550" s="833">
        <v>379</v>
      </c>
      <c r="B7550" t="s" s="834">
        <v>4833</v>
      </c>
      <c r="C7550" t="s" s="834">
        <v>959</v>
      </c>
      <c r="D7550" s="835">
        <v>46038</v>
      </c>
      <c r="E7550" s="836">
        <v>1.352893518518518</v>
      </c>
      <c r="F7550" s="836">
        <v>1.766759259259259</v>
      </c>
      <c r="G7550" s="570"/>
      <c r="H7550" s="570"/>
      <c r="I7550" s="570"/>
      <c r="J7550" s="570"/>
      <c r="K7550" s="570"/>
    </row>
    <row r="7551" ht="13.75" customHeight="1">
      <c r="A7551" t="s" s="834">
        <v>4854</v>
      </c>
      <c r="B7551" t="s" s="834">
        <v>4855</v>
      </c>
      <c r="C7551" t="s" s="834">
        <v>637</v>
      </c>
      <c r="D7551" s="570"/>
      <c r="E7551" s="570"/>
      <c r="F7551" s="570"/>
      <c r="G7551" s="570"/>
      <c r="H7551" s="570"/>
      <c r="I7551" s="570"/>
      <c r="J7551" s="570"/>
      <c r="K7551" s="570"/>
    </row>
    <row r="7552" ht="13.75" customHeight="1">
      <c r="A7552" s="833">
        <v>379</v>
      </c>
      <c r="B7552" t="s" s="834">
        <v>4833</v>
      </c>
      <c r="C7552" t="s" s="834">
        <v>959</v>
      </c>
      <c r="D7552" s="835">
        <v>46039</v>
      </c>
      <c r="E7552" t="s" s="834">
        <v>478</v>
      </c>
      <c r="F7552" t="s" s="834">
        <v>478</v>
      </c>
      <c r="G7552" s="570"/>
      <c r="H7552" s="570"/>
      <c r="I7552" s="570"/>
      <c r="J7552" s="570"/>
      <c r="K7552" s="570"/>
    </row>
    <row r="7553" ht="13.75" customHeight="1">
      <c r="A7553" s="833">
        <v>379</v>
      </c>
      <c r="B7553" t="s" s="834">
        <v>4833</v>
      </c>
      <c r="C7553" t="s" s="834">
        <v>959</v>
      </c>
      <c r="D7553" s="835">
        <v>46040</v>
      </c>
      <c r="E7553" t="s" s="834">
        <v>478</v>
      </c>
      <c r="F7553" t="s" s="834">
        <v>478</v>
      </c>
      <c r="G7553" s="570"/>
      <c r="H7553" s="570"/>
      <c r="I7553" s="570"/>
      <c r="J7553" s="570"/>
      <c r="K7553" s="570"/>
    </row>
    <row r="7554" ht="13.75" customHeight="1">
      <c r="A7554" s="833">
        <v>379</v>
      </c>
      <c r="B7554" t="s" s="834">
        <v>4833</v>
      </c>
      <c r="C7554" t="s" s="834">
        <v>959</v>
      </c>
      <c r="D7554" s="835">
        <v>46041</v>
      </c>
      <c r="E7554" s="836">
        <v>1.3340625</v>
      </c>
      <c r="F7554" s="836">
        <v>1.764328703703704</v>
      </c>
      <c r="G7554" s="570"/>
      <c r="H7554" s="570"/>
      <c r="I7554" s="570"/>
      <c r="J7554" s="570"/>
      <c r="K7554" s="570"/>
    </row>
    <row r="7555" ht="13.75" customHeight="1">
      <c r="A7555" t="s" s="834">
        <v>4856</v>
      </c>
      <c r="B7555" t="s" s="834">
        <v>4857</v>
      </c>
      <c r="C7555" t="s" s="834">
        <v>2283</v>
      </c>
      <c r="D7555" s="570"/>
      <c r="E7555" s="570"/>
      <c r="F7555" s="570"/>
      <c r="G7555" s="570"/>
      <c r="H7555" s="570"/>
      <c r="I7555" s="570"/>
      <c r="J7555" s="570"/>
      <c r="K7555" s="570"/>
    </row>
    <row r="7556" ht="13.75" customHeight="1">
      <c r="A7556" s="833">
        <v>379</v>
      </c>
      <c r="B7556" t="s" s="834">
        <v>4833</v>
      </c>
      <c r="C7556" t="s" s="834">
        <v>959</v>
      </c>
      <c r="D7556" s="835">
        <v>46042</v>
      </c>
      <c r="E7556" s="836">
        <v>1.359074074074074</v>
      </c>
      <c r="F7556" s="836">
        <v>1.753229166666667</v>
      </c>
      <c r="G7556" s="570"/>
      <c r="H7556" s="570"/>
      <c r="I7556" s="570"/>
      <c r="J7556" s="570"/>
      <c r="K7556" s="570"/>
    </row>
    <row r="7557" ht="13.75" customHeight="1">
      <c r="A7557" t="s" s="834">
        <v>4858</v>
      </c>
      <c r="B7557" t="s" s="834">
        <v>4859</v>
      </c>
      <c r="C7557" t="s" s="834">
        <v>512</v>
      </c>
      <c r="D7557" s="570"/>
      <c r="E7557" s="570"/>
      <c r="F7557" s="570"/>
      <c r="G7557" s="570"/>
      <c r="H7557" s="570"/>
      <c r="I7557" s="570"/>
      <c r="J7557" s="570"/>
      <c r="K7557" s="570"/>
    </row>
    <row r="7558" ht="13.75" customHeight="1">
      <c r="A7558" s="833">
        <v>379</v>
      </c>
      <c r="B7558" t="s" s="834">
        <v>4833</v>
      </c>
      <c r="C7558" t="s" s="834">
        <v>959</v>
      </c>
      <c r="D7558" s="835">
        <v>46043</v>
      </c>
      <c r="E7558" s="836">
        <v>1.342349537037037</v>
      </c>
      <c r="F7558" s="836">
        <v>1.752418981481481</v>
      </c>
      <c r="G7558" s="570"/>
      <c r="H7558" s="570"/>
      <c r="I7558" s="570"/>
      <c r="J7558" s="570"/>
      <c r="K7558" s="570"/>
    </row>
    <row r="7559" ht="13.75" customHeight="1">
      <c r="A7559" t="s" s="834">
        <v>4860</v>
      </c>
      <c r="B7559" t="s" s="834">
        <v>4861</v>
      </c>
      <c r="C7559" t="s" s="834">
        <v>1252</v>
      </c>
      <c r="D7559" s="570"/>
      <c r="E7559" s="570"/>
      <c r="F7559" s="570"/>
      <c r="G7559" s="570"/>
      <c r="H7559" s="570"/>
      <c r="I7559" s="570"/>
      <c r="J7559" s="570"/>
      <c r="K7559" s="570"/>
    </row>
    <row r="7560" ht="13.75" customHeight="1">
      <c r="A7560" s="833">
        <v>379</v>
      </c>
      <c r="B7560" t="s" s="834">
        <v>4833</v>
      </c>
      <c r="C7560" t="s" s="834">
        <v>959</v>
      </c>
      <c r="D7560" s="835">
        <v>46044</v>
      </c>
      <c r="E7560" s="836">
        <v>1.354537037037037</v>
      </c>
      <c r="F7560" s="836">
        <v>1.754247685185185</v>
      </c>
      <c r="G7560" s="570"/>
      <c r="H7560" s="570"/>
      <c r="I7560" s="570"/>
      <c r="J7560" s="570"/>
      <c r="K7560" s="570"/>
    </row>
    <row r="7561" ht="13.75" customHeight="1">
      <c r="A7561" t="s" s="834">
        <v>4862</v>
      </c>
      <c r="B7561" t="s" s="834">
        <v>4863</v>
      </c>
      <c r="C7561" t="s" s="834">
        <v>759</v>
      </c>
      <c r="D7561" s="570"/>
      <c r="E7561" s="570"/>
      <c r="F7561" s="570"/>
      <c r="G7561" s="570"/>
      <c r="H7561" s="570"/>
      <c r="I7561" s="570"/>
      <c r="J7561" s="570"/>
      <c r="K7561" s="570"/>
    </row>
    <row r="7562" ht="13.75" customHeight="1">
      <c r="A7562" s="833">
        <v>379</v>
      </c>
      <c r="B7562" t="s" s="834">
        <v>4833</v>
      </c>
      <c r="C7562" t="s" s="834">
        <v>959</v>
      </c>
      <c r="D7562" s="835">
        <v>46045</v>
      </c>
      <c r="E7562" s="836">
        <v>1.346747685185185</v>
      </c>
      <c r="F7562" s="836">
        <v>1.757268518518519</v>
      </c>
      <c r="G7562" s="570"/>
      <c r="H7562" s="570"/>
      <c r="I7562" s="570"/>
      <c r="J7562" s="570"/>
      <c r="K7562" s="570"/>
    </row>
    <row r="7563" ht="13.75" customHeight="1">
      <c r="A7563" t="s" s="834">
        <v>4864</v>
      </c>
      <c r="B7563" t="s" s="834">
        <v>4865</v>
      </c>
      <c r="C7563" t="s" s="834">
        <v>1252</v>
      </c>
      <c r="D7563" s="570"/>
      <c r="E7563" s="570"/>
      <c r="F7563" s="570"/>
      <c r="G7563" s="570"/>
      <c r="H7563" s="570"/>
      <c r="I7563" s="570"/>
      <c r="J7563" s="570"/>
      <c r="K7563" s="570"/>
    </row>
    <row r="7564" ht="13.75" customHeight="1">
      <c r="A7564" s="833">
        <v>379</v>
      </c>
      <c r="B7564" t="s" s="834">
        <v>4833</v>
      </c>
      <c r="C7564" t="s" s="834">
        <v>959</v>
      </c>
      <c r="D7564" s="835">
        <v>46046</v>
      </c>
      <c r="E7564" t="s" s="834">
        <v>478</v>
      </c>
      <c r="F7564" t="s" s="834">
        <v>478</v>
      </c>
      <c r="G7564" s="570"/>
      <c r="H7564" s="570"/>
      <c r="I7564" s="570"/>
      <c r="J7564" s="570"/>
      <c r="K7564" s="570"/>
    </row>
    <row r="7565" ht="13.75" customHeight="1">
      <c r="A7565" s="833">
        <v>379</v>
      </c>
      <c r="B7565" t="s" s="834">
        <v>4833</v>
      </c>
      <c r="C7565" t="s" s="834">
        <v>959</v>
      </c>
      <c r="D7565" s="835">
        <v>46047</v>
      </c>
      <c r="E7565" t="s" s="834">
        <v>478</v>
      </c>
      <c r="F7565" t="s" s="834">
        <v>478</v>
      </c>
      <c r="G7565" s="570"/>
      <c r="H7565" s="570"/>
      <c r="I7565" s="570"/>
      <c r="J7565" s="570"/>
      <c r="K7565" s="570"/>
    </row>
    <row r="7566" ht="13.75" customHeight="1">
      <c r="A7566" s="833">
        <v>379</v>
      </c>
      <c r="B7566" t="s" s="834">
        <v>4833</v>
      </c>
      <c r="C7566" t="s" s="834">
        <v>959</v>
      </c>
      <c r="D7566" s="835">
        <v>46048</v>
      </c>
      <c r="E7566" s="836">
        <v>1.252847222222222</v>
      </c>
      <c r="F7566" s="836">
        <v>1.830775462962963</v>
      </c>
      <c r="G7566" s="570"/>
      <c r="H7566" s="570"/>
      <c r="I7566" s="570"/>
      <c r="J7566" s="570"/>
      <c r="K7566" s="570"/>
    </row>
    <row r="7567" ht="13.75" customHeight="1">
      <c r="A7567" t="s" s="834">
        <v>4866</v>
      </c>
      <c r="B7567" t="s" s="834">
        <v>4867</v>
      </c>
      <c r="C7567" t="s" s="834">
        <v>4868</v>
      </c>
      <c r="D7567" s="570"/>
      <c r="E7567" s="570"/>
      <c r="F7567" s="570"/>
      <c r="G7567" s="570"/>
      <c r="H7567" s="570"/>
      <c r="I7567" s="570"/>
      <c r="J7567" s="570"/>
      <c r="K7567" s="570"/>
    </row>
    <row r="7568" ht="13.75" customHeight="1">
      <c r="A7568" s="833">
        <v>379</v>
      </c>
      <c r="B7568" t="s" s="834">
        <v>4833</v>
      </c>
      <c r="C7568" t="s" s="834">
        <v>959</v>
      </c>
      <c r="D7568" s="835">
        <v>46049</v>
      </c>
      <c r="E7568" s="836">
        <v>1.353298611111111</v>
      </c>
      <c r="F7568" s="836">
        <v>1.669236111111111</v>
      </c>
      <c r="G7568" s="570"/>
      <c r="H7568" s="570"/>
      <c r="I7568" s="570"/>
      <c r="J7568" s="570"/>
      <c r="K7568" s="570"/>
    </row>
    <row r="7569" ht="13.75" customHeight="1">
      <c r="A7569" t="s" s="834">
        <v>4869</v>
      </c>
      <c r="B7569" t="s" s="834">
        <v>4870</v>
      </c>
      <c r="C7569" t="s" s="834">
        <v>4243</v>
      </c>
      <c r="D7569" s="570"/>
      <c r="E7569" s="570"/>
      <c r="F7569" s="570"/>
      <c r="G7569" s="570"/>
      <c r="H7569" s="570"/>
      <c r="I7569" s="570"/>
      <c r="J7569" s="570"/>
      <c r="K7569" s="570"/>
    </row>
    <row r="7570" ht="13.75" customHeight="1">
      <c r="A7570" s="833">
        <v>379</v>
      </c>
      <c r="B7570" t="s" s="834">
        <v>4833</v>
      </c>
      <c r="C7570" t="s" s="834">
        <v>959</v>
      </c>
      <c r="D7570" s="835">
        <v>46050</v>
      </c>
      <c r="E7570" s="836">
        <v>1.352152777777778</v>
      </c>
      <c r="F7570" s="836">
        <v>1.761909722222222</v>
      </c>
      <c r="G7570" s="570"/>
      <c r="H7570" s="570"/>
      <c r="I7570" s="570"/>
      <c r="J7570" s="570"/>
      <c r="K7570" s="570"/>
    </row>
    <row r="7571" ht="13.75" customHeight="1">
      <c r="A7571" t="s" s="834">
        <v>4871</v>
      </c>
      <c r="B7571" t="s" s="834">
        <v>4872</v>
      </c>
      <c r="C7571" t="s" s="834">
        <v>1119</v>
      </c>
      <c r="D7571" s="570"/>
      <c r="E7571" s="570"/>
      <c r="F7571" s="570"/>
      <c r="G7571" s="570"/>
      <c r="H7571" s="570"/>
      <c r="I7571" s="570"/>
      <c r="J7571" s="570"/>
      <c r="K7571" s="570"/>
    </row>
    <row r="7572" ht="13.75" customHeight="1">
      <c r="A7572" s="833">
        <v>379</v>
      </c>
      <c r="B7572" t="s" s="834">
        <v>4833</v>
      </c>
      <c r="C7572" t="s" s="834">
        <v>959</v>
      </c>
      <c r="D7572" s="835">
        <v>46051</v>
      </c>
      <c r="E7572" s="836">
        <v>1.358784722222222</v>
      </c>
      <c r="F7572" s="836">
        <v>1.785335648148148</v>
      </c>
      <c r="G7572" s="570"/>
      <c r="H7572" s="570"/>
      <c r="I7572" s="570"/>
      <c r="J7572" s="570"/>
      <c r="K7572" s="570"/>
    </row>
    <row r="7573" ht="13.75" customHeight="1">
      <c r="A7573" t="s" s="834">
        <v>4873</v>
      </c>
      <c r="B7573" t="s" s="834">
        <v>4874</v>
      </c>
      <c r="C7573" t="s" s="834">
        <v>1549</v>
      </c>
      <c r="D7573" s="570"/>
      <c r="E7573" s="570"/>
      <c r="F7573" s="570"/>
      <c r="G7573" s="570"/>
      <c r="H7573" s="570"/>
      <c r="I7573" s="570"/>
      <c r="J7573" s="570"/>
      <c r="K7573" s="570"/>
    </row>
    <row r="7574" ht="13.75" customHeight="1">
      <c r="A7574" s="833">
        <v>379</v>
      </c>
      <c r="B7574" t="s" s="834">
        <v>4833</v>
      </c>
      <c r="C7574" t="s" s="834">
        <v>959</v>
      </c>
      <c r="D7574" s="835">
        <v>46052</v>
      </c>
      <c r="E7574" s="836">
        <v>1.35275462962963</v>
      </c>
      <c r="F7574" s="836">
        <v>1.752094907407407</v>
      </c>
      <c r="G7574" s="570"/>
      <c r="H7574" s="570"/>
      <c r="I7574" s="570"/>
      <c r="J7574" s="570"/>
      <c r="K7574" s="570"/>
    </row>
    <row r="7575" ht="13.75" customHeight="1">
      <c r="A7575" t="s" s="834">
        <v>4875</v>
      </c>
      <c r="B7575" t="s" s="834">
        <v>4876</v>
      </c>
      <c r="C7575" t="s" s="834">
        <v>515</v>
      </c>
      <c r="D7575" s="570"/>
      <c r="E7575" s="570"/>
      <c r="F7575" s="570"/>
      <c r="G7575" s="570"/>
      <c r="H7575" s="570"/>
      <c r="I7575" s="570"/>
      <c r="J7575" s="570"/>
      <c r="K7575" s="570"/>
    </row>
    <row r="7576" ht="13.75" customHeight="1">
      <c r="A7576" s="833">
        <v>379</v>
      </c>
      <c r="B7576" t="s" s="834">
        <v>4833</v>
      </c>
      <c r="C7576" t="s" s="834">
        <v>959</v>
      </c>
      <c r="D7576" s="835">
        <v>46053</v>
      </c>
      <c r="E7576" s="836">
        <v>1.35912037037037</v>
      </c>
      <c r="F7576" t="s" s="834">
        <v>478</v>
      </c>
      <c r="G7576" s="570"/>
      <c r="H7576" s="570"/>
      <c r="I7576" s="570"/>
      <c r="J7576" s="570"/>
      <c r="K7576" s="570"/>
    </row>
    <row r="7577" ht="13.75" customHeight="1">
      <c r="A7577" t="s" s="834">
        <v>4877</v>
      </c>
      <c r="B7577" t="s" s="834">
        <v>485</v>
      </c>
      <c r="C7577" t="s" s="834">
        <v>486</v>
      </c>
      <c r="D7577" s="570"/>
      <c r="E7577" s="570"/>
      <c r="F7577" s="570"/>
      <c r="G7577" s="570"/>
      <c r="H7577" s="570"/>
      <c r="I7577" s="570"/>
      <c r="J7577" s="570"/>
      <c r="K7577" s="570"/>
    </row>
    <row r="7578" ht="13.75" customHeight="1">
      <c r="A7578" s="833">
        <v>379</v>
      </c>
      <c r="B7578" t="s" s="834">
        <v>4833</v>
      </c>
      <c r="C7578" t="s" s="834">
        <v>959</v>
      </c>
      <c r="D7578" s="835">
        <v>46054</v>
      </c>
      <c r="E7578" t="s" s="834">
        <v>478</v>
      </c>
      <c r="F7578" t="s" s="834">
        <v>478</v>
      </c>
      <c r="G7578" s="570"/>
      <c r="H7578" s="570"/>
      <c r="I7578" s="570"/>
      <c r="J7578" s="570"/>
      <c r="K7578" s="570"/>
    </row>
    <row r="7579" ht="13.75" customHeight="1">
      <c r="A7579" s="833">
        <v>380</v>
      </c>
      <c r="B7579" t="s" s="834">
        <v>4878</v>
      </c>
      <c r="C7579" t="s" s="834">
        <v>1528</v>
      </c>
      <c r="D7579" s="835">
        <v>46023</v>
      </c>
      <c r="E7579" t="s" s="834">
        <v>478</v>
      </c>
      <c r="F7579" t="s" s="834">
        <v>478</v>
      </c>
      <c r="G7579" s="570"/>
      <c r="H7579" s="570"/>
      <c r="I7579" s="570"/>
      <c r="J7579" s="570"/>
      <c r="K7579" s="570"/>
    </row>
    <row r="7580" ht="13.75" customHeight="1">
      <c r="A7580" s="833">
        <v>380</v>
      </c>
      <c r="B7580" t="s" s="834">
        <v>4878</v>
      </c>
      <c r="C7580" t="s" s="834">
        <v>1528</v>
      </c>
      <c r="D7580" s="835">
        <v>46024</v>
      </c>
      <c r="E7580" t="s" s="834">
        <v>478</v>
      </c>
      <c r="F7580" t="s" s="834">
        <v>478</v>
      </c>
      <c r="G7580" s="570"/>
      <c r="H7580" s="570"/>
      <c r="I7580" s="570"/>
      <c r="J7580" s="570"/>
      <c r="K7580" s="570"/>
    </row>
    <row r="7581" ht="13.75" customHeight="1">
      <c r="A7581" s="833">
        <v>380</v>
      </c>
      <c r="B7581" t="s" s="834">
        <v>4878</v>
      </c>
      <c r="C7581" t="s" s="834">
        <v>1528</v>
      </c>
      <c r="D7581" s="835">
        <v>46025</v>
      </c>
      <c r="E7581" t="s" s="834">
        <v>478</v>
      </c>
      <c r="F7581" t="s" s="834">
        <v>478</v>
      </c>
      <c r="G7581" s="570"/>
      <c r="H7581" s="570"/>
      <c r="I7581" s="570"/>
      <c r="J7581" s="570"/>
      <c r="K7581" s="570"/>
    </row>
    <row r="7582" ht="13.75" customHeight="1">
      <c r="A7582" s="833">
        <v>380</v>
      </c>
      <c r="B7582" t="s" s="834">
        <v>4878</v>
      </c>
      <c r="C7582" t="s" s="834">
        <v>1528</v>
      </c>
      <c r="D7582" s="835">
        <v>46026</v>
      </c>
      <c r="E7582" t="s" s="834">
        <v>478</v>
      </c>
      <c r="F7582" t="s" s="834">
        <v>478</v>
      </c>
      <c r="G7582" s="570"/>
      <c r="H7582" s="570"/>
      <c r="I7582" s="570"/>
      <c r="J7582" s="570"/>
      <c r="K7582" s="570"/>
    </row>
    <row r="7583" ht="13.75" customHeight="1">
      <c r="A7583" s="833">
        <v>380</v>
      </c>
      <c r="B7583" t="s" s="834">
        <v>4878</v>
      </c>
      <c r="C7583" t="s" s="834">
        <v>1528</v>
      </c>
      <c r="D7583" s="835">
        <v>46027</v>
      </c>
      <c r="E7583" t="s" s="834">
        <v>478</v>
      </c>
      <c r="F7583" t="s" s="834">
        <v>478</v>
      </c>
      <c r="G7583" s="570"/>
      <c r="H7583" s="570"/>
      <c r="I7583" s="570"/>
      <c r="J7583" s="570"/>
      <c r="K7583" s="570"/>
    </row>
    <row r="7584" ht="13.75" customHeight="1">
      <c r="A7584" s="833">
        <v>380</v>
      </c>
      <c r="B7584" t="s" s="834">
        <v>4878</v>
      </c>
      <c r="C7584" t="s" s="834">
        <v>1528</v>
      </c>
      <c r="D7584" s="835">
        <v>46028</v>
      </c>
      <c r="E7584" t="s" s="834">
        <v>478</v>
      </c>
      <c r="F7584" t="s" s="834">
        <v>478</v>
      </c>
      <c r="G7584" s="570"/>
      <c r="H7584" s="570"/>
      <c r="I7584" s="570"/>
      <c r="J7584" s="570"/>
      <c r="K7584" s="570"/>
    </row>
    <row r="7585" ht="13.75" customHeight="1">
      <c r="A7585" s="833">
        <v>380</v>
      </c>
      <c r="B7585" t="s" s="834">
        <v>4878</v>
      </c>
      <c r="C7585" t="s" s="834">
        <v>1528</v>
      </c>
      <c r="D7585" s="835">
        <v>46029</v>
      </c>
      <c r="E7585" t="s" s="834">
        <v>478</v>
      </c>
      <c r="F7585" t="s" s="834">
        <v>478</v>
      </c>
      <c r="G7585" s="570"/>
      <c r="H7585" s="570"/>
      <c r="I7585" s="570"/>
      <c r="J7585" s="570"/>
      <c r="K7585" s="570"/>
    </row>
    <row r="7586" ht="13.75" customHeight="1">
      <c r="A7586" s="833">
        <v>380</v>
      </c>
      <c r="B7586" t="s" s="834">
        <v>4878</v>
      </c>
      <c r="C7586" t="s" s="834">
        <v>1528</v>
      </c>
      <c r="D7586" s="835">
        <v>46030</v>
      </c>
      <c r="E7586" t="s" s="834">
        <v>478</v>
      </c>
      <c r="F7586" t="s" s="834">
        <v>478</v>
      </c>
      <c r="G7586" s="570"/>
      <c r="H7586" s="570"/>
      <c r="I7586" s="570"/>
      <c r="J7586" s="570"/>
      <c r="K7586" s="570"/>
    </row>
    <row r="7587" ht="13.75" customHeight="1">
      <c r="A7587" s="833">
        <v>380</v>
      </c>
      <c r="B7587" t="s" s="834">
        <v>4878</v>
      </c>
      <c r="C7587" t="s" s="834">
        <v>1528</v>
      </c>
      <c r="D7587" s="835">
        <v>46031</v>
      </c>
      <c r="E7587" t="s" s="834">
        <v>478</v>
      </c>
      <c r="F7587" t="s" s="834">
        <v>478</v>
      </c>
      <c r="G7587" s="570"/>
      <c r="H7587" s="570"/>
      <c r="I7587" s="570"/>
      <c r="J7587" s="570"/>
      <c r="K7587" s="570"/>
    </row>
    <row r="7588" ht="13.75" customHeight="1">
      <c r="A7588" s="833">
        <v>380</v>
      </c>
      <c r="B7588" t="s" s="834">
        <v>4878</v>
      </c>
      <c r="C7588" t="s" s="834">
        <v>1528</v>
      </c>
      <c r="D7588" s="835">
        <v>46032</v>
      </c>
      <c r="E7588" t="s" s="834">
        <v>478</v>
      </c>
      <c r="F7588" t="s" s="834">
        <v>478</v>
      </c>
      <c r="G7588" s="570"/>
      <c r="H7588" s="570"/>
      <c r="I7588" s="570"/>
      <c r="J7588" s="570"/>
      <c r="K7588" s="570"/>
    </row>
    <row r="7589" ht="13.75" customHeight="1">
      <c r="A7589" s="833">
        <v>380</v>
      </c>
      <c r="B7589" t="s" s="834">
        <v>4878</v>
      </c>
      <c r="C7589" t="s" s="834">
        <v>1528</v>
      </c>
      <c r="D7589" s="835">
        <v>46033</v>
      </c>
      <c r="E7589" t="s" s="834">
        <v>478</v>
      </c>
      <c r="F7589" t="s" s="834">
        <v>478</v>
      </c>
      <c r="G7589" s="570"/>
      <c r="H7589" s="570"/>
      <c r="I7589" s="570"/>
      <c r="J7589" s="570"/>
      <c r="K7589" s="570"/>
    </row>
    <row r="7590" ht="13.75" customHeight="1">
      <c r="A7590" s="833">
        <v>380</v>
      </c>
      <c r="B7590" t="s" s="834">
        <v>4878</v>
      </c>
      <c r="C7590" t="s" s="834">
        <v>1528</v>
      </c>
      <c r="D7590" s="835">
        <v>46034</v>
      </c>
      <c r="E7590" t="s" s="834">
        <v>478</v>
      </c>
      <c r="F7590" t="s" s="834">
        <v>478</v>
      </c>
      <c r="G7590" s="570"/>
      <c r="H7590" s="570"/>
      <c r="I7590" s="570"/>
      <c r="J7590" s="570"/>
      <c r="K7590" s="570"/>
    </row>
    <row r="7591" ht="13.75" customHeight="1">
      <c r="A7591" s="833">
        <v>380</v>
      </c>
      <c r="B7591" t="s" s="834">
        <v>4878</v>
      </c>
      <c r="C7591" t="s" s="834">
        <v>1528</v>
      </c>
      <c r="D7591" s="835">
        <v>46035</v>
      </c>
      <c r="E7591" t="s" s="834">
        <v>478</v>
      </c>
      <c r="F7591" t="s" s="834">
        <v>478</v>
      </c>
      <c r="G7591" s="570"/>
      <c r="H7591" s="570"/>
      <c r="I7591" s="570"/>
      <c r="J7591" s="570"/>
      <c r="K7591" s="570"/>
    </row>
    <row r="7592" ht="13.75" customHeight="1">
      <c r="A7592" s="833">
        <v>380</v>
      </c>
      <c r="B7592" t="s" s="834">
        <v>4878</v>
      </c>
      <c r="C7592" t="s" s="834">
        <v>1528</v>
      </c>
      <c r="D7592" s="835">
        <v>46036</v>
      </c>
      <c r="E7592" t="s" s="834">
        <v>478</v>
      </c>
      <c r="F7592" t="s" s="834">
        <v>478</v>
      </c>
      <c r="G7592" s="570"/>
      <c r="H7592" s="570"/>
      <c r="I7592" s="570"/>
      <c r="J7592" s="570"/>
      <c r="K7592" s="570"/>
    </row>
    <row r="7593" ht="13.75" customHeight="1">
      <c r="A7593" s="833">
        <v>380</v>
      </c>
      <c r="B7593" t="s" s="834">
        <v>4878</v>
      </c>
      <c r="C7593" t="s" s="834">
        <v>1528</v>
      </c>
      <c r="D7593" s="835">
        <v>46037</v>
      </c>
      <c r="E7593" t="s" s="834">
        <v>478</v>
      </c>
      <c r="F7593" t="s" s="834">
        <v>478</v>
      </c>
      <c r="G7593" s="570"/>
      <c r="H7593" s="570"/>
      <c r="I7593" s="570"/>
      <c r="J7593" s="570"/>
      <c r="K7593" s="570"/>
    </row>
    <row r="7594" ht="13.75" customHeight="1">
      <c r="A7594" s="833">
        <v>380</v>
      </c>
      <c r="B7594" t="s" s="834">
        <v>4878</v>
      </c>
      <c r="C7594" t="s" s="834">
        <v>1528</v>
      </c>
      <c r="D7594" s="835">
        <v>46038</v>
      </c>
      <c r="E7594" t="s" s="834">
        <v>478</v>
      </c>
      <c r="F7594" t="s" s="834">
        <v>478</v>
      </c>
      <c r="G7594" s="570"/>
      <c r="H7594" s="570"/>
      <c r="I7594" s="570"/>
      <c r="J7594" s="570"/>
      <c r="K7594" s="570"/>
    </row>
    <row r="7595" ht="13.75" customHeight="1">
      <c r="A7595" s="833">
        <v>380</v>
      </c>
      <c r="B7595" t="s" s="834">
        <v>4878</v>
      </c>
      <c r="C7595" t="s" s="834">
        <v>1528</v>
      </c>
      <c r="D7595" s="835">
        <v>46039</v>
      </c>
      <c r="E7595" t="s" s="834">
        <v>478</v>
      </c>
      <c r="F7595" t="s" s="834">
        <v>478</v>
      </c>
      <c r="G7595" s="570"/>
      <c r="H7595" s="570"/>
      <c r="I7595" s="570"/>
      <c r="J7595" s="570"/>
      <c r="K7595" s="570"/>
    </row>
    <row r="7596" ht="13.75" customHeight="1">
      <c r="A7596" s="833">
        <v>380</v>
      </c>
      <c r="B7596" t="s" s="834">
        <v>4878</v>
      </c>
      <c r="C7596" t="s" s="834">
        <v>1528</v>
      </c>
      <c r="D7596" s="835">
        <v>46040</v>
      </c>
      <c r="E7596" t="s" s="834">
        <v>478</v>
      </c>
      <c r="F7596" t="s" s="834">
        <v>478</v>
      </c>
      <c r="G7596" s="570"/>
      <c r="H7596" s="570"/>
      <c r="I7596" s="570"/>
      <c r="J7596" s="570"/>
      <c r="K7596" s="570"/>
    </row>
    <row r="7597" ht="13.75" customHeight="1">
      <c r="A7597" s="833">
        <v>380</v>
      </c>
      <c r="B7597" t="s" s="834">
        <v>4878</v>
      </c>
      <c r="C7597" t="s" s="834">
        <v>1528</v>
      </c>
      <c r="D7597" s="835">
        <v>46041</v>
      </c>
      <c r="E7597" t="s" s="834">
        <v>478</v>
      </c>
      <c r="F7597" t="s" s="834">
        <v>478</v>
      </c>
      <c r="G7597" s="570"/>
      <c r="H7597" s="570"/>
      <c r="I7597" s="570"/>
      <c r="J7597" s="570"/>
      <c r="K7597" s="570"/>
    </row>
    <row r="7598" ht="13.75" customHeight="1">
      <c r="A7598" s="833">
        <v>380</v>
      </c>
      <c r="B7598" t="s" s="834">
        <v>4878</v>
      </c>
      <c r="C7598" t="s" s="834">
        <v>1528</v>
      </c>
      <c r="D7598" s="835">
        <v>46042</v>
      </c>
      <c r="E7598" t="s" s="834">
        <v>478</v>
      </c>
      <c r="F7598" t="s" s="834">
        <v>478</v>
      </c>
      <c r="G7598" s="570"/>
      <c r="H7598" s="570"/>
      <c r="I7598" s="570"/>
      <c r="J7598" s="570"/>
      <c r="K7598" s="570"/>
    </row>
    <row r="7599" ht="13.75" customHeight="1">
      <c r="A7599" s="833">
        <v>380</v>
      </c>
      <c r="B7599" t="s" s="834">
        <v>4878</v>
      </c>
      <c r="C7599" t="s" s="834">
        <v>1528</v>
      </c>
      <c r="D7599" s="835">
        <v>46043</v>
      </c>
      <c r="E7599" t="s" s="834">
        <v>478</v>
      </c>
      <c r="F7599" t="s" s="834">
        <v>478</v>
      </c>
      <c r="G7599" s="570"/>
      <c r="H7599" s="570"/>
      <c r="I7599" s="570"/>
      <c r="J7599" s="570"/>
      <c r="K7599" s="570"/>
    </row>
    <row r="7600" ht="13.75" customHeight="1">
      <c r="A7600" s="833">
        <v>380</v>
      </c>
      <c r="B7600" t="s" s="834">
        <v>4878</v>
      </c>
      <c r="C7600" t="s" s="834">
        <v>1528</v>
      </c>
      <c r="D7600" s="835">
        <v>46044</v>
      </c>
      <c r="E7600" t="s" s="834">
        <v>478</v>
      </c>
      <c r="F7600" t="s" s="834">
        <v>478</v>
      </c>
      <c r="G7600" s="570"/>
      <c r="H7600" s="570"/>
      <c r="I7600" s="570"/>
      <c r="J7600" s="570"/>
      <c r="K7600" s="570"/>
    </row>
    <row r="7601" ht="13.75" customHeight="1">
      <c r="A7601" s="833">
        <v>380</v>
      </c>
      <c r="B7601" t="s" s="834">
        <v>4878</v>
      </c>
      <c r="C7601" t="s" s="834">
        <v>1528</v>
      </c>
      <c r="D7601" s="835">
        <v>46045</v>
      </c>
      <c r="E7601" t="s" s="834">
        <v>478</v>
      </c>
      <c r="F7601" t="s" s="834">
        <v>478</v>
      </c>
      <c r="G7601" s="570"/>
      <c r="H7601" s="570"/>
      <c r="I7601" s="570"/>
      <c r="J7601" s="570"/>
      <c r="K7601" s="570"/>
    </row>
    <row r="7602" ht="13.75" customHeight="1">
      <c r="A7602" s="833">
        <v>380</v>
      </c>
      <c r="B7602" t="s" s="834">
        <v>4878</v>
      </c>
      <c r="C7602" t="s" s="834">
        <v>1528</v>
      </c>
      <c r="D7602" s="835">
        <v>46046</v>
      </c>
      <c r="E7602" t="s" s="834">
        <v>478</v>
      </c>
      <c r="F7602" t="s" s="834">
        <v>478</v>
      </c>
      <c r="G7602" s="570"/>
      <c r="H7602" s="570"/>
      <c r="I7602" s="570"/>
      <c r="J7602" s="570"/>
      <c r="K7602" s="570"/>
    </row>
    <row r="7603" ht="13.75" customHeight="1">
      <c r="A7603" s="833">
        <v>380</v>
      </c>
      <c r="B7603" t="s" s="834">
        <v>4878</v>
      </c>
      <c r="C7603" t="s" s="834">
        <v>1528</v>
      </c>
      <c r="D7603" s="835">
        <v>46047</v>
      </c>
      <c r="E7603" t="s" s="834">
        <v>478</v>
      </c>
      <c r="F7603" t="s" s="834">
        <v>478</v>
      </c>
      <c r="G7603" s="570"/>
      <c r="H7603" s="570"/>
      <c r="I7603" s="570"/>
      <c r="J7603" s="570"/>
      <c r="K7603" s="570"/>
    </row>
    <row r="7604" ht="13.75" customHeight="1">
      <c r="A7604" s="833">
        <v>380</v>
      </c>
      <c r="B7604" t="s" s="834">
        <v>4878</v>
      </c>
      <c r="C7604" t="s" s="834">
        <v>1528</v>
      </c>
      <c r="D7604" s="835">
        <v>46048</v>
      </c>
      <c r="E7604" t="s" s="834">
        <v>478</v>
      </c>
      <c r="F7604" t="s" s="834">
        <v>478</v>
      </c>
      <c r="G7604" s="570"/>
      <c r="H7604" s="570"/>
      <c r="I7604" s="570"/>
      <c r="J7604" s="570"/>
      <c r="K7604" s="570"/>
    </row>
    <row r="7605" ht="13.75" customHeight="1">
      <c r="A7605" s="833">
        <v>380</v>
      </c>
      <c r="B7605" t="s" s="834">
        <v>4878</v>
      </c>
      <c r="C7605" t="s" s="834">
        <v>1528</v>
      </c>
      <c r="D7605" s="835">
        <v>46049</v>
      </c>
      <c r="E7605" t="s" s="834">
        <v>478</v>
      </c>
      <c r="F7605" t="s" s="834">
        <v>478</v>
      </c>
      <c r="G7605" s="570"/>
      <c r="H7605" s="570"/>
      <c r="I7605" s="570"/>
      <c r="J7605" s="570"/>
      <c r="K7605" s="570"/>
    </row>
    <row r="7606" ht="13.75" customHeight="1">
      <c r="A7606" s="833">
        <v>380</v>
      </c>
      <c r="B7606" t="s" s="834">
        <v>4878</v>
      </c>
      <c r="C7606" t="s" s="834">
        <v>1528</v>
      </c>
      <c r="D7606" s="835">
        <v>46050</v>
      </c>
      <c r="E7606" t="s" s="834">
        <v>478</v>
      </c>
      <c r="F7606" t="s" s="834">
        <v>478</v>
      </c>
      <c r="G7606" s="570"/>
      <c r="H7606" s="570"/>
      <c r="I7606" s="570"/>
      <c r="J7606" s="570"/>
      <c r="K7606" s="570"/>
    </row>
    <row r="7607" ht="13.75" customHeight="1">
      <c r="A7607" s="833">
        <v>380</v>
      </c>
      <c r="B7607" t="s" s="834">
        <v>4878</v>
      </c>
      <c r="C7607" t="s" s="834">
        <v>1528</v>
      </c>
      <c r="D7607" s="835">
        <v>46051</v>
      </c>
      <c r="E7607" t="s" s="834">
        <v>478</v>
      </c>
      <c r="F7607" t="s" s="834">
        <v>478</v>
      </c>
      <c r="G7607" s="570"/>
      <c r="H7607" s="570"/>
      <c r="I7607" s="570"/>
      <c r="J7607" s="570"/>
      <c r="K7607" s="570"/>
    </row>
    <row r="7608" ht="13.75" customHeight="1">
      <c r="A7608" s="833">
        <v>380</v>
      </c>
      <c r="B7608" t="s" s="834">
        <v>4878</v>
      </c>
      <c r="C7608" t="s" s="834">
        <v>1528</v>
      </c>
      <c r="D7608" s="835">
        <v>46052</v>
      </c>
      <c r="E7608" t="s" s="834">
        <v>478</v>
      </c>
      <c r="F7608" t="s" s="834">
        <v>478</v>
      </c>
      <c r="G7608" s="570"/>
      <c r="H7608" s="570"/>
      <c r="I7608" s="570"/>
      <c r="J7608" s="570"/>
      <c r="K7608" s="570"/>
    </row>
    <row r="7609" ht="13.75" customHeight="1">
      <c r="A7609" s="833">
        <v>380</v>
      </c>
      <c r="B7609" t="s" s="834">
        <v>4878</v>
      </c>
      <c r="C7609" t="s" s="834">
        <v>1528</v>
      </c>
      <c r="D7609" s="835">
        <v>46053</v>
      </c>
      <c r="E7609" t="s" s="834">
        <v>478</v>
      </c>
      <c r="F7609" t="s" s="834">
        <v>478</v>
      </c>
      <c r="G7609" s="570"/>
      <c r="H7609" s="570"/>
      <c r="I7609" s="570"/>
      <c r="J7609" s="570"/>
      <c r="K7609" s="570"/>
    </row>
    <row r="7610" ht="13.75" customHeight="1">
      <c r="A7610" s="833">
        <v>380</v>
      </c>
      <c r="B7610" t="s" s="834">
        <v>4878</v>
      </c>
      <c r="C7610" t="s" s="834">
        <v>1528</v>
      </c>
      <c r="D7610" s="835">
        <v>46054</v>
      </c>
      <c r="E7610" t="s" s="834">
        <v>478</v>
      </c>
      <c r="F7610" t="s" s="834">
        <v>478</v>
      </c>
      <c r="G7610" s="570"/>
      <c r="H7610" s="570"/>
      <c r="I7610" s="570"/>
      <c r="J7610" s="570"/>
      <c r="K7610" s="570"/>
    </row>
    <row r="7611" ht="13.75" customHeight="1">
      <c r="A7611" s="833">
        <v>381</v>
      </c>
      <c r="B7611" t="s" s="834">
        <v>460</v>
      </c>
      <c r="C7611" t="s" s="834">
        <v>480</v>
      </c>
      <c r="D7611" s="835">
        <v>46023</v>
      </c>
      <c r="E7611" t="s" s="834">
        <v>478</v>
      </c>
      <c r="F7611" t="s" s="834">
        <v>478</v>
      </c>
      <c r="G7611" s="570"/>
      <c r="H7611" s="570"/>
      <c r="I7611" s="570"/>
      <c r="J7611" s="570"/>
      <c r="K7611" s="570"/>
    </row>
    <row r="7612" ht="13.75" customHeight="1">
      <c r="A7612" s="833">
        <v>381</v>
      </c>
      <c r="B7612" t="s" s="834">
        <v>460</v>
      </c>
      <c r="C7612" t="s" s="834">
        <v>480</v>
      </c>
      <c r="D7612" s="835">
        <v>46024</v>
      </c>
      <c r="E7612" t="s" s="834">
        <v>478</v>
      </c>
      <c r="F7612" t="s" s="834">
        <v>478</v>
      </c>
      <c r="G7612" s="570"/>
      <c r="H7612" s="570"/>
      <c r="I7612" s="570"/>
      <c r="J7612" s="570"/>
      <c r="K7612" s="570"/>
    </row>
    <row r="7613" ht="13.75" customHeight="1">
      <c r="A7613" s="833">
        <v>381</v>
      </c>
      <c r="B7613" t="s" s="834">
        <v>460</v>
      </c>
      <c r="C7613" t="s" s="834">
        <v>480</v>
      </c>
      <c r="D7613" s="835">
        <v>46025</v>
      </c>
      <c r="E7613" t="s" s="834">
        <v>478</v>
      </c>
      <c r="F7613" t="s" s="834">
        <v>478</v>
      </c>
      <c r="G7613" s="570"/>
      <c r="H7613" s="570"/>
      <c r="I7613" s="570"/>
      <c r="J7613" s="570"/>
      <c r="K7613" s="570"/>
    </row>
    <row r="7614" ht="13.75" customHeight="1">
      <c r="A7614" s="833">
        <v>381</v>
      </c>
      <c r="B7614" t="s" s="834">
        <v>460</v>
      </c>
      <c r="C7614" t="s" s="834">
        <v>480</v>
      </c>
      <c r="D7614" s="835">
        <v>46026</v>
      </c>
      <c r="E7614" t="s" s="834">
        <v>478</v>
      </c>
      <c r="F7614" t="s" s="834">
        <v>478</v>
      </c>
      <c r="G7614" s="570"/>
      <c r="H7614" s="570"/>
      <c r="I7614" s="570"/>
      <c r="J7614" s="570"/>
      <c r="K7614" s="570"/>
    </row>
    <row r="7615" ht="13.75" customHeight="1">
      <c r="A7615" s="833">
        <v>381</v>
      </c>
      <c r="B7615" t="s" s="834">
        <v>460</v>
      </c>
      <c r="C7615" t="s" s="834">
        <v>480</v>
      </c>
      <c r="D7615" s="835">
        <v>46027</v>
      </c>
      <c r="E7615" s="836">
        <v>1.373993055555556</v>
      </c>
      <c r="F7615" s="836">
        <v>1.770358796296296</v>
      </c>
      <c r="G7615" s="570"/>
      <c r="H7615" s="570"/>
      <c r="I7615" s="570"/>
      <c r="J7615" s="570"/>
      <c r="K7615" s="570"/>
    </row>
    <row r="7616" ht="13.75" customHeight="1">
      <c r="A7616" t="s" s="834">
        <v>4879</v>
      </c>
      <c r="B7616" t="s" s="834">
        <v>4880</v>
      </c>
      <c r="C7616" t="s" s="834">
        <v>683</v>
      </c>
      <c r="D7616" s="570"/>
      <c r="E7616" s="570"/>
      <c r="F7616" s="570"/>
      <c r="G7616" s="570"/>
      <c r="H7616" s="570"/>
      <c r="I7616" s="570"/>
      <c r="J7616" s="570"/>
      <c r="K7616" s="570"/>
    </row>
    <row r="7617" ht="13.75" customHeight="1">
      <c r="A7617" s="833">
        <v>381</v>
      </c>
      <c r="B7617" t="s" s="834">
        <v>460</v>
      </c>
      <c r="C7617" t="s" s="834">
        <v>480</v>
      </c>
      <c r="D7617" s="835">
        <v>46028</v>
      </c>
      <c r="E7617" s="836">
        <v>1.357939814814815</v>
      </c>
      <c r="F7617" s="836">
        <v>1.776736111111111</v>
      </c>
      <c r="G7617" s="570"/>
      <c r="H7617" s="570"/>
      <c r="I7617" s="570"/>
      <c r="J7617" s="570"/>
      <c r="K7617" s="570"/>
    </row>
    <row r="7618" ht="13.75" customHeight="1">
      <c r="A7618" t="s" s="834">
        <v>4881</v>
      </c>
      <c r="B7618" t="s" s="834">
        <v>4882</v>
      </c>
      <c r="C7618" t="s" s="834">
        <v>1280</v>
      </c>
      <c r="D7618" s="570"/>
      <c r="E7618" s="570"/>
      <c r="F7618" s="570"/>
      <c r="G7618" s="570"/>
      <c r="H7618" s="570"/>
      <c r="I7618" s="570"/>
      <c r="J7618" s="570"/>
      <c r="K7618" s="570"/>
    </row>
    <row r="7619" ht="13.75" customHeight="1">
      <c r="A7619" s="833">
        <v>381</v>
      </c>
      <c r="B7619" t="s" s="834">
        <v>460</v>
      </c>
      <c r="C7619" t="s" s="834">
        <v>480</v>
      </c>
      <c r="D7619" s="835">
        <v>46029</v>
      </c>
      <c r="E7619" s="836">
        <v>1.363993055555556</v>
      </c>
      <c r="F7619" s="836">
        <v>1.764537037037037</v>
      </c>
      <c r="G7619" s="570"/>
      <c r="H7619" s="570"/>
      <c r="I7619" s="570"/>
      <c r="J7619" s="570"/>
      <c r="K7619" s="570"/>
    </row>
    <row r="7620" ht="13.75" customHeight="1">
      <c r="A7620" t="s" s="834">
        <v>4883</v>
      </c>
      <c r="B7620" t="s" s="834">
        <v>4884</v>
      </c>
      <c r="C7620" t="s" s="834">
        <v>606</v>
      </c>
      <c r="D7620" s="570"/>
      <c r="E7620" s="570"/>
      <c r="F7620" s="570"/>
      <c r="G7620" s="570"/>
      <c r="H7620" s="570"/>
      <c r="I7620" s="570"/>
      <c r="J7620" s="570"/>
      <c r="K7620" s="570"/>
    </row>
    <row r="7621" ht="13.75" customHeight="1">
      <c r="A7621" s="833">
        <v>381</v>
      </c>
      <c r="B7621" t="s" s="834">
        <v>460</v>
      </c>
      <c r="C7621" t="s" s="834">
        <v>480</v>
      </c>
      <c r="D7621" s="835">
        <v>46030</v>
      </c>
      <c r="E7621" s="836">
        <v>1.362210648148148</v>
      </c>
      <c r="F7621" s="836">
        <v>1.786678240740741</v>
      </c>
      <c r="G7621" s="570"/>
      <c r="H7621" s="570"/>
      <c r="I7621" s="570"/>
      <c r="J7621" s="570"/>
      <c r="K7621" s="570"/>
    </row>
    <row r="7622" ht="13.75" customHeight="1">
      <c r="A7622" t="s" s="834">
        <v>4885</v>
      </c>
      <c r="B7622" t="s" s="834">
        <v>4886</v>
      </c>
      <c r="C7622" t="s" s="834">
        <v>623</v>
      </c>
      <c r="D7622" s="570"/>
      <c r="E7622" s="570"/>
      <c r="F7622" s="570"/>
      <c r="G7622" s="570"/>
      <c r="H7622" s="570"/>
      <c r="I7622" s="570"/>
      <c r="J7622" s="570"/>
      <c r="K7622" s="570"/>
    </row>
    <row r="7623" ht="13.75" customHeight="1">
      <c r="A7623" s="833">
        <v>381</v>
      </c>
      <c r="B7623" t="s" s="834">
        <v>460</v>
      </c>
      <c r="C7623" t="s" s="834">
        <v>480</v>
      </c>
      <c r="D7623" s="835">
        <v>46031</v>
      </c>
      <c r="E7623" s="836">
        <v>1.565925925925926</v>
      </c>
      <c r="F7623" s="836">
        <v>1.770474537037037</v>
      </c>
      <c r="G7623" s="570"/>
      <c r="H7623" s="570"/>
      <c r="I7623" s="570"/>
      <c r="J7623" s="570"/>
      <c r="K7623" s="570"/>
    </row>
    <row r="7624" ht="13.75" customHeight="1">
      <c r="A7624" t="s" s="834">
        <v>4887</v>
      </c>
      <c r="B7624" t="s" s="834">
        <v>4888</v>
      </c>
      <c r="C7624" t="s" s="834">
        <v>4889</v>
      </c>
      <c r="D7624" s="570"/>
      <c r="E7624" s="570"/>
      <c r="F7624" s="570"/>
      <c r="G7624" s="570"/>
      <c r="H7624" s="570"/>
      <c r="I7624" s="570"/>
      <c r="J7624" s="570"/>
      <c r="K7624" s="570"/>
    </row>
    <row r="7625" ht="13.75" customHeight="1">
      <c r="A7625" s="833">
        <v>381</v>
      </c>
      <c r="B7625" t="s" s="834">
        <v>460</v>
      </c>
      <c r="C7625" t="s" s="834">
        <v>480</v>
      </c>
      <c r="D7625" s="835">
        <v>46032</v>
      </c>
      <c r="E7625" t="s" s="834">
        <v>478</v>
      </c>
      <c r="F7625" t="s" s="834">
        <v>478</v>
      </c>
      <c r="G7625" s="570"/>
      <c r="H7625" s="570"/>
      <c r="I7625" s="570"/>
      <c r="J7625" s="570"/>
      <c r="K7625" s="570"/>
    </row>
    <row r="7626" ht="13.75" customHeight="1">
      <c r="A7626" s="833">
        <v>381</v>
      </c>
      <c r="B7626" t="s" s="834">
        <v>460</v>
      </c>
      <c r="C7626" t="s" s="834">
        <v>480</v>
      </c>
      <c r="D7626" s="835">
        <v>46033</v>
      </c>
      <c r="E7626" t="s" s="834">
        <v>478</v>
      </c>
      <c r="F7626" t="s" s="834">
        <v>478</v>
      </c>
      <c r="G7626" s="570"/>
      <c r="H7626" s="570"/>
      <c r="I7626" s="570"/>
      <c r="J7626" s="570"/>
      <c r="K7626" s="570"/>
    </row>
    <row r="7627" ht="13.75" customHeight="1">
      <c r="A7627" s="833">
        <v>381</v>
      </c>
      <c r="B7627" t="s" s="834">
        <v>460</v>
      </c>
      <c r="C7627" t="s" s="834">
        <v>480</v>
      </c>
      <c r="D7627" s="835">
        <v>46034</v>
      </c>
      <c r="E7627" s="836">
        <v>1.363449074074074</v>
      </c>
      <c r="F7627" s="836">
        <v>1.780243055555556</v>
      </c>
      <c r="G7627" s="570"/>
      <c r="H7627" s="570"/>
      <c r="I7627" s="570"/>
      <c r="J7627" s="570"/>
      <c r="K7627" s="570"/>
    </row>
    <row r="7628" ht="13.75" customHeight="1">
      <c r="A7628" t="s" s="834">
        <v>4890</v>
      </c>
      <c r="B7628" t="s" s="834">
        <v>4891</v>
      </c>
      <c r="C7628" t="s" s="834">
        <v>530</v>
      </c>
      <c r="D7628" s="570"/>
      <c r="E7628" s="570"/>
      <c r="F7628" s="570"/>
      <c r="G7628" s="570"/>
      <c r="H7628" s="570"/>
      <c r="I7628" s="570"/>
      <c r="J7628" s="570"/>
      <c r="K7628" s="570"/>
    </row>
    <row r="7629" ht="13.75" customHeight="1">
      <c r="A7629" s="833">
        <v>381</v>
      </c>
      <c r="B7629" t="s" s="834">
        <v>460</v>
      </c>
      <c r="C7629" t="s" s="834">
        <v>480</v>
      </c>
      <c r="D7629" s="835">
        <v>46035</v>
      </c>
      <c r="E7629" s="836">
        <v>1.366319444444444</v>
      </c>
      <c r="F7629" s="836">
        <v>1.760381944444444</v>
      </c>
      <c r="G7629" s="570"/>
      <c r="H7629" s="570"/>
      <c r="I7629" s="570"/>
      <c r="J7629" s="570"/>
      <c r="K7629" s="570"/>
    </row>
    <row r="7630" ht="13.75" customHeight="1">
      <c r="A7630" t="s" s="834">
        <v>4892</v>
      </c>
      <c r="B7630" t="s" s="834">
        <v>4893</v>
      </c>
      <c r="C7630" t="s" s="834">
        <v>518</v>
      </c>
      <c r="D7630" s="570"/>
      <c r="E7630" s="570"/>
      <c r="F7630" s="570"/>
      <c r="G7630" s="570"/>
      <c r="H7630" s="570"/>
      <c r="I7630" s="570"/>
      <c r="J7630" s="570"/>
      <c r="K7630" s="570"/>
    </row>
    <row r="7631" ht="13.75" customHeight="1">
      <c r="A7631" s="833">
        <v>381</v>
      </c>
      <c r="B7631" t="s" s="834">
        <v>460</v>
      </c>
      <c r="C7631" t="s" s="834">
        <v>480</v>
      </c>
      <c r="D7631" s="835">
        <v>46036</v>
      </c>
      <c r="E7631" s="836">
        <v>1.377719907407407</v>
      </c>
      <c r="F7631" s="836">
        <v>1.784618055555556</v>
      </c>
      <c r="G7631" s="570"/>
      <c r="H7631" s="570"/>
      <c r="I7631" s="570"/>
      <c r="J7631" s="570"/>
      <c r="K7631" s="570"/>
    </row>
    <row r="7632" ht="13.75" customHeight="1">
      <c r="A7632" t="s" s="834">
        <v>4894</v>
      </c>
      <c r="B7632" t="s" s="834">
        <v>4895</v>
      </c>
      <c r="C7632" t="s" s="834">
        <v>1113</v>
      </c>
      <c r="D7632" s="570"/>
      <c r="E7632" s="570"/>
      <c r="F7632" s="570"/>
      <c r="G7632" s="570"/>
      <c r="H7632" s="570"/>
      <c r="I7632" s="570"/>
      <c r="J7632" s="570"/>
      <c r="K7632" s="570"/>
    </row>
    <row r="7633" ht="13.75" customHeight="1">
      <c r="A7633" s="833">
        <v>381</v>
      </c>
      <c r="B7633" t="s" s="834">
        <v>460</v>
      </c>
      <c r="C7633" t="s" s="834">
        <v>480</v>
      </c>
      <c r="D7633" s="835">
        <v>46037</v>
      </c>
      <c r="E7633" s="836">
        <v>1.3653125</v>
      </c>
      <c r="F7633" s="836">
        <v>1.756400462962963</v>
      </c>
      <c r="G7633" s="570"/>
      <c r="H7633" s="570"/>
      <c r="I7633" s="570"/>
      <c r="J7633" s="570"/>
      <c r="K7633" s="570"/>
    </row>
    <row r="7634" ht="13.75" customHeight="1">
      <c r="A7634" t="s" s="834">
        <v>4896</v>
      </c>
      <c r="B7634" t="s" s="834">
        <v>4897</v>
      </c>
      <c r="C7634" t="s" s="834">
        <v>668</v>
      </c>
      <c r="D7634" s="570"/>
      <c r="E7634" s="570"/>
      <c r="F7634" s="570"/>
      <c r="G7634" s="570"/>
      <c r="H7634" s="570"/>
      <c r="I7634" s="570"/>
      <c r="J7634" s="570"/>
      <c r="K7634" s="570"/>
    </row>
    <row r="7635" ht="13.75" customHeight="1">
      <c r="A7635" s="833">
        <v>381</v>
      </c>
      <c r="B7635" t="s" s="834">
        <v>460</v>
      </c>
      <c r="C7635" t="s" s="834">
        <v>480</v>
      </c>
      <c r="D7635" s="835">
        <v>46038</v>
      </c>
      <c r="E7635" s="836">
        <v>1.565636574074074</v>
      </c>
      <c r="F7635" s="836">
        <v>1.760335648148148</v>
      </c>
      <c r="G7635" s="570"/>
      <c r="H7635" s="570"/>
      <c r="I7635" s="570"/>
      <c r="J7635" s="570"/>
      <c r="K7635" s="570"/>
    </row>
    <row r="7636" ht="13.75" customHeight="1">
      <c r="A7636" t="s" s="834">
        <v>4898</v>
      </c>
      <c r="B7636" t="s" s="834">
        <v>4899</v>
      </c>
      <c r="C7636" t="s" s="834">
        <v>3769</v>
      </c>
      <c r="D7636" s="570"/>
      <c r="E7636" s="570"/>
      <c r="F7636" s="570"/>
      <c r="G7636" s="570"/>
      <c r="H7636" s="570"/>
      <c r="I7636" s="570"/>
      <c r="J7636" s="570"/>
      <c r="K7636" s="570"/>
    </row>
    <row r="7637" ht="13.75" customHeight="1">
      <c r="A7637" s="833">
        <v>381</v>
      </c>
      <c r="B7637" t="s" s="834">
        <v>460</v>
      </c>
      <c r="C7637" t="s" s="834">
        <v>480</v>
      </c>
      <c r="D7637" s="835">
        <v>46039</v>
      </c>
      <c r="E7637" t="s" s="834">
        <v>478</v>
      </c>
      <c r="F7637" t="s" s="834">
        <v>478</v>
      </c>
      <c r="G7637" s="570"/>
      <c r="H7637" s="570"/>
      <c r="I7637" s="570"/>
      <c r="J7637" s="570"/>
      <c r="K7637" s="570"/>
    </row>
    <row r="7638" ht="13.75" customHeight="1">
      <c r="A7638" s="833">
        <v>381</v>
      </c>
      <c r="B7638" t="s" s="834">
        <v>460</v>
      </c>
      <c r="C7638" t="s" s="834">
        <v>480</v>
      </c>
      <c r="D7638" s="835">
        <v>46040</v>
      </c>
      <c r="E7638" t="s" s="834">
        <v>478</v>
      </c>
      <c r="F7638" t="s" s="834">
        <v>478</v>
      </c>
      <c r="G7638" s="570"/>
      <c r="H7638" s="570"/>
      <c r="I7638" s="570"/>
      <c r="J7638" s="570"/>
      <c r="K7638" s="570"/>
    </row>
    <row r="7639" ht="13.75" customHeight="1">
      <c r="A7639" s="833">
        <v>381</v>
      </c>
      <c r="B7639" t="s" s="834">
        <v>460</v>
      </c>
      <c r="C7639" t="s" s="834">
        <v>480</v>
      </c>
      <c r="D7639" s="835">
        <v>46041</v>
      </c>
      <c r="E7639" s="836">
        <v>1.722037037037037</v>
      </c>
      <c r="F7639" t="s" s="834">
        <v>478</v>
      </c>
      <c r="G7639" s="570"/>
      <c r="H7639" s="570"/>
      <c r="I7639" s="570"/>
      <c r="J7639" s="570"/>
      <c r="K7639" s="570"/>
    </row>
    <row r="7640" ht="13.75" customHeight="1">
      <c r="A7640" t="s" s="834">
        <v>4900</v>
      </c>
      <c r="B7640" t="s" s="834">
        <v>485</v>
      </c>
      <c r="C7640" t="s" s="834">
        <v>486</v>
      </c>
      <c r="D7640" s="570"/>
      <c r="E7640" s="570"/>
      <c r="F7640" s="570"/>
      <c r="G7640" s="570"/>
      <c r="H7640" s="570"/>
      <c r="I7640" s="570"/>
      <c r="J7640" s="570"/>
      <c r="K7640" s="570"/>
    </row>
    <row r="7641" ht="13.75" customHeight="1">
      <c r="A7641" s="833">
        <v>381</v>
      </c>
      <c r="B7641" t="s" s="834">
        <v>460</v>
      </c>
      <c r="C7641" t="s" s="834">
        <v>480</v>
      </c>
      <c r="D7641" s="835">
        <v>46042</v>
      </c>
      <c r="E7641" s="836">
        <v>1.366354166666667</v>
      </c>
      <c r="F7641" s="836">
        <v>1.786736111111111</v>
      </c>
      <c r="G7641" s="570"/>
      <c r="H7641" s="570"/>
      <c r="I7641" s="570"/>
      <c r="J7641" s="570"/>
      <c r="K7641" s="570"/>
    </row>
    <row r="7642" ht="13.75" customHeight="1">
      <c r="A7642" t="s" s="834">
        <v>4901</v>
      </c>
      <c r="B7642" t="s" s="834">
        <v>4902</v>
      </c>
      <c r="C7642" t="s" s="834">
        <v>1906</v>
      </c>
      <c r="D7642" s="570"/>
      <c r="E7642" s="570"/>
      <c r="F7642" s="570"/>
      <c r="G7642" s="570"/>
      <c r="H7642" s="570"/>
      <c r="I7642" s="570"/>
      <c r="J7642" s="570"/>
      <c r="K7642" s="570"/>
    </row>
    <row r="7643" ht="13.75" customHeight="1">
      <c r="A7643" s="833">
        <v>381</v>
      </c>
      <c r="B7643" t="s" s="834">
        <v>460</v>
      </c>
      <c r="C7643" t="s" s="834">
        <v>480</v>
      </c>
      <c r="D7643" s="835">
        <v>46043</v>
      </c>
      <c r="E7643" s="836">
        <v>1.364780092592593</v>
      </c>
      <c r="F7643" s="836">
        <v>1.787465277777778</v>
      </c>
      <c r="G7643" s="570"/>
      <c r="H7643" s="570"/>
      <c r="I7643" s="570"/>
      <c r="J7643" s="570"/>
      <c r="K7643" s="570"/>
    </row>
    <row r="7644" ht="13.75" customHeight="1">
      <c r="A7644" t="s" s="834">
        <v>4903</v>
      </c>
      <c r="B7644" t="s" s="834">
        <v>4904</v>
      </c>
      <c r="C7644" t="s" s="834">
        <v>971</v>
      </c>
      <c r="D7644" s="570"/>
      <c r="E7644" s="570"/>
      <c r="F7644" s="570"/>
      <c r="G7644" s="570"/>
      <c r="H7644" s="570"/>
      <c r="I7644" s="570"/>
      <c r="J7644" s="570"/>
      <c r="K7644" s="570"/>
    </row>
    <row r="7645" ht="13.75" customHeight="1">
      <c r="A7645" s="833">
        <v>381</v>
      </c>
      <c r="B7645" t="s" s="834">
        <v>460</v>
      </c>
      <c r="C7645" t="s" s="834">
        <v>480</v>
      </c>
      <c r="D7645" s="835">
        <v>46044</v>
      </c>
      <c r="E7645" s="836">
        <v>1.373993055555556</v>
      </c>
      <c r="F7645" s="836">
        <v>1.786053240740741</v>
      </c>
      <c r="G7645" s="570"/>
      <c r="H7645" s="570"/>
      <c r="I7645" s="570"/>
      <c r="J7645" s="570"/>
      <c r="K7645" s="570"/>
    </row>
    <row r="7646" ht="13.75" customHeight="1">
      <c r="A7646" t="s" s="834">
        <v>4905</v>
      </c>
      <c r="B7646" t="s" s="834">
        <v>4906</v>
      </c>
      <c r="C7646" t="s" s="834">
        <v>597</v>
      </c>
      <c r="D7646" s="570"/>
      <c r="E7646" s="570"/>
      <c r="F7646" s="570"/>
      <c r="G7646" s="570"/>
      <c r="H7646" s="570"/>
      <c r="I7646" s="570"/>
      <c r="J7646" s="570"/>
      <c r="K7646" s="570"/>
    </row>
    <row r="7647" ht="13.75" customHeight="1">
      <c r="A7647" s="833">
        <v>381</v>
      </c>
      <c r="B7647" t="s" s="834">
        <v>460</v>
      </c>
      <c r="C7647" t="s" s="834">
        <v>480</v>
      </c>
      <c r="D7647" s="835">
        <v>46045</v>
      </c>
      <c r="E7647" s="836">
        <v>1.387314814814815</v>
      </c>
      <c r="F7647" s="836">
        <v>1.771446759259259</v>
      </c>
      <c r="G7647" s="570"/>
      <c r="H7647" s="570"/>
      <c r="I7647" s="570"/>
      <c r="J7647" s="570"/>
      <c r="K7647" s="570"/>
    </row>
    <row r="7648" ht="13.75" customHeight="1">
      <c r="A7648" t="s" s="834">
        <v>4907</v>
      </c>
      <c r="B7648" t="s" s="834">
        <v>4908</v>
      </c>
      <c r="C7648" t="s" s="834">
        <v>984</v>
      </c>
      <c r="D7648" s="570"/>
      <c r="E7648" s="570"/>
      <c r="F7648" s="570"/>
      <c r="G7648" s="570"/>
      <c r="H7648" s="570"/>
      <c r="I7648" s="570"/>
      <c r="J7648" s="570"/>
      <c r="K7648" s="570"/>
    </row>
    <row r="7649" ht="13.75" customHeight="1">
      <c r="A7649" s="833">
        <v>381</v>
      </c>
      <c r="B7649" t="s" s="834">
        <v>460</v>
      </c>
      <c r="C7649" t="s" s="834">
        <v>480</v>
      </c>
      <c r="D7649" s="835">
        <v>46046</v>
      </c>
      <c r="E7649" t="s" s="834">
        <v>478</v>
      </c>
      <c r="F7649" t="s" s="834">
        <v>478</v>
      </c>
      <c r="G7649" s="570"/>
      <c r="H7649" s="570"/>
      <c r="I7649" s="570"/>
      <c r="J7649" s="570"/>
      <c r="K7649" s="570"/>
    </row>
    <row r="7650" ht="13.75" customHeight="1">
      <c r="A7650" s="833">
        <v>381</v>
      </c>
      <c r="B7650" t="s" s="834">
        <v>460</v>
      </c>
      <c r="C7650" t="s" s="834">
        <v>480</v>
      </c>
      <c r="D7650" s="835">
        <v>46047</v>
      </c>
      <c r="E7650" t="s" s="834">
        <v>478</v>
      </c>
      <c r="F7650" t="s" s="834">
        <v>478</v>
      </c>
      <c r="G7650" s="570"/>
      <c r="H7650" s="570"/>
      <c r="I7650" s="570"/>
      <c r="J7650" s="570"/>
      <c r="K7650" s="570"/>
    </row>
    <row r="7651" ht="13.75" customHeight="1">
      <c r="A7651" s="833">
        <v>381</v>
      </c>
      <c r="B7651" t="s" s="834">
        <v>460</v>
      </c>
      <c r="C7651" t="s" s="834">
        <v>480</v>
      </c>
      <c r="D7651" s="835">
        <v>46048</v>
      </c>
      <c r="E7651" s="836">
        <v>1.376469907407407</v>
      </c>
      <c r="F7651" s="836">
        <v>1.76025462962963</v>
      </c>
      <c r="G7651" s="570"/>
      <c r="H7651" s="570"/>
      <c r="I7651" s="570"/>
      <c r="J7651" s="570"/>
      <c r="K7651" s="570"/>
    </row>
    <row r="7652" ht="13.75" customHeight="1">
      <c r="A7652" t="s" s="834">
        <v>4909</v>
      </c>
      <c r="B7652" t="s" s="834">
        <v>4910</v>
      </c>
      <c r="C7652" t="s" s="834">
        <v>984</v>
      </c>
      <c r="D7652" s="570"/>
      <c r="E7652" s="570"/>
      <c r="F7652" s="570"/>
      <c r="G7652" s="570"/>
      <c r="H7652" s="570"/>
      <c r="I7652" s="570"/>
      <c r="J7652" s="570"/>
      <c r="K7652" s="570"/>
    </row>
    <row r="7653" ht="13.75" customHeight="1">
      <c r="A7653" s="833">
        <v>381</v>
      </c>
      <c r="B7653" t="s" s="834">
        <v>460</v>
      </c>
      <c r="C7653" t="s" s="834">
        <v>480</v>
      </c>
      <c r="D7653" s="835">
        <v>46049</v>
      </c>
      <c r="E7653" s="836">
        <v>1.369768518518518</v>
      </c>
      <c r="F7653" s="836">
        <v>1.765914351851852</v>
      </c>
      <c r="G7653" s="570"/>
      <c r="H7653" s="570"/>
      <c r="I7653" s="570"/>
      <c r="J7653" s="570"/>
      <c r="K7653" s="570"/>
    </row>
    <row r="7654" ht="13.75" customHeight="1">
      <c r="A7654" t="s" s="834">
        <v>4911</v>
      </c>
      <c r="B7654" t="s" s="834">
        <v>4912</v>
      </c>
      <c r="C7654" t="s" s="834">
        <v>634</v>
      </c>
      <c r="D7654" s="570"/>
      <c r="E7654" s="570"/>
      <c r="F7654" s="570"/>
      <c r="G7654" s="570"/>
      <c r="H7654" s="570"/>
      <c r="I7654" s="570"/>
      <c r="J7654" s="570"/>
      <c r="K7654" s="570"/>
    </row>
    <row r="7655" ht="13.75" customHeight="1">
      <c r="A7655" s="833">
        <v>381</v>
      </c>
      <c r="B7655" t="s" s="834">
        <v>460</v>
      </c>
      <c r="C7655" t="s" s="834">
        <v>480</v>
      </c>
      <c r="D7655" s="835">
        <v>46050</v>
      </c>
      <c r="E7655" s="836">
        <v>1.374166666666667</v>
      </c>
      <c r="F7655" s="836">
        <v>1.786516203703704</v>
      </c>
      <c r="G7655" s="570"/>
      <c r="H7655" s="570"/>
      <c r="I7655" s="570"/>
      <c r="J7655" s="570"/>
      <c r="K7655" s="570"/>
    </row>
    <row r="7656" ht="13.75" customHeight="1">
      <c r="A7656" t="s" s="834">
        <v>4913</v>
      </c>
      <c r="B7656" t="s" s="834">
        <v>4914</v>
      </c>
      <c r="C7656" t="s" s="834">
        <v>1059</v>
      </c>
      <c r="D7656" s="570"/>
      <c r="E7656" s="570"/>
      <c r="F7656" s="570"/>
      <c r="G7656" s="570"/>
      <c r="H7656" s="570"/>
      <c r="I7656" s="570"/>
      <c r="J7656" s="570"/>
      <c r="K7656" s="570"/>
    </row>
    <row r="7657" ht="13.75" customHeight="1">
      <c r="A7657" s="833">
        <v>381</v>
      </c>
      <c r="B7657" t="s" s="834">
        <v>460</v>
      </c>
      <c r="C7657" t="s" s="834">
        <v>480</v>
      </c>
      <c r="D7657" s="835">
        <v>46051</v>
      </c>
      <c r="E7657" s="836">
        <v>1.787638888888889</v>
      </c>
      <c r="F7657" t="s" s="834">
        <v>478</v>
      </c>
      <c r="G7657" s="570"/>
      <c r="H7657" s="570"/>
      <c r="I7657" s="570"/>
      <c r="J7657" s="570"/>
      <c r="K7657" s="570"/>
    </row>
    <row r="7658" ht="13.75" customHeight="1">
      <c r="A7658" t="s" s="834">
        <v>4915</v>
      </c>
      <c r="B7658" t="s" s="834">
        <v>485</v>
      </c>
      <c r="C7658" t="s" s="834">
        <v>486</v>
      </c>
      <c r="D7658" s="570"/>
      <c r="E7658" s="570"/>
      <c r="F7658" s="570"/>
      <c r="G7658" s="570"/>
      <c r="H7658" s="570"/>
      <c r="I7658" s="570"/>
      <c r="J7658" s="570"/>
      <c r="K7658" s="570"/>
    </row>
    <row r="7659" ht="13.75" customHeight="1">
      <c r="A7659" s="833">
        <v>381</v>
      </c>
      <c r="B7659" t="s" s="834">
        <v>460</v>
      </c>
      <c r="C7659" t="s" s="834">
        <v>480</v>
      </c>
      <c r="D7659" s="835">
        <v>46052</v>
      </c>
      <c r="E7659" s="836">
        <v>1.380949074074074</v>
      </c>
      <c r="F7659" s="836">
        <v>1.786967592592593</v>
      </c>
      <c r="G7659" s="570"/>
      <c r="H7659" s="570"/>
      <c r="I7659" s="570"/>
      <c r="J7659" s="570"/>
      <c r="K7659" s="570"/>
    </row>
    <row r="7660" ht="13.75" customHeight="1">
      <c r="A7660" t="s" s="834">
        <v>4916</v>
      </c>
      <c r="B7660" t="s" s="834">
        <v>4917</v>
      </c>
      <c r="C7660" t="s" s="834">
        <v>603</v>
      </c>
      <c r="D7660" s="570"/>
      <c r="E7660" s="570"/>
      <c r="F7660" s="570"/>
      <c r="G7660" s="570"/>
      <c r="H7660" s="570"/>
      <c r="I7660" s="570"/>
      <c r="J7660" s="570"/>
      <c r="K7660" s="570"/>
    </row>
    <row r="7661" ht="13.75" customHeight="1">
      <c r="A7661" s="833">
        <v>381</v>
      </c>
      <c r="B7661" t="s" s="834">
        <v>460</v>
      </c>
      <c r="C7661" t="s" s="834">
        <v>480</v>
      </c>
      <c r="D7661" s="835">
        <v>46053</v>
      </c>
      <c r="E7661" t="s" s="834">
        <v>478</v>
      </c>
      <c r="F7661" t="s" s="834">
        <v>478</v>
      </c>
      <c r="G7661" s="570"/>
      <c r="H7661" s="570"/>
      <c r="I7661" s="570"/>
      <c r="J7661" s="570"/>
      <c r="K7661" s="570"/>
    </row>
    <row r="7662" ht="13.75" customHeight="1">
      <c r="A7662" s="833">
        <v>381</v>
      </c>
      <c r="B7662" t="s" s="834">
        <v>460</v>
      </c>
      <c r="C7662" t="s" s="834">
        <v>480</v>
      </c>
      <c r="D7662" s="835">
        <v>46054</v>
      </c>
      <c r="E7662" t="s" s="834">
        <v>478</v>
      </c>
      <c r="F7662" t="s" s="834">
        <v>478</v>
      </c>
      <c r="G7662" s="570"/>
      <c r="H7662" s="570"/>
      <c r="I7662" s="570"/>
      <c r="J7662" s="570"/>
      <c r="K7662" s="570"/>
    </row>
    <row r="7663" ht="13.75" customHeight="1">
      <c r="A7663" s="833">
        <v>382</v>
      </c>
      <c r="B7663" t="s" s="834">
        <v>4918</v>
      </c>
      <c r="C7663" t="s" s="834">
        <v>700</v>
      </c>
      <c r="D7663" s="835">
        <v>46023</v>
      </c>
      <c r="E7663" t="s" s="834">
        <v>478</v>
      </c>
      <c r="F7663" t="s" s="834">
        <v>478</v>
      </c>
      <c r="G7663" s="570"/>
      <c r="H7663" s="570"/>
      <c r="I7663" s="570"/>
      <c r="J7663" s="570"/>
      <c r="K7663" s="570"/>
    </row>
    <row r="7664" ht="13.75" customHeight="1">
      <c r="A7664" s="833">
        <v>382</v>
      </c>
      <c r="B7664" t="s" s="834">
        <v>4918</v>
      </c>
      <c r="C7664" t="s" s="834">
        <v>700</v>
      </c>
      <c r="D7664" s="835">
        <v>46024</v>
      </c>
      <c r="E7664" t="s" s="834">
        <v>478</v>
      </c>
      <c r="F7664" t="s" s="834">
        <v>478</v>
      </c>
      <c r="G7664" s="570"/>
      <c r="H7664" s="570"/>
      <c r="I7664" s="570"/>
      <c r="J7664" s="570"/>
      <c r="K7664" s="570"/>
    </row>
    <row r="7665" ht="13.75" customHeight="1">
      <c r="A7665" s="833">
        <v>382</v>
      </c>
      <c r="B7665" t="s" s="834">
        <v>4918</v>
      </c>
      <c r="C7665" t="s" s="834">
        <v>700</v>
      </c>
      <c r="D7665" s="835">
        <v>46025</v>
      </c>
      <c r="E7665" t="s" s="834">
        <v>478</v>
      </c>
      <c r="F7665" t="s" s="834">
        <v>478</v>
      </c>
      <c r="G7665" s="570"/>
      <c r="H7665" s="570"/>
      <c r="I7665" s="570"/>
      <c r="J7665" s="570"/>
      <c r="K7665" s="570"/>
    </row>
    <row r="7666" ht="13.75" customHeight="1">
      <c r="A7666" s="833">
        <v>382</v>
      </c>
      <c r="B7666" t="s" s="834">
        <v>4918</v>
      </c>
      <c r="C7666" t="s" s="834">
        <v>700</v>
      </c>
      <c r="D7666" s="835">
        <v>46026</v>
      </c>
      <c r="E7666" t="s" s="834">
        <v>478</v>
      </c>
      <c r="F7666" t="s" s="834">
        <v>478</v>
      </c>
      <c r="G7666" s="570"/>
      <c r="H7666" s="570"/>
      <c r="I7666" s="570"/>
      <c r="J7666" s="570"/>
      <c r="K7666" s="570"/>
    </row>
    <row r="7667" ht="13.75" customHeight="1">
      <c r="A7667" s="833">
        <v>382</v>
      </c>
      <c r="B7667" t="s" s="834">
        <v>4918</v>
      </c>
      <c r="C7667" t="s" s="834">
        <v>700</v>
      </c>
      <c r="D7667" s="835">
        <v>46027</v>
      </c>
      <c r="E7667" s="836">
        <v>1.75125</v>
      </c>
      <c r="F7667" s="836">
        <v>1.751377314814815</v>
      </c>
      <c r="G7667" s="570"/>
      <c r="H7667" s="570"/>
      <c r="I7667" s="570"/>
      <c r="J7667" s="570"/>
      <c r="K7667" s="570"/>
    </row>
    <row r="7668" ht="13.75" customHeight="1">
      <c r="A7668" t="s" s="834">
        <v>4919</v>
      </c>
      <c r="B7668" t="s" s="834">
        <v>4920</v>
      </c>
      <c r="C7668" t="s" s="834">
        <v>486</v>
      </c>
      <c r="D7668" s="570"/>
      <c r="E7668" s="570"/>
      <c r="F7668" s="570"/>
      <c r="G7668" s="570"/>
      <c r="H7668" s="570"/>
      <c r="I7668" s="570"/>
      <c r="J7668" s="570"/>
      <c r="K7668" s="570"/>
    </row>
    <row r="7669" ht="13.75" customHeight="1">
      <c r="A7669" s="833">
        <v>382</v>
      </c>
      <c r="B7669" t="s" s="834">
        <v>4918</v>
      </c>
      <c r="C7669" t="s" s="834">
        <v>700</v>
      </c>
      <c r="D7669" s="835">
        <v>46028</v>
      </c>
      <c r="E7669" t="s" s="834">
        <v>478</v>
      </c>
      <c r="F7669" t="s" s="834">
        <v>478</v>
      </c>
      <c r="G7669" s="570"/>
      <c r="H7669" s="570"/>
      <c r="I7669" s="570"/>
      <c r="J7669" s="570"/>
      <c r="K7669" s="570"/>
    </row>
    <row r="7670" ht="13.75" customHeight="1">
      <c r="A7670" s="833">
        <v>382</v>
      </c>
      <c r="B7670" t="s" s="834">
        <v>4918</v>
      </c>
      <c r="C7670" t="s" s="834">
        <v>700</v>
      </c>
      <c r="D7670" s="835">
        <v>46029</v>
      </c>
      <c r="E7670" s="836">
        <v>1.576354166666667</v>
      </c>
      <c r="F7670" t="s" s="834">
        <v>478</v>
      </c>
      <c r="G7670" s="570"/>
      <c r="H7670" s="570"/>
      <c r="I7670" s="570"/>
      <c r="J7670" s="570"/>
      <c r="K7670" s="570"/>
    </row>
    <row r="7671" ht="13.75" customHeight="1">
      <c r="A7671" t="s" s="834">
        <v>4921</v>
      </c>
      <c r="B7671" t="s" s="834">
        <v>485</v>
      </c>
      <c r="C7671" t="s" s="834">
        <v>486</v>
      </c>
      <c r="D7671" s="570"/>
      <c r="E7671" s="570"/>
      <c r="F7671" s="570"/>
      <c r="G7671" s="570"/>
      <c r="H7671" s="570"/>
      <c r="I7671" s="570"/>
      <c r="J7671" s="570"/>
      <c r="K7671" s="570"/>
    </row>
    <row r="7672" ht="13.75" customHeight="1">
      <c r="A7672" s="833">
        <v>382</v>
      </c>
      <c r="B7672" t="s" s="834">
        <v>4918</v>
      </c>
      <c r="C7672" t="s" s="834">
        <v>700</v>
      </c>
      <c r="D7672" s="835">
        <v>46030</v>
      </c>
      <c r="E7672" s="836">
        <v>1.679479166666667</v>
      </c>
      <c r="F7672" s="836">
        <v>1.786168981481481</v>
      </c>
      <c r="G7672" s="570"/>
      <c r="H7672" s="570"/>
      <c r="I7672" s="570"/>
      <c r="J7672" s="570"/>
      <c r="K7672" s="570"/>
    </row>
    <row r="7673" ht="13.75" customHeight="1">
      <c r="A7673" t="s" s="834">
        <v>4922</v>
      </c>
      <c r="B7673" t="s" s="834">
        <v>4923</v>
      </c>
      <c r="C7673" t="s" s="834">
        <v>1705</v>
      </c>
      <c r="D7673" s="570"/>
      <c r="E7673" s="570"/>
      <c r="F7673" s="570"/>
      <c r="G7673" s="570"/>
      <c r="H7673" s="570"/>
      <c r="I7673" s="570"/>
      <c r="J7673" s="570"/>
      <c r="K7673" s="570"/>
    </row>
    <row r="7674" ht="13.75" customHeight="1">
      <c r="A7674" s="833">
        <v>382</v>
      </c>
      <c r="B7674" t="s" s="834">
        <v>4918</v>
      </c>
      <c r="C7674" t="s" s="834">
        <v>700</v>
      </c>
      <c r="D7674" s="835">
        <v>46031</v>
      </c>
      <c r="E7674" s="836">
        <v>1.738784722222222</v>
      </c>
      <c r="F7674" s="836">
        <v>1.738842592592593</v>
      </c>
      <c r="G7674" s="570"/>
      <c r="H7674" s="570"/>
      <c r="I7674" s="570"/>
      <c r="J7674" s="570"/>
      <c r="K7674" s="570"/>
    </row>
    <row r="7675" ht="13.75" customHeight="1">
      <c r="A7675" t="s" s="834">
        <v>4924</v>
      </c>
      <c r="B7675" t="s" s="834">
        <v>4925</v>
      </c>
      <c r="C7675" t="s" s="834">
        <v>486</v>
      </c>
      <c r="D7675" s="570"/>
      <c r="E7675" s="570"/>
      <c r="F7675" s="570"/>
      <c r="G7675" s="570"/>
      <c r="H7675" s="570"/>
      <c r="I7675" s="570"/>
      <c r="J7675" s="570"/>
      <c r="K7675" s="570"/>
    </row>
    <row r="7676" ht="13.75" customHeight="1">
      <c r="A7676" s="833">
        <v>382</v>
      </c>
      <c r="B7676" t="s" s="834">
        <v>4918</v>
      </c>
      <c r="C7676" t="s" s="834">
        <v>700</v>
      </c>
      <c r="D7676" s="835">
        <v>46032</v>
      </c>
      <c r="E7676" s="836">
        <v>1.592615740740741</v>
      </c>
      <c r="F7676" s="836">
        <v>1.592777777777778</v>
      </c>
      <c r="G7676" s="570"/>
      <c r="H7676" s="570"/>
      <c r="I7676" s="570"/>
      <c r="J7676" s="570"/>
      <c r="K7676" s="570"/>
    </row>
    <row r="7677" ht="13.75" customHeight="1">
      <c r="A7677" t="s" s="834">
        <v>4926</v>
      </c>
      <c r="B7677" t="s" s="834">
        <v>4927</v>
      </c>
      <c r="C7677" t="s" s="834">
        <v>486</v>
      </c>
      <c r="D7677" s="570"/>
      <c r="E7677" s="570"/>
      <c r="F7677" s="570"/>
      <c r="G7677" s="570"/>
      <c r="H7677" s="570"/>
      <c r="I7677" s="570"/>
      <c r="J7677" s="570"/>
      <c r="K7677" s="570"/>
    </row>
    <row r="7678" ht="13.75" customHeight="1">
      <c r="A7678" s="833">
        <v>382</v>
      </c>
      <c r="B7678" t="s" s="834">
        <v>4918</v>
      </c>
      <c r="C7678" t="s" s="834">
        <v>700</v>
      </c>
      <c r="D7678" s="835">
        <v>46033</v>
      </c>
      <c r="E7678" t="s" s="834">
        <v>478</v>
      </c>
      <c r="F7678" t="s" s="834">
        <v>478</v>
      </c>
      <c r="G7678" s="570"/>
      <c r="H7678" s="570"/>
      <c r="I7678" s="570"/>
      <c r="J7678" s="570"/>
      <c r="K7678" s="570"/>
    </row>
    <row r="7679" ht="13.75" customHeight="1">
      <c r="A7679" s="833">
        <v>382</v>
      </c>
      <c r="B7679" t="s" s="834">
        <v>4918</v>
      </c>
      <c r="C7679" t="s" s="834">
        <v>700</v>
      </c>
      <c r="D7679" s="835">
        <v>46034</v>
      </c>
      <c r="E7679" t="s" s="834">
        <v>478</v>
      </c>
      <c r="F7679" t="s" s="834">
        <v>478</v>
      </c>
      <c r="G7679" s="570"/>
      <c r="H7679" s="570"/>
      <c r="I7679" s="570"/>
      <c r="J7679" s="570"/>
      <c r="K7679" s="570"/>
    </row>
    <row r="7680" ht="13.75" customHeight="1">
      <c r="A7680" s="833">
        <v>382</v>
      </c>
      <c r="B7680" t="s" s="834">
        <v>4918</v>
      </c>
      <c r="C7680" t="s" s="834">
        <v>700</v>
      </c>
      <c r="D7680" s="835">
        <v>46035</v>
      </c>
      <c r="E7680" s="836">
        <v>1.348518518518518</v>
      </c>
      <c r="F7680" s="836">
        <v>1.795578703703704</v>
      </c>
      <c r="G7680" s="570"/>
      <c r="H7680" s="570"/>
      <c r="I7680" s="570"/>
      <c r="J7680" s="570"/>
      <c r="K7680" s="570"/>
    </row>
    <row r="7681" ht="13.75" customHeight="1">
      <c r="A7681" t="s" s="834">
        <v>4928</v>
      </c>
      <c r="B7681" t="s" s="834">
        <v>4929</v>
      </c>
      <c r="C7681" t="s" s="834">
        <v>4930</v>
      </c>
      <c r="D7681" s="570"/>
      <c r="E7681" s="570"/>
      <c r="F7681" s="570"/>
      <c r="G7681" s="570"/>
      <c r="H7681" s="570"/>
      <c r="I7681" s="570"/>
      <c r="J7681" s="570"/>
      <c r="K7681" s="570"/>
    </row>
    <row r="7682" ht="13.75" customHeight="1">
      <c r="A7682" s="833">
        <v>382</v>
      </c>
      <c r="B7682" t="s" s="834">
        <v>4918</v>
      </c>
      <c r="C7682" t="s" s="834">
        <v>700</v>
      </c>
      <c r="D7682" s="835">
        <v>46036</v>
      </c>
      <c r="E7682" s="836">
        <v>1.364016203703704</v>
      </c>
      <c r="F7682" s="836">
        <v>1.708391203703704</v>
      </c>
      <c r="G7682" s="570"/>
      <c r="H7682" s="570"/>
      <c r="I7682" s="570"/>
      <c r="J7682" s="570"/>
      <c r="K7682" s="570"/>
    </row>
    <row r="7683" ht="13.75" customHeight="1">
      <c r="A7683" t="s" s="834">
        <v>4931</v>
      </c>
      <c r="B7683" t="s" s="834">
        <v>4932</v>
      </c>
      <c r="C7683" t="s" s="834">
        <v>1679</v>
      </c>
      <c r="D7683" s="570"/>
      <c r="E7683" s="570"/>
      <c r="F7683" s="570"/>
      <c r="G7683" s="570"/>
      <c r="H7683" s="570"/>
      <c r="I7683" s="570"/>
      <c r="J7683" s="570"/>
      <c r="K7683" s="570"/>
    </row>
    <row r="7684" ht="13.75" customHeight="1">
      <c r="A7684" s="833">
        <v>382</v>
      </c>
      <c r="B7684" t="s" s="834">
        <v>4918</v>
      </c>
      <c r="C7684" t="s" s="834">
        <v>700</v>
      </c>
      <c r="D7684" s="835">
        <v>46037</v>
      </c>
      <c r="E7684" s="836">
        <v>1.319421296296296</v>
      </c>
      <c r="F7684" s="836">
        <v>1.492337962962963</v>
      </c>
      <c r="G7684" s="570"/>
      <c r="H7684" s="570"/>
      <c r="I7684" s="570"/>
      <c r="J7684" s="570"/>
      <c r="K7684" s="570"/>
    </row>
    <row r="7685" ht="13.75" customHeight="1">
      <c r="A7685" t="s" s="834">
        <v>4933</v>
      </c>
      <c r="B7685" t="s" s="834">
        <v>4934</v>
      </c>
      <c r="C7685" t="s" s="834">
        <v>1588</v>
      </c>
      <c r="D7685" s="570"/>
      <c r="E7685" s="570"/>
      <c r="F7685" s="570"/>
      <c r="G7685" s="570"/>
      <c r="H7685" s="570"/>
      <c r="I7685" s="570"/>
      <c r="J7685" s="570"/>
      <c r="K7685" s="570"/>
    </row>
    <row r="7686" ht="13.75" customHeight="1">
      <c r="A7686" s="833">
        <v>382</v>
      </c>
      <c r="B7686" t="s" s="834">
        <v>4918</v>
      </c>
      <c r="C7686" t="s" s="834">
        <v>700</v>
      </c>
      <c r="D7686" s="835">
        <v>46038</v>
      </c>
      <c r="E7686" s="836">
        <v>1.479537037037037</v>
      </c>
      <c r="F7686" s="836">
        <v>1.47974537037037</v>
      </c>
      <c r="G7686" s="570"/>
      <c r="H7686" s="570"/>
      <c r="I7686" s="570"/>
      <c r="J7686" s="570"/>
      <c r="K7686" s="570"/>
    </row>
    <row r="7687" ht="13.75" customHeight="1">
      <c r="A7687" t="s" s="834">
        <v>4935</v>
      </c>
      <c r="B7687" t="s" s="834">
        <v>4936</v>
      </c>
      <c r="C7687" t="s" s="834">
        <v>486</v>
      </c>
      <c r="D7687" s="570"/>
      <c r="E7687" s="570"/>
      <c r="F7687" s="570"/>
      <c r="G7687" s="570"/>
      <c r="H7687" s="570"/>
      <c r="I7687" s="570"/>
      <c r="J7687" s="570"/>
      <c r="K7687" s="570"/>
    </row>
    <row r="7688" ht="13.75" customHeight="1">
      <c r="A7688" s="833">
        <v>382</v>
      </c>
      <c r="B7688" t="s" s="834">
        <v>4918</v>
      </c>
      <c r="C7688" t="s" s="834">
        <v>700</v>
      </c>
      <c r="D7688" s="835">
        <v>46039</v>
      </c>
      <c r="E7688" t="s" s="834">
        <v>478</v>
      </c>
      <c r="F7688" t="s" s="834">
        <v>478</v>
      </c>
      <c r="G7688" s="570"/>
      <c r="H7688" s="570"/>
      <c r="I7688" s="570"/>
      <c r="J7688" s="570"/>
      <c r="K7688" s="570"/>
    </row>
    <row r="7689" ht="13.75" customHeight="1">
      <c r="A7689" s="833">
        <v>382</v>
      </c>
      <c r="B7689" t="s" s="834">
        <v>4918</v>
      </c>
      <c r="C7689" t="s" s="834">
        <v>700</v>
      </c>
      <c r="D7689" s="835">
        <v>46040</v>
      </c>
      <c r="E7689" t="s" s="834">
        <v>478</v>
      </c>
      <c r="F7689" t="s" s="834">
        <v>478</v>
      </c>
      <c r="G7689" s="570"/>
      <c r="H7689" s="570"/>
      <c r="I7689" s="570"/>
      <c r="J7689" s="570"/>
      <c r="K7689" s="570"/>
    </row>
    <row r="7690" ht="13.75" customHeight="1">
      <c r="A7690" s="833">
        <v>382</v>
      </c>
      <c r="B7690" t="s" s="834">
        <v>4918</v>
      </c>
      <c r="C7690" t="s" s="834">
        <v>700</v>
      </c>
      <c r="D7690" s="835">
        <v>46041</v>
      </c>
      <c r="E7690" s="836">
        <v>1.559456018518519</v>
      </c>
      <c r="F7690" s="836">
        <v>1.650428240740741</v>
      </c>
      <c r="G7690" s="570"/>
      <c r="H7690" s="570"/>
      <c r="I7690" s="570"/>
      <c r="J7690" s="570"/>
      <c r="K7690" s="570"/>
    </row>
    <row r="7691" ht="13.75" customHeight="1">
      <c r="A7691" t="s" s="834">
        <v>4937</v>
      </c>
      <c r="B7691" t="s" s="834">
        <v>4938</v>
      </c>
      <c r="C7691" t="s" s="834">
        <v>4939</v>
      </c>
      <c r="D7691" s="570"/>
      <c r="E7691" s="570"/>
      <c r="F7691" s="570"/>
      <c r="G7691" s="570"/>
      <c r="H7691" s="570"/>
      <c r="I7691" s="570"/>
      <c r="J7691" s="570"/>
      <c r="K7691" s="570"/>
    </row>
    <row r="7692" ht="13.75" customHeight="1">
      <c r="A7692" s="833">
        <v>382</v>
      </c>
      <c r="B7692" t="s" s="834">
        <v>4918</v>
      </c>
      <c r="C7692" t="s" s="834">
        <v>700</v>
      </c>
      <c r="D7692" s="835">
        <v>46042</v>
      </c>
      <c r="E7692" s="836">
        <v>1.519502314814815</v>
      </c>
      <c r="F7692" t="s" s="834">
        <v>478</v>
      </c>
      <c r="G7692" s="570"/>
      <c r="H7692" s="570"/>
      <c r="I7692" s="570"/>
      <c r="J7692" s="570"/>
      <c r="K7692" s="570"/>
    </row>
    <row r="7693" ht="13.75" customHeight="1">
      <c r="A7693" t="s" s="834">
        <v>4940</v>
      </c>
      <c r="B7693" t="s" s="834">
        <v>485</v>
      </c>
      <c r="C7693" t="s" s="834">
        <v>486</v>
      </c>
      <c r="D7693" s="570"/>
      <c r="E7693" s="570"/>
      <c r="F7693" s="570"/>
      <c r="G7693" s="570"/>
      <c r="H7693" s="570"/>
      <c r="I7693" s="570"/>
      <c r="J7693" s="570"/>
      <c r="K7693" s="570"/>
    </row>
    <row r="7694" ht="13.75" customHeight="1">
      <c r="A7694" s="833">
        <v>382</v>
      </c>
      <c r="B7694" t="s" s="834">
        <v>4918</v>
      </c>
      <c r="C7694" t="s" s="834">
        <v>700</v>
      </c>
      <c r="D7694" s="835">
        <v>46043</v>
      </c>
      <c r="E7694" s="836">
        <v>1.575914351851852</v>
      </c>
      <c r="F7694" s="836">
        <v>1.577708333333333</v>
      </c>
      <c r="G7694" s="570"/>
      <c r="H7694" s="570"/>
      <c r="I7694" s="570"/>
      <c r="J7694" s="570"/>
      <c r="K7694" s="570"/>
    </row>
    <row r="7695" ht="13.75" customHeight="1">
      <c r="A7695" t="s" s="834">
        <v>4941</v>
      </c>
      <c r="B7695" t="s" s="834">
        <v>4942</v>
      </c>
      <c r="C7695" t="s" s="834">
        <v>4943</v>
      </c>
      <c r="D7695" s="570"/>
      <c r="E7695" s="570"/>
      <c r="F7695" s="570"/>
      <c r="G7695" s="570"/>
      <c r="H7695" s="570"/>
      <c r="I7695" s="570"/>
      <c r="J7695" s="570"/>
      <c r="K7695" s="570"/>
    </row>
    <row r="7696" ht="13.75" customHeight="1">
      <c r="A7696" s="833">
        <v>382</v>
      </c>
      <c r="B7696" t="s" s="834">
        <v>4918</v>
      </c>
      <c r="C7696" t="s" s="834">
        <v>700</v>
      </c>
      <c r="D7696" s="835">
        <v>46044</v>
      </c>
      <c r="E7696" t="s" s="834">
        <v>478</v>
      </c>
      <c r="F7696" t="s" s="834">
        <v>478</v>
      </c>
      <c r="G7696" s="570"/>
      <c r="H7696" s="570"/>
      <c r="I7696" s="570"/>
      <c r="J7696" s="570"/>
      <c r="K7696" s="570"/>
    </row>
    <row r="7697" ht="13.75" customHeight="1">
      <c r="A7697" s="833">
        <v>382</v>
      </c>
      <c r="B7697" t="s" s="834">
        <v>4918</v>
      </c>
      <c r="C7697" t="s" s="834">
        <v>700</v>
      </c>
      <c r="D7697" s="835">
        <v>46045</v>
      </c>
      <c r="E7697" t="s" s="834">
        <v>478</v>
      </c>
      <c r="F7697" t="s" s="834">
        <v>478</v>
      </c>
      <c r="G7697" s="570"/>
      <c r="H7697" s="570"/>
      <c r="I7697" s="570"/>
      <c r="J7697" s="570"/>
      <c r="K7697" s="570"/>
    </row>
    <row r="7698" ht="13.75" customHeight="1">
      <c r="A7698" s="833">
        <v>382</v>
      </c>
      <c r="B7698" t="s" s="834">
        <v>4918</v>
      </c>
      <c r="C7698" t="s" s="834">
        <v>700</v>
      </c>
      <c r="D7698" s="835">
        <v>46046</v>
      </c>
      <c r="E7698" t="s" s="834">
        <v>478</v>
      </c>
      <c r="F7698" t="s" s="834">
        <v>478</v>
      </c>
      <c r="G7698" s="570"/>
      <c r="H7698" s="570"/>
      <c r="I7698" s="570"/>
      <c r="J7698" s="570"/>
      <c r="K7698" s="570"/>
    </row>
    <row r="7699" ht="13.75" customHeight="1">
      <c r="A7699" s="833">
        <v>382</v>
      </c>
      <c r="B7699" t="s" s="834">
        <v>4918</v>
      </c>
      <c r="C7699" t="s" s="834">
        <v>700</v>
      </c>
      <c r="D7699" s="835">
        <v>46047</v>
      </c>
      <c r="E7699" t="s" s="834">
        <v>478</v>
      </c>
      <c r="F7699" t="s" s="834">
        <v>478</v>
      </c>
      <c r="G7699" s="570"/>
      <c r="H7699" s="570"/>
      <c r="I7699" s="570"/>
      <c r="J7699" s="570"/>
      <c r="K7699" s="570"/>
    </row>
    <row r="7700" ht="13.75" customHeight="1">
      <c r="A7700" s="833">
        <v>382</v>
      </c>
      <c r="B7700" t="s" s="834">
        <v>4918</v>
      </c>
      <c r="C7700" t="s" s="834">
        <v>700</v>
      </c>
      <c r="D7700" s="835">
        <v>46048</v>
      </c>
      <c r="E7700" s="836">
        <v>1.764594907407407</v>
      </c>
      <c r="F7700" t="s" s="834">
        <v>478</v>
      </c>
      <c r="G7700" s="570"/>
      <c r="H7700" s="570"/>
      <c r="I7700" s="570"/>
      <c r="J7700" s="570"/>
      <c r="K7700" s="570"/>
    </row>
    <row r="7701" ht="13.75" customHeight="1">
      <c r="A7701" t="s" s="834">
        <v>4944</v>
      </c>
      <c r="B7701" t="s" s="834">
        <v>485</v>
      </c>
      <c r="C7701" t="s" s="834">
        <v>486</v>
      </c>
      <c r="D7701" s="570"/>
      <c r="E7701" s="570"/>
      <c r="F7701" s="570"/>
      <c r="G7701" s="570"/>
      <c r="H7701" s="570"/>
      <c r="I7701" s="570"/>
      <c r="J7701" s="570"/>
      <c r="K7701" s="570"/>
    </row>
    <row r="7702" ht="13.75" customHeight="1">
      <c r="A7702" s="833">
        <v>382</v>
      </c>
      <c r="B7702" t="s" s="834">
        <v>4918</v>
      </c>
      <c r="C7702" t="s" s="834">
        <v>700</v>
      </c>
      <c r="D7702" s="835">
        <v>46049</v>
      </c>
      <c r="E7702" t="s" s="834">
        <v>478</v>
      </c>
      <c r="F7702" t="s" s="834">
        <v>478</v>
      </c>
      <c r="G7702" s="570"/>
      <c r="H7702" s="570"/>
      <c r="I7702" s="570"/>
      <c r="J7702" s="570"/>
      <c r="K7702" s="570"/>
    </row>
    <row r="7703" ht="13.75" customHeight="1">
      <c r="A7703" s="833">
        <v>382</v>
      </c>
      <c r="B7703" t="s" s="834">
        <v>4918</v>
      </c>
      <c r="C7703" t="s" s="834">
        <v>700</v>
      </c>
      <c r="D7703" s="835">
        <v>46050</v>
      </c>
      <c r="E7703" t="s" s="834">
        <v>478</v>
      </c>
      <c r="F7703" t="s" s="834">
        <v>478</v>
      </c>
      <c r="G7703" s="570"/>
      <c r="H7703" s="570"/>
      <c r="I7703" s="570"/>
      <c r="J7703" s="570"/>
      <c r="K7703" s="570"/>
    </row>
    <row r="7704" ht="13.75" customHeight="1">
      <c r="A7704" s="833">
        <v>382</v>
      </c>
      <c r="B7704" t="s" s="834">
        <v>4918</v>
      </c>
      <c r="C7704" t="s" s="834">
        <v>700</v>
      </c>
      <c r="D7704" s="835">
        <v>46051</v>
      </c>
      <c r="E7704" s="836">
        <v>1.749641203703704</v>
      </c>
      <c r="F7704" s="836">
        <v>1.840543981481481</v>
      </c>
      <c r="G7704" s="570"/>
      <c r="H7704" s="570"/>
      <c r="I7704" s="570"/>
      <c r="J7704" s="570"/>
      <c r="K7704" s="570"/>
    </row>
    <row r="7705" ht="13.75" customHeight="1">
      <c r="A7705" t="s" s="834">
        <v>4945</v>
      </c>
      <c r="B7705" t="s" s="834">
        <v>4946</v>
      </c>
      <c r="C7705" t="s" s="834">
        <v>4939</v>
      </c>
      <c r="D7705" s="570"/>
      <c r="E7705" s="570"/>
      <c r="F7705" s="570"/>
      <c r="G7705" s="570"/>
      <c r="H7705" s="570"/>
      <c r="I7705" s="570"/>
      <c r="J7705" s="570"/>
      <c r="K7705" s="570"/>
    </row>
    <row r="7706" ht="13.75" customHeight="1">
      <c r="A7706" s="833">
        <v>382</v>
      </c>
      <c r="B7706" t="s" s="834">
        <v>4918</v>
      </c>
      <c r="C7706" t="s" s="834">
        <v>700</v>
      </c>
      <c r="D7706" s="835">
        <v>46052</v>
      </c>
      <c r="E7706" t="s" s="834">
        <v>478</v>
      </c>
      <c r="F7706" t="s" s="834">
        <v>478</v>
      </c>
      <c r="G7706" s="570"/>
      <c r="H7706" s="570"/>
      <c r="I7706" s="570"/>
      <c r="J7706" s="570"/>
      <c r="K7706" s="570"/>
    </row>
    <row r="7707" ht="13.75" customHeight="1">
      <c r="A7707" s="833">
        <v>382</v>
      </c>
      <c r="B7707" t="s" s="834">
        <v>4918</v>
      </c>
      <c r="C7707" t="s" s="834">
        <v>700</v>
      </c>
      <c r="D7707" s="835">
        <v>46053</v>
      </c>
      <c r="E7707" t="s" s="834">
        <v>478</v>
      </c>
      <c r="F7707" t="s" s="834">
        <v>478</v>
      </c>
      <c r="G7707" s="570"/>
      <c r="H7707" s="570"/>
      <c r="I7707" s="570"/>
      <c r="J7707" s="570"/>
      <c r="K7707" s="570"/>
    </row>
    <row r="7708" ht="13.75" customHeight="1">
      <c r="A7708" s="833">
        <v>382</v>
      </c>
      <c r="B7708" t="s" s="834">
        <v>4918</v>
      </c>
      <c r="C7708" t="s" s="834">
        <v>700</v>
      </c>
      <c r="D7708" s="835">
        <v>46054</v>
      </c>
      <c r="E7708" t="s" s="834">
        <v>478</v>
      </c>
      <c r="F7708" t="s" s="834">
        <v>478</v>
      </c>
      <c r="G7708" s="570"/>
      <c r="H7708" s="570"/>
      <c r="I7708" s="570"/>
      <c r="J7708" s="570"/>
      <c r="K7708" s="570"/>
    </row>
    <row r="7709" ht="13.75" customHeight="1">
      <c r="A7709" s="833">
        <v>384</v>
      </c>
      <c r="B7709" t="s" s="834">
        <v>1751</v>
      </c>
      <c r="C7709" t="s" s="834">
        <v>1571</v>
      </c>
      <c r="D7709" s="835">
        <v>46023</v>
      </c>
      <c r="E7709" t="s" s="834">
        <v>478</v>
      </c>
      <c r="F7709" t="s" s="834">
        <v>478</v>
      </c>
      <c r="G7709" s="570"/>
      <c r="H7709" s="570"/>
      <c r="I7709" s="570"/>
      <c r="J7709" s="570"/>
      <c r="K7709" s="570"/>
    </row>
    <row r="7710" ht="13.75" customHeight="1">
      <c r="A7710" s="833">
        <v>384</v>
      </c>
      <c r="B7710" t="s" s="834">
        <v>1751</v>
      </c>
      <c r="C7710" t="s" s="834">
        <v>1571</v>
      </c>
      <c r="D7710" s="835">
        <v>46024</v>
      </c>
      <c r="E7710" t="s" s="834">
        <v>478</v>
      </c>
      <c r="F7710" t="s" s="834">
        <v>478</v>
      </c>
      <c r="G7710" s="570"/>
      <c r="H7710" s="570"/>
      <c r="I7710" s="570"/>
      <c r="J7710" s="570"/>
      <c r="K7710" s="570"/>
    </row>
    <row r="7711" ht="13.75" customHeight="1">
      <c r="A7711" s="833">
        <v>384</v>
      </c>
      <c r="B7711" t="s" s="834">
        <v>1751</v>
      </c>
      <c r="C7711" t="s" s="834">
        <v>1571</v>
      </c>
      <c r="D7711" s="835">
        <v>46025</v>
      </c>
      <c r="E7711" t="s" s="834">
        <v>478</v>
      </c>
      <c r="F7711" t="s" s="834">
        <v>478</v>
      </c>
      <c r="G7711" s="570"/>
      <c r="H7711" s="570"/>
      <c r="I7711" s="570"/>
      <c r="J7711" s="570"/>
      <c r="K7711" s="570"/>
    </row>
    <row r="7712" ht="13.75" customHeight="1">
      <c r="A7712" s="833">
        <v>384</v>
      </c>
      <c r="B7712" t="s" s="834">
        <v>1751</v>
      </c>
      <c r="C7712" t="s" s="834">
        <v>1571</v>
      </c>
      <c r="D7712" s="835">
        <v>46026</v>
      </c>
      <c r="E7712" t="s" s="834">
        <v>478</v>
      </c>
      <c r="F7712" t="s" s="834">
        <v>478</v>
      </c>
      <c r="G7712" s="570"/>
      <c r="H7712" s="570"/>
      <c r="I7712" s="570"/>
      <c r="J7712" s="570"/>
      <c r="K7712" s="570"/>
    </row>
    <row r="7713" ht="13.75" customHeight="1">
      <c r="A7713" s="833">
        <v>384</v>
      </c>
      <c r="B7713" t="s" s="834">
        <v>1751</v>
      </c>
      <c r="C7713" t="s" s="834">
        <v>1571</v>
      </c>
      <c r="D7713" s="835">
        <v>46027</v>
      </c>
      <c r="E7713" s="836">
        <v>1.353935185185185</v>
      </c>
      <c r="F7713" s="836">
        <v>1.762777777777778</v>
      </c>
      <c r="G7713" s="570"/>
      <c r="H7713" s="570"/>
      <c r="I7713" s="570"/>
      <c r="J7713" s="570"/>
      <c r="K7713" s="570"/>
    </row>
    <row r="7714" ht="13.75" customHeight="1">
      <c r="A7714" t="s" s="834">
        <v>4947</v>
      </c>
      <c r="B7714" t="s" s="834">
        <v>4948</v>
      </c>
      <c r="C7714" t="s" s="834">
        <v>600</v>
      </c>
      <c r="D7714" s="570"/>
      <c r="E7714" s="570"/>
      <c r="F7714" s="570"/>
      <c r="G7714" s="570"/>
      <c r="H7714" s="570"/>
      <c r="I7714" s="570"/>
      <c r="J7714" s="570"/>
      <c r="K7714" s="570"/>
    </row>
    <row r="7715" ht="13.75" customHeight="1">
      <c r="A7715" s="833">
        <v>384</v>
      </c>
      <c r="B7715" t="s" s="834">
        <v>1751</v>
      </c>
      <c r="C7715" t="s" s="834">
        <v>1571</v>
      </c>
      <c r="D7715" s="835">
        <v>46028</v>
      </c>
      <c r="E7715" s="836">
        <v>1.409884259259259</v>
      </c>
      <c r="F7715" s="836">
        <v>1.762280092592593</v>
      </c>
      <c r="G7715" s="570"/>
      <c r="H7715" s="570"/>
      <c r="I7715" s="570"/>
      <c r="J7715" s="570"/>
      <c r="K7715" s="570"/>
    </row>
    <row r="7716" ht="13.75" customHeight="1">
      <c r="A7716" t="s" s="834">
        <v>4949</v>
      </c>
      <c r="B7716" t="s" s="834">
        <v>4950</v>
      </c>
      <c r="C7716" t="s" s="834">
        <v>4951</v>
      </c>
      <c r="D7716" s="570"/>
      <c r="E7716" s="570"/>
      <c r="F7716" s="570"/>
      <c r="G7716" s="570"/>
      <c r="H7716" s="570"/>
      <c r="I7716" s="570"/>
      <c r="J7716" s="570"/>
      <c r="K7716" s="570"/>
    </row>
    <row r="7717" ht="13.75" customHeight="1">
      <c r="A7717" s="833">
        <v>384</v>
      </c>
      <c r="B7717" t="s" s="834">
        <v>1751</v>
      </c>
      <c r="C7717" t="s" s="834">
        <v>1571</v>
      </c>
      <c r="D7717" s="835">
        <v>46029</v>
      </c>
      <c r="E7717" s="836">
        <v>1.361296296296296</v>
      </c>
      <c r="F7717" s="836">
        <v>1.764953703703704</v>
      </c>
      <c r="G7717" s="570"/>
      <c r="H7717" s="570"/>
      <c r="I7717" s="570"/>
      <c r="J7717" s="570"/>
      <c r="K7717" s="570"/>
    </row>
    <row r="7718" ht="13.75" customHeight="1">
      <c r="A7718" t="s" s="834">
        <v>4952</v>
      </c>
      <c r="B7718" t="s" s="834">
        <v>4953</v>
      </c>
      <c r="C7718" t="s" s="834">
        <v>590</v>
      </c>
      <c r="D7718" s="570"/>
      <c r="E7718" s="570"/>
      <c r="F7718" s="570"/>
      <c r="G7718" s="570"/>
      <c r="H7718" s="570"/>
      <c r="I7718" s="570"/>
      <c r="J7718" s="570"/>
      <c r="K7718" s="570"/>
    </row>
    <row r="7719" ht="13.75" customHeight="1">
      <c r="A7719" s="833">
        <v>384</v>
      </c>
      <c r="B7719" t="s" s="834">
        <v>1751</v>
      </c>
      <c r="C7719" t="s" s="834">
        <v>1571</v>
      </c>
      <c r="D7719" s="835">
        <v>46030</v>
      </c>
      <c r="E7719" s="836">
        <v>1.361898148148148</v>
      </c>
      <c r="F7719" s="836">
        <v>1.495671296296296</v>
      </c>
      <c r="G7719" s="570"/>
      <c r="H7719" s="570"/>
      <c r="I7719" s="570"/>
      <c r="J7719" s="570"/>
      <c r="K7719" s="570"/>
    </row>
    <row r="7720" ht="13.75" customHeight="1">
      <c r="A7720" t="s" s="834">
        <v>4954</v>
      </c>
      <c r="B7720" t="s" s="834">
        <v>4955</v>
      </c>
      <c r="C7720" t="s" s="834">
        <v>4956</v>
      </c>
      <c r="D7720" s="570"/>
      <c r="E7720" s="570"/>
      <c r="F7720" s="570"/>
      <c r="G7720" s="570"/>
      <c r="H7720" s="570"/>
      <c r="I7720" s="570"/>
      <c r="J7720" s="570"/>
      <c r="K7720" s="570"/>
    </row>
    <row r="7721" ht="13.75" customHeight="1">
      <c r="A7721" s="833">
        <v>384</v>
      </c>
      <c r="B7721" t="s" s="834">
        <v>1751</v>
      </c>
      <c r="C7721" t="s" s="834">
        <v>1571</v>
      </c>
      <c r="D7721" s="835">
        <v>46031</v>
      </c>
      <c r="E7721" t="s" s="834">
        <v>478</v>
      </c>
      <c r="F7721" t="s" s="834">
        <v>478</v>
      </c>
      <c r="G7721" s="570"/>
      <c r="H7721" s="570"/>
      <c r="I7721" s="570"/>
      <c r="J7721" s="570"/>
      <c r="K7721" s="570"/>
    </row>
    <row r="7722" ht="13.75" customHeight="1">
      <c r="A7722" s="833">
        <v>384</v>
      </c>
      <c r="B7722" t="s" s="834">
        <v>1751</v>
      </c>
      <c r="C7722" t="s" s="834">
        <v>1571</v>
      </c>
      <c r="D7722" s="835">
        <v>46032</v>
      </c>
      <c r="E7722" t="s" s="834">
        <v>478</v>
      </c>
      <c r="F7722" t="s" s="834">
        <v>478</v>
      </c>
      <c r="G7722" s="570"/>
      <c r="H7722" s="570"/>
      <c r="I7722" s="570"/>
      <c r="J7722" s="570"/>
      <c r="K7722" s="570"/>
    </row>
    <row r="7723" ht="13.75" customHeight="1">
      <c r="A7723" s="833">
        <v>384</v>
      </c>
      <c r="B7723" t="s" s="834">
        <v>1751</v>
      </c>
      <c r="C7723" t="s" s="834">
        <v>1571</v>
      </c>
      <c r="D7723" s="835">
        <v>46033</v>
      </c>
      <c r="E7723" t="s" s="834">
        <v>478</v>
      </c>
      <c r="F7723" t="s" s="834">
        <v>478</v>
      </c>
      <c r="G7723" s="570"/>
      <c r="H7723" s="570"/>
      <c r="I7723" s="570"/>
      <c r="J7723" s="570"/>
      <c r="K7723" s="570"/>
    </row>
    <row r="7724" ht="13.75" customHeight="1">
      <c r="A7724" s="833">
        <v>384</v>
      </c>
      <c r="B7724" t="s" s="834">
        <v>1751</v>
      </c>
      <c r="C7724" t="s" s="834">
        <v>1571</v>
      </c>
      <c r="D7724" s="835">
        <v>46034</v>
      </c>
      <c r="E7724" t="s" s="834">
        <v>478</v>
      </c>
      <c r="F7724" t="s" s="834">
        <v>478</v>
      </c>
      <c r="G7724" s="570"/>
      <c r="H7724" s="570"/>
      <c r="I7724" s="570"/>
      <c r="J7724" s="570"/>
      <c r="K7724" s="570"/>
    </row>
    <row r="7725" ht="13.75" customHeight="1">
      <c r="A7725" s="833">
        <v>384</v>
      </c>
      <c r="B7725" t="s" s="834">
        <v>1751</v>
      </c>
      <c r="C7725" t="s" s="834">
        <v>1571</v>
      </c>
      <c r="D7725" s="835">
        <v>46035</v>
      </c>
      <c r="E7725" t="s" s="834">
        <v>478</v>
      </c>
      <c r="F7725" t="s" s="834">
        <v>478</v>
      </c>
      <c r="G7725" s="570"/>
      <c r="H7725" s="570"/>
      <c r="I7725" s="570"/>
      <c r="J7725" s="570"/>
      <c r="K7725" s="570"/>
    </row>
    <row r="7726" ht="13.75" customHeight="1">
      <c r="A7726" s="833">
        <v>384</v>
      </c>
      <c r="B7726" t="s" s="834">
        <v>1751</v>
      </c>
      <c r="C7726" t="s" s="834">
        <v>1571</v>
      </c>
      <c r="D7726" s="835">
        <v>46036</v>
      </c>
      <c r="E7726" t="s" s="834">
        <v>478</v>
      </c>
      <c r="F7726" t="s" s="834">
        <v>478</v>
      </c>
      <c r="G7726" s="570"/>
      <c r="H7726" s="570"/>
      <c r="I7726" s="570"/>
      <c r="J7726" s="570"/>
      <c r="K7726" s="570"/>
    </row>
    <row r="7727" ht="13.75" customHeight="1">
      <c r="A7727" s="833">
        <v>384</v>
      </c>
      <c r="B7727" t="s" s="834">
        <v>1751</v>
      </c>
      <c r="C7727" t="s" s="834">
        <v>1571</v>
      </c>
      <c r="D7727" s="835">
        <v>46037</v>
      </c>
      <c r="E7727" t="s" s="834">
        <v>478</v>
      </c>
      <c r="F7727" t="s" s="834">
        <v>478</v>
      </c>
      <c r="G7727" s="570"/>
      <c r="H7727" s="570"/>
      <c r="I7727" s="570"/>
      <c r="J7727" s="570"/>
      <c r="K7727" s="570"/>
    </row>
    <row r="7728" ht="13.75" customHeight="1">
      <c r="A7728" s="833">
        <v>384</v>
      </c>
      <c r="B7728" t="s" s="834">
        <v>1751</v>
      </c>
      <c r="C7728" t="s" s="834">
        <v>1571</v>
      </c>
      <c r="D7728" s="835">
        <v>46038</v>
      </c>
      <c r="E7728" t="s" s="834">
        <v>478</v>
      </c>
      <c r="F7728" t="s" s="834">
        <v>478</v>
      </c>
      <c r="G7728" s="570"/>
      <c r="H7728" s="570"/>
      <c r="I7728" s="570"/>
      <c r="J7728" s="570"/>
      <c r="K7728" s="570"/>
    </row>
    <row r="7729" ht="13.75" customHeight="1">
      <c r="A7729" s="833">
        <v>384</v>
      </c>
      <c r="B7729" t="s" s="834">
        <v>1751</v>
      </c>
      <c r="C7729" t="s" s="834">
        <v>1571</v>
      </c>
      <c r="D7729" s="835">
        <v>46039</v>
      </c>
      <c r="E7729" t="s" s="834">
        <v>478</v>
      </c>
      <c r="F7729" t="s" s="834">
        <v>478</v>
      </c>
      <c r="G7729" s="570"/>
      <c r="H7729" s="570"/>
      <c r="I7729" s="570"/>
      <c r="J7729" s="570"/>
      <c r="K7729" s="570"/>
    </row>
    <row r="7730" ht="13.75" customHeight="1">
      <c r="A7730" s="833">
        <v>384</v>
      </c>
      <c r="B7730" t="s" s="834">
        <v>1751</v>
      </c>
      <c r="C7730" t="s" s="834">
        <v>1571</v>
      </c>
      <c r="D7730" s="835">
        <v>46040</v>
      </c>
      <c r="E7730" t="s" s="834">
        <v>478</v>
      </c>
      <c r="F7730" t="s" s="834">
        <v>478</v>
      </c>
      <c r="G7730" s="570"/>
      <c r="H7730" s="570"/>
      <c r="I7730" s="570"/>
      <c r="J7730" s="570"/>
      <c r="K7730" s="570"/>
    </row>
    <row r="7731" ht="13.75" customHeight="1">
      <c r="A7731" s="833">
        <v>384</v>
      </c>
      <c r="B7731" t="s" s="834">
        <v>1751</v>
      </c>
      <c r="C7731" t="s" s="834">
        <v>1571</v>
      </c>
      <c r="D7731" s="835">
        <v>46041</v>
      </c>
      <c r="E7731" t="s" s="834">
        <v>478</v>
      </c>
      <c r="F7731" t="s" s="834">
        <v>478</v>
      </c>
      <c r="G7731" s="570"/>
      <c r="H7731" s="570"/>
      <c r="I7731" s="570"/>
      <c r="J7731" s="570"/>
      <c r="K7731" s="570"/>
    </row>
    <row r="7732" ht="13.75" customHeight="1">
      <c r="A7732" s="833">
        <v>384</v>
      </c>
      <c r="B7732" t="s" s="834">
        <v>1751</v>
      </c>
      <c r="C7732" t="s" s="834">
        <v>1571</v>
      </c>
      <c r="D7732" s="835">
        <v>46042</v>
      </c>
      <c r="E7732" t="s" s="834">
        <v>478</v>
      </c>
      <c r="F7732" t="s" s="834">
        <v>478</v>
      </c>
      <c r="G7732" s="570"/>
      <c r="H7732" s="570"/>
      <c r="I7732" s="570"/>
      <c r="J7732" s="570"/>
      <c r="K7732" s="570"/>
    </row>
    <row r="7733" ht="13.75" customHeight="1">
      <c r="A7733" s="833">
        <v>384</v>
      </c>
      <c r="B7733" t="s" s="834">
        <v>1751</v>
      </c>
      <c r="C7733" t="s" s="834">
        <v>1571</v>
      </c>
      <c r="D7733" s="835">
        <v>46043</v>
      </c>
      <c r="E7733" t="s" s="834">
        <v>478</v>
      </c>
      <c r="F7733" t="s" s="834">
        <v>478</v>
      </c>
      <c r="G7733" s="570"/>
      <c r="H7733" s="570"/>
      <c r="I7733" s="570"/>
      <c r="J7733" s="570"/>
      <c r="K7733" s="570"/>
    </row>
    <row r="7734" ht="13.75" customHeight="1">
      <c r="A7734" s="833">
        <v>384</v>
      </c>
      <c r="B7734" t="s" s="834">
        <v>1751</v>
      </c>
      <c r="C7734" t="s" s="834">
        <v>1571</v>
      </c>
      <c r="D7734" s="835">
        <v>46044</v>
      </c>
      <c r="E7734" t="s" s="834">
        <v>478</v>
      </c>
      <c r="F7734" t="s" s="834">
        <v>478</v>
      </c>
      <c r="G7734" s="570"/>
      <c r="H7734" s="570"/>
      <c r="I7734" s="570"/>
      <c r="J7734" s="570"/>
      <c r="K7734" s="570"/>
    </row>
    <row r="7735" ht="13.75" customHeight="1">
      <c r="A7735" s="833">
        <v>384</v>
      </c>
      <c r="B7735" t="s" s="834">
        <v>1751</v>
      </c>
      <c r="C7735" t="s" s="834">
        <v>1571</v>
      </c>
      <c r="D7735" s="835">
        <v>46045</v>
      </c>
      <c r="E7735" t="s" s="834">
        <v>478</v>
      </c>
      <c r="F7735" t="s" s="834">
        <v>478</v>
      </c>
      <c r="G7735" s="570"/>
      <c r="H7735" s="570"/>
      <c r="I7735" s="570"/>
      <c r="J7735" s="570"/>
      <c r="K7735" s="570"/>
    </row>
    <row r="7736" ht="13.75" customHeight="1">
      <c r="A7736" s="833">
        <v>384</v>
      </c>
      <c r="B7736" t="s" s="834">
        <v>1751</v>
      </c>
      <c r="C7736" t="s" s="834">
        <v>1571</v>
      </c>
      <c r="D7736" s="835">
        <v>46046</v>
      </c>
      <c r="E7736" t="s" s="834">
        <v>478</v>
      </c>
      <c r="F7736" t="s" s="834">
        <v>478</v>
      </c>
      <c r="G7736" s="570"/>
      <c r="H7736" s="570"/>
      <c r="I7736" s="570"/>
      <c r="J7736" s="570"/>
      <c r="K7736" s="570"/>
    </row>
    <row r="7737" ht="13.75" customHeight="1">
      <c r="A7737" s="833">
        <v>384</v>
      </c>
      <c r="B7737" t="s" s="834">
        <v>1751</v>
      </c>
      <c r="C7737" t="s" s="834">
        <v>1571</v>
      </c>
      <c r="D7737" s="835">
        <v>46047</v>
      </c>
      <c r="E7737" t="s" s="834">
        <v>478</v>
      </c>
      <c r="F7737" t="s" s="834">
        <v>478</v>
      </c>
      <c r="G7737" s="570"/>
      <c r="H7737" s="570"/>
      <c r="I7737" s="570"/>
      <c r="J7737" s="570"/>
      <c r="K7737" s="570"/>
    </row>
    <row r="7738" ht="13.75" customHeight="1">
      <c r="A7738" s="833">
        <v>384</v>
      </c>
      <c r="B7738" t="s" s="834">
        <v>1751</v>
      </c>
      <c r="C7738" t="s" s="834">
        <v>1571</v>
      </c>
      <c r="D7738" s="835">
        <v>46048</v>
      </c>
      <c r="E7738" t="s" s="834">
        <v>478</v>
      </c>
      <c r="F7738" t="s" s="834">
        <v>478</v>
      </c>
      <c r="G7738" s="570"/>
      <c r="H7738" s="570"/>
      <c r="I7738" s="570"/>
      <c r="J7738" s="570"/>
      <c r="K7738" s="570"/>
    </row>
    <row r="7739" ht="13.75" customHeight="1">
      <c r="A7739" s="833">
        <v>384</v>
      </c>
      <c r="B7739" t="s" s="834">
        <v>1751</v>
      </c>
      <c r="C7739" t="s" s="834">
        <v>1571</v>
      </c>
      <c r="D7739" s="835">
        <v>46049</v>
      </c>
      <c r="E7739" t="s" s="834">
        <v>478</v>
      </c>
      <c r="F7739" t="s" s="834">
        <v>478</v>
      </c>
      <c r="G7739" s="570"/>
      <c r="H7739" s="570"/>
      <c r="I7739" s="570"/>
      <c r="J7739" s="570"/>
      <c r="K7739" s="570"/>
    </row>
    <row r="7740" ht="13.75" customHeight="1">
      <c r="A7740" s="833">
        <v>384</v>
      </c>
      <c r="B7740" t="s" s="834">
        <v>1751</v>
      </c>
      <c r="C7740" t="s" s="834">
        <v>1571</v>
      </c>
      <c r="D7740" s="835">
        <v>46050</v>
      </c>
      <c r="E7740" t="s" s="834">
        <v>478</v>
      </c>
      <c r="F7740" t="s" s="834">
        <v>478</v>
      </c>
      <c r="G7740" s="570"/>
      <c r="H7740" s="570"/>
      <c r="I7740" s="570"/>
      <c r="J7740" s="570"/>
      <c r="K7740" s="570"/>
    </row>
    <row r="7741" ht="13.75" customHeight="1">
      <c r="A7741" s="833">
        <v>384</v>
      </c>
      <c r="B7741" t="s" s="834">
        <v>1751</v>
      </c>
      <c r="C7741" t="s" s="834">
        <v>1571</v>
      </c>
      <c r="D7741" s="835">
        <v>46051</v>
      </c>
      <c r="E7741" t="s" s="834">
        <v>478</v>
      </c>
      <c r="F7741" t="s" s="834">
        <v>478</v>
      </c>
      <c r="G7741" s="570"/>
      <c r="H7741" s="570"/>
      <c r="I7741" s="570"/>
      <c r="J7741" s="570"/>
      <c r="K7741" s="570"/>
    </row>
    <row r="7742" ht="13.75" customHeight="1">
      <c r="A7742" s="833">
        <v>384</v>
      </c>
      <c r="B7742" t="s" s="834">
        <v>1751</v>
      </c>
      <c r="C7742" t="s" s="834">
        <v>1571</v>
      </c>
      <c r="D7742" s="835">
        <v>46052</v>
      </c>
      <c r="E7742" t="s" s="834">
        <v>478</v>
      </c>
      <c r="F7742" t="s" s="834">
        <v>478</v>
      </c>
      <c r="G7742" s="570"/>
      <c r="H7742" s="570"/>
      <c r="I7742" s="570"/>
      <c r="J7742" s="570"/>
      <c r="K7742" s="570"/>
    </row>
    <row r="7743" ht="13.75" customHeight="1">
      <c r="A7743" s="833">
        <v>384</v>
      </c>
      <c r="B7743" t="s" s="834">
        <v>1751</v>
      </c>
      <c r="C7743" t="s" s="834">
        <v>1571</v>
      </c>
      <c r="D7743" s="835">
        <v>46053</v>
      </c>
      <c r="E7743" t="s" s="834">
        <v>478</v>
      </c>
      <c r="F7743" t="s" s="834">
        <v>478</v>
      </c>
      <c r="G7743" s="570"/>
      <c r="H7743" s="570"/>
      <c r="I7743" s="570"/>
      <c r="J7743" s="570"/>
      <c r="K7743" s="570"/>
    </row>
    <row r="7744" ht="13.75" customHeight="1">
      <c r="A7744" s="833">
        <v>384</v>
      </c>
      <c r="B7744" t="s" s="834">
        <v>1751</v>
      </c>
      <c r="C7744" t="s" s="834">
        <v>1571</v>
      </c>
      <c r="D7744" s="835">
        <v>46054</v>
      </c>
      <c r="E7744" t="s" s="834">
        <v>478</v>
      </c>
      <c r="F7744" t="s" s="834">
        <v>478</v>
      </c>
      <c r="G7744" s="570"/>
      <c r="H7744" s="570"/>
      <c r="I7744" s="570"/>
      <c r="J7744" s="570"/>
      <c r="K7744" s="570"/>
    </row>
    <row r="7745" ht="13.75" customHeight="1">
      <c r="A7745" s="833">
        <v>385</v>
      </c>
      <c r="B7745" t="s" s="834">
        <v>4957</v>
      </c>
      <c r="C7745" t="s" s="834">
        <v>1528</v>
      </c>
      <c r="D7745" s="835">
        <v>46023</v>
      </c>
      <c r="E7745" t="s" s="834">
        <v>478</v>
      </c>
      <c r="F7745" t="s" s="834">
        <v>478</v>
      </c>
      <c r="G7745" s="570"/>
      <c r="H7745" s="570"/>
      <c r="I7745" s="570"/>
      <c r="J7745" s="570"/>
      <c r="K7745" s="570"/>
    </row>
    <row r="7746" ht="13.75" customHeight="1">
      <c r="A7746" s="833">
        <v>385</v>
      </c>
      <c r="B7746" t="s" s="834">
        <v>4957</v>
      </c>
      <c r="C7746" t="s" s="834">
        <v>1528</v>
      </c>
      <c r="D7746" s="835">
        <v>46024</v>
      </c>
      <c r="E7746" t="s" s="834">
        <v>478</v>
      </c>
      <c r="F7746" t="s" s="834">
        <v>478</v>
      </c>
      <c r="G7746" s="570"/>
      <c r="H7746" s="570"/>
      <c r="I7746" s="570"/>
      <c r="J7746" s="570"/>
      <c r="K7746" s="570"/>
    </row>
    <row r="7747" ht="13.75" customHeight="1">
      <c r="A7747" s="833">
        <v>385</v>
      </c>
      <c r="B7747" t="s" s="834">
        <v>4957</v>
      </c>
      <c r="C7747" t="s" s="834">
        <v>1528</v>
      </c>
      <c r="D7747" s="835">
        <v>46025</v>
      </c>
      <c r="E7747" t="s" s="834">
        <v>478</v>
      </c>
      <c r="F7747" t="s" s="834">
        <v>478</v>
      </c>
      <c r="G7747" s="570"/>
      <c r="H7747" s="570"/>
      <c r="I7747" s="570"/>
      <c r="J7747" s="570"/>
      <c r="K7747" s="570"/>
    </row>
    <row r="7748" ht="13.75" customHeight="1">
      <c r="A7748" s="833">
        <v>385</v>
      </c>
      <c r="B7748" t="s" s="834">
        <v>4957</v>
      </c>
      <c r="C7748" t="s" s="834">
        <v>1528</v>
      </c>
      <c r="D7748" s="835">
        <v>46026</v>
      </c>
      <c r="E7748" t="s" s="834">
        <v>478</v>
      </c>
      <c r="F7748" t="s" s="834">
        <v>478</v>
      </c>
      <c r="G7748" s="570"/>
      <c r="H7748" s="570"/>
      <c r="I7748" s="570"/>
      <c r="J7748" s="570"/>
      <c r="K7748" s="570"/>
    </row>
    <row r="7749" ht="13.75" customHeight="1">
      <c r="A7749" s="833">
        <v>385</v>
      </c>
      <c r="B7749" t="s" s="834">
        <v>4957</v>
      </c>
      <c r="C7749" t="s" s="834">
        <v>1528</v>
      </c>
      <c r="D7749" s="835">
        <v>46027</v>
      </c>
      <c r="E7749" t="s" s="834">
        <v>478</v>
      </c>
      <c r="F7749" t="s" s="834">
        <v>478</v>
      </c>
      <c r="G7749" s="570"/>
      <c r="H7749" s="570"/>
      <c r="I7749" s="570"/>
      <c r="J7749" s="570"/>
      <c r="K7749" s="570"/>
    </row>
    <row r="7750" ht="13.75" customHeight="1">
      <c r="A7750" s="833">
        <v>385</v>
      </c>
      <c r="B7750" t="s" s="834">
        <v>4957</v>
      </c>
      <c r="C7750" t="s" s="834">
        <v>1528</v>
      </c>
      <c r="D7750" s="835">
        <v>46028</v>
      </c>
      <c r="E7750" t="s" s="834">
        <v>478</v>
      </c>
      <c r="F7750" t="s" s="834">
        <v>478</v>
      </c>
      <c r="G7750" s="570"/>
      <c r="H7750" s="570"/>
      <c r="I7750" s="570"/>
      <c r="J7750" s="570"/>
      <c r="K7750" s="570"/>
    </row>
    <row r="7751" ht="13.75" customHeight="1">
      <c r="A7751" s="833">
        <v>385</v>
      </c>
      <c r="B7751" t="s" s="834">
        <v>4957</v>
      </c>
      <c r="C7751" t="s" s="834">
        <v>1528</v>
      </c>
      <c r="D7751" s="835">
        <v>46029</v>
      </c>
      <c r="E7751" t="s" s="834">
        <v>478</v>
      </c>
      <c r="F7751" t="s" s="834">
        <v>478</v>
      </c>
      <c r="G7751" s="570"/>
      <c r="H7751" s="570"/>
      <c r="I7751" s="570"/>
      <c r="J7751" s="570"/>
      <c r="K7751" s="570"/>
    </row>
    <row r="7752" ht="13.75" customHeight="1">
      <c r="A7752" s="833">
        <v>385</v>
      </c>
      <c r="B7752" t="s" s="834">
        <v>4957</v>
      </c>
      <c r="C7752" t="s" s="834">
        <v>1528</v>
      </c>
      <c r="D7752" s="835">
        <v>46030</v>
      </c>
      <c r="E7752" t="s" s="834">
        <v>478</v>
      </c>
      <c r="F7752" t="s" s="834">
        <v>478</v>
      </c>
      <c r="G7752" s="570"/>
      <c r="H7752" s="570"/>
      <c r="I7752" s="570"/>
      <c r="J7752" s="570"/>
      <c r="K7752" s="570"/>
    </row>
    <row r="7753" ht="13.75" customHeight="1">
      <c r="A7753" s="833">
        <v>385</v>
      </c>
      <c r="B7753" t="s" s="834">
        <v>4957</v>
      </c>
      <c r="C7753" t="s" s="834">
        <v>1528</v>
      </c>
      <c r="D7753" s="835">
        <v>46031</v>
      </c>
      <c r="E7753" t="s" s="834">
        <v>478</v>
      </c>
      <c r="F7753" t="s" s="834">
        <v>478</v>
      </c>
      <c r="G7753" s="570"/>
      <c r="H7753" s="570"/>
      <c r="I7753" s="570"/>
      <c r="J7753" s="570"/>
      <c r="K7753" s="570"/>
    </row>
    <row r="7754" ht="13.75" customHeight="1">
      <c r="A7754" s="833">
        <v>385</v>
      </c>
      <c r="B7754" t="s" s="834">
        <v>4957</v>
      </c>
      <c r="C7754" t="s" s="834">
        <v>1528</v>
      </c>
      <c r="D7754" s="835">
        <v>46032</v>
      </c>
      <c r="E7754" t="s" s="834">
        <v>478</v>
      </c>
      <c r="F7754" t="s" s="834">
        <v>478</v>
      </c>
      <c r="G7754" s="570"/>
      <c r="H7754" s="570"/>
      <c r="I7754" s="570"/>
      <c r="J7754" s="570"/>
      <c r="K7754" s="570"/>
    </row>
    <row r="7755" ht="13.75" customHeight="1">
      <c r="A7755" s="833">
        <v>385</v>
      </c>
      <c r="B7755" t="s" s="834">
        <v>4957</v>
      </c>
      <c r="C7755" t="s" s="834">
        <v>1528</v>
      </c>
      <c r="D7755" s="835">
        <v>46033</v>
      </c>
      <c r="E7755" t="s" s="834">
        <v>478</v>
      </c>
      <c r="F7755" t="s" s="834">
        <v>478</v>
      </c>
      <c r="G7755" s="570"/>
      <c r="H7755" s="570"/>
      <c r="I7755" s="570"/>
      <c r="J7755" s="570"/>
      <c r="K7755" s="570"/>
    </row>
    <row r="7756" ht="13.75" customHeight="1">
      <c r="A7756" s="833">
        <v>385</v>
      </c>
      <c r="B7756" t="s" s="834">
        <v>4957</v>
      </c>
      <c r="C7756" t="s" s="834">
        <v>1528</v>
      </c>
      <c r="D7756" s="835">
        <v>46034</v>
      </c>
      <c r="E7756" t="s" s="834">
        <v>478</v>
      </c>
      <c r="F7756" t="s" s="834">
        <v>478</v>
      </c>
      <c r="G7756" s="570"/>
      <c r="H7756" s="570"/>
      <c r="I7756" s="570"/>
      <c r="J7756" s="570"/>
      <c r="K7756" s="570"/>
    </row>
    <row r="7757" ht="13.75" customHeight="1">
      <c r="A7757" s="833">
        <v>385</v>
      </c>
      <c r="B7757" t="s" s="834">
        <v>4957</v>
      </c>
      <c r="C7757" t="s" s="834">
        <v>1528</v>
      </c>
      <c r="D7757" s="835">
        <v>46035</v>
      </c>
      <c r="E7757" t="s" s="834">
        <v>478</v>
      </c>
      <c r="F7757" t="s" s="834">
        <v>478</v>
      </c>
      <c r="G7757" s="570"/>
      <c r="H7757" s="570"/>
      <c r="I7757" s="570"/>
      <c r="J7757" s="570"/>
      <c r="K7757" s="570"/>
    </row>
    <row r="7758" ht="13.75" customHeight="1">
      <c r="A7758" s="833">
        <v>385</v>
      </c>
      <c r="B7758" t="s" s="834">
        <v>4957</v>
      </c>
      <c r="C7758" t="s" s="834">
        <v>1528</v>
      </c>
      <c r="D7758" s="835">
        <v>46036</v>
      </c>
      <c r="E7758" t="s" s="834">
        <v>478</v>
      </c>
      <c r="F7758" t="s" s="834">
        <v>478</v>
      </c>
      <c r="G7758" s="570"/>
      <c r="H7758" s="570"/>
      <c r="I7758" s="570"/>
      <c r="J7758" s="570"/>
      <c r="K7758" s="570"/>
    </row>
    <row r="7759" ht="13.75" customHeight="1">
      <c r="A7759" s="833">
        <v>385</v>
      </c>
      <c r="B7759" t="s" s="834">
        <v>4957</v>
      </c>
      <c r="C7759" t="s" s="834">
        <v>1528</v>
      </c>
      <c r="D7759" s="835">
        <v>46037</v>
      </c>
      <c r="E7759" t="s" s="834">
        <v>478</v>
      </c>
      <c r="F7759" t="s" s="834">
        <v>478</v>
      </c>
      <c r="G7759" s="570"/>
      <c r="H7759" s="570"/>
      <c r="I7759" s="570"/>
      <c r="J7759" s="570"/>
      <c r="K7759" s="570"/>
    </row>
    <row r="7760" ht="13.75" customHeight="1">
      <c r="A7760" s="833">
        <v>385</v>
      </c>
      <c r="B7760" t="s" s="834">
        <v>4957</v>
      </c>
      <c r="C7760" t="s" s="834">
        <v>1528</v>
      </c>
      <c r="D7760" s="835">
        <v>46038</v>
      </c>
      <c r="E7760" t="s" s="834">
        <v>478</v>
      </c>
      <c r="F7760" t="s" s="834">
        <v>478</v>
      </c>
      <c r="G7760" s="570"/>
      <c r="H7760" s="570"/>
      <c r="I7760" s="570"/>
      <c r="J7760" s="570"/>
      <c r="K7760" s="570"/>
    </row>
    <row r="7761" ht="13.75" customHeight="1">
      <c r="A7761" s="833">
        <v>385</v>
      </c>
      <c r="B7761" t="s" s="834">
        <v>4957</v>
      </c>
      <c r="C7761" t="s" s="834">
        <v>1528</v>
      </c>
      <c r="D7761" s="835">
        <v>46039</v>
      </c>
      <c r="E7761" t="s" s="834">
        <v>478</v>
      </c>
      <c r="F7761" t="s" s="834">
        <v>478</v>
      </c>
      <c r="G7761" s="570"/>
      <c r="H7761" s="570"/>
      <c r="I7761" s="570"/>
      <c r="J7761" s="570"/>
      <c r="K7761" s="570"/>
    </row>
    <row r="7762" ht="13.75" customHeight="1">
      <c r="A7762" s="833">
        <v>385</v>
      </c>
      <c r="B7762" t="s" s="834">
        <v>4957</v>
      </c>
      <c r="C7762" t="s" s="834">
        <v>1528</v>
      </c>
      <c r="D7762" s="835">
        <v>46040</v>
      </c>
      <c r="E7762" t="s" s="834">
        <v>478</v>
      </c>
      <c r="F7762" t="s" s="834">
        <v>478</v>
      </c>
      <c r="G7762" s="570"/>
      <c r="H7762" s="570"/>
      <c r="I7762" s="570"/>
      <c r="J7762" s="570"/>
      <c r="K7762" s="570"/>
    </row>
    <row r="7763" ht="13.75" customHeight="1">
      <c r="A7763" s="833">
        <v>385</v>
      </c>
      <c r="B7763" t="s" s="834">
        <v>4957</v>
      </c>
      <c r="C7763" t="s" s="834">
        <v>1528</v>
      </c>
      <c r="D7763" s="835">
        <v>46041</v>
      </c>
      <c r="E7763" t="s" s="834">
        <v>478</v>
      </c>
      <c r="F7763" t="s" s="834">
        <v>478</v>
      </c>
      <c r="G7763" s="570"/>
      <c r="H7763" s="570"/>
      <c r="I7763" s="570"/>
      <c r="J7763" s="570"/>
      <c r="K7763" s="570"/>
    </row>
    <row r="7764" ht="13.75" customHeight="1">
      <c r="A7764" s="833">
        <v>385</v>
      </c>
      <c r="B7764" t="s" s="834">
        <v>4957</v>
      </c>
      <c r="C7764" t="s" s="834">
        <v>1528</v>
      </c>
      <c r="D7764" s="835">
        <v>46042</v>
      </c>
      <c r="E7764" t="s" s="834">
        <v>478</v>
      </c>
      <c r="F7764" t="s" s="834">
        <v>478</v>
      </c>
      <c r="G7764" s="570"/>
      <c r="H7764" s="570"/>
      <c r="I7764" s="570"/>
      <c r="J7764" s="570"/>
      <c r="K7764" s="570"/>
    </row>
    <row r="7765" ht="13.75" customHeight="1">
      <c r="A7765" s="833">
        <v>385</v>
      </c>
      <c r="B7765" t="s" s="834">
        <v>4957</v>
      </c>
      <c r="C7765" t="s" s="834">
        <v>1528</v>
      </c>
      <c r="D7765" s="835">
        <v>46043</v>
      </c>
      <c r="E7765" t="s" s="834">
        <v>478</v>
      </c>
      <c r="F7765" t="s" s="834">
        <v>478</v>
      </c>
      <c r="G7765" s="570"/>
      <c r="H7765" s="570"/>
      <c r="I7765" s="570"/>
      <c r="J7765" s="570"/>
      <c r="K7765" s="570"/>
    </row>
    <row r="7766" ht="13.75" customHeight="1">
      <c r="A7766" s="833">
        <v>385</v>
      </c>
      <c r="B7766" t="s" s="834">
        <v>4957</v>
      </c>
      <c r="C7766" t="s" s="834">
        <v>1528</v>
      </c>
      <c r="D7766" s="835">
        <v>46044</v>
      </c>
      <c r="E7766" t="s" s="834">
        <v>478</v>
      </c>
      <c r="F7766" t="s" s="834">
        <v>478</v>
      </c>
      <c r="G7766" s="570"/>
      <c r="H7766" s="570"/>
      <c r="I7766" s="570"/>
      <c r="J7766" s="570"/>
      <c r="K7766" s="570"/>
    </row>
    <row r="7767" ht="13.75" customHeight="1">
      <c r="A7767" s="833">
        <v>385</v>
      </c>
      <c r="B7767" t="s" s="834">
        <v>4957</v>
      </c>
      <c r="C7767" t="s" s="834">
        <v>1528</v>
      </c>
      <c r="D7767" s="835">
        <v>46045</v>
      </c>
      <c r="E7767" t="s" s="834">
        <v>478</v>
      </c>
      <c r="F7767" t="s" s="834">
        <v>478</v>
      </c>
      <c r="G7767" s="570"/>
      <c r="H7767" s="570"/>
      <c r="I7767" s="570"/>
      <c r="J7767" s="570"/>
      <c r="K7767" s="570"/>
    </row>
    <row r="7768" ht="13.75" customHeight="1">
      <c r="A7768" s="833">
        <v>385</v>
      </c>
      <c r="B7768" t="s" s="834">
        <v>4957</v>
      </c>
      <c r="C7768" t="s" s="834">
        <v>1528</v>
      </c>
      <c r="D7768" s="835">
        <v>46046</v>
      </c>
      <c r="E7768" t="s" s="834">
        <v>478</v>
      </c>
      <c r="F7768" t="s" s="834">
        <v>478</v>
      </c>
      <c r="G7768" s="570"/>
      <c r="H7768" s="570"/>
      <c r="I7768" s="570"/>
      <c r="J7768" s="570"/>
      <c r="K7768" s="570"/>
    </row>
    <row r="7769" ht="13.75" customHeight="1">
      <c r="A7769" s="833">
        <v>385</v>
      </c>
      <c r="B7769" t="s" s="834">
        <v>4957</v>
      </c>
      <c r="C7769" t="s" s="834">
        <v>1528</v>
      </c>
      <c r="D7769" s="835">
        <v>46047</v>
      </c>
      <c r="E7769" t="s" s="834">
        <v>478</v>
      </c>
      <c r="F7769" t="s" s="834">
        <v>478</v>
      </c>
      <c r="G7769" s="570"/>
      <c r="H7769" s="570"/>
      <c r="I7769" s="570"/>
      <c r="J7769" s="570"/>
      <c r="K7769" s="570"/>
    </row>
    <row r="7770" ht="13.75" customHeight="1">
      <c r="A7770" s="833">
        <v>385</v>
      </c>
      <c r="B7770" t="s" s="834">
        <v>4957</v>
      </c>
      <c r="C7770" t="s" s="834">
        <v>1528</v>
      </c>
      <c r="D7770" s="835">
        <v>46048</v>
      </c>
      <c r="E7770" t="s" s="834">
        <v>478</v>
      </c>
      <c r="F7770" t="s" s="834">
        <v>478</v>
      </c>
      <c r="G7770" s="570"/>
      <c r="H7770" s="570"/>
      <c r="I7770" s="570"/>
      <c r="J7770" s="570"/>
      <c r="K7770" s="570"/>
    </row>
    <row r="7771" ht="13.75" customHeight="1">
      <c r="A7771" s="833">
        <v>385</v>
      </c>
      <c r="B7771" t="s" s="834">
        <v>4957</v>
      </c>
      <c r="C7771" t="s" s="834">
        <v>1528</v>
      </c>
      <c r="D7771" s="835">
        <v>46049</v>
      </c>
      <c r="E7771" t="s" s="834">
        <v>478</v>
      </c>
      <c r="F7771" t="s" s="834">
        <v>478</v>
      </c>
      <c r="G7771" s="570"/>
      <c r="H7771" s="570"/>
      <c r="I7771" s="570"/>
      <c r="J7771" s="570"/>
      <c r="K7771" s="570"/>
    </row>
    <row r="7772" ht="13.75" customHeight="1">
      <c r="A7772" s="833">
        <v>385</v>
      </c>
      <c r="B7772" t="s" s="834">
        <v>4957</v>
      </c>
      <c r="C7772" t="s" s="834">
        <v>1528</v>
      </c>
      <c r="D7772" s="835">
        <v>46050</v>
      </c>
      <c r="E7772" t="s" s="834">
        <v>478</v>
      </c>
      <c r="F7772" t="s" s="834">
        <v>478</v>
      </c>
      <c r="G7772" s="570"/>
      <c r="H7772" s="570"/>
      <c r="I7772" s="570"/>
      <c r="J7772" s="570"/>
      <c r="K7772" s="570"/>
    </row>
    <row r="7773" ht="13.75" customHeight="1">
      <c r="A7773" s="833">
        <v>385</v>
      </c>
      <c r="B7773" t="s" s="834">
        <v>4957</v>
      </c>
      <c r="C7773" t="s" s="834">
        <v>1528</v>
      </c>
      <c r="D7773" s="835">
        <v>46051</v>
      </c>
      <c r="E7773" t="s" s="834">
        <v>478</v>
      </c>
      <c r="F7773" t="s" s="834">
        <v>478</v>
      </c>
      <c r="G7773" s="570"/>
      <c r="H7773" s="570"/>
      <c r="I7773" s="570"/>
      <c r="J7773" s="570"/>
      <c r="K7773" s="570"/>
    </row>
    <row r="7774" ht="13.75" customHeight="1">
      <c r="A7774" s="833">
        <v>385</v>
      </c>
      <c r="B7774" t="s" s="834">
        <v>4957</v>
      </c>
      <c r="C7774" t="s" s="834">
        <v>1528</v>
      </c>
      <c r="D7774" s="835">
        <v>46052</v>
      </c>
      <c r="E7774" t="s" s="834">
        <v>478</v>
      </c>
      <c r="F7774" t="s" s="834">
        <v>478</v>
      </c>
      <c r="G7774" s="570"/>
      <c r="H7774" s="570"/>
      <c r="I7774" s="570"/>
      <c r="J7774" s="570"/>
      <c r="K7774" s="570"/>
    </row>
    <row r="7775" ht="13.75" customHeight="1">
      <c r="A7775" s="833">
        <v>385</v>
      </c>
      <c r="B7775" t="s" s="834">
        <v>4957</v>
      </c>
      <c r="C7775" t="s" s="834">
        <v>1528</v>
      </c>
      <c r="D7775" s="835">
        <v>46053</v>
      </c>
      <c r="E7775" t="s" s="834">
        <v>478</v>
      </c>
      <c r="F7775" t="s" s="834">
        <v>478</v>
      </c>
      <c r="G7775" s="570"/>
      <c r="H7775" s="570"/>
      <c r="I7775" s="570"/>
      <c r="J7775" s="570"/>
      <c r="K7775" s="570"/>
    </row>
    <row r="7776" ht="13.75" customHeight="1">
      <c r="A7776" s="833">
        <v>385</v>
      </c>
      <c r="B7776" t="s" s="834">
        <v>4957</v>
      </c>
      <c r="C7776" t="s" s="834">
        <v>1528</v>
      </c>
      <c r="D7776" s="835">
        <v>46054</v>
      </c>
      <c r="E7776" t="s" s="834">
        <v>478</v>
      </c>
      <c r="F7776" t="s" s="834">
        <v>478</v>
      </c>
      <c r="G7776" s="570"/>
      <c r="H7776" s="570"/>
      <c r="I7776" s="570"/>
      <c r="J7776" s="570"/>
      <c r="K7776" s="570"/>
    </row>
    <row r="7777" ht="13.75" customHeight="1">
      <c r="A7777" s="833">
        <v>386</v>
      </c>
      <c r="B7777" t="s" s="834">
        <v>4958</v>
      </c>
      <c r="C7777" t="s" s="834">
        <v>2718</v>
      </c>
      <c r="D7777" s="835">
        <v>46023</v>
      </c>
      <c r="E7777" t="s" s="834">
        <v>478</v>
      </c>
      <c r="F7777" t="s" s="834">
        <v>478</v>
      </c>
      <c r="G7777" s="570"/>
      <c r="H7777" s="570"/>
      <c r="I7777" s="570"/>
      <c r="J7777" s="570"/>
      <c r="K7777" s="570"/>
    </row>
    <row r="7778" ht="13.75" customHeight="1">
      <c r="A7778" s="833">
        <v>386</v>
      </c>
      <c r="B7778" t="s" s="834">
        <v>4958</v>
      </c>
      <c r="C7778" t="s" s="834">
        <v>2718</v>
      </c>
      <c r="D7778" s="835">
        <v>46024</v>
      </c>
      <c r="E7778" t="s" s="834">
        <v>478</v>
      </c>
      <c r="F7778" t="s" s="834">
        <v>478</v>
      </c>
      <c r="G7778" s="570"/>
      <c r="H7778" s="570"/>
      <c r="I7778" s="570"/>
      <c r="J7778" s="570"/>
      <c r="K7778" s="570"/>
    </row>
    <row r="7779" ht="13.75" customHeight="1">
      <c r="A7779" s="833">
        <v>386</v>
      </c>
      <c r="B7779" t="s" s="834">
        <v>4958</v>
      </c>
      <c r="C7779" t="s" s="834">
        <v>2718</v>
      </c>
      <c r="D7779" s="835">
        <v>46025</v>
      </c>
      <c r="E7779" t="s" s="834">
        <v>478</v>
      </c>
      <c r="F7779" t="s" s="834">
        <v>478</v>
      </c>
      <c r="G7779" s="570"/>
      <c r="H7779" s="570"/>
      <c r="I7779" s="570"/>
      <c r="J7779" s="570"/>
      <c r="K7779" s="570"/>
    </row>
    <row r="7780" ht="13.75" customHeight="1">
      <c r="A7780" s="833">
        <v>386</v>
      </c>
      <c r="B7780" t="s" s="834">
        <v>4958</v>
      </c>
      <c r="C7780" t="s" s="834">
        <v>2718</v>
      </c>
      <c r="D7780" s="835">
        <v>46026</v>
      </c>
      <c r="E7780" t="s" s="834">
        <v>478</v>
      </c>
      <c r="F7780" t="s" s="834">
        <v>478</v>
      </c>
      <c r="G7780" s="570"/>
      <c r="H7780" s="570"/>
      <c r="I7780" s="570"/>
      <c r="J7780" s="570"/>
      <c r="K7780" s="570"/>
    </row>
    <row r="7781" ht="13.75" customHeight="1">
      <c r="A7781" s="833">
        <v>386</v>
      </c>
      <c r="B7781" t="s" s="834">
        <v>4958</v>
      </c>
      <c r="C7781" t="s" s="834">
        <v>2718</v>
      </c>
      <c r="D7781" s="835">
        <v>46027</v>
      </c>
      <c r="E7781" t="s" s="834">
        <v>478</v>
      </c>
      <c r="F7781" t="s" s="834">
        <v>478</v>
      </c>
      <c r="G7781" s="570"/>
      <c r="H7781" s="570"/>
      <c r="I7781" s="570"/>
      <c r="J7781" s="570"/>
      <c r="K7781" s="570"/>
    </row>
    <row r="7782" ht="13.75" customHeight="1">
      <c r="A7782" s="833">
        <v>386</v>
      </c>
      <c r="B7782" t="s" s="834">
        <v>4958</v>
      </c>
      <c r="C7782" t="s" s="834">
        <v>2718</v>
      </c>
      <c r="D7782" s="835">
        <v>46028</v>
      </c>
      <c r="E7782" t="s" s="834">
        <v>478</v>
      </c>
      <c r="F7782" t="s" s="834">
        <v>478</v>
      </c>
      <c r="G7782" s="570"/>
      <c r="H7782" s="570"/>
      <c r="I7782" s="570"/>
      <c r="J7782" s="570"/>
      <c r="K7782" s="570"/>
    </row>
    <row r="7783" ht="13.75" customHeight="1">
      <c r="A7783" s="833">
        <v>386</v>
      </c>
      <c r="B7783" t="s" s="834">
        <v>4958</v>
      </c>
      <c r="C7783" t="s" s="834">
        <v>2718</v>
      </c>
      <c r="D7783" s="835">
        <v>46029</v>
      </c>
      <c r="E7783" t="s" s="834">
        <v>478</v>
      </c>
      <c r="F7783" t="s" s="834">
        <v>478</v>
      </c>
      <c r="G7783" s="570"/>
      <c r="H7783" s="570"/>
      <c r="I7783" s="570"/>
      <c r="J7783" s="570"/>
      <c r="K7783" s="570"/>
    </row>
    <row r="7784" ht="13.75" customHeight="1">
      <c r="A7784" s="833">
        <v>386</v>
      </c>
      <c r="B7784" t="s" s="834">
        <v>4958</v>
      </c>
      <c r="C7784" t="s" s="834">
        <v>2718</v>
      </c>
      <c r="D7784" s="835">
        <v>46030</v>
      </c>
      <c r="E7784" t="s" s="834">
        <v>478</v>
      </c>
      <c r="F7784" t="s" s="834">
        <v>478</v>
      </c>
      <c r="G7784" s="570"/>
      <c r="H7784" s="570"/>
      <c r="I7784" s="570"/>
      <c r="J7784" s="570"/>
      <c r="K7784" s="570"/>
    </row>
    <row r="7785" ht="13.75" customHeight="1">
      <c r="A7785" s="833">
        <v>386</v>
      </c>
      <c r="B7785" t="s" s="834">
        <v>4958</v>
      </c>
      <c r="C7785" t="s" s="834">
        <v>2718</v>
      </c>
      <c r="D7785" s="835">
        <v>46031</v>
      </c>
      <c r="E7785" t="s" s="834">
        <v>478</v>
      </c>
      <c r="F7785" t="s" s="834">
        <v>478</v>
      </c>
      <c r="G7785" s="570"/>
      <c r="H7785" s="570"/>
      <c r="I7785" s="570"/>
      <c r="J7785" s="570"/>
      <c r="K7785" s="570"/>
    </row>
    <row r="7786" ht="13.75" customHeight="1">
      <c r="A7786" s="833">
        <v>386</v>
      </c>
      <c r="B7786" t="s" s="834">
        <v>4958</v>
      </c>
      <c r="C7786" t="s" s="834">
        <v>2718</v>
      </c>
      <c r="D7786" s="835">
        <v>46032</v>
      </c>
      <c r="E7786" t="s" s="834">
        <v>478</v>
      </c>
      <c r="F7786" t="s" s="834">
        <v>478</v>
      </c>
      <c r="G7786" s="570"/>
      <c r="H7786" s="570"/>
      <c r="I7786" s="570"/>
      <c r="J7786" s="570"/>
      <c r="K7786" s="570"/>
    </row>
    <row r="7787" ht="13.75" customHeight="1">
      <c r="A7787" s="833">
        <v>386</v>
      </c>
      <c r="B7787" t="s" s="834">
        <v>4958</v>
      </c>
      <c r="C7787" t="s" s="834">
        <v>2718</v>
      </c>
      <c r="D7787" s="835">
        <v>46033</v>
      </c>
      <c r="E7787" t="s" s="834">
        <v>478</v>
      </c>
      <c r="F7787" t="s" s="834">
        <v>478</v>
      </c>
      <c r="G7787" s="570"/>
      <c r="H7787" s="570"/>
      <c r="I7787" s="570"/>
      <c r="J7787" s="570"/>
      <c r="K7787" s="570"/>
    </row>
    <row r="7788" ht="13.75" customHeight="1">
      <c r="A7788" s="833">
        <v>386</v>
      </c>
      <c r="B7788" t="s" s="834">
        <v>4958</v>
      </c>
      <c r="C7788" t="s" s="834">
        <v>2718</v>
      </c>
      <c r="D7788" s="835">
        <v>46034</v>
      </c>
      <c r="E7788" t="s" s="834">
        <v>478</v>
      </c>
      <c r="F7788" t="s" s="834">
        <v>478</v>
      </c>
      <c r="G7788" s="570"/>
      <c r="H7788" s="570"/>
      <c r="I7788" s="570"/>
      <c r="J7788" s="570"/>
      <c r="K7788" s="570"/>
    </row>
    <row r="7789" ht="13.75" customHeight="1">
      <c r="A7789" s="833">
        <v>386</v>
      </c>
      <c r="B7789" t="s" s="834">
        <v>4958</v>
      </c>
      <c r="C7789" t="s" s="834">
        <v>2718</v>
      </c>
      <c r="D7789" s="835">
        <v>46035</v>
      </c>
      <c r="E7789" t="s" s="834">
        <v>478</v>
      </c>
      <c r="F7789" t="s" s="834">
        <v>478</v>
      </c>
      <c r="G7789" s="570"/>
      <c r="H7789" s="570"/>
      <c r="I7789" s="570"/>
      <c r="J7789" s="570"/>
      <c r="K7789" s="570"/>
    </row>
    <row r="7790" ht="13.75" customHeight="1">
      <c r="A7790" s="833">
        <v>386</v>
      </c>
      <c r="B7790" t="s" s="834">
        <v>4958</v>
      </c>
      <c r="C7790" t="s" s="834">
        <v>2718</v>
      </c>
      <c r="D7790" s="835">
        <v>46036</v>
      </c>
      <c r="E7790" t="s" s="834">
        <v>478</v>
      </c>
      <c r="F7790" t="s" s="834">
        <v>478</v>
      </c>
      <c r="G7790" s="570"/>
      <c r="H7790" s="570"/>
      <c r="I7790" s="570"/>
      <c r="J7790" s="570"/>
      <c r="K7790" s="570"/>
    </row>
    <row r="7791" ht="13.75" customHeight="1">
      <c r="A7791" s="833">
        <v>386</v>
      </c>
      <c r="B7791" t="s" s="834">
        <v>4958</v>
      </c>
      <c r="C7791" t="s" s="834">
        <v>2718</v>
      </c>
      <c r="D7791" s="835">
        <v>46037</v>
      </c>
      <c r="E7791" t="s" s="834">
        <v>478</v>
      </c>
      <c r="F7791" t="s" s="834">
        <v>478</v>
      </c>
      <c r="G7791" s="570"/>
      <c r="H7791" s="570"/>
      <c r="I7791" s="570"/>
      <c r="J7791" s="570"/>
      <c r="K7791" s="570"/>
    </row>
    <row r="7792" ht="13.75" customHeight="1">
      <c r="A7792" s="833">
        <v>386</v>
      </c>
      <c r="B7792" t="s" s="834">
        <v>4958</v>
      </c>
      <c r="C7792" t="s" s="834">
        <v>2718</v>
      </c>
      <c r="D7792" s="835">
        <v>46038</v>
      </c>
      <c r="E7792" t="s" s="834">
        <v>478</v>
      </c>
      <c r="F7792" t="s" s="834">
        <v>478</v>
      </c>
      <c r="G7792" s="570"/>
      <c r="H7792" s="570"/>
      <c r="I7792" s="570"/>
      <c r="J7792" s="570"/>
      <c r="K7792" s="570"/>
    </row>
    <row r="7793" ht="13.75" customHeight="1">
      <c r="A7793" s="833">
        <v>386</v>
      </c>
      <c r="B7793" t="s" s="834">
        <v>4958</v>
      </c>
      <c r="C7793" t="s" s="834">
        <v>2718</v>
      </c>
      <c r="D7793" s="835">
        <v>46039</v>
      </c>
      <c r="E7793" t="s" s="834">
        <v>478</v>
      </c>
      <c r="F7793" t="s" s="834">
        <v>478</v>
      </c>
      <c r="G7793" s="570"/>
      <c r="H7793" s="570"/>
      <c r="I7793" s="570"/>
      <c r="J7793" s="570"/>
      <c r="K7793" s="570"/>
    </row>
    <row r="7794" ht="13.75" customHeight="1">
      <c r="A7794" s="833">
        <v>386</v>
      </c>
      <c r="B7794" t="s" s="834">
        <v>4958</v>
      </c>
      <c r="C7794" t="s" s="834">
        <v>2718</v>
      </c>
      <c r="D7794" s="835">
        <v>46040</v>
      </c>
      <c r="E7794" t="s" s="834">
        <v>478</v>
      </c>
      <c r="F7794" t="s" s="834">
        <v>478</v>
      </c>
      <c r="G7794" s="570"/>
      <c r="H7794" s="570"/>
      <c r="I7794" s="570"/>
      <c r="J7794" s="570"/>
      <c r="K7794" s="570"/>
    </row>
    <row r="7795" ht="13.75" customHeight="1">
      <c r="A7795" s="833">
        <v>386</v>
      </c>
      <c r="B7795" t="s" s="834">
        <v>4958</v>
      </c>
      <c r="C7795" t="s" s="834">
        <v>2718</v>
      </c>
      <c r="D7795" s="835">
        <v>46041</v>
      </c>
      <c r="E7795" t="s" s="834">
        <v>478</v>
      </c>
      <c r="F7795" t="s" s="834">
        <v>478</v>
      </c>
      <c r="G7795" s="570"/>
      <c r="H7795" s="570"/>
      <c r="I7795" s="570"/>
      <c r="J7795" s="570"/>
      <c r="K7795" s="570"/>
    </row>
    <row r="7796" ht="13.75" customHeight="1">
      <c r="A7796" s="833">
        <v>386</v>
      </c>
      <c r="B7796" t="s" s="834">
        <v>4958</v>
      </c>
      <c r="C7796" t="s" s="834">
        <v>2718</v>
      </c>
      <c r="D7796" s="835">
        <v>46042</v>
      </c>
      <c r="E7796" t="s" s="834">
        <v>478</v>
      </c>
      <c r="F7796" t="s" s="834">
        <v>478</v>
      </c>
      <c r="G7796" s="570"/>
      <c r="H7796" s="570"/>
      <c r="I7796" s="570"/>
      <c r="J7796" s="570"/>
      <c r="K7796" s="570"/>
    </row>
    <row r="7797" ht="13.75" customHeight="1">
      <c r="A7797" s="833">
        <v>386</v>
      </c>
      <c r="B7797" t="s" s="834">
        <v>4958</v>
      </c>
      <c r="C7797" t="s" s="834">
        <v>2718</v>
      </c>
      <c r="D7797" s="835">
        <v>46043</v>
      </c>
      <c r="E7797" t="s" s="834">
        <v>478</v>
      </c>
      <c r="F7797" t="s" s="834">
        <v>478</v>
      </c>
      <c r="G7797" s="570"/>
      <c r="H7797" s="570"/>
      <c r="I7797" s="570"/>
      <c r="J7797" s="570"/>
      <c r="K7797" s="570"/>
    </row>
    <row r="7798" ht="13.75" customHeight="1">
      <c r="A7798" s="833">
        <v>386</v>
      </c>
      <c r="B7798" t="s" s="834">
        <v>4958</v>
      </c>
      <c r="C7798" t="s" s="834">
        <v>2718</v>
      </c>
      <c r="D7798" s="835">
        <v>46044</v>
      </c>
      <c r="E7798" t="s" s="834">
        <v>478</v>
      </c>
      <c r="F7798" t="s" s="834">
        <v>478</v>
      </c>
      <c r="G7798" s="570"/>
      <c r="H7798" s="570"/>
      <c r="I7798" s="570"/>
      <c r="J7798" s="570"/>
      <c r="K7798" s="570"/>
    </row>
    <row r="7799" ht="13.75" customHeight="1">
      <c r="A7799" s="833">
        <v>386</v>
      </c>
      <c r="B7799" t="s" s="834">
        <v>4958</v>
      </c>
      <c r="C7799" t="s" s="834">
        <v>2718</v>
      </c>
      <c r="D7799" s="835">
        <v>46045</v>
      </c>
      <c r="E7799" t="s" s="834">
        <v>478</v>
      </c>
      <c r="F7799" t="s" s="834">
        <v>478</v>
      </c>
      <c r="G7799" s="570"/>
      <c r="H7799" s="570"/>
      <c r="I7799" s="570"/>
      <c r="J7799" s="570"/>
      <c r="K7799" s="570"/>
    </row>
    <row r="7800" ht="13.75" customHeight="1">
      <c r="A7800" s="833">
        <v>386</v>
      </c>
      <c r="B7800" t="s" s="834">
        <v>4958</v>
      </c>
      <c r="C7800" t="s" s="834">
        <v>2718</v>
      </c>
      <c r="D7800" s="835">
        <v>46046</v>
      </c>
      <c r="E7800" t="s" s="834">
        <v>478</v>
      </c>
      <c r="F7800" t="s" s="834">
        <v>478</v>
      </c>
      <c r="G7800" s="570"/>
      <c r="H7800" s="570"/>
      <c r="I7800" s="570"/>
      <c r="J7800" s="570"/>
      <c r="K7800" s="570"/>
    </row>
    <row r="7801" ht="13.75" customHeight="1">
      <c r="A7801" s="833">
        <v>386</v>
      </c>
      <c r="B7801" t="s" s="834">
        <v>4958</v>
      </c>
      <c r="C7801" t="s" s="834">
        <v>2718</v>
      </c>
      <c r="D7801" s="835">
        <v>46047</v>
      </c>
      <c r="E7801" t="s" s="834">
        <v>478</v>
      </c>
      <c r="F7801" t="s" s="834">
        <v>478</v>
      </c>
      <c r="G7801" s="570"/>
      <c r="H7801" s="570"/>
      <c r="I7801" s="570"/>
      <c r="J7801" s="570"/>
      <c r="K7801" s="570"/>
    </row>
    <row r="7802" ht="13.75" customHeight="1">
      <c r="A7802" s="833">
        <v>386</v>
      </c>
      <c r="B7802" t="s" s="834">
        <v>4958</v>
      </c>
      <c r="C7802" t="s" s="834">
        <v>2718</v>
      </c>
      <c r="D7802" s="835">
        <v>46048</v>
      </c>
      <c r="E7802" t="s" s="834">
        <v>478</v>
      </c>
      <c r="F7802" t="s" s="834">
        <v>478</v>
      </c>
      <c r="G7802" s="570"/>
      <c r="H7802" s="570"/>
      <c r="I7802" s="570"/>
      <c r="J7802" s="570"/>
      <c r="K7802" s="570"/>
    </row>
    <row r="7803" ht="13.75" customHeight="1">
      <c r="A7803" s="833">
        <v>386</v>
      </c>
      <c r="B7803" t="s" s="834">
        <v>4958</v>
      </c>
      <c r="C7803" t="s" s="834">
        <v>2718</v>
      </c>
      <c r="D7803" s="835">
        <v>46049</v>
      </c>
      <c r="E7803" t="s" s="834">
        <v>478</v>
      </c>
      <c r="F7803" t="s" s="834">
        <v>478</v>
      </c>
      <c r="G7803" s="570"/>
      <c r="H7803" s="570"/>
      <c r="I7803" s="570"/>
      <c r="J7803" s="570"/>
      <c r="K7803" s="570"/>
    </row>
    <row r="7804" ht="13.75" customHeight="1">
      <c r="A7804" s="833">
        <v>386</v>
      </c>
      <c r="B7804" t="s" s="834">
        <v>4958</v>
      </c>
      <c r="C7804" t="s" s="834">
        <v>2718</v>
      </c>
      <c r="D7804" s="835">
        <v>46050</v>
      </c>
      <c r="E7804" t="s" s="834">
        <v>478</v>
      </c>
      <c r="F7804" t="s" s="834">
        <v>478</v>
      </c>
      <c r="G7804" s="570"/>
      <c r="H7804" s="570"/>
      <c r="I7804" s="570"/>
      <c r="J7804" s="570"/>
      <c r="K7804" s="570"/>
    </row>
    <row r="7805" ht="13.75" customHeight="1">
      <c r="A7805" s="833">
        <v>386</v>
      </c>
      <c r="B7805" t="s" s="834">
        <v>4958</v>
      </c>
      <c r="C7805" t="s" s="834">
        <v>2718</v>
      </c>
      <c r="D7805" s="835">
        <v>46051</v>
      </c>
      <c r="E7805" t="s" s="834">
        <v>478</v>
      </c>
      <c r="F7805" t="s" s="834">
        <v>478</v>
      </c>
      <c r="G7805" s="570"/>
      <c r="H7805" s="570"/>
      <c r="I7805" s="570"/>
      <c r="J7805" s="570"/>
      <c r="K7805" s="570"/>
    </row>
    <row r="7806" ht="13.75" customHeight="1">
      <c r="A7806" s="833">
        <v>386</v>
      </c>
      <c r="B7806" t="s" s="834">
        <v>4958</v>
      </c>
      <c r="C7806" t="s" s="834">
        <v>2718</v>
      </c>
      <c r="D7806" s="835">
        <v>46052</v>
      </c>
      <c r="E7806" t="s" s="834">
        <v>478</v>
      </c>
      <c r="F7806" t="s" s="834">
        <v>478</v>
      </c>
      <c r="G7806" s="570"/>
      <c r="H7806" s="570"/>
      <c r="I7806" s="570"/>
      <c r="J7806" s="570"/>
      <c r="K7806" s="570"/>
    </row>
    <row r="7807" ht="13.75" customHeight="1">
      <c r="A7807" s="833">
        <v>386</v>
      </c>
      <c r="B7807" t="s" s="834">
        <v>4958</v>
      </c>
      <c r="C7807" t="s" s="834">
        <v>2718</v>
      </c>
      <c r="D7807" s="835">
        <v>46053</v>
      </c>
      <c r="E7807" t="s" s="834">
        <v>478</v>
      </c>
      <c r="F7807" t="s" s="834">
        <v>478</v>
      </c>
      <c r="G7807" s="570"/>
      <c r="H7807" s="570"/>
      <c r="I7807" s="570"/>
      <c r="J7807" s="570"/>
      <c r="K7807" s="570"/>
    </row>
    <row r="7808" ht="13.75" customHeight="1">
      <c r="A7808" s="833">
        <v>386</v>
      </c>
      <c r="B7808" t="s" s="834">
        <v>4958</v>
      </c>
      <c r="C7808" t="s" s="834">
        <v>2718</v>
      </c>
      <c r="D7808" s="835">
        <v>46054</v>
      </c>
      <c r="E7808" t="s" s="834">
        <v>478</v>
      </c>
      <c r="F7808" t="s" s="834">
        <v>478</v>
      </c>
      <c r="G7808" s="570"/>
      <c r="H7808" s="570"/>
      <c r="I7808" s="570"/>
      <c r="J7808" s="570"/>
      <c r="K7808" s="570"/>
    </row>
    <row r="7809" ht="13.75" customHeight="1">
      <c r="A7809" s="833">
        <v>387</v>
      </c>
      <c r="B7809" t="s" s="834">
        <v>4959</v>
      </c>
      <c r="C7809" t="s" s="834">
        <v>2718</v>
      </c>
      <c r="D7809" s="835">
        <v>46023</v>
      </c>
      <c r="E7809" t="s" s="834">
        <v>478</v>
      </c>
      <c r="F7809" t="s" s="834">
        <v>478</v>
      </c>
      <c r="G7809" s="570"/>
      <c r="H7809" s="570"/>
      <c r="I7809" s="570"/>
      <c r="J7809" s="570"/>
      <c r="K7809" s="570"/>
    </row>
    <row r="7810" ht="13.75" customHeight="1">
      <c r="A7810" s="833">
        <v>387</v>
      </c>
      <c r="B7810" t="s" s="834">
        <v>4959</v>
      </c>
      <c r="C7810" t="s" s="834">
        <v>2718</v>
      </c>
      <c r="D7810" s="835">
        <v>46024</v>
      </c>
      <c r="E7810" t="s" s="834">
        <v>478</v>
      </c>
      <c r="F7810" t="s" s="834">
        <v>478</v>
      </c>
      <c r="G7810" s="570"/>
      <c r="H7810" s="570"/>
      <c r="I7810" s="570"/>
      <c r="J7810" s="570"/>
      <c r="K7810" s="570"/>
    </row>
    <row r="7811" ht="13.75" customHeight="1">
      <c r="A7811" s="833">
        <v>387</v>
      </c>
      <c r="B7811" t="s" s="834">
        <v>4959</v>
      </c>
      <c r="C7811" t="s" s="834">
        <v>2718</v>
      </c>
      <c r="D7811" s="835">
        <v>46025</v>
      </c>
      <c r="E7811" t="s" s="834">
        <v>478</v>
      </c>
      <c r="F7811" t="s" s="834">
        <v>478</v>
      </c>
      <c r="G7811" s="570"/>
      <c r="H7811" s="570"/>
      <c r="I7811" s="570"/>
      <c r="J7811" s="570"/>
      <c r="K7811" s="570"/>
    </row>
    <row r="7812" ht="13.75" customHeight="1">
      <c r="A7812" s="833">
        <v>387</v>
      </c>
      <c r="B7812" t="s" s="834">
        <v>4959</v>
      </c>
      <c r="C7812" t="s" s="834">
        <v>2718</v>
      </c>
      <c r="D7812" s="835">
        <v>46026</v>
      </c>
      <c r="E7812" t="s" s="834">
        <v>478</v>
      </c>
      <c r="F7812" t="s" s="834">
        <v>478</v>
      </c>
      <c r="G7812" s="570"/>
      <c r="H7812" s="570"/>
      <c r="I7812" s="570"/>
      <c r="J7812" s="570"/>
      <c r="K7812" s="570"/>
    </row>
    <row r="7813" ht="13.75" customHeight="1">
      <c r="A7813" s="833">
        <v>387</v>
      </c>
      <c r="B7813" t="s" s="834">
        <v>4959</v>
      </c>
      <c r="C7813" t="s" s="834">
        <v>2718</v>
      </c>
      <c r="D7813" s="835">
        <v>46027</v>
      </c>
      <c r="E7813" s="836">
        <v>1.617997685185185</v>
      </c>
      <c r="F7813" t="s" s="834">
        <v>478</v>
      </c>
      <c r="G7813" s="570"/>
      <c r="H7813" s="570"/>
      <c r="I7813" s="570"/>
      <c r="J7813" s="570"/>
      <c r="K7813" s="570"/>
    </row>
    <row r="7814" ht="13.75" customHeight="1">
      <c r="A7814" t="s" s="834">
        <v>4960</v>
      </c>
      <c r="B7814" t="s" s="834">
        <v>485</v>
      </c>
      <c r="C7814" t="s" s="834">
        <v>486</v>
      </c>
      <c r="D7814" s="570"/>
      <c r="E7814" s="570"/>
      <c r="F7814" s="570"/>
      <c r="G7814" s="570"/>
      <c r="H7814" s="570"/>
      <c r="I7814" s="570"/>
      <c r="J7814" s="570"/>
      <c r="K7814" s="570"/>
    </row>
    <row r="7815" ht="13.75" customHeight="1">
      <c r="A7815" s="833">
        <v>387</v>
      </c>
      <c r="B7815" t="s" s="834">
        <v>4959</v>
      </c>
      <c r="C7815" t="s" s="834">
        <v>2718</v>
      </c>
      <c r="D7815" s="835">
        <v>46028</v>
      </c>
      <c r="E7815" t="s" s="834">
        <v>478</v>
      </c>
      <c r="F7815" t="s" s="834">
        <v>478</v>
      </c>
      <c r="G7815" s="570"/>
      <c r="H7815" s="570"/>
      <c r="I7815" s="570"/>
      <c r="J7815" s="570"/>
      <c r="K7815" s="570"/>
    </row>
    <row r="7816" ht="13.75" customHeight="1">
      <c r="A7816" s="833">
        <v>387</v>
      </c>
      <c r="B7816" t="s" s="834">
        <v>4959</v>
      </c>
      <c r="C7816" t="s" s="834">
        <v>2718</v>
      </c>
      <c r="D7816" s="835">
        <v>46029</v>
      </c>
      <c r="E7816" t="s" s="834">
        <v>478</v>
      </c>
      <c r="F7816" t="s" s="834">
        <v>478</v>
      </c>
      <c r="G7816" s="570"/>
      <c r="H7816" s="570"/>
      <c r="I7816" s="570"/>
      <c r="J7816" s="570"/>
      <c r="K7816" s="570"/>
    </row>
    <row r="7817" ht="13.75" customHeight="1">
      <c r="A7817" s="833">
        <v>387</v>
      </c>
      <c r="B7817" t="s" s="834">
        <v>4959</v>
      </c>
      <c r="C7817" t="s" s="834">
        <v>2718</v>
      </c>
      <c r="D7817" s="835">
        <v>46030</v>
      </c>
      <c r="E7817" t="s" s="834">
        <v>478</v>
      </c>
      <c r="F7817" t="s" s="834">
        <v>478</v>
      </c>
      <c r="G7817" s="570"/>
      <c r="H7817" s="570"/>
      <c r="I7817" s="570"/>
      <c r="J7817" s="570"/>
      <c r="K7817" s="570"/>
    </row>
    <row r="7818" ht="13.75" customHeight="1">
      <c r="A7818" s="833">
        <v>387</v>
      </c>
      <c r="B7818" t="s" s="834">
        <v>4959</v>
      </c>
      <c r="C7818" t="s" s="834">
        <v>2718</v>
      </c>
      <c r="D7818" s="835">
        <v>46031</v>
      </c>
      <c r="E7818" t="s" s="834">
        <v>478</v>
      </c>
      <c r="F7818" t="s" s="834">
        <v>478</v>
      </c>
      <c r="G7818" s="570"/>
      <c r="H7818" s="570"/>
      <c r="I7818" s="570"/>
      <c r="J7818" s="570"/>
      <c r="K7818" s="570"/>
    </row>
    <row r="7819" ht="13.75" customHeight="1">
      <c r="A7819" s="833">
        <v>387</v>
      </c>
      <c r="B7819" t="s" s="834">
        <v>4959</v>
      </c>
      <c r="C7819" t="s" s="834">
        <v>2718</v>
      </c>
      <c r="D7819" s="835">
        <v>46032</v>
      </c>
      <c r="E7819" t="s" s="834">
        <v>478</v>
      </c>
      <c r="F7819" t="s" s="834">
        <v>478</v>
      </c>
      <c r="G7819" s="570"/>
      <c r="H7819" s="570"/>
      <c r="I7819" s="570"/>
      <c r="J7819" s="570"/>
      <c r="K7819" s="570"/>
    </row>
    <row r="7820" ht="13.75" customHeight="1">
      <c r="A7820" s="833">
        <v>387</v>
      </c>
      <c r="B7820" t="s" s="834">
        <v>4959</v>
      </c>
      <c r="C7820" t="s" s="834">
        <v>2718</v>
      </c>
      <c r="D7820" s="835">
        <v>46033</v>
      </c>
      <c r="E7820" t="s" s="834">
        <v>478</v>
      </c>
      <c r="F7820" t="s" s="834">
        <v>478</v>
      </c>
      <c r="G7820" s="570"/>
      <c r="H7820" s="570"/>
      <c r="I7820" s="570"/>
      <c r="J7820" s="570"/>
      <c r="K7820" s="570"/>
    </row>
    <row r="7821" ht="13.75" customHeight="1">
      <c r="A7821" s="833">
        <v>387</v>
      </c>
      <c r="B7821" t="s" s="834">
        <v>4959</v>
      </c>
      <c r="C7821" t="s" s="834">
        <v>2718</v>
      </c>
      <c r="D7821" s="835">
        <v>46034</v>
      </c>
      <c r="E7821" t="s" s="834">
        <v>478</v>
      </c>
      <c r="F7821" t="s" s="834">
        <v>478</v>
      </c>
      <c r="G7821" s="570"/>
      <c r="H7821" s="570"/>
      <c r="I7821" s="570"/>
      <c r="J7821" s="570"/>
      <c r="K7821" s="570"/>
    </row>
    <row r="7822" ht="13.75" customHeight="1">
      <c r="A7822" s="833">
        <v>387</v>
      </c>
      <c r="B7822" t="s" s="834">
        <v>4959</v>
      </c>
      <c r="C7822" t="s" s="834">
        <v>2718</v>
      </c>
      <c r="D7822" s="835">
        <v>46035</v>
      </c>
      <c r="E7822" t="s" s="834">
        <v>478</v>
      </c>
      <c r="F7822" t="s" s="834">
        <v>478</v>
      </c>
      <c r="G7822" s="570"/>
      <c r="H7822" s="570"/>
      <c r="I7822" s="570"/>
      <c r="J7822" s="570"/>
      <c r="K7822" s="570"/>
    </row>
    <row r="7823" ht="13.75" customHeight="1">
      <c r="A7823" s="833">
        <v>387</v>
      </c>
      <c r="B7823" t="s" s="834">
        <v>4959</v>
      </c>
      <c r="C7823" t="s" s="834">
        <v>2718</v>
      </c>
      <c r="D7823" s="835">
        <v>46036</v>
      </c>
      <c r="E7823" t="s" s="834">
        <v>478</v>
      </c>
      <c r="F7823" t="s" s="834">
        <v>478</v>
      </c>
      <c r="G7823" s="570"/>
      <c r="H7823" s="570"/>
      <c r="I7823" s="570"/>
      <c r="J7823" s="570"/>
      <c r="K7823" s="570"/>
    </row>
    <row r="7824" ht="13.75" customHeight="1">
      <c r="A7824" s="833">
        <v>387</v>
      </c>
      <c r="B7824" t="s" s="834">
        <v>4959</v>
      </c>
      <c r="C7824" t="s" s="834">
        <v>2718</v>
      </c>
      <c r="D7824" s="835">
        <v>46037</v>
      </c>
      <c r="E7824" t="s" s="834">
        <v>478</v>
      </c>
      <c r="F7824" t="s" s="834">
        <v>478</v>
      </c>
      <c r="G7824" s="570"/>
      <c r="H7824" s="570"/>
      <c r="I7824" s="570"/>
      <c r="J7824" s="570"/>
      <c r="K7824" s="570"/>
    </row>
    <row r="7825" ht="13.75" customHeight="1">
      <c r="A7825" s="833">
        <v>387</v>
      </c>
      <c r="B7825" t="s" s="834">
        <v>4959</v>
      </c>
      <c r="C7825" t="s" s="834">
        <v>2718</v>
      </c>
      <c r="D7825" s="835">
        <v>46038</v>
      </c>
      <c r="E7825" t="s" s="834">
        <v>478</v>
      </c>
      <c r="F7825" t="s" s="834">
        <v>478</v>
      </c>
      <c r="G7825" s="570"/>
      <c r="H7825" s="570"/>
      <c r="I7825" s="570"/>
      <c r="J7825" s="570"/>
      <c r="K7825" s="570"/>
    </row>
    <row r="7826" ht="13.75" customHeight="1">
      <c r="A7826" s="833">
        <v>387</v>
      </c>
      <c r="B7826" t="s" s="834">
        <v>4959</v>
      </c>
      <c r="C7826" t="s" s="834">
        <v>2718</v>
      </c>
      <c r="D7826" s="835">
        <v>46039</v>
      </c>
      <c r="E7826" t="s" s="834">
        <v>478</v>
      </c>
      <c r="F7826" t="s" s="834">
        <v>478</v>
      </c>
      <c r="G7826" s="570"/>
      <c r="H7826" s="570"/>
      <c r="I7826" s="570"/>
      <c r="J7826" s="570"/>
      <c r="K7826" s="570"/>
    </row>
    <row r="7827" ht="13.75" customHeight="1">
      <c r="A7827" s="833">
        <v>387</v>
      </c>
      <c r="B7827" t="s" s="834">
        <v>4959</v>
      </c>
      <c r="C7827" t="s" s="834">
        <v>2718</v>
      </c>
      <c r="D7827" s="835">
        <v>46040</v>
      </c>
      <c r="E7827" t="s" s="834">
        <v>478</v>
      </c>
      <c r="F7827" t="s" s="834">
        <v>478</v>
      </c>
      <c r="G7827" s="570"/>
      <c r="H7827" s="570"/>
      <c r="I7827" s="570"/>
      <c r="J7827" s="570"/>
      <c r="K7827" s="570"/>
    </row>
    <row r="7828" ht="13.75" customHeight="1">
      <c r="A7828" s="833">
        <v>387</v>
      </c>
      <c r="B7828" t="s" s="834">
        <v>4959</v>
      </c>
      <c r="C7828" t="s" s="834">
        <v>2718</v>
      </c>
      <c r="D7828" s="835">
        <v>46041</v>
      </c>
      <c r="E7828" t="s" s="834">
        <v>478</v>
      </c>
      <c r="F7828" t="s" s="834">
        <v>478</v>
      </c>
      <c r="G7828" s="570"/>
      <c r="H7828" s="570"/>
      <c r="I7828" s="570"/>
      <c r="J7828" s="570"/>
      <c r="K7828" s="570"/>
    </row>
    <row r="7829" ht="13.75" customHeight="1">
      <c r="A7829" s="833">
        <v>387</v>
      </c>
      <c r="B7829" t="s" s="834">
        <v>4959</v>
      </c>
      <c r="C7829" t="s" s="834">
        <v>2718</v>
      </c>
      <c r="D7829" s="835">
        <v>46042</v>
      </c>
      <c r="E7829" t="s" s="834">
        <v>478</v>
      </c>
      <c r="F7829" t="s" s="834">
        <v>478</v>
      </c>
      <c r="G7829" s="570"/>
      <c r="H7829" s="570"/>
      <c r="I7829" s="570"/>
      <c r="J7829" s="570"/>
      <c r="K7829" s="570"/>
    </row>
    <row r="7830" ht="13.75" customHeight="1">
      <c r="A7830" s="833">
        <v>387</v>
      </c>
      <c r="B7830" t="s" s="834">
        <v>4959</v>
      </c>
      <c r="C7830" t="s" s="834">
        <v>2718</v>
      </c>
      <c r="D7830" s="835">
        <v>46043</v>
      </c>
      <c r="E7830" t="s" s="834">
        <v>478</v>
      </c>
      <c r="F7830" t="s" s="834">
        <v>478</v>
      </c>
      <c r="G7830" s="570"/>
      <c r="H7830" s="570"/>
      <c r="I7830" s="570"/>
      <c r="J7830" s="570"/>
      <c r="K7830" s="570"/>
    </row>
    <row r="7831" ht="13.75" customHeight="1">
      <c r="A7831" s="833">
        <v>387</v>
      </c>
      <c r="B7831" t="s" s="834">
        <v>4959</v>
      </c>
      <c r="C7831" t="s" s="834">
        <v>2718</v>
      </c>
      <c r="D7831" s="835">
        <v>46044</v>
      </c>
      <c r="E7831" t="s" s="834">
        <v>478</v>
      </c>
      <c r="F7831" t="s" s="834">
        <v>478</v>
      </c>
      <c r="G7831" s="570"/>
      <c r="H7831" s="570"/>
      <c r="I7831" s="570"/>
      <c r="J7831" s="570"/>
      <c r="K7831" s="570"/>
    </row>
    <row r="7832" ht="13.75" customHeight="1">
      <c r="A7832" s="833">
        <v>387</v>
      </c>
      <c r="B7832" t="s" s="834">
        <v>4959</v>
      </c>
      <c r="C7832" t="s" s="834">
        <v>2718</v>
      </c>
      <c r="D7832" s="835">
        <v>46045</v>
      </c>
      <c r="E7832" t="s" s="834">
        <v>478</v>
      </c>
      <c r="F7832" t="s" s="834">
        <v>478</v>
      </c>
      <c r="G7832" s="570"/>
      <c r="H7832" s="570"/>
      <c r="I7832" s="570"/>
      <c r="J7832" s="570"/>
      <c r="K7832" s="570"/>
    </row>
    <row r="7833" ht="13.75" customHeight="1">
      <c r="A7833" s="833">
        <v>387</v>
      </c>
      <c r="B7833" t="s" s="834">
        <v>4959</v>
      </c>
      <c r="C7833" t="s" s="834">
        <v>2718</v>
      </c>
      <c r="D7833" s="835">
        <v>46046</v>
      </c>
      <c r="E7833" t="s" s="834">
        <v>478</v>
      </c>
      <c r="F7833" t="s" s="834">
        <v>478</v>
      </c>
      <c r="G7833" s="570"/>
      <c r="H7833" s="570"/>
      <c r="I7833" s="570"/>
      <c r="J7833" s="570"/>
      <c r="K7833" s="570"/>
    </row>
    <row r="7834" ht="13.75" customHeight="1">
      <c r="A7834" s="833">
        <v>387</v>
      </c>
      <c r="B7834" t="s" s="834">
        <v>4959</v>
      </c>
      <c r="C7834" t="s" s="834">
        <v>2718</v>
      </c>
      <c r="D7834" s="835">
        <v>46047</v>
      </c>
      <c r="E7834" t="s" s="834">
        <v>478</v>
      </c>
      <c r="F7834" t="s" s="834">
        <v>478</v>
      </c>
      <c r="G7834" s="570"/>
      <c r="H7834" s="570"/>
      <c r="I7834" s="570"/>
      <c r="J7834" s="570"/>
      <c r="K7834" s="570"/>
    </row>
    <row r="7835" ht="13.75" customHeight="1">
      <c r="A7835" s="833">
        <v>387</v>
      </c>
      <c r="B7835" t="s" s="834">
        <v>4959</v>
      </c>
      <c r="C7835" t="s" s="834">
        <v>2718</v>
      </c>
      <c r="D7835" s="835">
        <v>46048</v>
      </c>
      <c r="E7835" t="s" s="834">
        <v>478</v>
      </c>
      <c r="F7835" t="s" s="834">
        <v>478</v>
      </c>
      <c r="G7835" s="570"/>
      <c r="H7835" s="570"/>
      <c r="I7835" s="570"/>
      <c r="J7835" s="570"/>
      <c r="K7835" s="570"/>
    </row>
    <row r="7836" ht="13.75" customHeight="1">
      <c r="A7836" s="833">
        <v>387</v>
      </c>
      <c r="B7836" t="s" s="834">
        <v>4959</v>
      </c>
      <c r="C7836" t="s" s="834">
        <v>2718</v>
      </c>
      <c r="D7836" s="835">
        <v>46049</v>
      </c>
      <c r="E7836" t="s" s="834">
        <v>478</v>
      </c>
      <c r="F7836" t="s" s="834">
        <v>478</v>
      </c>
      <c r="G7836" s="570"/>
      <c r="H7836" s="570"/>
      <c r="I7836" s="570"/>
      <c r="J7836" s="570"/>
      <c r="K7836" s="570"/>
    </row>
    <row r="7837" ht="13.75" customHeight="1">
      <c r="A7837" s="833">
        <v>387</v>
      </c>
      <c r="B7837" t="s" s="834">
        <v>4959</v>
      </c>
      <c r="C7837" t="s" s="834">
        <v>2718</v>
      </c>
      <c r="D7837" s="835">
        <v>46050</v>
      </c>
      <c r="E7837" t="s" s="834">
        <v>478</v>
      </c>
      <c r="F7837" t="s" s="834">
        <v>478</v>
      </c>
      <c r="G7837" s="570"/>
      <c r="H7837" s="570"/>
      <c r="I7837" s="570"/>
      <c r="J7837" s="570"/>
      <c r="K7837" s="570"/>
    </row>
    <row r="7838" ht="13.75" customHeight="1">
      <c r="A7838" s="833">
        <v>387</v>
      </c>
      <c r="B7838" t="s" s="834">
        <v>4959</v>
      </c>
      <c r="C7838" t="s" s="834">
        <v>2718</v>
      </c>
      <c r="D7838" s="835">
        <v>46051</v>
      </c>
      <c r="E7838" t="s" s="834">
        <v>478</v>
      </c>
      <c r="F7838" t="s" s="834">
        <v>478</v>
      </c>
      <c r="G7838" s="570"/>
      <c r="H7838" s="570"/>
      <c r="I7838" s="570"/>
      <c r="J7838" s="570"/>
      <c r="K7838" s="570"/>
    </row>
    <row r="7839" ht="13.75" customHeight="1">
      <c r="A7839" s="833">
        <v>387</v>
      </c>
      <c r="B7839" t="s" s="834">
        <v>4959</v>
      </c>
      <c r="C7839" t="s" s="834">
        <v>2718</v>
      </c>
      <c r="D7839" s="835">
        <v>46052</v>
      </c>
      <c r="E7839" t="s" s="834">
        <v>478</v>
      </c>
      <c r="F7839" t="s" s="834">
        <v>478</v>
      </c>
      <c r="G7839" s="570"/>
      <c r="H7839" s="570"/>
      <c r="I7839" s="570"/>
      <c r="J7839" s="570"/>
      <c r="K7839" s="570"/>
    </row>
    <row r="7840" ht="13.75" customHeight="1">
      <c r="A7840" s="833">
        <v>387</v>
      </c>
      <c r="B7840" t="s" s="834">
        <v>4959</v>
      </c>
      <c r="C7840" t="s" s="834">
        <v>2718</v>
      </c>
      <c r="D7840" s="835">
        <v>46053</v>
      </c>
      <c r="E7840" t="s" s="834">
        <v>478</v>
      </c>
      <c r="F7840" t="s" s="834">
        <v>478</v>
      </c>
      <c r="G7840" s="570"/>
      <c r="H7840" s="570"/>
      <c r="I7840" s="570"/>
      <c r="J7840" s="570"/>
      <c r="K7840" s="570"/>
    </row>
    <row r="7841" ht="13.75" customHeight="1">
      <c r="A7841" s="833">
        <v>387</v>
      </c>
      <c r="B7841" t="s" s="834">
        <v>4959</v>
      </c>
      <c r="C7841" t="s" s="834">
        <v>2718</v>
      </c>
      <c r="D7841" s="835">
        <v>46054</v>
      </c>
      <c r="E7841" t="s" s="834">
        <v>478</v>
      </c>
      <c r="F7841" t="s" s="834">
        <v>478</v>
      </c>
      <c r="G7841" s="570"/>
      <c r="H7841" s="570"/>
      <c r="I7841" s="570"/>
      <c r="J7841" s="570"/>
      <c r="K7841" s="570"/>
    </row>
    <row r="7842" ht="13.75" customHeight="1">
      <c r="A7842" s="833">
        <v>388</v>
      </c>
      <c r="B7842" t="s" s="834">
        <v>4961</v>
      </c>
      <c r="C7842" t="s" s="834">
        <v>2718</v>
      </c>
      <c r="D7842" s="835">
        <v>46023</v>
      </c>
      <c r="E7842" t="s" s="834">
        <v>478</v>
      </c>
      <c r="F7842" t="s" s="834">
        <v>478</v>
      </c>
      <c r="G7842" s="570"/>
      <c r="H7842" s="570"/>
      <c r="I7842" s="570"/>
      <c r="J7842" s="570"/>
      <c r="K7842" s="570"/>
    </row>
    <row r="7843" ht="13.75" customHeight="1">
      <c r="A7843" s="833">
        <v>388</v>
      </c>
      <c r="B7843" t="s" s="834">
        <v>4961</v>
      </c>
      <c r="C7843" t="s" s="834">
        <v>2718</v>
      </c>
      <c r="D7843" s="835">
        <v>46024</v>
      </c>
      <c r="E7843" t="s" s="834">
        <v>478</v>
      </c>
      <c r="F7843" t="s" s="834">
        <v>478</v>
      </c>
      <c r="G7843" s="570"/>
      <c r="H7843" s="570"/>
      <c r="I7843" s="570"/>
      <c r="J7843" s="570"/>
      <c r="K7843" s="570"/>
    </row>
    <row r="7844" ht="13.75" customHeight="1">
      <c r="A7844" s="833">
        <v>388</v>
      </c>
      <c r="B7844" t="s" s="834">
        <v>4961</v>
      </c>
      <c r="C7844" t="s" s="834">
        <v>2718</v>
      </c>
      <c r="D7844" s="835">
        <v>46025</v>
      </c>
      <c r="E7844" t="s" s="834">
        <v>478</v>
      </c>
      <c r="F7844" t="s" s="834">
        <v>478</v>
      </c>
      <c r="G7844" s="570"/>
      <c r="H7844" s="570"/>
      <c r="I7844" s="570"/>
      <c r="J7844" s="570"/>
      <c r="K7844" s="570"/>
    </row>
    <row r="7845" ht="13.75" customHeight="1">
      <c r="A7845" s="833">
        <v>388</v>
      </c>
      <c r="B7845" t="s" s="834">
        <v>4961</v>
      </c>
      <c r="C7845" t="s" s="834">
        <v>2718</v>
      </c>
      <c r="D7845" s="835">
        <v>46026</v>
      </c>
      <c r="E7845" t="s" s="834">
        <v>478</v>
      </c>
      <c r="F7845" t="s" s="834">
        <v>478</v>
      </c>
      <c r="G7845" s="570"/>
      <c r="H7845" s="570"/>
      <c r="I7845" s="570"/>
      <c r="J7845" s="570"/>
      <c r="K7845" s="570"/>
    </row>
    <row r="7846" ht="13.75" customHeight="1">
      <c r="A7846" s="833">
        <v>388</v>
      </c>
      <c r="B7846" t="s" s="834">
        <v>4961</v>
      </c>
      <c r="C7846" t="s" s="834">
        <v>2718</v>
      </c>
      <c r="D7846" s="835">
        <v>46027</v>
      </c>
      <c r="E7846" s="836">
        <v>1.493518518518518</v>
      </c>
      <c r="F7846" s="836">
        <v>1.679988425925926</v>
      </c>
      <c r="G7846" s="570"/>
      <c r="H7846" s="570"/>
      <c r="I7846" s="570"/>
      <c r="J7846" s="570"/>
      <c r="K7846" s="570"/>
    </row>
    <row r="7847" ht="13.75" customHeight="1">
      <c r="A7847" t="s" s="834">
        <v>4962</v>
      </c>
      <c r="B7847" t="s" s="834">
        <v>4963</v>
      </c>
      <c r="C7847" t="s" s="834">
        <v>1957</v>
      </c>
      <c r="D7847" s="570"/>
      <c r="E7847" s="570"/>
      <c r="F7847" s="570"/>
      <c r="G7847" s="570"/>
      <c r="H7847" s="570"/>
      <c r="I7847" s="570"/>
      <c r="J7847" s="570"/>
      <c r="K7847" s="570"/>
    </row>
    <row r="7848" ht="13.75" customHeight="1">
      <c r="A7848" s="833">
        <v>388</v>
      </c>
      <c r="B7848" t="s" s="834">
        <v>4961</v>
      </c>
      <c r="C7848" t="s" s="834">
        <v>2718</v>
      </c>
      <c r="D7848" s="835">
        <v>46028</v>
      </c>
      <c r="E7848" t="s" s="834">
        <v>478</v>
      </c>
      <c r="F7848" t="s" s="834">
        <v>478</v>
      </c>
      <c r="G7848" s="570"/>
      <c r="H7848" s="570"/>
      <c r="I7848" s="570"/>
      <c r="J7848" s="570"/>
      <c r="K7848" s="570"/>
    </row>
    <row r="7849" ht="13.75" customHeight="1">
      <c r="A7849" s="833">
        <v>388</v>
      </c>
      <c r="B7849" t="s" s="834">
        <v>4961</v>
      </c>
      <c r="C7849" t="s" s="834">
        <v>2718</v>
      </c>
      <c r="D7849" s="835">
        <v>46029</v>
      </c>
      <c r="E7849" t="s" s="834">
        <v>478</v>
      </c>
      <c r="F7849" t="s" s="834">
        <v>478</v>
      </c>
      <c r="G7849" s="570"/>
      <c r="H7849" s="570"/>
      <c r="I7849" s="570"/>
      <c r="J7849" s="570"/>
      <c r="K7849" s="570"/>
    </row>
    <row r="7850" ht="13.75" customHeight="1">
      <c r="A7850" s="833">
        <v>388</v>
      </c>
      <c r="B7850" t="s" s="834">
        <v>4961</v>
      </c>
      <c r="C7850" t="s" s="834">
        <v>2718</v>
      </c>
      <c r="D7850" s="835">
        <v>46030</v>
      </c>
      <c r="E7850" t="s" s="834">
        <v>478</v>
      </c>
      <c r="F7850" t="s" s="834">
        <v>478</v>
      </c>
      <c r="G7850" s="570"/>
      <c r="H7850" s="570"/>
      <c r="I7850" s="570"/>
      <c r="J7850" s="570"/>
      <c r="K7850" s="570"/>
    </row>
    <row r="7851" ht="13.75" customHeight="1">
      <c r="A7851" s="833">
        <v>388</v>
      </c>
      <c r="B7851" t="s" s="834">
        <v>4961</v>
      </c>
      <c r="C7851" t="s" s="834">
        <v>2718</v>
      </c>
      <c r="D7851" s="835">
        <v>46031</v>
      </c>
      <c r="E7851" t="s" s="834">
        <v>478</v>
      </c>
      <c r="F7851" t="s" s="834">
        <v>478</v>
      </c>
      <c r="G7851" s="570"/>
      <c r="H7851" s="570"/>
      <c r="I7851" s="570"/>
      <c r="J7851" s="570"/>
      <c r="K7851" s="570"/>
    </row>
    <row r="7852" ht="13.75" customHeight="1">
      <c r="A7852" s="833">
        <v>388</v>
      </c>
      <c r="B7852" t="s" s="834">
        <v>4961</v>
      </c>
      <c r="C7852" t="s" s="834">
        <v>2718</v>
      </c>
      <c r="D7852" s="835">
        <v>46032</v>
      </c>
      <c r="E7852" t="s" s="834">
        <v>478</v>
      </c>
      <c r="F7852" t="s" s="834">
        <v>478</v>
      </c>
      <c r="G7852" s="570"/>
      <c r="H7852" s="570"/>
      <c r="I7852" s="570"/>
      <c r="J7852" s="570"/>
      <c r="K7852" s="570"/>
    </row>
    <row r="7853" ht="13.75" customHeight="1">
      <c r="A7853" s="833">
        <v>388</v>
      </c>
      <c r="B7853" t="s" s="834">
        <v>4961</v>
      </c>
      <c r="C7853" t="s" s="834">
        <v>2718</v>
      </c>
      <c r="D7853" s="835">
        <v>46033</v>
      </c>
      <c r="E7853" t="s" s="834">
        <v>478</v>
      </c>
      <c r="F7853" t="s" s="834">
        <v>478</v>
      </c>
      <c r="G7853" s="570"/>
      <c r="H7853" s="570"/>
      <c r="I7853" s="570"/>
      <c r="J7853" s="570"/>
      <c r="K7853" s="570"/>
    </row>
    <row r="7854" ht="13.75" customHeight="1">
      <c r="A7854" s="833">
        <v>388</v>
      </c>
      <c r="B7854" t="s" s="834">
        <v>4961</v>
      </c>
      <c r="C7854" t="s" s="834">
        <v>2718</v>
      </c>
      <c r="D7854" s="835">
        <v>46034</v>
      </c>
      <c r="E7854" s="836">
        <v>1.711631944444445</v>
      </c>
      <c r="F7854" t="s" s="834">
        <v>478</v>
      </c>
      <c r="G7854" s="570"/>
      <c r="H7854" s="570"/>
      <c r="I7854" s="570"/>
      <c r="J7854" s="570"/>
      <c r="K7854" s="570"/>
    </row>
    <row r="7855" ht="13.75" customHeight="1">
      <c r="A7855" t="s" s="834">
        <v>4964</v>
      </c>
      <c r="B7855" t="s" s="834">
        <v>485</v>
      </c>
      <c r="C7855" t="s" s="834">
        <v>486</v>
      </c>
      <c r="D7855" s="570"/>
      <c r="E7855" s="570"/>
      <c r="F7855" s="570"/>
      <c r="G7855" s="570"/>
      <c r="H7855" s="570"/>
      <c r="I7855" s="570"/>
      <c r="J7855" s="570"/>
      <c r="K7855" s="570"/>
    </row>
    <row r="7856" ht="13.75" customHeight="1">
      <c r="A7856" s="833">
        <v>388</v>
      </c>
      <c r="B7856" t="s" s="834">
        <v>4961</v>
      </c>
      <c r="C7856" t="s" s="834">
        <v>2718</v>
      </c>
      <c r="D7856" s="835">
        <v>46035</v>
      </c>
      <c r="E7856" t="s" s="834">
        <v>478</v>
      </c>
      <c r="F7856" t="s" s="834">
        <v>478</v>
      </c>
      <c r="G7856" s="570"/>
      <c r="H7856" s="570"/>
      <c r="I7856" s="570"/>
      <c r="J7856" s="570"/>
      <c r="K7856" s="570"/>
    </row>
    <row r="7857" ht="13.75" customHeight="1">
      <c r="A7857" s="833">
        <v>388</v>
      </c>
      <c r="B7857" t="s" s="834">
        <v>4961</v>
      </c>
      <c r="C7857" t="s" s="834">
        <v>2718</v>
      </c>
      <c r="D7857" s="835">
        <v>46036</v>
      </c>
      <c r="E7857" t="s" s="834">
        <v>478</v>
      </c>
      <c r="F7857" t="s" s="834">
        <v>478</v>
      </c>
      <c r="G7857" s="570"/>
      <c r="H7857" s="570"/>
      <c r="I7857" s="570"/>
      <c r="J7857" s="570"/>
      <c r="K7857" s="570"/>
    </row>
    <row r="7858" ht="13.75" customHeight="1">
      <c r="A7858" s="833">
        <v>388</v>
      </c>
      <c r="B7858" t="s" s="834">
        <v>4961</v>
      </c>
      <c r="C7858" t="s" s="834">
        <v>2718</v>
      </c>
      <c r="D7858" s="835">
        <v>46037</v>
      </c>
      <c r="E7858" t="s" s="834">
        <v>478</v>
      </c>
      <c r="F7858" t="s" s="834">
        <v>478</v>
      </c>
      <c r="G7858" s="570"/>
      <c r="H7858" s="570"/>
      <c r="I7858" s="570"/>
      <c r="J7858" s="570"/>
      <c r="K7858" s="570"/>
    </row>
    <row r="7859" ht="13.75" customHeight="1">
      <c r="A7859" s="833">
        <v>388</v>
      </c>
      <c r="B7859" t="s" s="834">
        <v>4961</v>
      </c>
      <c r="C7859" t="s" s="834">
        <v>2718</v>
      </c>
      <c r="D7859" s="835">
        <v>46038</v>
      </c>
      <c r="E7859" t="s" s="834">
        <v>478</v>
      </c>
      <c r="F7859" t="s" s="834">
        <v>478</v>
      </c>
      <c r="G7859" s="570"/>
      <c r="H7859" s="570"/>
      <c r="I7859" s="570"/>
      <c r="J7859" s="570"/>
      <c r="K7859" s="570"/>
    </row>
    <row r="7860" ht="13.75" customHeight="1">
      <c r="A7860" s="833">
        <v>388</v>
      </c>
      <c r="B7860" t="s" s="834">
        <v>4961</v>
      </c>
      <c r="C7860" t="s" s="834">
        <v>2718</v>
      </c>
      <c r="D7860" s="835">
        <v>46039</v>
      </c>
      <c r="E7860" t="s" s="834">
        <v>478</v>
      </c>
      <c r="F7860" t="s" s="834">
        <v>478</v>
      </c>
      <c r="G7860" s="570"/>
      <c r="H7860" s="570"/>
      <c r="I7860" s="570"/>
      <c r="J7860" s="570"/>
      <c r="K7860" s="570"/>
    </row>
    <row r="7861" ht="13.75" customHeight="1">
      <c r="A7861" s="833">
        <v>388</v>
      </c>
      <c r="B7861" t="s" s="834">
        <v>4961</v>
      </c>
      <c r="C7861" t="s" s="834">
        <v>2718</v>
      </c>
      <c r="D7861" s="835">
        <v>46040</v>
      </c>
      <c r="E7861" t="s" s="834">
        <v>478</v>
      </c>
      <c r="F7861" t="s" s="834">
        <v>478</v>
      </c>
      <c r="G7861" s="570"/>
      <c r="H7861" s="570"/>
      <c r="I7861" s="570"/>
      <c r="J7861" s="570"/>
      <c r="K7861" s="570"/>
    </row>
    <row r="7862" ht="13.75" customHeight="1">
      <c r="A7862" s="833">
        <v>388</v>
      </c>
      <c r="B7862" t="s" s="834">
        <v>4961</v>
      </c>
      <c r="C7862" t="s" s="834">
        <v>2718</v>
      </c>
      <c r="D7862" s="835">
        <v>46041</v>
      </c>
      <c r="E7862" t="s" s="834">
        <v>478</v>
      </c>
      <c r="F7862" t="s" s="834">
        <v>478</v>
      </c>
      <c r="G7862" s="570"/>
      <c r="H7862" s="570"/>
      <c r="I7862" s="570"/>
      <c r="J7862" s="570"/>
      <c r="K7862" s="570"/>
    </row>
    <row r="7863" ht="13.75" customHeight="1">
      <c r="A7863" s="833">
        <v>388</v>
      </c>
      <c r="B7863" t="s" s="834">
        <v>4961</v>
      </c>
      <c r="C7863" t="s" s="834">
        <v>2718</v>
      </c>
      <c r="D7863" s="835">
        <v>46042</v>
      </c>
      <c r="E7863" t="s" s="834">
        <v>478</v>
      </c>
      <c r="F7863" t="s" s="834">
        <v>478</v>
      </c>
      <c r="G7863" s="570"/>
      <c r="H7863" s="570"/>
      <c r="I7863" s="570"/>
      <c r="J7863" s="570"/>
      <c r="K7863" s="570"/>
    </row>
    <row r="7864" ht="13.75" customHeight="1">
      <c r="A7864" s="833">
        <v>388</v>
      </c>
      <c r="B7864" t="s" s="834">
        <v>4961</v>
      </c>
      <c r="C7864" t="s" s="834">
        <v>2718</v>
      </c>
      <c r="D7864" s="835">
        <v>46043</v>
      </c>
      <c r="E7864" t="s" s="834">
        <v>478</v>
      </c>
      <c r="F7864" t="s" s="834">
        <v>478</v>
      </c>
      <c r="G7864" s="570"/>
      <c r="H7864" s="570"/>
      <c r="I7864" s="570"/>
      <c r="J7864" s="570"/>
      <c r="K7864" s="570"/>
    </row>
    <row r="7865" ht="13.75" customHeight="1">
      <c r="A7865" s="833">
        <v>388</v>
      </c>
      <c r="B7865" t="s" s="834">
        <v>4961</v>
      </c>
      <c r="C7865" t="s" s="834">
        <v>2718</v>
      </c>
      <c r="D7865" s="835">
        <v>46044</v>
      </c>
      <c r="E7865" t="s" s="834">
        <v>478</v>
      </c>
      <c r="F7865" t="s" s="834">
        <v>478</v>
      </c>
      <c r="G7865" s="570"/>
      <c r="H7865" s="570"/>
      <c r="I7865" s="570"/>
      <c r="J7865" s="570"/>
      <c r="K7865" s="570"/>
    </row>
    <row r="7866" ht="13.75" customHeight="1">
      <c r="A7866" s="833">
        <v>388</v>
      </c>
      <c r="B7866" t="s" s="834">
        <v>4961</v>
      </c>
      <c r="C7866" t="s" s="834">
        <v>2718</v>
      </c>
      <c r="D7866" s="835">
        <v>46045</v>
      </c>
      <c r="E7866" t="s" s="834">
        <v>478</v>
      </c>
      <c r="F7866" t="s" s="834">
        <v>478</v>
      </c>
      <c r="G7866" s="570"/>
      <c r="H7866" s="570"/>
      <c r="I7866" s="570"/>
      <c r="J7866" s="570"/>
      <c r="K7866" s="570"/>
    </row>
    <row r="7867" ht="13.75" customHeight="1">
      <c r="A7867" s="833">
        <v>388</v>
      </c>
      <c r="B7867" t="s" s="834">
        <v>4961</v>
      </c>
      <c r="C7867" t="s" s="834">
        <v>2718</v>
      </c>
      <c r="D7867" s="835">
        <v>46046</v>
      </c>
      <c r="E7867" t="s" s="834">
        <v>478</v>
      </c>
      <c r="F7867" t="s" s="834">
        <v>478</v>
      </c>
      <c r="G7867" s="570"/>
      <c r="H7867" s="570"/>
      <c r="I7867" s="570"/>
      <c r="J7867" s="570"/>
      <c r="K7867" s="570"/>
    </row>
    <row r="7868" ht="13.75" customHeight="1">
      <c r="A7868" s="833">
        <v>388</v>
      </c>
      <c r="B7868" t="s" s="834">
        <v>4961</v>
      </c>
      <c r="C7868" t="s" s="834">
        <v>2718</v>
      </c>
      <c r="D7868" s="835">
        <v>46047</v>
      </c>
      <c r="E7868" t="s" s="834">
        <v>478</v>
      </c>
      <c r="F7868" t="s" s="834">
        <v>478</v>
      </c>
      <c r="G7868" s="570"/>
      <c r="H7868" s="570"/>
      <c r="I7868" s="570"/>
      <c r="J7868" s="570"/>
      <c r="K7868" s="570"/>
    </row>
    <row r="7869" ht="13.75" customHeight="1">
      <c r="A7869" s="833">
        <v>388</v>
      </c>
      <c r="B7869" t="s" s="834">
        <v>4961</v>
      </c>
      <c r="C7869" t="s" s="834">
        <v>2718</v>
      </c>
      <c r="D7869" s="835">
        <v>46048</v>
      </c>
      <c r="E7869" t="s" s="834">
        <v>478</v>
      </c>
      <c r="F7869" t="s" s="834">
        <v>478</v>
      </c>
      <c r="G7869" s="570"/>
      <c r="H7869" s="570"/>
      <c r="I7869" s="570"/>
      <c r="J7869" s="570"/>
      <c r="K7869" s="570"/>
    </row>
    <row r="7870" ht="13.75" customHeight="1">
      <c r="A7870" s="833">
        <v>388</v>
      </c>
      <c r="B7870" t="s" s="834">
        <v>4961</v>
      </c>
      <c r="C7870" t="s" s="834">
        <v>2718</v>
      </c>
      <c r="D7870" s="835">
        <v>46049</v>
      </c>
      <c r="E7870" t="s" s="834">
        <v>478</v>
      </c>
      <c r="F7870" t="s" s="834">
        <v>478</v>
      </c>
      <c r="G7870" s="570"/>
      <c r="H7870" s="570"/>
      <c r="I7870" s="570"/>
      <c r="J7870" s="570"/>
      <c r="K7870" s="570"/>
    </row>
    <row r="7871" ht="13.75" customHeight="1">
      <c r="A7871" s="833">
        <v>388</v>
      </c>
      <c r="B7871" t="s" s="834">
        <v>4961</v>
      </c>
      <c r="C7871" t="s" s="834">
        <v>2718</v>
      </c>
      <c r="D7871" s="835">
        <v>46050</v>
      </c>
      <c r="E7871" t="s" s="834">
        <v>478</v>
      </c>
      <c r="F7871" t="s" s="834">
        <v>478</v>
      </c>
      <c r="G7871" s="570"/>
      <c r="H7871" s="570"/>
      <c r="I7871" s="570"/>
      <c r="J7871" s="570"/>
      <c r="K7871" s="570"/>
    </row>
    <row r="7872" ht="13.75" customHeight="1">
      <c r="A7872" s="833">
        <v>388</v>
      </c>
      <c r="B7872" t="s" s="834">
        <v>4961</v>
      </c>
      <c r="C7872" t="s" s="834">
        <v>2718</v>
      </c>
      <c r="D7872" s="835">
        <v>46051</v>
      </c>
      <c r="E7872" t="s" s="834">
        <v>478</v>
      </c>
      <c r="F7872" t="s" s="834">
        <v>478</v>
      </c>
      <c r="G7872" s="570"/>
      <c r="H7872" s="570"/>
      <c r="I7872" s="570"/>
      <c r="J7872" s="570"/>
      <c r="K7872" s="570"/>
    </row>
    <row r="7873" ht="13.75" customHeight="1">
      <c r="A7873" s="833">
        <v>388</v>
      </c>
      <c r="B7873" t="s" s="834">
        <v>4961</v>
      </c>
      <c r="C7873" t="s" s="834">
        <v>2718</v>
      </c>
      <c r="D7873" s="835">
        <v>46052</v>
      </c>
      <c r="E7873" t="s" s="834">
        <v>478</v>
      </c>
      <c r="F7873" t="s" s="834">
        <v>478</v>
      </c>
      <c r="G7873" s="570"/>
      <c r="H7873" s="570"/>
      <c r="I7873" s="570"/>
      <c r="J7873" s="570"/>
      <c r="K7873" s="570"/>
    </row>
    <row r="7874" ht="13.75" customHeight="1">
      <c r="A7874" s="833">
        <v>388</v>
      </c>
      <c r="B7874" t="s" s="834">
        <v>4961</v>
      </c>
      <c r="C7874" t="s" s="834">
        <v>2718</v>
      </c>
      <c r="D7874" s="835">
        <v>46053</v>
      </c>
      <c r="E7874" t="s" s="834">
        <v>478</v>
      </c>
      <c r="F7874" t="s" s="834">
        <v>478</v>
      </c>
      <c r="G7874" s="570"/>
      <c r="H7874" s="570"/>
      <c r="I7874" s="570"/>
      <c r="J7874" s="570"/>
      <c r="K7874" s="570"/>
    </row>
    <row r="7875" ht="13.75" customHeight="1">
      <c r="A7875" s="833">
        <v>388</v>
      </c>
      <c r="B7875" t="s" s="834">
        <v>4961</v>
      </c>
      <c r="C7875" t="s" s="834">
        <v>2718</v>
      </c>
      <c r="D7875" s="835">
        <v>46054</v>
      </c>
      <c r="E7875" t="s" s="834">
        <v>478</v>
      </c>
      <c r="F7875" t="s" s="834">
        <v>478</v>
      </c>
      <c r="G7875" s="570"/>
      <c r="H7875" s="570"/>
      <c r="I7875" s="570"/>
      <c r="J7875" s="570"/>
      <c r="K7875" s="570"/>
    </row>
    <row r="7876" ht="13.75" customHeight="1">
      <c r="A7876" s="833">
        <v>389</v>
      </c>
      <c r="B7876" t="s" s="834">
        <v>4965</v>
      </c>
      <c r="C7876" t="s" s="834">
        <v>2718</v>
      </c>
      <c r="D7876" s="835">
        <v>46023</v>
      </c>
      <c r="E7876" t="s" s="834">
        <v>478</v>
      </c>
      <c r="F7876" t="s" s="834">
        <v>478</v>
      </c>
      <c r="G7876" s="570"/>
      <c r="H7876" s="570"/>
      <c r="I7876" s="570"/>
      <c r="J7876" s="570"/>
      <c r="K7876" s="570"/>
    </row>
    <row r="7877" ht="13.75" customHeight="1">
      <c r="A7877" s="833">
        <v>389</v>
      </c>
      <c r="B7877" t="s" s="834">
        <v>4965</v>
      </c>
      <c r="C7877" t="s" s="834">
        <v>2718</v>
      </c>
      <c r="D7877" s="835">
        <v>46024</v>
      </c>
      <c r="E7877" t="s" s="834">
        <v>478</v>
      </c>
      <c r="F7877" t="s" s="834">
        <v>478</v>
      </c>
      <c r="G7877" s="570"/>
      <c r="H7877" s="570"/>
      <c r="I7877" s="570"/>
      <c r="J7877" s="570"/>
      <c r="K7877" s="570"/>
    </row>
    <row r="7878" ht="13.75" customHeight="1">
      <c r="A7878" s="833">
        <v>389</v>
      </c>
      <c r="B7878" t="s" s="834">
        <v>4965</v>
      </c>
      <c r="C7878" t="s" s="834">
        <v>2718</v>
      </c>
      <c r="D7878" s="835">
        <v>46025</v>
      </c>
      <c r="E7878" t="s" s="834">
        <v>478</v>
      </c>
      <c r="F7878" t="s" s="834">
        <v>478</v>
      </c>
      <c r="G7878" s="570"/>
      <c r="H7878" s="570"/>
      <c r="I7878" s="570"/>
      <c r="J7878" s="570"/>
      <c r="K7878" s="570"/>
    </row>
    <row r="7879" ht="13.75" customHeight="1">
      <c r="A7879" s="833">
        <v>389</v>
      </c>
      <c r="B7879" t="s" s="834">
        <v>4965</v>
      </c>
      <c r="C7879" t="s" s="834">
        <v>2718</v>
      </c>
      <c r="D7879" s="835">
        <v>46026</v>
      </c>
      <c r="E7879" t="s" s="834">
        <v>478</v>
      </c>
      <c r="F7879" t="s" s="834">
        <v>478</v>
      </c>
      <c r="G7879" s="570"/>
      <c r="H7879" s="570"/>
      <c r="I7879" s="570"/>
      <c r="J7879" s="570"/>
      <c r="K7879" s="570"/>
    </row>
    <row r="7880" ht="13.75" customHeight="1">
      <c r="A7880" s="833">
        <v>389</v>
      </c>
      <c r="B7880" t="s" s="834">
        <v>4965</v>
      </c>
      <c r="C7880" t="s" s="834">
        <v>2718</v>
      </c>
      <c r="D7880" s="835">
        <v>46027</v>
      </c>
      <c r="E7880" t="s" s="834">
        <v>478</v>
      </c>
      <c r="F7880" t="s" s="834">
        <v>478</v>
      </c>
      <c r="G7880" s="570"/>
      <c r="H7880" s="570"/>
      <c r="I7880" s="570"/>
      <c r="J7880" s="570"/>
      <c r="K7880" s="570"/>
    </row>
    <row r="7881" ht="13.75" customHeight="1">
      <c r="A7881" s="833">
        <v>389</v>
      </c>
      <c r="B7881" t="s" s="834">
        <v>4965</v>
      </c>
      <c r="C7881" t="s" s="834">
        <v>2718</v>
      </c>
      <c r="D7881" s="835">
        <v>46028</v>
      </c>
      <c r="E7881" t="s" s="834">
        <v>478</v>
      </c>
      <c r="F7881" t="s" s="834">
        <v>478</v>
      </c>
      <c r="G7881" s="570"/>
      <c r="H7881" s="570"/>
      <c r="I7881" s="570"/>
      <c r="J7881" s="570"/>
      <c r="K7881" s="570"/>
    </row>
    <row r="7882" ht="13.75" customHeight="1">
      <c r="A7882" s="833">
        <v>389</v>
      </c>
      <c r="B7882" t="s" s="834">
        <v>4965</v>
      </c>
      <c r="C7882" t="s" s="834">
        <v>2718</v>
      </c>
      <c r="D7882" s="835">
        <v>46029</v>
      </c>
      <c r="E7882" t="s" s="834">
        <v>478</v>
      </c>
      <c r="F7882" t="s" s="834">
        <v>478</v>
      </c>
      <c r="G7882" s="570"/>
      <c r="H7882" s="570"/>
      <c r="I7882" s="570"/>
      <c r="J7882" s="570"/>
      <c r="K7882" s="570"/>
    </row>
    <row r="7883" ht="13.75" customHeight="1">
      <c r="A7883" s="833">
        <v>389</v>
      </c>
      <c r="B7883" t="s" s="834">
        <v>4965</v>
      </c>
      <c r="C7883" t="s" s="834">
        <v>2718</v>
      </c>
      <c r="D7883" s="835">
        <v>46030</v>
      </c>
      <c r="E7883" t="s" s="834">
        <v>478</v>
      </c>
      <c r="F7883" t="s" s="834">
        <v>478</v>
      </c>
      <c r="G7883" s="570"/>
      <c r="H7883" s="570"/>
      <c r="I7883" s="570"/>
      <c r="J7883" s="570"/>
      <c r="K7883" s="570"/>
    </row>
    <row r="7884" ht="13.75" customHeight="1">
      <c r="A7884" s="833">
        <v>389</v>
      </c>
      <c r="B7884" t="s" s="834">
        <v>4965</v>
      </c>
      <c r="C7884" t="s" s="834">
        <v>2718</v>
      </c>
      <c r="D7884" s="835">
        <v>46031</v>
      </c>
      <c r="E7884" t="s" s="834">
        <v>478</v>
      </c>
      <c r="F7884" t="s" s="834">
        <v>478</v>
      </c>
      <c r="G7884" s="570"/>
      <c r="H7884" s="570"/>
      <c r="I7884" s="570"/>
      <c r="J7884" s="570"/>
      <c r="K7884" s="570"/>
    </row>
    <row r="7885" ht="13.75" customHeight="1">
      <c r="A7885" s="833">
        <v>389</v>
      </c>
      <c r="B7885" t="s" s="834">
        <v>4965</v>
      </c>
      <c r="C7885" t="s" s="834">
        <v>2718</v>
      </c>
      <c r="D7885" s="835">
        <v>46032</v>
      </c>
      <c r="E7885" t="s" s="834">
        <v>478</v>
      </c>
      <c r="F7885" t="s" s="834">
        <v>478</v>
      </c>
      <c r="G7885" s="570"/>
      <c r="H7885" s="570"/>
      <c r="I7885" s="570"/>
      <c r="J7885" s="570"/>
      <c r="K7885" s="570"/>
    </row>
    <row r="7886" ht="13.75" customHeight="1">
      <c r="A7886" s="833">
        <v>389</v>
      </c>
      <c r="B7886" t="s" s="834">
        <v>4965</v>
      </c>
      <c r="C7886" t="s" s="834">
        <v>2718</v>
      </c>
      <c r="D7886" s="835">
        <v>46033</v>
      </c>
      <c r="E7886" t="s" s="834">
        <v>478</v>
      </c>
      <c r="F7886" t="s" s="834">
        <v>478</v>
      </c>
      <c r="G7886" s="570"/>
      <c r="H7886" s="570"/>
      <c r="I7886" s="570"/>
      <c r="J7886" s="570"/>
      <c r="K7886" s="570"/>
    </row>
    <row r="7887" ht="13.75" customHeight="1">
      <c r="A7887" s="833">
        <v>389</v>
      </c>
      <c r="B7887" t="s" s="834">
        <v>4965</v>
      </c>
      <c r="C7887" t="s" s="834">
        <v>2718</v>
      </c>
      <c r="D7887" s="835">
        <v>46034</v>
      </c>
      <c r="E7887" t="s" s="834">
        <v>478</v>
      </c>
      <c r="F7887" t="s" s="834">
        <v>478</v>
      </c>
      <c r="G7887" s="570"/>
      <c r="H7887" s="570"/>
      <c r="I7887" s="570"/>
      <c r="J7887" s="570"/>
      <c r="K7887" s="570"/>
    </row>
    <row r="7888" ht="13.75" customHeight="1">
      <c r="A7888" s="833">
        <v>389</v>
      </c>
      <c r="B7888" t="s" s="834">
        <v>4965</v>
      </c>
      <c r="C7888" t="s" s="834">
        <v>2718</v>
      </c>
      <c r="D7888" s="835">
        <v>46035</v>
      </c>
      <c r="E7888" t="s" s="834">
        <v>478</v>
      </c>
      <c r="F7888" t="s" s="834">
        <v>478</v>
      </c>
      <c r="G7888" s="570"/>
      <c r="H7888" s="570"/>
      <c r="I7888" s="570"/>
      <c r="J7888" s="570"/>
      <c r="K7888" s="570"/>
    </row>
    <row r="7889" ht="13.75" customHeight="1">
      <c r="A7889" s="833">
        <v>389</v>
      </c>
      <c r="B7889" t="s" s="834">
        <v>4965</v>
      </c>
      <c r="C7889" t="s" s="834">
        <v>2718</v>
      </c>
      <c r="D7889" s="835">
        <v>46036</v>
      </c>
      <c r="E7889" t="s" s="834">
        <v>478</v>
      </c>
      <c r="F7889" t="s" s="834">
        <v>478</v>
      </c>
      <c r="G7889" s="570"/>
      <c r="H7889" s="570"/>
      <c r="I7889" s="570"/>
      <c r="J7889" s="570"/>
      <c r="K7889" s="570"/>
    </row>
    <row r="7890" ht="13.75" customHeight="1">
      <c r="A7890" s="833">
        <v>389</v>
      </c>
      <c r="B7890" t="s" s="834">
        <v>4965</v>
      </c>
      <c r="C7890" t="s" s="834">
        <v>2718</v>
      </c>
      <c r="D7890" s="835">
        <v>46037</v>
      </c>
      <c r="E7890" t="s" s="834">
        <v>478</v>
      </c>
      <c r="F7890" t="s" s="834">
        <v>478</v>
      </c>
      <c r="G7890" s="570"/>
      <c r="H7890" s="570"/>
      <c r="I7890" s="570"/>
      <c r="J7890" s="570"/>
      <c r="K7890" s="570"/>
    </row>
    <row r="7891" ht="13.75" customHeight="1">
      <c r="A7891" s="833">
        <v>389</v>
      </c>
      <c r="B7891" t="s" s="834">
        <v>4965</v>
      </c>
      <c r="C7891" t="s" s="834">
        <v>2718</v>
      </c>
      <c r="D7891" s="835">
        <v>46038</v>
      </c>
      <c r="E7891" t="s" s="834">
        <v>478</v>
      </c>
      <c r="F7891" t="s" s="834">
        <v>478</v>
      </c>
      <c r="G7891" s="570"/>
      <c r="H7891" s="570"/>
      <c r="I7891" s="570"/>
      <c r="J7891" s="570"/>
      <c r="K7891" s="570"/>
    </row>
    <row r="7892" ht="13.75" customHeight="1">
      <c r="A7892" s="833">
        <v>389</v>
      </c>
      <c r="B7892" t="s" s="834">
        <v>4965</v>
      </c>
      <c r="C7892" t="s" s="834">
        <v>2718</v>
      </c>
      <c r="D7892" s="835">
        <v>46039</v>
      </c>
      <c r="E7892" t="s" s="834">
        <v>478</v>
      </c>
      <c r="F7892" t="s" s="834">
        <v>478</v>
      </c>
      <c r="G7892" s="570"/>
      <c r="H7892" s="570"/>
      <c r="I7892" s="570"/>
      <c r="J7892" s="570"/>
      <c r="K7892" s="570"/>
    </row>
    <row r="7893" ht="13.75" customHeight="1">
      <c r="A7893" s="833">
        <v>389</v>
      </c>
      <c r="B7893" t="s" s="834">
        <v>4965</v>
      </c>
      <c r="C7893" t="s" s="834">
        <v>2718</v>
      </c>
      <c r="D7893" s="835">
        <v>46040</v>
      </c>
      <c r="E7893" t="s" s="834">
        <v>478</v>
      </c>
      <c r="F7893" t="s" s="834">
        <v>478</v>
      </c>
      <c r="G7893" s="570"/>
      <c r="H7893" s="570"/>
      <c r="I7893" s="570"/>
      <c r="J7893" s="570"/>
      <c r="K7893" s="570"/>
    </row>
    <row r="7894" ht="13.75" customHeight="1">
      <c r="A7894" s="833">
        <v>389</v>
      </c>
      <c r="B7894" t="s" s="834">
        <v>4965</v>
      </c>
      <c r="C7894" t="s" s="834">
        <v>2718</v>
      </c>
      <c r="D7894" s="835">
        <v>46041</v>
      </c>
      <c r="E7894" t="s" s="834">
        <v>478</v>
      </c>
      <c r="F7894" t="s" s="834">
        <v>478</v>
      </c>
      <c r="G7894" s="570"/>
      <c r="H7894" s="570"/>
      <c r="I7894" s="570"/>
      <c r="J7894" s="570"/>
      <c r="K7894" s="570"/>
    </row>
    <row r="7895" ht="13.75" customHeight="1">
      <c r="A7895" s="833">
        <v>389</v>
      </c>
      <c r="B7895" t="s" s="834">
        <v>4965</v>
      </c>
      <c r="C7895" t="s" s="834">
        <v>2718</v>
      </c>
      <c r="D7895" s="835">
        <v>46042</v>
      </c>
      <c r="E7895" t="s" s="834">
        <v>478</v>
      </c>
      <c r="F7895" t="s" s="834">
        <v>478</v>
      </c>
      <c r="G7895" s="570"/>
      <c r="H7895" s="570"/>
      <c r="I7895" s="570"/>
      <c r="J7895" s="570"/>
      <c r="K7895" s="570"/>
    </row>
    <row r="7896" ht="13.75" customHeight="1">
      <c r="A7896" s="833">
        <v>389</v>
      </c>
      <c r="B7896" t="s" s="834">
        <v>4965</v>
      </c>
      <c r="C7896" t="s" s="834">
        <v>2718</v>
      </c>
      <c r="D7896" s="835">
        <v>46043</v>
      </c>
      <c r="E7896" t="s" s="834">
        <v>478</v>
      </c>
      <c r="F7896" t="s" s="834">
        <v>478</v>
      </c>
      <c r="G7896" s="570"/>
      <c r="H7896" s="570"/>
      <c r="I7896" s="570"/>
      <c r="J7896" s="570"/>
      <c r="K7896" s="570"/>
    </row>
    <row r="7897" ht="13.75" customHeight="1">
      <c r="A7897" s="833">
        <v>389</v>
      </c>
      <c r="B7897" t="s" s="834">
        <v>4965</v>
      </c>
      <c r="C7897" t="s" s="834">
        <v>2718</v>
      </c>
      <c r="D7897" s="835">
        <v>46044</v>
      </c>
      <c r="E7897" t="s" s="834">
        <v>478</v>
      </c>
      <c r="F7897" t="s" s="834">
        <v>478</v>
      </c>
      <c r="G7897" s="570"/>
      <c r="H7897" s="570"/>
      <c r="I7897" s="570"/>
      <c r="J7897" s="570"/>
      <c r="K7897" s="570"/>
    </row>
    <row r="7898" ht="13.75" customHeight="1">
      <c r="A7898" s="833">
        <v>389</v>
      </c>
      <c r="B7898" t="s" s="834">
        <v>4965</v>
      </c>
      <c r="C7898" t="s" s="834">
        <v>2718</v>
      </c>
      <c r="D7898" s="835">
        <v>46045</v>
      </c>
      <c r="E7898" t="s" s="834">
        <v>478</v>
      </c>
      <c r="F7898" t="s" s="834">
        <v>478</v>
      </c>
      <c r="G7898" s="570"/>
      <c r="H7898" s="570"/>
      <c r="I7898" s="570"/>
      <c r="J7898" s="570"/>
      <c r="K7898" s="570"/>
    </row>
    <row r="7899" ht="13.75" customHeight="1">
      <c r="A7899" s="833">
        <v>389</v>
      </c>
      <c r="B7899" t="s" s="834">
        <v>4965</v>
      </c>
      <c r="C7899" t="s" s="834">
        <v>2718</v>
      </c>
      <c r="D7899" s="835">
        <v>46046</v>
      </c>
      <c r="E7899" t="s" s="834">
        <v>478</v>
      </c>
      <c r="F7899" t="s" s="834">
        <v>478</v>
      </c>
      <c r="G7899" s="570"/>
      <c r="H7899" s="570"/>
      <c r="I7899" s="570"/>
      <c r="J7899" s="570"/>
      <c r="K7899" s="570"/>
    </row>
    <row r="7900" ht="13.75" customHeight="1">
      <c r="A7900" s="833">
        <v>389</v>
      </c>
      <c r="B7900" t="s" s="834">
        <v>4965</v>
      </c>
      <c r="C7900" t="s" s="834">
        <v>2718</v>
      </c>
      <c r="D7900" s="835">
        <v>46047</v>
      </c>
      <c r="E7900" t="s" s="834">
        <v>478</v>
      </c>
      <c r="F7900" t="s" s="834">
        <v>478</v>
      </c>
      <c r="G7900" s="570"/>
      <c r="H7900" s="570"/>
      <c r="I7900" s="570"/>
      <c r="J7900" s="570"/>
      <c r="K7900" s="570"/>
    </row>
    <row r="7901" ht="13.75" customHeight="1">
      <c r="A7901" s="833">
        <v>389</v>
      </c>
      <c r="B7901" t="s" s="834">
        <v>4965</v>
      </c>
      <c r="C7901" t="s" s="834">
        <v>2718</v>
      </c>
      <c r="D7901" s="835">
        <v>46048</v>
      </c>
      <c r="E7901" t="s" s="834">
        <v>478</v>
      </c>
      <c r="F7901" t="s" s="834">
        <v>478</v>
      </c>
      <c r="G7901" s="570"/>
      <c r="H7901" s="570"/>
      <c r="I7901" s="570"/>
      <c r="J7901" s="570"/>
      <c r="K7901" s="570"/>
    </row>
    <row r="7902" ht="13.75" customHeight="1">
      <c r="A7902" s="833">
        <v>389</v>
      </c>
      <c r="B7902" t="s" s="834">
        <v>4965</v>
      </c>
      <c r="C7902" t="s" s="834">
        <v>2718</v>
      </c>
      <c r="D7902" s="835">
        <v>46049</v>
      </c>
      <c r="E7902" t="s" s="834">
        <v>478</v>
      </c>
      <c r="F7902" t="s" s="834">
        <v>478</v>
      </c>
      <c r="G7902" s="570"/>
      <c r="H7902" s="570"/>
      <c r="I7902" s="570"/>
      <c r="J7902" s="570"/>
      <c r="K7902" s="570"/>
    </row>
    <row r="7903" ht="13.75" customHeight="1">
      <c r="A7903" s="833">
        <v>389</v>
      </c>
      <c r="B7903" t="s" s="834">
        <v>4965</v>
      </c>
      <c r="C7903" t="s" s="834">
        <v>2718</v>
      </c>
      <c r="D7903" s="835">
        <v>46050</v>
      </c>
      <c r="E7903" t="s" s="834">
        <v>478</v>
      </c>
      <c r="F7903" t="s" s="834">
        <v>478</v>
      </c>
      <c r="G7903" s="570"/>
      <c r="H7903" s="570"/>
      <c r="I7903" s="570"/>
      <c r="J7903" s="570"/>
      <c r="K7903" s="570"/>
    </row>
    <row r="7904" ht="13.75" customHeight="1">
      <c r="A7904" s="833">
        <v>389</v>
      </c>
      <c r="B7904" t="s" s="834">
        <v>4965</v>
      </c>
      <c r="C7904" t="s" s="834">
        <v>2718</v>
      </c>
      <c r="D7904" s="835">
        <v>46051</v>
      </c>
      <c r="E7904" t="s" s="834">
        <v>478</v>
      </c>
      <c r="F7904" t="s" s="834">
        <v>478</v>
      </c>
      <c r="G7904" s="570"/>
      <c r="H7904" s="570"/>
      <c r="I7904" s="570"/>
      <c r="J7904" s="570"/>
      <c r="K7904" s="570"/>
    </row>
    <row r="7905" ht="13.75" customHeight="1">
      <c r="A7905" s="833">
        <v>389</v>
      </c>
      <c r="B7905" t="s" s="834">
        <v>4965</v>
      </c>
      <c r="C7905" t="s" s="834">
        <v>2718</v>
      </c>
      <c r="D7905" s="835">
        <v>46052</v>
      </c>
      <c r="E7905" t="s" s="834">
        <v>478</v>
      </c>
      <c r="F7905" t="s" s="834">
        <v>478</v>
      </c>
      <c r="G7905" s="570"/>
      <c r="H7905" s="570"/>
      <c r="I7905" s="570"/>
      <c r="J7905" s="570"/>
      <c r="K7905" s="570"/>
    </row>
    <row r="7906" ht="13.75" customHeight="1">
      <c r="A7906" s="833">
        <v>389</v>
      </c>
      <c r="B7906" t="s" s="834">
        <v>4965</v>
      </c>
      <c r="C7906" t="s" s="834">
        <v>2718</v>
      </c>
      <c r="D7906" s="835">
        <v>46053</v>
      </c>
      <c r="E7906" t="s" s="834">
        <v>478</v>
      </c>
      <c r="F7906" t="s" s="834">
        <v>478</v>
      </c>
      <c r="G7906" s="570"/>
      <c r="H7906" s="570"/>
      <c r="I7906" s="570"/>
      <c r="J7906" s="570"/>
      <c r="K7906" s="570"/>
    </row>
    <row r="7907" ht="13.75" customHeight="1">
      <c r="A7907" s="833">
        <v>389</v>
      </c>
      <c r="B7907" t="s" s="834">
        <v>4965</v>
      </c>
      <c r="C7907" t="s" s="834">
        <v>2718</v>
      </c>
      <c r="D7907" s="835">
        <v>46054</v>
      </c>
      <c r="E7907" t="s" s="834">
        <v>478</v>
      </c>
      <c r="F7907" t="s" s="834">
        <v>478</v>
      </c>
      <c r="G7907" s="570"/>
      <c r="H7907" s="570"/>
      <c r="I7907" s="570"/>
      <c r="J7907" s="570"/>
      <c r="K7907" s="570"/>
    </row>
    <row r="7908" ht="13.75" customHeight="1">
      <c r="A7908" s="833">
        <v>390</v>
      </c>
      <c r="B7908" t="s" s="834">
        <v>364</v>
      </c>
      <c r="C7908" t="s" s="834">
        <v>480</v>
      </c>
      <c r="D7908" s="835">
        <v>46023</v>
      </c>
      <c r="E7908" t="s" s="834">
        <v>478</v>
      </c>
      <c r="F7908" t="s" s="834">
        <v>478</v>
      </c>
      <c r="G7908" s="570"/>
      <c r="H7908" s="570"/>
      <c r="I7908" s="570"/>
      <c r="J7908" s="570"/>
      <c r="K7908" s="570"/>
    </row>
    <row r="7909" ht="13.75" customHeight="1">
      <c r="A7909" s="833">
        <v>390</v>
      </c>
      <c r="B7909" t="s" s="834">
        <v>364</v>
      </c>
      <c r="C7909" t="s" s="834">
        <v>480</v>
      </c>
      <c r="D7909" s="835">
        <v>46024</v>
      </c>
      <c r="E7909" s="836">
        <v>1.350069444444444</v>
      </c>
      <c r="F7909" s="836">
        <v>1.756655092592593</v>
      </c>
      <c r="G7909" s="570"/>
      <c r="H7909" s="570"/>
      <c r="I7909" s="570"/>
      <c r="J7909" s="570"/>
      <c r="K7909" s="570"/>
    </row>
    <row r="7910" ht="13.75" customHeight="1">
      <c r="A7910" t="s" s="834">
        <v>4966</v>
      </c>
      <c r="B7910" t="s" s="834">
        <v>4967</v>
      </c>
      <c r="C7910" t="s" s="834">
        <v>603</v>
      </c>
      <c r="D7910" s="570"/>
      <c r="E7910" s="570"/>
      <c r="F7910" s="570"/>
      <c r="G7910" s="570"/>
      <c r="H7910" s="570"/>
      <c r="I7910" s="570"/>
      <c r="J7910" s="570"/>
      <c r="K7910" s="570"/>
    </row>
    <row r="7911" ht="13.75" customHeight="1">
      <c r="A7911" s="833">
        <v>390</v>
      </c>
      <c r="B7911" t="s" s="834">
        <v>364</v>
      </c>
      <c r="C7911" t="s" s="834">
        <v>480</v>
      </c>
      <c r="D7911" s="835">
        <v>46025</v>
      </c>
      <c r="E7911" t="s" s="834">
        <v>478</v>
      </c>
      <c r="F7911" t="s" s="834">
        <v>478</v>
      </c>
      <c r="G7911" s="570"/>
      <c r="H7911" s="570"/>
      <c r="I7911" s="570"/>
      <c r="J7911" s="570"/>
      <c r="K7911" s="570"/>
    </row>
    <row r="7912" ht="13.75" customHeight="1">
      <c r="A7912" s="833">
        <v>390</v>
      </c>
      <c r="B7912" t="s" s="834">
        <v>364</v>
      </c>
      <c r="C7912" t="s" s="834">
        <v>480</v>
      </c>
      <c r="D7912" s="835">
        <v>46026</v>
      </c>
      <c r="E7912" t="s" s="834">
        <v>478</v>
      </c>
      <c r="F7912" t="s" s="834">
        <v>478</v>
      </c>
      <c r="G7912" s="570"/>
      <c r="H7912" s="570"/>
      <c r="I7912" s="570"/>
      <c r="J7912" s="570"/>
      <c r="K7912" s="570"/>
    </row>
    <row r="7913" ht="13.75" customHeight="1">
      <c r="A7913" s="833">
        <v>390</v>
      </c>
      <c r="B7913" t="s" s="834">
        <v>364</v>
      </c>
      <c r="C7913" t="s" s="834">
        <v>480</v>
      </c>
      <c r="D7913" s="835">
        <v>46027</v>
      </c>
      <c r="E7913" s="836">
        <v>1.345162037037037</v>
      </c>
      <c r="F7913" s="836">
        <v>1.764166666666667</v>
      </c>
      <c r="G7913" s="570"/>
      <c r="H7913" s="570"/>
      <c r="I7913" s="570"/>
      <c r="J7913" s="570"/>
      <c r="K7913" s="570"/>
    </row>
    <row r="7914" ht="13.75" customHeight="1">
      <c r="A7914" t="s" s="834">
        <v>4968</v>
      </c>
      <c r="B7914" t="s" s="834">
        <v>4969</v>
      </c>
      <c r="C7914" t="s" s="834">
        <v>1280</v>
      </c>
      <c r="D7914" s="570"/>
      <c r="E7914" s="570"/>
      <c r="F7914" s="570"/>
      <c r="G7914" s="570"/>
      <c r="H7914" s="570"/>
      <c r="I7914" s="570"/>
      <c r="J7914" s="570"/>
      <c r="K7914" s="570"/>
    </row>
    <row r="7915" ht="13.75" customHeight="1">
      <c r="A7915" s="833">
        <v>390</v>
      </c>
      <c r="B7915" t="s" s="834">
        <v>364</v>
      </c>
      <c r="C7915" t="s" s="834">
        <v>480</v>
      </c>
      <c r="D7915" s="835">
        <v>46028</v>
      </c>
      <c r="E7915" s="836">
        <v>1.363645833333333</v>
      </c>
      <c r="F7915" s="836">
        <v>1.766550925925926</v>
      </c>
      <c r="G7915" s="570"/>
      <c r="H7915" s="570"/>
      <c r="I7915" s="570"/>
      <c r="J7915" s="570"/>
      <c r="K7915" s="570"/>
    </row>
    <row r="7916" ht="13.75" customHeight="1">
      <c r="A7916" t="s" s="834">
        <v>4970</v>
      </c>
      <c r="B7916" t="s" s="834">
        <v>4971</v>
      </c>
      <c r="C7916" t="s" s="834">
        <v>861</v>
      </c>
      <c r="D7916" s="570"/>
      <c r="E7916" s="570"/>
      <c r="F7916" s="570"/>
      <c r="G7916" s="570"/>
      <c r="H7916" s="570"/>
      <c r="I7916" s="570"/>
      <c r="J7916" s="570"/>
      <c r="K7916" s="570"/>
    </row>
    <row r="7917" ht="13.75" customHeight="1">
      <c r="A7917" s="833">
        <v>390</v>
      </c>
      <c r="B7917" t="s" s="834">
        <v>364</v>
      </c>
      <c r="C7917" t="s" s="834">
        <v>480</v>
      </c>
      <c r="D7917" s="835">
        <v>46029</v>
      </c>
      <c r="E7917" s="836">
        <v>1.354108796296296</v>
      </c>
      <c r="F7917" s="836">
        <v>1.767800925925926</v>
      </c>
      <c r="G7917" s="570"/>
      <c r="H7917" s="570"/>
      <c r="I7917" s="570"/>
      <c r="J7917" s="570"/>
      <c r="K7917" s="570"/>
    </row>
    <row r="7918" ht="13.75" customHeight="1">
      <c r="A7918" t="s" s="834">
        <v>4972</v>
      </c>
      <c r="B7918" t="s" s="834">
        <v>4973</v>
      </c>
      <c r="C7918" t="s" s="834">
        <v>637</v>
      </c>
      <c r="D7918" s="570"/>
      <c r="E7918" s="570"/>
      <c r="F7918" s="570"/>
      <c r="G7918" s="570"/>
      <c r="H7918" s="570"/>
      <c r="I7918" s="570"/>
      <c r="J7918" s="570"/>
      <c r="K7918" s="570"/>
    </row>
    <row r="7919" ht="13.75" customHeight="1">
      <c r="A7919" s="833">
        <v>390</v>
      </c>
      <c r="B7919" t="s" s="834">
        <v>364</v>
      </c>
      <c r="C7919" t="s" s="834">
        <v>480</v>
      </c>
      <c r="D7919" s="835">
        <v>46030</v>
      </c>
      <c r="E7919" s="836">
        <v>1.350717592592593</v>
      </c>
      <c r="F7919" s="836">
        <v>1.759456018518518</v>
      </c>
      <c r="G7919" s="570"/>
      <c r="H7919" s="570"/>
      <c r="I7919" s="570"/>
      <c r="J7919" s="570"/>
      <c r="K7919" s="570"/>
    </row>
    <row r="7920" ht="13.75" customHeight="1">
      <c r="A7920" t="s" s="834">
        <v>4974</v>
      </c>
      <c r="B7920" t="s" s="834">
        <v>4975</v>
      </c>
      <c r="C7920" t="s" s="834">
        <v>600</v>
      </c>
      <c r="D7920" s="570"/>
      <c r="E7920" s="570"/>
      <c r="F7920" s="570"/>
      <c r="G7920" s="570"/>
      <c r="H7920" s="570"/>
      <c r="I7920" s="570"/>
      <c r="J7920" s="570"/>
      <c r="K7920" s="570"/>
    </row>
    <row r="7921" ht="13.75" customHeight="1">
      <c r="A7921" s="833">
        <v>390</v>
      </c>
      <c r="B7921" t="s" s="834">
        <v>364</v>
      </c>
      <c r="C7921" t="s" s="834">
        <v>480</v>
      </c>
      <c r="D7921" s="835">
        <v>46031</v>
      </c>
      <c r="E7921" s="836">
        <v>1.76162037037037</v>
      </c>
      <c r="F7921" t="s" s="834">
        <v>478</v>
      </c>
      <c r="G7921" s="570"/>
      <c r="H7921" s="570"/>
      <c r="I7921" s="570"/>
      <c r="J7921" s="570"/>
      <c r="K7921" s="570"/>
    </row>
    <row r="7922" ht="13.75" customHeight="1">
      <c r="A7922" t="s" s="834">
        <v>4976</v>
      </c>
      <c r="B7922" t="s" s="834">
        <v>485</v>
      </c>
      <c r="C7922" t="s" s="834">
        <v>486</v>
      </c>
      <c r="D7922" s="570"/>
      <c r="E7922" s="570"/>
      <c r="F7922" s="570"/>
      <c r="G7922" s="570"/>
      <c r="H7922" s="570"/>
      <c r="I7922" s="570"/>
      <c r="J7922" s="570"/>
      <c r="K7922" s="570"/>
    </row>
    <row r="7923" ht="13.75" customHeight="1">
      <c r="A7923" s="833">
        <v>390</v>
      </c>
      <c r="B7923" t="s" s="834">
        <v>364</v>
      </c>
      <c r="C7923" t="s" s="834">
        <v>480</v>
      </c>
      <c r="D7923" s="835">
        <v>46032</v>
      </c>
      <c r="E7923" t="s" s="834">
        <v>478</v>
      </c>
      <c r="F7923" t="s" s="834">
        <v>478</v>
      </c>
      <c r="G7923" s="570"/>
      <c r="H7923" s="570"/>
      <c r="I7923" s="570"/>
      <c r="J7923" s="570"/>
      <c r="K7923" s="570"/>
    </row>
    <row r="7924" ht="13.75" customHeight="1">
      <c r="A7924" s="833">
        <v>390</v>
      </c>
      <c r="B7924" t="s" s="834">
        <v>364</v>
      </c>
      <c r="C7924" t="s" s="834">
        <v>480</v>
      </c>
      <c r="D7924" s="835">
        <v>46033</v>
      </c>
      <c r="E7924" t="s" s="834">
        <v>478</v>
      </c>
      <c r="F7924" t="s" s="834">
        <v>478</v>
      </c>
      <c r="G7924" s="570"/>
      <c r="H7924" s="570"/>
      <c r="I7924" s="570"/>
      <c r="J7924" s="570"/>
      <c r="K7924" s="570"/>
    </row>
    <row r="7925" ht="13.75" customHeight="1">
      <c r="A7925" s="833">
        <v>390</v>
      </c>
      <c r="B7925" t="s" s="834">
        <v>364</v>
      </c>
      <c r="C7925" t="s" s="834">
        <v>480</v>
      </c>
      <c r="D7925" s="835">
        <v>46034</v>
      </c>
      <c r="E7925" s="836">
        <v>1.355138888888889</v>
      </c>
      <c r="F7925" s="836">
        <v>1.7815625</v>
      </c>
      <c r="G7925" s="570"/>
      <c r="H7925" s="570"/>
      <c r="I7925" s="570"/>
      <c r="J7925" s="570"/>
      <c r="K7925" s="570"/>
    </row>
    <row r="7926" ht="13.75" customHeight="1">
      <c r="A7926" t="s" s="834">
        <v>4977</v>
      </c>
      <c r="B7926" t="s" s="834">
        <v>4978</v>
      </c>
      <c r="C7926" t="s" s="834">
        <v>1549</v>
      </c>
      <c r="D7926" s="570"/>
      <c r="E7926" s="570"/>
      <c r="F7926" s="570"/>
      <c r="G7926" s="570"/>
      <c r="H7926" s="570"/>
      <c r="I7926" s="570"/>
      <c r="J7926" s="570"/>
      <c r="K7926" s="570"/>
    </row>
    <row r="7927" ht="13.75" customHeight="1">
      <c r="A7927" s="833">
        <v>390</v>
      </c>
      <c r="B7927" t="s" s="834">
        <v>364</v>
      </c>
      <c r="C7927" t="s" s="834">
        <v>480</v>
      </c>
      <c r="D7927" s="835">
        <v>46035</v>
      </c>
      <c r="E7927" s="836">
        <v>1.348831018518518</v>
      </c>
      <c r="F7927" s="836">
        <v>1.754803240740741</v>
      </c>
      <c r="G7927" s="570"/>
      <c r="H7927" s="570"/>
      <c r="I7927" s="570"/>
      <c r="J7927" s="570"/>
      <c r="K7927" s="570"/>
    </row>
    <row r="7928" ht="13.75" customHeight="1">
      <c r="A7928" t="s" s="834">
        <v>4979</v>
      </c>
      <c r="B7928" t="s" s="834">
        <v>4980</v>
      </c>
      <c r="C7928" t="s" s="834">
        <v>603</v>
      </c>
      <c r="D7928" s="570"/>
      <c r="E7928" s="570"/>
      <c r="F7928" s="570"/>
      <c r="G7928" s="570"/>
      <c r="H7928" s="570"/>
      <c r="I7928" s="570"/>
      <c r="J7928" s="570"/>
      <c r="K7928" s="570"/>
    </row>
    <row r="7929" ht="13.75" customHeight="1">
      <c r="A7929" s="833">
        <v>390</v>
      </c>
      <c r="B7929" t="s" s="834">
        <v>364</v>
      </c>
      <c r="C7929" t="s" s="834">
        <v>480</v>
      </c>
      <c r="D7929" s="835">
        <v>46036</v>
      </c>
      <c r="E7929" s="836">
        <v>1.348599537037037</v>
      </c>
      <c r="F7929" s="836">
        <v>1.758761574074074</v>
      </c>
      <c r="G7929" s="570"/>
      <c r="H7929" s="570"/>
      <c r="I7929" s="570"/>
      <c r="J7929" s="570"/>
      <c r="K7929" s="570"/>
    </row>
    <row r="7930" ht="13.75" customHeight="1">
      <c r="A7930" t="s" s="834">
        <v>4981</v>
      </c>
      <c r="B7930" t="s" s="834">
        <v>4982</v>
      </c>
      <c r="C7930" t="s" s="834">
        <v>1252</v>
      </c>
      <c r="D7930" s="570"/>
      <c r="E7930" s="570"/>
      <c r="F7930" s="570"/>
      <c r="G7930" s="570"/>
      <c r="H7930" s="570"/>
      <c r="I7930" s="570"/>
      <c r="J7930" s="570"/>
      <c r="K7930" s="570"/>
    </row>
    <row r="7931" ht="13.75" customHeight="1">
      <c r="A7931" s="833">
        <v>390</v>
      </c>
      <c r="B7931" t="s" s="834">
        <v>364</v>
      </c>
      <c r="C7931" t="s" s="834">
        <v>480</v>
      </c>
      <c r="D7931" s="835">
        <v>46037</v>
      </c>
      <c r="E7931" s="836">
        <v>1.350451388888889</v>
      </c>
      <c r="F7931" s="836">
        <v>1.757916666666667</v>
      </c>
      <c r="G7931" s="570"/>
      <c r="H7931" s="570"/>
      <c r="I7931" s="570"/>
      <c r="J7931" s="570"/>
      <c r="K7931" s="570"/>
    </row>
    <row r="7932" ht="13.75" customHeight="1">
      <c r="A7932" t="s" s="834">
        <v>4983</v>
      </c>
      <c r="B7932" t="s" s="834">
        <v>4984</v>
      </c>
      <c r="C7932" t="s" s="834">
        <v>882</v>
      </c>
      <c r="D7932" s="570"/>
      <c r="E7932" s="570"/>
      <c r="F7932" s="570"/>
      <c r="G7932" s="570"/>
      <c r="H7932" s="570"/>
      <c r="I7932" s="570"/>
      <c r="J7932" s="570"/>
      <c r="K7932" s="570"/>
    </row>
    <row r="7933" ht="13.75" customHeight="1">
      <c r="A7933" s="833">
        <v>390</v>
      </c>
      <c r="B7933" t="s" s="834">
        <v>364</v>
      </c>
      <c r="C7933" t="s" s="834">
        <v>480</v>
      </c>
      <c r="D7933" s="835">
        <v>46038</v>
      </c>
      <c r="E7933" s="836">
        <v>1.400428240740741</v>
      </c>
      <c r="F7933" s="836">
        <v>1.761550925925926</v>
      </c>
      <c r="G7933" s="570"/>
      <c r="H7933" s="570"/>
      <c r="I7933" s="570"/>
      <c r="J7933" s="570"/>
      <c r="K7933" s="570"/>
    </row>
    <row r="7934" ht="13.75" customHeight="1">
      <c r="A7934" t="s" s="834">
        <v>4985</v>
      </c>
      <c r="B7934" t="s" s="834">
        <v>4986</v>
      </c>
      <c r="C7934" t="s" s="834">
        <v>3822</v>
      </c>
      <c r="D7934" s="570"/>
      <c r="E7934" s="570"/>
      <c r="F7934" s="570"/>
      <c r="G7934" s="570"/>
      <c r="H7934" s="570"/>
      <c r="I7934" s="570"/>
      <c r="J7934" s="570"/>
      <c r="K7934" s="570"/>
    </row>
    <row r="7935" ht="13.75" customHeight="1">
      <c r="A7935" s="833">
        <v>390</v>
      </c>
      <c r="B7935" t="s" s="834">
        <v>364</v>
      </c>
      <c r="C7935" t="s" s="834">
        <v>480</v>
      </c>
      <c r="D7935" s="835">
        <v>46039</v>
      </c>
      <c r="E7935" t="s" s="834">
        <v>478</v>
      </c>
      <c r="F7935" t="s" s="834">
        <v>478</v>
      </c>
      <c r="G7935" s="570"/>
      <c r="H7935" s="570"/>
      <c r="I7935" s="570"/>
      <c r="J7935" s="570"/>
      <c r="K7935" s="570"/>
    </row>
    <row r="7936" ht="13.75" customHeight="1">
      <c r="A7936" s="833">
        <v>390</v>
      </c>
      <c r="B7936" t="s" s="834">
        <v>364</v>
      </c>
      <c r="C7936" t="s" s="834">
        <v>480</v>
      </c>
      <c r="D7936" s="835">
        <v>46040</v>
      </c>
      <c r="E7936" t="s" s="834">
        <v>478</v>
      </c>
      <c r="F7936" t="s" s="834">
        <v>478</v>
      </c>
      <c r="G7936" s="570"/>
      <c r="H7936" s="570"/>
      <c r="I7936" s="570"/>
      <c r="J7936" s="570"/>
      <c r="K7936" s="570"/>
    </row>
    <row r="7937" ht="13.75" customHeight="1">
      <c r="A7937" s="833">
        <v>390</v>
      </c>
      <c r="B7937" t="s" s="834">
        <v>364</v>
      </c>
      <c r="C7937" t="s" s="834">
        <v>480</v>
      </c>
      <c r="D7937" s="835">
        <v>46041</v>
      </c>
      <c r="E7937" s="836">
        <v>1.349583333333333</v>
      </c>
      <c r="F7937" s="836">
        <v>1.761261574074074</v>
      </c>
      <c r="G7937" s="570"/>
      <c r="H7937" s="570"/>
      <c r="I7937" s="570"/>
      <c r="J7937" s="570"/>
      <c r="K7937" s="570"/>
    </row>
    <row r="7938" ht="13.75" customHeight="1">
      <c r="A7938" t="s" s="834">
        <v>4987</v>
      </c>
      <c r="B7938" t="s" s="834">
        <v>4988</v>
      </c>
      <c r="C7938" t="s" s="834">
        <v>597</v>
      </c>
      <c r="D7938" s="570"/>
      <c r="E7938" s="570"/>
      <c r="F7938" s="570"/>
      <c r="G7938" s="570"/>
      <c r="H7938" s="570"/>
      <c r="I7938" s="570"/>
      <c r="J7938" s="570"/>
      <c r="K7938" s="570"/>
    </row>
    <row r="7939" ht="13.75" customHeight="1">
      <c r="A7939" s="833">
        <v>390</v>
      </c>
      <c r="B7939" t="s" s="834">
        <v>364</v>
      </c>
      <c r="C7939" t="s" s="834">
        <v>480</v>
      </c>
      <c r="D7939" s="835">
        <v>46042</v>
      </c>
      <c r="E7939" s="836">
        <v>1.349861111111111</v>
      </c>
      <c r="F7939" s="836">
        <v>1.75712962962963</v>
      </c>
      <c r="G7939" s="570"/>
      <c r="H7939" s="570"/>
      <c r="I7939" s="570"/>
      <c r="J7939" s="570"/>
      <c r="K7939" s="570"/>
    </row>
    <row r="7940" ht="13.75" customHeight="1">
      <c r="A7940" t="s" s="834">
        <v>4989</v>
      </c>
      <c r="B7940" t="s" s="834">
        <v>4990</v>
      </c>
      <c r="C7940" t="s" s="834">
        <v>1113</v>
      </c>
      <c r="D7940" s="570"/>
      <c r="E7940" s="570"/>
      <c r="F7940" s="570"/>
      <c r="G7940" s="570"/>
      <c r="H7940" s="570"/>
      <c r="I7940" s="570"/>
      <c r="J7940" s="570"/>
      <c r="K7940" s="570"/>
    </row>
    <row r="7941" ht="13.75" customHeight="1">
      <c r="A7941" s="833">
        <v>390</v>
      </c>
      <c r="B7941" t="s" s="834">
        <v>364</v>
      </c>
      <c r="C7941" t="s" s="834">
        <v>480</v>
      </c>
      <c r="D7941" s="835">
        <v>46043</v>
      </c>
      <c r="E7941" s="836">
        <v>1.40494212962963</v>
      </c>
      <c r="F7941" s="836">
        <v>1.754710648148148</v>
      </c>
      <c r="G7941" s="570"/>
      <c r="H7941" s="570"/>
      <c r="I7941" s="570"/>
      <c r="J7941" s="570"/>
      <c r="K7941" s="570"/>
    </row>
    <row r="7942" ht="13.75" customHeight="1">
      <c r="A7942" t="s" s="834">
        <v>4991</v>
      </c>
      <c r="B7942" t="s" s="834">
        <v>4992</v>
      </c>
      <c r="C7942" t="s" s="834">
        <v>1244</v>
      </c>
      <c r="D7942" s="570"/>
      <c r="E7942" s="570"/>
      <c r="F7942" s="570"/>
      <c r="G7942" s="570"/>
      <c r="H7942" s="570"/>
      <c r="I7942" s="570"/>
      <c r="J7942" s="570"/>
      <c r="K7942" s="570"/>
    </row>
    <row r="7943" ht="13.75" customHeight="1">
      <c r="A7943" s="833">
        <v>390</v>
      </c>
      <c r="B7943" t="s" s="834">
        <v>364</v>
      </c>
      <c r="C7943" t="s" s="834">
        <v>480</v>
      </c>
      <c r="D7943" s="835">
        <v>46044</v>
      </c>
      <c r="E7943" s="836">
        <v>1.3515625</v>
      </c>
      <c r="F7943" s="836">
        <v>1.764791666666667</v>
      </c>
      <c r="G7943" s="570"/>
      <c r="H7943" s="570"/>
      <c r="I7943" s="570"/>
      <c r="J7943" s="570"/>
      <c r="K7943" s="570"/>
    </row>
    <row r="7944" ht="13.75" customHeight="1">
      <c r="A7944" t="s" s="834">
        <v>4993</v>
      </c>
      <c r="B7944" t="s" s="834">
        <v>4994</v>
      </c>
      <c r="C7944" t="s" s="834">
        <v>586</v>
      </c>
      <c r="D7944" s="570"/>
      <c r="E7944" s="570"/>
      <c r="F7944" s="570"/>
      <c r="G7944" s="570"/>
      <c r="H7944" s="570"/>
      <c r="I7944" s="570"/>
      <c r="J7944" s="570"/>
      <c r="K7944" s="570"/>
    </row>
    <row r="7945" ht="13.75" customHeight="1">
      <c r="A7945" s="833">
        <v>390</v>
      </c>
      <c r="B7945" t="s" s="834">
        <v>364</v>
      </c>
      <c r="C7945" t="s" s="834">
        <v>480</v>
      </c>
      <c r="D7945" s="835">
        <v>46045</v>
      </c>
      <c r="E7945" s="836">
        <v>1.349930555555556</v>
      </c>
      <c r="F7945" s="836">
        <v>1.50005787037037</v>
      </c>
      <c r="G7945" s="570"/>
      <c r="H7945" s="570"/>
      <c r="I7945" s="570"/>
      <c r="J7945" s="570"/>
      <c r="K7945" s="570"/>
    </row>
    <row r="7946" ht="13.75" customHeight="1">
      <c r="A7946" t="s" s="834">
        <v>4995</v>
      </c>
      <c r="B7946" t="s" s="834">
        <v>4996</v>
      </c>
      <c r="C7946" t="s" s="834">
        <v>1452</v>
      </c>
      <c r="D7946" s="570"/>
      <c r="E7946" s="570"/>
      <c r="F7946" s="570"/>
      <c r="G7946" s="570"/>
      <c r="H7946" s="570"/>
      <c r="I7946" s="570"/>
      <c r="J7946" s="570"/>
      <c r="K7946" s="570"/>
    </row>
    <row r="7947" ht="13.75" customHeight="1">
      <c r="A7947" s="833">
        <v>390</v>
      </c>
      <c r="B7947" t="s" s="834">
        <v>364</v>
      </c>
      <c r="C7947" t="s" s="834">
        <v>480</v>
      </c>
      <c r="D7947" s="835">
        <v>46046</v>
      </c>
      <c r="E7947" t="s" s="834">
        <v>478</v>
      </c>
      <c r="F7947" t="s" s="834">
        <v>478</v>
      </c>
      <c r="G7947" s="570"/>
      <c r="H7947" s="570"/>
      <c r="I7947" s="570"/>
      <c r="J7947" s="570"/>
      <c r="K7947" s="570"/>
    </row>
    <row r="7948" ht="13.75" customHeight="1">
      <c r="A7948" s="833">
        <v>390</v>
      </c>
      <c r="B7948" t="s" s="834">
        <v>364</v>
      </c>
      <c r="C7948" t="s" s="834">
        <v>480</v>
      </c>
      <c r="D7948" s="835">
        <v>46047</v>
      </c>
      <c r="E7948" t="s" s="834">
        <v>478</v>
      </c>
      <c r="F7948" t="s" s="834">
        <v>478</v>
      </c>
      <c r="G7948" s="570"/>
      <c r="H7948" s="570"/>
      <c r="I7948" s="570"/>
      <c r="J7948" s="570"/>
      <c r="K7948" s="570"/>
    </row>
    <row r="7949" ht="13.75" customHeight="1">
      <c r="A7949" s="833">
        <v>390</v>
      </c>
      <c r="B7949" t="s" s="834">
        <v>364</v>
      </c>
      <c r="C7949" t="s" s="834">
        <v>480</v>
      </c>
      <c r="D7949" s="835">
        <v>46048</v>
      </c>
      <c r="E7949" s="836">
        <v>1.352650462962963</v>
      </c>
      <c r="F7949" s="836">
        <v>1.755104166666667</v>
      </c>
      <c r="G7949" s="570"/>
      <c r="H7949" s="570"/>
      <c r="I7949" s="570"/>
      <c r="J7949" s="570"/>
      <c r="K7949" s="570"/>
    </row>
    <row r="7950" ht="13.75" customHeight="1">
      <c r="A7950" t="s" s="834">
        <v>4997</v>
      </c>
      <c r="B7950" t="s" s="834">
        <v>4998</v>
      </c>
      <c r="C7950" t="s" s="834">
        <v>861</v>
      </c>
      <c r="D7950" s="570"/>
      <c r="E7950" s="570"/>
      <c r="F7950" s="570"/>
      <c r="G7950" s="570"/>
      <c r="H7950" s="570"/>
      <c r="I7950" s="570"/>
      <c r="J7950" s="570"/>
      <c r="K7950" s="570"/>
    </row>
    <row r="7951" ht="13.75" customHeight="1">
      <c r="A7951" s="833">
        <v>390</v>
      </c>
      <c r="B7951" t="s" s="834">
        <v>364</v>
      </c>
      <c r="C7951" t="s" s="834">
        <v>480</v>
      </c>
      <c r="D7951" s="835">
        <v>46049</v>
      </c>
      <c r="E7951" s="836">
        <v>1.348831018518518</v>
      </c>
      <c r="F7951" s="836">
        <v>1.757037037037037</v>
      </c>
      <c r="G7951" s="570"/>
      <c r="H7951" s="570"/>
      <c r="I7951" s="570"/>
      <c r="J7951" s="570"/>
      <c r="K7951" s="570"/>
    </row>
    <row r="7952" ht="13.75" customHeight="1">
      <c r="A7952" t="s" s="834">
        <v>4999</v>
      </c>
      <c r="B7952" t="s" s="834">
        <v>5000</v>
      </c>
      <c r="C7952" t="s" s="834">
        <v>1330</v>
      </c>
      <c r="D7952" s="570"/>
      <c r="E7952" s="570"/>
      <c r="F7952" s="570"/>
      <c r="G7952" s="570"/>
      <c r="H7952" s="570"/>
      <c r="I7952" s="570"/>
      <c r="J7952" s="570"/>
      <c r="K7952" s="570"/>
    </row>
    <row r="7953" ht="13.75" customHeight="1">
      <c r="A7953" s="833">
        <v>390</v>
      </c>
      <c r="B7953" t="s" s="834">
        <v>364</v>
      </c>
      <c r="C7953" t="s" s="834">
        <v>480</v>
      </c>
      <c r="D7953" s="835">
        <v>46050</v>
      </c>
      <c r="E7953" s="836">
        <v>1.348472222222222</v>
      </c>
      <c r="F7953" s="836">
        <v>1.758657407407407</v>
      </c>
      <c r="G7953" s="570"/>
      <c r="H7953" s="570"/>
      <c r="I7953" s="570"/>
      <c r="J7953" s="570"/>
      <c r="K7953" s="570"/>
    </row>
    <row r="7954" ht="13.75" customHeight="1">
      <c r="A7954" t="s" s="834">
        <v>5001</v>
      </c>
      <c r="B7954" t="s" s="834">
        <v>5002</v>
      </c>
      <c r="C7954" t="s" s="834">
        <v>1252</v>
      </c>
      <c r="D7954" s="570"/>
      <c r="E7954" s="570"/>
      <c r="F7954" s="570"/>
      <c r="G7954" s="570"/>
      <c r="H7954" s="570"/>
      <c r="I7954" s="570"/>
      <c r="J7954" s="570"/>
      <c r="K7954" s="570"/>
    </row>
    <row r="7955" ht="13.75" customHeight="1">
      <c r="A7955" s="833">
        <v>390</v>
      </c>
      <c r="B7955" t="s" s="834">
        <v>364</v>
      </c>
      <c r="C7955" t="s" s="834">
        <v>480</v>
      </c>
      <c r="D7955" s="835">
        <v>46051</v>
      </c>
      <c r="E7955" s="836">
        <v>1.351469907407407</v>
      </c>
      <c r="F7955" s="836">
        <v>1.754224537037037</v>
      </c>
      <c r="G7955" s="570"/>
      <c r="H7955" s="570"/>
      <c r="I7955" s="570"/>
      <c r="J7955" s="570"/>
      <c r="K7955" s="570"/>
    </row>
    <row r="7956" ht="13.75" customHeight="1">
      <c r="A7956" t="s" s="834">
        <v>5003</v>
      </c>
      <c r="B7956" t="s" s="834">
        <v>5004</v>
      </c>
      <c r="C7956" t="s" s="834">
        <v>861</v>
      </c>
      <c r="D7956" s="570"/>
      <c r="E7956" s="570"/>
      <c r="F7956" s="570"/>
      <c r="G7956" s="570"/>
      <c r="H7956" s="570"/>
      <c r="I7956" s="570"/>
      <c r="J7956" s="570"/>
      <c r="K7956" s="570"/>
    </row>
    <row r="7957" ht="13.75" customHeight="1">
      <c r="A7957" s="833">
        <v>390</v>
      </c>
      <c r="B7957" t="s" s="834">
        <v>364</v>
      </c>
      <c r="C7957" t="s" s="834">
        <v>480</v>
      </c>
      <c r="D7957" s="835">
        <v>46052</v>
      </c>
      <c r="E7957" s="836">
        <v>1.530150462962963</v>
      </c>
      <c r="F7957" s="836">
        <v>1.763425925925926</v>
      </c>
      <c r="G7957" s="570"/>
      <c r="H7957" s="570"/>
      <c r="I7957" s="570"/>
      <c r="J7957" s="570"/>
      <c r="K7957" s="570"/>
    </row>
    <row r="7958" ht="13.75" customHeight="1">
      <c r="A7958" t="s" s="834">
        <v>5005</v>
      </c>
      <c r="B7958" t="s" s="834">
        <v>5006</v>
      </c>
      <c r="C7958" t="s" s="834">
        <v>5007</v>
      </c>
      <c r="D7958" s="570"/>
      <c r="E7958" s="570"/>
      <c r="F7958" s="570"/>
      <c r="G7958" s="570"/>
      <c r="H7958" s="570"/>
      <c r="I7958" s="570"/>
      <c r="J7958" s="570"/>
      <c r="K7958" s="570"/>
    </row>
    <row r="7959" ht="13.75" customHeight="1">
      <c r="A7959" s="833">
        <v>390</v>
      </c>
      <c r="B7959" t="s" s="834">
        <v>364</v>
      </c>
      <c r="C7959" t="s" s="834">
        <v>480</v>
      </c>
      <c r="D7959" s="835">
        <v>46053</v>
      </c>
      <c r="E7959" t="s" s="834">
        <v>478</v>
      </c>
      <c r="F7959" t="s" s="834">
        <v>478</v>
      </c>
      <c r="G7959" s="570"/>
      <c r="H7959" s="570"/>
      <c r="I7959" s="570"/>
      <c r="J7959" s="570"/>
      <c r="K7959" s="570"/>
    </row>
    <row r="7960" ht="13.75" customHeight="1">
      <c r="A7960" s="833">
        <v>390</v>
      </c>
      <c r="B7960" t="s" s="834">
        <v>364</v>
      </c>
      <c r="C7960" t="s" s="834">
        <v>480</v>
      </c>
      <c r="D7960" s="835">
        <v>46054</v>
      </c>
      <c r="E7960" t="s" s="834">
        <v>478</v>
      </c>
      <c r="F7960" t="s" s="834">
        <v>478</v>
      </c>
      <c r="G7960" s="570"/>
      <c r="H7960" s="570"/>
      <c r="I7960" s="570"/>
      <c r="J7960" s="570"/>
      <c r="K7960" s="570"/>
    </row>
    <row r="7961" ht="13.75" customHeight="1">
      <c r="A7961" s="833">
        <v>391</v>
      </c>
      <c r="B7961" t="s" s="834">
        <v>5008</v>
      </c>
      <c r="C7961" t="s" s="834">
        <v>1010</v>
      </c>
      <c r="D7961" s="835">
        <v>46023</v>
      </c>
      <c r="E7961" t="s" s="834">
        <v>478</v>
      </c>
      <c r="F7961" t="s" s="834">
        <v>478</v>
      </c>
      <c r="G7961" s="570"/>
      <c r="H7961" s="570"/>
      <c r="I7961" s="570"/>
      <c r="J7961" s="570"/>
      <c r="K7961" s="570"/>
    </row>
    <row r="7962" ht="13.75" customHeight="1">
      <c r="A7962" s="833">
        <v>391</v>
      </c>
      <c r="B7962" t="s" s="834">
        <v>5008</v>
      </c>
      <c r="C7962" t="s" s="834">
        <v>1010</v>
      </c>
      <c r="D7962" s="835">
        <v>46024</v>
      </c>
      <c r="E7962" t="s" s="834">
        <v>478</v>
      </c>
      <c r="F7962" t="s" s="834">
        <v>478</v>
      </c>
      <c r="G7962" s="570"/>
      <c r="H7962" s="570"/>
      <c r="I7962" s="570"/>
      <c r="J7962" s="570"/>
      <c r="K7962" s="570"/>
    </row>
    <row r="7963" ht="13.75" customHeight="1">
      <c r="A7963" s="833">
        <v>391</v>
      </c>
      <c r="B7963" t="s" s="834">
        <v>5008</v>
      </c>
      <c r="C7963" t="s" s="834">
        <v>1010</v>
      </c>
      <c r="D7963" s="835">
        <v>46025</v>
      </c>
      <c r="E7963" t="s" s="834">
        <v>478</v>
      </c>
      <c r="F7963" t="s" s="834">
        <v>478</v>
      </c>
      <c r="G7963" s="570"/>
      <c r="H7963" s="570"/>
      <c r="I7963" s="570"/>
      <c r="J7963" s="570"/>
      <c r="K7963" s="570"/>
    </row>
    <row r="7964" ht="13.75" customHeight="1">
      <c r="A7964" s="833">
        <v>391</v>
      </c>
      <c r="B7964" t="s" s="834">
        <v>5008</v>
      </c>
      <c r="C7964" t="s" s="834">
        <v>1010</v>
      </c>
      <c r="D7964" s="835">
        <v>46026</v>
      </c>
      <c r="E7964" t="s" s="834">
        <v>478</v>
      </c>
      <c r="F7964" t="s" s="834">
        <v>478</v>
      </c>
      <c r="G7964" s="570"/>
      <c r="H7964" s="570"/>
      <c r="I7964" s="570"/>
      <c r="J7964" s="570"/>
      <c r="K7964" s="570"/>
    </row>
    <row r="7965" ht="13.75" customHeight="1">
      <c r="A7965" s="833">
        <v>391</v>
      </c>
      <c r="B7965" t="s" s="834">
        <v>5008</v>
      </c>
      <c r="C7965" t="s" s="834">
        <v>1010</v>
      </c>
      <c r="D7965" s="835">
        <v>46027</v>
      </c>
      <c r="E7965" s="836">
        <v>1.365520833333333</v>
      </c>
      <c r="F7965" s="836">
        <v>1.763784722222222</v>
      </c>
      <c r="G7965" s="570"/>
      <c r="H7965" s="570"/>
      <c r="I7965" s="570"/>
      <c r="J7965" s="570"/>
      <c r="K7965" s="570"/>
    </row>
    <row r="7966" ht="13.75" customHeight="1">
      <c r="A7966" t="s" s="834">
        <v>5009</v>
      </c>
      <c r="B7966" t="s" s="834">
        <v>5010</v>
      </c>
      <c r="C7966" t="s" s="834">
        <v>611</v>
      </c>
      <c r="D7966" s="570"/>
      <c r="E7966" s="570"/>
      <c r="F7966" s="570"/>
      <c r="G7966" s="570"/>
      <c r="H7966" s="570"/>
      <c r="I7966" s="570"/>
      <c r="J7966" s="570"/>
      <c r="K7966" s="570"/>
    </row>
    <row r="7967" ht="13.75" customHeight="1">
      <c r="A7967" s="833">
        <v>391</v>
      </c>
      <c r="B7967" t="s" s="834">
        <v>5008</v>
      </c>
      <c r="C7967" t="s" s="834">
        <v>1010</v>
      </c>
      <c r="D7967" s="835">
        <v>46028</v>
      </c>
      <c r="E7967" s="836">
        <v>1.385324074074074</v>
      </c>
      <c r="F7967" s="836">
        <v>1.820925925925926</v>
      </c>
      <c r="G7967" s="570"/>
      <c r="H7967" s="570"/>
      <c r="I7967" s="570"/>
      <c r="J7967" s="570"/>
      <c r="K7967" s="570"/>
    </row>
    <row r="7968" ht="13.75" customHeight="1">
      <c r="A7968" t="s" s="834">
        <v>5011</v>
      </c>
      <c r="B7968" t="s" s="834">
        <v>5012</v>
      </c>
      <c r="C7968" t="s" s="834">
        <v>1212</v>
      </c>
      <c r="D7968" s="570"/>
      <c r="E7968" s="570"/>
      <c r="F7968" s="570"/>
      <c r="G7968" s="570"/>
      <c r="H7968" s="570"/>
      <c r="I7968" s="570"/>
      <c r="J7968" s="570"/>
      <c r="K7968" s="570"/>
    </row>
    <row r="7969" ht="13.75" customHeight="1">
      <c r="A7969" s="833">
        <v>391</v>
      </c>
      <c r="B7969" t="s" s="834">
        <v>5008</v>
      </c>
      <c r="C7969" t="s" s="834">
        <v>1010</v>
      </c>
      <c r="D7969" s="835">
        <v>46029</v>
      </c>
      <c r="E7969" s="836">
        <v>1.373356481481482</v>
      </c>
      <c r="F7969" s="836">
        <v>1.829918981481482</v>
      </c>
      <c r="G7969" s="570"/>
      <c r="H7969" s="570"/>
      <c r="I7969" s="570"/>
      <c r="J7969" s="570"/>
      <c r="K7969" s="570"/>
    </row>
    <row r="7970" ht="13.75" customHeight="1">
      <c r="A7970" t="s" s="834">
        <v>5013</v>
      </c>
      <c r="B7970" t="s" s="834">
        <v>5014</v>
      </c>
      <c r="C7970" t="s" s="834">
        <v>2171</v>
      </c>
      <c r="D7970" s="570"/>
      <c r="E7970" s="570"/>
      <c r="F7970" s="570"/>
      <c r="G7970" s="570"/>
      <c r="H7970" s="570"/>
      <c r="I7970" s="570"/>
      <c r="J7970" s="570"/>
      <c r="K7970" s="570"/>
    </row>
    <row r="7971" ht="13.75" customHeight="1">
      <c r="A7971" s="833">
        <v>391</v>
      </c>
      <c r="B7971" t="s" s="834">
        <v>5008</v>
      </c>
      <c r="C7971" t="s" s="834">
        <v>1010</v>
      </c>
      <c r="D7971" s="835">
        <v>46030</v>
      </c>
      <c r="E7971" s="836">
        <v>1.384803240740741</v>
      </c>
      <c r="F7971" s="836">
        <v>1.506967592592593</v>
      </c>
      <c r="G7971" s="570"/>
      <c r="H7971" s="570"/>
      <c r="I7971" s="570"/>
      <c r="J7971" s="570"/>
      <c r="K7971" s="570"/>
    </row>
    <row r="7972" ht="13.75" customHeight="1">
      <c r="A7972" t="s" s="834">
        <v>5015</v>
      </c>
      <c r="B7972" t="s" s="834">
        <v>5016</v>
      </c>
      <c r="C7972" t="s" s="834">
        <v>5017</v>
      </c>
      <c r="D7972" s="570"/>
      <c r="E7972" s="570"/>
      <c r="F7972" s="570"/>
      <c r="G7972" s="570"/>
      <c r="H7972" s="570"/>
      <c r="I7972" s="570"/>
      <c r="J7972" s="570"/>
      <c r="K7972" s="570"/>
    </row>
    <row r="7973" ht="13.75" customHeight="1">
      <c r="A7973" s="833">
        <v>391</v>
      </c>
      <c r="B7973" t="s" s="834">
        <v>5008</v>
      </c>
      <c r="C7973" t="s" s="834">
        <v>1010</v>
      </c>
      <c r="D7973" s="835">
        <v>46031</v>
      </c>
      <c r="E7973" s="836">
        <v>1.386203703703704</v>
      </c>
      <c r="F7973" s="836">
        <v>1.7878125</v>
      </c>
      <c r="G7973" s="570"/>
      <c r="H7973" s="570"/>
      <c r="I7973" s="570"/>
      <c r="J7973" s="570"/>
      <c r="K7973" s="570"/>
    </row>
    <row r="7974" ht="13.75" customHeight="1">
      <c r="A7974" t="s" s="834">
        <v>5018</v>
      </c>
      <c r="B7974" t="s" s="834">
        <v>5019</v>
      </c>
      <c r="C7974" t="s" s="834">
        <v>697</v>
      </c>
      <c r="D7974" s="570"/>
      <c r="E7974" s="570"/>
      <c r="F7974" s="570"/>
      <c r="G7974" s="570"/>
      <c r="H7974" s="570"/>
      <c r="I7974" s="570"/>
      <c r="J7974" s="570"/>
      <c r="K7974" s="570"/>
    </row>
    <row r="7975" ht="13.75" customHeight="1">
      <c r="A7975" s="833">
        <v>391</v>
      </c>
      <c r="B7975" t="s" s="834">
        <v>5008</v>
      </c>
      <c r="C7975" t="s" s="834">
        <v>1010</v>
      </c>
      <c r="D7975" s="835">
        <v>46032</v>
      </c>
      <c r="E7975" s="836">
        <v>1.391886574074074</v>
      </c>
      <c r="F7975" s="836">
        <v>1.782013888888889</v>
      </c>
      <c r="G7975" s="570"/>
      <c r="H7975" s="570"/>
      <c r="I7975" s="570"/>
      <c r="J7975" s="570"/>
      <c r="K7975" s="570"/>
    </row>
    <row r="7976" ht="13.75" customHeight="1">
      <c r="A7976" t="s" s="834">
        <v>5020</v>
      </c>
      <c r="B7976" t="s" s="834">
        <v>5021</v>
      </c>
      <c r="C7976" t="s" s="834">
        <v>901</v>
      </c>
      <c r="D7976" s="570"/>
      <c r="E7976" s="570"/>
      <c r="F7976" s="570"/>
      <c r="G7976" s="570"/>
      <c r="H7976" s="570"/>
      <c r="I7976" s="570"/>
      <c r="J7976" s="570"/>
      <c r="K7976" s="570"/>
    </row>
    <row r="7977" ht="13.75" customHeight="1">
      <c r="A7977" s="833">
        <v>391</v>
      </c>
      <c r="B7977" t="s" s="834">
        <v>5008</v>
      </c>
      <c r="C7977" t="s" s="834">
        <v>1010</v>
      </c>
      <c r="D7977" s="835">
        <v>46033</v>
      </c>
      <c r="E7977" t="s" s="834">
        <v>478</v>
      </c>
      <c r="F7977" t="s" s="834">
        <v>478</v>
      </c>
      <c r="G7977" s="570"/>
      <c r="H7977" s="570"/>
      <c r="I7977" s="570"/>
      <c r="J7977" s="570"/>
      <c r="K7977" s="570"/>
    </row>
    <row r="7978" ht="13.75" customHeight="1">
      <c r="A7978" s="833">
        <v>391</v>
      </c>
      <c r="B7978" t="s" s="834">
        <v>5008</v>
      </c>
      <c r="C7978" t="s" s="834">
        <v>1010</v>
      </c>
      <c r="D7978" s="835">
        <v>46034</v>
      </c>
      <c r="E7978" s="836">
        <v>1.372199074074074</v>
      </c>
      <c r="F7978" s="836">
        <v>1.773668981481481</v>
      </c>
      <c r="G7978" s="570"/>
      <c r="H7978" s="570"/>
      <c r="I7978" s="570"/>
      <c r="J7978" s="570"/>
      <c r="K7978" s="570"/>
    </row>
    <row r="7979" ht="13.75" customHeight="1">
      <c r="A7979" t="s" s="834">
        <v>5022</v>
      </c>
      <c r="B7979" t="s" s="834">
        <v>5023</v>
      </c>
      <c r="C7979" t="s" s="834">
        <v>697</v>
      </c>
      <c r="D7979" s="570"/>
      <c r="E7979" s="570"/>
      <c r="F7979" s="570"/>
      <c r="G7979" s="570"/>
      <c r="H7979" s="570"/>
      <c r="I7979" s="570"/>
      <c r="J7979" s="570"/>
      <c r="K7979" s="570"/>
    </row>
    <row r="7980" ht="13.75" customHeight="1">
      <c r="A7980" s="833">
        <v>391</v>
      </c>
      <c r="B7980" t="s" s="834">
        <v>5008</v>
      </c>
      <c r="C7980" t="s" s="834">
        <v>1010</v>
      </c>
      <c r="D7980" s="835">
        <v>46035</v>
      </c>
      <c r="E7980" s="836">
        <v>1.380393518518519</v>
      </c>
      <c r="F7980" s="836">
        <v>1.789780092592593</v>
      </c>
      <c r="G7980" s="570"/>
      <c r="H7980" s="570"/>
      <c r="I7980" s="570"/>
      <c r="J7980" s="570"/>
      <c r="K7980" s="570"/>
    </row>
    <row r="7981" ht="13.75" customHeight="1">
      <c r="A7981" t="s" s="834">
        <v>5024</v>
      </c>
      <c r="B7981" t="s" s="834">
        <v>5025</v>
      </c>
      <c r="C7981" t="s" s="834">
        <v>1119</v>
      </c>
      <c r="D7981" s="570"/>
      <c r="E7981" s="570"/>
      <c r="F7981" s="570"/>
      <c r="G7981" s="570"/>
      <c r="H7981" s="570"/>
      <c r="I7981" s="570"/>
      <c r="J7981" s="570"/>
      <c r="K7981" s="570"/>
    </row>
    <row r="7982" ht="13.75" customHeight="1">
      <c r="A7982" s="833">
        <v>391</v>
      </c>
      <c r="B7982" t="s" s="834">
        <v>5008</v>
      </c>
      <c r="C7982" t="s" s="834">
        <v>1010</v>
      </c>
      <c r="D7982" s="835">
        <v>46036</v>
      </c>
      <c r="E7982" s="836">
        <v>1.368819444444444</v>
      </c>
      <c r="F7982" s="836">
        <v>1.80912037037037</v>
      </c>
      <c r="G7982" s="570"/>
      <c r="H7982" s="570"/>
      <c r="I7982" s="570"/>
      <c r="J7982" s="570"/>
      <c r="K7982" s="570"/>
    </row>
    <row r="7983" ht="13.75" customHeight="1">
      <c r="A7983" t="s" s="834">
        <v>5026</v>
      </c>
      <c r="B7983" t="s" s="834">
        <v>5027</v>
      </c>
      <c r="C7983" t="s" s="834">
        <v>3740</v>
      </c>
      <c r="D7983" s="570"/>
      <c r="E7983" s="570"/>
      <c r="F7983" s="570"/>
      <c r="G7983" s="570"/>
      <c r="H7983" s="570"/>
      <c r="I7983" s="570"/>
      <c r="J7983" s="570"/>
      <c r="K7983" s="570"/>
    </row>
    <row r="7984" ht="13.75" customHeight="1">
      <c r="A7984" s="833">
        <v>391</v>
      </c>
      <c r="B7984" t="s" s="834">
        <v>5008</v>
      </c>
      <c r="C7984" t="s" s="834">
        <v>1010</v>
      </c>
      <c r="D7984" s="835">
        <v>46037</v>
      </c>
      <c r="E7984" s="836">
        <v>1.387002314814815</v>
      </c>
      <c r="F7984" s="836">
        <v>1.789189814814815</v>
      </c>
      <c r="G7984" s="570"/>
      <c r="H7984" s="570"/>
      <c r="I7984" s="570"/>
      <c r="J7984" s="570"/>
      <c r="K7984" s="570"/>
    </row>
    <row r="7985" ht="13.75" customHeight="1">
      <c r="A7985" t="s" s="834">
        <v>5028</v>
      </c>
      <c r="B7985" t="s" s="834">
        <v>5029</v>
      </c>
      <c r="C7985" t="s" s="834">
        <v>772</v>
      </c>
      <c r="D7985" s="570"/>
      <c r="E7985" s="570"/>
      <c r="F7985" s="570"/>
      <c r="G7985" s="570"/>
      <c r="H7985" s="570"/>
      <c r="I7985" s="570"/>
      <c r="J7985" s="570"/>
      <c r="K7985" s="570"/>
    </row>
    <row r="7986" ht="13.75" customHeight="1">
      <c r="A7986" s="833">
        <v>391</v>
      </c>
      <c r="B7986" t="s" s="834">
        <v>5008</v>
      </c>
      <c r="C7986" t="s" s="834">
        <v>1010</v>
      </c>
      <c r="D7986" s="835">
        <v>46038</v>
      </c>
      <c r="E7986" s="836">
        <v>1.389618055555556</v>
      </c>
      <c r="F7986" s="836">
        <v>1.791516203703704</v>
      </c>
      <c r="G7986" s="570"/>
      <c r="H7986" s="570"/>
      <c r="I7986" s="570"/>
      <c r="J7986" s="570"/>
      <c r="K7986" s="570"/>
    </row>
    <row r="7987" ht="13.75" customHeight="1">
      <c r="A7987" t="s" s="834">
        <v>5030</v>
      </c>
      <c r="B7987" t="s" s="834">
        <v>5031</v>
      </c>
      <c r="C7987" t="s" s="834">
        <v>772</v>
      </c>
      <c r="D7987" s="570"/>
      <c r="E7987" s="570"/>
      <c r="F7987" s="570"/>
      <c r="G7987" s="570"/>
      <c r="H7987" s="570"/>
      <c r="I7987" s="570"/>
      <c r="J7987" s="570"/>
      <c r="K7987" s="570"/>
    </row>
    <row r="7988" ht="13.75" customHeight="1">
      <c r="A7988" s="833">
        <v>391</v>
      </c>
      <c r="B7988" t="s" s="834">
        <v>5008</v>
      </c>
      <c r="C7988" t="s" s="834">
        <v>1010</v>
      </c>
      <c r="D7988" s="835">
        <v>46039</v>
      </c>
      <c r="E7988" t="s" s="834">
        <v>478</v>
      </c>
      <c r="F7988" t="s" s="834">
        <v>478</v>
      </c>
      <c r="G7988" s="570"/>
      <c r="H7988" s="570"/>
      <c r="I7988" s="570"/>
      <c r="J7988" s="570"/>
      <c r="K7988" s="570"/>
    </row>
    <row r="7989" ht="13.75" customHeight="1">
      <c r="A7989" s="833">
        <v>391</v>
      </c>
      <c r="B7989" t="s" s="834">
        <v>5008</v>
      </c>
      <c r="C7989" t="s" s="834">
        <v>1010</v>
      </c>
      <c r="D7989" s="835">
        <v>46040</v>
      </c>
      <c r="E7989" t="s" s="834">
        <v>478</v>
      </c>
      <c r="F7989" t="s" s="834">
        <v>478</v>
      </c>
      <c r="G7989" s="570"/>
      <c r="H7989" s="570"/>
      <c r="I7989" s="570"/>
      <c r="J7989" s="570"/>
      <c r="K7989" s="570"/>
    </row>
    <row r="7990" ht="13.75" customHeight="1">
      <c r="A7990" s="833">
        <v>391</v>
      </c>
      <c r="B7990" t="s" s="834">
        <v>5008</v>
      </c>
      <c r="C7990" t="s" s="834">
        <v>1010</v>
      </c>
      <c r="D7990" s="835">
        <v>46041</v>
      </c>
      <c r="E7990" s="836">
        <v>1.403958333333333</v>
      </c>
      <c r="F7990" s="836">
        <v>1.787222222222222</v>
      </c>
      <c r="G7990" s="570"/>
      <c r="H7990" s="570"/>
      <c r="I7990" s="570"/>
      <c r="J7990" s="570"/>
      <c r="K7990" s="570"/>
    </row>
    <row r="7991" ht="13.75" customHeight="1">
      <c r="A7991" t="s" s="834">
        <v>5032</v>
      </c>
      <c r="B7991" t="s" s="834">
        <v>5033</v>
      </c>
      <c r="C7991" t="s" s="834">
        <v>812</v>
      </c>
      <c r="D7991" s="570"/>
      <c r="E7991" s="570"/>
      <c r="F7991" s="570"/>
      <c r="G7991" s="570"/>
      <c r="H7991" s="570"/>
      <c r="I7991" s="570"/>
      <c r="J7991" s="570"/>
      <c r="K7991" s="570"/>
    </row>
    <row r="7992" ht="13.75" customHeight="1">
      <c r="A7992" s="833">
        <v>391</v>
      </c>
      <c r="B7992" t="s" s="834">
        <v>5008</v>
      </c>
      <c r="C7992" t="s" s="834">
        <v>1010</v>
      </c>
      <c r="D7992" s="835">
        <v>46042</v>
      </c>
      <c r="E7992" s="836">
        <v>1.377071759259259</v>
      </c>
      <c r="F7992" s="836">
        <v>1.758506944444445</v>
      </c>
      <c r="G7992" s="570"/>
      <c r="H7992" s="570"/>
      <c r="I7992" s="570"/>
      <c r="J7992" s="570"/>
      <c r="K7992" s="570"/>
    </row>
    <row r="7993" ht="13.75" customHeight="1">
      <c r="A7993" t="s" s="834">
        <v>5034</v>
      </c>
      <c r="B7993" t="s" s="834">
        <v>5035</v>
      </c>
      <c r="C7993" t="s" s="834">
        <v>843</v>
      </c>
      <c r="D7993" s="570"/>
      <c r="E7993" s="570"/>
      <c r="F7993" s="570"/>
      <c r="G7993" s="570"/>
      <c r="H7993" s="570"/>
      <c r="I7993" s="570"/>
      <c r="J7993" s="570"/>
      <c r="K7993" s="570"/>
    </row>
    <row r="7994" ht="13.75" customHeight="1">
      <c r="A7994" s="833">
        <v>391</v>
      </c>
      <c r="B7994" t="s" s="834">
        <v>5008</v>
      </c>
      <c r="C7994" t="s" s="834">
        <v>1010</v>
      </c>
      <c r="D7994" s="835">
        <v>46043</v>
      </c>
      <c r="E7994" s="836">
        <v>1.369456018518519</v>
      </c>
      <c r="F7994" s="836">
        <v>1.816701388888889</v>
      </c>
      <c r="G7994" s="570"/>
      <c r="H7994" s="570"/>
      <c r="I7994" s="570"/>
      <c r="J7994" s="570"/>
      <c r="K7994" s="570"/>
    </row>
    <row r="7995" ht="13.75" customHeight="1">
      <c r="A7995" t="s" s="834">
        <v>5036</v>
      </c>
      <c r="B7995" t="s" s="834">
        <v>5037</v>
      </c>
      <c r="C7995" t="s" s="834">
        <v>4930</v>
      </c>
      <c r="D7995" s="570"/>
      <c r="E7995" s="570"/>
      <c r="F7995" s="570"/>
      <c r="G7995" s="570"/>
      <c r="H7995" s="570"/>
      <c r="I7995" s="570"/>
      <c r="J7995" s="570"/>
      <c r="K7995" s="570"/>
    </row>
    <row r="7996" ht="13.75" customHeight="1">
      <c r="A7996" s="833">
        <v>391</v>
      </c>
      <c r="B7996" t="s" s="834">
        <v>5008</v>
      </c>
      <c r="C7996" t="s" s="834">
        <v>1010</v>
      </c>
      <c r="D7996" s="835">
        <v>46044</v>
      </c>
      <c r="E7996" s="836">
        <v>1.370428240740741</v>
      </c>
      <c r="F7996" s="836">
        <v>1.75875</v>
      </c>
      <c r="G7996" s="570"/>
      <c r="H7996" s="570"/>
      <c r="I7996" s="570"/>
      <c r="J7996" s="570"/>
      <c r="K7996" s="570"/>
    </row>
    <row r="7997" ht="13.75" customHeight="1">
      <c r="A7997" t="s" s="834">
        <v>5038</v>
      </c>
      <c r="B7997" t="s" s="834">
        <v>5039</v>
      </c>
      <c r="C7997" t="s" s="834">
        <v>716</v>
      </c>
      <c r="D7997" s="570"/>
      <c r="E7997" s="570"/>
      <c r="F7997" s="570"/>
      <c r="G7997" s="570"/>
      <c r="H7997" s="570"/>
      <c r="I7997" s="570"/>
      <c r="J7997" s="570"/>
      <c r="K7997" s="570"/>
    </row>
    <row r="7998" ht="13.75" customHeight="1">
      <c r="A7998" s="833">
        <v>391</v>
      </c>
      <c r="B7998" t="s" s="834">
        <v>5008</v>
      </c>
      <c r="C7998" t="s" s="834">
        <v>1010</v>
      </c>
      <c r="D7998" s="835">
        <v>46045</v>
      </c>
      <c r="E7998" s="836">
        <v>1.412083333333333</v>
      </c>
      <c r="F7998" s="836">
        <v>1.782002314814815</v>
      </c>
      <c r="G7998" s="570"/>
      <c r="H7998" s="570"/>
      <c r="I7998" s="570"/>
      <c r="J7998" s="570"/>
      <c r="K7998" s="570"/>
    </row>
    <row r="7999" ht="13.75" customHeight="1">
      <c r="A7999" t="s" s="834">
        <v>5040</v>
      </c>
      <c r="B7999" t="s" s="834">
        <v>5041</v>
      </c>
      <c r="C7999" t="s" s="834">
        <v>1480</v>
      </c>
      <c r="D7999" s="570"/>
      <c r="E7999" s="570"/>
      <c r="F7999" s="570"/>
      <c r="G7999" s="570"/>
      <c r="H7999" s="570"/>
      <c r="I7999" s="570"/>
      <c r="J7999" s="570"/>
      <c r="K7999" s="570"/>
    </row>
    <row r="8000" ht="13.75" customHeight="1">
      <c r="A8000" s="833">
        <v>391</v>
      </c>
      <c r="B8000" t="s" s="834">
        <v>5008</v>
      </c>
      <c r="C8000" t="s" s="834">
        <v>1010</v>
      </c>
      <c r="D8000" s="835">
        <v>46046</v>
      </c>
      <c r="E8000" t="s" s="834">
        <v>478</v>
      </c>
      <c r="F8000" t="s" s="834">
        <v>478</v>
      </c>
      <c r="G8000" s="570"/>
      <c r="H8000" s="570"/>
      <c r="I8000" s="570"/>
      <c r="J8000" s="570"/>
      <c r="K8000" s="570"/>
    </row>
    <row r="8001" ht="13.75" customHeight="1">
      <c r="A8001" s="833">
        <v>391</v>
      </c>
      <c r="B8001" t="s" s="834">
        <v>5008</v>
      </c>
      <c r="C8001" t="s" s="834">
        <v>1010</v>
      </c>
      <c r="D8001" s="835">
        <v>46047</v>
      </c>
      <c r="E8001" t="s" s="834">
        <v>478</v>
      </c>
      <c r="F8001" t="s" s="834">
        <v>478</v>
      </c>
      <c r="G8001" s="570"/>
      <c r="H8001" s="570"/>
      <c r="I8001" s="570"/>
      <c r="J8001" s="570"/>
      <c r="K8001" s="570"/>
    </row>
    <row r="8002" ht="13.75" customHeight="1">
      <c r="A8002" s="833">
        <v>391</v>
      </c>
      <c r="B8002" t="s" s="834">
        <v>5008</v>
      </c>
      <c r="C8002" t="s" s="834">
        <v>1010</v>
      </c>
      <c r="D8002" s="835">
        <v>46048</v>
      </c>
      <c r="E8002" s="836">
        <v>1.362418981481482</v>
      </c>
      <c r="F8002" s="836">
        <v>1.760347222222222</v>
      </c>
      <c r="G8002" s="570"/>
      <c r="H8002" s="570"/>
      <c r="I8002" s="570"/>
      <c r="J8002" s="570"/>
      <c r="K8002" s="570"/>
    </row>
    <row r="8003" ht="13.75" customHeight="1">
      <c r="A8003" t="s" s="834">
        <v>5042</v>
      </c>
      <c r="B8003" t="s" s="834">
        <v>5043</v>
      </c>
      <c r="C8003" t="s" s="834">
        <v>688</v>
      </c>
      <c r="D8003" s="570"/>
      <c r="E8003" s="570"/>
      <c r="F8003" s="570"/>
      <c r="G8003" s="570"/>
      <c r="H8003" s="570"/>
      <c r="I8003" s="570"/>
      <c r="J8003" s="570"/>
      <c r="K8003" s="570"/>
    </row>
    <row r="8004" ht="13.75" customHeight="1">
      <c r="A8004" s="833">
        <v>391</v>
      </c>
      <c r="B8004" t="s" s="834">
        <v>5008</v>
      </c>
      <c r="C8004" t="s" s="834">
        <v>1010</v>
      </c>
      <c r="D8004" s="835">
        <v>46049</v>
      </c>
      <c r="E8004" s="836">
        <v>1.37994212962963</v>
      </c>
      <c r="F8004" s="836">
        <v>1.773333333333333</v>
      </c>
      <c r="G8004" s="570"/>
      <c r="H8004" s="570"/>
      <c r="I8004" s="570"/>
      <c r="J8004" s="570"/>
      <c r="K8004" s="570"/>
    </row>
    <row r="8005" ht="13.75" customHeight="1">
      <c r="A8005" t="s" s="834">
        <v>5044</v>
      </c>
      <c r="B8005" t="s" s="834">
        <v>5045</v>
      </c>
      <c r="C8005" t="s" s="834">
        <v>1019</v>
      </c>
      <c r="D8005" s="570"/>
      <c r="E8005" s="570"/>
      <c r="F8005" s="570"/>
      <c r="G8005" s="570"/>
      <c r="H8005" s="570"/>
      <c r="I8005" s="570"/>
      <c r="J8005" s="570"/>
      <c r="K8005" s="570"/>
    </row>
    <row r="8006" ht="13.75" customHeight="1">
      <c r="A8006" s="833">
        <v>391</v>
      </c>
      <c r="B8006" t="s" s="834">
        <v>5008</v>
      </c>
      <c r="C8006" t="s" s="834">
        <v>1010</v>
      </c>
      <c r="D8006" s="835">
        <v>46050</v>
      </c>
      <c r="E8006" s="836">
        <v>1.3753125</v>
      </c>
      <c r="F8006" s="836">
        <v>1.788020833333333</v>
      </c>
      <c r="G8006" s="570"/>
      <c r="H8006" s="570"/>
      <c r="I8006" s="570"/>
      <c r="J8006" s="570"/>
      <c r="K8006" s="570"/>
    </row>
    <row r="8007" ht="13.75" customHeight="1">
      <c r="A8007" t="s" s="834">
        <v>5046</v>
      </c>
      <c r="B8007" t="s" s="834">
        <v>5047</v>
      </c>
      <c r="C8007" t="s" s="834">
        <v>1059</v>
      </c>
      <c r="D8007" s="570"/>
      <c r="E8007" s="570"/>
      <c r="F8007" s="570"/>
      <c r="G8007" s="570"/>
      <c r="H8007" s="570"/>
      <c r="I8007" s="570"/>
      <c r="J8007" s="570"/>
      <c r="K8007" s="570"/>
    </row>
    <row r="8008" ht="13.75" customHeight="1">
      <c r="A8008" s="833">
        <v>391</v>
      </c>
      <c r="B8008" t="s" s="834">
        <v>5008</v>
      </c>
      <c r="C8008" t="s" s="834">
        <v>1010</v>
      </c>
      <c r="D8008" s="835">
        <v>46051</v>
      </c>
      <c r="E8008" t="s" s="834">
        <v>478</v>
      </c>
      <c r="F8008" t="s" s="834">
        <v>478</v>
      </c>
      <c r="G8008" s="570"/>
      <c r="H8008" s="570"/>
      <c r="I8008" s="570"/>
      <c r="J8008" s="570"/>
      <c r="K8008" s="570"/>
    </row>
    <row r="8009" ht="13.75" customHeight="1">
      <c r="A8009" s="833">
        <v>391</v>
      </c>
      <c r="B8009" t="s" s="834">
        <v>5008</v>
      </c>
      <c r="C8009" t="s" s="834">
        <v>1010</v>
      </c>
      <c r="D8009" s="835">
        <v>46052</v>
      </c>
      <c r="E8009" t="s" s="834">
        <v>478</v>
      </c>
      <c r="F8009" t="s" s="834">
        <v>478</v>
      </c>
      <c r="G8009" s="570"/>
      <c r="H8009" s="570"/>
      <c r="I8009" s="570"/>
      <c r="J8009" s="570"/>
      <c r="K8009" s="570"/>
    </row>
    <row r="8010" ht="13.75" customHeight="1">
      <c r="A8010" s="833">
        <v>391</v>
      </c>
      <c r="B8010" t="s" s="834">
        <v>5008</v>
      </c>
      <c r="C8010" t="s" s="834">
        <v>1010</v>
      </c>
      <c r="D8010" s="835">
        <v>46053</v>
      </c>
      <c r="E8010" t="s" s="834">
        <v>478</v>
      </c>
      <c r="F8010" t="s" s="834">
        <v>478</v>
      </c>
      <c r="G8010" s="570"/>
      <c r="H8010" s="570"/>
      <c r="I8010" s="570"/>
      <c r="J8010" s="570"/>
      <c r="K8010" s="570"/>
    </row>
    <row r="8011" ht="13.75" customHeight="1">
      <c r="A8011" s="833">
        <v>391</v>
      </c>
      <c r="B8011" t="s" s="834">
        <v>5008</v>
      </c>
      <c r="C8011" t="s" s="834">
        <v>1010</v>
      </c>
      <c r="D8011" s="835">
        <v>46054</v>
      </c>
      <c r="E8011" t="s" s="834">
        <v>478</v>
      </c>
      <c r="F8011" t="s" s="834">
        <v>478</v>
      </c>
      <c r="G8011" s="570"/>
      <c r="H8011" s="570"/>
      <c r="I8011" s="570"/>
      <c r="J8011" s="570"/>
      <c r="K8011" s="570"/>
    </row>
    <row r="8012" ht="13.75" customHeight="1">
      <c r="A8012" s="833">
        <v>392</v>
      </c>
      <c r="B8012" t="s" s="834">
        <v>5048</v>
      </c>
      <c r="C8012" t="s" s="834">
        <v>1752</v>
      </c>
      <c r="D8012" s="835">
        <v>46023</v>
      </c>
      <c r="E8012" t="s" s="834">
        <v>478</v>
      </c>
      <c r="F8012" t="s" s="834">
        <v>478</v>
      </c>
      <c r="G8012" s="570"/>
      <c r="H8012" s="570"/>
      <c r="I8012" s="570"/>
      <c r="J8012" s="570"/>
      <c r="K8012" s="570"/>
    </row>
    <row r="8013" ht="13.75" customHeight="1">
      <c r="A8013" s="833">
        <v>392</v>
      </c>
      <c r="B8013" t="s" s="834">
        <v>5048</v>
      </c>
      <c r="C8013" t="s" s="834">
        <v>1752</v>
      </c>
      <c r="D8013" s="835">
        <v>46024</v>
      </c>
      <c r="E8013" t="s" s="834">
        <v>478</v>
      </c>
      <c r="F8013" t="s" s="834">
        <v>478</v>
      </c>
      <c r="G8013" s="570"/>
      <c r="H8013" s="570"/>
      <c r="I8013" s="570"/>
      <c r="J8013" s="570"/>
      <c r="K8013" s="570"/>
    </row>
    <row r="8014" ht="13.75" customHeight="1">
      <c r="A8014" s="833">
        <v>392</v>
      </c>
      <c r="B8014" t="s" s="834">
        <v>5048</v>
      </c>
      <c r="C8014" t="s" s="834">
        <v>1752</v>
      </c>
      <c r="D8014" s="835">
        <v>46025</v>
      </c>
      <c r="E8014" t="s" s="834">
        <v>478</v>
      </c>
      <c r="F8014" t="s" s="834">
        <v>478</v>
      </c>
      <c r="G8014" s="570"/>
      <c r="H8014" s="570"/>
      <c r="I8014" s="570"/>
      <c r="J8014" s="570"/>
      <c r="K8014" s="570"/>
    </row>
    <row r="8015" ht="13.75" customHeight="1">
      <c r="A8015" s="833">
        <v>392</v>
      </c>
      <c r="B8015" t="s" s="834">
        <v>5048</v>
      </c>
      <c r="C8015" t="s" s="834">
        <v>1752</v>
      </c>
      <c r="D8015" s="835">
        <v>46026</v>
      </c>
      <c r="E8015" t="s" s="834">
        <v>478</v>
      </c>
      <c r="F8015" t="s" s="834">
        <v>478</v>
      </c>
      <c r="G8015" s="570"/>
      <c r="H8015" s="570"/>
      <c r="I8015" s="570"/>
      <c r="J8015" s="570"/>
      <c r="K8015" s="570"/>
    </row>
    <row r="8016" ht="13.75" customHeight="1">
      <c r="A8016" s="833">
        <v>392</v>
      </c>
      <c r="B8016" t="s" s="834">
        <v>5048</v>
      </c>
      <c r="C8016" t="s" s="834">
        <v>1752</v>
      </c>
      <c r="D8016" s="835">
        <v>46027</v>
      </c>
      <c r="E8016" t="s" s="834">
        <v>478</v>
      </c>
      <c r="F8016" t="s" s="834">
        <v>478</v>
      </c>
      <c r="G8016" s="570"/>
      <c r="H8016" s="570"/>
      <c r="I8016" s="570"/>
      <c r="J8016" s="570"/>
      <c r="K8016" s="570"/>
    </row>
    <row r="8017" ht="13.75" customHeight="1">
      <c r="A8017" s="833">
        <v>392</v>
      </c>
      <c r="B8017" t="s" s="834">
        <v>5048</v>
      </c>
      <c r="C8017" t="s" s="834">
        <v>1752</v>
      </c>
      <c r="D8017" s="835">
        <v>46028</v>
      </c>
      <c r="E8017" s="836">
        <v>1.367604166666667</v>
      </c>
      <c r="F8017" s="836">
        <v>1.778622685185185</v>
      </c>
      <c r="G8017" s="570"/>
      <c r="H8017" s="570"/>
      <c r="I8017" s="570"/>
      <c r="J8017" s="570"/>
      <c r="K8017" s="570"/>
    </row>
    <row r="8018" ht="13.75" customHeight="1">
      <c r="A8018" t="s" s="834">
        <v>5049</v>
      </c>
      <c r="B8018" t="s" s="834">
        <v>5050</v>
      </c>
      <c r="C8018" t="s" s="834">
        <v>850</v>
      </c>
      <c r="D8018" s="570"/>
      <c r="E8018" s="570"/>
      <c r="F8018" s="570"/>
      <c r="G8018" s="570"/>
      <c r="H8018" s="570"/>
      <c r="I8018" s="570"/>
      <c r="J8018" s="570"/>
      <c r="K8018" s="570"/>
    </row>
    <row r="8019" ht="13.75" customHeight="1">
      <c r="A8019" s="833">
        <v>392</v>
      </c>
      <c r="B8019" t="s" s="834">
        <v>5048</v>
      </c>
      <c r="C8019" t="s" s="834">
        <v>1752</v>
      </c>
      <c r="D8019" s="835">
        <v>46029</v>
      </c>
      <c r="E8019" s="836">
        <v>1.372638888888889</v>
      </c>
      <c r="F8019" s="836">
        <v>1.816122685185185</v>
      </c>
      <c r="G8019" s="570"/>
      <c r="H8019" s="570"/>
      <c r="I8019" s="570"/>
      <c r="J8019" s="570"/>
      <c r="K8019" s="570"/>
    </row>
    <row r="8020" ht="13.75" customHeight="1">
      <c r="A8020" t="s" s="834">
        <v>5051</v>
      </c>
      <c r="B8020" t="s" s="834">
        <v>5052</v>
      </c>
      <c r="C8020" t="s" s="834">
        <v>497</v>
      </c>
      <c r="D8020" s="570"/>
      <c r="E8020" s="570"/>
      <c r="F8020" s="570"/>
      <c r="G8020" s="570"/>
      <c r="H8020" s="570"/>
      <c r="I8020" s="570"/>
      <c r="J8020" s="570"/>
      <c r="K8020" s="570"/>
    </row>
    <row r="8021" ht="13.75" customHeight="1">
      <c r="A8021" s="833">
        <v>392</v>
      </c>
      <c r="B8021" t="s" s="834">
        <v>5048</v>
      </c>
      <c r="C8021" t="s" s="834">
        <v>1752</v>
      </c>
      <c r="D8021" s="835">
        <v>46030</v>
      </c>
      <c r="E8021" s="836">
        <v>1.388032407407407</v>
      </c>
      <c r="F8021" s="836">
        <v>1.758715277777778</v>
      </c>
      <c r="G8021" s="570"/>
      <c r="H8021" s="570"/>
      <c r="I8021" s="570"/>
      <c r="J8021" s="570"/>
      <c r="K8021" s="570"/>
    </row>
    <row r="8022" ht="13.75" customHeight="1">
      <c r="A8022" t="s" s="834">
        <v>5053</v>
      </c>
      <c r="B8022" t="s" s="834">
        <v>5054</v>
      </c>
      <c r="C8022" t="s" s="834">
        <v>826</v>
      </c>
      <c r="D8022" s="570"/>
      <c r="E8022" s="570"/>
      <c r="F8022" s="570"/>
      <c r="G8022" s="570"/>
      <c r="H8022" s="570"/>
      <c r="I8022" s="570"/>
      <c r="J8022" s="570"/>
      <c r="K8022" s="570"/>
    </row>
    <row r="8023" ht="13.75" customHeight="1">
      <c r="A8023" s="833">
        <v>392</v>
      </c>
      <c r="B8023" t="s" s="834">
        <v>5048</v>
      </c>
      <c r="C8023" t="s" s="834">
        <v>1752</v>
      </c>
      <c r="D8023" s="835">
        <v>46031</v>
      </c>
      <c r="E8023" s="836">
        <v>1.357708333333333</v>
      </c>
      <c r="F8023" s="836">
        <v>1.824814814814815</v>
      </c>
      <c r="G8023" s="570"/>
      <c r="H8023" s="570"/>
      <c r="I8023" s="570"/>
      <c r="J8023" s="570"/>
      <c r="K8023" s="570"/>
    </row>
    <row r="8024" ht="13.75" customHeight="1">
      <c r="A8024" t="s" s="834">
        <v>5055</v>
      </c>
      <c r="B8024" t="s" s="834">
        <v>5056</v>
      </c>
      <c r="C8024" t="s" s="834">
        <v>2195</v>
      </c>
      <c r="D8024" s="570"/>
      <c r="E8024" s="570"/>
      <c r="F8024" s="570"/>
      <c r="G8024" s="570"/>
      <c r="H8024" s="570"/>
      <c r="I8024" s="570"/>
      <c r="J8024" s="570"/>
      <c r="K8024" s="570"/>
    </row>
    <row r="8025" ht="13.75" customHeight="1">
      <c r="A8025" s="833">
        <v>392</v>
      </c>
      <c r="B8025" t="s" s="834">
        <v>5048</v>
      </c>
      <c r="C8025" t="s" s="834">
        <v>1752</v>
      </c>
      <c r="D8025" s="835">
        <v>46032</v>
      </c>
      <c r="E8025" t="s" s="834">
        <v>478</v>
      </c>
      <c r="F8025" t="s" s="834">
        <v>478</v>
      </c>
      <c r="G8025" s="570"/>
      <c r="H8025" s="570"/>
      <c r="I8025" s="570"/>
      <c r="J8025" s="570"/>
      <c r="K8025" s="570"/>
    </row>
    <row r="8026" ht="13.75" customHeight="1">
      <c r="A8026" s="833">
        <v>392</v>
      </c>
      <c r="B8026" t="s" s="834">
        <v>5048</v>
      </c>
      <c r="C8026" t="s" s="834">
        <v>1752</v>
      </c>
      <c r="D8026" s="835">
        <v>46033</v>
      </c>
      <c r="E8026" t="s" s="834">
        <v>478</v>
      </c>
      <c r="F8026" t="s" s="834">
        <v>478</v>
      </c>
      <c r="G8026" s="570"/>
      <c r="H8026" s="570"/>
      <c r="I8026" s="570"/>
      <c r="J8026" s="570"/>
      <c r="K8026" s="570"/>
    </row>
    <row r="8027" ht="13.75" customHeight="1">
      <c r="A8027" s="833">
        <v>392</v>
      </c>
      <c r="B8027" t="s" s="834">
        <v>5048</v>
      </c>
      <c r="C8027" t="s" s="834">
        <v>1752</v>
      </c>
      <c r="D8027" s="835">
        <v>46034</v>
      </c>
      <c r="E8027" t="s" s="834">
        <v>478</v>
      </c>
      <c r="F8027" t="s" s="834">
        <v>478</v>
      </c>
      <c r="G8027" s="570"/>
      <c r="H8027" s="570"/>
      <c r="I8027" s="570"/>
      <c r="J8027" s="570"/>
      <c r="K8027" s="570"/>
    </row>
    <row r="8028" ht="13.75" customHeight="1">
      <c r="A8028" s="833">
        <v>392</v>
      </c>
      <c r="B8028" t="s" s="834">
        <v>5048</v>
      </c>
      <c r="C8028" t="s" s="834">
        <v>1752</v>
      </c>
      <c r="D8028" s="835">
        <v>46035</v>
      </c>
      <c r="E8028" s="836">
        <v>1.374930555555556</v>
      </c>
      <c r="F8028" s="836">
        <v>1.7596875</v>
      </c>
      <c r="G8028" s="570"/>
      <c r="H8028" s="570"/>
      <c r="I8028" s="570"/>
      <c r="J8028" s="570"/>
      <c r="K8028" s="570"/>
    </row>
    <row r="8029" ht="13.75" customHeight="1">
      <c r="A8029" t="s" s="834">
        <v>5057</v>
      </c>
      <c r="B8029" t="s" s="834">
        <v>5058</v>
      </c>
      <c r="C8029" t="s" s="834">
        <v>2452</v>
      </c>
      <c r="D8029" s="570"/>
      <c r="E8029" s="570"/>
      <c r="F8029" s="570"/>
      <c r="G8029" s="570"/>
      <c r="H8029" s="570"/>
      <c r="I8029" s="570"/>
      <c r="J8029" s="570"/>
      <c r="K8029" s="570"/>
    </row>
    <row r="8030" ht="13.75" customHeight="1">
      <c r="A8030" s="833">
        <v>392</v>
      </c>
      <c r="B8030" t="s" s="834">
        <v>5048</v>
      </c>
      <c r="C8030" t="s" s="834">
        <v>1752</v>
      </c>
      <c r="D8030" s="835">
        <v>46036</v>
      </c>
      <c r="E8030" s="836">
        <v>1.372777777777778</v>
      </c>
      <c r="F8030" s="836">
        <v>1.762118055555556</v>
      </c>
      <c r="G8030" s="570"/>
      <c r="H8030" s="570"/>
      <c r="I8030" s="570"/>
      <c r="J8030" s="570"/>
      <c r="K8030" s="570"/>
    </row>
    <row r="8031" ht="13.75" customHeight="1">
      <c r="A8031" t="s" s="834">
        <v>5059</v>
      </c>
      <c r="B8031" t="s" s="834">
        <v>5060</v>
      </c>
      <c r="C8031" t="s" s="834">
        <v>979</v>
      </c>
      <c r="D8031" s="570"/>
      <c r="E8031" s="570"/>
      <c r="F8031" s="570"/>
      <c r="G8031" s="570"/>
      <c r="H8031" s="570"/>
      <c r="I8031" s="570"/>
      <c r="J8031" s="570"/>
      <c r="K8031" s="570"/>
    </row>
    <row r="8032" ht="13.75" customHeight="1">
      <c r="A8032" s="833">
        <v>392</v>
      </c>
      <c r="B8032" t="s" s="834">
        <v>5048</v>
      </c>
      <c r="C8032" t="s" s="834">
        <v>1752</v>
      </c>
      <c r="D8032" s="835">
        <v>46037</v>
      </c>
      <c r="E8032" s="836">
        <v>1.369467592592593</v>
      </c>
      <c r="F8032" s="836">
        <v>1.762592592592592</v>
      </c>
      <c r="G8032" s="570"/>
      <c r="H8032" s="570"/>
      <c r="I8032" s="570"/>
      <c r="J8032" s="570"/>
      <c r="K8032" s="570"/>
    </row>
    <row r="8033" ht="13.75" customHeight="1">
      <c r="A8033" t="s" s="834">
        <v>1623</v>
      </c>
      <c r="B8033" t="s" s="834">
        <v>5061</v>
      </c>
      <c r="C8033" t="s" s="834">
        <v>1019</v>
      </c>
      <c r="D8033" s="570"/>
      <c r="E8033" s="570"/>
      <c r="F8033" s="570"/>
      <c r="G8033" s="570"/>
      <c r="H8033" s="570"/>
      <c r="I8033" s="570"/>
      <c r="J8033" s="570"/>
      <c r="K8033" s="570"/>
    </row>
    <row r="8034" ht="13.75" customHeight="1">
      <c r="A8034" s="833">
        <v>392</v>
      </c>
      <c r="B8034" t="s" s="834">
        <v>5048</v>
      </c>
      <c r="C8034" t="s" s="834">
        <v>1752</v>
      </c>
      <c r="D8034" s="835">
        <v>46038</v>
      </c>
      <c r="E8034" s="836">
        <v>1.382060185185185</v>
      </c>
      <c r="F8034" s="836">
        <v>1.76287037037037</v>
      </c>
      <c r="G8034" s="570"/>
      <c r="H8034" s="570"/>
      <c r="I8034" s="570"/>
      <c r="J8034" s="570"/>
      <c r="K8034" s="570"/>
    </row>
    <row r="8035" ht="13.75" customHeight="1">
      <c r="A8035" t="s" s="834">
        <v>5062</v>
      </c>
      <c r="B8035" t="s" s="834">
        <v>5063</v>
      </c>
      <c r="C8035" t="s" s="834">
        <v>537</v>
      </c>
      <c r="D8035" s="570"/>
      <c r="E8035" s="570"/>
      <c r="F8035" s="570"/>
      <c r="G8035" s="570"/>
      <c r="H8035" s="570"/>
      <c r="I8035" s="570"/>
      <c r="J8035" s="570"/>
      <c r="K8035" s="570"/>
    </row>
    <row r="8036" ht="13.75" customHeight="1">
      <c r="A8036" s="833">
        <v>392</v>
      </c>
      <c r="B8036" t="s" s="834">
        <v>5048</v>
      </c>
      <c r="C8036" t="s" s="834">
        <v>1752</v>
      </c>
      <c r="D8036" s="835">
        <v>46039</v>
      </c>
      <c r="E8036" t="s" s="834">
        <v>478</v>
      </c>
      <c r="F8036" t="s" s="834">
        <v>478</v>
      </c>
      <c r="G8036" s="570"/>
      <c r="H8036" s="570"/>
      <c r="I8036" s="570"/>
      <c r="J8036" s="570"/>
      <c r="K8036" s="570"/>
    </row>
    <row r="8037" ht="13.75" customHeight="1">
      <c r="A8037" s="833">
        <v>392</v>
      </c>
      <c r="B8037" t="s" s="834">
        <v>5048</v>
      </c>
      <c r="C8037" t="s" s="834">
        <v>1752</v>
      </c>
      <c r="D8037" s="835">
        <v>46040</v>
      </c>
      <c r="E8037" t="s" s="834">
        <v>478</v>
      </c>
      <c r="F8037" t="s" s="834">
        <v>478</v>
      </c>
      <c r="G8037" s="570"/>
      <c r="H8037" s="570"/>
      <c r="I8037" s="570"/>
      <c r="J8037" s="570"/>
      <c r="K8037" s="570"/>
    </row>
    <row r="8038" ht="13.75" customHeight="1">
      <c r="A8038" s="833">
        <v>392</v>
      </c>
      <c r="B8038" t="s" s="834">
        <v>5048</v>
      </c>
      <c r="C8038" t="s" s="834">
        <v>1752</v>
      </c>
      <c r="D8038" s="835">
        <v>46041</v>
      </c>
      <c r="E8038" s="836">
        <v>1.373009259259259</v>
      </c>
      <c r="F8038" s="836">
        <v>1.771932870370371</v>
      </c>
      <c r="G8038" s="570"/>
      <c r="H8038" s="570"/>
      <c r="I8038" s="570"/>
      <c r="J8038" s="570"/>
      <c r="K8038" s="570"/>
    </row>
    <row r="8039" ht="13.75" customHeight="1">
      <c r="A8039" t="s" s="834">
        <v>5064</v>
      </c>
      <c r="B8039" t="s" s="834">
        <v>5065</v>
      </c>
      <c r="C8039" t="s" s="834">
        <v>611</v>
      </c>
      <c r="D8039" s="570"/>
      <c r="E8039" s="570"/>
      <c r="F8039" s="570"/>
      <c r="G8039" s="570"/>
      <c r="H8039" s="570"/>
      <c r="I8039" s="570"/>
      <c r="J8039" s="570"/>
      <c r="K8039" s="570"/>
    </row>
    <row r="8040" ht="13.75" customHeight="1">
      <c r="A8040" s="833">
        <v>392</v>
      </c>
      <c r="B8040" t="s" s="834">
        <v>5048</v>
      </c>
      <c r="C8040" t="s" s="834">
        <v>1752</v>
      </c>
      <c r="D8040" s="835">
        <v>46042</v>
      </c>
      <c r="E8040" s="836">
        <v>1.374768518518519</v>
      </c>
      <c r="F8040" s="836">
        <v>1.757650462962963</v>
      </c>
      <c r="G8040" s="570"/>
      <c r="H8040" s="570"/>
      <c r="I8040" s="570"/>
      <c r="J8040" s="570"/>
      <c r="K8040" s="570"/>
    </row>
    <row r="8041" ht="13.75" customHeight="1">
      <c r="A8041" t="s" s="834">
        <v>5066</v>
      </c>
      <c r="B8041" t="s" s="834">
        <v>5067</v>
      </c>
      <c r="C8041" t="s" s="834">
        <v>540</v>
      </c>
      <c r="D8041" s="570"/>
      <c r="E8041" s="570"/>
      <c r="F8041" s="570"/>
      <c r="G8041" s="570"/>
      <c r="H8041" s="570"/>
      <c r="I8041" s="570"/>
      <c r="J8041" s="570"/>
      <c r="K8041" s="570"/>
    </row>
    <row r="8042" ht="13.75" customHeight="1">
      <c r="A8042" s="833">
        <v>392</v>
      </c>
      <c r="B8042" t="s" s="834">
        <v>5048</v>
      </c>
      <c r="C8042" t="s" s="834">
        <v>1752</v>
      </c>
      <c r="D8042" s="835">
        <v>46043</v>
      </c>
      <c r="E8042" s="836">
        <v>1.368252314814815</v>
      </c>
      <c r="F8042" s="836">
        <v>1.754803240740741</v>
      </c>
      <c r="G8042" s="570"/>
      <c r="H8042" s="570"/>
      <c r="I8042" s="570"/>
      <c r="J8042" s="570"/>
      <c r="K8042" s="570"/>
    </row>
    <row r="8043" ht="13.75" customHeight="1">
      <c r="A8043" t="s" s="834">
        <v>5068</v>
      </c>
      <c r="B8043" t="s" s="834">
        <v>5069</v>
      </c>
      <c r="C8043" t="s" s="834">
        <v>995</v>
      </c>
      <c r="D8043" s="570"/>
      <c r="E8043" s="570"/>
      <c r="F8043" s="570"/>
      <c r="G8043" s="570"/>
      <c r="H8043" s="570"/>
      <c r="I8043" s="570"/>
      <c r="J8043" s="570"/>
      <c r="K8043" s="570"/>
    </row>
    <row r="8044" ht="13.75" customHeight="1">
      <c r="A8044" s="833">
        <v>392</v>
      </c>
      <c r="B8044" t="s" s="834">
        <v>5048</v>
      </c>
      <c r="C8044" t="s" s="834">
        <v>1752</v>
      </c>
      <c r="D8044" s="835">
        <v>46044</v>
      </c>
      <c r="E8044" s="836">
        <v>1.374247685185185</v>
      </c>
      <c r="F8044" s="836">
        <v>1.756180555555555</v>
      </c>
      <c r="G8044" s="570"/>
      <c r="H8044" s="570"/>
      <c r="I8044" s="570"/>
      <c r="J8044" s="570"/>
      <c r="K8044" s="570"/>
    </row>
    <row r="8045" ht="13.75" customHeight="1">
      <c r="A8045" t="s" s="834">
        <v>5070</v>
      </c>
      <c r="B8045" t="s" s="834">
        <v>5071</v>
      </c>
      <c r="C8045" t="s" s="834">
        <v>816</v>
      </c>
      <c r="D8045" s="570"/>
      <c r="E8045" s="570"/>
      <c r="F8045" s="570"/>
      <c r="G8045" s="570"/>
      <c r="H8045" s="570"/>
      <c r="I8045" s="570"/>
      <c r="J8045" s="570"/>
      <c r="K8045" s="570"/>
    </row>
    <row r="8046" ht="13.75" customHeight="1">
      <c r="A8046" s="833">
        <v>392</v>
      </c>
      <c r="B8046" t="s" s="834">
        <v>5048</v>
      </c>
      <c r="C8046" t="s" s="834">
        <v>1752</v>
      </c>
      <c r="D8046" s="835">
        <v>46045</v>
      </c>
      <c r="E8046" s="836">
        <v>1.381666666666667</v>
      </c>
      <c r="F8046" s="836">
        <v>1.754826388888889</v>
      </c>
      <c r="G8046" s="570"/>
      <c r="H8046" s="570"/>
      <c r="I8046" s="570"/>
      <c r="J8046" s="570"/>
      <c r="K8046" s="570"/>
    </row>
    <row r="8047" ht="13.75" customHeight="1">
      <c r="A8047" t="s" s="834">
        <v>5072</v>
      </c>
      <c r="B8047" t="s" s="834">
        <v>5073</v>
      </c>
      <c r="C8047" t="s" s="834">
        <v>2862</v>
      </c>
      <c r="D8047" s="570"/>
      <c r="E8047" s="570"/>
      <c r="F8047" s="570"/>
      <c r="G8047" s="570"/>
      <c r="H8047" s="570"/>
      <c r="I8047" s="570"/>
      <c r="J8047" s="570"/>
      <c r="K8047" s="570"/>
    </row>
    <row r="8048" ht="13.75" customHeight="1">
      <c r="A8048" s="833">
        <v>392</v>
      </c>
      <c r="B8048" t="s" s="834">
        <v>5048</v>
      </c>
      <c r="C8048" t="s" s="834">
        <v>1752</v>
      </c>
      <c r="D8048" s="835">
        <v>46046</v>
      </c>
      <c r="E8048" t="s" s="834">
        <v>478</v>
      </c>
      <c r="F8048" t="s" s="834">
        <v>478</v>
      </c>
      <c r="G8048" s="570"/>
      <c r="H8048" s="570"/>
      <c r="I8048" s="570"/>
      <c r="J8048" s="570"/>
      <c r="K8048" s="570"/>
    </row>
    <row r="8049" ht="13.75" customHeight="1">
      <c r="A8049" s="833">
        <v>392</v>
      </c>
      <c r="B8049" t="s" s="834">
        <v>5048</v>
      </c>
      <c r="C8049" t="s" s="834">
        <v>1752</v>
      </c>
      <c r="D8049" s="835">
        <v>46047</v>
      </c>
      <c r="E8049" t="s" s="834">
        <v>478</v>
      </c>
      <c r="F8049" t="s" s="834">
        <v>478</v>
      </c>
      <c r="G8049" s="570"/>
      <c r="H8049" s="570"/>
      <c r="I8049" s="570"/>
      <c r="J8049" s="570"/>
      <c r="K8049" s="570"/>
    </row>
    <row r="8050" ht="13.75" customHeight="1">
      <c r="A8050" s="833">
        <v>392</v>
      </c>
      <c r="B8050" t="s" s="834">
        <v>5048</v>
      </c>
      <c r="C8050" t="s" s="834">
        <v>1752</v>
      </c>
      <c r="D8050" s="835">
        <v>46048</v>
      </c>
      <c r="E8050" s="836">
        <v>1.379560185185185</v>
      </c>
      <c r="F8050" s="836">
        <v>1.763611111111111</v>
      </c>
      <c r="G8050" s="570"/>
      <c r="H8050" s="570"/>
      <c r="I8050" s="570"/>
      <c r="J8050" s="570"/>
      <c r="K8050" s="570"/>
    </row>
    <row r="8051" ht="13.75" customHeight="1">
      <c r="A8051" t="s" s="834">
        <v>5074</v>
      </c>
      <c r="B8051" t="s" s="834">
        <v>5075</v>
      </c>
      <c r="C8051" t="s" s="834">
        <v>984</v>
      </c>
      <c r="D8051" s="570"/>
      <c r="E8051" s="570"/>
      <c r="F8051" s="570"/>
      <c r="G8051" s="570"/>
      <c r="H8051" s="570"/>
      <c r="I8051" s="570"/>
      <c r="J8051" s="570"/>
      <c r="K8051" s="570"/>
    </row>
    <row r="8052" ht="13.75" customHeight="1">
      <c r="A8052" s="833">
        <v>392</v>
      </c>
      <c r="B8052" t="s" s="834">
        <v>5048</v>
      </c>
      <c r="C8052" t="s" s="834">
        <v>1752</v>
      </c>
      <c r="D8052" s="835">
        <v>46049</v>
      </c>
      <c r="E8052" s="836">
        <v>1.371458333333333</v>
      </c>
      <c r="F8052" s="836">
        <v>1.760011574074074</v>
      </c>
      <c r="G8052" s="570"/>
      <c r="H8052" s="570"/>
      <c r="I8052" s="570"/>
      <c r="J8052" s="570"/>
      <c r="K8052" s="570"/>
    </row>
    <row r="8053" ht="13.75" customHeight="1">
      <c r="A8053" t="s" s="834">
        <v>5076</v>
      </c>
      <c r="B8053" t="s" s="834">
        <v>5077</v>
      </c>
      <c r="C8053" t="s" s="834">
        <v>1490</v>
      </c>
      <c r="D8053" s="570"/>
      <c r="E8053" s="570"/>
      <c r="F8053" s="570"/>
      <c r="G8053" s="570"/>
      <c r="H8053" s="570"/>
      <c r="I8053" s="570"/>
      <c r="J8053" s="570"/>
      <c r="K8053" s="570"/>
    </row>
    <row r="8054" ht="13.75" customHeight="1">
      <c r="A8054" s="833">
        <v>392</v>
      </c>
      <c r="B8054" t="s" s="834">
        <v>5048</v>
      </c>
      <c r="C8054" t="s" s="834">
        <v>1752</v>
      </c>
      <c r="D8054" s="835">
        <v>46050</v>
      </c>
      <c r="E8054" s="836">
        <v>1.368912037037037</v>
      </c>
      <c r="F8054" s="836">
        <v>1.752731481481482</v>
      </c>
      <c r="G8054" s="570"/>
      <c r="H8054" s="570"/>
      <c r="I8054" s="570"/>
      <c r="J8054" s="570"/>
      <c r="K8054" s="570"/>
    </row>
    <row r="8055" ht="13.75" customHeight="1">
      <c r="A8055" t="s" s="834">
        <v>5078</v>
      </c>
      <c r="B8055" t="s" s="834">
        <v>5079</v>
      </c>
      <c r="C8055" t="s" s="834">
        <v>984</v>
      </c>
      <c r="D8055" s="570"/>
      <c r="E8055" s="570"/>
      <c r="F8055" s="570"/>
      <c r="G8055" s="570"/>
      <c r="H8055" s="570"/>
      <c r="I8055" s="570"/>
      <c r="J8055" s="570"/>
      <c r="K8055" s="570"/>
    </row>
    <row r="8056" ht="13.75" customHeight="1">
      <c r="A8056" s="833">
        <v>392</v>
      </c>
      <c r="B8056" t="s" s="834">
        <v>5048</v>
      </c>
      <c r="C8056" t="s" s="834">
        <v>1752</v>
      </c>
      <c r="D8056" s="835">
        <v>46051</v>
      </c>
      <c r="E8056" s="836">
        <v>1.37130787037037</v>
      </c>
      <c r="F8056" s="836">
        <v>1.759537037037037</v>
      </c>
      <c r="G8056" s="570"/>
      <c r="H8056" s="570"/>
      <c r="I8056" s="570"/>
      <c r="J8056" s="570"/>
      <c r="K8056" s="570"/>
    </row>
    <row r="8057" ht="13.75" customHeight="1">
      <c r="A8057" t="s" s="834">
        <v>5080</v>
      </c>
      <c r="B8057" t="s" s="834">
        <v>5081</v>
      </c>
      <c r="C8057" t="s" s="834">
        <v>716</v>
      </c>
      <c r="D8057" s="570"/>
      <c r="E8057" s="570"/>
      <c r="F8057" s="570"/>
      <c r="G8057" s="570"/>
      <c r="H8057" s="570"/>
      <c r="I8057" s="570"/>
      <c r="J8057" s="570"/>
      <c r="K8057" s="570"/>
    </row>
    <row r="8058" ht="13.75" customHeight="1">
      <c r="A8058" s="833">
        <v>392</v>
      </c>
      <c r="B8058" t="s" s="834">
        <v>5048</v>
      </c>
      <c r="C8058" t="s" s="834">
        <v>1752</v>
      </c>
      <c r="D8058" s="835">
        <v>46052</v>
      </c>
      <c r="E8058" s="836">
        <v>1.376180555555556</v>
      </c>
      <c r="F8058" s="836">
        <v>1.758344907407408</v>
      </c>
      <c r="G8058" s="570"/>
      <c r="H8058" s="570"/>
      <c r="I8058" s="570"/>
      <c r="J8058" s="570"/>
      <c r="K8058" s="570"/>
    </row>
    <row r="8059" ht="13.75" customHeight="1">
      <c r="A8059" t="s" s="834">
        <v>5082</v>
      </c>
      <c r="B8059" t="s" s="834">
        <v>5083</v>
      </c>
      <c r="C8059" t="s" s="834">
        <v>816</v>
      </c>
      <c r="D8059" s="570"/>
      <c r="E8059" s="570"/>
      <c r="F8059" s="570"/>
      <c r="G8059" s="570"/>
      <c r="H8059" s="570"/>
      <c r="I8059" s="570"/>
      <c r="J8059" s="570"/>
      <c r="K8059" s="570"/>
    </row>
    <row r="8060" ht="13.75" customHeight="1">
      <c r="A8060" s="833">
        <v>392</v>
      </c>
      <c r="B8060" t="s" s="834">
        <v>5048</v>
      </c>
      <c r="C8060" t="s" s="834">
        <v>1752</v>
      </c>
      <c r="D8060" s="835">
        <v>46053</v>
      </c>
      <c r="E8060" t="s" s="834">
        <v>478</v>
      </c>
      <c r="F8060" t="s" s="834">
        <v>478</v>
      </c>
      <c r="G8060" s="570"/>
      <c r="H8060" s="570"/>
      <c r="I8060" s="570"/>
      <c r="J8060" s="570"/>
      <c r="K8060" s="570"/>
    </row>
    <row r="8061" ht="13.75" customHeight="1">
      <c r="A8061" s="833">
        <v>392</v>
      </c>
      <c r="B8061" t="s" s="834">
        <v>5048</v>
      </c>
      <c r="C8061" t="s" s="834">
        <v>1752</v>
      </c>
      <c r="D8061" s="835">
        <v>46054</v>
      </c>
      <c r="E8061" t="s" s="834">
        <v>478</v>
      </c>
      <c r="F8061" t="s" s="834">
        <v>478</v>
      </c>
      <c r="G8061" s="570"/>
      <c r="H8061" s="570"/>
      <c r="I8061" s="570"/>
      <c r="J8061" s="570"/>
      <c r="K8061" s="570"/>
    </row>
    <row r="8062" ht="13.75" customHeight="1">
      <c r="A8062" s="833">
        <v>393</v>
      </c>
      <c r="B8062" t="s" s="834">
        <v>1972</v>
      </c>
      <c r="C8062" t="s" s="834">
        <v>2718</v>
      </c>
      <c r="D8062" s="835">
        <v>46023</v>
      </c>
      <c r="E8062" t="s" s="834">
        <v>478</v>
      </c>
      <c r="F8062" t="s" s="834">
        <v>478</v>
      </c>
      <c r="G8062" s="570"/>
      <c r="H8062" s="570"/>
      <c r="I8062" s="570"/>
      <c r="J8062" s="570"/>
      <c r="K8062" s="570"/>
    </row>
    <row r="8063" ht="13.75" customHeight="1">
      <c r="A8063" s="833">
        <v>393</v>
      </c>
      <c r="B8063" t="s" s="834">
        <v>1972</v>
      </c>
      <c r="C8063" t="s" s="834">
        <v>2718</v>
      </c>
      <c r="D8063" s="835">
        <v>46024</v>
      </c>
      <c r="E8063" t="s" s="834">
        <v>478</v>
      </c>
      <c r="F8063" t="s" s="834">
        <v>478</v>
      </c>
      <c r="G8063" s="570"/>
      <c r="H8063" s="570"/>
      <c r="I8063" s="570"/>
      <c r="J8063" s="570"/>
      <c r="K8063" s="570"/>
    </row>
    <row r="8064" ht="13.75" customHeight="1">
      <c r="A8064" s="833">
        <v>393</v>
      </c>
      <c r="B8064" t="s" s="834">
        <v>1972</v>
      </c>
      <c r="C8064" t="s" s="834">
        <v>2718</v>
      </c>
      <c r="D8064" s="835">
        <v>46025</v>
      </c>
      <c r="E8064" t="s" s="834">
        <v>478</v>
      </c>
      <c r="F8064" t="s" s="834">
        <v>478</v>
      </c>
      <c r="G8064" s="570"/>
      <c r="H8064" s="570"/>
      <c r="I8064" s="570"/>
      <c r="J8064" s="570"/>
      <c r="K8064" s="570"/>
    </row>
    <row r="8065" ht="13.75" customHeight="1">
      <c r="A8065" s="833">
        <v>393</v>
      </c>
      <c r="B8065" t="s" s="834">
        <v>1972</v>
      </c>
      <c r="C8065" t="s" s="834">
        <v>2718</v>
      </c>
      <c r="D8065" s="835">
        <v>46026</v>
      </c>
      <c r="E8065" t="s" s="834">
        <v>478</v>
      </c>
      <c r="F8065" t="s" s="834">
        <v>478</v>
      </c>
      <c r="G8065" s="570"/>
      <c r="H8065" s="570"/>
      <c r="I8065" s="570"/>
      <c r="J8065" s="570"/>
      <c r="K8065" s="570"/>
    </row>
    <row r="8066" ht="13.75" customHeight="1">
      <c r="A8066" s="833">
        <v>393</v>
      </c>
      <c r="B8066" t="s" s="834">
        <v>1972</v>
      </c>
      <c r="C8066" t="s" s="834">
        <v>2718</v>
      </c>
      <c r="D8066" s="835">
        <v>46027</v>
      </c>
      <c r="E8066" t="s" s="834">
        <v>478</v>
      </c>
      <c r="F8066" t="s" s="834">
        <v>478</v>
      </c>
      <c r="G8066" s="570"/>
      <c r="H8066" s="570"/>
      <c r="I8066" s="570"/>
      <c r="J8066" s="570"/>
      <c r="K8066" s="570"/>
    </row>
    <row r="8067" ht="13.75" customHeight="1">
      <c r="A8067" s="833">
        <v>393</v>
      </c>
      <c r="B8067" t="s" s="834">
        <v>1972</v>
      </c>
      <c r="C8067" t="s" s="834">
        <v>2718</v>
      </c>
      <c r="D8067" s="835">
        <v>46028</v>
      </c>
      <c r="E8067" t="s" s="834">
        <v>478</v>
      </c>
      <c r="F8067" t="s" s="834">
        <v>478</v>
      </c>
      <c r="G8067" s="570"/>
      <c r="H8067" s="570"/>
      <c r="I8067" s="570"/>
      <c r="J8067" s="570"/>
      <c r="K8067" s="570"/>
    </row>
    <row r="8068" ht="13.75" customHeight="1">
      <c r="A8068" s="833">
        <v>393</v>
      </c>
      <c r="B8068" t="s" s="834">
        <v>1972</v>
      </c>
      <c r="C8068" t="s" s="834">
        <v>2718</v>
      </c>
      <c r="D8068" s="835">
        <v>46029</v>
      </c>
      <c r="E8068" t="s" s="834">
        <v>478</v>
      </c>
      <c r="F8068" t="s" s="834">
        <v>478</v>
      </c>
      <c r="G8068" s="570"/>
      <c r="H8068" s="570"/>
      <c r="I8068" s="570"/>
      <c r="J8068" s="570"/>
      <c r="K8068" s="570"/>
    </row>
    <row r="8069" ht="13.75" customHeight="1">
      <c r="A8069" s="833">
        <v>393</v>
      </c>
      <c r="B8069" t="s" s="834">
        <v>1972</v>
      </c>
      <c r="C8069" t="s" s="834">
        <v>2718</v>
      </c>
      <c r="D8069" s="835">
        <v>46030</v>
      </c>
      <c r="E8069" t="s" s="834">
        <v>478</v>
      </c>
      <c r="F8069" t="s" s="834">
        <v>478</v>
      </c>
      <c r="G8069" s="570"/>
      <c r="H8069" s="570"/>
      <c r="I8069" s="570"/>
      <c r="J8069" s="570"/>
      <c r="K8069" s="570"/>
    </row>
    <row r="8070" ht="13.75" customHeight="1">
      <c r="A8070" s="833">
        <v>393</v>
      </c>
      <c r="B8070" t="s" s="834">
        <v>1972</v>
      </c>
      <c r="C8070" t="s" s="834">
        <v>2718</v>
      </c>
      <c r="D8070" s="835">
        <v>46031</v>
      </c>
      <c r="E8070" t="s" s="834">
        <v>478</v>
      </c>
      <c r="F8070" t="s" s="834">
        <v>478</v>
      </c>
      <c r="G8070" s="570"/>
      <c r="H8070" s="570"/>
      <c r="I8070" s="570"/>
      <c r="J8070" s="570"/>
      <c r="K8070" s="570"/>
    </row>
    <row r="8071" ht="13.75" customHeight="1">
      <c r="A8071" s="833">
        <v>393</v>
      </c>
      <c r="B8071" t="s" s="834">
        <v>1972</v>
      </c>
      <c r="C8071" t="s" s="834">
        <v>2718</v>
      </c>
      <c r="D8071" s="835">
        <v>46032</v>
      </c>
      <c r="E8071" t="s" s="834">
        <v>478</v>
      </c>
      <c r="F8071" t="s" s="834">
        <v>478</v>
      </c>
      <c r="G8071" s="570"/>
      <c r="H8071" s="570"/>
      <c r="I8071" s="570"/>
      <c r="J8071" s="570"/>
      <c r="K8071" s="570"/>
    </row>
    <row r="8072" ht="13.75" customHeight="1">
      <c r="A8072" s="833">
        <v>393</v>
      </c>
      <c r="B8072" t="s" s="834">
        <v>1972</v>
      </c>
      <c r="C8072" t="s" s="834">
        <v>2718</v>
      </c>
      <c r="D8072" s="835">
        <v>46033</v>
      </c>
      <c r="E8072" t="s" s="834">
        <v>478</v>
      </c>
      <c r="F8072" t="s" s="834">
        <v>478</v>
      </c>
      <c r="G8072" s="570"/>
      <c r="H8072" s="570"/>
      <c r="I8072" s="570"/>
      <c r="J8072" s="570"/>
      <c r="K8072" s="570"/>
    </row>
    <row r="8073" ht="13.75" customHeight="1">
      <c r="A8073" s="833">
        <v>393</v>
      </c>
      <c r="B8073" t="s" s="834">
        <v>1972</v>
      </c>
      <c r="C8073" t="s" s="834">
        <v>2718</v>
      </c>
      <c r="D8073" s="835">
        <v>46034</v>
      </c>
      <c r="E8073" s="836">
        <v>1.353946759259259</v>
      </c>
      <c r="F8073" t="s" s="834">
        <v>478</v>
      </c>
      <c r="G8073" s="570"/>
      <c r="H8073" s="570"/>
      <c r="I8073" s="570"/>
      <c r="J8073" s="570"/>
      <c r="K8073" s="570"/>
    </row>
    <row r="8074" ht="13.75" customHeight="1">
      <c r="A8074" t="s" s="834">
        <v>5084</v>
      </c>
      <c r="B8074" t="s" s="834">
        <v>485</v>
      </c>
      <c r="C8074" t="s" s="834">
        <v>486</v>
      </c>
      <c r="D8074" s="570"/>
      <c r="E8074" s="570"/>
      <c r="F8074" s="570"/>
      <c r="G8074" s="570"/>
      <c r="H8074" s="570"/>
      <c r="I8074" s="570"/>
      <c r="J8074" s="570"/>
      <c r="K8074" s="570"/>
    </row>
    <row r="8075" ht="13.75" customHeight="1">
      <c r="A8075" s="833">
        <v>393</v>
      </c>
      <c r="B8075" t="s" s="834">
        <v>1972</v>
      </c>
      <c r="C8075" t="s" s="834">
        <v>2718</v>
      </c>
      <c r="D8075" s="835">
        <v>46035</v>
      </c>
      <c r="E8075" t="s" s="834">
        <v>478</v>
      </c>
      <c r="F8075" t="s" s="834">
        <v>478</v>
      </c>
      <c r="G8075" s="570"/>
      <c r="H8075" s="570"/>
      <c r="I8075" s="570"/>
      <c r="J8075" s="570"/>
      <c r="K8075" s="570"/>
    </row>
    <row r="8076" ht="13.75" customHeight="1">
      <c r="A8076" s="833">
        <v>393</v>
      </c>
      <c r="B8076" t="s" s="834">
        <v>1972</v>
      </c>
      <c r="C8076" t="s" s="834">
        <v>2718</v>
      </c>
      <c r="D8076" s="835">
        <v>46036</v>
      </c>
      <c r="E8076" t="s" s="834">
        <v>478</v>
      </c>
      <c r="F8076" t="s" s="834">
        <v>478</v>
      </c>
      <c r="G8076" s="570"/>
      <c r="H8076" s="570"/>
      <c r="I8076" s="570"/>
      <c r="J8076" s="570"/>
      <c r="K8076" s="570"/>
    </row>
    <row r="8077" ht="13.75" customHeight="1">
      <c r="A8077" s="833">
        <v>393</v>
      </c>
      <c r="B8077" t="s" s="834">
        <v>1972</v>
      </c>
      <c r="C8077" t="s" s="834">
        <v>2718</v>
      </c>
      <c r="D8077" s="835">
        <v>46037</v>
      </c>
      <c r="E8077" t="s" s="834">
        <v>478</v>
      </c>
      <c r="F8077" t="s" s="834">
        <v>478</v>
      </c>
      <c r="G8077" s="570"/>
      <c r="H8077" s="570"/>
      <c r="I8077" s="570"/>
      <c r="J8077" s="570"/>
      <c r="K8077" s="570"/>
    </row>
    <row r="8078" ht="13.75" customHeight="1">
      <c r="A8078" s="833">
        <v>393</v>
      </c>
      <c r="B8078" t="s" s="834">
        <v>1972</v>
      </c>
      <c r="C8078" t="s" s="834">
        <v>2718</v>
      </c>
      <c r="D8078" s="835">
        <v>46038</v>
      </c>
      <c r="E8078" t="s" s="834">
        <v>478</v>
      </c>
      <c r="F8078" t="s" s="834">
        <v>478</v>
      </c>
      <c r="G8078" s="570"/>
      <c r="H8078" s="570"/>
      <c r="I8078" s="570"/>
      <c r="J8078" s="570"/>
      <c r="K8078" s="570"/>
    </row>
    <row r="8079" ht="13.75" customHeight="1">
      <c r="A8079" s="833">
        <v>393</v>
      </c>
      <c r="B8079" t="s" s="834">
        <v>1972</v>
      </c>
      <c r="C8079" t="s" s="834">
        <v>2718</v>
      </c>
      <c r="D8079" s="835">
        <v>46039</v>
      </c>
      <c r="E8079" t="s" s="834">
        <v>478</v>
      </c>
      <c r="F8079" t="s" s="834">
        <v>478</v>
      </c>
      <c r="G8079" s="570"/>
      <c r="H8079" s="570"/>
      <c r="I8079" s="570"/>
      <c r="J8079" s="570"/>
      <c r="K8079" s="570"/>
    </row>
    <row r="8080" ht="13.75" customHeight="1">
      <c r="A8080" s="833">
        <v>393</v>
      </c>
      <c r="B8080" t="s" s="834">
        <v>1972</v>
      </c>
      <c r="C8080" t="s" s="834">
        <v>2718</v>
      </c>
      <c r="D8080" s="835">
        <v>46040</v>
      </c>
      <c r="E8080" t="s" s="834">
        <v>478</v>
      </c>
      <c r="F8080" t="s" s="834">
        <v>478</v>
      </c>
      <c r="G8080" s="570"/>
      <c r="H8080" s="570"/>
      <c r="I8080" s="570"/>
      <c r="J8080" s="570"/>
      <c r="K8080" s="570"/>
    </row>
    <row r="8081" ht="13.75" customHeight="1">
      <c r="A8081" s="833">
        <v>393</v>
      </c>
      <c r="B8081" t="s" s="834">
        <v>1972</v>
      </c>
      <c r="C8081" t="s" s="834">
        <v>2718</v>
      </c>
      <c r="D8081" s="835">
        <v>46041</v>
      </c>
      <c r="E8081" s="836">
        <v>1.351064814814815</v>
      </c>
      <c r="F8081" s="836">
        <v>1.525856481481481</v>
      </c>
      <c r="G8081" s="570"/>
      <c r="H8081" s="570"/>
      <c r="I8081" s="570"/>
      <c r="J8081" s="570"/>
      <c r="K8081" s="570"/>
    </row>
    <row r="8082" ht="13.75" customHeight="1">
      <c r="A8082" t="s" s="834">
        <v>5085</v>
      </c>
      <c r="B8082" t="s" s="834">
        <v>5086</v>
      </c>
      <c r="C8082" t="s" s="834">
        <v>5087</v>
      </c>
      <c r="D8082" s="570"/>
      <c r="E8082" s="570"/>
      <c r="F8082" s="570"/>
      <c r="G8082" s="570"/>
      <c r="H8082" s="570"/>
      <c r="I8082" s="570"/>
      <c r="J8082" s="570"/>
      <c r="K8082" s="570"/>
    </row>
    <row r="8083" ht="13.75" customHeight="1">
      <c r="A8083" s="833">
        <v>393</v>
      </c>
      <c r="B8083" t="s" s="834">
        <v>1972</v>
      </c>
      <c r="C8083" t="s" s="834">
        <v>2718</v>
      </c>
      <c r="D8083" s="835">
        <v>46042</v>
      </c>
      <c r="E8083" t="s" s="834">
        <v>478</v>
      </c>
      <c r="F8083" t="s" s="834">
        <v>478</v>
      </c>
      <c r="G8083" s="570"/>
      <c r="H8083" s="570"/>
      <c r="I8083" s="570"/>
      <c r="J8083" s="570"/>
      <c r="K8083" s="570"/>
    </row>
    <row r="8084" ht="13.75" customHeight="1">
      <c r="A8084" s="833">
        <v>393</v>
      </c>
      <c r="B8084" t="s" s="834">
        <v>1972</v>
      </c>
      <c r="C8084" t="s" s="834">
        <v>2718</v>
      </c>
      <c r="D8084" s="835">
        <v>46043</v>
      </c>
      <c r="E8084" t="s" s="834">
        <v>478</v>
      </c>
      <c r="F8084" t="s" s="834">
        <v>478</v>
      </c>
      <c r="G8084" s="570"/>
      <c r="H8084" s="570"/>
      <c r="I8084" s="570"/>
      <c r="J8084" s="570"/>
      <c r="K8084" s="570"/>
    </row>
    <row r="8085" ht="13.75" customHeight="1">
      <c r="A8085" s="833">
        <v>393</v>
      </c>
      <c r="B8085" t="s" s="834">
        <v>1972</v>
      </c>
      <c r="C8085" t="s" s="834">
        <v>2718</v>
      </c>
      <c r="D8085" s="835">
        <v>46044</v>
      </c>
      <c r="E8085" t="s" s="834">
        <v>478</v>
      </c>
      <c r="F8085" t="s" s="834">
        <v>478</v>
      </c>
      <c r="G8085" s="570"/>
      <c r="H8085" s="570"/>
      <c r="I8085" s="570"/>
      <c r="J8085" s="570"/>
      <c r="K8085" s="570"/>
    </row>
    <row r="8086" ht="13.75" customHeight="1">
      <c r="A8086" s="833">
        <v>393</v>
      </c>
      <c r="B8086" t="s" s="834">
        <v>1972</v>
      </c>
      <c r="C8086" t="s" s="834">
        <v>2718</v>
      </c>
      <c r="D8086" s="835">
        <v>46045</v>
      </c>
      <c r="E8086" t="s" s="834">
        <v>478</v>
      </c>
      <c r="F8086" t="s" s="834">
        <v>478</v>
      </c>
      <c r="G8086" s="570"/>
      <c r="H8086" s="570"/>
      <c r="I8086" s="570"/>
      <c r="J8086" s="570"/>
      <c r="K8086" s="570"/>
    </row>
    <row r="8087" ht="13.75" customHeight="1">
      <c r="A8087" s="833">
        <v>393</v>
      </c>
      <c r="B8087" t="s" s="834">
        <v>1972</v>
      </c>
      <c r="C8087" t="s" s="834">
        <v>2718</v>
      </c>
      <c r="D8087" s="835">
        <v>46046</v>
      </c>
      <c r="E8087" t="s" s="834">
        <v>478</v>
      </c>
      <c r="F8087" t="s" s="834">
        <v>478</v>
      </c>
      <c r="G8087" s="570"/>
      <c r="H8087" s="570"/>
      <c r="I8087" s="570"/>
      <c r="J8087" s="570"/>
      <c r="K8087" s="570"/>
    </row>
    <row r="8088" ht="13.75" customHeight="1">
      <c r="A8088" s="833">
        <v>393</v>
      </c>
      <c r="B8088" t="s" s="834">
        <v>1972</v>
      </c>
      <c r="C8088" t="s" s="834">
        <v>2718</v>
      </c>
      <c r="D8088" s="835">
        <v>46047</v>
      </c>
      <c r="E8088" t="s" s="834">
        <v>478</v>
      </c>
      <c r="F8088" t="s" s="834">
        <v>478</v>
      </c>
      <c r="G8088" s="570"/>
      <c r="H8088" s="570"/>
      <c r="I8088" s="570"/>
      <c r="J8088" s="570"/>
      <c r="K8088" s="570"/>
    </row>
    <row r="8089" ht="13.75" customHeight="1">
      <c r="A8089" s="833">
        <v>393</v>
      </c>
      <c r="B8089" t="s" s="834">
        <v>1972</v>
      </c>
      <c r="C8089" t="s" s="834">
        <v>2718</v>
      </c>
      <c r="D8089" s="835">
        <v>46048</v>
      </c>
      <c r="E8089" s="836">
        <v>1.353831018518519</v>
      </c>
      <c r="F8089" t="s" s="834">
        <v>478</v>
      </c>
      <c r="G8089" s="570"/>
      <c r="H8089" s="570"/>
      <c r="I8089" s="570"/>
      <c r="J8089" s="570"/>
      <c r="K8089" s="570"/>
    </row>
    <row r="8090" ht="13.75" customHeight="1">
      <c r="A8090" t="s" s="834">
        <v>5088</v>
      </c>
      <c r="B8090" t="s" s="834">
        <v>485</v>
      </c>
      <c r="C8090" t="s" s="834">
        <v>486</v>
      </c>
      <c r="D8090" s="570"/>
      <c r="E8090" s="570"/>
      <c r="F8090" s="570"/>
      <c r="G8090" s="570"/>
      <c r="H8090" s="570"/>
      <c r="I8090" s="570"/>
      <c r="J8090" s="570"/>
      <c r="K8090" s="570"/>
    </row>
    <row r="8091" ht="13.75" customHeight="1">
      <c r="A8091" s="833">
        <v>393</v>
      </c>
      <c r="B8091" t="s" s="834">
        <v>1972</v>
      </c>
      <c r="C8091" t="s" s="834">
        <v>2718</v>
      </c>
      <c r="D8091" s="835">
        <v>46049</v>
      </c>
      <c r="E8091" t="s" s="834">
        <v>478</v>
      </c>
      <c r="F8091" t="s" s="834">
        <v>478</v>
      </c>
      <c r="G8091" s="570"/>
      <c r="H8091" s="570"/>
      <c r="I8091" s="570"/>
      <c r="J8091" s="570"/>
      <c r="K8091" s="570"/>
    </row>
    <row r="8092" ht="13.75" customHeight="1">
      <c r="A8092" s="833">
        <v>393</v>
      </c>
      <c r="B8092" t="s" s="834">
        <v>1972</v>
      </c>
      <c r="C8092" t="s" s="834">
        <v>2718</v>
      </c>
      <c r="D8092" s="835">
        <v>46050</v>
      </c>
      <c r="E8092" s="836">
        <v>1.349236111111111</v>
      </c>
      <c r="F8092" t="s" s="834">
        <v>478</v>
      </c>
      <c r="G8092" s="570"/>
      <c r="H8092" s="570"/>
      <c r="I8092" s="570"/>
      <c r="J8092" s="570"/>
      <c r="K8092" s="570"/>
    </row>
    <row r="8093" ht="13.75" customHeight="1">
      <c r="A8093" t="s" s="834">
        <v>5089</v>
      </c>
      <c r="B8093" t="s" s="834">
        <v>485</v>
      </c>
      <c r="C8093" t="s" s="834">
        <v>486</v>
      </c>
      <c r="D8093" s="570"/>
      <c r="E8093" s="570"/>
      <c r="F8093" s="570"/>
      <c r="G8093" s="570"/>
      <c r="H8093" s="570"/>
      <c r="I8093" s="570"/>
      <c r="J8093" s="570"/>
      <c r="K8093" s="570"/>
    </row>
    <row r="8094" ht="13.75" customHeight="1">
      <c r="A8094" s="833">
        <v>393</v>
      </c>
      <c r="B8094" t="s" s="834">
        <v>1972</v>
      </c>
      <c r="C8094" t="s" s="834">
        <v>2718</v>
      </c>
      <c r="D8094" s="835">
        <v>46051</v>
      </c>
      <c r="E8094" t="s" s="834">
        <v>478</v>
      </c>
      <c r="F8094" t="s" s="834">
        <v>478</v>
      </c>
      <c r="G8094" s="570"/>
      <c r="H8094" s="570"/>
      <c r="I8094" s="570"/>
      <c r="J8094" s="570"/>
      <c r="K8094" s="570"/>
    </row>
    <row r="8095" ht="13.75" customHeight="1">
      <c r="A8095" s="833">
        <v>393</v>
      </c>
      <c r="B8095" t="s" s="834">
        <v>1972</v>
      </c>
      <c r="C8095" t="s" s="834">
        <v>2718</v>
      </c>
      <c r="D8095" s="835">
        <v>46052</v>
      </c>
      <c r="E8095" t="s" s="834">
        <v>478</v>
      </c>
      <c r="F8095" t="s" s="834">
        <v>478</v>
      </c>
      <c r="G8095" s="570"/>
      <c r="H8095" s="570"/>
      <c r="I8095" s="570"/>
      <c r="J8095" s="570"/>
      <c r="K8095" s="570"/>
    </row>
    <row r="8096" ht="13.75" customHeight="1">
      <c r="A8096" s="833">
        <v>393</v>
      </c>
      <c r="B8096" t="s" s="834">
        <v>1972</v>
      </c>
      <c r="C8096" t="s" s="834">
        <v>2718</v>
      </c>
      <c r="D8096" s="835">
        <v>46053</v>
      </c>
      <c r="E8096" t="s" s="834">
        <v>478</v>
      </c>
      <c r="F8096" t="s" s="834">
        <v>478</v>
      </c>
      <c r="G8096" s="570"/>
      <c r="H8096" s="570"/>
      <c r="I8096" s="570"/>
      <c r="J8096" s="570"/>
      <c r="K8096" s="570"/>
    </row>
    <row r="8097" ht="13.75" customHeight="1">
      <c r="A8097" s="833">
        <v>393</v>
      </c>
      <c r="B8097" t="s" s="834">
        <v>1972</v>
      </c>
      <c r="C8097" t="s" s="834">
        <v>2718</v>
      </c>
      <c r="D8097" s="835">
        <v>46054</v>
      </c>
      <c r="E8097" t="s" s="834">
        <v>478</v>
      </c>
      <c r="F8097" t="s" s="834">
        <v>478</v>
      </c>
      <c r="G8097" s="570"/>
      <c r="H8097" s="570"/>
      <c r="I8097" s="570"/>
      <c r="J8097" s="570"/>
      <c r="K8097" s="570"/>
    </row>
    <row r="8098" ht="13.75" customHeight="1">
      <c r="A8098" s="833">
        <v>394</v>
      </c>
      <c r="B8098" t="s" s="834">
        <v>5090</v>
      </c>
      <c r="C8098" t="s" s="834">
        <v>617</v>
      </c>
      <c r="D8098" s="835">
        <v>46023</v>
      </c>
      <c r="E8098" t="s" s="834">
        <v>478</v>
      </c>
      <c r="F8098" t="s" s="834">
        <v>478</v>
      </c>
      <c r="G8098" s="570"/>
      <c r="H8098" s="570"/>
      <c r="I8098" s="570"/>
      <c r="J8098" s="570"/>
      <c r="K8098" s="570"/>
    </row>
    <row r="8099" ht="13.75" customHeight="1">
      <c r="A8099" s="833">
        <v>394</v>
      </c>
      <c r="B8099" t="s" s="834">
        <v>5090</v>
      </c>
      <c r="C8099" t="s" s="834">
        <v>617</v>
      </c>
      <c r="D8099" s="835">
        <v>46024</v>
      </c>
      <c r="E8099" t="s" s="834">
        <v>478</v>
      </c>
      <c r="F8099" t="s" s="834">
        <v>478</v>
      </c>
      <c r="G8099" s="570"/>
      <c r="H8099" s="570"/>
      <c r="I8099" s="570"/>
      <c r="J8099" s="570"/>
      <c r="K8099" s="570"/>
    </row>
    <row r="8100" ht="13.75" customHeight="1">
      <c r="A8100" s="833">
        <v>394</v>
      </c>
      <c r="B8100" t="s" s="834">
        <v>5090</v>
      </c>
      <c r="C8100" t="s" s="834">
        <v>617</v>
      </c>
      <c r="D8100" s="835">
        <v>46025</v>
      </c>
      <c r="E8100" t="s" s="834">
        <v>478</v>
      </c>
      <c r="F8100" t="s" s="834">
        <v>478</v>
      </c>
      <c r="G8100" s="570"/>
      <c r="H8100" s="570"/>
      <c r="I8100" s="570"/>
      <c r="J8100" s="570"/>
      <c r="K8100" s="570"/>
    </row>
    <row r="8101" ht="13.75" customHeight="1">
      <c r="A8101" s="833">
        <v>394</v>
      </c>
      <c r="B8101" t="s" s="834">
        <v>5090</v>
      </c>
      <c r="C8101" t="s" s="834">
        <v>617</v>
      </c>
      <c r="D8101" s="835">
        <v>46026</v>
      </c>
      <c r="E8101" t="s" s="834">
        <v>478</v>
      </c>
      <c r="F8101" t="s" s="834">
        <v>478</v>
      </c>
      <c r="G8101" s="570"/>
      <c r="H8101" s="570"/>
      <c r="I8101" s="570"/>
      <c r="J8101" s="570"/>
      <c r="K8101" s="570"/>
    </row>
    <row r="8102" ht="13.75" customHeight="1">
      <c r="A8102" s="833">
        <v>394</v>
      </c>
      <c r="B8102" t="s" s="834">
        <v>5090</v>
      </c>
      <c r="C8102" t="s" s="834">
        <v>617</v>
      </c>
      <c r="D8102" s="835">
        <v>46027</v>
      </c>
      <c r="E8102" s="836">
        <v>1.35380787037037</v>
      </c>
      <c r="F8102" s="836">
        <v>1.757094907407407</v>
      </c>
      <c r="G8102" s="570"/>
      <c r="H8102" s="570"/>
      <c r="I8102" s="570"/>
      <c r="J8102" s="570"/>
      <c r="K8102" s="570"/>
    </row>
    <row r="8103" ht="13.75" customHeight="1">
      <c r="A8103" t="s" s="834">
        <v>5091</v>
      </c>
      <c r="B8103" t="s" s="834">
        <v>5092</v>
      </c>
      <c r="C8103" t="s" s="834">
        <v>590</v>
      </c>
      <c r="D8103" s="570"/>
      <c r="E8103" s="570"/>
      <c r="F8103" s="570"/>
      <c r="G8103" s="570"/>
      <c r="H8103" s="570"/>
      <c r="I8103" s="570"/>
      <c r="J8103" s="570"/>
      <c r="K8103" s="570"/>
    </row>
    <row r="8104" ht="13.75" customHeight="1">
      <c r="A8104" s="833">
        <v>394</v>
      </c>
      <c r="B8104" t="s" s="834">
        <v>5090</v>
      </c>
      <c r="C8104" t="s" s="834">
        <v>617</v>
      </c>
      <c r="D8104" s="835">
        <v>46028</v>
      </c>
      <c r="E8104" s="836">
        <v>1.349780092592593</v>
      </c>
      <c r="F8104" s="836">
        <v>1.751956018518519</v>
      </c>
      <c r="G8104" s="570"/>
      <c r="H8104" s="570"/>
      <c r="I8104" s="570"/>
      <c r="J8104" s="570"/>
      <c r="K8104" s="570"/>
    </row>
    <row r="8105" ht="13.75" customHeight="1">
      <c r="A8105" t="s" s="834">
        <v>5093</v>
      </c>
      <c r="B8105" t="s" s="834">
        <v>5094</v>
      </c>
      <c r="C8105" t="s" s="834">
        <v>772</v>
      </c>
      <c r="D8105" s="570"/>
      <c r="E8105" s="570"/>
      <c r="F8105" s="570"/>
      <c r="G8105" s="570"/>
      <c r="H8105" s="570"/>
      <c r="I8105" s="570"/>
      <c r="J8105" s="570"/>
      <c r="K8105" s="570"/>
    </row>
    <row r="8106" ht="13.75" customHeight="1">
      <c r="A8106" s="833">
        <v>394</v>
      </c>
      <c r="B8106" t="s" s="834">
        <v>5090</v>
      </c>
      <c r="C8106" t="s" s="834">
        <v>617</v>
      </c>
      <c r="D8106" s="835">
        <v>46029</v>
      </c>
      <c r="E8106" s="836">
        <v>1.35318287037037</v>
      </c>
      <c r="F8106" s="836">
        <v>1.760798611111111</v>
      </c>
      <c r="G8106" s="570"/>
      <c r="H8106" s="570"/>
      <c r="I8106" s="570"/>
      <c r="J8106" s="570"/>
      <c r="K8106" s="570"/>
    </row>
    <row r="8107" ht="13.75" customHeight="1">
      <c r="A8107" t="s" s="834">
        <v>5095</v>
      </c>
      <c r="B8107" t="s" s="834">
        <v>5096</v>
      </c>
      <c r="C8107" t="s" s="834">
        <v>882</v>
      </c>
      <c r="D8107" s="570"/>
      <c r="E8107" s="570"/>
      <c r="F8107" s="570"/>
      <c r="G8107" s="570"/>
      <c r="H8107" s="570"/>
      <c r="I8107" s="570"/>
      <c r="J8107" s="570"/>
      <c r="K8107" s="570"/>
    </row>
    <row r="8108" ht="13.75" customHeight="1">
      <c r="A8108" s="833">
        <v>394</v>
      </c>
      <c r="B8108" t="s" s="834">
        <v>5090</v>
      </c>
      <c r="C8108" t="s" s="834">
        <v>617</v>
      </c>
      <c r="D8108" s="835">
        <v>46030</v>
      </c>
      <c r="E8108" s="836">
        <v>1.353715277777778</v>
      </c>
      <c r="F8108" s="836">
        <v>1.755659722222222</v>
      </c>
      <c r="G8108" s="570"/>
      <c r="H8108" s="570"/>
      <c r="I8108" s="570"/>
      <c r="J8108" s="570"/>
      <c r="K8108" s="570"/>
    </row>
    <row r="8109" ht="13.75" customHeight="1">
      <c r="A8109" t="s" s="834">
        <v>5097</v>
      </c>
      <c r="B8109" t="s" s="834">
        <v>5098</v>
      </c>
      <c r="C8109" t="s" s="834">
        <v>772</v>
      </c>
      <c r="D8109" s="570"/>
      <c r="E8109" s="570"/>
      <c r="F8109" s="570"/>
      <c r="G8109" s="570"/>
      <c r="H8109" s="570"/>
      <c r="I8109" s="570"/>
      <c r="J8109" s="570"/>
      <c r="K8109" s="570"/>
    </row>
    <row r="8110" ht="13.75" customHeight="1">
      <c r="A8110" s="833">
        <v>394</v>
      </c>
      <c r="B8110" t="s" s="834">
        <v>5090</v>
      </c>
      <c r="C8110" t="s" s="834">
        <v>617</v>
      </c>
      <c r="D8110" s="835">
        <v>46031</v>
      </c>
      <c r="E8110" t="s" s="834">
        <v>478</v>
      </c>
      <c r="F8110" t="s" s="834">
        <v>478</v>
      </c>
      <c r="G8110" s="570"/>
      <c r="H8110" s="570"/>
      <c r="I8110" s="570"/>
      <c r="J8110" s="570"/>
      <c r="K8110" s="570"/>
    </row>
    <row r="8111" ht="13.75" customHeight="1">
      <c r="A8111" s="833">
        <v>394</v>
      </c>
      <c r="B8111" t="s" s="834">
        <v>5090</v>
      </c>
      <c r="C8111" t="s" s="834">
        <v>617</v>
      </c>
      <c r="D8111" s="835">
        <v>46032</v>
      </c>
      <c r="E8111" t="s" s="834">
        <v>478</v>
      </c>
      <c r="F8111" t="s" s="834">
        <v>478</v>
      </c>
      <c r="G8111" s="570"/>
      <c r="H8111" s="570"/>
      <c r="I8111" s="570"/>
      <c r="J8111" s="570"/>
      <c r="K8111" s="570"/>
    </row>
    <row r="8112" ht="13.75" customHeight="1">
      <c r="A8112" s="833">
        <v>394</v>
      </c>
      <c r="B8112" t="s" s="834">
        <v>5090</v>
      </c>
      <c r="C8112" t="s" s="834">
        <v>617</v>
      </c>
      <c r="D8112" s="835">
        <v>46033</v>
      </c>
      <c r="E8112" t="s" s="834">
        <v>478</v>
      </c>
      <c r="F8112" t="s" s="834">
        <v>478</v>
      </c>
      <c r="G8112" s="570"/>
      <c r="H8112" s="570"/>
      <c r="I8112" s="570"/>
      <c r="J8112" s="570"/>
      <c r="K8112" s="570"/>
    </row>
    <row r="8113" ht="13.75" customHeight="1">
      <c r="A8113" s="833">
        <v>394</v>
      </c>
      <c r="B8113" t="s" s="834">
        <v>5090</v>
      </c>
      <c r="C8113" t="s" s="834">
        <v>617</v>
      </c>
      <c r="D8113" s="835">
        <v>46034</v>
      </c>
      <c r="E8113" s="836">
        <v>1.353634259259259</v>
      </c>
      <c r="F8113" s="836">
        <v>1.760069444444444</v>
      </c>
      <c r="G8113" s="570"/>
      <c r="H8113" s="570"/>
      <c r="I8113" s="570"/>
      <c r="J8113" s="570"/>
      <c r="K8113" s="570"/>
    </row>
    <row r="8114" ht="13.75" customHeight="1">
      <c r="A8114" t="s" s="834">
        <v>5099</v>
      </c>
      <c r="B8114" t="s" s="834">
        <v>5100</v>
      </c>
      <c r="C8114" t="s" s="834">
        <v>603</v>
      </c>
      <c r="D8114" s="570"/>
      <c r="E8114" s="570"/>
      <c r="F8114" s="570"/>
      <c r="G8114" s="570"/>
      <c r="H8114" s="570"/>
      <c r="I8114" s="570"/>
      <c r="J8114" s="570"/>
      <c r="K8114" s="570"/>
    </row>
    <row r="8115" ht="13.75" customHeight="1">
      <c r="A8115" s="833">
        <v>394</v>
      </c>
      <c r="B8115" t="s" s="834">
        <v>5090</v>
      </c>
      <c r="C8115" t="s" s="834">
        <v>617</v>
      </c>
      <c r="D8115" s="835">
        <v>46035</v>
      </c>
      <c r="E8115" s="836">
        <v>1.353506944444445</v>
      </c>
      <c r="F8115" s="836">
        <v>1.75212962962963</v>
      </c>
      <c r="G8115" s="570"/>
      <c r="H8115" s="570"/>
      <c r="I8115" s="570"/>
      <c r="J8115" s="570"/>
      <c r="K8115" s="570"/>
    </row>
    <row r="8116" ht="13.75" customHeight="1">
      <c r="A8116" t="s" s="834">
        <v>5101</v>
      </c>
      <c r="B8116" t="s" s="834">
        <v>5102</v>
      </c>
      <c r="C8116" t="s" s="834">
        <v>611</v>
      </c>
      <c r="D8116" s="570"/>
      <c r="E8116" s="570"/>
      <c r="F8116" s="570"/>
      <c r="G8116" s="570"/>
      <c r="H8116" s="570"/>
      <c r="I8116" s="570"/>
      <c r="J8116" s="570"/>
      <c r="K8116" s="570"/>
    </row>
    <row r="8117" ht="13.75" customHeight="1">
      <c r="A8117" s="833">
        <v>394</v>
      </c>
      <c r="B8117" t="s" s="834">
        <v>5090</v>
      </c>
      <c r="C8117" t="s" s="834">
        <v>617</v>
      </c>
      <c r="D8117" s="835">
        <v>46036</v>
      </c>
      <c r="E8117" s="836">
        <v>1.35380787037037</v>
      </c>
      <c r="F8117" s="836">
        <v>1.756412037037037</v>
      </c>
      <c r="G8117" s="570"/>
      <c r="H8117" s="570"/>
      <c r="I8117" s="570"/>
      <c r="J8117" s="570"/>
      <c r="K8117" s="570"/>
    </row>
    <row r="8118" ht="13.75" customHeight="1">
      <c r="A8118" t="s" s="834">
        <v>5103</v>
      </c>
      <c r="B8118" t="s" s="834">
        <v>5104</v>
      </c>
      <c r="C8118" t="s" s="834">
        <v>861</v>
      </c>
      <c r="D8118" s="570"/>
      <c r="E8118" s="570"/>
      <c r="F8118" s="570"/>
      <c r="G8118" s="570"/>
      <c r="H8118" s="570"/>
      <c r="I8118" s="570"/>
      <c r="J8118" s="570"/>
      <c r="K8118" s="570"/>
    </row>
    <row r="8119" ht="13.75" customHeight="1">
      <c r="A8119" s="833">
        <v>394</v>
      </c>
      <c r="B8119" t="s" s="834">
        <v>5090</v>
      </c>
      <c r="C8119" t="s" s="834">
        <v>617</v>
      </c>
      <c r="D8119" s="835">
        <v>46037</v>
      </c>
      <c r="E8119" s="836">
        <v>1.353842592592593</v>
      </c>
      <c r="F8119" s="836">
        <v>1.768622685185185</v>
      </c>
      <c r="G8119" s="570"/>
      <c r="H8119" s="570"/>
      <c r="I8119" s="570"/>
      <c r="J8119" s="570"/>
      <c r="K8119" s="570"/>
    </row>
    <row r="8120" ht="13.75" customHeight="1">
      <c r="A8120" t="s" s="834">
        <v>5105</v>
      </c>
      <c r="B8120" t="s" s="834">
        <v>5106</v>
      </c>
      <c r="C8120" t="s" s="834">
        <v>1259</v>
      </c>
      <c r="D8120" s="570"/>
      <c r="E8120" s="570"/>
      <c r="F8120" s="570"/>
      <c r="G8120" s="570"/>
      <c r="H8120" s="570"/>
      <c r="I8120" s="570"/>
      <c r="J8120" s="570"/>
      <c r="K8120" s="570"/>
    </row>
    <row r="8121" ht="13.75" customHeight="1">
      <c r="A8121" s="833">
        <v>394</v>
      </c>
      <c r="B8121" t="s" s="834">
        <v>5090</v>
      </c>
      <c r="C8121" t="s" s="834">
        <v>617</v>
      </c>
      <c r="D8121" s="835">
        <v>46038</v>
      </c>
      <c r="E8121" t="s" s="834">
        <v>478</v>
      </c>
      <c r="F8121" t="s" s="834">
        <v>478</v>
      </c>
      <c r="G8121" s="570"/>
      <c r="H8121" s="570"/>
      <c r="I8121" s="570"/>
      <c r="J8121" s="570"/>
      <c r="K8121" s="570"/>
    </row>
    <row r="8122" ht="13.75" customHeight="1">
      <c r="A8122" s="833">
        <v>394</v>
      </c>
      <c r="B8122" t="s" s="834">
        <v>5090</v>
      </c>
      <c r="C8122" t="s" s="834">
        <v>617</v>
      </c>
      <c r="D8122" s="835">
        <v>46039</v>
      </c>
      <c r="E8122" t="s" s="834">
        <v>478</v>
      </c>
      <c r="F8122" t="s" s="834">
        <v>478</v>
      </c>
      <c r="G8122" s="570"/>
      <c r="H8122" s="570"/>
      <c r="I8122" s="570"/>
      <c r="J8122" s="570"/>
      <c r="K8122" s="570"/>
    </row>
    <row r="8123" ht="13.75" customHeight="1">
      <c r="A8123" s="833">
        <v>394</v>
      </c>
      <c r="B8123" t="s" s="834">
        <v>5090</v>
      </c>
      <c r="C8123" t="s" s="834">
        <v>617</v>
      </c>
      <c r="D8123" s="835">
        <v>46040</v>
      </c>
      <c r="E8123" t="s" s="834">
        <v>478</v>
      </c>
      <c r="F8123" t="s" s="834">
        <v>478</v>
      </c>
      <c r="G8123" s="570"/>
      <c r="H8123" s="570"/>
      <c r="I8123" s="570"/>
      <c r="J8123" s="570"/>
      <c r="K8123" s="570"/>
    </row>
    <row r="8124" ht="13.75" customHeight="1">
      <c r="A8124" s="833">
        <v>394</v>
      </c>
      <c r="B8124" t="s" s="834">
        <v>5090</v>
      </c>
      <c r="C8124" t="s" s="834">
        <v>617</v>
      </c>
      <c r="D8124" s="835">
        <v>46041</v>
      </c>
      <c r="E8124" s="836">
        <v>1.344849537037037</v>
      </c>
      <c r="F8124" s="836">
        <v>1.762893518518518</v>
      </c>
      <c r="G8124" s="570"/>
      <c r="H8124" s="570"/>
      <c r="I8124" s="570"/>
      <c r="J8124" s="570"/>
      <c r="K8124" s="570"/>
    </row>
    <row r="8125" ht="13.75" customHeight="1">
      <c r="A8125" t="s" s="834">
        <v>5107</v>
      </c>
      <c r="B8125" t="s" s="834">
        <v>5108</v>
      </c>
      <c r="C8125" t="s" s="834">
        <v>1033</v>
      </c>
      <c r="D8125" s="570"/>
      <c r="E8125" s="570"/>
      <c r="F8125" s="570"/>
      <c r="G8125" s="570"/>
      <c r="H8125" s="570"/>
      <c r="I8125" s="570"/>
      <c r="J8125" s="570"/>
      <c r="K8125" s="570"/>
    </row>
    <row r="8126" ht="13.75" customHeight="1">
      <c r="A8126" s="833">
        <v>394</v>
      </c>
      <c r="B8126" t="s" s="834">
        <v>5090</v>
      </c>
      <c r="C8126" t="s" s="834">
        <v>617</v>
      </c>
      <c r="D8126" s="835">
        <v>46042</v>
      </c>
      <c r="E8126" s="836">
        <v>1.344953703703704</v>
      </c>
      <c r="F8126" s="836">
        <v>1.730497685185185</v>
      </c>
      <c r="G8126" s="570"/>
      <c r="H8126" s="570"/>
      <c r="I8126" s="570"/>
      <c r="J8126" s="570"/>
      <c r="K8126" s="570"/>
    </row>
    <row r="8127" ht="13.75" customHeight="1">
      <c r="A8127" t="s" s="834">
        <v>5109</v>
      </c>
      <c r="B8127" t="s" s="834">
        <v>5110</v>
      </c>
      <c r="C8127" t="s" s="834">
        <v>831</v>
      </c>
      <c r="D8127" s="570"/>
      <c r="E8127" s="570"/>
      <c r="F8127" s="570"/>
      <c r="G8127" s="570"/>
      <c r="H8127" s="570"/>
      <c r="I8127" s="570"/>
      <c r="J8127" s="570"/>
      <c r="K8127" s="570"/>
    </row>
    <row r="8128" ht="13.75" customHeight="1">
      <c r="A8128" s="833">
        <v>394</v>
      </c>
      <c r="B8128" t="s" s="834">
        <v>5090</v>
      </c>
      <c r="C8128" t="s" s="834">
        <v>617</v>
      </c>
      <c r="D8128" s="835">
        <v>46043</v>
      </c>
      <c r="E8128" s="836">
        <v>1.345810185185185</v>
      </c>
      <c r="F8128" s="836">
        <v>1.758171296296296</v>
      </c>
      <c r="G8128" s="570"/>
      <c r="H8128" s="570"/>
      <c r="I8128" s="570"/>
      <c r="J8128" s="570"/>
      <c r="K8128" s="570"/>
    </row>
    <row r="8129" ht="13.75" customHeight="1">
      <c r="A8129" t="s" s="834">
        <v>5111</v>
      </c>
      <c r="B8129" t="s" s="834">
        <v>5112</v>
      </c>
      <c r="C8129" t="s" s="834">
        <v>1059</v>
      </c>
      <c r="D8129" s="570"/>
      <c r="E8129" s="570"/>
      <c r="F8129" s="570"/>
      <c r="G8129" s="570"/>
      <c r="H8129" s="570"/>
      <c r="I8129" s="570"/>
      <c r="J8129" s="570"/>
      <c r="K8129" s="570"/>
    </row>
    <row r="8130" ht="13.75" customHeight="1">
      <c r="A8130" s="833">
        <v>394</v>
      </c>
      <c r="B8130" t="s" s="834">
        <v>5090</v>
      </c>
      <c r="C8130" t="s" s="834">
        <v>617</v>
      </c>
      <c r="D8130" s="835">
        <v>46044</v>
      </c>
      <c r="E8130" s="836">
        <v>1.344074074074074</v>
      </c>
      <c r="F8130" s="836">
        <v>1.757465277777778</v>
      </c>
      <c r="G8130" s="570"/>
      <c r="H8130" s="570"/>
      <c r="I8130" s="570"/>
      <c r="J8130" s="570"/>
      <c r="K8130" s="570"/>
    </row>
    <row r="8131" ht="13.75" customHeight="1">
      <c r="A8131" t="s" s="834">
        <v>5113</v>
      </c>
      <c r="B8131" t="s" s="834">
        <v>5114</v>
      </c>
      <c r="C8131" t="s" s="834">
        <v>586</v>
      </c>
      <c r="D8131" s="570"/>
      <c r="E8131" s="570"/>
      <c r="F8131" s="570"/>
      <c r="G8131" s="570"/>
      <c r="H8131" s="570"/>
      <c r="I8131" s="570"/>
      <c r="J8131" s="570"/>
      <c r="K8131" s="570"/>
    </row>
    <row r="8132" ht="13.75" customHeight="1">
      <c r="A8132" s="833">
        <v>394</v>
      </c>
      <c r="B8132" t="s" s="834">
        <v>5090</v>
      </c>
      <c r="C8132" t="s" s="834">
        <v>617</v>
      </c>
      <c r="D8132" s="835">
        <v>46045</v>
      </c>
      <c r="E8132" t="s" s="834">
        <v>478</v>
      </c>
      <c r="F8132" t="s" s="834">
        <v>478</v>
      </c>
      <c r="G8132" s="570"/>
      <c r="H8132" s="570"/>
      <c r="I8132" s="570"/>
      <c r="J8132" s="570"/>
      <c r="K8132" s="570"/>
    </row>
    <row r="8133" ht="13.75" customHeight="1">
      <c r="A8133" s="833">
        <v>394</v>
      </c>
      <c r="B8133" t="s" s="834">
        <v>5090</v>
      </c>
      <c r="C8133" t="s" s="834">
        <v>617</v>
      </c>
      <c r="D8133" s="835">
        <v>46046</v>
      </c>
      <c r="E8133" t="s" s="834">
        <v>478</v>
      </c>
      <c r="F8133" t="s" s="834">
        <v>478</v>
      </c>
      <c r="G8133" s="570"/>
      <c r="H8133" s="570"/>
      <c r="I8133" s="570"/>
      <c r="J8133" s="570"/>
      <c r="K8133" s="570"/>
    </row>
    <row r="8134" ht="13.75" customHeight="1">
      <c r="A8134" s="833">
        <v>394</v>
      </c>
      <c r="B8134" t="s" s="834">
        <v>5090</v>
      </c>
      <c r="C8134" t="s" s="834">
        <v>617</v>
      </c>
      <c r="D8134" s="835">
        <v>46047</v>
      </c>
      <c r="E8134" t="s" s="834">
        <v>478</v>
      </c>
      <c r="F8134" t="s" s="834">
        <v>478</v>
      </c>
      <c r="G8134" s="570"/>
      <c r="H8134" s="570"/>
      <c r="I8134" s="570"/>
      <c r="J8134" s="570"/>
      <c r="K8134" s="570"/>
    </row>
    <row r="8135" ht="13.75" customHeight="1">
      <c r="A8135" s="833">
        <v>394</v>
      </c>
      <c r="B8135" t="s" s="834">
        <v>5090</v>
      </c>
      <c r="C8135" t="s" s="834">
        <v>617</v>
      </c>
      <c r="D8135" s="835">
        <v>46048</v>
      </c>
      <c r="E8135" s="836">
        <v>1.344155092592592</v>
      </c>
      <c r="F8135" s="836">
        <v>1.760625</v>
      </c>
      <c r="G8135" s="570"/>
      <c r="H8135" s="570"/>
      <c r="I8135" s="570"/>
      <c r="J8135" s="570"/>
      <c r="K8135" s="570"/>
    </row>
    <row r="8136" ht="13.75" customHeight="1">
      <c r="A8136" t="s" s="834">
        <v>5115</v>
      </c>
      <c r="B8136" t="s" s="834">
        <v>5116</v>
      </c>
      <c r="C8136" t="s" s="834">
        <v>530</v>
      </c>
      <c r="D8136" s="570"/>
      <c r="E8136" s="570"/>
      <c r="F8136" s="570"/>
      <c r="G8136" s="570"/>
      <c r="H8136" s="570"/>
      <c r="I8136" s="570"/>
      <c r="J8136" s="570"/>
      <c r="K8136" s="570"/>
    </row>
    <row r="8137" ht="13.75" customHeight="1">
      <c r="A8137" s="833">
        <v>394</v>
      </c>
      <c r="B8137" t="s" s="834">
        <v>5090</v>
      </c>
      <c r="C8137" t="s" s="834">
        <v>617</v>
      </c>
      <c r="D8137" s="835">
        <v>46049</v>
      </c>
      <c r="E8137" s="836">
        <v>1.354201388888889</v>
      </c>
      <c r="F8137" s="836">
        <v>1.755833333333333</v>
      </c>
      <c r="G8137" s="570"/>
      <c r="H8137" s="570"/>
      <c r="I8137" s="570"/>
      <c r="J8137" s="570"/>
      <c r="K8137" s="570"/>
    </row>
    <row r="8138" ht="13.75" customHeight="1">
      <c r="A8138" t="s" s="834">
        <v>5117</v>
      </c>
      <c r="B8138" t="s" s="834">
        <v>5118</v>
      </c>
      <c r="C8138" t="s" s="834">
        <v>697</v>
      </c>
      <c r="D8138" s="570"/>
      <c r="E8138" s="570"/>
      <c r="F8138" s="570"/>
      <c r="G8138" s="570"/>
      <c r="H8138" s="570"/>
      <c r="I8138" s="570"/>
      <c r="J8138" s="570"/>
      <c r="K8138" s="570"/>
    </row>
    <row r="8139" ht="13.75" customHeight="1">
      <c r="A8139" s="833">
        <v>394</v>
      </c>
      <c r="B8139" t="s" s="834">
        <v>5090</v>
      </c>
      <c r="C8139" t="s" s="834">
        <v>617</v>
      </c>
      <c r="D8139" s="835">
        <v>46050</v>
      </c>
      <c r="E8139" s="836">
        <v>1.348935185185185</v>
      </c>
      <c r="F8139" s="836">
        <v>1.757291666666667</v>
      </c>
      <c r="G8139" s="570"/>
      <c r="H8139" s="570"/>
      <c r="I8139" s="570"/>
      <c r="J8139" s="570"/>
      <c r="K8139" s="570"/>
    </row>
    <row r="8140" ht="13.75" customHeight="1">
      <c r="A8140" t="s" s="834">
        <v>5119</v>
      </c>
      <c r="B8140" t="s" s="834">
        <v>5120</v>
      </c>
      <c r="C8140" t="s" s="834">
        <v>1330</v>
      </c>
      <c r="D8140" s="570"/>
      <c r="E8140" s="570"/>
      <c r="F8140" s="570"/>
      <c r="G8140" s="570"/>
      <c r="H8140" s="570"/>
      <c r="I8140" s="570"/>
      <c r="J8140" s="570"/>
      <c r="K8140" s="570"/>
    </row>
    <row r="8141" ht="13.75" customHeight="1">
      <c r="A8141" s="833">
        <v>394</v>
      </c>
      <c r="B8141" t="s" s="834">
        <v>5090</v>
      </c>
      <c r="C8141" t="s" s="834">
        <v>617</v>
      </c>
      <c r="D8141" s="835">
        <v>46051</v>
      </c>
      <c r="E8141" s="836">
        <v>1.354571759259259</v>
      </c>
      <c r="F8141" s="836">
        <v>1.709328703703704</v>
      </c>
      <c r="G8141" s="570"/>
      <c r="H8141" s="570"/>
      <c r="I8141" s="570"/>
      <c r="J8141" s="570"/>
      <c r="K8141" s="570"/>
    </row>
    <row r="8142" ht="13.75" customHeight="1">
      <c r="A8142" t="s" s="834">
        <v>5121</v>
      </c>
      <c r="B8142" t="s" s="834">
        <v>5122</v>
      </c>
      <c r="C8142" t="s" s="834">
        <v>5123</v>
      </c>
      <c r="D8142" s="570"/>
      <c r="E8142" s="570"/>
      <c r="F8142" s="570"/>
      <c r="G8142" s="570"/>
      <c r="H8142" s="570"/>
      <c r="I8142" s="570"/>
      <c r="J8142" s="570"/>
      <c r="K8142" s="570"/>
    </row>
    <row r="8143" ht="13.75" customHeight="1">
      <c r="A8143" s="833">
        <v>394</v>
      </c>
      <c r="B8143" t="s" s="834">
        <v>5090</v>
      </c>
      <c r="C8143" t="s" s="834">
        <v>617</v>
      </c>
      <c r="D8143" s="835">
        <v>46052</v>
      </c>
      <c r="E8143" t="s" s="834">
        <v>478</v>
      </c>
      <c r="F8143" t="s" s="834">
        <v>478</v>
      </c>
      <c r="G8143" s="570"/>
      <c r="H8143" s="570"/>
      <c r="I8143" s="570"/>
      <c r="J8143" s="570"/>
      <c r="K8143" s="570"/>
    </row>
    <row r="8144" ht="13.75" customHeight="1">
      <c r="A8144" s="833">
        <v>394</v>
      </c>
      <c r="B8144" t="s" s="834">
        <v>5090</v>
      </c>
      <c r="C8144" t="s" s="834">
        <v>617</v>
      </c>
      <c r="D8144" s="835">
        <v>46053</v>
      </c>
      <c r="E8144" t="s" s="834">
        <v>478</v>
      </c>
      <c r="F8144" t="s" s="834">
        <v>478</v>
      </c>
      <c r="G8144" s="570"/>
      <c r="H8144" s="570"/>
      <c r="I8144" s="570"/>
      <c r="J8144" s="570"/>
      <c r="K8144" s="570"/>
    </row>
    <row r="8145" ht="13.75" customHeight="1">
      <c r="A8145" s="833">
        <v>394</v>
      </c>
      <c r="B8145" t="s" s="834">
        <v>5090</v>
      </c>
      <c r="C8145" t="s" s="834">
        <v>617</v>
      </c>
      <c r="D8145" s="835">
        <v>46054</v>
      </c>
      <c r="E8145" t="s" s="834">
        <v>478</v>
      </c>
      <c r="F8145" t="s" s="834">
        <v>478</v>
      </c>
      <c r="G8145" s="570"/>
      <c r="H8145" s="570"/>
      <c r="I8145" s="570"/>
      <c r="J8145" s="570"/>
      <c r="K8145" s="570"/>
    </row>
    <row r="8146" ht="13.75" customHeight="1">
      <c r="A8146" s="833">
        <v>395</v>
      </c>
      <c r="B8146" t="s" s="834">
        <v>5124</v>
      </c>
      <c r="C8146" t="s" s="834">
        <v>959</v>
      </c>
      <c r="D8146" s="835">
        <v>46023</v>
      </c>
      <c r="E8146" t="s" s="834">
        <v>478</v>
      </c>
      <c r="F8146" t="s" s="834">
        <v>478</v>
      </c>
      <c r="G8146" s="570"/>
      <c r="H8146" s="570"/>
      <c r="I8146" s="570"/>
      <c r="J8146" s="570"/>
      <c r="K8146" s="570"/>
    </row>
    <row r="8147" ht="13.75" customHeight="1">
      <c r="A8147" s="833">
        <v>395</v>
      </c>
      <c r="B8147" t="s" s="834">
        <v>5124</v>
      </c>
      <c r="C8147" t="s" s="834">
        <v>959</v>
      </c>
      <c r="D8147" s="835">
        <v>46024</v>
      </c>
      <c r="E8147" t="s" s="834">
        <v>478</v>
      </c>
      <c r="F8147" t="s" s="834">
        <v>478</v>
      </c>
      <c r="G8147" s="570"/>
      <c r="H8147" s="570"/>
      <c r="I8147" s="570"/>
      <c r="J8147" s="570"/>
      <c r="K8147" s="570"/>
    </row>
    <row r="8148" ht="13.75" customHeight="1">
      <c r="A8148" s="833">
        <v>395</v>
      </c>
      <c r="B8148" t="s" s="834">
        <v>5124</v>
      </c>
      <c r="C8148" t="s" s="834">
        <v>959</v>
      </c>
      <c r="D8148" s="835">
        <v>46025</v>
      </c>
      <c r="E8148" t="s" s="834">
        <v>478</v>
      </c>
      <c r="F8148" t="s" s="834">
        <v>478</v>
      </c>
      <c r="G8148" s="570"/>
      <c r="H8148" s="570"/>
      <c r="I8148" s="570"/>
      <c r="J8148" s="570"/>
      <c r="K8148" s="570"/>
    </row>
    <row r="8149" ht="13.75" customHeight="1">
      <c r="A8149" s="833">
        <v>395</v>
      </c>
      <c r="B8149" t="s" s="834">
        <v>5124</v>
      </c>
      <c r="C8149" t="s" s="834">
        <v>959</v>
      </c>
      <c r="D8149" s="835">
        <v>46026</v>
      </c>
      <c r="E8149" t="s" s="834">
        <v>478</v>
      </c>
      <c r="F8149" t="s" s="834">
        <v>478</v>
      </c>
      <c r="G8149" s="570"/>
      <c r="H8149" s="570"/>
      <c r="I8149" s="570"/>
      <c r="J8149" s="570"/>
      <c r="K8149" s="570"/>
    </row>
    <row r="8150" ht="13.75" customHeight="1">
      <c r="A8150" s="833">
        <v>395</v>
      </c>
      <c r="B8150" t="s" s="834">
        <v>5124</v>
      </c>
      <c r="C8150" t="s" s="834">
        <v>959</v>
      </c>
      <c r="D8150" s="835">
        <v>46027</v>
      </c>
      <c r="E8150" s="836">
        <v>1.35818287037037</v>
      </c>
      <c r="F8150" s="836">
        <v>1.762638888888889</v>
      </c>
      <c r="G8150" s="570"/>
      <c r="H8150" s="570"/>
      <c r="I8150" s="570"/>
      <c r="J8150" s="570"/>
      <c r="K8150" s="570"/>
    </row>
    <row r="8151" ht="13.75" customHeight="1">
      <c r="A8151" t="s" s="834">
        <v>5125</v>
      </c>
      <c r="B8151" t="s" s="834">
        <v>5126</v>
      </c>
      <c r="C8151" t="s" s="834">
        <v>493</v>
      </c>
      <c r="D8151" s="570"/>
      <c r="E8151" s="570"/>
      <c r="F8151" s="570"/>
      <c r="G8151" s="570"/>
      <c r="H8151" s="570"/>
      <c r="I8151" s="570"/>
      <c r="J8151" s="570"/>
      <c r="K8151" s="570"/>
    </row>
    <row r="8152" ht="13.75" customHeight="1">
      <c r="A8152" s="833">
        <v>395</v>
      </c>
      <c r="B8152" t="s" s="834">
        <v>5124</v>
      </c>
      <c r="C8152" t="s" s="834">
        <v>959</v>
      </c>
      <c r="D8152" s="835">
        <v>46028</v>
      </c>
      <c r="E8152" s="836">
        <v>1.354791666666667</v>
      </c>
      <c r="F8152" s="836">
        <v>1.762638888888889</v>
      </c>
      <c r="G8152" s="570"/>
      <c r="H8152" s="570"/>
      <c r="I8152" s="570"/>
      <c r="J8152" s="570"/>
      <c r="K8152" s="570"/>
    </row>
    <row r="8153" ht="13.75" customHeight="1">
      <c r="A8153" t="s" s="834">
        <v>5127</v>
      </c>
      <c r="B8153" t="s" s="834">
        <v>5128</v>
      </c>
      <c r="C8153" t="s" s="834">
        <v>882</v>
      </c>
      <c r="D8153" s="570"/>
      <c r="E8153" s="570"/>
      <c r="F8153" s="570"/>
      <c r="G8153" s="570"/>
      <c r="H8153" s="570"/>
      <c r="I8153" s="570"/>
      <c r="J8153" s="570"/>
      <c r="K8153" s="570"/>
    </row>
    <row r="8154" ht="13.75" customHeight="1">
      <c r="A8154" s="833">
        <v>395</v>
      </c>
      <c r="B8154" t="s" s="834">
        <v>5124</v>
      </c>
      <c r="C8154" t="s" s="834">
        <v>959</v>
      </c>
      <c r="D8154" s="835">
        <v>46029</v>
      </c>
      <c r="E8154" s="836">
        <v>1.356446759259259</v>
      </c>
      <c r="F8154" s="836">
        <v>1.755393518518519</v>
      </c>
      <c r="G8154" s="570"/>
      <c r="H8154" s="570"/>
      <c r="I8154" s="570"/>
      <c r="J8154" s="570"/>
      <c r="K8154" s="570"/>
    </row>
    <row r="8155" ht="13.75" customHeight="1">
      <c r="A8155" t="s" s="834">
        <v>5129</v>
      </c>
      <c r="B8155" t="s" s="834">
        <v>5130</v>
      </c>
      <c r="C8155" t="s" s="834">
        <v>611</v>
      </c>
      <c r="D8155" s="570"/>
      <c r="E8155" s="570"/>
      <c r="F8155" s="570"/>
      <c r="G8155" s="570"/>
      <c r="H8155" s="570"/>
      <c r="I8155" s="570"/>
      <c r="J8155" s="570"/>
      <c r="K8155" s="570"/>
    </row>
    <row r="8156" ht="13.75" customHeight="1">
      <c r="A8156" s="833">
        <v>395</v>
      </c>
      <c r="B8156" t="s" s="834">
        <v>5124</v>
      </c>
      <c r="C8156" t="s" s="834">
        <v>959</v>
      </c>
      <c r="D8156" s="835">
        <v>46030</v>
      </c>
      <c r="E8156" s="836">
        <v>1.350694444444444</v>
      </c>
      <c r="F8156" s="836">
        <v>1.755185185185185</v>
      </c>
      <c r="G8156" s="570"/>
      <c r="H8156" s="570"/>
      <c r="I8156" s="570"/>
      <c r="J8156" s="570"/>
      <c r="K8156" s="570"/>
    </row>
    <row r="8157" ht="13.75" customHeight="1">
      <c r="A8157" t="s" s="834">
        <v>5131</v>
      </c>
      <c r="B8157" t="s" s="834">
        <v>5132</v>
      </c>
      <c r="C8157" t="s" s="834">
        <v>493</v>
      </c>
      <c r="D8157" s="570"/>
      <c r="E8157" s="570"/>
      <c r="F8157" s="570"/>
      <c r="G8157" s="570"/>
      <c r="H8157" s="570"/>
      <c r="I8157" s="570"/>
      <c r="J8157" s="570"/>
      <c r="K8157" s="570"/>
    </row>
    <row r="8158" ht="13.75" customHeight="1">
      <c r="A8158" s="833">
        <v>395</v>
      </c>
      <c r="B8158" t="s" s="834">
        <v>5124</v>
      </c>
      <c r="C8158" t="s" s="834">
        <v>959</v>
      </c>
      <c r="D8158" s="835">
        <v>46031</v>
      </c>
      <c r="E8158" s="836">
        <v>1.358356481481481</v>
      </c>
      <c r="F8158" s="836">
        <v>1.760266203703704</v>
      </c>
      <c r="G8158" s="570"/>
      <c r="H8158" s="570"/>
      <c r="I8158" s="570"/>
      <c r="J8158" s="570"/>
      <c r="K8158" s="570"/>
    </row>
    <row r="8159" ht="13.75" customHeight="1">
      <c r="A8159" t="s" s="834">
        <v>5133</v>
      </c>
      <c r="B8159" t="s" s="834">
        <v>5134</v>
      </c>
      <c r="C8159" t="s" s="834">
        <v>772</v>
      </c>
      <c r="D8159" s="570"/>
      <c r="E8159" s="570"/>
      <c r="F8159" s="570"/>
      <c r="G8159" s="570"/>
      <c r="H8159" s="570"/>
      <c r="I8159" s="570"/>
      <c r="J8159" s="570"/>
      <c r="K8159" s="570"/>
    </row>
    <row r="8160" ht="13.75" customHeight="1">
      <c r="A8160" s="833">
        <v>395</v>
      </c>
      <c r="B8160" t="s" s="834">
        <v>5124</v>
      </c>
      <c r="C8160" t="s" s="834">
        <v>959</v>
      </c>
      <c r="D8160" s="835">
        <v>46032</v>
      </c>
      <c r="E8160" t="s" s="834">
        <v>478</v>
      </c>
      <c r="F8160" t="s" s="834">
        <v>478</v>
      </c>
      <c r="G8160" s="570"/>
      <c r="H8160" s="570"/>
      <c r="I8160" s="570"/>
      <c r="J8160" s="570"/>
      <c r="K8160" s="570"/>
    </row>
    <row r="8161" ht="13.75" customHeight="1">
      <c r="A8161" s="833">
        <v>395</v>
      </c>
      <c r="B8161" t="s" s="834">
        <v>5124</v>
      </c>
      <c r="C8161" t="s" s="834">
        <v>959</v>
      </c>
      <c r="D8161" s="835">
        <v>46033</v>
      </c>
      <c r="E8161" t="s" s="834">
        <v>478</v>
      </c>
      <c r="F8161" t="s" s="834">
        <v>478</v>
      </c>
      <c r="G8161" s="570"/>
      <c r="H8161" s="570"/>
      <c r="I8161" s="570"/>
      <c r="J8161" s="570"/>
      <c r="K8161" s="570"/>
    </row>
    <row r="8162" ht="13.75" customHeight="1">
      <c r="A8162" s="833">
        <v>395</v>
      </c>
      <c r="B8162" t="s" s="834">
        <v>5124</v>
      </c>
      <c r="C8162" t="s" s="834">
        <v>959</v>
      </c>
      <c r="D8162" s="835">
        <v>46034</v>
      </c>
      <c r="E8162" s="836">
        <v>1.358252314814815</v>
      </c>
      <c r="F8162" s="836">
        <v>1.757766203703704</v>
      </c>
      <c r="G8162" s="570"/>
      <c r="H8162" s="570"/>
      <c r="I8162" s="570"/>
      <c r="J8162" s="570"/>
      <c r="K8162" s="570"/>
    </row>
    <row r="8163" ht="13.75" customHeight="1">
      <c r="A8163" t="s" s="834">
        <v>5135</v>
      </c>
      <c r="B8163" t="s" s="834">
        <v>5136</v>
      </c>
      <c r="C8163" t="s" s="834">
        <v>515</v>
      </c>
      <c r="D8163" s="570"/>
      <c r="E8163" s="570"/>
      <c r="F8163" s="570"/>
      <c r="G8163" s="570"/>
      <c r="H8163" s="570"/>
      <c r="I8163" s="570"/>
      <c r="J8163" s="570"/>
      <c r="K8163" s="570"/>
    </row>
    <row r="8164" ht="13.75" customHeight="1">
      <c r="A8164" s="833">
        <v>395</v>
      </c>
      <c r="B8164" t="s" s="834">
        <v>5124</v>
      </c>
      <c r="C8164" t="s" s="834">
        <v>959</v>
      </c>
      <c r="D8164" s="835">
        <v>46035</v>
      </c>
      <c r="E8164" s="836">
        <v>1.361087962962963</v>
      </c>
      <c r="F8164" s="836">
        <v>1.757766203703704</v>
      </c>
      <c r="G8164" s="570"/>
      <c r="H8164" s="570"/>
      <c r="I8164" s="570"/>
      <c r="J8164" s="570"/>
      <c r="K8164" s="570"/>
    </row>
    <row r="8165" ht="13.75" customHeight="1">
      <c r="A8165" t="s" s="834">
        <v>5137</v>
      </c>
      <c r="B8165" t="s" s="834">
        <v>5138</v>
      </c>
      <c r="C8165" t="s" s="834">
        <v>683</v>
      </c>
      <c r="D8165" s="570"/>
      <c r="E8165" s="570"/>
      <c r="F8165" s="570"/>
      <c r="G8165" s="570"/>
      <c r="H8165" s="570"/>
      <c r="I8165" s="570"/>
      <c r="J8165" s="570"/>
      <c r="K8165" s="570"/>
    </row>
    <row r="8166" ht="13.75" customHeight="1">
      <c r="A8166" s="833">
        <v>395</v>
      </c>
      <c r="B8166" t="s" s="834">
        <v>5124</v>
      </c>
      <c r="C8166" t="s" s="834">
        <v>959</v>
      </c>
      <c r="D8166" s="835">
        <v>46036</v>
      </c>
      <c r="E8166" s="836">
        <v>1.3628125</v>
      </c>
      <c r="F8166" s="836">
        <v>1.697025462962963</v>
      </c>
      <c r="G8166" s="570"/>
      <c r="H8166" s="570"/>
      <c r="I8166" s="570"/>
      <c r="J8166" s="570"/>
      <c r="K8166" s="570"/>
    </row>
    <row r="8167" ht="13.75" customHeight="1">
      <c r="A8167" t="s" s="834">
        <v>5139</v>
      </c>
      <c r="B8167" t="s" s="834">
        <v>5140</v>
      </c>
      <c r="C8167" t="s" s="834">
        <v>706</v>
      </c>
      <c r="D8167" s="570"/>
      <c r="E8167" s="570"/>
      <c r="F8167" s="570"/>
      <c r="G8167" s="570"/>
      <c r="H8167" s="570"/>
      <c r="I8167" s="570"/>
      <c r="J8167" s="570"/>
      <c r="K8167" s="570"/>
    </row>
    <row r="8168" ht="13.75" customHeight="1">
      <c r="A8168" s="833">
        <v>395</v>
      </c>
      <c r="B8168" t="s" s="834">
        <v>5124</v>
      </c>
      <c r="C8168" t="s" s="834">
        <v>959</v>
      </c>
      <c r="D8168" s="835">
        <v>46037</v>
      </c>
      <c r="E8168" t="s" s="834">
        <v>478</v>
      </c>
      <c r="F8168" t="s" s="834">
        <v>478</v>
      </c>
      <c r="G8168" s="570"/>
      <c r="H8168" s="570"/>
      <c r="I8168" s="570"/>
      <c r="J8168" s="570"/>
      <c r="K8168" s="570"/>
    </row>
    <row r="8169" ht="13.75" customHeight="1">
      <c r="A8169" s="833">
        <v>395</v>
      </c>
      <c r="B8169" t="s" s="834">
        <v>5124</v>
      </c>
      <c r="C8169" t="s" s="834">
        <v>959</v>
      </c>
      <c r="D8169" s="835">
        <v>46038</v>
      </c>
      <c r="E8169" s="836">
        <v>1.365173611111111</v>
      </c>
      <c r="F8169" s="836">
        <v>1.741331018518518</v>
      </c>
      <c r="G8169" s="570"/>
      <c r="H8169" s="570"/>
      <c r="I8169" s="570"/>
      <c r="J8169" s="570"/>
      <c r="K8169" s="570"/>
    </row>
    <row r="8170" ht="13.75" customHeight="1">
      <c r="A8170" t="s" s="834">
        <v>5141</v>
      </c>
      <c r="B8170" t="s" s="834">
        <v>5142</v>
      </c>
      <c r="C8170" t="s" s="834">
        <v>534</v>
      </c>
      <c r="D8170" s="570"/>
      <c r="E8170" s="570"/>
      <c r="F8170" s="570"/>
      <c r="G8170" s="570"/>
      <c r="H8170" s="570"/>
      <c r="I8170" s="570"/>
      <c r="J8170" s="570"/>
      <c r="K8170" s="570"/>
    </row>
    <row r="8171" ht="13.75" customHeight="1">
      <c r="A8171" s="833">
        <v>395</v>
      </c>
      <c r="B8171" t="s" s="834">
        <v>5124</v>
      </c>
      <c r="C8171" t="s" s="834">
        <v>959</v>
      </c>
      <c r="D8171" s="835">
        <v>46039</v>
      </c>
      <c r="E8171" t="s" s="834">
        <v>478</v>
      </c>
      <c r="F8171" t="s" s="834">
        <v>478</v>
      </c>
      <c r="G8171" s="570"/>
      <c r="H8171" s="570"/>
      <c r="I8171" s="570"/>
      <c r="J8171" s="570"/>
      <c r="K8171" s="570"/>
    </row>
    <row r="8172" ht="13.75" customHeight="1">
      <c r="A8172" s="833">
        <v>395</v>
      </c>
      <c r="B8172" t="s" s="834">
        <v>5124</v>
      </c>
      <c r="C8172" t="s" s="834">
        <v>959</v>
      </c>
      <c r="D8172" s="835">
        <v>46040</v>
      </c>
      <c r="E8172" t="s" s="834">
        <v>478</v>
      </c>
      <c r="F8172" t="s" s="834">
        <v>478</v>
      </c>
      <c r="G8172" s="570"/>
      <c r="H8172" s="570"/>
      <c r="I8172" s="570"/>
      <c r="J8172" s="570"/>
      <c r="K8172" s="570"/>
    </row>
    <row r="8173" ht="13.75" customHeight="1">
      <c r="A8173" s="833">
        <v>395</v>
      </c>
      <c r="B8173" t="s" s="834">
        <v>5124</v>
      </c>
      <c r="C8173" t="s" s="834">
        <v>959</v>
      </c>
      <c r="D8173" s="835">
        <v>46041</v>
      </c>
      <c r="E8173" t="s" s="834">
        <v>478</v>
      </c>
      <c r="F8173" t="s" s="834">
        <v>478</v>
      </c>
      <c r="G8173" s="570"/>
      <c r="H8173" s="570"/>
      <c r="I8173" s="570"/>
      <c r="J8173" s="570"/>
      <c r="K8173" s="570"/>
    </row>
    <row r="8174" ht="13.75" customHeight="1">
      <c r="A8174" s="833">
        <v>395</v>
      </c>
      <c r="B8174" t="s" s="834">
        <v>5124</v>
      </c>
      <c r="C8174" t="s" s="834">
        <v>959</v>
      </c>
      <c r="D8174" s="835">
        <v>46042</v>
      </c>
      <c r="E8174" s="836">
        <v>1.363738425925926</v>
      </c>
      <c r="F8174" t="s" s="834">
        <v>478</v>
      </c>
      <c r="G8174" s="570"/>
      <c r="H8174" s="570"/>
      <c r="I8174" s="570"/>
      <c r="J8174" s="570"/>
      <c r="K8174" s="570"/>
    </row>
    <row r="8175" ht="13.75" customHeight="1">
      <c r="A8175" t="s" s="834">
        <v>5143</v>
      </c>
      <c r="B8175" t="s" s="834">
        <v>485</v>
      </c>
      <c r="C8175" t="s" s="834">
        <v>486</v>
      </c>
      <c r="D8175" s="570"/>
      <c r="E8175" s="570"/>
      <c r="F8175" s="570"/>
      <c r="G8175" s="570"/>
      <c r="H8175" s="570"/>
      <c r="I8175" s="570"/>
      <c r="J8175" s="570"/>
      <c r="K8175" s="570"/>
    </row>
    <row r="8176" ht="13.75" customHeight="1">
      <c r="A8176" s="833">
        <v>395</v>
      </c>
      <c r="B8176" t="s" s="834">
        <v>5124</v>
      </c>
      <c r="C8176" t="s" s="834">
        <v>959</v>
      </c>
      <c r="D8176" s="835">
        <v>46043</v>
      </c>
      <c r="E8176" s="836">
        <v>1.361469907407407</v>
      </c>
      <c r="F8176" s="836">
        <v>1.736053240740741</v>
      </c>
      <c r="G8176" s="570"/>
      <c r="H8176" s="570"/>
      <c r="I8176" s="570"/>
      <c r="J8176" s="570"/>
      <c r="K8176" s="570"/>
    </row>
    <row r="8177" ht="13.75" customHeight="1">
      <c r="A8177" t="s" s="834">
        <v>5144</v>
      </c>
      <c r="B8177" t="s" s="834">
        <v>5145</v>
      </c>
      <c r="C8177" t="s" s="834">
        <v>559</v>
      </c>
      <c r="D8177" s="570"/>
      <c r="E8177" s="570"/>
      <c r="F8177" s="570"/>
      <c r="G8177" s="570"/>
      <c r="H8177" s="570"/>
      <c r="I8177" s="570"/>
      <c r="J8177" s="570"/>
      <c r="K8177" s="570"/>
    </row>
    <row r="8178" ht="13.75" customHeight="1">
      <c r="A8178" s="833">
        <v>395</v>
      </c>
      <c r="B8178" t="s" s="834">
        <v>5124</v>
      </c>
      <c r="C8178" t="s" s="834">
        <v>959</v>
      </c>
      <c r="D8178" s="835">
        <v>46044</v>
      </c>
      <c r="E8178" s="836">
        <v>1.363043981481481</v>
      </c>
      <c r="F8178" s="836">
        <v>1.760775462962963</v>
      </c>
      <c r="G8178" s="570"/>
      <c r="H8178" s="570"/>
      <c r="I8178" s="570"/>
      <c r="J8178" s="570"/>
      <c r="K8178" s="570"/>
    </row>
    <row r="8179" ht="13.75" customHeight="1">
      <c r="A8179" t="s" s="834">
        <v>5146</v>
      </c>
      <c r="B8179" t="s" s="834">
        <v>5147</v>
      </c>
      <c r="C8179" t="s" s="834">
        <v>688</v>
      </c>
      <c r="D8179" s="570"/>
      <c r="E8179" s="570"/>
      <c r="F8179" s="570"/>
      <c r="G8179" s="570"/>
      <c r="H8179" s="570"/>
      <c r="I8179" s="570"/>
      <c r="J8179" s="570"/>
      <c r="K8179" s="570"/>
    </row>
    <row r="8180" ht="13.75" customHeight="1">
      <c r="A8180" s="833">
        <v>395</v>
      </c>
      <c r="B8180" t="s" s="834">
        <v>5124</v>
      </c>
      <c r="C8180" t="s" s="834">
        <v>959</v>
      </c>
      <c r="D8180" s="835">
        <v>46045</v>
      </c>
      <c r="E8180" s="836">
        <v>1.364907407407407</v>
      </c>
      <c r="F8180" s="836">
        <v>1.733530092592593</v>
      </c>
      <c r="G8180" s="570"/>
      <c r="H8180" s="570"/>
      <c r="I8180" s="570"/>
      <c r="J8180" s="570"/>
      <c r="K8180" s="570"/>
    </row>
    <row r="8181" ht="13.75" customHeight="1">
      <c r="A8181" t="s" s="834">
        <v>5148</v>
      </c>
      <c r="B8181" t="s" s="834">
        <v>5149</v>
      </c>
      <c r="C8181" t="s" s="834">
        <v>2749</v>
      </c>
      <c r="D8181" s="570"/>
      <c r="E8181" s="570"/>
      <c r="F8181" s="570"/>
      <c r="G8181" s="570"/>
      <c r="H8181" s="570"/>
      <c r="I8181" s="570"/>
      <c r="J8181" s="570"/>
      <c r="K8181" s="570"/>
    </row>
    <row r="8182" ht="13.75" customHeight="1">
      <c r="A8182" s="833">
        <v>395</v>
      </c>
      <c r="B8182" t="s" s="834">
        <v>5124</v>
      </c>
      <c r="C8182" t="s" s="834">
        <v>959</v>
      </c>
      <c r="D8182" s="835">
        <v>46046</v>
      </c>
      <c r="E8182" t="s" s="834">
        <v>478</v>
      </c>
      <c r="F8182" t="s" s="834">
        <v>478</v>
      </c>
      <c r="G8182" s="570"/>
      <c r="H8182" s="570"/>
      <c r="I8182" s="570"/>
      <c r="J8182" s="570"/>
      <c r="K8182" s="570"/>
    </row>
    <row r="8183" ht="13.75" customHeight="1">
      <c r="A8183" s="833">
        <v>395</v>
      </c>
      <c r="B8183" t="s" s="834">
        <v>5124</v>
      </c>
      <c r="C8183" t="s" s="834">
        <v>959</v>
      </c>
      <c r="D8183" s="835">
        <v>46047</v>
      </c>
      <c r="E8183" t="s" s="834">
        <v>478</v>
      </c>
      <c r="F8183" t="s" s="834">
        <v>478</v>
      </c>
      <c r="G8183" s="570"/>
      <c r="H8183" s="570"/>
      <c r="I8183" s="570"/>
      <c r="J8183" s="570"/>
      <c r="K8183" s="570"/>
    </row>
    <row r="8184" ht="13.75" customHeight="1">
      <c r="A8184" s="833">
        <v>395</v>
      </c>
      <c r="B8184" t="s" s="834">
        <v>5124</v>
      </c>
      <c r="C8184" t="s" s="834">
        <v>959</v>
      </c>
      <c r="D8184" s="835">
        <v>46048</v>
      </c>
      <c r="E8184" s="836">
        <v>1.357939814814815</v>
      </c>
      <c r="F8184" s="836">
        <v>1.757766203703704</v>
      </c>
      <c r="G8184" s="570"/>
      <c r="H8184" s="570"/>
      <c r="I8184" s="570"/>
      <c r="J8184" s="570"/>
      <c r="K8184" s="570"/>
    </row>
    <row r="8185" ht="13.75" customHeight="1">
      <c r="A8185" t="s" s="834">
        <v>5150</v>
      </c>
      <c r="B8185" t="s" s="834">
        <v>5151</v>
      </c>
      <c r="C8185" t="s" s="834">
        <v>759</v>
      </c>
      <c r="D8185" s="570"/>
      <c r="E8185" s="570"/>
      <c r="F8185" s="570"/>
      <c r="G8185" s="570"/>
      <c r="H8185" s="570"/>
      <c r="I8185" s="570"/>
      <c r="J8185" s="570"/>
      <c r="K8185" s="570"/>
    </row>
    <row r="8186" ht="13.75" customHeight="1">
      <c r="A8186" s="833">
        <v>395</v>
      </c>
      <c r="B8186" t="s" s="834">
        <v>5124</v>
      </c>
      <c r="C8186" t="s" s="834">
        <v>959</v>
      </c>
      <c r="D8186" s="835">
        <v>46049</v>
      </c>
      <c r="E8186" s="836">
        <v>1.364583333333333</v>
      </c>
      <c r="F8186" s="836">
        <v>1.736770833333333</v>
      </c>
      <c r="G8186" s="570"/>
      <c r="H8186" s="570"/>
      <c r="I8186" s="570"/>
      <c r="J8186" s="570"/>
      <c r="K8186" s="570"/>
    </row>
    <row r="8187" ht="13.75" customHeight="1">
      <c r="A8187" t="s" s="834">
        <v>5152</v>
      </c>
      <c r="B8187" t="s" s="834">
        <v>5153</v>
      </c>
      <c r="C8187" t="s" s="834">
        <v>1185</v>
      </c>
      <c r="D8187" s="570"/>
      <c r="E8187" s="570"/>
      <c r="F8187" s="570"/>
      <c r="G8187" s="570"/>
      <c r="H8187" s="570"/>
      <c r="I8187" s="570"/>
      <c r="J8187" s="570"/>
      <c r="K8187" s="570"/>
    </row>
    <row r="8188" ht="13.75" customHeight="1">
      <c r="A8188" s="833">
        <v>395</v>
      </c>
      <c r="B8188" t="s" s="834">
        <v>5124</v>
      </c>
      <c r="C8188" t="s" s="834">
        <v>959</v>
      </c>
      <c r="D8188" s="835">
        <v>46050</v>
      </c>
      <c r="E8188" s="836">
        <v>1.364409722222222</v>
      </c>
      <c r="F8188" s="836">
        <v>1.732094907407407</v>
      </c>
      <c r="G8188" s="570"/>
      <c r="H8188" s="570"/>
      <c r="I8188" s="570"/>
      <c r="J8188" s="570"/>
      <c r="K8188" s="570"/>
    </row>
    <row r="8189" ht="13.75" customHeight="1">
      <c r="A8189" t="s" s="834">
        <v>5154</v>
      </c>
      <c r="B8189" t="s" s="834">
        <v>5155</v>
      </c>
      <c r="C8189" t="s" s="834">
        <v>1264</v>
      </c>
      <c r="D8189" s="570"/>
      <c r="E8189" s="570"/>
      <c r="F8189" s="570"/>
      <c r="G8189" s="570"/>
      <c r="H8189" s="570"/>
      <c r="I8189" s="570"/>
      <c r="J8189" s="570"/>
      <c r="K8189" s="570"/>
    </row>
    <row r="8190" ht="13.75" customHeight="1">
      <c r="A8190" s="833">
        <v>395</v>
      </c>
      <c r="B8190" t="s" s="834">
        <v>5124</v>
      </c>
      <c r="C8190" t="s" s="834">
        <v>959</v>
      </c>
      <c r="D8190" s="835">
        <v>46051</v>
      </c>
      <c r="E8190" s="836">
        <v>1.351608796296296</v>
      </c>
      <c r="F8190" s="836">
        <v>1.747418981481482</v>
      </c>
      <c r="G8190" s="570"/>
      <c r="H8190" s="570"/>
      <c r="I8190" s="570"/>
      <c r="J8190" s="570"/>
      <c r="K8190" s="570"/>
    </row>
    <row r="8191" ht="13.75" customHeight="1">
      <c r="A8191" t="s" s="834">
        <v>5156</v>
      </c>
      <c r="B8191" t="s" s="834">
        <v>5157</v>
      </c>
      <c r="C8191" t="s" s="834">
        <v>634</v>
      </c>
      <c r="D8191" s="570"/>
      <c r="E8191" s="570"/>
      <c r="F8191" s="570"/>
      <c r="G8191" s="570"/>
      <c r="H8191" s="570"/>
      <c r="I8191" s="570"/>
      <c r="J8191" s="570"/>
      <c r="K8191" s="570"/>
    </row>
    <row r="8192" ht="13.75" customHeight="1">
      <c r="A8192" s="833">
        <v>395</v>
      </c>
      <c r="B8192" t="s" s="834">
        <v>5124</v>
      </c>
      <c r="C8192" t="s" s="834">
        <v>959</v>
      </c>
      <c r="D8192" s="835">
        <v>46052</v>
      </c>
      <c r="E8192" s="836">
        <v>1.361388888888889</v>
      </c>
      <c r="F8192" s="836">
        <v>1.365358796296296</v>
      </c>
      <c r="G8192" s="570"/>
      <c r="H8192" s="570"/>
      <c r="I8192" s="570"/>
      <c r="J8192" s="570"/>
      <c r="K8192" s="570"/>
    </row>
    <row r="8193" ht="13.75" customHeight="1">
      <c r="A8193" t="s" s="834">
        <v>5158</v>
      </c>
      <c r="B8193" t="s" s="834">
        <v>5159</v>
      </c>
      <c r="C8193" t="s" s="834">
        <v>5160</v>
      </c>
      <c r="D8193" s="570"/>
      <c r="E8193" s="570"/>
      <c r="F8193" s="570"/>
      <c r="G8193" s="570"/>
      <c r="H8193" s="570"/>
      <c r="I8193" s="570"/>
      <c r="J8193" s="570"/>
      <c r="K8193" s="570"/>
    </row>
    <row r="8194" ht="13.75" customHeight="1">
      <c r="A8194" s="833">
        <v>395</v>
      </c>
      <c r="B8194" t="s" s="834">
        <v>5124</v>
      </c>
      <c r="C8194" t="s" s="834">
        <v>959</v>
      </c>
      <c r="D8194" s="835">
        <v>46053</v>
      </c>
      <c r="E8194" t="s" s="834">
        <v>478</v>
      </c>
      <c r="F8194" t="s" s="834">
        <v>478</v>
      </c>
      <c r="G8194" s="570"/>
      <c r="H8194" s="570"/>
      <c r="I8194" s="570"/>
      <c r="J8194" s="570"/>
      <c r="K8194" s="570"/>
    </row>
    <row r="8195" ht="13.75" customHeight="1">
      <c r="A8195" s="833">
        <v>395</v>
      </c>
      <c r="B8195" t="s" s="834">
        <v>5124</v>
      </c>
      <c r="C8195" t="s" s="834">
        <v>959</v>
      </c>
      <c r="D8195" s="835">
        <v>46054</v>
      </c>
      <c r="E8195" t="s" s="834">
        <v>478</v>
      </c>
      <c r="F8195" t="s" s="834">
        <v>478</v>
      </c>
      <c r="G8195" s="570"/>
      <c r="H8195" s="570"/>
      <c r="I8195" s="570"/>
      <c r="J8195" s="570"/>
      <c r="K8195" s="570"/>
    </row>
    <row r="8196" ht="13.75" customHeight="1">
      <c r="A8196" s="833">
        <v>396</v>
      </c>
      <c r="B8196" t="s" s="834">
        <v>5161</v>
      </c>
      <c r="C8196" t="s" s="834">
        <v>1010</v>
      </c>
      <c r="D8196" s="835">
        <v>46023</v>
      </c>
      <c r="E8196" t="s" s="834">
        <v>478</v>
      </c>
      <c r="F8196" t="s" s="834">
        <v>478</v>
      </c>
      <c r="G8196" s="570"/>
      <c r="H8196" s="570"/>
      <c r="I8196" s="570"/>
      <c r="J8196" s="570"/>
      <c r="K8196" s="570"/>
    </row>
    <row r="8197" ht="13.75" customHeight="1">
      <c r="A8197" s="833">
        <v>396</v>
      </c>
      <c r="B8197" t="s" s="834">
        <v>5161</v>
      </c>
      <c r="C8197" t="s" s="834">
        <v>1010</v>
      </c>
      <c r="D8197" s="835">
        <v>46024</v>
      </c>
      <c r="E8197" t="s" s="834">
        <v>478</v>
      </c>
      <c r="F8197" t="s" s="834">
        <v>478</v>
      </c>
      <c r="G8197" s="570"/>
      <c r="H8197" s="570"/>
      <c r="I8197" s="570"/>
      <c r="J8197" s="570"/>
      <c r="K8197" s="570"/>
    </row>
    <row r="8198" ht="13.75" customHeight="1">
      <c r="A8198" s="833">
        <v>396</v>
      </c>
      <c r="B8198" t="s" s="834">
        <v>5161</v>
      </c>
      <c r="C8198" t="s" s="834">
        <v>1010</v>
      </c>
      <c r="D8198" s="835">
        <v>46025</v>
      </c>
      <c r="E8198" t="s" s="834">
        <v>478</v>
      </c>
      <c r="F8198" t="s" s="834">
        <v>478</v>
      </c>
      <c r="G8198" s="570"/>
      <c r="H8198" s="570"/>
      <c r="I8198" s="570"/>
      <c r="J8198" s="570"/>
      <c r="K8198" s="570"/>
    </row>
    <row r="8199" ht="13.75" customHeight="1">
      <c r="A8199" s="833">
        <v>396</v>
      </c>
      <c r="B8199" t="s" s="834">
        <v>5161</v>
      </c>
      <c r="C8199" t="s" s="834">
        <v>1010</v>
      </c>
      <c r="D8199" s="835">
        <v>46026</v>
      </c>
      <c r="E8199" t="s" s="834">
        <v>478</v>
      </c>
      <c r="F8199" t="s" s="834">
        <v>478</v>
      </c>
      <c r="G8199" s="570"/>
      <c r="H8199" s="570"/>
      <c r="I8199" s="570"/>
      <c r="J8199" s="570"/>
      <c r="K8199" s="570"/>
    </row>
    <row r="8200" ht="13.75" customHeight="1">
      <c r="A8200" s="833">
        <v>396</v>
      </c>
      <c r="B8200" t="s" s="834">
        <v>5161</v>
      </c>
      <c r="C8200" t="s" s="834">
        <v>1010</v>
      </c>
      <c r="D8200" s="835">
        <v>46027</v>
      </c>
      <c r="E8200" s="836">
        <v>1.367152777777778</v>
      </c>
      <c r="F8200" s="836">
        <v>1.79599537037037</v>
      </c>
      <c r="G8200" s="570"/>
      <c r="H8200" s="570"/>
      <c r="I8200" s="570"/>
      <c r="J8200" s="570"/>
      <c r="K8200" s="570"/>
    </row>
    <row r="8201" ht="13.75" customHeight="1">
      <c r="A8201" t="s" s="834">
        <v>5162</v>
      </c>
      <c r="B8201" t="s" s="834">
        <v>5163</v>
      </c>
      <c r="C8201" t="s" s="834">
        <v>626</v>
      </c>
      <c r="D8201" s="570"/>
      <c r="E8201" s="570"/>
      <c r="F8201" s="570"/>
      <c r="G8201" s="570"/>
      <c r="H8201" s="570"/>
      <c r="I8201" s="570"/>
      <c r="J8201" s="570"/>
      <c r="K8201" s="570"/>
    </row>
    <row r="8202" ht="13.75" customHeight="1">
      <c r="A8202" s="833">
        <v>396</v>
      </c>
      <c r="B8202" t="s" s="834">
        <v>5161</v>
      </c>
      <c r="C8202" t="s" s="834">
        <v>1010</v>
      </c>
      <c r="D8202" s="835">
        <v>46028</v>
      </c>
      <c r="E8202" s="836">
        <v>1.365023148148148</v>
      </c>
      <c r="F8202" s="836">
        <v>1.773333333333333</v>
      </c>
      <c r="G8202" s="570"/>
      <c r="H8202" s="570"/>
      <c r="I8202" s="570"/>
      <c r="J8202" s="570"/>
      <c r="K8202" s="570"/>
    </row>
    <row r="8203" ht="13.75" customHeight="1">
      <c r="A8203" t="s" s="834">
        <v>5164</v>
      </c>
      <c r="B8203" t="s" s="834">
        <v>5165</v>
      </c>
      <c r="C8203" t="s" s="834">
        <v>1330</v>
      </c>
      <c r="D8203" s="570"/>
      <c r="E8203" s="570"/>
      <c r="F8203" s="570"/>
      <c r="G8203" s="570"/>
      <c r="H8203" s="570"/>
      <c r="I8203" s="570"/>
      <c r="J8203" s="570"/>
      <c r="K8203" s="570"/>
    </row>
    <row r="8204" ht="13.75" customHeight="1">
      <c r="A8204" s="833">
        <v>396</v>
      </c>
      <c r="B8204" t="s" s="834">
        <v>5161</v>
      </c>
      <c r="C8204" t="s" s="834">
        <v>1010</v>
      </c>
      <c r="D8204" s="835">
        <v>46029</v>
      </c>
      <c r="E8204" s="836">
        <v>1.368287037037037</v>
      </c>
      <c r="F8204" s="836">
        <v>1.764085648148148</v>
      </c>
      <c r="G8204" s="570"/>
      <c r="H8204" s="570"/>
      <c r="I8204" s="570"/>
      <c r="J8204" s="570"/>
      <c r="K8204" s="570"/>
    </row>
    <row r="8205" ht="13.75" customHeight="1">
      <c r="A8205" t="s" s="834">
        <v>5166</v>
      </c>
      <c r="B8205" t="s" s="834">
        <v>5167</v>
      </c>
      <c r="C8205" t="s" s="834">
        <v>634</v>
      </c>
      <c r="D8205" s="570"/>
      <c r="E8205" s="570"/>
      <c r="F8205" s="570"/>
      <c r="G8205" s="570"/>
      <c r="H8205" s="570"/>
      <c r="I8205" s="570"/>
      <c r="J8205" s="570"/>
      <c r="K8205" s="570"/>
    </row>
    <row r="8206" ht="13.75" customHeight="1">
      <c r="A8206" s="833">
        <v>396</v>
      </c>
      <c r="B8206" t="s" s="834">
        <v>5161</v>
      </c>
      <c r="C8206" t="s" s="834">
        <v>1010</v>
      </c>
      <c r="D8206" s="835">
        <v>46030</v>
      </c>
      <c r="E8206" s="836">
        <v>1.366990740740741</v>
      </c>
      <c r="F8206" s="836">
        <v>1.773310185185185</v>
      </c>
      <c r="G8206" s="570"/>
      <c r="H8206" s="570"/>
      <c r="I8206" s="570"/>
      <c r="J8206" s="570"/>
      <c r="K8206" s="570"/>
    </row>
    <row r="8207" ht="13.75" customHeight="1">
      <c r="A8207" t="s" s="834">
        <v>5168</v>
      </c>
      <c r="B8207" t="s" s="834">
        <v>5169</v>
      </c>
      <c r="C8207" t="s" s="834">
        <v>603</v>
      </c>
      <c r="D8207" s="570"/>
      <c r="E8207" s="570"/>
      <c r="F8207" s="570"/>
      <c r="G8207" s="570"/>
      <c r="H8207" s="570"/>
      <c r="I8207" s="570"/>
      <c r="J8207" s="570"/>
      <c r="K8207" s="570"/>
    </row>
    <row r="8208" ht="13.75" customHeight="1">
      <c r="A8208" s="833">
        <v>396</v>
      </c>
      <c r="B8208" t="s" s="834">
        <v>5161</v>
      </c>
      <c r="C8208" t="s" s="834">
        <v>1010</v>
      </c>
      <c r="D8208" s="835">
        <v>46031</v>
      </c>
      <c r="E8208" s="836">
        <v>1.361678240740741</v>
      </c>
      <c r="F8208" s="836">
        <v>1.763483796296296</v>
      </c>
      <c r="G8208" s="570"/>
      <c r="H8208" s="570"/>
      <c r="I8208" s="570"/>
      <c r="J8208" s="570"/>
      <c r="K8208" s="570"/>
    </row>
    <row r="8209" ht="13.75" customHeight="1">
      <c r="A8209" t="s" s="834">
        <v>5170</v>
      </c>
      <c r="B8209" t="s" s="834">
        <v>5171</v>
      </c>
      <c r="C8209" t="s" s="834">
        <v>772</v>
      </c>
      <c r="D8209" s="570"/>
      <c r="E8209" s="570"/>
      <c r="F8209" s="570"/>
      <c r="G8209" s="570"/>
      <c r="H8209" s="570"/>
      <c r="I8209" s="570"/>
      <c r="J8209" s="570"/>
      <c r="K8209" s="570"/>
    </row>
    <row r="8210" ht="13.75" customHeight="1">
      <c r="A8210" s="833">
        <v>396</v>
      </c>
      <c r="B8210" t="s" s="834">
        <v>5161</v>
      </c>
      <c r="C8210" t="s" s="834">
        <v>1010</v>
      </c>
      <c r="D8210" s="835">
        <v>46032</v>
      </c>
      <c r="E8210" s="836">
        <v>1.364641203703704</v>
      </c>
      <c r="F8210" s="836">
        <v>1.777303240740741</v>
      </c>
      <c r="G8210" s="570"/>
      <c r="H8210" s="570"/>
      <c r="I8210" s="570"/>
      <c r="J8210" s="570"/>
      <c r="K8210" s="570"/>
    </row>
    <row r="8211" ht="13.75" customHeight="1">
      <c r="A8211" t="s" s="834">
        <v>5172</v>
      </c>
      <c r="B8211" t="s" s="834">
        <v>5173</v>
      </c>
      <c r="C8211" t="s" s="834">
        <v>1059</v>
      </c>
      <c r="D8211" s="570"/>
      <c r="E8211" s="570"/>
      <c r="F8211" s="570"/>
      <c r="G8211" s="570"/>
      <c r="H8211" s="570"/>
      <c r="I8211" s="570"/>
      <c r="J8211" s="570"/>
      <c r="K8211" s="570"/>
    </row>
    <row r="8212" ht="13.75" customHeight="1">
      <c r="A8212" s="833">
        <v>396</v>
      </c>
      <c r="B8212" t="s" s="834">
        <v>5161</v>
      </c>
      <c r="C8212" t="s" s="834">
        <v>1010</v>
      </c>
      <c r="D8212" s="835">
        <v>46033</v>
      </c>
      <c r="E8212" t="s" s="834">
        <v>478</v>
      </c>
      <c r="F8212" t="s" s="834">
        <v>478</v>
      </c>
      <c r="G8212" s="570"/>
      <c r="H8212" s="570"/>
      <c r="I8212" s="570"/>
      <c r="J8212" s="570"/>
      <c r="K8212" s="570"/>
    </row>
    <row r="8213" ht="13.75" customHeight="1">
      <c r="A8213" s="833">
        <v>396</v>
      </c>
      <c r="B8213" t="s" s="834">
        <v>5161</v>
      </c>
      <c r="C8213" t="s" s="834">
        <v>1010</v>
      </c>
      <c r="D8213" s="835">
        <v>46034</v>
      </c>
      <c r="E8213" s="836">
        <v>1.367175925925926</v>
      </c>
      <c r="F8213" s="836">
        <v>1.762372685185185</v>
      </c>
      <c r="G8213" s="570"/>
      <c r="H8213" s="570"/>
      <c r="I8213" s="570"/>
      <c r="J8213" s="570"/>
      <c r="K8213" s="570"/>
    </row>
    <row r="8214" ht="13.75" customHeight="1">
      <c r="A8214" t="s" s="834">
        <v>5174</v>
      </c>
      <c r="B8214" t="s" s="834">
        <v>5175</v>
      </c>
      <c r="C8214" t="s" s="834">
        <v>643</v>
      </c>
      <c r="D8214" s="570"/>
      <c r="E8214" s="570"/>
      <c r="F8214" s="570"/>
      <c r="G8214" s="570"/>
      <c r="H8214" s="570"/>
      <c r="I8214" s="570"/>
      <c r="J8214" s="570"/>
      <c r="K8214" s="570"/>
    </row>
    <row r="8215" ht="13.75" customHeight="1">
      <c r="A8215" s="833">
        <v>396</v>
      </c>
      <c r="B8215" t="s" s="834">
        <v>5161</v>
      </c>
      <c r="C8215" t="s" s="834">
        <v>1010</v>
      </c>
      <c r="D8215" s="835">
        <v>46035</v>
      </c>
      <c r="E8215" s="836">
        <v>1.363356481481481</v>
      </c>
      <c r="F8215" s="836">
        <v>1.767256944444445</v>
      </c>
      <c r="G8215" s="570"/>
      <c r="H8215" s="570"/>
      <c r="I8215" s="570"/>
      <c r="J8215" s="570"/>
      <c r="K8215" s="570"/>
    </row>
    <row r="8216" ht="13.75" customHeight="1">
      <c r="A8216" t="s" s="834">
        <v>5176</v>
      </c>
      <c r="B8216" t="s" s="834">
        <v>5177</v>
      </c>
      <c r="C8216" t="s" s="834">
        <v>493</v>
      </c>
      <c r="D8216" s="570"/>
      <c r="E8216" s="570"/>
      <c r="F8216" s="570"/>
      <c r="G8216" s="570"/>
      <c r="H8216" s="570"/>
      <c r="I8216" s="570"/>
      <c r="J8216" s="570"/>
      <c r="K8216" s="570"/>
    </row>
    <row r="8217" ht="13.75" customHeight="1">
      <c r="A8217" s="833">
        <v>396</v>
      </c>
      <c r="B8217" t="s" s="834">
        <v>5161</v>
      </c>
      <c r="C8217" t="s" s="834">
        <v>1010</v>
      </c>
      <c r="D8217" s="835">
        <v>46036</v>
      </c>
      <c r="E8217" s="836">
        <v>1.370266203703704</v>
      </c>
      <c r="F8217" s="836">
        <v>1.762222222222222</v>
      </c>
      <c r="G8217" s="570"/>
      <c r="H8217" s="570"/>
      <c r="I8217" s="570"/>
      <c r="J8217" s="570"/>
      <c r="K8217" s="570"/>
    </row>
    <row r="8218" ht="13.75" customHeight="1">
      <c r="A8218" t="s" s="834">
        <v>5178</v>
      </c>
      <c r="B8218" t="s" s="834">
        <v>5179</v>
      </c>
      <c r="C8218" t="s" s="834">
        <v>1056</v>
      </c>
      <c r="D8218" s="570"/>
      <c r="E8218" s="570"/>
      <c r="F8218" s="570"/>
      <c r="G8218" s="570"/>
      <c r="H8218" s="570"/>
      <c r="I8218" s="570"/>
      <c r="J8218" s="570"/>
      <c r="K8218" s="570"/>
    </row>
    <row r="8219" ht="13.75" customHeight="1">
      <c r="A8219" s="833">
        <v>396</v>
      </c>
      <c r="B8219" t="s" s="834">
        <v>5161</v>
      </c>
      <c r="C8219" t="s" s="834">
        <v>1010</v>
      </c>
      <c r="D8219" s="835">
        <v>46037</v>
      </c>
      <c r="E8219" s="836">
        <v>1.368055555555556</v>
      </c>
      <c r="F8219" s="836">
        <v>1.772951388888889</v>
      </c>
      <c r="G8219" s="570"/>
      <c r="H8219" s="570"/>
      <c r="I8219" s="570"/>
      <c r="J8219" s="570"/>
      <c r="K8219" s="570"/>
    </row>
    <row r="8220" ht="13.75" customHeight="1">
      <c r="A8220" t="s" s="834">
        <v>5180</v>
      </c>
      <c r="B8220" t="s" s="834">
        <v>5181</v>
      </c>
      <c r="C8220" t="s" s="834">
        <v>582</v>
      </c>
      <c r="D8220" s="570"/>
      <c r="E8220" s="570"/>
      <c r="F8220" s="570"/>
      <c r="G8220" s="570"/>
      <c r="H8220" s="570"/>
      <c r="I8220" s="570"/>
      <c r="J8220" s="570"/>
      <c r="K8220" s="570"/>
    </row>
    <row r="8221" ht="13.75" customHeight="1">
      <c r="A8221" s="833">
        <v>396</v>
      </c>
      <c r="B8221" t="s" s="834">
        <v>5161</v>
      </c>
      <c r="C8221" t="s" s="834">
        <v>1010</v>
      </c>
      <c r="D8221" s="835">
        <v>46038</v>
      </c>
      <c r="E8221" s="836">
        <v>1.368125</v>
      </c>
      <c r="F8221" s="836">
        <v>1.779074074074074</v>
      </c>
      <c r="G8221" s="570"/>
      <c r="H8221" s="570"/>
      <c r="I8221" s="570"/>
      <c r="J8221" s="570"/>
      <c r="K8221" s="570"/>
    </row>
    <row r="8222" ht="13.75" customHeight="1">
      <c r="A8222" t="s" s="834">
        <v>5182</v>
      </c>
      <c r="B8222" t="s" s="834">
        <v>5183</v>
      </c>
      <c r="C8222" t="s" s="834">
        <v>850</v>
      </c>
      <c r="D8222" s="570"/>
      <c r="E8222" s="570"/>
      <c r="F8222" s="570"/>
      <c r="G8222" s="570"/>
      <c r="H8222" s="570"/>
      <c r="I8222" s="570"/>
      <c r="J8222" s="570"/>
      <c r="K8222" s="570"/>
    </row>
    <row r="8223" ht="13.75" customHeight="1">
      <c r="A8223" s="833">
        <v>396</v>
      </c>
      <c r="B8223" t="s" s="834">
        <v>5161</v>
      </c>
      <c r="C8223" t="s" s="834">
        <v>1010</v>
      </c>
      <c r="D8223" s="835">
        <v>46039</v>
      </c>
      <c r="E8223" t="s" s="834">
        <v>478</v>
      </c>
      <c r="F8223" t="s" s="834">
        <v>478</v>
      </c>
      <c r="G8223" s="570"/>
      <c r="H8223" s="570"/>
      <c r="I8223" s="570"/>
      <c r="J8223" s="570"/>
      <c r="K8223" s="570"/>
    </row>
    <row r="8224" ht="13.75" customHeight="1">
      <c r="A8224" s="833">
        <v>396</v>
      </c>
      <c r="B8224" t="s" s="834">
        <v>5161</v>
      </c>
      <c r="C8224" t="s" s="834">
        <v>1010</v>
      </c>
      <c r="D8224" s="835">
        <v>46040</v>
      </c>
      <c r="E8224" t="s" s="834">
        <v>478</v>
      </c>
      <c r="F8224" t="s" s="834">
        <v>478</v>
      </c>
      <c r="G8224" s="570"/>
      <c r="H8224" s="570"/>
      <c r="I8224" s="570"/>
      <c r="J8224" s="570"/>
      <c r="K8224" s="570"/>
    </row>
    <row r="8225" ht="13.75" customHeight="1">
      <c r="A8225" s="833">
        <v>396</v>
      </c>
      <c r="B8225" t="s" s="834">
        <v>5161</v>
      </c>
      <c r="C8225" t="s" s="834">
        <v>1010</v>
      </c>
      <c r="D8225" s="835">
        <v>46041</v>
      </c>
      <c r="E8225" s="836">
        <v>1.369085648148148</v>
      </c>
      <c r="F8225" s="836">
        <v>1.761099537037037</v>
      </c>
      <c r="G8225" s="570"/>
      <c r="H8225" s="570"/>
      <c r="I8225" s="570"/>
      <c r="J8225" s="570"/>
      <c r="K8225" s="570"/>
    </row>
    <row r="8226" ht="13.75" customHeight="1">
      <c r="A8226" t="s" s="834">
        <v>5184</v>
      </c>
      <c r="B8226" t="s" s="834">
        <v>5185</v>
      </c>
      <c r="C8226" t="s" s="834">
        <v>966</v>
      </c>
      <c r="D8226" s="570"/>
      <c r="E8226" s="570"/>
      <c r="F8226" s="570"/>
      <c r="G8226" s="570"/>
      <c r="H8226" s="570"/>
      <c r="I8226" s="570"/>
      <c r="J8226" s="570"/>
      <c r="K8226" s="570"/>
    </row>
    <row r="8227" ht="13.75" customHeight="1">
      <c r="A8227" s="833">
        <v>396</v>
      </c>
      <c r="B8227" t="s" s="834">
        <v>5161</v>
      </c>
      <c r="C8227" t="s" s="834">
        <v>1010</v>
      </c>
      <c r="D8227" s="835">
        <v>46042</v>
      </c>
      <c r="E8227" s="836">
        <v>1.368715277777778</v>
      </c>
      <c r="F8227" s="836">
        <v>1.757002314814815</v>
      </c>
      <c r="G8227" s="570"/>
      <c r="H8227" s="570"/>
      <c r="I8227" s="570"/>
      <c r="J8227" s="570"/>
      <c r="K8227" s="570"/>
    </row>
    <row r="8228" ht="13.75" customHeight="1">
      <c r="A8228" t="s" s="834">
        <v>5186</v>
      </c>
      <c r="B8228" t="s" s="834">
        <v>5187</v>
      </c>
      <c r="C8228" t="s" s="834">
        <v>716</v>
      </c>
      <c r="D8228" s="570"/>
      <c r="E8228" s="570"/>
      <c r="F8228" s="570"/>
      <c r="G8228" s="570"/>
      <c r="H8228" s="570"/>
      <c r="I8228" s="570"/>
      <c r="J8228" s="570"/>
      <c r="K8228" s="570"/>
    </row>
    <row r="8229" ht="13.75" customHeight="1">
      <c r="A8229" s="833">
        <v>396</v>
      </c>
      <c r="B8229" t="s" s="834">
        <v>5161</v>
      </c>
      <c r="C8229" t="s" s="834">
        <v>1010</v>
      </c>
      <c r="D8229" s="835">
        <v>46043</v>
      </c>
      <c r="E8229" s="836">
        <v>1.36943287037037</v>
      </c>
      <c r="F8229" s="836">
        <v>1.758078703703704</v>
      </c>
      <c r="G8229" s="570"/>
      <c r="H8229" s="570"/>
      <c r="I8229" s="570"/>
      <c r="J8229" s="570"/>
      <c r="K8229" s="570"/>
    </row>
    <row r="8230" ht="13.75" customHeight="1">
      <c r="A8230" t="s" s="834">
        <v>5188</v>
      </c>
      <c r="B8230" t="s" s="834">
        <v>5189</v>
      </c>
      <c r="C8230" t="s" s="834">
        <v>1490</v>
      </c>
      <c r="D8230" s="570"/>
      <c r="E8230" s="570"/>
      <c r="F8230" s="570"/>
      <c r="G8230" s="570"/>
      <c r="H8230" s="570"/>
      <c r="I8230" s="570"/>
      <c r="J8230" s="570"/>
      <c r="K8230" s="570"/>
    </row>
    <row r="8231" ht="13.75" customHeight="1">
      <c r="A8231" s="833">
        <v>396</v>
      </c>
      <c r="B8231" t="s" s="834">
        <v>5161</v>
      </c>
      <c r="C8231" t="s" s="834">
        <v>1010</v>
      </c>
      <c r="D8231" s="835">
        <v>46044</v>
      </c>
      <c r="E8231" s="836">
        <v>1.368472222222222</v>
      </c>
      <c r="F8231" s="836">
        <v>1.759143518518518</v>
      </c>
      <c r="G8231" s="570"/>
      <c r="H8231" s="570"/>
      <c r="I8231" s="570"/>
      <c r="J8231" s="570"/>
      <c r="K8231" s="570"/>
    </row>
    <row r="8232" ht="13.75" customHeight="1">
      <c r="A8232" t="s" s="834">
        <v>5190</v>
      </c>
      <c r="B8232" t="s" s="834">
        <v>5191</v>
      </c>
      <c r="C8232" t="s" s="834">
        <v>668</v>
      </c>
      <c r="D8232" s="570"/>
      <c r="E8232" s="570"/>
      <c r="F8232" s="570"/>
      <c r="G8232" s="570"/>
      <c r="H8232" s="570"/>
      <c r="I8232" s="570"/>
      <c r="J8232" s="570"/>
      <c r="K8232" s="570"/>
    </row>
    <row r="8233" ht="13.75" customHeight="1">
      <c r="A8233" s="833">
        <v>396</v>
      </c>
      <c r="B8233" t="s" s="834">
        <v>5161</v>
      </c>
      <c r="C8233" t="s" s="834">
        <v>1010</v>
      </c>
      <c r="D8233" s="835">
        <v>46045</v>
      </c>
      <c r="E8233" s="836">
        <v>1.370115740740741</v>
      </c>
      <c r="F8233" s="836">
        <v>1.781840277777778</v>
      </c>
      <c r="G8233" s="570"/>
      <c r="H8233" s="570"/>
      <c r="I8233" s="570"/>
      <c r="J8233" s="570"/>
      <c r="K8233" s="570"/>
    </row>
    <row r="8234" ht="13.75" customHeight="1">
      <c r="A8234" t="s" s="834">
        <v>5192</v>
      </c>
      <c r="B8234" t="s" s="834">
        <v>5193</v>
      </c>
      <c r="C8234" t="s" s="834">
        <v>597</v>
      </c>
      <c r="D8234" s="570"/>
      <c r="E8234" s="570"/>
      <c r="F8234" s="570"/>
      <c r="G8234" s="570"/>
      <c r="H8234" s="570"/>
      <c r="I8234" s="570"/>
      <c r="J8234" s="570"/>
      <c r="K8234" s="570"/>
    </row>
    <row r="8235" ht="13.75" customHeight="1">
      <c r="A8235" s="833">
        <v>396</v>
      </c>
      <c r="B8235" t="s" s="834">
        <v>5161</v>
      </c>
      <c r="C8235" t="s" s="834">
        <v>1010</v>
      </c>
      <c r="D8235" s="835">
        <v>46046</v>
      </c>
      <c r="E8235" t="s" s="834">
        <v>478</v>
      </c>
      <c r="F8235" t="s" s="834">
        <v>478</v>
      </c>
      <c r="G8235" s="570"/>
      <c r="H8235" s="570"/>
      <c r="I8235" s="570"/>
      <c r="J8235" s="570"/>
      <c r="K8235" s="570"/>
    </row>
    <row r="8236" ht="13.75" customHeight="1">
      <c r="A8236" s="833">
        <v>396</v>
      </c>
      <c r="B8236" t="s" s="834">
        <v>5161</v>
      </c>
      <c r="C8236" t="s" s="834">
        <v>1010</v>
      </c>
      <c r="D8236" s="835">
        <v>46047</v>
      </c>
      <c r="E8236" t="s" s="834">
        <v>478</v>
      </c>
      <c r="F8236" t="s" s="834">
        <v>478</v>
      </c>
      <c r="G8236" s="570"/>
      <c r="H8236" s="570"/>
      <c r="I8236" s="570"/>
      <c r="J8236" s="570"/>
      <c r="K8236" s="570"/>
    </row>
    <row r="8237" ht="13.75" customHeight="1">
      <c r="A8237" s="833">
        <v>396</v>
      </c>
      <c r="B8237" t="s" s="834">
        <v>5161</v>
      </c>
      <c r="C8237" t="s" s="834">
        <v>1010</v>
      </c>
      <c r="D8237" s="835">
        <v>46048</v>
      </c>
      <c r="E8237" s="836">
        <v>1.378344907407407</v>
      </c>
      <c r="F8237" s="836">
        <v>1.760289351851852</v>
      </c>
      <c r="G8237" s="570"/>
      <c r="H8237" s="570"/>
      <c r="I8237" s="570"/>
      <c r="J8237" s="570"/>
      <c r="K8237" s="570"/>
    </row>
    <row r="8238" ht="13.75" customHeight="1">
      <c r="A8238" t="s" s="834">
        <v>5194</v>
      </c>
      <c r="B8238" t="s" s="834">
        <v>5195</v>
      </c>
      <c r="C8238" t="s" s="834">
        <v>816</v>
      </c>
      <c r="D8238" s="570"/>
      <c r="E8238" s="570"/>
      <c r="F8238" s="570"/>
      <c r="G8238" s="570"/>
      <c r="H8238" s="570"/>
      <c r="I8238" s="570"/>
      <c r="J8238" s="570"/>
      <c r="K8238" s="570"/>
    </row>
    <row r="8239" ht="13.75" customHeight="1">
      <c r="A8239" s="833">
        <v>396</v>
      </c>
      <c r="B8239" t="s" s="834">
        <v>5161</v>
      </c>
      <c r="C8239" t="s" s="834">
        <v>1010</v>
      </c>
      <c r="D8239" s="835">
        <v>46049</v>
      </c>
      <c r="E8239" s="836">
        <v>1.366770833333333</v>
      </c>
      <c r="F8239" s="836">
        <v>1.759965277777778</v>
      </c>
      <c r="G8239" s="570"/>
      <c r="H8239" s="570"/>
      <c r="I8239" s="570"/>
      <c r="J8239" s="570"/>
      <c r="K8239" s="570"/>
    </row>
    <row r="8240" ht="13.75" customHeight="1">
      <c r="A8240" t="s" s="834">
        <v>5196</v>
      </c>
      <c r="B8240" t="s" s="834">
        <v>5197</v>
      </c>
      <c r="C8240" t="s" s="834">
        <v>1019</v>
      </c>
      <c r="D8240" s="570"/>
      <c r="E8240" s="570"/>
      <c r="F8240" s="570"/>
      <c r="G8240" s="570"/>
      <c r="H8240" s="570"/>
      <c r="I8240" s="570"/>
      <c r="J8240" s="570"/>
      <c r="K8240" s="570"/>
    </row>
    <row r="8241" ht="13.75" customHeight="1">
      <c r="A8241" s="833">
        <v>396</v>
      </c>
      <c r="B8241" t="s" s="834">
        <v>5161</v>
      </c>
      <c r="C8241" t="s" s="834">
        <v>1010</v>
      </c>
      <c r="D8241" s="835">
        <v>46050</v>
      </c>
      <c r="E8241" t="s" s="834">
        <v>478</v>
      </c>
      <c r="F8241" t="s" s="834">
        <v>478</v>
      </c>
      <c r="G8241" s="570"/>
      <c r="H8241" s="570"/>
      <c r="I8241" s="570"/>
      <c r="J8241" s="570"/>
      <c r="K8241" s="570"/>
    </row>
    <row r="8242" ht="13.75" customHeight="1">
      <c r="A8242" s="833">
        <v>396</v>
      </c>
      <c r="B8242" t="s" s="834">
        <v>5161</v>
      </c>
      <c r="C8242" t="s" s="834">
        <v>1010</v>
      </c>
      <c r="D8242" s="835">
        <v>46051</v>
      </c>
      <c r="E8242" s="836">
        <v>1.373935185185185</v>
      </c>
      <c r="F8242" s="836">
        <v>1.758159722222222</v>
      </c>
      <c r="G8242" s="570"/>
      <c r="H8242" s="570"/>
      <c r="I8242" s="570"/>
      <c r="J8242" s="570"/>
      <c r="K8242" s="570"/>
    </row>
    <row r="8243" ht="13.75" customHeight="1">
      <c r="A8243" t="s" s="834">
        <v>5198</v>
      </c>
      <c r="B8243" t="s" s="834">
        <v>5199</v>
      </c>
      <c r="C8243" t="s" s="834">
        <v>984</v>
      </c>
      <c r="D8243" s="570"/>
      <c r="E8243" s="570"/>
      <c r="F8243" s="570"/>
      <c r="G8243" s="570"/>
      <c r="H8243" s="570"/>
      <c r="I8243" s="570"/>
      <c r="J8243" s="570"/>
      <c r="K8243" s="570"/>
    </row>
    <row r="8244" ht="13.75" customHeight="1">
      <c r="A8244" s="833">
        <v>396</v>
      </c>
      <c r="B8244" t="s" s="834">
        <v>5161</v>
      </c>
      <c r="C8244" t="s" s="834">
        <v>1010</v>
      </c>
      <c r="D8244" s="835">
        <v>46052</v>
      </c>
      <c r="E8244" s="836">
        <v>1.374143518518518</v>
      </c>
      <c r="F8244" s="836">
        <v>1.786550925925926</v>
      </c>
      <c r="G8244" s="570"/>
      <c r="H8244" s="570"/>
      <c r="I8244" s="570"/>
      <c r="J8244" s="570"/>
      <c r="K8244" s="570"/>
    </row>
    <row r="8245" ht="13.75" customHeight="1">
      <c r="A8245" t="s" s="834">
        <v>5200</v>
      </c>
      <c r="B8245" t="s" s="834">
        <v>5201</v>
      </c>
      <c r="C8245" t="s" s="834">
        <v>1059</v>
      </c>
      <c r="D8245" s="570"/>
      <c r="E8245" s="570"/>
      <c r="F8245" s="570"/>
      <c r="G8245" s="570"/>
      <c r="H8245" s="570"/>
      <c r="I8245" s="570"/>
      <c r="J8245" s="570"/>
      <c r="K8245" s="570"/>
    </row>
    <row r="8246" ht="13.75" customHeight="1">
      <c r="A8246" s="833">
        <v>396</v>
      </c>
      <c r="B8246" t="s" s="834">
        <v>5161</v>
      </c>
      <c r="C8246" t="s" s="834">
        <v>1010</v>
      </c>
      <c r="D8246" s="835">
        <v>46053</v>
      </c>
      <c r="E8246" t="s" s="834">
        <v>478</v>
      </c>
      <c r="F8246" t="s" s="834">
        <v>478</v>
      </c>
      <c r="G8246" s="570"/>
      <c r="H8246" s="570"/>
      <c r="I8246" s="570"/>
      <c r="J8246" s="570"/>
      <c r="K8246" s="570"/>
    </row>
    <row r="8247" ht="13.75" customHeight="1">
      <c r="A8247" s="833">
        <v>396</v>
      </c>
      <c r="B8247" t="s" s="834">
        <v>5161</v>
      </c>
      <c r="C8247" t="s" s="834">
        <v>1010</v>
      </c>
      <c r="D8247" s="835">
        <v>46054</v>
      </c>
      <c r="E8247" t="s" s="834">
        <v>478</v>
      </c>
      <c r="F8247" t="s" s="834">
        <v>478</v>
      </c>
      <c r="G8247" s="570"/>
      <c r="H8247" s="570"/>
      <c r="I8247" s="570"/>
      <c r="J8247" s="570"/>
      <c r="K8247" s="570"/>
    </row>
    <row r="8248" ht="13.75" customHeight="1">
      <c r="A8248" s="833">
        <v>397</v>
      </c>
      <c r="B8248" t="s" s="834">
        <v>5202</v>
      </c>
      <c r="C8248" t="s" s="834">
        <v>1571</v>
      </c>
      <c r="D8248" s="835">
        <v>46023</v>
      </c>
      <c r="E8248" t="s" s="834">
        <v>478</v>
      </c>
      <c r="F8248" t="s" s="834">
        <v>478</v>
      </c>
      <c r="G8248" s="570"/>
      <c r="H8248" s="570"/>
      <c r="I8248" s="570"/>
      <c r="J8248" s="570"/>
      <c r="K8248" s="570"/>
    </row>
    <row r="8249" ht="13.75" customHeight="1">
      <c r="A8249" s="833">
        <v>397</v>
      </c>
      <c r="B8249" t="s" s="834">
        <v>5202</v>
      </c>
      <c r="C8249" t="s" s="834">
        <v>1571</v>
      </c>
      <c r="D8249" s="835">
        <v>46024</v>
      </c>
      <c r="E8249" t="s" s="834">
        <v>478</v>
      </c>
      <c r="F8249" t="s" s="834">
        <v>478</v>
      </c>
      <c r="G8249" s="570"/>
      <c r="H8249" s="570"/>
      <c r="I8249" s="570"/>
      <c r="J8249" s="570"/>
      <c r="K8249" s="570"/>
    </row>
    <row r="8250" ht="13.75" customHeight="1">
      <c r="A8250" s="833">
        <v>397</v>
      </c>
      <c r="B8250" t="s" s="834">
        <v>5202</v>
      </c>
      <c r="C8250" t="s" s="834">
        <v>1571</v>
      </c>
      <c r="D8250" s="835">
        <v>46025</v>
      </c>
      <c r="E8250" t="s" s="834">
        <v>478</v>
      </c>
      <c r="F8250" t="s" s="834">
        <v>478</v>
      </c>
      <c r="G8250" s="570"/>
      <c r="H8250" s="570"/>
      <c r="I8250" s="570"/>
      <c r="J8250" s="570"/>
      <c r="K8250" s="570"/>
    </row>
    <row r="8251" ht="13.75" customHeight="1">
      <c r="A8251" s="833">
        <v>397</v>
      </c>
      <c r="B8251" t="s" s="834">
        <v>5202</v>
      </c>
      <c r="C8251" t="s" s="834">
        <v>1571</v>
      </c>
      <c r="D8251" s="835">
        <v>46026</v>
      </c>
      <c r="E8251" t="s" s="834">
        <v>478</v>
      </c>
      <c r="F8251" t="s" s="834">
        <v>478</v>
      </c>
      <c r="G8251" s="570"/>
      <c r="H8251" s="570"/>
      <c r="I8251" s="570"/>
      <c r="J8251" s="570"/>
      <c r="K8251" s="570"/>
    </row>
    <row r="8252" ht="13.75" customHeight="1">
      <c r="A8252" s="833">
        <v>397</v>
      </c>
      <c r="B8252" t="s" s="834">
        <v>5202</v>
      </c>
      <c r="C8252" t="s" s="834">
        <v>1571</v>
      </c>
      <c r="D8252" s="835">
        <v>46027</v>
      </c>
      <c r="E8252" s="836">
        <v>1.500983796296296</v>
      </c>
      <c r="F8252" s="836">
        <v>1.584560185185185</v>
      </c>
      <c r="G8252" s="570"/>
      <c r="H8252" s="570"/>
      <c r="I8252" s="570"/>
      <c r="J8252" s="570"/>
      <c r="K8252" s="570"/>
    </row>
    <row r="8253" ht="13.75" customHeight="1">
      <c r="A8253" t="s" s="834">
        <v>5203</v>
      </c>
      <c r="B8253" t="s" s="834">
        <v>5204</v>
      </c>
      <c r="C8253" t="s" s="834">
        <v>5205</v>
      </c>
      <c r="D8253" s="570"/>
      <c r="E8253" s="570"/>
      <c r="F8253" s="570"/>
      <c r="G8253" s="570"/>
      <c r="H8253" s="570"/>
      <c r="I8253" s="570"/>
      <c r="J8253" s="570"/>
      <c r="K8253" s="570"/>
    </row>
    <row r="8254" ht="13.75" customHeight="1">
      <c r="A8254" s="833">
        <v>397</v>
      </c>
      <c r="B8254" t="s" s="834">
        <v>5202</v>
      </c>
      <c r="C8254" t="s" s="834">
        <v>1571</v>
      </c>
      <c r="D8254" s="835">
        <v>46028</v>
      </c>
      <c r="E8254" s="836">
        <v>1.639131944444444</v>
      </c>
      <c r="F8254" s="836">
        <v>1.639155092592593</v>
      </c>
      <c r="G8254" s="570"/>
      <c r="H8254" s="570"/>
      <c r="I8254" s="570"/>
      <c r="J8254" s="570"/>
      <c r="K8254" s="570"/>
    </row>
    <row r="8255" ht="13.75" customHeight="1">
      <c r="A8255" t="s" s="834">
        <v>5206</v>
      </c>
      <c r="B8255" t="s" s="834">
        <v>5207</v>
      </c>
      <c r="C8255" t="s" s="834">
        <v>486</v>
      </c>
      <c r="D8255" s="570"/>
      <c r="E8255" s="570"/>
      <c r="F8255" s="570"/>
      <c r="G8255" s="570"/>
      <c r="H8255" s="570"/>
      <c r="I8255" s="570"/>
      <c r="J8255" s="570"/>
      <c r="K8255" s="570"/>
    </row>
    <row r="8256" ht="13.75" customHeight="1">
      <c r="A8256" s="833">
        <v>397</v>
      </c>
      <c r="B8256" t="s" s="834">
        <v>5202</v>
      </c>
      <c r="C8256" t="s" s="834">
        <v>1571</v>
      </c>
      <c r="D8256" s="835">
        <v>46029</v>
      </c>
      <c r="E8256" s="836">
        <v>1.533877314814815</v>
      </c>
      <c r="F8256" s="836">
        <v>1.814780092592593</v>
      </c>
      <c r="G8256" s="570"/>
      <c r="H8256" s="570"/>
      <c r="I8256" s="570"/>
      <c r="J8256" s="570"/>
      <c r="K8256" s="570"/>
    </row>
    <row r="8257" ht="13.75" customHeight="1">
      <c r="A8257" t="s" s="834">
        <v>5208</v>
      </c>
      <c r="B8257" t="s" s="834">
        <v>5209</v>
      </c>
      <c r="C8257" t="s" s="834">
        <v>3486</v>
      </c>
      <c r="D8257" s="570"/>
      <c r="E8257" s="570"/>
      <c r="F8257" s="570"/>
      <c r="G8257" s="570"/>
      <c r="H8257" s="570"/>
      <c r="I8257" s="570"/>
      <c r="J8257" s="570"/>
      <c r="K8257" s="570"/>
    </row>
    <row r="8258" ht="13.75" customHeight="1">
      <c r="A8258" s="833">
        <v>397</v>
      </c>
      <c r="B8258" t="s" s="834">
        <v>5202</v>
      </c>
      <c r="C8258" t="s" s="834">
        <v>1571</v>
      </c>
      <c r="D8258" s="835">
        <v>46030</v>
      </c>
      <c r="E8258" s="836">
        <v>1.450185185185185</v>
      </c>
      <c r="F8258" s="836">
        <v>1.503993055555556</v>
      </c>
      <c r="G8258" s="570"/>
      <c r="H8258" s="570"/>
      <c r="I8258" s="570"/>
      <c r="J8258" s="570"/>
      <c r="K8258" s="570"/>
    </row>
    <row r="8259" ht="13.75" customHeight="1">
      <c r="A8259" t="s" s="834">
        <v>5210</v>
      </c>
      <c r="B8259" t="s" s="834">
        <v>5211</v>
      </c>
      <c r="C8259" t="s" s="834">
        <v>5212</v>
      </c>
      <c r="D8259" s="570"/>
      <c r="E8259" s="570"/>
      <c r="F8259" s="570"/>
      <c r="G8259" s="570"/>
      <c r="H8259" s="570"/>
      <c r="I8259" s="570"/>
      <c r="J8259" s="570"/>
      <c r="K8259" s="570"/>
    </row>
    <row r="8260" ht="13.75" customHeight="1">
      <c r="A8260" s="833">
        <v>397</v>
      </c>
      <c r="B8260" t="s" s="834">
        <v>5202</v>
      </c>
      <c r="C8260" t="s" s="834">
        <v>1571</v>
      </c>
      <c r="D8260" s="835">
        <v>46031</v>
      </c>
      <c r="E8260" s="836">
        <v>1.763553240740741</v>
      </c>
      <c r="F8260" s="836">
        <v>1.764502314814815</v>
      </c>
      <c r="G8260" s="570"/>
      <c r="H8260" s="570"/>
      <c r="I8260" s="570"/>
      <c r="J8260" s="570"/>
      <c r="K8260" s="570"/>
    </row>
    <row r="8261" ht="13.75" customHeight="1">
      <c r="A8261" t="s" s="834">
        <v>5213</v>
      </c>
      <c r="B8261" t="s" s="834">
        <v>5214</v>
      </c>
      <c r="C8261" t="s" s="834">
        <v>805</v>
      </c>
      <c r="D8261" s="570"/>
      <c r="E8261" s="570"/>
      <c r="F8261" s="570"/>
      <c r="G8261" s="570"/>
      <c r="H8261" s="570"/>
      <c r="I8261" s="570"/>
      <c r="J8261" s="570"/>
      <c r="K8261" s="570"/>
    </row>
    <row r="8262" ht="13.75" customHeight="1">
      <c r="A8262" s="833">
        <v>397</v>
      </c>
      <c r="B8262" t="s" s="834">
        <v>5202</v>
      </c>
      <c r="C8262" t="s" s="834">
        <v>1571</v>
      </c>
      <c r="D8262" s="835">
        <v>46032</v>
      </c>
      <c r="E8262" s="836">
        <v>1.503483796296296</v>
      </c>
      <c r="F8262" s="836">
        <v>1.635150462962963</v>
      </c>
      <c r="G8262" s="570"/>
      <c r="H8262" s="570"/>
      <c r="I8262" s="570"/>
      <c r="J8262" s="570"/>
      <c r="K8262" s="570"/>
    </row>
    <row r="8263" ht="13.75" customHeight="1">
      <c r="A8263" t="s" s="834">
        <v>5215</v>
      </c>
      <c r="B8263" t="s" s="834">
        <v>5216</v>
      </c>
      <c r="C8263" t="s" s="834">
        <v>5217</v>
      </c>
      <c r="D8263" s="570"/>
      <c r="E8263" s="570"/>
      <c r="F8263" s="570"/>
      <c r="G8263" s="570"/>
      <c r="H8263" s="570"/>
      <c r="I8263" s="570"/>
      <c r="J8263" s="570"/>
      <c r="K8263" s="570"/>
    </row>
    <row r="8264" ht="13.75" customHeight="1">
      <c r="A8264" s="833">
        <v>397</v>
      </c>
      <c r="B8264" t="s" s="834">
        <v>5202</v>
      </c>
      <c r="C8264" t="s" s="834">
        <v>1571</v>
      </c>
      <c r="D8264" s="835">
        <v>46033</v>
      </c>
      <c r="E8264" t="s" s="834">
        <v>478</v>
      </c>
      <c r="F8264" t="s" s="834">
        <v>478</v>
      </c>
      <c r="G8264" s="570"/>
      <c r="H8264" s="570"/>
      <c r="I8264" s="570"/>
      <c r="J8264" s="570"/>
      <c r="K8264" s="570"/>
    </row>
    <row r="8265" ht="13.75" customHeight="1">
      <c r="A8265" s="833">
        <v>397</v>
      </c>
      <c r="B8265" t="s" s="834">
        <v>5202</v>
      </c>
      <c r="C8265" t="s" s="834">
        <v>1571</v>
      </c>
      <c r="D8265" s="835">
        <v>46034</v>
      </c>
      <c r="E8265" s="836">
        <v>1.521296296296296</v>
      </c>
      <c r="F8265" s="836">
        <v>1.685231481481481</v>
      </c>
      <c r="G8265" s="570"/>
      <c r="H8265" s="570"/>
      <c r="I8265" s="570"/>
      <c r="J8265" s="570"/>
      <c r="K8265" s="570"/>
    </row>
    <row r="8266" ht="13.75" customHeight="1">
      <c r="A8266" t="s" s="834">
        <v>5218</v>
      </c>
      <c r="B8266" t="s" s="834">
        <v>5219</v>
      </c>
      <c r="C8266" t="s" s="834">
        <v>1554</v>
      </c>
      <c r="D8266" s="570"/>
      <c r="E8266" s="570"/>
      <c r="F8266" s="570"/>
      <c r="G8266" s="570"/>
      <c r="H8266" s="570"/>
      <c r="I8266" s="570"/>
      <c r="J8266" s="570"/>
      <c r="K8266" s="570"/>
    </row>
    <row r="8267" ht="13.75" customHeight="1">
      <c r="A8267" s="833">
        <v>397</v>
      </c>
      <c r="B8267" t="s" s="834">
        <v>5202</v>
      </c>
      <c r="C8267" t="s" s="834">
        <v>1571</v>
      </c>
      <c r="D8267" s="835">
        <v>46035</v>
      </c>
      <c r="E8267" t="s" s="834">
        <v>478</v>
      </c>
      <c r="F8267" t="s" s="834">
        <v>478</v>
      </c>
      <c r="G8267" s="570"/>
      <c r="H8267" s="570"/>
      <c r="I8267" s="570"/>
      <c r="J8267" s="570"/>
      <c r="K8267" s="570"/>
    </row>
    <row r="8268" ht="13.75" customHeight="1">
      <c r="A8268" s="833">
        <v>397</v>
      </c>
      <c r="B8268" t="s" s="834">
        <v>5202</v>
      </c>
      <c r="C8268" t="s" s="834">
        <v>1571</v>
      </c>
      <c r="D8268" s="835">
        <v>46036</v>
      </c>
      <c r="E8268" t="s" s="834">
        <v>478</v>
      </c>
      <c r="F8268" t="s" s="834">
        <v>478</v>
      </c>
      <c r="G8268" s="570"/>
      <c r="H8268" s="570"/>
      <c r="I8268" s="570"/>
      <c r="J8268" s="570"/>
      <c r="K8268" s="570"/>
    </row>
    <row r="8269" ht="13.75" customHeight="1">
      <c r="A8269" s="833">
        <v>397</v>
      </c>
      <c r="B8269" t="s" s="834">
        <v>5202</v>
      </c>
      <c r="C8269" t="s" s="834">
        <v>1571</v>
      </c>
      <c r="D8269" s="835">
        <v>46037</v>
      </c>
      <c r="E8269" s="836">
        <v>1.293043981481481</v>
      </c>
      <c r="F8269" s="836">
        <v>1.590428240740741</v>
      </c>
      <c r="G8269" s="570"/>
      <c r="H8269" s="570"/>
      <c r="I8269" s="570"/>
      <c r="J8269" s="570"/>
      <c r="K8269" s="570"/>
    </row>
    <row r="8270" ht="13.75" customHeight="1">
      <c r="A8270" t="s" s="834">
        <v>5220</v>
      </c>
      <c r="B8270" t="s" s="834">
        <v>5221</v>
      </c>
      <c r="C8270" t="s" s="834">
        <v>5222</v>
      </c>
      <c r="D8270" s="570"/>
      <c r="E8270" s="570"/>
      <c r="F8270" s="570"/>
      <c r="G8270" s="570"/>
      <c r="H8270" s="570"/>
      <c r="I8270" s="570"/>
      <c r="J8270" s="570"/>
      <c r="K8270" s="570"/>
    </row>
    <row r="8271" ht="13.75" customHeight="1">
      <c r="A8271" s="833">
        <v>397</v>
      </c>
      <c r="B8271" t="s" s="834">
        <v>5202</v>
      </c>
      <c r="C8271" t="s" s="834">
        <v>1571</v>
      </c>
      <c r="D8271" s="835">
        <v>46038</v>
      </c>
      <c r="E8271" t="s" s="834">
        <v>478</v>
      </c>
      <c r="F8271" t="s" s="834">
        <v>478</v>
      </c>
      <c r="G8271" s="570"/>
      <c r="H8271" s="570"/>
      <c r="I8271" s="570"/>
      <c r="J8271" s="570"/>
      <c r="K8271" s="570"/>
    </row>
    <row r="8272" ht="13.75" customHeight="1">
      <c r="A8272" s="833">
        <v>397</v>
      </c>
      <c r="B8272" t="s" s="834">
        <v>5202</v>
      </c>
      <c r="C8272" t="s" s="834">
        <v>1571</v>
      </c>
      <c r="D8272" s="835">
        <v>46039</v>
      </c>
      <c r="E8272" t="s" s="834">
        <v>478</v>
      </c>
      <c r="F8272" t="s" s="834">
        <v>478</v>
      </c>
      <c r="G8272" s="570"/>
      <c r="H8272" s="570"/>
      <c r="I8272" s="570"/>
      <c r="J8272" s="570"/>
      <c r="K8272" s="570"/>
    </row>
    <row r="8273" ht="13.75" customHeight="1">
      <c r="A8273" s="833">
        <v>397</v>
      </c>
      <c r="B8273" t="s" s="834">
        <v>5202</v>
      </c>
      <c r="C8273" t="s" s="834">
        <v>1571</v>
      </c>
      <c r="D8273" s="835">
        <v>46040</v>
      </c>
      <c r="E8273" t="s" s="834">
        <v>478</v>
      </c>
      <c r="F8273" t="s" s="834">
        <v>478</v>
      </c>
      <c r="G8273" s="570"/>
      <c r="H8273" s="570"/>
      <c r="I8273" s="570"/>
      <c r="J8273" s="570"/>
      <c r="K8273" s="570"/>
    </row>
    <row r="8274" ht="13.75" customHeight="1">
      <c r="A8274" s="833">
        <v>397</v>
      </c>
      <c r="B8274" t="s" s="834">
        <v>5202</v>
      </c>
      <c r="C8274" t="s" s="834">
        <v>1571</v>
      </c>
      <c r="D8274" s="835">
        <v>46041</v>
      </c>
      <c r="E8274" t="s" s="834">
        <v>478</v>
      </c>
      <c r="F8274" t="s" s="834">
        <v>478</v>
      </c>
      <c r="G8274" s="570"/>
      <c r="H8274" s="570"/>
      <c r="I8274" s="570"/>
      <c r="J8274" s="570"/>
      <c r="K8274" s="570"/>
    </row>
    <row r="8275" ht="13.75" customHeight="1">
      <c r="A8275" s="833">
        <v>397</v>
      </c>
      <c r="B8275" t="s" s="834">
        <v>5202</v>
      </c>
      <c r="C8275" t="s" s="834">
        <v>1571</v>
      </c>
      <c r="D8275" s="835">
        <v>46042</v>
      </c>
      <c r="E8275" t="s" s="834">
        <v>478</v>
      </c>
      <c r="F8275" t="s" s="834">
        <v>478</v>
      </c>
      <c r="G8275" s="570"/>
      <c r="H8275" s="570"/>
      <c r="I8275" s="570"/>
      <c r="J8275" s="570"/>
      <c r="K8275" s="570"/>
    </row>
    <row r="8276" ht="13.75" customHeight="1">
      <c r="A8276" s="833">
        <v>397</v>
      </c>
      <c r="B8276" t="s" s="834">
        <v>5202</v>
      </c>
      <c r="C8276" t="s" s="834">
        <v>1571</v>
      </c>
      <c r="D8276" s="835">
        <v>46043</v>
      </c>
      <c r="E8276" t="s" s="834">
        <v>478</v>
      </c>
      <c r="F8276" t="s" s="834">
        <v>478</v>
      </c>
      <c r="G8276" s="570"/>
      <c r="H8276" s="570"/>
      <c r="I8276" s="570"/>
      <c r="J8276" s="570"/>
      <c r="K8276" s="570"/>
    </row>
    <row r="8277" ht="13.75" customHeight="1">
      <c r="A8277" s="833">
        <v>397</v>
      </c>
      <c r="B8277" t="s" s="834">
        <v>5202</v>
      </c>
      <c r="C8277" t="s" s="834">
        <v>1571</v>
      </c>
      <c r="D8277" s="835">
        <v>46044</v>
      </c>
      <c r="E8277" s="836">
        <v>1.818796296296296</v>
      </c>
      <c r="F8277" t="s" s="834">
        <v>478</v>
      </c>
      <c r="G8277" s="570"/>
      <c r="H8277" s="570"/>
      <c r="I8277" s="570"/>
      <c r="J8277" s="570"/>
      <c r="K8277" s="570"/>
    </row>
    <row r="8278" ht="13.75" customHeight="1">
      <c r="A8278" t="s" s="834">
        <v>5223</v>
      </c>
      <c r="B8278" t="s" s="834">
        <v>485</v>
      </c>
      <c r="C8278" t="s" s="834">
        <v>486</v>
      </c>
      <c r="D8278" s="570"/>
      <c r="E8278" s="570"/>
      <c r="F8278" s="570"/>
      <c r="G8278" s="570"/>
      <c r="H8278" s="570"/>
      <c r="I8278" s="570"/>
      <c r="J8278" s="570"/>
      <c r="K8278" s="570"/>
    </row>
    <row r="8279" ht="13.75" customHeight="1">
      <c r="A8279" s="833">
        <v>397</v>
      </c>
      <c r="B8279" t="s" s="834">
        <v>5202</v>
      </c>
      <c r="C8279" t="s" s="834">
        <v>1571</v>
      </c>
      <c r="D8279" s="835">
        <v>46045</v>
      </c>
      <c r="E8279" t="s" s="834">
        <v>478</v>
      </c>
      <c r="F8279" t="s" s="834">
        <v>478</v>
      </c>
      <c r="G8279" s="570"/>
      <c r="H8279" s="570"/>
      <c r="I8279" s="570"/>
      <c r="J8279" s="570"/>
      <c r="K8279" s="570"/>
    </row>
    <row r="8280" ht="13.75" customHeight="1">
      <c r="A8280" s="833">
        <v>397</v>
      </c>
      <c r="B8280" t="s" s="834">
        <v>5202</v>
      </c>
      <c r="C8280" t="s" s="834">
        <v>1571</v>
      </c>
      <c r="D8280" s="835">
        <v>46046</v>
      </c>
      <c r="E8280" s="836">
        <v>1.858460648148148</v>
      </c>
      <c r="F8280" s="836">
        <v>1.859201388888889</v>
      </c>
      <c r="G8280" s="570"/>
      <c r="H8280" s="570"/>
      <c r="I8280" s="570"/>
      <c r="J8280" s="570"/>
      <c r="K8280" s="570"/>
    </row>
    <row r="8281" ht="13.75" customHeight="1">
      <c r="A8281" t="s" s="834">
        <v>5224</v>
      </c>
      <c r="B8281" t="s" s="834">
        <v>5225</v>
      </c>
      <c r="C8281" t="s" s="834">
        <v>805</v>
      </c>
      <c r="D8281" s="570"/>
      <c r="E8281" s="570"/>
      <c r="F8281" s="570"/>
      <c r="G8281" s="570"/>
      <c r="H8281" s="570"/>
      <c r="I8281" s="570"/>
      <c r="J8281" s="570"/>
      <c r="K8281" s="570"/>
    </row>
    <row r="8282" ht="13.75" customHeight="1">
      <c r="A8282" s="833">
        <v>397</v>
      </c>
      <c r="B8282" t="s" s="834">
        <v>5202</v>
      </c>
      <c r="C8282" t="s" s="834">
        <v>1571</v>
      </c>
      <c r="D8282" s="835">
        <v>46047</v>
      </c>
      <c r="E8282" t="s" s="834">
        <v>478</v>
      </c>
      <c r="F8282" t="s" s="834">
        <v>478</v>
      </c>
      <c r="G8282" s="570"/>
      <c r="H8282" s="570"/>
      <c r="I8282" s="570"/>
      <c r="J8282" s="570"/>
      <c r="K8282" s="570"/>
    </row>
    <row r="8283" ht="13.75" customHeight="1">
      <c r="A8283" s="833">
        <v>397</v>
      </c>
      <c r="B8283" t="s" s="834">
        <v>5202</v>
      </c>
      <c r="C8283" t="s" s="834">
        <v>1571</v>
      </c>
      <c r="D8283" s="835">
        <v>46048</v>
      </c>
      <c r="E8283" s="836">
        <v>1.773958333333333</v>
      </c>
      <c r="F8283" t="s" s="834">
        <v>478</v>
      </c>
      <c r="G8283" s="570"/>
      <c r="H8283" s="570"/>
      <c r="I8283" s="570"/>
      <c r="J8283" s="570"/>
      <c r="K8283" s="570"/>
    </row>
    <row r="8284" ht="13.75" customHeight="1">
      <c r="A8284" t="s" s="834">
        <v>5226</v>
      </c>
      <c r="B8284" t="s" s="834">
        <v>485</v>
      </c>
      <c r="C8284" t="s" s="834">
        <v>486</v>
      </c>
      <c r="D8284" s="570"/>
      <c r="E8284" s="570"/>
      <c r="F8284" s="570"/>
      <c r="G8284" s="570"/>
      <c r="H8284" s="570"/>
      <c r="I8284" s="570"/>
      <c r="J8284" s="570"/>
      <c r="K8284" s="570"/>
    </row>
    <row r="8285" ht="13.75" customHeight="1">
      <c r="A8285" s="833">
        <v>397</v>
      </c>
      <c r="B8285" t="s" s="834">
        <v>5202</v>
      </c>
      <c r="C8285" t="s" s="834">
        <v>1571</v>
      </c>
      <c r="D8285" s="835">
        <v>46049</v>
      </c>
      <c r="E8285" t="s" s="834">
        <v>478</v>
      </c>
      <c r="F8285" t="s" s="834">
        <v>478</v>
      </c>
      <c r="G8285" s="570"/>
      <c r="H8285" s="570"/>
      <c r="I8285" s="570"/>
      <c r="J8285" s="570"/>
      <c r="K8285" s="570"/>
    </row>
    <row r="8286" ht="13.75" customHeight="1">
      <c r="A8286" s="833">
        <v>397</v>
      </c>
      <c r="B8286" t="s" s="834">
        <v>5202</v>
      </c>
      <c r="C8286" t="s" s="834">
        <v>1571</v>
      </c>
      <c r="D8286" s="835">
        <v>46050</v>
      </c>
      <c r="E8286" t="s" s="834">
        <v>478</v>
      </c>
      <c r="F8286" t="s" s="834">
        <v>478</v>
      </c>
      <c r="G8286" s="570"/>
      <c r="H8286" s="570"/>
      <c r="I8286" s="570"/>
      <c r="J8286" s="570"/>
      <c r="K8286" s="570"/>
    </row>
    <row r="8287" ht="13.75" customHeight="1">
      <c r="A8287" s="833">
        <v>397</v>
      </c>
      <c r="B8287" t="s" s="834">
        <v>5202</v>
      </c>
      <c r="C8287" t="s" s="834">
        <v>1571</v>
      </c>
      <c r="D8287" s="835">
        <v>46051</v>
      </c>
      <c r="E8287" s="836">
        <v>1.505219907407407</v>
      </c>
      <c r="F8287" s="836">
        <v>1.577256944444444</v>
      </c>
      <c r="G8287" s="570"/>
      <c r="H8287" s="570"/>
      <c r="I8287" s="570"/>
      <c r="J8287" s="570"/>
      <c r="K8287" s="570"/>
    </row>
    <row r="8288" ht="13.75" customHeight="1">
      <c r="A8288" t="s" s="834">
        <v>5227</v>
      </c>
      <c r="B8288" t="s" s="834">
        <v>5228</v>
      </c>
      <c r="C8288" t="s" s="834">
        <v>3407</v>
      </c>
      <c r="D8288" s="570"/>
      <c r="E8288" s="570"/>
      <c r="F8288" s="570"/>
      <c r="G8288" s="570"/>
      <c r="H8288" s="570"/>
      <c r="I8288" s="570"/>
      <c r="J8288" s="570"/>
      <c r="K8288" s="570"/>
    </row>
    <row r="8289" ht="13.75" customHeight="1">
      <c r="A8289" s="833">
        <v>397</v>
      </c>
      <c r="B8289" t="s" s="834">
        <v>5202</v>
      </c>
      <c r="C8289" t="s" s="834">
        <v>1571</v>
      </c>
      <c r="D8289" s="835">
        <v>46052</v>
      </c>
      <c r="E8289" s="836">
        <v>1.512222222222222</v>
      </c>
      <c r="F8289" s="836">
        <v>1.698032407407407</v>
      </c>
      <c r="G8289" s="570"/>
      <c r="H8289" s="570"/>
      <c r="I8289" s="570"/>
      <c r="J8289" s="570"/>
      <c r="K8289" s="570"/>
    </row>
    <row r="8290" ht="13.75" customHeight="1">
      <c r="A8290" t="s" s="834">
        <v>5229</v>
      </c>
      <c r="B8290" t="s" s="834">
        <v>5230</v>
      </c>
      <c r="C8290" t="s" s="834">
        <v>5231</v>
      </c>
      <c r="D8290" s="570"/>
      <c r="E8290" s="570"/>
      <c r="F8290" s="570"/>
      <c r="G8290" s="570"/>
      <c r="H8290" s="570"/>
      <c r="I8290" s="570"/>
      <c r="J8290" s="570"/>
      <c r="K8290" s="570"/>
    </row>
    <row r="8291" ht="13.75" customHeight="1">
      <c r="A8291" s="833">
        <v>397</v>
      </c>
      <c r="B8291" t="s" s="834">
        <v>5202</v>
      </c>
      <c r="C8291" t="s" s="834">
        <v>1571</v>
      </c>
      <c r="D8291" s="835">
        <v>46053</v>
      </c>
      <c r="E8291" t="s" s="834">
        <v>478</v>
      </c>
      <c r="F8291" t="s" s="834">
        <v>478</v>
      </c>
      <c r="G8291" s="570"/>
      <c r="H8291" s="570"/>
      <c r="I8291" s="570"/>
      <c r="J8291" s="570"/>
      <c r="K8291" s="570"/>
    </row>
    <row r="8292" ht="13.75" customHeight="1">
      <c r="A8292" s="833">
        <v>397</v>
      </c>
      <c r="B8292" t="s" s="834">
        <v>5202</v>
      </c>
      <c r="C8292" t="s" s="834">
        <v>1571</v>
      </c>
      <c r="D8292" s="835">
        <v>46054</v>
      </c>
      <c r="E8292" t="s" s="834">
        <v>478</v>
      </c>
      <c r="F8292" t="s" s="834">
        <v>478</v>
      </c>
      <c r="G8292" s="570"/>
      <c r="H8292" s="570"/>
      <c r="I8292" s="570"/>
      <c r="J8292" s="570"/>
      <c r="K8292" s="570"/>
    </row>
    <row r="8293" ht="13.75" customHeight="1">
      <c r="A8293" s="833">
        <v>4</v>
      </c>
      <c r="B8293" t="s" s="834">
        <v>5232</v>
      </c>
      <c r="C8293" t="s" s="834">
        <v>1571</v>
      </c>
      <c r="D8293" s="835">
        <v>46023</v>
      </c>
      <c r="E8293" t="s" s="834">
        <v>478</v>
      </c>
      <c r="F8293" t="s" s="834">
        <v>478</v>
      </c>
      <c r="G8293" s="570"/>
      <c r="H8293" s="570"/>
      <c r="I8293" s="570"/>
      <c r="J8293" s="570"/>
      <c r="K8293" s="570"/>
    </row>
    <row r="8294" ht="13.75" customHeight="1">
      <c r="A8294" s="833">
        <v>4</v>
      </c>
      <c r="B8294" t="s" s="834">
        <v>5232</v>
      </c>
      <c r="C8294" t="s" s="834">
        <v>1571</v>
      </c>
      <c r="D8294" s="835">
        <v>46024</v>
      </c>
      <c r="E8294" t="s" s="834">
        <v>478</v>
      </c>
      <c r="F8294" t="s" s="834">
        <v>478</v>
      </c>
      <c r="G8294" s="570"/>
      <c r="H8294" s="570"/>
      <c r="I8294" s="570"/>
      <c r="J8294" s="570"/>
      <c r="K8294" s="570"/>
    </row>
    <row r="8295" ht="13.75" customHeight="1">
      <c r="A8295" s="833">
        <v>4</v>
      </c>
      <c r="B8295" t="s" s="834">
        <v>5232</v>
      </c>
      <c r="C8295" t="s" s="834">
        <v>1571</v>
      </c>
      <c r="D8295" s="835">
        <v>46025</v>
      </c>
      <c r="E8295" t="s" s="834">
        <v>478</v>
      </c>
      <c r="F8295" t="s" s="834">
        <v>478</v>
      </c>
      <c r="G8295" s="570"/>
      <c r="H8295" s="570"/>
      <c r="I8295" s="570"/>
      <c r="J8295" s="570"/>
      <c r="K8295" s="570"/>
    </row>
    <row r="8296" ht="13.75" customHeight="1">
      <c r="A8296" s="833">
        <v>4</v>
      </c>
      <c r="B8296" t="s" s="834">
        <v>5232</v>
      </c>
      <c r="C8296" t="s" s="834">
        <v>1571</v>
      </c>
      <c r="D8296" s="835">
        <v>46026</v>
      </c>
      <c r="E8296" t="s" s="834">
        <v>478</v>
      </c>
      <c r="F8296" t="s" s="834">
        <v>478</v>
      </c>
      <c r="G8296" s="570"/>
      <c r="H8296" s="570"/>
      <c r="I8296" s="570"/>
      <c r="J8296" s="570"/>
      <c r="K8296" s="570"/>
    </row>
    <row r="8297" ht="13.75" customHeight="1">
      <c r="A8297" s="833">
        <v>4</v>
      </c>
      <c r="B8297" t="s" s="834">
        <v>5232</v>
      </c>
      <c r="C8297" t="s" s="834">
        <v>1571</v>
      </c>
      <c r="D8297" s="835">
        <v>46027</v>
      </c>
      <c r="E8297" t="s" s="834">
        <v>478</v>
      </c>
      <c r="F8297" t="s" s="834">
        <v>478</v>
      </c>
      <c r="G8297" s="570"/>
      <c r="H8297" s="570"/>
      <c r="I8297" s="570"/>
      <c r="J8297" s="570"/>
      <c r="K8297" s="570"/>
    </row>
    <row r="8298" ht="13.75" customHeight="1">
      <c r="A8298" s="833">
        <v>4</v>
      </c>
      <c r="B8298" t="s" s="834">
        <v>5232</v>
      </c>
      <c r="C8298" t="s" s="834">
        <v>1571</v>
      </c>
      <c r="D8298" s="835">
        <v>46028</v>
      </c>
      <c r="E8298" t="s" s="834">
        <v>478</v>
      </c>
      <c r="F8298" t="s" s="834">
        <v>478</v>
      </c>
      <c r="G8298" s="570"/>
      <c r="H8298" s="570"/>
      <c r="I8298" s="570"/>
      <c r="J8298" s="570"/>
      <c r="K8298" s="570"/>
    </row>
    <row r="8299" ht="13.75" customHeight="1">
      <c r="A8299" s="833">
        <v>4</v>
      </c>
      <c r="B8299" t="s" s="834">
        <v>5232</v>
      </c>
      <c r="C8299" t="s" s="834">
        <v>1571</v>
      </c>
      <c r="D8299" s="835">
        <v>46029</v>
      </c>
      <c r="E8299" t="s" s="834">
        <v>478</v>
      </c>
      <c r="F8299" t="s" s="834">
        <v>478</v>
      </c>
      <c r="G8299" s="570"/>
      <c r="H8299" s="570"/>
      <c r="I8299" s="570"/>
      <c r="J8299" s="570"/>
      <c r="K8299" s="570"/>
    </row>
    <row r="8300" ht="13.75" customHeight="1">
      <c r="A8300" s="833">
        <v>4</v>
      </c>
      <c r="B8300" t="s" s="834">
        <v>5232</v>
      </c>
      <c r="C8300" t="s" s="834">
        <v>1571</v>
      </c>
      <c r="D8300" s="835">
        <v>46030</v>
      </c>
      <c r="E8300" t="s" s="834">
        <v>478</v>
      </c>
      <c r="F8300" t="s" s="834">
        <v>478</v>
      </c>
      <c r="G8300" s="570"/>
      <c r="H8300" s="570"/>
      <c r="I8300" s="570"/>
      <c r="J8300" s="570"/>
      <c r="K8300" s="570"/>
    </row>
    <row r="8301" ht="13.75" customHeight="1">
      <c r="A8301" s="833">
        <v>4</v>
      </c>
      <c r="B8301" t="s" s="834">
        <v>5232</v>
      </c>
      <c r="C8301" t="s" s="834">
        <v>1571</v>
      </c>
      <c r="D8301" s="835">
        <v>46031</v>
      </c>
      <c r="E8301" t="s" s="834">
        <v>478</v>
      </c>
      <c r="F8301" t="s" s="834">
        <v>478</v>
      </c>
      <c r="G8301" s="570"/>
      <c r="H8301" s="570"/>
      <c r="I8301" s="570"/>
      <c r="J8301" s="570"/>
      <c r="K8301" s="570"/>
    </row>
    <row r="8302" ht="13.75" customHeight="1">
      <c r="A8302" s="833">
        <v>4</v>
      </c>
      <c r="B8302" t="s" s="834">
        <v>5232</v>
      </c>
      <c r="C8302" t="s" s="834">
        <v>1571</v>
      </c>
      <c r="D8302" s="835">
        <v>46032</v>
      </c>
      <c r="E8302" t="s" s="834">
        <v>478</v>
      </c>
      <c r="F8302" t="s" s="834">
        <v>478</v>
      </c>
      <c r="G8302" s="570"/>
      <c r="H8302" s="570"/>
      <c r="I8302" s="570"/>
      <c r="J8302" s="570"/>
      <c r="K8302" s="570"/>
    </row>
    <row r="8303" ht="13.75" customHeight="1">
      <c r="A8303" s="833">
        <v>4</v>
      </c>
      <c r="B8303" t="s" s="834">
        <v>5232</v>
      </c>
      <c r="C8303" t="s" s="834">
        <v>1571</v>
      </c>
      <c r="D8303" s="835">
        <v>46033</v>
      </c>
      <c r="E8303" t="s" s="834">
        <v>478</v>
      </c>
      <c r="F8303" t="s" s="834">
        <v>478</v>
      </c>
      <c r="G8303" s="570"/>
      <c r="H8303" s="570"/>
      <c r="I8303" s="570"/>
      <c r="J8303" s="570"/>
      <c r="K8303" s="570"/>
    </row>
    <row r="8304" ht="13.75" customHeight="1">
      <c r="A8304" s="833">
        <v>4</v>
      </c>
      <c r="B8304" t="s" s="834">
        <v>5232</v>
      </c>
      <c r="C8304" t="s" s="834">
        <v>1571</v>
      </c>
      <c r="D8304" s="835">
        <v>46034</v>
      </c>
      <c r="E8304" t="s" s="834">
        <v>478</v>
      </c>
      <c r="F8304" t="s" s="834">
        <v>478</v>
      </c>
      <c r="G8304" s="570"/>
      <c r="H8304" s="570"/>
      <c r="I8304" s="570"/>
      <c r="J8304" s="570"/>
      <c r="K8304" s="570"/>
    </row>
    <row r="8305" ht="13.75" customHeight="1">
      <c r="A8305" s="833">
        <v>4</v>
      </c>
      <c r="B8305" t="s" s="834">
        <v>5232</v>
      </c>
      <c r="C8305" t="s" s="834">
        <v>1571</v>
      </c>
      <c r="D8305" s="835">
        <v>46035</v>
      </c>
      <c r="E8305" t="s" s="834">
        <v>478</v>
      </c>
      <c r="F8305" t="s" s="834">
        <v>478</v>
      </c>
      <c r="G8305" s="570"/>
      <c r="H8305" s="570"/>
      <c r="I8305" s="570"/>
      <c r="J8305" s="570"/>
      <c r="K8305" s="570"/>
    </row>
    <row r="8306" ht="13.75" customHeight="1">
      <c r="A8306" s="833">
        <v>4</v>
      </c>
      <c r="B8306" t="s" s="834">
        <v>5232</v>
      </c>
      <c r="C8306" t="s" s="834">
        <v>1571</v>
      </c>
      <c r="D8306" s="835">
        <v>46036</v>
      </c>
      <c r="E8306" t="s" s="834">
        <v>478</v>
      </c>
      <c r="F8306" t="s" s="834">
        <v>478</v>
      </c>
      <c r="G8306" s="570"/>
      <c r="H8306" s="570"/>
      <c r="I8306" s="570"/>
      <c r="J8306" s="570"/>
      <c r="K8306" s="570"/>
    </row>
    <row r="8307" ht="13.75" customHeight="1">
      <c r="A8307" s="833">
        <v>4</v>
      </c>
      <c r="B8307" t="s" s="834">
        <v>5232</v>
      </c>
      <c r="C8307" t="s" s="834">
        <v>1571</v>
      </c>
      <c r="D8307" s="835">
        <v>46037</v>
      </c>
      <c r="E8307" t="s" s="834">
        <v>478</v>
      </c>
      <c r="F8307" t="s" s="834">
        <v>478</v>
      </c>
      <c r="G8307" s="570"/>
      <c r="H8307" s="570"/>
      <c r="I8307" s="570"/>
      <c r="J8307" s="570"/>
      <c r="K8307" s="570"/>
    </row>
    <row r="8308" ht="13.75" customHeight="1">
      <c r="A8308" s="833">
        <v>4</v>
      </c>
      <c r="B8308" t="s" s="834">
        <v>5232</v>
      </c>
      <c r="C8308" t="s" s="834">
        <v>1571</v>
      </c>
      <c r="D8308" s="835">
        <v>46038</v>
      </c>
      <c r="E8308" t="s" s="834">
        <v>478</v>
      </c>
      <c r="F8308" t="s" s="834">
        <v>478</v>
      </c>
      <c r="G8308" s="570"/>
      <c r="H8308" s="570"/>
      <c r="I8308" s="570"/>
      <c r="J8308" s="570"/>
      <c r="K8308" s="570"/>
    </row>
    <row r="8309" ht="13.75" customHeight="1">
      <c r="A8309" s="833">
        <v>4</v>
      </c>
      <c r="B8309" t="s" s="834">
        <v>5232</v>
      </c>
      <c r="C8309" t="s" s="834">
        <v>1571</v>
      </c>
      <c r="D8309" s="835">
        <v>46039</v>
      </c>
      <c r="E8309" t="s" s="834">
        <v>478</v>
      </c>
      <c r="F8309" t="s" s="834">
        <v>478</v>
      </c>
      <c r="G8309" s="570"/>
      <c r="H8309" s="570"/>
      <c r="I8309" s="570"/>
      <c r="J8309" s="570"/>
      <c r="K8309" s="570"/>
    </row>
    <row r="8310" ht="13.75" customHeight="1">
      <c r="A8310" s="833">
        <v>4</v>
      </c>
      <c r="B8310" t="s" s="834">
        <v>5232</v>
      </c>
      <c r="C8310" t="s" s="834">
        <v>1571</v>
      </c>
      <c r="D8310" s="835">
        <v>46040</v>
      </c>
      <c r="E8310" t="s" s="834">
        <v>478</v>
      </c>
      <c r="F8310" t="s" s="834">
        <v>478</v>
      </c>
      <c r="G8310" s="570"/>
      <c r="H8310" s="570"/>
      <c r="I8310" s="570"/>
      <c r="J8310" s="570"/>
      <c r="K8310" s="570"/>
    </row>
    <row r="8311" ht="13.75" customHeight="1">
      <c r="A8311" s="833">
        <v>4</v>
      </c>
      <c r="B8311" t="s" s="834">
        <v>5232</v>
      </c>
      <c r="C8311" t="s" s="834">
        <v>1571</v>
      </c>
      <c r="D8311" s="835">
        <v>46041</v>
      </c>
      <c r="E8311" t="s" s="834">
        <v>478</v>
      </c>
      <c r="F8311" t="s" s="834">
        <v>478</v>
      </c>
      <c r="G8311" s="570"/>
      <c r="H8311" s="570"/>
      <c r="I8311" s="570"/>
      <c r="J8311" s="570"/>
      <c r="K8311" s="570"/>
    </row>
    <row r="8312" ht="13.75" customHeight="1">
      <c r="A8312" s="833">
        <v>4</v>
      </c>
      <c r="B8312" t="s" s="834">
        <v>5232</v>
      </c>
      <c r="C8312" t="s" s="834">
        <v>1571</v>
      </c>
      <c r="D8312" s="835">
        <v>46042</v>
      </c>
      <c r="E8312" t="s" s="834">
        <v>478</v>
      </c>
      <c r="F8312" t="s" s="834">
        <v>478</v>
      </c>
      <c r="G8312" s="570"/>
      <c r="H8312" s="570"/>
      <c r="I8312" s="570"/>
      <c r="J8312" s="570"/>
      <c r="K8312" s="570"/>
    </row>
    <row r="8313" ht="13.75" customHeight="1">
      <c r="A8313" s="833">
        <v>4</v>
      </c>
      <c r="B8313" t="s" s="834">
        <v>5232</v>
      </c>
      <c r="C8313" t="s" s="834">
        <v>1571</v>
      </c>
      <c r="D8313" s="835">
        <v>46043</v>
      </c>
      <c r="E8313" t="s" s="834">
        <v>478</v>
      </c>
      <c r="F8313" t="s" s="834">
        <v>478</v>
      </c>
      <c r="G8313" s="570"/>
      <c r="H8313" s="570"/>
      <c r="I8313" s="570"/>
      <c r="J8313" s="570"/>
      <c r="K8313" s="570"/>
    </row>
    <row r="8314" ht="13.75" customHeight="1">
      <c r="A8314" s="833">
        <v>4</v>
      </c>
      <c r="B8314" t="s" s="834">
        <v>5232</v>
      </c>
      <c r="C8314" t="s" s="834">
        <v>1571</v>
      </c>
      <c r="D8314" s="835">
        <v>46044</v>
      </c>
      <c r="E8314" t="s" s="834">
        <v>478</v>
      </c>
      <c r="F8314" t="s" s="834">
        <v>478</v>
      </c>
      <c r="G8314" s="570"/>
      <c r="H8314" s="570"/>
      <c r="I8314" s="570"/>
      <c r="J8314" s="570"/>
      <c r="K8314" s="570"/>
    </row>
    <row r="8315" ht="13.75" customHeight="1">
      <c r="A8315" s="833">
        <v>4</v>
      </c>
      <c r="B8315" t="s" s="834">
        <v>5232</v>
      </c>
      <c r="C8315" t="s" s="834">
        <v>1571</v>
      </c>
      <c r="D8315" s="835">
        <v>46045</v>
      </c>
      <c r="E8315" t="s" s="834">
        <v>478</v>
      </c>
      <c r="F8315" t="s" s="834">
        <v>478</v>
      </c>
      <c r="G8315" s="570"/>
      <c r="H8315" s="570"/>
      <c r="I8315" s="570"/>
      <c r="J8315" s="570"/>
      <c r="K8315" s="570"/>
    </row>
    <row r="8316" ht="13.75" customHeight="1">
      <c r="A8316" s="833">
        <v>4</v>
      </c>
      <c r="B8316" t="s" s="834">
        <v>5232</v>
      </c>
      <c r="C8316" t="s" s="834">
        <v>1571</v>
      </c>
      <c r="D8316" s="835">
        <v>46046</v>
      </c>
      <c r="E8316" t="s" s="834">
        <v>478</v>
      </c>
      <c r="F8316" t="s" s="834">
        <v>478</v>
      </c>
      <c r="G8316" s="570"/>
      <c r="H8316" s="570"/>
      <c r="I8316" s="570"/>
      <c r="J8316" s="570"/>
      <c r="K8316" s="570"/>
    </row>
    <row r="8317" ht="13.75" customHeight="1">
      <c r="A8317" s="833">
        <v>4</v>
      </c>
      <c r="B8317" t="s" s="834">
        <v>5232</v>
      </c>
      <c r="C8317" t="s" s="834">
        <v>1571</v>
      </c>
      <c r="D8317" s="835">
        <v>46047</v>
      </c>
      <c r="E8317" t="s" s="834">
        <v>478</v>
      </c>
      <c r="F8317" t="s" s="834">
        <v>478</v>
      </c>
      <c r="G8317" s="570"/>
      <c r="H8317" s="570"/>
      <c r="I8317" s="570"/>
      <c r="J8317" s="570"/>
      <c r="K8317" s="570"/>
    </row>
    <row r="8318" ht="13.75" customHeight="1">
      <c r="A8318" s="833">
        <v>4</v>
      </c>
      <c r="B8318" t="s" s="834">
        <v>5232</v>
      </c>
      <c r="C8318" t="s" s="834">
        <v>1571</v>
      </c>
      <c r="D8318" s="835">
        <v>46048</v>
      </c>
      <c r="E8318" t="s" s="834">
        <v>478</v>
      </c>
      <c r="F8318" t="s" s="834">
        <v>478</v>
      </c>
      <c r="G8318" s="570"/>
      <c r="H8318" s="570"/>
      <c r="I8318" s="570"/>
      <c r="J8318" s="570"/>
      <c r="K8318" s="570"/>
    </row>
    <row r="8319" ht="13.75" customHeight="1">
      <c r="A8319" s="833">
        <v>4</v>
      </c>
      <c r="B8319" t="s" s="834">
        <v>5232</v>
      </c>
      <c r="C8319" t="s" s="834">
        <v>1571</v>
      </c>
      <c r="D8319" s="835">
        <v>46049</v>
      </c>
      <c r="E8319" t="s" s="834">
        <v>478</v>
      </c>
      <c r="F8319" t="s" s="834">
        <v>478</v>
      </c>
      <c r="G8319" s="570"/>
      <c r="H8319" s="570"/>
      <c r="I8319" s="570"/>
      <c r="J8319" s="570"/>
      <c r="K8319" s="570"/>
    </row>
    <row r="8320" ht="13.75" customHeight="1">
      <c r="A8320" s="833">
        <v>4</v>
      </c>
      <c r="B8320" t="s" s="834">
        <v>5232</v>
      </c>
      <c r="C8320" t="s" s="834">
        <v>1571</v>
      </c>
      <c r="D8320" s="835">
        <v>46050</v>
      </c>
      <c r="E8320" t="s" s="834">
        <v>478</v>
      </c>
      <c r="F8320" t="s" s="834">
        <v>478</v>
      </c>
      <c r="G8320" s="570"/>
      <c r="H8320" s="570"/>
      <c r="I8320" s="570"/>
      <c r="J8320" s="570"/>
      <c r="K8320" s="570"/>
    </row>
    <row r="8321" ht="13.75" customHeight="1">
      <c r="A8321" s="833">
        <v>4</v>
      </c>
      <c r="B8321" t="s" s="834">
        <v>5232</v>
      </c>
      <c r="C8321" t="s" s="834">
        <v>1571</v>
      </c>
      <c r="D8321" s="835">
        <v>46051</v>
      </c>
      <c r="E8321" t="s" s="834">
        <v>478</v>
      </c>
      <c r="F8321" t="s" s="834">
        <v>478</v>
      </c>
      <c r="G8321" s="570"/>
      <c r="H8321" s="570"/>
      <c r="I8321" s="570"/>
      <c r="J8321" s="570"/>
      <c r="K8321" s="570"/>
    </row>
    <row r="8322" ht="13.75" customHeight="1">
      <c r="A8322" s="833">
        <v>4</v>
      </c>
      <c r="B8322" t="s" s="834">
        <v>5232</v>
      </c>
      <c r="C8322" t="s" s="834">
        <v>1571</v>
      </c>
      <c r="D8322" s="835">
        <v>46052</v>
      </c>
      <c r="E8322" t="s" s="834">
        <v>478</v>
      </c>
      <c r="F8322" t="s" s="834">
        <v>478</v>
      </c>
      <c r="G8322" s="570"/>
      <c r="H8322" s="570"/>
      <c r="I8322" s="570"/>
      <c r="J8322" s="570"/>
      <c r="K8322" s="570"/>
    </row>
    <row r="8323" ht="13.75" customHeight="1">
      <c r="A8323" s="833">
        <v>4</v>
      </c>
      <c r="B8323" t="s" s="834">
        <v>5232</v>
      </c>
      <c r="C8323" t="s" s="834">
        <v>1571</v>
      </c>
      <c r="D8323" s="835">
        <v>46053</v>
      </c>
      <c r="E8323" t="s" s="834">
        <v>478</v>
      </c>
      <c r="F8323" t="s" s="834">
        <v>478</v>
      </c>
      <c r="G8323" s="570"/>
      <c r="H8323" s="570"/>
      <c r="I8323" s="570"/>
      <c r="J8323" s="570"/>
      <c r="K8323" s="570"/>
    </row>
    <row r="8324" ht="13.75" customHeight="1">
      <c r="A8324" s="833">
        <v>4</v>
      </c>
      <c r="B8324" t="s" s="834">
        <v>5232</v>
      </c>
      <c r="C8324" t="s" s="834">
        <v>1571</v>
      </c>
      <c r="D8324" s="835">
        <v>46054</v>
      </c>
      <c r="E8324" t="s" s="834">
        <v>478</v>
      </c>
      <c r="F8324" t="s" s="834">
        <v>478</v>
      </c>
      <c r="G8324" s="570"/>
      <c r="H8324" s="570"/>
      <c r="I8324" s="570"/>
      <c r="J8324" s="570"/>
      <c r="K8324" s="570"/>
    </row>
    <row r="8325" ht="13.75" customHeight="1">
      <c r="A8325" s="833">
        <v>5</v>
      </c>
      <c r="B8325" t="s" s="834">
        <v>5233</v>
      </c>
      <c r="C8325" t="s" s="834">
        <v>617</v>
      </c>
      <c r="D8325" s="835">
        <v>46023</v>
      </c>
      <c r="E8325" t="s" s="834">
        <v>478</v>
      </c>
      <c r="F8325" t="s" s="834">
        <v>478</v>
      </c>
      <c r="G8325" s="570"/>
      <c r="H8325" s="570"/>
      <c r="I8325" s="570"/>
      <c r="J8325" s="570"/>
      <c r="K8325" s="570"/>
    </row>
    <row r="8326" ht="13.75" customHeight="1">
      <c r="A8326" s="833">
        <v>5</v>
      </c>
      <c r="B8326" t="s" s="834">
        <v>5233</v>
      </c>
      <c r="C8326" t="s" s="834">
        <v>617</v>
      </c>
      <c r="D8326" s="835">
        <v>46024</v>
      </c>
      <c r="E8326" t="s" s="834">
        <v>478</v>
      </c>
      <c r="F8326" t="s" s="834">
        <v>478</v>
      </c>
      <c r="G8326" s="570"/>
      <c r="H8326" s="570"/>
      <c r="I8326" s="570"/>
      <c r="J8326" s="570"/>
      <c r="K8326" s="570"/>
    </row>
    <row r="8327" ht="13.75" customHeight="1">
      <c r="A8327" s="833">
        <v>5</v>
      </c>
      <c r="B8327" t="s" s="834">
        <v>5233</v>
      </c>
      <c r="C8327" t="s" s="834">
        <v>617</v>
      </c>
      <c r="D8327" s="835">
        <v>46025</v>
      </c>
      <c r="E8327" t="s" s="834">
        <v>478</v>
      </c>
      <c r="F8327" t="s" s="834">
        <v>478</v>
      </c>
      <c r="G8327" s="570"/>
      <c r="H8327" s="570"/>
      <c r="I8327" s="570"/>
      <c r="J8327" s="570"/>
      <c r="K8327" s="570"/>
    </row>
    <row r="8328" ht="13.75" customHeight="1">
      <c r="A8328" s="833">
        <v>5</v>
      </c>
      <c r="B8328" t="s" s="834">
        <v>5233</v>
      </c>
      <c r="C8328" t="s" s="834">
        <v>617</v>
      </c>
      <c r="D8328" s="835">
        <v>46026</v>
      </c>
      <c r="E8328" t="s" s="834">
        <v>478</v>
      </c>
      <c r="F8328" t="s" s="834">
        <v>478</v>
      </c>
      <c r="G8328" s="570"/>
      <c r="H8328" s="570"/>
      <c r="I8328" s="570"/>
      <c r="J8328" s="570"/>
      <c r="K8328" s="570"/>
    </row>
    <row r="8329" ht="13.75" customHeight="1">
      <c r="A8329" s="833">
        <v>5</v>
      </c>
      <c r="B8329" t="s" s="834">
        <v>5233</v>
      </c>
      <c r="C8329" t="s" s="834">
        <v>617</v>
      </c>
      <c r="D8329" s="835">
        <v>46027</v>
      </c>
      <c r="E8329" s="836">
        <v>1.352395833333333</v>
      </c>
      <c r="F8329" s="836">
        <v>1.756087962962963</v>
      </c>
      <c r="G8329" s="570"/>
      <c r="H8329" s="570"/>
      <c r="I8329" s="570"/>
      <c r="J8329" s="570"/>
      <c r="K8329" s="570"/>
    </row>
    <row r="8330" ht="13.75" customHeight="1">
      <c r="A8330" t="s" s="834">
        <v>5234</v>
      </c>
      <c r="B8330" t="s" s="834">
        <v>5235</v>
      </c>
      <c r="C8330" t="s" s="834">
        <v>590</v>
      </c>
      <c r="D8330" s="570"/>
      <c r="E8330" s="570"/>
      <c r="F8330" s="570"/>
      <c r="G8330" s="570"/>
      <c r="H8330" s="570"/>
      <c r="I8330" s="570"/>
      <c r="J8330" s="570"/>
      <c r="K8330" s="570"/>
    </row>
    <row r="8331" ht="13.75" customHeight="1">
      <c r="A8331" s="833">
        <v>5</v>
      </c>
      <c r="B8331" t="s" s="834">
        <v>5233</v>
      </c>
      <c r="C8331" t="s" s="834">
        <v>617</v>
      </c>
      <c r="D8331" s="835">
        <v>46028</v>
      </c>
      <c r="E8331" s="836">
        <v>1.349560185185185</v>
      </c>
      <c r="F8331" s="836">
        <v>1.756967592592593</v>
      </c>
      <c r="G8331" s="570"/>
      <c r="H8331" s="570"/>
      <c r="I8331" s="570"/>
      <c r="J8331" s="570"/>
      <c r="K8331" s="570"/>
    </row>
    <row r="8332" ht="13.75" customHeight="1">
      <c r="A8332" t="s" s="834">
        <v>5236</v>
      </c>
      <c r="B8332" t="s" s="834">
        <v>5237</v>
      </c>
      <c r="C8332" t="s" s="834">
        <v>882</v>
      </c>
      <c r="D8332" s="570"/>
      <c r="E8332" s="570"/>
      <c r="F8332" s="570"/>
      <c r="G8332" s="570"/>
      <c r="H8332" s="570"/>
      <c r="I8332" s="570"/>
      <c r="J8332" s="570"/>
      <c r="K8332" s="570"/>
    </row>
    <row r="8333" ht="13.75" customHeight="1">
      <c r="A8333" s="833">
        <v>5</v>
      </c>
      <c r="B8333" t="s" s="834">
        <v>5233</v>
      </c>
      <c r="C8333" t="s" s="834">
        <v>617</v>
      </c>
      <c r="D8333" s="835">
        <v>46029</v>
      </c>
      <c r="E8333" s="836">
        <v>1.366053240740741</v>
      </c>
      <c r="F8333" s="836">
        <v>1.758449074074074</v>
      </c>
      <c r="G8333" s="570"/>
      <c r="H8333" s="570"/>
      <c r="I8333" s="570"/>
      <c r="J8333" s="570"/>
      <c r="K8333" s="570"/>
    </row>
    <row r="8334" ht="13.75" customHeight="1">
      <c r="A8334" t="s" s="834">
        <v>5238</v>
      </c>
      <c r="B8334" t="s" s="834">
        <v>5239</v>
      </c>
      <c r="C8334" t="s" s="834">
        <v>966</v>
      </c>
      <c r="D8334" s="570"/>
      <c r="E8334" s="570"/>
      <c r="F8334" s="570"/>
      <c r="G8334" s="570"/>
      <c r="H8334" s="570"/>
      <c r="I8334" s="570"/>
      <c r="J8334" s="570"/>
      <c r="K8334" s="570"/>
    </row>
    <row r="8335" ht="13.75" customHeight="1">
      <c r="A8335" s="833">
        <v>5</v>
      </c>
      <c r="B8335" t="s" s="834">
        <v>5233</v>
      </c>
      <c r="C8335" t="s" s="834">
        <v>617</v>
      </c>
      <c r="D8335" s="835">
        <v>46030</v>
      </c>
      <c r="E8335" s="836">
        <v>1.360011574074074</v>
      </c>
      <c r="F8335" s="836">
        <v>1.758530092592593</v>
      </c>
      <c r="G8335" s="570"/>
      <c r="H8335" s="570"/>
      <c r="I8335" s="570"/>
      <c r="J8335" s="570"/>
      <c r="K8335" s="570"/>
    </row>
    <row r="8336" ht="13.75" customHeight="1">
      <c r="A8336" t="s" s="834">
        <v>5240</v>
      </c>
      <c r="B8336" t="s" s="834">
        <v>5241</v>
      </c>
      <c r="C8336" t="s" s="834">
        <v>611</v>
      </c>
      <c r="D8336" s="570"/>
      <c r="E8336" s="570"/>
      <c r="F8336" s="570"/>
      <c r="G8336" s="570"/>
      <c r="H8336" s="570"/>
      <c r="I8336" s="570"/>
      <c r="J8336" s="570"/>
      <c r="K8336" s="570"/>
    </row>
    <row r="8337" ht="13.75" customHeight="1">
      <c r="A8337" s="833">
        <v>5</v>
      </c>
      <c r="B8337" t="s" s="834">
        <v>5233</v>
      </c>
      <c r="C8337" t="s" s="834">
        <v>617</v>
      </c>
      <c r="D8337" s="835">
        <v>46031</v>
      </c>
      <c r="E8337" t="s" s="834">
        <v>478</v>
      </c>
      <c r="F8337" t="s" s="834">
        <v>478</v>
      </c>
      <c r="G8337" s="570"/>
      <c r="H8337" s="570"/>
      <c r="I8337" s="570"/>
      <c r="J8337" s="570"/>
      <c r="K8337" s="570"/>
    </row>
    <row r="8338" ht="13.75" customHeight="1">
      <c r="A8338" s="833">
        <v>5</v>
      </c>
      <c r="B8338" t="s" s="834">
        <v>5233</v>
      </c>
      <c r="C8338" t="s" s="834">
        <v>617</v>
      </c>
      <c r="D8338" s="835">
        <v>46032</v>
      </c>
      <c r="E8338" t="s" s="834">
        <v>478</v>
      </c>
      <c r="F8338" t="s" s="834">
        <v>478</v>
      </c>
      <c r="G8338" s="570"/>
      <c r="H8338" s="570"/>
      <c r="I8338" s="570"/>
      <c r="J8338" s="570"/>
      <c r="K8338" s="570"/>
    </row>
    <row r="8339" ht="13.75" customHeight="1">
      <c r="A8339" s="833">
        <v>5</v>
      </c>
      <c r="B8339" t="s" s="834">
        <v>5233</v>
      </c>
      <c r="C8339" t="s" s="834">
        <v>617</v>
      </c>
      <c r="D8339" s="835">
        <v>46033</v>
      </c>
      <c r="E8339" t="s" s="834">
        <v>478</v>
      </c>
      <c r="F8339" t="s" s="834">
        <v>478</v>
      </c>
      <c r="G8339" s="570"/>
      <c r="H8339" s="570"/>
      <c r="I8339" s="570"/>
      <c r="J8339" s="570"/>
      <c r="K8339" s="570"/>
    </row>
    <row r="8340" ht="13.75" customHeight="1">
      <c r="A8340" s="833">
        <v>5</v>
      </c>
      <c r="B8340" t="s" s="834">
        <v>5233</v>
      </c>
      <c r="C8340" t="s" s="834">
        <v>617</v>
      </c>
      <c r="D8340" s="835">
        <v>46034</v>
      </c>
      <c r="E8340" s="836">
        <v>1.352638888888889</v>
      </c>
      <c r="F8340" s="836">
        <v>1.756261574074074</v>
      </c>
      <c r="G8340" s="570"/>
      <c r="H8340" s="570"/>
      <c r="I8340" s="570"/>
      <c r="J8340" s="570"/>
      <c r="K8340" s="570"/>
    </row>
    <row r="8341" ht="13.75" customHeight="1">
      <c r="A8341" t="s" s="834">
        <v>5242</v>
      </c>
      <c r="B8341" t="s" s="834">
        <v>5243</v>
      </c>
      <c r="C8341" t="s" s="834">
        <v>590</v>
      </c>
      <c r="D8341" s="570"/>
      <c r="E8341" s="570"/>
      <c r="F8341" s="570"/>
      <c r="G8341" s="570"/>
      <c r="H8341" s="570"/>
      <c r="I8341" s="570"/>
      <c r="J8341" s="570"/>
      <c r="K8341" s="570"/>
    </row>
    <row r="8342" ht="13.75" customHeight="1">
      <c r="A8342" s="833">
        <v>5</v>
      </c>
      <c r="B8342" t="s" s="834">
        <v>5233</v>
      </c>
      <c r="C8342" t="s" s="834">
        <v>617</v>
      </c>
      <c r="D8342" s="835">
        <v>46035</v>
      </c>
      <c r="E8342" s="836">
        <v>1.350601851851852</v>
      </c>
      <c r="F8342" s="836">
        <v>1.75431712962963</v>
      </c>
      <c r="G8342" s="570"/>
      <c r="H8342" s="570"/>
      <c r="I8342" s="570"/>
      <c r="J8342" s="570"/>
      <c r="K8342" s="570"/>
    </row>
    <row r="8343" ht="13.75" customHeight="1">
      <c r="A8343" t="s" s="834">
        <v>5244</v>
      </c>
      <c r="B8343" t="s" s="834">
        <v>5245</v>
      </c>
      <c r="C8343" t="s" s="834">
        <v>590</v>
      </c>
      <c r="D8343" s="570"/>
      <c r="E8343" s="570"/>
      <c r="F8343" s="570"/>
      <c r="G8343" s="570"/>
      <c r="H8343" s="570"/>
      <c r="I8343" s="570"/>
      <c r="J8343" s="570"/>
      <c r="K8343" s="570"/>
    </row>
    <row r="8344" ht="13.75" customHeight="1">
      <c r="A8344" s="833">
        <v>5</v>
      </c>
      <c r="B8344" t="s" s="834">
        <v>5233</v>
      </c>
      <c r="C8344" t="s" s="834">
        <v>617</v>
      </c>
      <c r="D8344" s="835">
        <v>46036</v>
      </c>
      <c r="E8344" s="836">
        <v>1.362847222222222</v>
      </c>
      <c r="F8344" s="836">
        <v>1.753680555555555</v>
      </c>
      <c r="G8344" s="570"/>
      <c r="H8344" s="570"/>
      <c r="I8344" s="570"/>
      <c r="J8344" s="570"/>
      <c r="K8344" s="570"/>
    </row>
    <row r="8345" ht="13.75" customHeight="1">
      <c r="A8345" t="s" s="834">
        <v>5246</v>
      </c>
      <c r="B8345" t="s" s="834">
        <v>5247</v>
      </c>
      <c r="C8345" t="s" s="834">
        <v>668</v>
      </c>
      <c r="D8345" s="570"/>
      <c r="E8345" s="570"/>
      <c r="F8345" s="570"/>
      <c r="G8345" s="570"/>
      <c r="H8345" s="570"/>
      <c r="I8345" s="570"/>
      <c r="J8345" s="570"/>
      <c r="K8345" s="570"/>
    </row>
    <row r="8346" ht="13.75" customHeight="1">
      <c r="A8346" s="833">
        <v>5</v>
      </c>
      <c r="B8346" t="s" s="834">
        <v>5233</v>
      </c>
      <c r="C8346" t="s" s="834">
        <v>617</v>
      </c>
      <c r="D8346" s="835">
        <v>46037</v>
      </c>
      <c r="E8346" s="836">
        <v>1.352083333333333</v>
      </c>
      <c r="F8346" s="836">
        <v>1.757881944444444</v>
      </c>
      <c r="G8346" s="570"/>
      <c r="H8346" s="570"/>
      <c r="I8346" s="570"/>
      <c r="J8346" s="570"/>
      <c r="K8346" s="570"/>
    </row>
    <row r="8347" ht="13.75" customHeight="1">
      <c r="A8347" t="s" s="834">
        <v>5248</v>
      </c>
      <c r="B8347" t="s" s="834">
        <v>5249</v>
      </c>
      <c r="C8347" t="s" s="834">
        <v>1601</v>
      </c>
      <c r="D8347" s="570"/>
      <c r="E8347" s="570"/>
      <c r="F8347" s="570"/>
      <c r="G8347" s="570"/>
      <c r="H8347" s="570"/>
      <c r="I8347" s="570"/>
      <c r="J8347" s="570"/>
      <c r="K8347" s="570"/>
    </row>
    <row r="8348" ht="13.75" customHeight="1">
      <c r="A8348" s="833">
        <v>5</v>
      </c>
      <c r="B8348" t="s" s="834">
        <v>5233</v>
      </c>
      <c r="C8348" t="s" s="834">
        <v>617</v>
      </c>
      <c r="D8348" s="835">
        <v>46038</v>
      </c>
      <c r="E8348" t="s" s="834">
        <v>478</v>
      </c>
      <c r="F8348" t="s" s="834">
        <v>478</v>
      </c>
      <c r="G8348" s="570"/>
      <c r="H8348" s="570"/>
      <c r="I8348" s="570"/>
      <c r="J8348" s="570"/>
      <c r="K8348" s="570"/>
    </row>
    <row r="8349" ht="13.75" customHeight="1">
      <c r="A8349" s="833">
        <v>5</v>
      </c>
      <c r="B8349" t="s" s="834">
        <v>5233</v>
      </c>
      <c r="C8349" t="s" s="834">
        <v>617</v>
      </c>
      <c r="D8349" s="835">
        <v>46039</v>
      </c>
      <c r="E8349" t="s" s="834">
        <v>478</v>
      </c>
      <c r="F8349" t="s" s="834">
        <v>478</v>
      </c>
      <c r="G8349" s="570"/>
      <c r="H8349" s="570"/>
      <c r="I8349" s="570"/>
      <c r="J8349" s="570"/>
      <c r="K8349" s="570"/>
    </row>
    <row r="8350" ht="13.75" customHeight="1">
      <c r="A8350" s="833">
        <v>5</v>
      </c>
      <c r="B8350" t="s" s="834">
        <v>5233</v>
      </c>
      <c r="C8350" t="s" s="834">
        <v>617</v>
      </c>
      <c r="D8350" s="835">
        <v>46040</v>
      </c>
      <c r="E8350" t="s" s="834">
        <v>478</v>
      </c>
      <c r="F8350" t="s" s="834">
        <v>478</v>
      </c>
      <c r="G8350" s="570"/>
      <c r="H8350" s="570"/>
      <c r="I8350" s="570"/>
      <c r="J8350" s="570"/>
      <c r="K8350" s="570"/>
    </row>
    <row r="8351" ht="13.75" customHeight="1">
      <c r="A8351" s="833">
        <v>5</v>
      </c>
      <c r="B8351" t="s" s="834">
        <v>5233</v>
      </c>
      <c r="C8351" t="s" s="834">
        <v>617</v>
      </c>
      <c r="D8351" s="835">
        <v>46041</v>
      </c>
      <c r="E8351" s="836">
        <v>1.354270833333333</v>
      </c>
      <c r="F8351" s="836">
        <v>1.760810185185185</v>
      </c>
      <c r="G8351" s="570"/>
      <c r="H8351" s="570"/>
      <c r="I8351" s="570"/>
      <c r="J8351" s="570"/>
      <c r="K8351" s="570"/>
    </row>
    <row r="8352" ht="13.75" customHeight="1">
      <c r="A8352" t="s" s="834">
        <v>5250</v>
      </c>
      <c r="B8352" t="s" s="834">
        <v>5251</v>
      </c>
      <c r="C8352" t="s" s="834">
        <v>603</v>
      </c>
      <c r="D8352" s="570"/>
      <c r="E8352" s="570"/>
      <c r="F8352" s="570"/>
      <c r="G8352" s="570"/>
      <c r="H8352" s="570"/>
      <c r="I8352" s="570"/>
      <c r="J8352" s="570"/>
      <c r="K8352" s="570"/>
    </row>
    <row r="8353" ht="13.75" customHeight="1">
      <c r="A8353" s="833">
        <v>5</v>
      </c>
      <c r="B8353" t="s" s="834">
        <v>5233</v>
      </c>
      <c r="C8353" t="s" s="834">
        <v>617</v>
      </c>
      <c r="D8353" s="835">
        <v>46042</v>
      </c>
      <c r="E8353" s="836">
        <v>1.545625</v>
      </c>
      <c r="F8353" s="836">
        <v>1.769791666666667</v>
      </c>
      <c r="G8353" s="570"/>
      <c r="H8353" s="570"/>
      <c r="I8353" s="570"/>
      <c r="J8353" s="570"/>
      <c r="K8353" s="570"/>
    </row>
    <row r="8354" ht="13.75" customHeight="1">
      <c r="A8354" t="s" s="834">
        <v>5252</v>
      </c>
      <c r="B8354" t="s" s="834">
        <v>5253</v>
      </c>
      <c r="C8354" t="s" s="834">
        <v>2875</v>
      </c>
      <c r="D8354" s="570"/>
      <c r="E8354" s="570"/>
      <c r="F8354" s="570"/>
      <c r="G8354" s="570"/>
      <c r="H8354" s="570"/>
      <c r="I8354" s="570"/>
      <c r="J8354" s="570"/>
      <c r="K8354" s="570"/>
    </row>
    <row r="8355" ht="13.75" customHeight="1">
      <c r="A8355" s="833">
        <v>5</v>
      </c>
      <c r="B8355" t="s" s="834">
        <v>5233</v>
      </c>
      <c r="C8355" t="s" s="834">
        <v>617</v>
      </c>
      <c r="D8355" s="835">
        <v>46043</v>
      </c>
      <c r="E8355" s="836">
        <v>1.365798611111111</v>
      </c>
      <c r="F8355" s="836">
        <v>1.776712962962963</v>
      </c>
      <c r="G8355" s="570"/>
      <c r="H8355" s="570"/>
      <c r="I8355" s="570"/>
      <c r="J8355" s="570"/>
      <c r="K8355" s="570"/>
    </row>
    <row r="8356" ht="13.75" customHeight="1">
      <c r="A8356" t="s" s="834">
        <v>5254</v>
      </c>
      <c r="B8356" t="s" s="834">
        <v>5255</v>
      </c>
      <c r="C8356" t="s" s="834">
        <v>850</v>
      </c>
      <c r="D8356" s="570"/>
      <c r="E8356" s="570"/>
      <c r="F8356" s="570"/>
      <c r="G8356" s="570"/>
      <c r="H8356" s="570"/>
      <c r="I8356" s="570"/>
      <c r="J8356" s="570"/>
      <c r="K8356" s="570"/>
    </row>
    <row r="8357" ht="13.75" customHeight="1">
      <c r="A8357" s="833">
        <v>5</v>
      </c>
      <c r="B8357" t="s" s="834">
        <v>5233</v>
      </c>
      <c r="C8357" t="s" s="834">
        <v>617</v>
      </c>
      <c r="D8357" s="835">
        <v>46044</v>
      </c>
      <c r="E8357" s="836">
        <v>1.357546296296296</v>
      </c>
      <c r="F8357" s="836">
        <v>1.759976851851852</v>
      </c>
      <c r="G8357" s="570"/>
      <c r="H8357" s="570"/>
      <c r="I8357" s="570"/>
      <c r="J8357" s="570"/>
      <c r="K8357" s="570"/>
    </row>
    <row r="8358" ht="13.75" customHeight="1">
      <c r="A8358" t="s" s="834">
        <v>5256</v>
      </c>
      <c r="B8358" t="s" s="834">
        <v>5257</v>
      </c>
      <c r="C8358" t="s" s="834">
        <v>861</v>
      </c>
      <c r="D8358" s="570"/>
      <c r="E8358" s="570"/>
      <c r="F8358" s="570"/>
      <c r="G8358" s="570"/>
      <c r="H8358" s="570"/>
      <c r="I8358" s="570"/>
      <c r="J8358" s="570"/>
      <c r="K8358" s="570"/>
    </row>
    <row r="8359" ht="13.75" customHeight="1">
      <c r="A8359" s="833">
        <v>5</v>
      </c>
      <c r="B8359" t="s" s="834">
        <v>5233</v>
      </c>
      <c r="C8359" t="s" s="834">
        <v>617</v>
      </c>
      <c r="D8359" s="835">
        <v>46045</v>
      </c>
      <c r="E8359" t="s" s="834">
        <v>478</v>
      </c>
      <c r="F8359" t="s" s="834">
        <v>478</v>
      </c>
      <c r="G8359" s="570"/>
      <c r="H8359" s="570"/>
      <c r="I8359" s="570"/>
      <c r="J8359" s="570"/>
      <c r="K8359" s="570"/>
    </row>
    <row r="8360" ht="13.75" customHeight="1">
      <c r="A8360" s="833">
        <v>5</v>
      </c>
      <c r="B8360" t="s" s="834">
        <v>5233</v>
      </c>
      <c r="C8360" t="s" s="834">
        <v>617</v>
      </c>
      <c r="D8360" s="835">
        <v>46046</v>
      </c>
      <c r="E8360" t="s" s="834">
        <v>478</v>
      </c>
      <c r="F8360" t="s" s="834">
        <v>478</v>
      </c>
      <c r="G8360" s="570"/>
      <c r="H8360" s="570"/>
      <c r="I8360" s="570"/>
      <c r="J8360" s="570"/>
      <c r="K8360" s="570"/>
    </row>
    <row r="8361" ht="13.75" customHeight="1">
      <c r="A8361" s="833">
        <v>5</v>
      </c>
      <c r="B8361" t="s" s="834">
        <v>5233</v>
      </c>
      <c r="C8361" t="s" s="834">
        <v>617</v>
      </c>
      <c r="D8361" s="835">
        <v>46047</v>
      </c>
      <c r="E8361" t="s" s="834">
        <v>478</v>
      </c>
      <c r="F8361" t="s" s="834">
        <v>478</v>
      </c>
      <c r="G8361" s="570"/>
      <c r="H8361" s="570"/>
      <c r="I8361" s="570"/>
      <c r="J8361" s="570"/>
      <c r="K8361" s="570"/>
    </row>
    <row r="8362" ht="13.75" customHeight="1">
      <c r="A8362" s="833">
        <v>5</v>
      </c>
      <c r="B8362" t="s" s="834">
        <v>5233</v>
      </c>
      <c r="C8362" t="s" s="834">
        <v>617</v>
      </c>
      <c r="D8362" s="835">
        <v>46048</v>
      </c>
      <c r="E8362" s="836">
        <v>1.356793981481482</v>
      </c>
      <c r="F8362" s="836">
        <v>1.768587962962963</v>
      </c>
      <c r="G8362" s="570"/>
      <c r="H8362" s="570"/>
      <c r="I8362" s="570"/>
      <c r="J8362" s="570"/>
      <c r="K8362" s="570"/>
    </row>
    <row r="8363" ht="13.75" customHeight="1">
      <c r="A8363" t="s" s="834">
        <v>5258</v>
      </c>
      <c r="B8363" t="s" s="834">
        <v>5259</v>
      </c>
      <c r="C8363" t="s" s="834">
        <v>597</v>
      </c>
      <c r="D8363" s="570"/>
      <c r="E8363" s="570"/>
      <c r="F8363" s="570"/>
      <c r="G8363" s="570"/>
      <c r="H8363" s="570"/>
      <c r="I8363" s="570"/>
      <c r="J8363" s="570"/>
      <c r="K8363" s="570"/>
    </row>
    <row r="8364" ht="13.75" customHeight="1">
      <c r="A8364" s="833">
        <v>5</v>
      </c>
      <c r="B8364" t="s" s="834">
        <v>5233</v>
      </c>
      <c r="C8364" t="s" s="834">
        <v>617</v>
      </c>
      <c r="D8364" s="835">
        <v>46049</v>
      </c>
      <c r="E8364" s="836">
        <v>1.352650462962963</v>
      </c>
      <c r="F8364" s="836">
        <v>1.754618055555556</v>
      </c>
      <c r="G8364" s="570"/>
      <c r="H8364" s="570"/>
      <c r="I8364" s="570"/>
      <c r="J8364" s="570"/>
      <c r="K8364" s="570"/>
    </row>
    <row r="8365" ht="13.75" customHeight="1">
      <c r="A8365" t="s" s="834">
        <v>5260</v>
      </c>
      <c r="B8365" t="s" s="834">
        <v>5261</v>
      </c>
      <c r="C8365" t="s" s="834">
        <v>772</v>
      </c>
      <c r="D8365" s="570"/>
      <c r="E8365" s="570"/>
      <c r="F8365" s="570"/>
      <c r="G8365" s="570"/>
      <c r="H8365" s="570"/>
      <c r="I8365" s="570"/>
      <c r="J8365" s="570"/>
      <c r="K8365" s="570"/>
    </row>
    <row r="8366" ht="13.75" customHeight="1">
      <c r="A8366" s="833">
        <v>5</v>
      </c>
      <c r="B8366" t="s" s="834">
        <v>5233</v>
      </c>
      <c r="C8366" t="s" s="834">
        <v>617</v>
      </c>
      <c r="D8366" s="835">
        <v>46050</v>
      </c>
      <c r="E8366" s="836">
        <v>1.352372685185185</v>
      </c>
      <c r="F8366" s="836">
        <v>1.756226851851852</v>
      </c>
      <c r="G8366" s="570"/>
      <c r="H8366" s="570"/>
      <c r="I8366" s="570"/>
      <c r="J8366" s="570"/>
      <c r="K8366" s="570"/>
    </row>
    <row r="8367" ht="13.75" customHeight="1">
      <c r="A8367" t="s" s="834">
        <v>5262</v>
      </c>
      <c r="B8367" t="s" s="834">
        <v>5263</v>
      </c>
      <c r="C8367" t="s" s="834">
        <v>493</v>
      </c>
      <c r="D8367" s="570"/>
      <c r="E8367" s="570"/>
      <c r="F8367" s="570"/>
      <c r="G8367" s="570"/>
      <c r="H8367" s="570"/>
      <c r="I8367" s="570"/>
      <c r="J8367" s="570"/>
      <c r="K8367" s="570"/>
    </row>
    <row r="8368" ht="13.75" customHeight="1">
      <c r="A8368" s="833">
        <v>5</v>
      </c>
      <c r="B8368" t="s" s="834">
        <v>5233</v>
      </c>
      <c r="C8368" t="s" s="834">
        <v>617</v>
      </c>
      <c r="D8368" s="835">
        <v>46051</v>
      </c>
      <c r="E8368" s="836">
        <v>1.355625</v>
      </c>
      <c r="F8368" s="836">
        <v>1.508877314814815</v>
      </c>
      <c r="G8368" s="570"/>
      <c r="H8368" s="570"/>
      <c r="I8368" s="570"/>
      <c r="J8368" s="570"/>
      <c r="K8368" s="570"/>
    </row>
    <row r="8369" ht="13.75" customHeight="1">
      <c r="A8369" t="s" s="834">
        <v>5264</v>
      </c>
      <c r="B8369" t="s" s="834">
        <v>5265</v>
      </c>
      <c r="C8369" t="s" s="834">
        <v>5266</v>
      </c>
      <c r="D8369" s="570"/>
      <c r="E8369" s="570"/>
      <c r="F8369" s="570"/>
      <c r="G8369" s="570"/>
      <c r="H8369" s="570"/>
      <c r="I8369" s="570"/>
      <c r="J8369" s="570"/>
      <c r="K8369" s="570"/>
    </row>
    <row r="8370" ht="13.75" customHeight="1">
      <c r="A8370" s="833">
        <v>5</v>
      </c>
      <c r="B8370" t="s" s="834">
        <v>5233</v>
      </c>
      <c r="C8370" t="s" s="834">
        <v>617</v>
      </c>
      <c r="D8370" s="835">
        <v>46052</v>
      </c>
      <c r="E8370" t="s" s="834">
        <v>478</v>
      </c>
      <c r="F8370" t="s" s="834">
        <v>478</v>
      </c>
      <c r="G8370" s="570"/>
      <c r="H8370" s="570"/>
      <c r="I8370" s="570"/>
      <c r="J8370" s="570"/>
      <c r="K8370" s="570"/>
    </row>
    <row r="8371" ht="13.75" customHeight="1">
      <c r="A8371" s="833">
        <v>5</v>
      </c>
      <c r="B8371" t="s" s="834">
        <v>5233</v>
      </c>
      <c r="C8371" t="s" s="834">
        <v>617</v>
      </c>
      <c r="D8371" s="835">
        <v>46053</v>
      </c>
      <c r="E8371" t="s" s="834">
        <v>478</v>
      </c>
      <c r="F8371" t="s" s="834">
        <v>478</v>
      </c>
      <c r="G8371" s="570"/>
      <c r="H8371" s="570"/>
      <c r="I8371" s="570"/>
      <c r="J8371" s="570"/>
      <c r="K8371" s="570"/>
    </row>
    <row r="8372" ht="13.75" customHeight="1">
      <c r="A8372" s="833">
        <v>5</v>
      </c>
      <c r="B8372" t="s" s="834">
        <v>5233</v>
      </c>
      <c r="C8372" t="s" s="834">
        <v>617</v>
      </c>
      <c r="D8372" s="835">
        <v>46054</v>
      </c>
      <c r="E8372" t="s" s="834">
        <v>478</v>
      </c>
      <c r="F8372" t="s" s="834">
        <v>478</v>
      </c>
      <c r="G8372" s="570"/>
      <c r="H8372" s="570"/>
      <c r="I8372" s="570"/>
      <c r="J8372" s="570"/>
      <c r="K8372" s="570"/>
    </row>
    <row r="8373" ht="13.75" customHeight="1">
      <c r="A8373" s="833">
        <v>7</v>
      </c>
      <c r="B8373" t="s" s="834">
        <v>5267</v>
      </c>
      <c r="C8373" t="s" s="834">
        <v>1752</v>
      </c>
      <c r="D8373" s="835">
        <v>46023</v>
      </c>
      <c r="E8373" t="s" s="834">
        <v>478</v>
      </c>
      <c r="F8373" t="s" s="834">
        <v>478</v>
      </c>
      <c r="G8373" s="570"/>
      <c r="H8373" s="570"/>
      <c r="I8373" s="570"/>
      <c r="J8373" s="570"/>
      <c r="K8373" s="570"/>
    </row>
    <row r="8374" ht="13.75" customHeight="1">
      <c r="A8374" s="833">
        <v>7</v>
      </c>
      <c r="B8374" t="s" s="834">
        <v>5267</v>
      </c>
      <c r="C8374" t="s" s="834">
        <v>1752</v>
      </c>
      <c r="D8374" s="835">
        <v>46024</v>
      </c>
      <c r="E8374" t="s" s="834">
        <v>478</v>
      </c>
      <c r="F8374" t="s" s="834">
        <v>478</v>
      </c>
      <c r="G8374" s="570"/>
      <c r="H8374" s="570"/>
      <c r="I8374" s="570"/>
      <c r="J8374" s="570"/>
      <c r="K8374" s="570"/>
    </row>
    <row r="8375" ht="13.75" customHeight="1">
      <c r="A8375" s="833">
        <v>7</v>
      </c>
      <c r="B8375" t="s" s="834">
        <v>5267</v>
      </c>
      <c r="C8375" t="s" s="834">
        <v>1752</v>
      </c>
      <c r="D8375" s="835">
        <v>46025</v>
      </c>
      <c r="E8375" t="s" s="834">
        <v>478</v>
      </c>
      <c r="F8375" t="s" s="834">
        <v>478</v>
      </c>
      <c r="G8375" s="570"/>
      <c r="H8375" s="570"/>
      <c r="I8375" s="570"/>
      <c r="J8375" s="570"/>
      <c r="K8375" s="570"/>
    </row>
    <row r="8376" ht="13.75" customHeight="1">
      <c r="A8376" s="833">
        <v>7</v>
      </c>
      <c r="B8376" t="s" s="834">
        <v>5267</v>
      </c>
      <c r="C8376" t="s" s="834">
        <v>1752</v>
      </c>
      <c r="D8376" s="835">
        <v>46026</v>
      </c>
      <c r="E8376" t="s" s="834">
        <v>478</v>
      </c>
      <c r="F8376" t="s" s="834">
        <v>478</v>
      </c>
      <c r="G8376" s="570"/>
      <c r="H8376" s="570"/>
      <c r="I8376" s="570"/>
      <c r="J8376" s="570"/>
      <c r="K8376" s="570"/>
    </row>
    <row r="8377" ht="13.75" customHeight="1">
      <c r="A8377" s="833">
        <v>7</v>
      </c>
      <c r="B8377" t="s" s="834">
        <v>5267</v>
      </c>
      <c r="C8377" t="s" s="834">
        <v>1752</v>
      </c>
      <c r="D8377" s="835">
        <v>46027</v>
      </c>
      <c r="E8377" t="s" s="834">
        <v>478</v>
      </c>
      <c r="F8377" t="s" s="834">
        <v>478</v>
      </c>
      <c r="G8377" s="570"/>
      <c r="H8377" s="570"/>
      <c r="I8377" s="570"/>
      <c r="J8377" s="570"/>
      <c r="K8377" s="570"/>
    </row>
    <row r="8378" ht="13.75" customHeight="1">
      <c r="A8378" s="833">
        <v>7</v>
      </c>
      <c r="B8378" t="s" s="834">
        <v>5267</v>
      </c>
      <c r="C8378" t="s" s="834">
        <v>1752</v>
      </c>
      <c r="D8378" s="835">
        <v>46028</v>
      </c>
      <c r="E8378" t="s" s="834">
        <v>478</v>
      </c>
      <c r="F8378" t="s" s="834">
        <v>478</v>
      </c>
      <c r="G8378" s="570"/>
      <c r="H8378" s="570"/>
      <c r="I8378" s="570"/>
      <c r="J8378" s="570"/>
      <c r="K8378" s="570"/>
    </row>
    <row r="8379" ht="13.75" customHeight="1">
      <c r="A8379" s="833">
        <v>7</v>
      </c>
      <c r="B8379" t="s" s="834">
        <v>5267</v>
      </c>
      <c r="C8379" t="s" s="834">
        <v>1752</v>
      </c>
      <c r="D8379" s="835">
        <v>46029</v>
      </c>
      <c r="E8379" t="s" s="834">
        <v>478</v>
      </c>
      <c r="F8379" t="s" s="834">
        <v>478</v>
      </c>
      <c r="G8379" s="570"/>
      <c r="H8379" s="570"/>
      <c r="I8379" s="570"/>
      <c r="J8379" s="570"/>
      <c r="K8379" s="570"/>
    </row>
    <row r="8380" ht="13.75" customHeight="1">
      <c r="A8380" s="833">
        <v>7</v>
      </c>
      <c r="B8380" t="s" s="834">
        <v>5267</v>
      </c>
      <c r="C8380" t="s" s="834">
        <v>1752</v>
      </c>
      <c r="D8380" s="835">
        <v>46030</v>
      </c>
      <c r="E8380" t="s" s="834">
        <v>478</v>
      </c>
      <c r="F8380" t="s" s="834">
        <v>478</v>
      </c>
      <c r="G8380" s="570"/>
      <c r="H8380" s="570"/>
      <c r="I8380" s="570"/>
      <c r="J8380" s="570"/>
      <c r="K8380" s="570"/>
    </row>
    <row r="8381" ht="13.75" customHeight="1">
      <c r="A8381" s="833">
        <v>7</v>
      </c>
      <c r="B8381" t="s" s="834">
        <v>5267</v>
      </c>
      <c r="C8381" t="s" s="834">
        <v>1752</v>
      </c>
      <c r="D8381" s="835">
        <v>46031</v>
      </c>
      <c r="E8381" t="s" s="834">
        <v>478</v>
      </c>
      <c r="F8381" t="s" s="834">
        <v>478</v>
      </c>
      <c r="G8381" s="570"/>
      <c r="H8381" s="570"/>
      <c r="I8381" s="570"/>
      <c r="J8381" s="570"/>
      <c r="K8381" s="570"/>
    </row>
    <row r="8382" ht="13.75" customHeight="1">
      <c r="A8382" s="833">
        <v>7</v>
      </c>
      <c r="B8382" t="s" s="834">
        <v>5267</v>
      </c>
      <c r="C8382" t="s" s="834">
        <v>1752</v>
      </c>
      <c r="D8382" s="835">
        <v>46032</v>
      </c>
      <c r="E8382" t="s" s="834">
        <v>478</v>
      </c>
      <c r="F8382" t="s" s="834">
        <v>478</v>
      </c>
      <c r="G8382" s="570"/>
      <c r="H8382" s="570"/>
      <c r="I8382" s="570"/>
      <c r="J8382" s="570"/>
      <c r="K8382" s="570"/>
    </row>
    <row r="8383" ht="13.75" customHeight="1">
      <c r="A8383" s="833">
        <v>7</v>
      </c>
      <c r="B8383" t="s" s="834">
        <v>5267</v>
      </c>
      <c r="C8383" t="s" s="834">
        <v>1752</v>
      </c>
      <c r="D8383" s="835">
        <v>46033</v>
      </c>
      <c r="E8383" t="s" s="834">
        <v>478</v>
      </c>
      <c r="F8383" t="s" s="834">
        <v>478</v>
      </c>
      <c r="G8383" s="570"/>
      <c r="H8383" s="570"/>
      <c r="I8383" s="570"/>
      <c r="J8383" s="570"/>
      <c r="K8383" s="570"/>
    </row>
    <row r="8384" ht="13.75" customHeight="1">
      <c r="A8384" s="833">
        <v>7</v>
      </c>
      <c r="B8384" t="s" s="834">
        <v>5267</v>
      </c>
      <c r="C8384" t="s" s="834">
        <v>1752</v>
      </c>
      <c r="D8384" s="835">
        <v>46034</v>
      </c>
      <c r="E8384" t="s" s="834">
        <v>478</v>
      </c>
      <c r="F8384" t="s" s="834">
        <v>478</v>
      </c>
      <c r="G8384" s="570"/>
      <c r="H8384" s="570"/>
      <c r="I8384" s="570"/>
      <c r="J8384" s="570"/>
      <c r="K8384" s="570"/>
    </row>
    <row r="8385" ht="13.75" customHeight="1">
      <c r="A8385" s="833">
        <v>7</v>
      </c>
      <c r="B8385" t="s" s="834">
        <v>5267</v>
      </c>
      <c r="C8385" t="s" s="834">
        <v>1752</v>
      </c>
      <c r="D8385" s="835">
        <v>46035</v>
      </c>
      <c r="E8385" t="s" s="834">
        <v>478</v>
      </c>
      <c r="F8385" t="s" s="834">
        <v>478</v>
      </c>
      <c r="G8385" s="570"/>
      <c r="H8385" s="570"/>
      <c r="I8385" s="570"/>
      <c r="J8385" s="570"/>
      <c r="K8385" s="570"/>
    </row>
    <row r="8386" ht="13.75" customHeight="1">
      <c r="A8386" s="833">
        <v>7</v>
      </c>
      <c r="B8386" t="s" s="834">
        <v>5267</v>
      </c>
      <c r="C8386" t="s" s="834">
        <v>1752</v>
      </c>
      <c r="D8386" s="835">
        <v>46036</v>
      </c>
      <c r="E8386" t="s" s="834">
        <v>478</v>
      </c>
      <c r="F8386" t="s" s="834">
        <v>478</v>
      </c>
      <c r="G8386" s="570"/>
      <c r="H8386" s="570"/>
      <c r="I8386" s="570"/>
      <c r="J8386" s="570"/>
      <c r="K8386" s="570"/>
    </row>
    <row r="8387" ht="13.75" customHeight="1">
      <c r="A8387" s="833">
        <v>7</v>
      </c>
      <c r="B8387" t="s" s="834">
        <v>5267</v>
      </c>
      <c r="C8387" t="s" s="834">
        <v>1752</v>
      </c>
      <c r="D8387" s="835">
        <v>46037</v>
      </c>
      <c r="E8387" t="s" s="834">
        <v>478</v>
      </c>
      <c r="F8387" t="s" s="834">
        <v>478</v>
      </c>
      <c r="G8387" s="570"/>
      <c r="H8387" s="570"/>
      <c r="I8387" s="570"/>
      <c r="J8387" s="570"/>
      <c r="K8387" s="570"/>
    </row>
    <row r="8388" ht="13.75" customHeight="1">
      <c r="A8388" s="833">
        <v>7</v>
      </c>
      <c r="B8388" t="s" s="834">
        <v>5267</v>
      </c>
      <c r="C8388" t="s" s="834">
        <v>1752</v>
      </c>
      <c r="D8388" s="835">
        <v>46038</v>
      </c>
      <c r="E8388" t="s" s="834">
        <v>478</v>
      </c>
      <c r="F8388" t="s" s="834">
        <v>478</v>
      </c>
      <c r="G8388" s="570"/>
      <c r="H8388" s="570"/>
      <c r="I8388" s="570"/>
      <c r="J8388" s="570"/>
      <c r="K8388" s="570"/>
    </row>
    <row r="8389" ht="13.75" customHeight="1">
      <c r="A8389" s="833">
        <v>7</v>
      </c>
      <c r="B8389" t="s" s="834">
        <v>5267</v>
      </c>
      <c r="C8389" t="s" s="834">
        <v>1752</v>
      </c>
      <c r="D8389" s="835">
        <v>46039</v>
      </c>
      <c r="E8389" t="s" s="834">
        <v>478</v>
      </c>
      <c r="F8389" t="s" s="834">
        <v>478</v>
      </c>
      <c r="G8389" s="570"/>
      <c r="H8389" s="570"/>
      <c r="I8389" s="570"/>
      <c r="J8389" s="570"/>
      <c r="K8389" s="570"/>
    </row>
    <row r="8390" ht="13.75" customHeight="1">
      <c r="A8390" s="833">
        <v>7</v>
      </c>
      <c r="B8390" t="s" s="834">
        <v>5267</v>
      </c>
      <c r="C8390" t="s" s="834">
        <v>1752</v>
      </c>
      <c r="D8390" s="835">
        <v>46040</v>
      </c>
      <c r="E8390" t="s" s="834">
        <v>478</v>
      </c>
      <c r="F8390" t="s" s="834">
        <v>478</v>
      </c>
      <c r="G8390" s="570"/>
      <c r="H8390" s="570"/>
      <c r="I8390" s="570"/>
      <c r="J8390" s="570"/>
      <c r="K8390" s="570"/>
    </row>
    <row r="8391" ht="13.75" customHeight="1">
      <c r="A8391" s="833">
        <v>7</v>
      </c>
      <c r="B8391" t="s" s="834">
        <v>5267</v>
      </c>
      <c r="C8391" t="s" s="834">
        <v>1752</v>
      </c>
      <c r="D8391" s="835">
        <v>46041</v>
      </c>
      <c r="E8391" t="s" s="834">
        <v>478</v>
      </c>
      <c r="F8391" t="s" s="834">
        <v>478</v>
      </c>
      <c r="G8391" s="570"/>
      <c r="H8391" s="570"/>
      <c r="I8391" s="570"/>
      <c r="J8391" s="570"/>
      <c r="K8391" s="570"/>
    </row>
    <row r="8392" ht="13.75" customHeight="1">
      <c r="A8392" s="833">
        <v>7</v>
      </c>
      <c r="B8392" t="s" s="834">
        <v>5267</v>
      </c>
      <c r="C8392" t="s" s="834">
        <v>1752</v>
      </c>
      <c r="D8392" s="835">
        <v>46042</v>
      </c>
      <c r="E8392" t="s" s="834">
        <v>478</v>
      </c>
      <c r="F8392" t="s" s="834">
        <v>478</v>
      </c>
      <c r="G8392" s="570"/>
      <c r="H8392" s="570"/>
      <c r="I8392" s="570"/>
      <c r="J8392" s="570"/>
      <c r="K8392" s="570"/>
    </row>
    <row r="8393" ht="13.75" customHeight="1">
      <c r="A8393" s="833">
        <v>7</v>
      </c>
      <c r="B8393" t="s" s="834">
        <v>5267</v>
      </c>
      <c r="C8393" t="s" s="834">
        <v>1752</v>
      </c>
      <c r="D8393" s="835">
        <v>46043</v>
      </c>
      <c r="E8393" t="s" s="834">
        <v>478</v>
      </c>
      <c r="F8393" t="s" s="834">
        <v>478</v>
      </c>
      <c r="G8393" s="570"/>
      <c r="H8393" s="570"/>
      <c r="I8393" s="570"/>
      <c r="J8393" s="570"/>
      <c r="K8393" s="570"/>
    </row>
    <row r="8394" ht="13.75" customHeight="1">
      <c r="A8394" s="833">
        <v>7</v>
      </c>
      <c r="B8394" t="s" s="834">
        <v>5267</v>
      </c>
      <c r="C8394" t="s" s="834">
        <v>1752</v>
      </c>
      <c r="D8394" s="835">
        <v>46044</v>
      </c>
      <c r="E8394" t="s" s="834">
        <v>478</v>
      </c>
      <c r="F8394" t="s" s="834">
        <v>478</v>
      </c>
      <c r="G8394" s="570"/>
      <c r="H8394" s="570"/>
      <c r="I8394" s="570"/>
      <c r="J8394" s="570"/>
      <c r="K8394" s="570"/>
    </row>
    <row r="8395" ht="13.75" customHeight="1">
      <c r="A8395" s="833">
        <v>7</v>
      </c>
      <c r="B8395" t="s" s="834">
        <v>5267</v>
      </c>
      <c r="C8395" t="s" s="834">
        <v>1752</v>
      </c>
      <c r="D8395" s="835">
        <v>46045</v>
      </c>
      <c r="E8395" t="s" s="834">
        <v>478</v>
      </c>
      <c r="F8395" t="s" s="834">
        <v>478</v>
      </c>
      <c r="G8395" s="570"/>
      <c r="H8395" s="570"/>
      <c r="I8395" s="570"/>
      <c r="J8395" s="570"/>
      <c r="K8395" s="570"/>
    </row>
    <row r="8396" ht="13.75" customHeight="1">
      <c r="A8396" s="833">
        <v>7</v>
      </c>
      <c r="B8396" t="s" s="834">
        <v>5267</v>
      </c>
      <c r="C8396" t="s" s="834">
        <v>1752</v>
      </c>
      <c r="D8396" s="835">
        <v>46046</v>
      </c>
      <c r="E8396" t="s" s="834">
        <v>478</v>
      </c>
      <c r="F8396" t="s" s="834">
        <v>478</v>
      </c>
      <c r="G8396" s="570"/>
      <c r="H8396" s="570"/>
      <c r="I8396" s="570"/>
      <c r="J8396" s="570"/>
      <c r="K8396" s="570"/>
    </row>
    <row r="8397" ht="13.75" customHeight="1">
      <c r="A8397" s="833">
        <v>7</v>
      </c>
      <c r="B8397" t="s" s="834">
        <v>5267</v>
      </c>
      <c r="C8397" t="s" s="834">
        <v>1752</v>
      </c>
      <c r="D8397" s="835">
        <v>46047</v>
      </c>
      <c r="E8397" t="s" s="834">
        <v>478</v>
      </c>
      <c r="F8397" t="s" s="834">
        <v>478</v>
      </c>
      <c r="G8397" s="570"/>
      <c r="H8397" s="570"/>
      <c r="I8397" s="570"/>
      <c r="J8397" s="570"/>
      <c r="K8397" s="570"/>
    </row>
    <row r="8398" ht="13.75" customHeight="1">
      <c r="A8398" s="833">
        <v>7</v>
      </c>
      <c r="B8398" t="s" s="834">
        <v>5267</v>
      </c>
      <c r="C8398" t="s" s="834">
        <v>1752</v>
      </c>
      <c r="D8398" s="835">
        <v>46048</v>
      </c>
      <c r="E8398" t="s" s="834">
        <v>478</v>
      </c>
      <c r="F8398" t="s" s="834">
        <v>478</v>
      </c>
      <c r="G8398" s="570"/>
      <c r="H8398" s="570"/>
      <c r="I8398" s="570"/>
      <c r="J8398" s="570"/>
      <c r="K8398" s="570"/>
    </row>
    <row r="8399" ht="13.75" customHeight="1">
      <c r="A8399" s="833">
        <v>7</v>
      </c>
      <c r="B8399" t="s" s="834">
        <v>5267</v>
      </c>
      <c r="C8399" t="s" s="834">
        <v>1752</v>
      </c>
      <c r="D8399" s="835">
        <v>46049</v>
      </c>
      <c r="E8399" t="s" s="834">
        <v>478</v>
      </c>
      <c r="F8399" t="s" s="834">
        <v>478</v>
      </c>
      <c r="G8399" s="570"/>
      <c r="H8399" s="570"/>
      <c r="I8399" s="570"/>
      <c r="J8399" s="570"/>
      <c r="K8399" s="570"/>
    </row>
    <row r="8400" ht="13.75" customHeight="1">
      <c r="A8400" s="833">
        <v>7</v>
      </c>
      <c r="B8400" t="s" s="834">
        <v>5267</v>
      </c>
      <c r="C8400" t="s" s="834">
        <v>1752</v>
      </c>
      <c r="D8400" s="835">
        <v>46050</v>
      </c>
      <c r="E8400" t="s" s="834">
        <v>478</v>
      </c>
      <c r="F8400" t="s" s="834">
        <v>478</v>
      </c>
      <c r="G8400" s="570"/>
      <c r="H8400" s="570"/>
      <c r="I8400" s="570"/>
      <c r="J8400" s="570"/>
      <c r="K8400" s="570"/>
    </row>
    <row r="8401" ht="13.75" customHeight="1">
      <c r="A8401" s="833">
        <v>7</v>
      </c>
      <c r="B8401" t="s" s="834">
        <v>5267</v>
      </c>
      <c r="C8401" t="s" s="834">
        <v>1752</v>
      </c>
      <c r="D8401" s="835">
        <v>46051</v>
      </c>
      <c r="E8401" t="s" s="834">
        <v>478</v>
      </c>
      <c r="F8401" t="s" s="834">
        <v>478</v>
      </c>
      <c r="G8401" s="570"/>
      <c r="H8401" s="570"/>
      <c r="I8401" s="570"/>
      <c r="J8401" s="570"/>
      <c r="K8401" s="570"/>
    </row>
    <row r="8402" ht="13.75" customHeight="1">
      <c r="A8402" s="833">
        <v>7</v>
      </c>
      <c r="B8402" t="s" s="834">
        <v>5267</v>
      </c>
      <c r="C8402" t="s" s="834">
        <v>1752</v>
      </c>
      <c r="D8402" s="835">
        <v>46052</v>
      </c>
      <c r="E8402" t="s" s="834">
        <v>478</v>
      </c>
      <c r="F8402" t="s" s="834">
        <v>478</v>
      </c>
      <c r="G8402" s="570"/>
      <c r="H8402" s="570"/>
      <c r="I8402" s="570"/>
      <c r="J8402" s="570"/>
      <c r="K8402" s="570"/>
    </row>
    <row r="8403" ht="13.75" customHeight="1">
      <c r="A8403" s="833">
        <v>7</v>
      </c>
      <c r="B8403" t="s" s="834">
        <v>5267</v>
      </c>
      <c r="C8403" t="s" s="834">
        <v>1752</v>
      </c>
      <c r="D8403" s="835">
        <v>46053</v>
      </c>
      <c r="E8403" t="s" s="834">
        <v>478</v>
      </c>
      <c r="F8403" t="s" s="834">
        <v>478</v>
      </c>
      <c r="G8403" s="570"/>
      <c r="H8403" s="570"/>
      <c r="I8403" s="570"/>
      <c r="J8403" s="570"/>
      <c r="K8403" s="570"/>
    </row>
    <row r="8404" ht="13.75" customHeight="1">
      <c r="A8404" s="833">
        <v>7</v>
      </c>
      <c r="B8404" t="s" s="834">
        <v>5267</v>
      </c>
      <c r="C8404" t="s" s="834">
        <v>1752</v>
      </c>
      <c r="D8404" s="835">
        <v>46054</v>
      </c>
      <c r="E8404" t="s" s="834">
        <v>478</v>
      </c>
      <c r="F8404" t="s" s="834">
        <v>478</v>
      </c>
      <c r="G8404" s="570"/>
      <c r="H8404" s="570"/>
      <c r="I8404" s="570"/>
      <c r="J8404" s="570"/>
      <c r="K8404" s="570"/>
    </row>
    <row r="8405" ht="13.75" customHeight="1">
      <c r="A8405" s="833">
        <v>8</v>
      </c>
      <c r="B8405" t="s" s="834">
        <v>5268</v>
      </c>
      <c r="C8405" t="s" s="834">
        <v>617</v>
      </c>
      <c r="D8405" s="835">
        <v>46023</v>
      </c>
      <c r="E8405" t="s" s="834">
        <v>478</v>
      </c>
      <c r="F8405" t="s" s="834">
        <v>478</v>
      </c>
      <c r="G8405" s="570"/>
      <c r="H8405" s="570"/>
      <c r="I8405" s="570"/>
      <c r="J8405" s="570"/>
      <c r="K8405" s="570"/>
    </row>
    <row r="8406" ht="13.75" customHeight="1">
      <c r="A8406" s="833">
        <v>8</v>
      </c>
      <c r="B8406" t="s" s="834">
        <v>5268</v>
      </c>
      <c r="C8406" t="s" s="834">
        <v>617</v>
      </c>
      <c r="D8406" s="835">
        <v>46024</v>
      </c>
      <c r="E8406" t="s" s="834">
        <v>478</v>
      </c>
      <c r="F8406" t="s" s="834">
        <v>478</v>
      </c>
      <c r="G8406" s="570"/>
      <c r="H8406" s="570"/>
      <c r="I8406" s="570"/>
      <c r="J8406" s="570"/>
      <c r="K8406" s="570"/>
    </row>
    <row r="8407" ht="13.75" customHeight="1">
      <c r="A8407" s="833">
        <v>8</v>
      </c>
      <c r="B8407" t="s" s="834">
        <v>5268</v>
      </c>
      <c r="C8407" t="s" s="834">
        <v>617</v>
      </c>
      <c r="D8407" s="835">
        <v>46025</v>
      </c>
      <c r="E8407" t="s" s="834">
        <v>478</v>
      </c>
      <c r="F8407" t="s" s="834">
        <v>478</v>
      </c>
      <c r="G8407" s="570"/>
      <c r="H8407" s="570"/>
      <c r="I8407" s="570"/>
      <c r="J8407" s="570"/>
      <c r="K8407" s="570"/>
    </row>
    <row r="8408" ht="13.75" customHeight="1">
      <c r="A8408" s="833">
        <v>8</v>
      </c>
      <c r="B8408" t="s" s="834">
        <v>5268</v>
      </c>
      <c r="C8408" t="s" s="834">
        <v>617</v>
      </c>
      <c r="D8408" s="835">
        <v>46026</v>
      </c>
      <c r="E8408" t="s" s="834">
        <v>478</v>
      </c>
      <c r="F8408" t="s" s="834">
        <v>478</v>
      </c>
      <c r="G8408" s="570"/>
      <c r="H8408" s="570"/>
      <c r="I8408" s="570"/>
      <c r="J8408" s="570"/>
      <c r="K8408" s="570"/>
    </row>
    <row r="8409" ht="13.75" customHeight="1">
      <c r="A8409" s="833">
        <v>8</v>
      </c>
      <c r="B8409" t="s" s="834">
        <v>5268</v>
      </c>
      <c r="C8409" t="s" s="834">
        <v>617</v>
      </c>
      <c r="D8409" s="835">
        <v>46027</v>
      </c>
      <c r="E8409" t="s" s="834">
        <v>478</v>
      </c>
      <c r="F8409" t="s" s="834">
        <v>478</v>
      </c>
      <c r="G8409" s="570"/>
      <c r="H8409" s="570"/>
      <c r="I8409" s="570"/>
      <c r="J8409" s="570"/>
      <c r="K8409" s="570"/>
    </row>
    <row r="8410" ht="13.75" customHeight="1">
      <c r="A8410" s="833">
        <v>8</v>
      </c>
      <c r="B8410" t="s" s="834">
        <v>5268</v>
      </c>
      <c r="C8410" t="s" s="834">
        <v>617</v>
      </c>
      <c r="D8410" s="835">
        <v>46028</v>
      </c>
      <c r="E8410" s="836">
        <v>1.339050925925926</v>
      </c>
      <c r="F8410" s="836">
        <v>1.751504629629629</v>
      </c>
      <c r="G8410" s="570"/>
      <c r="H8410" s="570"/>
      <c r="I8410" s="570"/>
      <c r="J8410" s="570"/>
      <c r="K8410" s="570"/>
    </row>
    <row r="8411" ht="13.75" customHeight="1">
      <c r="A8411" t="s" s="834">
        <v>5269</v>
      </c>
      <c r="B8411" t="s" s="834">
        <v>5270</v>
      </c>
      <c r="C8411" t="s" s="834">
        <v>1059</v>
      </c>
      <c r="D8411" s="570"/>
      <c r="E8411" s="570"/>
      <c r="F8411" s="570"/>
      <c r="G8411" s="570"/>
      <c r="H8411" s="570"/>
      <c r="I8411" s="570"/>
      <c r="J8411" s="570"/>
      <c r="K8411" s="570"/>
    </row>
    <row r="8412" ht="13.75" customHeight="1">
      <c r="A8412" s="833">
        <v>8</v>
      </c>
      <c r="B8412" t="s" s="834">
        <v>5268</v>
      </c>
      <c r="C8412" t="s" s="834">
        <v>617</v>
      </c>
      <c r="D8412" s="835">
        <v>46029</v>
      </c>
      <c r="E8412" s="836">
        <v>1.340243055555556</v>
      </c>
      <c r="F8412" s="836">
        <v>1.751226851851852</v>
      </c>
      <c r="G8412" s="570"/>
      <c r="H8412" s="570"/>
      <c r="I8412" s="570"/>
      <c r="J8412" s="570"/>
      <c r="K8412" s="570"/>
    </row>
    <row r="8413" ht="13.75" customHeight="1">
      <c r="A8413" t="s" s="834">
        <v>5271</v>
      </c>
      <c r="B8413" t="s" s="834">
        <v>5272</v>
      </c>
      <c r="C8413" t="s" s="834">
        <v>850</v>
      </c>
      <c r="D8413" s="570"/>
      <c r="E8413" s="570"/>
      <c r="F8413" s="570"/>
      <c r="G8413" s="570"/>
      <c r="H8413" s="570"/>
      <c r="I8413" s="570"/>
      <c r="J8413" s="570"/>
      <c r="K8413" s="570"/>
    </row>
    <row r="8414" ht="13.75" customHeight="1">
      <c r="A8414" s="833">
        <v>8</v>
      </c>
      <c r="B8414" t="s" s="834">
        <v>5268</v>
      </c>
      <c r="C8414" t="s" s="834">
        <v>617</v>
      </c>
      <c r="D8414" s="835">
        <v>46030</v>
      </c>
      <c r="E8414" s="836">
        <v>1.342430555555556</v>
      </c>
      <c r="F8414" s="836">
        <v>1.751087962962963</v>
      </c>
      <c r="G8414" s="570"/>
      <c r="H8414" s="570"/>
      <c r="I8414" s="570"/>
      <c r="J8414" s="570"/>
      <c r="K8414" s="570"/>
    </row>
    <row r="8415" ht="13.75" customHeight="1">
      <c r="A8415" t="s" s="834">
        <v>5273</v>
      </c>
      <c r="B8415" t="s" s="834">
        <v>5274</v>
      </c>
      <c r="C8415" t="s" s="834">
        <v>1330</v>
      </c>
      <c r="D8415" s="570"/>
      <c r="E8415" s="570"/>
      <c r="F8415" s="570"/>
      <c r="G8415" s="570"/>
      <c r="H8415" s="570"/>
      <c r="I8415" s="570"/>
      <c r="J8415" s="570"/>
      <c r="K8415" s="570"/>
    </row>
    <row r="8416" ht="13.75" customHeight="1">
      <c r="A8416" s="833">
        <v>8</v>
      </c>
      <c r="B8416" t="s" s="834">
        <v>5268</v>
      </c>
      <c r="C8416" t="s" s="834">
        <v>617</v>
      </c>
      <c r="D8416" s="835">
        <v>46031</v>
      </c>
      <c r="E8416" t="s" s="834">
        <v>478</v>
      </c>
      <c r="F8416" t="s" s="834">
        <v>478</v>
      </c>
      <c r="G8416" s="570"/>
      <c r="H8416" s="570"/>
      <c r="I8416" s="570"/>
      <c r="J8416" s="570"/>
      <c r="K8416" s="570"/>
    </row>
    <row r="8417" ht="13.75" customHeight="1">
      <c r="A8417" s="833">
        <v>8</v>
      </c>
      <c r="B8417" t="s" s="834">
        <v>5268</v>
      </c>
      <c r="C8417" t="s" s="834">
        <v>617</v>
      </c>
      <c r="D8417" s="835">
        <v>46032</v>
      </c>
      <c r="E8417" t="s" s="834">
        <v>478</v>
      </c>
      <c r="F8417" t="s" s="834">
        <v>478</v>
      </c>
      <c r="G8417" s="570"/>
      <c r="H8417" s="570"/>
      <c r="I8417" s="570"/>
      <c r="J8417" s="570"/>
      <c r="K8417" s="570"/>
    </row>
    <row r="8418" ht="13.75" customHeight="1">
      <c r="A8418" s="833">
        <v>8</v>
      </c>
      <c r="B8418" t="s" s="834">
        <v>5268</v>
      </c>
      <c r="C8418" t="s" s="834">
        <v>617</v>
      </c>
      <c r="D8418" s="835">
        <v>46033</v>
      </c>
      <c r="E8418" t="s" s="834">
        <v>478</v>
      </c>
      <c r="F8418" t="s" s="834">
        <v>478</v>
      </c>
      <c r="G8418" s="570"/>
      <c r="H8418" s="570"/>
      <c r="I8418" s="570"/>
      <c r="J8418" s="570"/>
      <c r="K8418" s="570"/>
    </row>
    <row r="8419" ht="13.75" customHeight="1">
      <c r="A8419" s="833">
        <v>8</v>
      </c>
      <c r="B8419" t="s" s="834">
        <v>5268</v>
      </c>
      <c r="C8419" t="s" s="834">
        <v>617</v>
      </c>
      <c r="D8419" s="835">
        <v>46034</v>
      </c>
      <c r="E8419" s="836">
        <v>1.341516203703704</v>
      </c>
      <c r="F8419" s="836">
        <v>1.751157407407407</v>
      </c>
      <c r="G8419" s="570"/>
      <c r="H8419" s="570"/>
      <c r="I8419" s="570"/>
      <c r="J8419" s="570"/>
      <c r="K8419" s="570"/>
    </row>
    <row r="8420" ht="13.75" customHeight="1">
      <c r="A8420" t="s" s="834">
        <v>5275</v>
      </c>
      <c r="B8420" t="s" s="834">
        <v>5276</v>
      </c>
      <c r="C8420" t="s" s="834">
        <v>1119</v>
      </c>
      <c r="D8420" s="570"/>
      <c r="E8420" s="570"/>
      <c r="F8420" s="570"/>
      <c r="G8420" s="570"/>
      <c r="H8420" s="570"/>
      <c r="I8420" s="570"/>
      <c r="J8420" s="570"/>
      <c r="K8420" s="570"/>
    </row>
    <row r="8421" ht="13.75" customHeight="1">
      <c r="A8421" s="833">
        <v>8</v>
      </c>
      <c r="B8421" t="s" s="834">
        <v>5268</v>
      </c>
      <c r="C8421" t="s" s="834">
        <v>617</v>
      </c>
      <c r="D8421" s="835">
        <v>46035</v>
      </c>
      <c r="E8421" s="836">
        <v>1.341446759259259</v>
      </c>
      <c r="F8421" s="836">
        <v>1.752060185185185</v>
      </c>
      <c r="G8421" s="570"/>
      <c r="H8421" s="570"/>
      <c r="I8421" s="570"/>
      <c r="J8421" s="570"/>
      <c r="K8421" s="570"/>
    </row>
    <row r="8422" ht="13.75" customHeight="1">
      <c r="A8422" t="s" s="834">
        <v>5277</v>
      </c>
      <c r="B8422" t="s" s="834">
        <v>5278</v>
      </c>
      <c r="C8422" t="s" s="834">
        <v>1252</v>
      </c>
      <c r="D8422" s="570"/>
      <c r="E8422" s="570"/>
      <c r="F8422" s="570"/>
      <c r="G8422" s="570"/>
      <c r="H8422" s="570"/>
      <c r="I8422" s="570"/>
      <c r="J8422" s="570"/>
      <c r="K8422" s="570"/>
    </row>
    <row r="8423" ht="13.75" customHeight="1">
      <c r="A8423" s="833">
        <v>8</v>
      </c>
      <c r="B8423" t="s" s="834">
        <v>5268</v>
      </c>
      <c r="C8423" t="s" s="834">
        <v>617</v>
      </c>
      <c r="D8423" s="835">
        <v>46036</v>
      </c>
      <c r="E8423" s="836">
        <v>1.338657407407407</v>
      </c>
      <c r="F8423" s="836">
        <v>1.751064814814815</v>
      </c>
      <c r="G8423" s="570"/>
      <c r="H8423" s="570"/>
      <c r="I8423" s="570"/>
      <c r="J8423" s="570"/>
      <c r="K8423" s="570"/>
    </row>
    <row r="8424" ht="13.75" customHeight="1">
      <c r="A8424" t="s" s="834">
        <v>5279</v>
      </c>
      <c r="B8424" t="s" s="834">
        <v>5280</v>
      </c>
      <c r="C8424" t="s" s="834">
        <v>1059</v>
      </c>
      <c r="D8424" s="570"/>
      <c r="E8424" s="570"/>
      <c r="F8424" s="570"/>
      <c r="G8424" s="570"/>
      <c r="H8424" s="570"/>
      <c r="I8424" s="570"/>
      <c r="J8424" s="570"/>
      <c r="K8424" s="570"/>
    </row>
    <row r="8425" ht="13.75" customHeight="1">
      <c r="A8425" s="833">
        <v>8</v>
      </c>
      <c r="B8425" t="s" s="834">
        <v>5268</v>
      </c>
      <c r="C8425" t="s" s="834">
        <v>617</v>
      </c>
      <c r="D8425" s="835">
        <v>46037</v>
      </c>
      <c r="E8425" t="s" s="834">
        <v>478</v>
      </c>
      <c r="F8425" t="s" s="834">
        <v>478</v>
      </c>
      <c r="G8425" s="570"/>
      <c r="H8425" s="570"/>
      <c r="I8425" s="570"/>
      <c r="J8425" s="570"/>
      <c r="K8425" s="570"/>
    </row>
    <row r="8426" ht="13.75" customHeight="1">
      <c r="A8426" s="833">
        <v>8</v>
      </c>
      <c r="B8426" t="s" s="834">
        <v>5268</v>
      </c>
      <c r="C8426" t="s" s="834">
        <v>617</v>
      </c>
      <c r="D8426" s="835">
        <v>46038</v>
      </c>
      <c r="E8426" t="s" s="834">
        <v>478</v>
      </c>
      <c r="F8426" t="s" s="834">
        <v>478</v>
      </c>
      <c r="G8426" s="570"/>
      <c r="H8426" s="570"/>
      <c r="I8426" s="570"/>
      <c r="J8426" s="570"/>
      <c r="K8426" s="570"/>
    </row>
    <row r="8427" ht="13.75" customHeight="1">
      <c r="A8427" s="833">
        <v>8</v>
      </c>
      <c r="B8427" t="s" s="834">
        <v>5268</v>
      </c>
      <c r="C8427" t="s" s="834">
        <v>617</v>
      </c>
      <c r="D8427" s="835">
        <v>46039</v>
      </c>
      <c r="E8427" t="s" s="834">
        <v>478</v>
      </c>
      <c r="F8427" t="s" s="834">
        <v>478</v>
      </c>
      <c r="G8427" s="570"/>
      <c r="H8427" s="570"/>
      <c r="I8427" s="570"/>
      <c r="J8427" s="570"/>
      <c r="K8427" s="570"/>
    </row>
    <row r="8428" ht="13.75" customHeight="1">
      <c r="A8428" s="833">
        <v>8</v>
      </c>
      <c r="B8428" t="s" s="834">
        <v>5268</v>
      </c>
      <c r="C8428" t="s" s="834">
        <v>617</v>
      </c>
      <c r="D8428" s="835">
        <v>46040</v>
      </c>
      <c r="E8428" t="s" s="834">
        <v>478</v>
      </c>
      <c r="F8428" t="s" s="834">
        <v>478</v>
      </c>
      <c r="G8428" s="570"/>
      <c r="H8428" s="570"/>
      <c r="I8428" s="570"/>
      <c r="J8428" s="570"/>
      <c r="K8428" s="570"/>
    </row>
    <row r="8429" ht="13.75" customHeight="1">
      <c r="A8429" s="833">
        <v>8</v>
      </c>
      <c r="B8429" t="s" s="834">
        <v>5268</v>
      </c>
      <c r="C8429" t="s" s="834">
        <v>617</v>
      </c>
      <c r="D8429" s="835">
        <v>46041</v>
      </c>
      <c r="E8429" s="836">
        <v>1.338993055555556</v>
      </c>
      <c r="F8429" s="836">
        <v>1.751018518518519</v>
      </c>
      <c r="G8429" s="570"/>
      <c r="H8429" s="570"/>
      <c r="I8429" s="570"/>
      <c r="J8429" s="570"/>
      <c r="K8429" s="570"/>
    </row>
    <row r="8430" ht="13.75" customHeight="1">
      <c r="A8430" t="s" s="834">
        <v>5281</v>
      </c>
      <c r="B8430" t="s" s="834">
        <v>5282</v>
      </c>
      <c r="C8430" t="s" s="834">
        <v>597</v>
      </c>
      <c r="D8430" s="570"/>
      <c r="E8430" s="570"/>
      <c r="F8430" s="570"/>
      <c r="G8430" s="570"/>
      <c r="H8430" s="570"/>
      <c r="I8430" s="570"/>
      <c r="J8430" s="570"/>
      <c r="K8430" s="570"/>
    </row>
    <row r="8431" ht="13.75" customHeight="1">
      <c r="A8431" s="833">
        <v>8</v>
      </c>
      <c r="B8431" t="s" s="834">
        <v>5268</v>
      </c>
      <c r="C8431" t="s" s="834">
        <v>617</v>
      </c>
      <c r="D8431" s="835">
        <v>46042</v>
      </c>
      <c r="E8431" s="836">
        <v>1.342407407407407</v>
      </c>
      <c r="F8431" s="836">
        <v>1.751678240740741</v>
      </c>
      <c r="G8431" s="570"/>
      <c r="H8431" s="570"/>
      <c r="I8431" s="570"/>
      <c r="J8431" s="570"/>
      <c r="K8431" s="570"/>
    </row>
    <row r="8432" ht="13.75" customHeight="1">
      <c r="A8432" t="s" s="834">
        <v>5283</v>
      </c>
      <c r="B8432" t="s" s="834">
        <v>5284</v>
      </c>
      <c r="C8432" t="s" s="834">
        <v>600</v>
      </c>
      <c r="D8432" s="570"/>
      <c r="E8432" s="570"/>
      <c r="F8432" s="570"/>
      <c r="G8432" s="570"/>
      <c r="H8432" s="570"/>
      <c r="I8432" s="570"/>
      <c r="J8432" s="570"/>
      <c r="K8432" s="570"/>
    </row>
    <row r="8433" ht="13.75" customHeight="1">
      <c r="A8433" s="833">
        <v>8</v>
      </c>
      <c r="B8433" t="s" s="834">
        <v>5268</v>
      </c>
      <c r="C8433" t="s" s="834">
        <v>617</v>
      </c>
      <c r="D8433" s="835">
        <v>46043</v>
      </c>
      <c r="E8433" s="836">
        <v>1.339953703703704</v>
      </c>
      <c r="F8433" s="836">
        <v>1.750833333333333</v>
      </c>
      <c r="G8433" s="570"/>
      <c r="H8433" s="570"/>
      <c r="I8433" s="570"/>
      <c r="J8433" s="570"/>
      <c r="K8433" s="570"/>
    </row>
    <row r="8434" ht="13.75" customHeight="1">
      <c r="A8434" t="s" s="834">
        <v>5285</v>
      </c>
      <c r="B8434" t="s" s="834">
        <v>5286</v>
      </c>
      <c r="C8434" t="s" s="834">
        <v>850</v>
      </c>
      <c r="D8434" s="570"/>
      <c r="E8434" s="570"/>
      <c r="F8434" s="570"/>
      <c r="G8434" s="570"/>
      <c r="H8434" s="570"/>
      <c r="I8434" s="570"/>
      <c r="J8434" s="570"/>
      <c r="K8434" s="570"/>
    </row>
    <row r="8435" ht="13.75" customHeight="1">
      <c r="A8435" s="833">
        <v>8</v>
      </c>
      <c r="B8435" t="s" s="834">
        <v>5268</v>
      </c>
      <c r="C8435" t="s" s="834">
        <v>617</v>
      </c>
      <c r="D8435" s="835">
        <v>46044</v>
      </c>
      <c r="E8435" s="836">
        <v>1.342280092592593</v>
      </c>
      <c r="F8435" s="836">
        <v>1.751284722222222</v>
      </c>
      <c r="G8435" s="570"/>
      <c r="H8435" s="570"/>
      <c r="I8435" s="570"/>
      <c r="J8435" s="570"/>
      <c r="K8435" s="570"/>
    </row>
    <row r="8436" ht="13.75" customHeight="1">
      <c r="A8436" t="s" s="834">
        <v>5287</v>
      </c>
      <c r="B8436" t="s" s="834">
        <v>5288</v>
      </c>
      <c r="C8436" t="s" s="834">
        <v>600</v>
      </c>
      <c r="D8436" s="570"/>
      <c r="E8436" s="570"/>
      <c r="F8436" s="570"/>
      <c r="G8436" s="570"/>
      <c r="H8436" s="570"/>
      <c r="I8436" s="570"/>
      <c r="J8436" s="570"/>
      <c r="K8436" s="570"/>
    </row>
    <row r="8437" ht="13.75" customHeight="1">
      <c r="A8437" s="833">
        <v>8</v>
      </c>
      <c r="B8437" t="s" s="834">
        <v>5268</v>
      </c>
      <c r="C8437" t="s" s="834">
        <v>617</v>
      </c>
      <c r="D8437" s="835">
        <v>46045</v>
      </c>
      <c r="E8437" t="s" s="834">
        <v>478</v>
      </c>
      <c r="F8437" t="s" s="834">
        <v>478</v>
      </c>
      <c r="G8437" s="570"/>
      <c r="H8437" s="570"/>
      <c r="I8437" s="570"/>
      <c r="J8437" s="570"/>
      <c r="K8437" s="570"/>
    </row>
    <row r="8438" ht="13.75" customHeight="1">
      <c r="A8438" s="833">
        <v>8</v>
      </c>
      <c r="B8438" t="s" s="834">
        <v>5268</v>
      </c>
      <c r="C8438" t="s" s="834">
        <v>617</v>
      </c>
      <c r="D8438" s="835">
        <v>46046</v>
      </c>
      <c r="E8438" t="s" s="834">
        <v>478</v>
      </c>
      <c r="F8438" t="s" s="834">
        <v>478</v>
      </c>
      <c r="G8438" s="570"/>
      <c r="H8438" s="570"/>
      <c r="I8438" s="570"/>
      <c r="J8438" s="570"/>
      <c r="K8438" s="570"/>
    </row>
    <row r="8439" ht="13.75" customHeight="1">
      <c r="A8439" s="833">
        <v>8</v>
      </c>
      <c r="B8439" t="s" s="834">
        <v>5268</v>
      </c>
      <c r="C8439" t="s" s="834">
        <v>617</v>
      </c>
      <c r="D8439" s="835">
        <v>46047</v>
      </c>
      <c r="E8439" t="s" s="834">
        <v>478</v>
      </c>
      <c r="F8439" t="s" s="834">
        <v>478</v>
      </c>
      <c r="G8439" s="570"/>
      <c r="H8439" s="570"/>
      <c r="I8439" s="570"/>
      <c r="J8439" s="570"/>
      <c r="K8439" s="570"/>
    </row>
    <row r="8440" ht="13.75" customHeight="1">
      <c r="A8440" s="833">
        <v>8</v>
      </c>
      <c r="B8440" t="s" s="834">
        <v>5268</v>
      </c>
      <c r="C8440" t="s" s="834">
        <v>617</v>
      </c>
      <c r="D8440" s="835">
        <v>46048</v>
      </c>
      <c r="E8440" s="836">
        <v>1.341180555555556</v>
      </c>
      <c r="F8440" s="836">
        <v>1.751273148148148</v>
      </c>
      <c r="G8440" s="570"/>
      <c r="H8440" s="570"/>
      <c r="I8440" s="570"/>
      <c r="J8440" s="570"/>
      <c r="K8440" s="570"/>
    </row>
    <row r="8441" ht="13.75" customHeight="1">
      <c r="A8441" t="s" s="834">
        <v>5289</v>
      </c>
      <c r="B8441" t="s" s="834">
        <v>5290</v>
      </c>
      <c r="C8441" t="s" s="834">
        <v>1252</v>
      </c>
      <c r="D8441" s="570"/>
      <c r="E8441" s="570"/>
      <c r="F8441" s="570"/>
      <c r="G8441" s="570"/>
      <c r="H8441" s="570"/>
      <c r="I8441" s="570"/>
      <c r="J8441" s="570"/>
      <c r="K8441" s="570"/>
    </row>
    <row r="8442" ht="13.75" customHeight="1">
      <c r="A8442" s="833">
        <v>8</v>
      </c>
      <c r="B8442" t="s" s="834">
        <v>5268</v>
      </c>
      <c r="C8442" t="s" s="834">
        <v>617</v>
      </c>
      <c r="D8442" s="835">
        <v>46049</v>
      </c>
      <c r="E8442" s="836">
        <v>1.339930555555556</v>
      </c>
      <c r="F8442" s="836">
        <v>1.751354166666667</v>
      </c>
      <c r="G8442" s="570"/>
      <c r="H8442" s="570"/>
      <c r="I8442" s="570"/>
      <c r="J8442" s="570"/>
      <c r="K8442" s="570"/>
    </row>
    <row r="8443" ht="13.75" customHeight="1">
      <c r="A8443" t="s" s="834">
        <v>5291</v>
      </c>
      <c r="B8443" t="s" s="834">
        <v>5292</v>
      </c>
      <c r="C8443" t="s" s="834">
        <v>850</v>
      </c>
      <c r="D8443" s="570"/>
      <c r="E8443" s="570"/>
      <c r="F8443" s="570"/>
      <c r="G8443" s="570"/>
      <c r="H8443" s="570"/>
      <c r="I8443" s="570"/>
      <c r="J8443" s="570"/>
      <c r="K8443" s="570"/>
    </row>
    <row r="8444" ht="13.75" customHeight="1">
      <c r="A8444" s="833">
        <v>8</v>
      </c>
      <c r="B8444" t="s" s="834">
        <v>5268</v>
      </c>
      <c r="C8444" t="s" s="834">
        <v>617</v>
      </c>
      <c r="D8444" s="835">
        <v>46050</v>
      </c>
      <c r="E8444" s="836">
        <v>1.339907407407407</v>
      </c>
      <c r="F8444" s="836">
        <v>1.750717592592593</v>
      </c>
      <c r="G8444" s="570"/>
      <c r="H8444" s="570"/>
      <c r="I8444" s="570"/>
      <c r="J8444" s="570"/>
      <c r="K8444" s="570"/>
    </row>
    <row r="8445" ht="13.75" customHeight="1">
      <c r="A8445" t="s" s="834">
        <v>5293</v>
      </c>
      <c r="B8445" t="s" s="834">
        <v>5294</v>
      </c>
      <c r="C8445" t="s" s="834">
        <v>850</v>
      </c>
      <c r="D8445" s="570"/>
      <c r="E8445" s="570"/>
      <c r="F8445" s="570"/>
      <c r="G8445" s="570"/>
      <c r="H8445" s="570"/>
      <c r="I8445" s="570"/>
      <c r="J8445" s="570"/>
      <c r="K8445" s="570"/>
    </row>
    <row r="8446" ht="13.75" customHeight="1">
      <c r="A8446" s="833">
        <v>8</v>
      </c>
      <c r="B8446" t="s" s="834">
        <v>5268</v>
      </c>
      <c r="C8446" t="s" s="834">
        <v>617</v>
      </c>
      <c r="D8446" s="835">
        <v>46051</v>
      </c>
      <c r="E8446" s="836">
        <v>1.339525462962963</v>
      </c>
      <c r="F8446" s="836">
        <v>1.751354166666667</v>
      </c>
      <c r="G8446" s="570"/>
      <c r="H8446" s="570"/>
      <c r="I8446" s="570"/>
      <c r="J8446" s="570"/>
      <c r="K8446" s="570"/>
    </row>
    <row r="8447" ht="13.75" customHeight="1">
      <c r="A8447" t="s" s="834">
        <v>5295</v>
      </c>
      <c r="B8447" t="s" s="834">
        <v>5296</v>
      </c>
      <c r="C8447" t="s" s="834">
        <v>597</v>
      </c>
      <c r="D8447" s="570"/>
      <c r="E8447" s="570"/>
      <c r="F8447" s="570"/>
      <c r="G8447" s="570"/>
      <c r="H8447" s="570"/>
      <c r="I8447" s="570"/>
      <c r="J8447" s="570"/>
      <c r="K8447" s="570"/>
    </row>
    <row r="8448" ht="13.75" customHeight="1">
      <c r="A8448" s="833">
        <v>8</v>
      </c>
      <c r="B8448" t="s" s="834">
        <v>5268</v>
      </c>
      <c r="C8448" t="s" s="834">
        <v>617</v>
      </c>
      <c r="D8448" s="835">
        <v>46052</v>
      </c>
      <c r="E8448" t="s" s="834">
        <v>478</v>
      </c>
      <c r="F8448" t="s" s="834">
        <v>478</v>
      </c>
      <c r="G8448" s="570"/>
      <c r="H8448" s="570"/>
      <c r="I8448" s="570"/>
      <c r="J8448" s="570"/>
      <c r="K8448" s="570"/>
    </row>
    <row r="8449" ht="13.75" customHeight="1">
      <c r="A8449" s="833">
        <v>8</v>
      </c>
      <c r="B8449" t="s" s="834">
        <v>5268</v>
      </c>
      <c r="C8449" t="s" s="834">
        <v>617</v>
      </c>
      <c r="D8449" s="835">
        <v>46053</v>
      </c>
      <c r="E8449" t="s" s="834">
        <v>478</v>
      </c>
      <c r="F8449" t="s" s="834">
        <v>478</v>
      </c>
      <c r="G8449" s="570"/>
      <c r="H8449" s="570"/>
      <c r="I8449" s="570"/>
      <c r="J8449" s="570"/>
      <c r="K8449" s="570"/>
    </row>
    <row r="8450" ht="13.75" customHeight="1">
      <c r="A8450" s="833">
        <v>8</v>
      </c>
      <c r="B8450" t="s" s="834">
        <v>5268</v>
      </c>
      <c r="C8450" t="s" s="834">
        <v>617</v>
      </c>
      <c r="D8450" s="835">
        <v>46054</v>
      </c>
      <c r="E8450" t="s" s="834">
        <v>478</v>
      </c>
      <c r="F8450" t="s" s="834">
        <v>478</v>
      </c>
      <c r="G8450" s="570"/>
      <c r="H8450" s="570"/>
      <c r="I8450" s="570"/>
      <c r="J8450" s="570"/>
      <c r="K8450" s="570"/>
    </row>
  </sheetData>
  <mergeCells count="1">
    <mergeCell ref="A1:F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BQ239"/>
  <sheetViews>
    <sheetView workbookViewId="0" showGridLines="0" defaultGridColor="1"/>
  </sheetViews>
  <sheetFormatPr defaultColWidth="14.4" defaultRowHeight="15" customHeight="1" outlineLevelRow="0" outlineLevelCol="0"/>
  <cols>
    <col min="1" max="1" width="8" style="870" customWidth="1"/>
    <col min="2" max="2" width="25" style="870" customWidth="1"/>
    <col min="3" max="3" width="38.8125" style="870" customWidth="1"/>
    <col min="4" max="4" width="17" style="870" customWidth="1"/>
    <col min="5" max="5" width="7" style="870" customWidth="1"/>
    <col min="6" max="6" width="8" style="870" customWidth="1"/>
    <col min="7" max="8" width="16" style="870" customWidth="1"/>
    <col min="9" max="9" width="14" style="870" customWidth="1"/>
    <col min="10" max="12" width="15" style="870" customWidth="1"/>
    <col min="13" max="13" width="16" style="870" customWidth="1"/>
    <col min="14" max="14" width="15" style="870" customWidth="1"/>
    <col min="15" max="15" width="17" style="870" customWidth="1"/>
    <col min="16" max="17" width="15.4219" style="870" customWidth="1"/>
    <col min="18" max="21" width="13" style="870" customWidth="1"/>
    <col min="22" max="23" width="10" style="870" customWidth="1"/>
    <col min="24" max="24" width="11" style="870" customWidth="1"/>
    <col min="25" max="25" width="10" style="870" customWidth="1"/>
    <col min="26" max="26" width="12" style="870" customWidth="1"/>
    <col min="27" max="27" width="17.4219" style="870" customWidth="1"/>
    <col min="28" max="28" width="15" style="870" customWidth="1"/>
    <col min="29" max="29" width="13" style="870" customWidth="1"/>
    <col min="30" max="32" width="16" style="870" customWidth="1"/>
    <col min="33" max="33" width="14" style="870" customWidth="1"/>
    <col min="34" max="34" width="13" style="870" customWidth="1"/>
    <col min="35" max="35" width="12" style="870" customWidth="1"/>
    <col min="36" max="36" width="15" style="870" customWidth="1"/>
    <col min="37" max="37" width="12" style="870" customWidth="1"/>
    <col min="38" max="38" width="14" style="870" customWidth="1"/>
    <col min="39" max="39" width="18" style="870" customWidth="1"/>
    <col min="40" max="40" width="15" style="870" customWidth="1"/>
    <col min="41" max="42" width="14" style="870" customWidth="1"/>
    <col min="43" max="43" width="10" style="870" customWidth="1"/>
    <col min="44" max="44" width="14" style="870" customWidth="1"/>
    <col min="45" max="46" width="17" style="870" customWidth="1"/>
    <col min="47" max="47" width="12.4219" style="870" customWidth="1"/>
    <col min="48" max="48" width="14" style="870" customWidth="1"/>
    <col min="49" max="49" width="15" style="870" customWidth="1"/>
    <col min="50" max="50" width="11.8125" style="870" customWidth="1"/>
    <col min="51" max="52" width="18.4219" style="870" customWidth="1"/>
    <col min="53" max="53" width="21" style="870" customWidth="1"/>
    <col min="54" max="54" width="9.21094" style="870" customWidth="1"/>
    <col min="55" max="57" width="8.60156" style="870" customWidth="1"/>
    <col min="58" max="60" width="16" style="870" customWidth="1"/>
    <col min="61" max="61" width="13.2109" style="870" customWidth="1"/>
    <col min="62" max="62" width="19" style="870" customWidth="1"/>
    <col min="63" max="63" width="37.2109" style="870" customWidth="1"/>
    <col min="64" max="64" width="21.8125" style="870" customWidth="1"/>
    <col min="65" max="65" width="31.4219" style="870" customWidth="1"/>
    <col min="66" max="68" width="19.4219" style="870" customWidth="1"/>
    <col min="69" max="69" width="14" style="870" customWidth="1"/>
    <col min="70" max="16384" width="14.4219" style="870" customWidth="1"/>
  </cols>
  <sheetData>
    <row r="1" ht="13.5" customHeight="1">
      <c r="A1" s="871"/>
      <c r="B1" s="872"/>
      <c r="C1" s="872"/>
      <c r="D1" s="873"/>
      <c r="E1" s="872"/>
      <c r="F1" s="872"/>
      <c r="G1" s="874"/>
      <c r="H1" s="872"/>
      <c r="I1" s="874"/>
      <c r="J1" s="875"/>
      <c r="K1" s="874"/>
      <c r="L1" s="874"/>
      <c r="M1" s="876"/>
      <c r="N1" s="872"/>
      <c r="O1" s="874"/>
      <c r="P1" s="876"/>
      <c r="Q1" s="876"/>
      <c r="R1" s="874"/>
      <c r="S1" s="874"/>
      <c r="T1" s="874"/>
      <c r="U1" s="874"/>
      <c r="V1" s="874"/>
      <c r="W1" s="874"/>
      <c r="X1" s="874"/>
      <c r="Y1" s="874"/>
      <c r="Z1" s="874"/>
      <c r="AA1" s="874"/>
      <c r="AB1" s="874"/>
      <c r="AC1" s="874"/>
      <c r="AD1" s="874"/>
      <c r="AE1" s="874"/>
      <c r="AF1" s="874"/>
      <c r="AG1" s="874"/>
      <c r="AH1" s="874"/>
      <c r="AI1" s="874"/>
      <c r="AJ1" s="874"/>
      <c r="AK1" s="874"/>
      <c r="AL1" s="536"/>
      <c r="AM1" s="874"/>
      <c r="AN1" s="874"/>
      <c r="AO1" s="874"/>
      <c r="AP1" s="874"/>
      <c r="AQ1" s="874"/>
      <c r="AR1" s="874"/>
      <c r="AS1" s="874"/>
      <c r="AT1" s="874"/>
      <c r="AU1" s="874"/>
      <c r="AV1" s="536" cm="1">
        <f t="array" ref="AV1">AV20-AV2</f>
        <v>449119</v>
      </c>
      <c r="AW1" s="874"/>
      <c r="AX1" s="874"/>
      <c r="AY1" s="536"/>
      <c r="AZ1" s="877" cm="1">
        <f t="array" ref="AZ1">27500000-AZ20</f>
        <v>-781694</v>
      </c>
      <c r="BA1" s="878"/>
      <c r="BB1" s="879"/>
      <c r="BC1" s="879"/>
      <c r="BD1" s="879"/>
      <c r="BE1" s="879"/>
      <c r="BF1" s="874"/>
      <c r="BG1" s="880"/>
      <c r="BH1" s="880"/>
      <c r="BI1" s="881"/>
      <c r="BJ1" s="882"/>
      <c r="BK1" s="883"/>
      <c r="BL1" s="884"/>
      <c r="BM1" s="874"/>
      <c r="BN1" s="874"/>
      <c r="BO1" s="874"/>
      <c r="BP1" s="874"/>
      <c r="BQ1" s="874"/>
    </row>
    <row r="2" ht="15.75" customHeight="1">
      <c r="A2" t="s" s="885">
        <v>5297</v>
      </c>
      <c r="B2" s="886"/>
      <c r="C2" s="887"/>
      <c r="D2" s="888"/>
      <c r="E2" s="887"/>
      <c r="F2" s="872"/>
      <c r="G2" s="877"/>
      <c r="H2" s="877"/>
      <c r="I2" s="876"/>
      <c r="J2" s="875"/>
      <c r="K2" s="874"/>
      <c r="L2" s="874"/>
      <c r="M2" s="876"/>
      <c r="N2" s="876"/>
      <c r="O2" s="876"/>
      <c r="P2" s="876"/>
      <c r="Q2" s="876"/>
      <c r="R2" s="876"/>
      <c r="S2" s="876"/>
      <c r="T2" s="876"/>
      <c r="U2" s="876"/>
      <c r="V2" s="876"/>
      <c r="W2" s="876"/>
      <c r="X2" s="889"/>
      <c r="Y2" s="876"/>
      <c r="Z2" s="876"/>
      <c r="AA2" s="890"/>
      <c r="AB2" s="876"/>
      <c r="AC2" s="876"/>
      <c r="AD2" s="876"/>
      <c r="AE2" s="876"/>
      <c r="AF2" s="874"/>
      <c r="AG2" s="874"/>
      <c r="AH2" s="877"/>
      <c r="AI2" s="877"/>
      <c r="AJ2" s="874"/>
      <c r="AK2" s="874"/>
      <c r="AL2" s="536"/>
      <c r="AM2" s="891"/>
      <c r="AN2" s="891"/>
      <c r="AO2" s="891"/>
      <c r="AP2" s="891"/>
      <c r="AQ2" s="891"/>
      <c r="AR2" s="891"/>
      <c r="AS2" s="891"/>
      <c r="AT2" s="877"/>
      <c r="AU2" s="877"/>
      <c r="AV2" s="892">
        <v>1430592</v>
      </c>
      <c r="AW2" s="874"/>
      <c r="AX2" s="874"/>
      <c r="AY2" s="877"/>
      <c r="AZ2" s="893"/>
      <c r="BA2" s="536"/>
      <c r="BB2" s="894">
        <v>47000</v>
      </c>
      <c r="BC2" s="879"/>
      <c r="BD2" s="879"/>
      <c r="BE2" s="879"/>
      <c r="BF2" s="874"/>
      <c r="BG2" s="880"/>
      <c r="BH2" s="880"/>
      <c r="BI2" s="881"/>
      <c r="BJ2" s="895"/>
      <c r="BK2" s="896"/>
      <c r="BL2" s="897"/>
      <c r="BM2" t="s" s="898">
        <v>0</v>
      </c>
      <c r="BN2" s="27"/>
      <c r="BO2" s="874"/>
      <c r="BP2" s="877">
        <v>13358652</v>
      </c>
      <c r="BQ2" s="874"/>
    </row>
    <row r="3" ht="22.5" customHeight="1">
      <c r="A3" t="s" s="899">
        <v>5298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900"/>
      <c r="BC3" s="874"/>
      <c r="BD3" s="874"/>
      <c r="BE3" s="874"/>
      <c r="BF3" s="892" cm="1">
        <f t="array" ref="BF3">32/21*19</f>
        <v>28.952380952381</v>
      </c>
      <c r="BG3" s="880"/>
      <c r="BH3" s="901"/>
      <c r="BI3" s="881"/>
      <c r="BJ3" s="895"/>
      <c r="BK3" s="896"/>
      <c r="BL3" s="902"/>
      <c r="BM3" t="s" s="903">
        <v>2</v>
      </c>
      <c r="BN3" s="904" cm="1">
        <f t="array" ref="BN3">SUM(AZ9:AZ36)</f>
      </c>
      <c r="BO3" s="536" cm="1">
        <f t="array" ref="BO3">BN3+BN4</f>
      </c>
      <c r="BP3" s="877">
        <v>472375765</v>
      </c>
      <c r="BQ3" s="874"/>
    </row>
    <row r="4" ht="24.75" customHeight="1">
      <c r="A4" t="s" s="905">
        <v>3</v>
      </c>
      <c r="B4" s="56"/>
      <c r="C4" s="906"/>
      <c r="D4" s="906"/>
      <c r="E4" s="906"/>
      <c r="F4" s="906"/>
      <c r="G4" t="s" s="907">
        <v>4</v>
      </c>
      <c r="H4" s="36"/>
      <c r="I4" s="40"/>
      <c r="J4" s="40"/>
      <c r="K4" s="40"/>
      <c r="L4" s="40"/>
      <c r="M4" s="40"/>
      <c r="N4" s="40"/>
      <c r="O4" s="40"/>
      <c r="P4" s="40"/>
      <c r="Q4" s="40"/>
      <c r="R4" s="40"/>
      <c r="S4" s="37"/>
      <c r="T4" s="908"/>
      <c r="U4" t="s" s="909">
        <v>5</v>
      </c>
      <c r="V4" s="36"/>
      <c r="W4" s="40"/>
      <c r="X4" s="40"/>
      <c r="Y4" s="37"/>
      <c r="Z4" s="906"/>
      <c r="AA4" t="s" s="910">
        <v>6</v>
      </c>
      <c r="AB4" s="36"/>
      <c r="AC4" s="40"/>
      <c r="AD4" s="37"/>
      <c r="AE4" s="911"/>
      <c r="AF4" t="s" s="912">
        <v>7</v>
      </c>
      <c r="AG4" s="36"/>
      <c r="AH4" s="40"/>
      <c r="AI4" s="40"/>
      <c r="AJ4" s="40"/>
      <c r="AK4" s="40"/>
      <c r="AL4" s="37"/>
      <c r="AM4" t="s" s="913">
        <v>8</v>
      </c>
      <c r="AN4" t="s" s="914">
        <v>9</v>
      </c>
      <c r="AO4" s="36"/>
      <c r="AP4" s="37"/>
      <c r="AQ4" t="s" s="915">
        <v>10</v>
      </c>
      <c r="AR4" s="36"/>
      <c r="AS4" s="40"/>
      <c r="AT4" s="40"/>
      <c r="AU4" s="40"/>
      <c r="AV4" s="37"/>
      <c r="AW4" t="s" s="916">
        <v>11</v>
      </c>
      <c r="AX4" s="36"/>
      <c r="AY4" s="40"/>
      <c r="AZ4" s="37"/>
      <c r="BA4" t="s" s="917">
        <v>12</v>
      </c>
      <c r="BB4" t="s" s="918">
        <v>13</v>
      </c>
      <c r="BC4" s="919"/>
      <c r="BD4" s="888"/>
      <c r="BE4" s="888"/>
      <c r="BF4" s="874"/>
      <c r="BG4" s="880"/>
      <c r="BH4" s="920" cm="1">
        <f t="array" ref="BH4">BH13/21*11</f>
        <v>10440073.8095238</v>
      </c>
      <c r="BI4" s="881"/>
      <c r="BJ4" s="895"/>
      <c r="BK4" s="896"/>
      <c r="BL4" s="921"/>
      <c r="BM4" t="s" s="922">
        <v>14</v>
      </c>
      <c r="BN4" s="923" cm="1">
        <f t="array" ref="BN4">SUM(BA9:BA36)</f>
      </c>
      <c r="BO4" s="874"/>
      <c r="BP4" s="874"/>
      <c r="BQ4" s="874"/>
    </row>
    <row r="5" ht="21" customHeight="1">
      <c r="A5" t="s" s="918">
        <v>15</v>
      </c>
      <c r="B5" t="s" s="918">
        <v>17</v>
      </c>
      <c r="C5" t="s" s="918">
        <v>18</v>
      </c>
      <c r="D5" t="s" s="918">
        <v>19</v>
      </c>
      <c r="E5" t="s" s="918">
        <v>20</v>
      </c>
      <c r="F5" t="s" s="918">
        <v>21</v>
      </c>
      <c r="G5" t="s" s="907">
        <v>22</v>
      </c>
      <c r="H5" s="56"/>
      <c r="I5" t="s" s="907">
        <v>23</v>
      </c>
      <c r="J5" s="36"/>
      <c r="K5" s="37"/>
      <c r="L5" t="s" s="918">
        <v>24</v>
      </c>
      <c r="M5" t="s" s="907">
        <v>25</v>
      </c>
      <c r="N5" s="36"/>
      <c r="O5" s="40"/>
      <c r="P5" s="40"/>
      <c r="Q5" s="40"/>
      <c r="R5" s="40"/>
      <c r="S5" s="37"/>
      <c r="T5" s="924"/>
      <c r="U5" t="s" s="925">
        <v>26</v>
      </c>
      <c r="V5" t="s" s="925">
        <v>27</v>
      </c>
      <c r="W5" t="s" s="925">
        <v>28</v>
      </c>
      <c r="X5" t="s" s="925">
        <v>29</v>
      </c>
      <c r="Y5" t="s" s="925">
        <v>30</v>
      </c>
      <c r="Z5" t="s" s="918">
        <v>31</v>
      </c>
      <c r="AA5" t="s" s="925">
        <v>32</v>
      </c>
      <c r="AB5" t="s" s="926">
        <v>33</v>
      </c>
      <c r="AC5" t="s" s="926">
        <v>34</v>
      </c>
      <c r="AD5" t="s" s="926">
        <v>35</v>
      </c>
      <c r="AE5" t="s" s="926">
        <v>36</v>
      </c>
      <c r="AF5" t="s" s="925">
        <v>37</v>
      </c>
      <c r="AG5" t="s" s="926">
        <v>38</v>
      </c>
      <c r="AH5" t="s" s="926">
        <v>39</v>
      </c>
      <c r="AI5" t="s" s="926">
        <v>40</v>
      </c>
      <c r="AJ5" t="s" s="926">
        <v>41</v>
      </c>
      <c r="AK5" t="s" s="927">
        <v>42</v>
      </c>
      <c r="AL5" t="s" s="926">
        <v>43</v>
      </c>
      <c r="AM5" s="60"/>
      <c r="AN5" t="s" s="926">
        <v>44</v>
      </c>
      <c r="AO5" t="s" s="926">
        <v>45</v>
      </c>
      <c r="AP5" t="s" s="926">
        <v>46</v>
      </c>
      <c r="AQ5" t="s" s="925">
        <v>47</v>
      </c>
      <c r="AR5" t="s" s="925">
        <v>48</v>
      </c>
      <c r="AS5" t="s" s="925">
        <v>49</v>
      </c>
      <c r="AT5" t="s" s="925">
        <v>50</v>
      </c>
      <c r="AU5" t="s" s="928">
        <v>51</v>
      </c>
      <c r="AV5" s="37"/>
      <c r="AW5" t="s" s="925">
        <v>52</v>
      </c>
      <c r="AX5" t="s" s="925">
        <v>53</v>
      </c>
      <c r="AY5" t="s" s="925">
        <v>54</v>
      </c>
      <c r="AZ5" t="s" s="925">
        <v>55</v>
      </c>
      <c r="BA5" s="60"/>
      <c r="BB5" s="62"/>
      <c r="BC5" s="919"/>
      <c r="BD5" s="888"/>
      <c r="BE5" s="888"/>
      <c r="BF5" s="874"/>
      <c r="BG5" s="880"/>
      <c r="BH5" s="880"/>
      <c r="BI5" s="881"/>
      <c r="BJ5" s="895"/>
      <c r="BK5" s="896"/>
      <c r="BL5" t="s" s="929">
        <v>56</v>
      </c>
      <c r="BM5" s="930"/>
      <c r="BN5" s="874"/>
      <c r="BO5" s="874"/>
      <c r="BP5" s="874"/>
      <c r="BQ5" s="877">
        <v>549869632</v>
      </c>
    </row>
    <row r="6" ht="37.5" customHeight="1">
      <c r="A6" s="66"/>
      <c r="B6" s="66"/>
      <c r="C6" s="66"/>
      <c r="D6" s="66"/>
      <c r="E6" s="66"/>
      <c r="F6" s="66"/>
      <c r="G6" t="s" s="931">
        <v>57</v>
      </c>
      <c r="H6" t="s" s="931">
        <v>58</v>
      </c>
      <c r="I6" t="s" s="932">
        <v>59</v>
      </c>
      <c r="J6" t="s" s="933">
        <v>60</v>
      </c>
      <c r="K6" t="s" s="783">
        <v>61</v>
      </c>
      <c r="L6" s="66"/>
      <c r="M6" t="s" s="931">
        <v>62</v>
      </c>
      <c r="N6" t="s" s="783">
        <v>63</v>
      </c>
      <c r="O6" t="s" s="783">
        <v>64</v>
      </c>
      <c r="P6" t="s" s="783">
        <v>65</v>
      </c>
      <c r="Q6" t="s" s="783">
        <v>66</v>
      </c>
      <c r="R6" t="s" s="783">
        <v>67</v>
      </c>
      <c r="S6" t="s" s="783">
        <v>61</v>
      </c>
      <c r="T6" t="s" s="932">
        <v>188</v>
      </c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t="s" s="932">
        <v>68</v>
      </c>
      <c r="AV6" t="s" s="932">
        <v>69</v>
      </c>
      <c r="AW6" s="66"/>
      <c r="AX6" s="66"/>
      <c r="AY6" s="66"/>
      <c r="AZ6" s="66"/>
      <c r="BA6" s="66"/>
      <c r="BB6" s="66"/>
      <c r="BC6" t="s" s="934">
        <v>5299</v>
      </c>
      <c r="BD6" t="s" s="935">
        <v>5300</v>
      </c>
      <c r="BE6" t="s" s="935">
        <v>5301</v>
      </c>
      <c r="BF6" t="s" s="936">
        <v>192</v>
      </c>
      <c r="BG6" t="s" s="937">
        <v>5302</v>
      </c>
      <c r="BH6" t="s" s="937">
        <v>5302</v>
      </c>
      <c r="BI6" t="s" s="938">
        <v>5303</v>
      </c>
      <c r="BJ6" t="s" s="939">
        <v>5304</v>
      </c>
      <c r="BK6" t="s" s="939">
        <v>196</v>
      </c>
      <c r="BL6" s="940"/>
      <c r="BM6" t="s" s="551">
        <v>197</v>
      </c>
      <c r="BN6" t="s" s="551">
        <v>198</v>
      </c>
      <c r="BO6" s="874"/>
      <c r="BP6" s="874"/>
      <c r="BQ6" s="877" cm="1">
        <f t="array" ref="BQ6">BQ5-BN4</f>
      </c>
    </row>
    <row r="7" ht="23.25" customHeight="1">
      <c r="A7" s="941"/>
      <c r="B7" s="941"/>
      <c r="C7" s="941"/>
      <c r="D7" s="941"/>
      <c r="E7" s="941"/>
      <c r="F7" s="941"/>
      <c r="G7" t="s" s="942">
        <v>77</v>
      </c>
      <c r="H7" s="941"/>
      <c r="I7" t="s" s="942">
        <v>77</v>
      </c>
      <c r="J7" t="s" s="943">
        <v>77</v>
      </c>
      <c r="K7" t="s" s="942">
        <v>77</v>
      </c>
      <c r="L7" t="s" s="942">
        <v>77</v>
      </c>
      <c r="M7" t="s" s="942">
        <v>77</v>
      </c>
      <c r="N7" t="s" s="942">
        <v>77</v>
      </c>
      <c r="O7" t="s" s="942">
        <v>77</v>
      </c>
      <c r="P7" s="941"/>
      <c r="Q7" t="s" s="942">
        <v>77</v>
      </c>
      <c r="R7" t="s" s="942">
        <v>77</v>
      </c>
      <c r="S7" t="s" s="942">
        <v>77</v>
      </c>
      <c r="T7" t="s" s="942">
        <v>77</v>
      </c>
      <c r="U7" t="s" s="942">
        <v>77</v>
      </c>
      <c r="V7" s="941"/>
      <c r="W7" t="s" s="942">
        <v>78</v>
      </c>
      <c r="X7" t="s" s="942">
        <v>78</v>
      </c>
      <c r="Y7" t="s" s="942">
        <v>78</v>
      </c>
      <c r="Z7" s="941"/>
      <c r="AA7" t="s" s="942">
        <v>77</v>
      </c>
      <c r="AB7" t="s" s="942">
        <v>77</v>
      </c>
      <c r="AC7" t="s" s="942">
        <v>77</v>
      </c>
      <c r="AD7" t="s" s="942">
        <v>77</v>
      </c>
      <c r="AE7" s="941"/>
      <c r="AF7" t="s" s="942">
        <v>77</v>
      </c>
      <c r="AG7" t="s" s="942">
        <v>77</v>
      </c>
      <c r="AH7" t="s" s="942">
        <v>77</v>
      </c>
      <c r="AI7" t="s" s="942">
        <v>77</v>
      </c>
      <c r="AJ7" t="s" s="942">
        <v>77</v>
      </c>
      <c r="AK7" s="941"/>
      <c r="AL7" t="s" s="942">
        <v>77</v>
      </c>
      <c r="AM7" t="s" s="942">
        <v>77</v>
      </c>
      <c r="AN7" t="s" s="942">
        <v>77</v>
      </c>
      <c r="AO7" t="s" s="942">
        <v>77</v>
      </c>
      <c r="AP7" t="s" s="942">
        <v>77</v>
      </c>
      <c r="AQ7" t="s" s="942">
        <v>79</v>
      </c>
      <c r="AR7" t="s" s="942">
        <v>80</v>
      </c>
      <c r="AS7" t="s" s="942">
        <v>80</v>
      </c>
      <c r="AT7" t="s" s="942">
        <v>80</v>
      </c>
      <c r="AU7" s="941"/>
      <c r="AV7" t="s" s="942">
        <v>80</v>
      </c>
      <c r="AW7" t="s" s="942">
        <v>80</v>
      </c>
      <c r="AX7" t="s" s="942">
        <v>80</v>
      </c>
      <c r="AY7" t="s" s="942">
        <v>80</v>
      </c>
      <c r="AZ7" t="s" s="942">
        <v>80</v>
      </c>
      <c r="BA7" t="s" s="942">
        <v>80</v>
      </c>
      <c r="BB7" s="944"/>
      <c r="BC7" s="945"/>
      <c r="BD7" s="946"/>
      <c r="BE7" s="946"/>
      <c r="BF7" s="872"/>
      <c r="BG7" s="947"/>
      <c r="BH7" s="947"/>
      <c r="BI7" s="948"/>
      <c r="BJ7" s="949"/>
      <c r="BK7" s="950"/>
      <c r="BL7" s="951"/>
      <c r="BM7" s="872"/>
      <c r="BN7" s="872"/>
      <c r="BO7" s="872"/>
      <c r="BP7" s="872"/>
      <c r="BQ7" s="872"/>
    </row>
    <row r="8" ht="21" customHeight="1">
      <c r="A8" s="952"/>
      <c r="B8" s="952"/>
      <c r="C8" s="952"/>
      <c r="D8" s="944"/>
      <c r="E8" s="952"/>
      <c r="F8" s="952"/>
      <c r="G8" s="953">
        <v>1</v>
      </c>
      <c r="H8" s="954"/>
      <c r="I8" s="953">
        <v>2</v>
      </c>
      <c r="J8" s="955">
        <v>3</v>
      </c>
      <c r="K8" s="953">
        <v>4</v>
      </c>
      <c r="L8" s="953">
        <v>5</v>
      </c>
      <c r="M8" s="953">
        <v>5</v>
      </c>
      <c r="N8" s="953">
        <v>6</v>
      </c>
      <c r="O8" s="953">
        <v>7</v>
      </c>
      <c r="P8" s="954"/>
      <c r="Q8" s="953">
        <v>8</v>
      </c>
      <c r="R8" s="953">
        <v>9</v>
      </c>
      <c r="S8" s="953">
        <v>10</v>
      </c>
      <c r="T8" s="954"/>
      <c r="U8" s="953">
        <v>11</v>
      </c>
      <c r="V8" s="953">
        <v>12</v>
      </c>
      <c r="W8" s="953">
        <v>13</v>
      </c>
      <c r="X8" s="953">
        <v>14</v>
      </c>
      <c r="Y8" s="953">
        <v>15</v>
      </c>
      <c r="Z8" s="954"/>
      <c r="AA8" s="953">
        <v>16</v>
      </c>
      <c r="AB8" s="953">
        <v>17</v>
      </c>
      <c r="AC8" s="953">
        <v>18</v>
      </c>
      <c r="AD8" s="953">
        <v>19</v>
      </c>
      <c r="AE8" s="954"/>
      <c r="AF8" s="953">
        <v>23</v>
      </c>
      <c r="AG8" s="953">
        <v>24</v>
      </c>
      <c r="AH8" s="953">
        <v>26</v>
      </c>
      <c r="AI8" s="953">
        <v>27</v>
      </c>
      <c r="AJ8" s="953">
        <v>28</v>
      </c>
      <c r="AK8" s="953">
        <v>29</v>
      </c>
      <c r="AL8" s="953">
        <v>30</v>
      </c>
      <c r="AM8" s="953">
        <v>31</v>
      </c>
      <c r="AN8" s="953">
        <v>32</v>
      </c>
      <c r="AO8" s="953">
        <v>33</v>
      </c>
      <c r="AP8" s="953">
        <v>34</v>
      </c>
      <c r="AQ8" s="953">
        <v>35</v>
      </c>
      <c r="AR8" s="953">
        <v>36</v>
      </c>
      <c r="AS8" s="953">
        <v>37</v>
      </c>
      <c r="AT8" s="953">
        <v>38</v>
      </c>
      <c r="AU8" s="953">
        <v>39</v>
      </c>
      <c r="AV8" s="953">
        <v>40</v>
      </c>
      <c r="AW8" s="953">
        <v>41</v>
      </c>
      <c r="AX8" s="953">
        <v>42</v>
      </c>
      <c r="AY8" s="953">
        <v>43</v>
      </c>
      <c r="AZ8" s="953">
        <v>44</v>
      </c>
      <c r="BA8" s="953">
        <v>47</v>
      </c>
      <c r="BB8" s="954"/>
      <c r="BC8" s="945"/>
      <c r="BD8" s="946"/>
      <c r="BE8" s="946"/>
      <c r="BF8" s="956"/>
      <c r="BG8" s="957"/>
      <c r="BH8" s="957"/>
      <c r="BI8" s="958"/>
      <c r="BJ8" s="895"/>
      <c r="BK8" s="896"/>
      <c r="BL8" s="940"/>
      <c r="BM8" s="874"/>
      <c r="BN8" s="874"/>
      <c r="BO8" s="874"/>
      <c r="BP8" s="874"/>
      <c r="BQ8" s="874"/>
    </row>
    <row r="9" ht="24.75" customHeight="1">
      <c r="A9" s="706">
        <v>1</v>
      </c>
      <c r="B9" t="s" s="959">
        <v>90</v>
      </c>
      <c r="C9" t="s" s="959">
        <v>91</v>
      </c>
      <c r="D9" t="s" s="959">
        <v>208</v>
      </c>
      <c r="E9" s="960"/>
      <c r="F9" t="s" s="961">
        <v>85</v>
      </c>
      <c r="G9" s="962"/>
      <c r="H9" s="962"/>
      <c r="I9" s="962"/>
      <c r="J9" s="390"/>
      <c r="K9" s="390"/>
      <c r="L9" s="963" cm="1">
        <f t="array" ref="L9">26298235+23500000+2000000</f>
        <v>51798235</v>
      </c>
      <c r="M9" s="963" cm="1">
        <f t="array" ref="M9">L9</f>
        <v>51798235</v>
      </c>
      <c r="N9" s="368" cm="1">
        <f t="array" ref="N9">VLOOKUP(B9,'BHXH'!$E$7:$F$12,2,0)</f>
        <v>5310000</v>
      </c>
      <c r="O9" s="368" cm="1">
        <f t="array" ref="O9">M9-(N9+P9+Q9+R9+S9)</f>
        <v>43858235</v>
      </c>
      <c r="P9" s="368">
        <v>500000</v>
      </c>
      <c r="Q9" s="368">
        <v>400000</v>
      </c>
      <c r="R9" s="368">
        <v>1000000</v>
      </c>
      <c r="S9" s="368">
        <v>730000</v>
      </c>
      <c r="T9" s="368" cm="1">
        <f t="array" ref="T9">SUM(Q9:S9)</f>
        <v>2130000</v>
      </c>
      <c r="U9" s="964" cm="1">
        <f t="array" ref="U9">SUM(W9:Y9)</f>
        <v>21</v>
      </c>
      <c r="V9" s="964">
        <v>21</v>
      </c>
      <c r="W9" s="962"/>
      <c r="X9" s="964"/>
      <c r="Y9" s="965">
        <v>21</v>
      </c>
      <c r="Z9" s="368" cm="1">
        <f t="array" ref="Z9">M9-Q9-R9-S9</f>
        <v>49668235</v>
      </c>
      <c r="AA9" s="963" cm="1">
        <f t="array" ref="AA9">SUM(AB9:AD9)</f>
        <v>51798235</v>
      </c>
      <c r="AB9" s="368" cm="1">
        <f t="array" ref="AB9">ROUND($G9/V9*W9,0)</f>
        <v>0</v>
      </c>
      <c r="AC9" s="368" cm="1">
        <f t="array" ref="AC9">ROUND(I9/V9*X9,0)</f>
        <v>0</v>
      </c>
      <c r="AD9" s="368" cm="1">
        <f t="array" ref="AD9">ROUND($M9/V9*Y9,0)</f>
        <v>51798235</v>
      </c>
      <c r="AE9" s="368"/>
      <c r="AF9" s="368" cm="1">
        <f t="array" ref="AF9">SUM(AG9:AL9)</f>
        <v>0</v>
      </c>
      <c r="AG9" s="964"/>
      <c r="AH9" s="964"/>
      <c r="AI9" s="964"/>
      <c r="AJ9" s="368">
        <v>0</v>
      </c>
      <c r="AK9" s="964"/>
      <c r="AL9" s="964"/>
      <c r="AM9" s="963" cm="1">
        <f t="array" ref="AM9">AA9+AF9</f>
        <v>51798235</v>
      </c>
      <c r="AN9" s="368" cm="1">
        <f t="array" ref="AN9">VLOOKUP(B9,'BHXH'!$E$7:$F$12,2,0)</f>
        <v>5310000</v>
      </c>
      <c r="AO9" s="368" cm="1">
        <f t="array" ref="AO9">$AN9*10.5%</f>
        <v>557550</v>
      </c>
      <c r="AP9" s="368" cm="1">
        <f t="array" ref="AP9">$AN9*21.5%</f>
        <v>1141650</v>
      </c>
      <c r="AQ9" s="966">
        <v>3</v>
      </c>
      <c r="AR9" s="389" cm="1">
        <f t="array" ref="AR9">IF($E9=10%,0,(AQ9*4400000+11000000))</f>
        <v>24200000</v>
      </c>
      <c r="AS9" s="389" cm="1">
        <f t="array" ref="AS9">AM9-(Q9+R9+S9)/V9*U9</f>
        <v>49668235</v>
      </c>
      <c r="AT9" s="368" cm="1">
        <f t="array" ref="AT9">ROUND(IF((AS9-AR9-AO9)&lt;0,0,(AS9-AR9-AO9)),0)</f>
        <v>24910685</v>
      </c>
      <c r="AU9" s="389"/>
      <c r="AV9" s="389" cm="1">
        <f t="array" ref="AV9">ROUND(IF(AU9&gt;0,0,IF(AT9&lt;5000000,AT9*5%,IF(AT9&lt;10000000,250000+(AT9-5000000)*10%,IF(AT9&lt;18000000,750000+(AT9-10000000)*15%,IF(AT9&lt;32000000,1950000+(AT9-18000000)*20%,IF(AT9&lt;52000000,4750000+(AT9-32000000)*25%,IF(AT9&lt;80000000,9750000+(AT9-52000000)*30%,IF(AT9&lt;400000000,18150000+(AT9-80000000)*35%,0)))))))),0)</f>
        <v>3332137</v>
      </c>
      <c r="AW9" s="368" cm="1">
        <f t="array" ref="AW9">AM9-AO9-AV9-AU9</f>
        <v>47908548</v>
      </c>
      <c r="AX9" s="964"/>
      <c r="AY9" s="964"/>
      <c r="AZ9" s="368" cm="1">
        <f t="array" ref="AZ9">ROUND(AW9-AX9+AY9,0)</f>
        <v>47908548</v>
      </c>
      <c r="BA9" s="389" cm="1">
        <f t="array" ref="BA9">AM9+AP9</f>
        <v>52939885</v>
      </c>
      <c r="BB9" s="941"/>
      <c r="BC9" s="967" cm="1">
        <f t="array" ref="BC9">U9</f>
        <v>21</v>
      </c>
      <c r="BD9" s="968" cm="1">
        <f t="array" ref="BD9">AJ9</f>
        <v>0</v>
      </c>
      <c r="BE9" s="920">
        <v>0</v>
      </c>
      <c r="BF9" s="877" cm="1">
        <f t="array" ref="BF9">T9/V9*U9</f>
        <v>2130000</v>
      </c>
      <c r="BG9" t="str" s="880" cm="1">
        <f t="array" ref="BG9">B9</f>
        <v>Bùi Văn Điệp</v>
      </c>
      <c r="BH9" s="920">
        <v>47598588</v>
      </c>
      <c r="BI9" s="969">
        <v>22</v>
      </c>
      <c r="BJ9" s="970" cm="1">
        <f t="array" ref="BJ9">AZ9-BH9</f>
        <v>309960</v>
      </c>
      <c r="BK9" s="896"/>
      <c r="BL9" t="s" s="971">
        <v>94</v>
      </c>
      <c r="BM9" t="s" s="972">
        <v>209</v>
      </c>
      <c r="BN9" t="s" s="972">
        <v>210</v>
      </c>
      <c r="BO9" t="s" s="972">
        <v>5306</v>
      </c>
      <c r="BP9" t="s" s="972">
        <v>276</v>
      </c>
      <c r="BQ9" s="890"/>
    </row>
    <row r="10" ht="22.5" customHeight="1">
      <c r="A10" s="706">
        <v>2</v>
      </c>
      <c r="B10" t="s" s="959">
        <v>97</v>
      </c>
      <c r="C10" t="s" s="959">
        <v>98</v>
      </c>
      <c r="D10" t="s" s="959">
        <v>92</v>
      </c>
      <c r="E10" s="960"/>
      <c r="F10" t="s" s="961">
        <v>85</v>
      </c>
      <c r="G10" s="962"/>
      <c r="H10" s="962"/>
      <c r="I10" s="962"/>
      <c r="J10" s="390"/>
      <c r="K10" s="390"/>
      <c r="L10" s="963" cm="1">
        <f t="array" ref="L10">36728000+4000000</f>
        <v>40728000</v>
      </c>
      <c r="M10" s="963" cm="1">
        <f t="array" ref="M10">L10</f>
        <v>40728000</v>
      </c>
      <c r="N10" s="368" cm="1">
        <f t="array" ref="N10">VLOOKUP(B10,'BHXH'!$E$7:$F$12,2,0)</f>
        <v>5310000</v>
      </c>
      <c r="O10" s="368" cm="1">
        <f t="array" ref="O10">M10-(N10+P10+Q10+R10+S10)</f>
        <v>33038000</v>
      </c>
      <c r="P10" s="368">
        <v>250000</v>
      </c>
      <c r="Q10" s="368">
        <v>400000</v>
      </c>
      <c r="R10" s="368">
        <v>1000000</v>
      </c>
      <c r="S10" s="368">
        <v>730000</v>
      </c>
      <c r="T10" s="368" cm="1">
        <f t="array" ref="T10">SUM(Q10:S10)</f>
        <v>2130000</v>
      </c>
      <c r="U10" s="964" cm="1">
        <f t="array" ref="U10">SUM(W10:Y10)</f>
        <v>21</v>
      </c>
      <c r="V10" s="964">
        <v>21</v>
      </c>
      <c r="W10" s="962"/>
      <c r="X10" s="962"/>
      <c r="Y10" s="965" cm="1">
        <f t="array" ref="Y10">VLOOKUP(B10,'Bảng công_092024'!$AR$31:$AT$57,3,0)</f>
        <v>21</v>
      </c>
      <c r="Z10" s="368" cm="1">
        <f t="array" ref="Z10">M10-Q10-R10-S10</f>
        <v>38598000</v>
      </c>
      <c r="AA10" s="963" cm="1">
        <f t="array" ref="AA10">SUM(AB10:AD10)</f>
        <v>40728000</v>
      </c>
      <c r="AB10" s="368" cm="1">
        <f t="array" ref="AB10">ROUND($G10/V10*W10,0)</f>
        <v>0</v>
      </c>
      <c r="AC10" s="368" cm="1">
        <f t="array" ref="AC10">ROUND(I10/V10*X10,0)</f>
        <v>0</v>
      </c>
      <c r="AD10" s="368" cm="1">
        <f t="array" ref="AD10">ROUND($M10/V10*Y10,0)</f>
        <v>40728000</v>
      </c>
      <c r="AE10" s="368"/>
      <c r="AF10" s="368" cm="1">
        <f t="array" ref="AF10">SUM(AG10:AL10)</f>
        <v>0</v>
      </c>
      <c r="AG10" s="962"/>
      <c r="AH10" s="962"/>
      <c r="AI10" s="962"/>
      <c r="AJ10" s="368" cm="1">
        <f t="array" ref="AJ10">-VLOOKUP(B10,'Bảng công_092024'!$AR$31:$AS$57,2,0)</f>
        <v>0</v>
      </c>
      <c r="AK10" s="962"/>
      <c r="AL10" s="389"/>
      <c r="AM10" s="963" cm="1">
        <f t="array" ref="AM10">AA10+AF10</f>
        <v>40728000</v>
      </c>
      <c r="AN10" s="368" cm="1">
        <f t="array" ref="AN10">VLOOKUP(B10,'BHXH'!$E$7:$F$12,2,0)</f>
        <v>5310000</v>
      </c>
      <c r="AO10" s="368" cm="1">
        <f t="array" ref="AO10">$AN10*10.5%</f>
        <v>557550</v>
      </c>
      <c r="AP10" s="368" cm="1">
        <f t="array" ref="AP10">$AN10*21.5%</f>
        <v>1141650</v>
      </c>
      <c r="AQ10" s="966">
        <v>0</v>
      </c>
      <c r="AR10" s="389" cm="1">
        <f t="array" ref="AR10">IF($E10=10%,0,(AQ10*4400000+11000000))</f>
        <v>11000000</v>
      </c>
      <c r="AS10" s="389" cm="1">
        <f t="array" ref="AS10">AM10-(Q10+R10+S10)/V10*U10</f>
        <v>38598000</v>
      </c>
      <c r="AT10" s="368" cm="1">
        <f t="array" ref="AT10">ROUND(IF((AS10-AR10-AO10)&lt;0,0,(AS10-AR10-AO10)),0)</f>
        <v>27040450</v>
      </c>
      <c r="AU10" s="389"/>
      <c r="AV10" s="389" cm="1">
        <f t="array" ref="AV10">ROUND(IF(AU10&gt;0,0,IF(AT10&lt;5000000,AT10*5%,IF(AT10&lt;10000000,250000+(AT10-5000000)*10%,IF(AT10&lt;18000000,750000+(AT10-10000000)*15%,IF(AT10&lt;32000000,1950000+(AT10-18000000)*20%,IF(AT10&lt;52000000,4750000+(AT10-32000000)*25%,IF(AT10&lt;80000000,9750000+(AT10-52000000)*30%,IF(AT10&lt;400000000,18150000+(AT10-80000000)*35%,0)))))))),0)</f>
        <v>3758090</v>
      </c>
      <c r="AW10" s="368" cm="1">
        <f t="array" ref="AW10">AM10-AO10-AV10-AU10</f>
        <v>36412360</v>
      </c>
      <c r="AX10" s="962"/>
      <c r="AY10" s="962"/>
      <c r="AZ10" s="368" cm="1">
        <f t="array" ref="AZ10">ROUND(AW10-AX10+AY10,0)</f>
        <v>36412360</v>
      </c>
      <c r="BA10" s="389" cm="1">
        <f t="array" ref="BA10">AM10+AP10</f>
        <v>41869650</v>
      </c>
      <c r="BB10" s="941"/>
      <c r="BC10" s="967" cm="1">
        <f t="array" ref="BC10">U10</f>
        <v>21</v>
      </c>
      <c r="BD10" s="968" cm="1">
        <f t="array" ref="BD10">AJ10</f>
        <v>0</v>
      </c>
      <c r="BE10" s="920">
        <v>0</v>
      </c>
      <c r="BF10" s="877" cm="1">
        <f t="array" ref="BF10">T10/V10*U10</f>
        <v>2130000</v>
      </c>
      <c r="BG10" t="str" s="880" cm="1">
        <f t="array" ref="BG10">B10</f>
        <v>Nguyễn Ngọc Anh</v>
      </c>
      <c r="BH10" s="920">
        <v>36430000</v>
      </c>
      <c r="BI10" s="969">
        <v>22</v>
      </c>
      <c r="BJ10" s="970" cm="1">
        <f t="array" ref="BJ10">AZ10-BH10</f>
        <v>-17640</v>
      </c>
      <c r="BK10" s="896"/>
      <c r="BL10" s="973"/>
      <c r="BM10" t="s" s="972">
        <v>214</v>
      </c>
      <c r="BN10" t="s" s="972">
        <v>5308</v>
      </c>
      <c r="BO10" t="s" s="972">
        <v>5306</v>
      </c>
      <c r="BP10" t="s" s="972">
        <v>276</v>
      </c>
      <c r="BQ10" s="890"/>
    </row>
    <row r="11" ht="27" customHeight="1">
      <c r="A11" s="706">
        <v>3</v>
      </c>
      <c r="B11" t="s" s="959">
        <v>101</v>
      </c>
      <c r="C11" t="s" s="959">
        <v>102</v>
      </c>
      <c r="D11" t="s" s="959">
        <v>92</v>
      </c>
      <c r="E11" s="960"/>
      <c r="F11" t="s" s="961">
        <v>85</v>
      </c>
      <c r="G11" s="962"/>
      <c r="H11" s="962"/>
      <c r="I11" s="962"/>
      <c r="J11" s="390"/>
      <c r="K11" s="390"/>
      <c r="L11" s="963" cm="1">
        <f t="array" ref="L11">31000000+1000000</f>
        <v>32000000</v>
      </c>
      <c r="M11" s="963" cm="1">
        <f t="array" ref="M11">L11</f>
        <v>32000000</v>
      </c>
      <c r="N11" s="368" cm="1">
        <f t="array" ref="N11">VLOOKUP(B11,'BHXH'!$E$7:$F$12,2,0)</f>
      </c>
      <c r="O11" s="368" cm="1">
        <f t="array" ref="O11">M11-(N11+P11+Q11+R11+S11)</f>
      </c>
      <c r="P11" s="368">
        <v>250000</v>
      </c>
      <c r="Q11" s="368">
        <v>400000</v>
      </c>
      <c r="R11" s="368">
        <v>500000</v>
      </c>
      <c r="S11" s="368">
        <v>730000</v>
      </c>
      <c r="T11" s="368" cm="1">
        <f t="array" ref="T11">SUM(Q11:S11)</f>
        <v>1630000</v>
      </c>
      <c r="U11" s="964" cm="1">
        <f t="array" ref="U11">SUM(W11:Y11)</f>
        <v>21</v>
      </c>
      <c r="V11" s="964">
        <v>21</v>
      </c>
      <c r="W11" s="962"/>
      <c r="X11" s="962"/>
      <c r="Y11" s="965" cm="1">
        <f t="array" ref="Y11">VLOOKUP(B11,'Bảng công_092024'!$AR$31:$AT$57,3,0)</f>
        <v>21</v>
      </c>
      <c r="Z11" s="368" cm="1">
        <f t="array" ref="Z11">M11-Q11-R11-S11</f>
        <v>30370000</v>
      </c>
      <c r="AA11" s="963" cm="1">
        <f t="array" ref="AA11">SUM(AB11:AD11)</f>
        <v>32000000</v>
      </c>
      <c r="AB11" s="368" cm="1">
        <f t="array" ref="AB11">ROUND($G11/V11*W11,0)</f>
        <v>0</v>
      </c>
      <c r="AC11" s="368" cm="1">
        <f t="array" ref="AC11">ROUND(I11/V11*X11,0)</f>
        <v>0</v>
      </c>
      <c r="AD11" s="368" cm="1">
        <f t="array" ref="AD11">ROUND($M11/V11*Y11,0)</f>
        <v>32000000</v>
      </c>
      <c r="AE11" s="368"/>
      <c r="AF11" s="368" cm="1">
        <f t="array" ref="AF11">SUM(AG11:AL11)</f>
        <v>-75000</v>
      </c>
      <c r="AG11" s="962"/>
      <c r="AH11" s="962"/>
      <c r="AI11" s="962"/>
      <c r="AJ11" s="368" cm="1">
        <f t="array" ref="AJ11">-VLOOKUP(B11,'Bảng công_092024'!$AR$31:$AS$57,2,0)</f>
        <v>-75000</v>
      </c>
      <c r="AK11" s="962"/>
      <c r="AL11" s="389"/>
      <c r="AM11" s="963" cm="1">
        <f t="array" ref="AM11">AA11+AF11</f>
        <v>31925000</v>
      </c>
      <c r="AN11" s="368" cm="1">
        <f t="array" ref="AN11">VLOOKUP(B11,'BHXH'!$E$7:$F$12,2,0)</f>
      </c>
      <c r="AO11" s="368" cm="1">
        <f t="array" ref="AO11">$AN11*10.5%</f>
      </c>
      <c r="AP11" s="368" cm="1">
        <f t="array" ref="AP11">$AN11*21.5%</f>
      </c>
      <c r="AQ11" s="966">
        <v>0</v>
      </c>
      <c r="AR11" s="389" cm="1">
        <f t="array" ref="AR11">IF($E11=10%,0,(AQ11*4400000+11000000))</f>
        <v>11000000</v>
      </c>
      <c r="AS11" s="389" cm="1">
        <f t="array" ref="AS11">AM11-(Q11+R11+S11)/V11*U11</f>
        <v>30295000</v>
      </c>
      <c r="AT11" s="368" cm="1">
        <f t="array" ref="AT11">ROUND(IF((AS11-AR11-AO11)&lt;0,0,(AS11-AR11-AO11)),0)</f>
      </c>
      <c r="AU11" s="389"/>
      <c r="AV11" s="389" cm="1">
        <f t="array" ref="AV11">ROUND(IF(AU11&gt;0,0,IF(AT11&lt;5000000,AT11*5%,IF(AT11&lt;10000000,250000+(AT11-5000000)*10%,IF(AT11&lt;18000000,750000+(AT11-10000000)*15%,IF(AT11&lt;32000000,1950000+(AT11-18000000)*20%,IF(AT11&lt;52000000,4750000+(AT11-32000000)*25%,IF(AT11&lt;80000000,9750000+(AT11-52000000)*30%,IF(AT11&lt;400000000,18150000+(AT11-80000000)*35%,0)))))))),0)</f>
      </c>
      <c r="AW11" s="368" cm="1">
        <f t="array" ref="AW11">AM11-AO11-AV11-AU11</f>
      </c>
      <c r="AX11" s="962"/>
      <c r="AY11" s="962"/>
      <c r="AZ11" s="368" cm="1">
        <f t="array" ref="AZ11">ROUND(AW11-AX11+AY11,0)</f>
      </c>
      <c r="BA11" s="389" cm="1">
        <f t="array" ref="BA11">AM11+AP11</f>
      </c>
      <c r="BB11" s="974"/>
      <c r="BC11" s="967" cm="1">
        <f t="array" ref="BC11">U11</f>
        <v>21</v>
      </c>
      <c r="BD11" s="968" cm="1">
        <f t="array" ref="BD11">AJ11</f>
        <v>-75000</v>
      </c>
      <c r="BE11" s="920">
        <v>-375000</v>
      </c>
      <c r="BF11" s="877" cm="1">
        <f t="array" ref="BF11">T11/V11*U11</f>
        <v>1630000</v>
      </c>
      <c r="BG11" t="str" s="880" cm="1">
        <f t="array" ref="BG11">B11</f>
        <v>Phan Thanh Tùng</v>
      </c>
      <c r="BH11" s="920">
        <v>29047600</v>
      </c>
      <c r="BI11" s="969">
        <v>22</v>
      </c>
      <c r="BJ11" s="970" cm="1">
        <f t="array" ref="BJ11">AZ11-BH11</f>
      </c>
      <c r="BK11" t="s" s="975">
        <v>5310</v>
      </c>
      <c r="BL11" s="973"/>
      <c r="BM11" t="s" s="412">
        <v>5311</v>
      </c>
      <c r="BN11" t="s" s="976">
        <v>5312</v>
      </c>
      <c r="BO11" s="977"/>
      <c r="BP11" s="978"/>
      <c r="BQ11" s="874"/>
    </row>
    <row r="12" ht="28.5" customHeight="1">
      <c r="A12" s="706">
        <v>4</v>
      </c>
      <c r="B12" t="s" s="959">
        <v>108</v>
      </c>
      <c r="C12" t="s" s="959">
        <v>109</v>
      </c>
      <c r="D12" t="s" s="959">
        <v>405</v>
      </c>
      <c r="E12" s="960"/>
      <c r="F12" t="s" s="961">
        <v>85</v>
      </c>
      <c r="G12" s="962"/>
      <c r="H12" s="962"/>
      <c r="I12" s="962"/>
      <c r="J12" s="390"/>
      <c r="K12" s="390"/>
      <c r="L12" s="963" cm="1">
        <f t="array" ref="L12">26215500+3500000</f>
        <v>29715500</v>
      </c>
      <c r="M12" s="979" cm="1">
        <f t="array" ref="M12">L12</f>
        <v>29715500</v>
      </c>
      <c r="N12" s="368" cm="1">
        <f t="array" ref="N12">VLOOKUP(B12,'BHXH'!$E$7:$F$12,2,0)</f>
      </c>
      <c r="O12" s="368" cm="1">
        <f t="array" ref="O12">M12-(N12+P12+Q12+R12+S12)</f>
      </c>
      <c r="P12" s="368">
        <v>250000</v>
      </c>
      <c r="Q12" s="368">
        <v>400000</v>
      </c>
      <c r="R12" s="368">
        <v>500000</v>
      </c>
      <c r="S12" s="368">
        <v>730000</v>
      </c>
      <c r="T12" s="368" cm="1">
        <f t="array" ref="T12">SUM(Q12:S12)</f>
        <v>1630000</v>
      </c>
      <c r="U12" s="964" cm="1">
        <f t="array" ref="U12">SUM(W12:Y12)</f>
        <v>21</v>
      </c>
      <c r="V12" s="964">
        <v>21</v>
      </c>
      <c r="W12" s="962"/>
      <c r="X12" s="962"/>
      <c r="Y12" s="965" cm="1">
        <f t="array" ref="Y12">VLOOKUP(B12,'Bảng công_092024'!$AR$31:$AT$57,3,0)</f>
        <v>21</v>
      </c>
      <c r="Z12" s="368" cm="1">
        <f t="array" ref="Z12">M12-Q12-R12-S12</f>
        <v>28085500</v>
      </c>
      <c r="AA12" s="963" cm="1">
        <f t="array" ref="AA12">SUM(AB12:AD12)</f>
        <v>29715500</v>
      </c>
      <c r="AB12" s="368" cm="1">
        <f t="array" ref="AB12">ROUND($G12/V12*W12,0)</f>
        <v>0</v>
      </c>
      <c r="AC12" s="368" cm="1">
        <f t="array" ref="AC12">ROUND(I12/V12*X12,0)</f>
        <v>0</v>
      </c>
      <c r="AD12" s="368" cm="1">
        <f t="array" ref="AD12">ROUND($M12/V12*Y12,0)</f>
        <v>29715500</v>
      </c>
      <c r="AE12" s="368"/>
      <c r="AF12" s="368" cm="1">
        <f t="array" ref="AF12">SUM(AG12:AL12)</f>
        <v>0</v>
      </c>
      <c r="AG12" s="962"/>
      <c r="AH12" s="962"/>
      <c r="AI12" s="962"/>
      <c r="AJ12" s="368" cm="1">
        <f t="array" ref="AJ12">-VLOOKUP(B12,'Bảng công_092024'!$AR$31:$AS$57,2,0)</f>
        <v>0</v>
      </c>
      <c r="AK12" s="962"/>
      <c r="AL12" s="389"/>
      <c r="AM12" s="963" cm="1">
        <f t="array" ref="AM12">AA12+AF12</f>
        <v>29715500</v>
      </c>
      <c r="AN12" s="368" cm="1">
        <f t="array" ref="AN12">VLOOKUP(B12,'BHXH'!$E$7:$F$12,2,0)</f>
      </c>
      <c r="AO12" s="368" cm="1">
        <f t="array" ref="AO12">$AN12*10.5%</f>
      </c>
      <c r="AP12" s="368" cm="1">
        <f t="array" ref="AP12">$AN12*21.5%</f>
      </c>
      <c r="AQ12" s="966">
        <v>1</v>
      </c>
      <c r="AR12" s="389" cm="1">
        <f t="array" ref="AR12">IF($E12=10%,0,(AQ12*4400000+11000000))</f>
        <v>15400000</v>
      </c>
      <c r="AS12" s="389" cm="1">
        <f t="array" ref="AS12">AM12-(Q12+R12+S12)/V12*U12</f>
        <v>28085500</v>
      </c>
      <c r="AT12" s="368" cm="1">
        <f t="array" ref="AT12">ROUND(IF((AS12-AR12-AO12)&lt;0,0,(AS12-AR12-AO12)),0)</f>
      </c>
      <c r="AU12" s="389"/>
      <c r="AV12" s="389" cm="1">
        <f t="array" ref="AV12">ROUND(IF(AU12&gt;0,0,IF(AT12&lt;5000000,AT12*5%,IF(AT12&lt;10000000,250000+(AT12-5000000)*10%,IF(AT12&lt;18000000,750000+(AT12-10000000)*15%,IF(AT12&lt;32000000,1950000+(AT12-18000000)*20%,IF(AT12&lt;52000000,4750000+(AT12-32000000)*25%,IF(AT12&lt;80000000,9750000+(AT12-52000000)*30%,IF(AT12&lt;400000000,18150000+(AT12-80000000)*35%,0)))))))),0)</f>
      </c>
      <c r="AW12" s="368" cm="1">
        <f t="array" ref="AW12">AM12-AO12-AV12-AU12</f>
      </c>
      <c r="AX12" s="962"/>
      <c r="AY12" s="962"/>
      <c r="AZ12" s="368" cm="1">
        <f t="array" ref="AZ12">ROUND(AW12-AX12+AY12,0)</f>
      </c>
      <c r="BA12" s="389" cm="1">
        <f t="array" ref="BA12">AM12+AP12</f>
      </c>
      <c r="BB12" s="974"/>
      <c r="BC12" s="967" cm="1">
        <f t="array" ref="BC12">U12</f>
        <v>21</v>
      </c>
      <c r="BD12" s="968" cm="1">
        <f t="array" ref="BD12">AJ12</f>
        <v>0</v>
      </c>
      <c r="BE12" s="920">
        <v>0</v>
      </c>
      <c r="BF12" s="877" cm="1">
        <f t="array" ref="BF12">T12/V12*U12</f>
        <v>1630000</v>
      </c>
      <c r="BG12" t="str" s="880" cm="1">
        <f t="array" ref="BG12">B12</f>
        <v>Nguyễn Ngọc Lê</v>
      </c>
      <c r="BH12" s="920">
        <v>28107500</v>
      </c>
      <c r="BI12" s="969">
        <v>22</v>
      </c>
      <c r="BJ12" s="970" cm="1">
        <f t="array" ref="BJ12">AZ12-BH12</f>
      </c>
      <c r="BK12" s="896"/>
      <c r="BL12" s="973"/>
      <c r="BM12" t="s" s="972">
        <v>5314</v>
      </c>
      <c r="BN12" t="s" s="972">
        <v>5315</v>
      </c>
      <c r="BO12" t="s" s="972">
        <v>5306</v>
      </c>
      <c r="BP12" t="s" s="972">
        <v>266</v>
      </c>
      <c r="BQ12" s="874"/>
    </row>
    <row r="13" ht="26.25" customHeight="1">
      <c r="A13" s="706">
        <v>5</v>
      </c>
      <c r="B13" t="s" s="980">
        <v>111</v>
      </c>
      <c r="C13" t="s" s="959">
        <v>112</v>
      </c>
      <c r="D13" t="s" s="959">
        <v>236</v>
      </c>
      <c r="E13" s="981"/>
      <c r="F13" t="s" s="961">
        <v>5316</v>
      </c>
      <c r="G13" s="982"/>
      <c r="H13" s="962"/>
      <c r="I13" s="389"/>
      <c r="J13" s="390"/>
      <c r="K13" s="390"/>
      <c r="L13" s="963" cm="1">
        <f t="array" ref="L13">18000000+3000000</f>
        <v>21000000</v>
      </c>
      <c r="M13" s="963" cm="1">
        <f t="array" ref="M13">L13</f>
        <v>21000000</v>
      </c>
      <c r="N13" s="368"/>
      <c r="O13" s="368" cm="1">
        <f t="array" ref="O13">M13-(N13+P13+Q13+R13+S13)</f>
        <v>19120000</v>
      </c>
      <c r="P13" s="368">
        <v>250000</v>
      </c>
      <c r="Q13" s="368">
        <v>400000</v>
      </c>
      <c r="R13" s="368">
        <v>500000</v>
      </c>
      <c r="S13" s="368">
        <v>730000</v>
      </c>
      <c r="T13" s="368" cm="1">
        <f t="array" ref="T13">SUM(Q13:S13)</f>
        <v>1630000</v>
      </c>
      <c r="U13" s="964" cm="1">
        <f t="array" ref="U13">SUM(W13:Y13)</f>
        <v>10</v>
      </c>
      <c r="V13" s="964">
        <v>21</v>
      </c>
      <c r="W13" s="962"/>
      <c r="X13" s="964"/>
      <c r="Y13" s="965" cm="1">
        <f t="array" ref="Y13">VLOOKUP(B13,'Bảng công_092024'!$AR$31:$AT$57,3,0)</f>
        <v>10</v>
      </c>
      <c r="Z13" s="368" cm="1">
        <f t="array" ref="Z13">M13-Q13-R13-S13</f>
        <v>19370000</v>
      </c>
      <c r="AA13" s="963" cm="1">
        <f t="array" ref="AA13">SUM(AB13:AD13)</f>
        <v>10000000</v>
      </c>
      <c r="AB13" s="368" cm="1">
        <f t="array" ref="AB13">ROUND($G13/V13*W13,0)</f>
        <v>0</v>
      </c>
      <c r="AC13" s="368" cm="1">
        <f t="array" ref="AC13">ROUND(I13/V13*X13,0)</f>
        <v>0</v>
      </c>
      <c r="AD13" s="368" cm="1">
        <f t="array" ref="AD13">ROUND($M13/V13*Y13,0)</f>
        <v>10000000</v>
      </c>
      <c r="AE13" s="368"/>
      <c r="AF13" s="368" cm="1">
        <f t="array" ref="AF13">SUM(AG13:AL13)</f>
        <v>0</v>
      </c>
      <c r="AG13" s="962"/>
      <c r="AH13" s="962"/>
      <c r="AI13" s="962"/>
      <c r="AJ13" s="368" cm="1">
        <f t="array" ref="AJ13">-VLOOKUP(B13,'Bảng công_092024'!$AR$31:$AS$57,2,0)</f>
        <v>0</v>
      </c>
      <c r="AK13" s="962"/>
      <c r="AL13" s="389"/>
      <c r="AM13" s="963" cm="1">
        <f t="array" ref="AM13">AA13+AF13</f>
        <v>10000000</v>
      </c>
      <c r="AN13" s="368" cm="1">
        <f t="array" ref="AN13">VLOOKUP(B13,'BHXH'!$E$7:$F$12,2,0)</f>
      </c>
      <c r="AO13" s="368" cm="1">
        <f t="array" ref="AO13">$AN13*10.5%</f>
      </c>
      <c r="AP13" s="368" cm="1">
        <f t="array" ref="AP13">$AN13*21.5%</f>
      </c>
      <c r="AQ13" s="966">
        <v>0</v>
      </c>
      <c r="AR13" s="389" cm="1">
        <f t="array" ref="AR13">IF($E13=10%,0,(AQ13*4400000+11000000))</f>
        <v>11000000</v>
      </c>
      <c r="AS13" s="389" cm="1">
        <f t="array" ref="AS13">AM13-(Q13+R13+S13)/V13*U13</f>
        <v>9223809.523809521</v>
      </c>
      <c r="AT13" s="368" cm="1">
        <f t="array" ref="AT13">ROUND(IF((AS13-AR13-AO13)&lt;0,0,(AS13-AR13-AO13)),0)</f>
      </c>
      <c r="AU13" s="389"/>
      <c r="AV13" s="389" cm="1">
        <f t="array" ref="AV13">ROUND(IF(AU13&gt;0,0,IF(AT13&lt;5000000,AT13*5%,IF(AT13&lt;10000000,250000+(AT13-5000000)*10%,IF(AT13&lt;18000000,750000+(AT13-10000000)*15%,IF(AT13&lt;32000000,1950000+(AT13-18000000)*20%,IF(AT13&lt;52000000,4750000+(AT13-32000000)*25%,IF(AT13&lt;80000000,9750000+(AT13-52000000)*30%,IF(AT13&lt;400000000,18150000+(AT13-80000000)*35%,0)))))))),0)</f>
      </c>
      <c r="AW13" s="368" cm="1">
        <f t="array" ref="AW13">AM13-AO13-AV13-AU13</f>
      </c>
      <c r="AX13" s="962"/>
      <c r="AY13" s="962"/>
      <c r="AZ13" s="368" cm="1">
        <f t="array" ref="AZ13">ROUND(AW13-AX13+AY13,0)</f>
      </c>
      <c r="BA13" s="389" cm="1">
        <f t="array" ref="BA13">AM13+AP13</f>
      </c>
      <c r="BB13" s="974"/>
      <c r="BC13" s="967" cm="1">
        <f t="array" ref="BC13">U13</f>
        <v>10</v>
      </c>
      <c r="BD13" s="968" cm="1">
        <f t="array" ref="BD13">AJ13</f>
        <v>0</v>
      </c>
      <c r="BE13" s="920">
        <v>0</v>
      </c>
      <c r="BF13" s="877" cm="1">
        <f t="array" ref="BF13">T13/V13*U13</f>
        <v>776190.476190476</v>
      </c>
      <c r="BG13" t="str" s="880" cm="1">
        <f t="array" ref="BG13">B13</f>
        <v>Nguyễn Hồng Nhung</v>
      </c>
      <c r="BH13" s="920">
        <v>19931050</v>
      </c>
      <c r="BI13" s="969">
        <v>22</v>
      </c>
      <c r="BJ13" s="970" cm="1">
        <f t="array" ref="BJ13">AZ13-BH13</f>
      </c>
      <c r="BK13" t="s" s="975">
        <v>5318</v>
      </c>
      <c r="BL13" s="973"/>
      <c r="BM13" t="s" s="972">
        <v>5319</v>
      </c>
      <c r="BN13" t="s" s="972">
        <v>5320</v>
      </c>
      <c r="BO13" t="s" s="972">
        <v>5306</v>
      </c>
      <c r="BP13" t="s" s="972">
        <v>211</v>
      </c>
      <c r="BQ13" s="874"/>
    </row>
    <row r="14" ht="24.75" customHeight="1">
      <c r="A14" s="706">
        <v>6</v>
      </c>
      <c r="B14" t="s" s="959">
        <v>115</v>
      </c>
      <c r="C14" t="s" s="959">
        <v>116</v>
      </c>
      <c r="D14" t="s" s="959">
        <v>117</v>
      </c>
      <c r="E14" s="981"/>
      <c r="F14" t="s" s="961">
        <v>85</v>
      </c>
      <c r="G14" s="389"/>
      <c r="H14" s="389"/>
      <c r="I14" s="390"/>
      <c r="J14" s="390"/>
      <c r="K14" s="390"/>
      <c r="L14" s="963" cm="1">
        <f t="array" ref="L14">23000000+1000000</f>
        <v>24000000</v>
      </c>
      <c r="M14" s="963" cm="1">
        <f t="array" ref="M14">L14</f>
        <v>24000000</v>
      </c>
      <c r="N14" s="368" cm="1">
        <f t="array" ref="N14">VLOOKUP(B14,'BHXH'!$E$7:$F$12,2,0)</f>
        <v>5310000</v>
      </c>
      <c r="O14" s="368" cm="1">
        <f t="array" ref="O14">M14-(N14+P14+Q14+R14+S14)</f>
        <v>16810000</v>
      </c>
      <c r="P14" s="368">
        <v>250000</v>
      </c>
      <c r="Q14" s="368">
        <v>400000</v>
      </c>
      <c r="R14" s="368">
        <v>500000</v>
      </c>
      <c r="S14" s="368">
        <v>730000</v>
      </c>
      <c r="T14" s="368" cm="1">
        <f t="array" ref="T14">SUM(Q14:S14)</f>
        <v>1630000</v>
      </c>
      <c r="U14" s="964" cm="1">
        <f t="array" ref="U14">SUM(W14:Y14)</f>
        <v>21</v>
      </c>
      <c r="V14" s="964">
        <v>21</v>
      </c>
      <c r="W14" s="964"/>
      <c r="X14" s="983"/>
      <c r="Y14" s="965" cm="1">
        <f t="array" ref="Y14">VLOOKUP(B14,'Bảng công_092024'!$AR$31:$AT$57,3,0)</f>
        <v>21</v>
      </c>
      <c r="Z14" s="368" cm="1">
        <f t="array" ref="Z14">M14-Q14-R14-S14</f>
        <v>22370000</v>
      </c>
      <c r="AA14" s="963" cm="1">
        <f t="array" ref="AA14">SUM(AB14:AD14)</f>
        <v>24000000</v>
      </c>
      <c r="AB14" s="368" cm="1">
        <f t="array" ref="AB14">ROUND($G14/V14*W14,0)</f>
        <v>0</v>
      </c>
      <c r="AC14" s="368" cm="1">
        <f t="array" ref="AC14">ROUND(I14/V14*X14,0)</f>
        <v>0</v>
      </c>
      <c r="AD14" s="368" cm="1">
        <f t="array" ref="AD14">ROUND($M14/V14*Y14,0)</f>
        <v>24000000</v>
      </c>
      <c r="AE14" s="368"/>
      <c r="AF14" s="368" cm="1">
        <f t="array" ref="AF14">SUM(AG14:AL14)</f>
        <v>-225000</v>
      </c>
      <c r="AG14" s="962"/>
      <c r="AH14" s="962"/>
      <c r="AI14" s="962"/>
      <c r="AJ14" s="368" cm="1">
        <f t="array" ref="AJ14">-VLOOKUP(B14,'Bảng công_092024'!$AR$31:$AS$57,2,0)</f>
        <v>-225000</v>
      </c>
      <c r="AK14" s="962"/>
      <c r="AL14" s="389"/>
      <c r="AM14" s="963" cm="1">
        <f t="array" ref="AM14">AA14+AF14</f>
        <v>23775000</v>
      </c>
      <c r="AN14" s="368" cm="1">
        <f t="array" ref="AN14">VLOOKUP(B14,'BHXH'!$E$7:$F$12,2,0)</f>
        <v>5310000</v>
      </c>
      <c r="AO14" s="368" cm="1">
        <f t="array" ref="AO14">$AN14*10.5%</f>
        <v>557550</v>
      </c>
      <c r="AP14" s="368" cm="1">
        <f t="array" ref="AP14">$AN14*21.5%</f>
        <v>1141650</v>
      </c>
      <c r="AQ14" s="966">
        <v>0</v>
      </c>
      <c r="AR14" s="389" cm="1">
        <f t="array" ref="AR14">IF($E14=10%,0,(AQ14*4400000+11000000))</f>
        <v>11000000</v>
      </c>
      <c r="AS14" s="389" cm="1">
        <f t="array" ref="AS14">AM14-(Q14+R14+S14)/V14*U14</f>
        <v>22145000</v>
      </c>
      <c r="AT14" s="368" cm="1">
        <f t="array" ref="AT14">ROUND(IF((AS14-AR14-AO14)&lt;0,0,(AS14-AR14-AO14)),0)</f>
        <v>10587450</v>
      </c>
      <c r="AU14" s="389"/>
      <c r="AV14" s="389" cm="1">
        <f t="array" ref="AV14">ROUND(IF(AU14&gt;0,0,IF(AT14&lt;5000000,AT14*5%,IF(AT14&lt;10000000,250000+(AT14-5000000)*10%,IF(AT14&lt;18000000,750000+(AT14-10000000)*15%,IF(AT14&lt;32000000,1950000+(AT14-18000000)*20%,IF(AT14&lt;52000000,4750000+(AT14-32000000)*25%,IF(AT14&lt;80000000,9750000+(AT14-52000000)*30%,IF(AT14&lt;400000000,18150000+(AT14-80000000)*35%,0)))))))),0)</f>
        <v>838118</v>
      </c>
      <c r="AW14" s="368" cm="1">
        <f t="array" ref="AW14">AM14-AO14-AV14-AU14</f>
        <v>22379332</v>
      </c>
      <c r="AX14" s="962"/>
      <c r="AY14" s="962"/>
      <c r="AZ14" s="368" cm="1">
        <f t="array" ref="AZ14">ROUND(AW14-AX14+AY14,0)</f>
        <v>22379332</v>
      </c>
      <c r="BA14" s="389" cm="1">
        <f t="array" ref="BA14">AM14+AP14</f>
        <v>24916650</v>
      </c>
      <c r="BB14" s="974"/>
      <c r="BC14" s="967" cm="1">
        <f t="array" ref="BC14">U14</f>
        <v>21</v>
      </c>
      <c r="BD14" s="968" cm="1">
        <f t="array" ref="BD14">AJ14</f>
        <v>-225000</v>
      </c>
      <c r="BE14" s="920">
        <v>-375000</v>
      </c>
      <c r="BF14" s="877" cm="1">
        <f t="array" ref="BF14">T14/V14*U14</f>
        <v>1630000</v>
      </c>
      <c r="BG14" t="str" s="880" cm="1">
        <f t="array" ref="BG14">B14</f>
        <v>Lê Hải Linh</v>
      </c>
      <c r="BH14" s="920">
        <v>22270575</v>
      </c>
      <c r="BI14" s="969">
        <v>22</v>
      </c>
      <c r="BJ14" s="970" cm="1">
        <f t="array" ref="BJ14">AZ14-BH14</f>
        <v>108757</v>
      </c>
      <c r="BK14" t="s" s="975">
        <v>5322</v>
      </c>
      <c r="BL14" s="973"/>
      <c r="BM14" t="s" s="972">
        <v>217</v>
      </c>
      <c r="BN14" t="s" s="972">
        <v>218</v>
      </c>
      <c r="BO14" t="s" s="972">
        <v>5306</v>
      </c>
      <c r="BP14" t="s" s="972">
        <v>211</v>
      </c>
      <c r="BQ14" s="874"/>
    </row>
    <row r="15" ht="24.75" customHeight="1">
      <c r="A15" s="706">
        <v>7</v>
      </c>
      <c r="B15" t="s" s="783">
        <v>119</v>
      </c>
      <c r="C15" t="s" s="783">
        <v>120</v>
      </c>
      <c r="D15" t="s" s="959">
        <v>117</v>
      </c>
      <c r="E15" s="981"/>
      <c r="F15" t="s" s="961">
        <v>85</v>
      </c>
      <c r="G15" s="368"/>
      <c r="H15" s="368"/>
      <c r="I15" s="390"/>
      <c r="J15" s="390"/>
      <c r="K15" s="390"/>
      <c r="L15" s="963">
        <v>11000000</v>
      </c>
      <c r="M15" s="963" cm="1">
        <f t="array" ref="M15">L15</f>
        <v>11000000</v>
      </c>
      <c r="N15" s="368" cm="1">
        <f t="array" ref="N15">VLOOKUP(B15,'BHXH'!$E$7:$F$12,2,0)</f>
      </c>
      <c r="O15" s="368" cm="1">
        <f t="array" ref="O15">M15-(N15+P15+Q15+R15+S15)</f>
      </c>
      <c r="P15" s="368">
        <v>250000</v>
      </c>
      <c r="Q15" s="368">
        <v>400000</v>
      </c>
      <c r="R15" s="368">
        <v>500000</v>
      </c>
      <c r="S15" s="368">
        <v>730000</v>
      </c>
      <c r="T15" s="368" cm="1">
        <f t="array" ref="T15">SUM(Q15:S15)</f>
        <v>1630000</v>
      </c>
      <c r="U15" s="964" cm="1">
        <f t="array" ref="U15">SUM(W15:Y15)</f>
        <v>21</v>
      </c>
      <c r="V15" s="964">
        <v>21</v>
      </c>
      <c r="W15" s="964"/>
      <c r="X15" s="964"/>
      <c r="Y15" s="965" cm="1">
        <f t="array" ref="Y15">VLOOKUP(B15,'Bảng công_092024'!$AR$31:$AT$57,3,0)</f>
        <v>21</v>
      </c>
      <c r="Z15" s="368" cm="1">
        <f t="array" ref="Z15">M15-Q15-R15-S15</f>
        <v>9370000</v>
      </c>
      <c r="AA15" s="963" cm="1">
        <f t="array" ref="AA15">SUM(AB15:AD15)</f>
        <v>11000000</v>
      </c>
      <c r="AB15" s="368" cm="1">
        <f t="array" ref="AB15">ROUND($G15/V15*W15,0)</f>
        <v>0</v>
      </c>
      <c r="AC15" s="368" cm="1">
        <f t="array" ref="AC15">ROUND(I15/V15*X15,0)</f>
        <v>0</v>
      </c>
      <c r="AD15" s="368" cm="1">
        <f t="array" ref="AD15">ROUND($M15/V15*Y15,0)</f>
        <v>11000000</v>
      </c>
      <c r="AE15" s="368"/>
      <c r="AF15" s="368" cm="1">
        <f t="array" ref="AF15">SUM(AG15:AL15)</f>
        <v>-150000</v>
      </c>
      <c r="AG15" s="389"/>
      <c r="AH15" s="962"/>
      <c r="AI15" s="962"/>
      <c r="AJ15" s="368" cm="1">
        <f t="array" ref="AJ15">-VLOOKUP(B15,'Bảng công_092024'!$AR$31:$AS$57,2,0)</f>
        <v>-150000</v>
      </c>
      <c r="AK15" s="962"/>
      <c r="AL15" s="389"/>
      <c r="AM15" s="963" cm="1">
        <f t="array" ref="AM15">AA15+AF15</f>
        <v>10850000</v>
      </c>
      <c r="AN15" s="368" cm="1">
        <f t="array" ref="AN15">VLOOKUP(B15,'BHXH'!$E$7:$F$12,2,0)</f>
      </c>
      <c r="AO15" s="368" cm="1">
        <f t="array" ref="AO15">$AN15*10.5%</f>
      </c>
      <c r="AP15" s="368" cm="1">
        <f t="array" ref="AP15">$AN15*21.5%</f>
      </c>
      <c r="AQ15" s="966">
        <v>0</v>
      </c>
      <c r="AR15" s="389" cm="1">
        <f t="array" ref="AR15">IF($E15=10%,0,(AQ15*4400000+11000000))</f>
        <v>11000000</v>
      </c>
      <c r="AS15" s="389" cm="1">
        <f t="array" ref="AS15">AM15-(Q15+R15+S15)/V15*U15</f>
        <v>9220000</v>
      </c>
      <c r="AT15" s="368" cm="1">
        <f t="array" ref="AT15">ROUND(IF((AS15-AR15-AO15)&lt;0,0,(AS15-AR15-AO15)),0)</f>
      </c>
      <c r="AU15" s="389"/>
      <c r="AV15" s="389" cm="1">
        <f t="array" ref="AV15">ROUND(IF(AU15&gt;0,0,IF(AT15&lt;5000000,AT15*5%,IF(AT15&lt;10000000,250000+(AT15-5000000)*10%,IF(AT15&lt;18000000,750000+(AT15-10000000)*15%,IF(AT15&lt;32000000,1950000+(AT15-18000000)*20%,IF(AT15&lt;52000000,4750000+(AT15-32000000)*25%,IF(AT15&lt;80000000,9750000+(AT15-52000000)*30%,IF(AT15&lt;400000000,18150000+(AT15-80000000)*35%,0)))))))),0)</f>
      </c>
      <c r="AW15" s="368" cm="1">
        <f t="array" ref="AW15">AM15-AO15-AV15-AU15</f>
      </c>
      <c r="AX15" s="389"/>
      <c r="AY15" s="389"/>
      <c r="AZ15" s="368" cm="1">
        <f t="array" ref="AZ15">ROUND(AW15-AX15+AY15,0)</f>
      </c>
      <c r="BA15" s="389" cm="1">
        <f t="array" ref="BA15">AM15+AP15</f>
      </c>
      <c r="BB15" s="974"/>
      <c r="BC15" s="967" cm="1">
        <f t="array" ref="BC15">U15</f>
        <v>21</v>
      </c>
      <c r="BD15" s="968" cm="1">
        <f t="array" ref="BD15">AJ15</f>
        <v>-150000</v>
      </c>
      <c r="BE15" s="920">
        <v>-450000</v>
      </c>
      <c r="BF15" s="877" cm="1">
        <f t="array" ref="BF15">T15/V15*U15</f>
        <v>1630000</v>
      </c>
      <c r="BG15" t="str" s="880" cm="1">
        <f t="array" ref="BG15">B15</f>
        <v>Cao Nguyễn Nguyệt Linh</v>
      </c>
      <c r="BH15" s="920">
        <v>10014500</v>
      </c>
      <c r="BI15" s="969">
        <v>22</v>
      </c>
      <c r="BJ15" s="970" cm="1">
        <f t="array" ref="BJ15">AZ15-BH15</f>
      </c>
      <c r="BK15" t="s" s="975">
        <v>5322</v>
      </c>
      <c r="BL15" s="973"/>
      <c r="BM15" t="s" s="412">
        <v>5324</v>
      </c>
      <c r="BN15" t="s" s="976">
        <v>5325</v>
      </c>
      <c r="BO15" s="984"/>
      <c r="BP15" s="984"/>
      <c r="BQ15" s="874"/>
    </row>
    <row r="16" ht="26.25" customHeight="1">
      <c r="A16" s="706">
        <v>8</v>
      </c>
      <c r="B16" t="s" s="959">
        <v>125</v>
      </c>
      <c r="C16" t="s" s="959">
        <v>126</v>
      </c>
      <c r="D16" t="s" s="959">
        <v>221</v>
      </c>
      <c r="E16" s="981"/>
      <c r="F16" t="s" s="961">
        <v>85</v>
      </c>
      <c r="G16" s="389"/>
      <c r="H16" s="389"/>
      <c r="I16" s="389"/>
      <c r="J16" s="390"/>
      <c r="K16" s="390"/>
      <c r="L16" s="963">
        <v>98630000</v>
      </c>
      <c r="M16" s="963" cm="1">
        <f t="array" ref="M16">L16</f>
        <v>98630000</v>
      </c>
      <c r="N16" s="368" cm="1">
        <f t="array" ref="N16">VLOOKUP(B16,'BHXH'!$E$7:$F$12,2,0)</f>
      </c>
      <c r="O16" s="368" cm="1">
        <f t="array" ref="O16">M16-(N16+P16+Q16+R16+S16)</f>
      </c>
      <c r="P16" s="368">
        <v>250000</v>
      </c>
      <c r="Q16" s="368">
        <v>400000</v>
      </c>
      <c r="R16" s="368">
        <v>1000000</v>
      </c>
      <c r="S16" s="368">
        <v>730000</v>
      </c>
      <c r="T16" s="368" cm="1">
        <f t="array" ref="T16">SUM(Q16:S16)</f>
        <v>2130000</v>
      </c>
      <c r="U16" s="964" cm="1">
        <f t="array" ref="U16">SUM(W16:Y16)</f>
        <v>21</v>
      </c>
      <c r="V16" s="964">
        <v>21</v>
      </c>
      <c r="W16" s="964"/>
      <c r="X16" s="985"/>
      <c r="Y16" s="965" cm="1">
        <f t="array" ref="Y16">VLOOKUP(B16,'Bảng công_092024'!$AR$31:$AT$57,3,0)</f>
        <v>21</v>
      </c>
      <c r="Z16" s="368" cm="1">
        <f t="array" ref="Z16">M16-Q16-R16-S16</f>
        <v>96500000</v>
      </c>
      <c r="AA16" s="963" cm="1">
        <f t="array" ref="AA16">SUM(AB16:AD16)</f>
        <v>98630000</v>
      </c>
      <c r="AB16" s="368" cm="1">
        <f t="array" ref="AB16">ROUND($G16/V16*W16,0)</f>
        <v>0</v>
      </c>
      <c r="AC16" s="368" cm="1">
        <f t="array" ref="AC16">ROUND(I16/V16*X16,0)</f>
        <v>0</v>
      </c>
      <c r="AD16" s="368" cm="1">
        <f t="array" ref="AD16">ROUND($M16/V16*Y16,0)</f>
        <v>98630000</v>
      </c>
      <c r="AE16" s="368"/>
      <c r="AF16" s="368" cm="1">
        <f t="array" ref="AF16">SUM(AG16:AL16)</f>
        <v>0</v>
      </c>
      <c r="AG16" s="962"/>
      <c r="AH16" s="962"/>
      <c r="AI16" s="962"/>
      <c r="AJ16" s="368" cm="1">
        <f t="array" ref="AJ16">-VLOOKUP(B16,'Bảng công_092024'!$AR$31:$AS$57,2,0)</f>
        <v>0</v>
      </c>
      <c r="AK16" s="962"/>
      <c r="AL16" s="389"/>
      <c r="AM16" s="963" cm="1">
        <f t="array" ref="AM16">AA16+AF16</f>
        <v>98630000</v>
      </c>
      <c r="AN16" s="368" cm="1">
        <f t="array" ref="AN16">VLOOKUP(B16,'BHXH'!$E$7:$F$12,2,0)</f>
      </c>
      <c r="AO16" s="368" cm="1">
        <f t="array" ref="AO16">$AN16*10.5%</f>
      </c>
      <c r="AP16" s="368" cm="1">
        <f t="array" ref="AP16">$AN16*21.5%</f>
      </c>
      <c r="AQ16" s="966">
        <v>2</v>
      </c>
      <c r="AR16" s="389" cm="1">
        <f t="array" ref="AR16">IF($E16=10%,0,(AQ16*4400000+11000000))</f>
        <v>19800000</v>
      </c>
      <c r="AS16" s="389" cm="1">
        <f t="array" ref="AS16">AM16-(Q16+R16+S16)/V16*U16</f>
        <v>96500000</v>
      </c>
      <c r="AT16" s="368" cm="1">
        <f t="array" ref="AT16">ROUND(IF((AS16-AR16-AO16)&lt;0,0,(AS16-AR16-AO16)),0)</f>
      </c>
      <c r="AU16" s="389"/>
      <c r="AV16" s="389" cm="1">
        <f t="array" ref="AV16">ROUND(IF(AU16&gt;0,0,IF(AT16&lt;5000000,AT16*5%,IF(AT16&lt;10000000,250000+(AT16-5000000)*10%,IF(AT16&lt;18000000,750000+(AT16-10000000)*15%,IF(AT16&lt;32000000,1950000+(AT16-18000000)*20%,IF(AT16&lt;52000000,4750000+(AT16-32000000)*25%,IF(AT16&lt;80000000,9750000+(AT16-52000000)*30%,IF(AT16&lt;400000000,18150000+(AT16-80000000)*35%,0)))))))),0)</f>
      </c>
      <c r="AW16" s="368" cm="1">
        <f t="array" ref="AW16">AM16-AO16-AV16-AU16</f>
      </c>
      <c r="AX16" s="962"/>
      <c r="AY16" s="962"/>
      <c r="AZ16" s="368" cm="1">
        <f t="array" ref="AZ16">ROUND(AW16-AX16+AY16,0)</f>
      </c>
      <c r="BA16" s="389" cm="1">
        <f t="array" ref="BA16">AM16+AP16</f>
      </c>
      <c r="BB16" s="974"/>
      <c r="BC16" s="967" cm="1">
        <f t="array" ref="BC16">U16</f>
        <v>21</v>
      </c>
      <c r="BD16" s="968" cm="1">
        <f t="array" ref="BD16">AJ16</f>
        <v>0</v>
      </c>
      <c r="BE16" s="920">
        <v>0</v>
      </c>
      <c r="BF16" s="877" cm="1">
        <f t="array" ref="BF16">T16/V16*U16</f>
        <v>2130000</v>
      </c>
      <c r="BG16" t="str" s="880" cm="1">
        <f t="array" ref="BG16">B16</f>
        <v>Thái Thanh Nhật Quang </v>
      </c>
      <c r="BH16" s="920">
        <v>80000000</v>
      </c>
      <c r="BI16" s="969">
        <v>22</v>
      </c>
      <c r="BJ16" s="970" cm="1">
        <f t="array" ref="BJ16">AZ16-BH16</f>
      </c>
      <c r="BK16" s="896"/>
      <c r="BL16" s="973"/>
      <c r="BM16" t="s" s="412">
        <v>222</v>
      </c>
      <c r="BN16" t="s" s="976">
        <v>223</v>
      </c>
      <c r="BO16" s="977"/>
      <c r="BP16" s="978"/>
      <c r="BQ16" s="874"/>
    </row>
    <row r="17" ht="26.25" customHeight="1">
      <c r="A17" s="706">
        <v>9</v>
      </c>
      <c r="B17" t="s" s="986">
        <v>224</v>
      </c>
      <c r="C17" t="s" s="987">
        <v>129</v>
      </c>
      <c r="D17" t="s" s="987">
        <v>225</v>
      </c>
      <c r="E17" s="981"/>
      <c r="F17" t="s" s="961">
        <v>85</v>
      </c>
      <c r="G17" s="389"/>
      <c r="H17" s="389"/>
      <c r="I17" s="389"/>
      <c r="J17" s="390"/>
      <c r="K17" s="390"/>
      <c r="L17" s="963">
        <v>14000000</v>
      </c>
      <c r="M17" s="963" cm="1">
        <f t="array" ref="M17">L17</f>
        <v>14000000</v>
      </c>
      <c r="N17" s="368" cm="1">
        <f t="array" ref="N17">VLOOKUP(B17,'BHXH'!$E$7:$F$12,2,0)</f>
        <v>5310000</v>
      </c>
      <c r="O17" s="368" cm="1">
        <f t="array" ref="O17">M17-(N17+P17+Q17+R17+S17)</f>
        <v>6810000</v>
      </c>
      <c r="P17" s="368">
        <v>250000</v>
      </c>
      <c r="Q17" s="368">
        <v>400000</v>
      </c>
      <c r="R17" s="368">
        <v>500000</v>
      </c>
      <c r="S17" s="368">
        <v>730000</v>
      </c>
      <c r="T17" s="368" cm="1">
        <f t="array" ref="T17">SUM(Q17:S17)</f>
        <v>1630000</v>
      </c>
      <c r="U17" s="964" cm="1">
        <f t="array" ref="U17">SUM(W17:Y17)</f>
        <v>21</v>
      </c>
      <c r="V17" s="964">
        <v>21</v>
      </c>
      <c r="W17" s="964"/>
      <c r="X17" s="985"/>
      <c r="Y17" s="965" cm="1">
        <f t="array" ref="Y17">VLOOKUP(B17,'Bảng công_092024'!$AR$31:$AT$57,3,0)</f>
        <v>21</v>
      </c>
      <c r="Z17" s="368" cm="1">
        <f t="array" ref="Z17">M17-Q17-R17-S17</f>
        <v>12370000</v>
      </c>
      <c r="AA17" s="963" cm="1">
        <f t="array" ref="AA17">SUM(AB17:AD17)</f>
        <v>14000000</v>
      </c>
      <c r="AB17" s="368" cm="1">
        <f t="array" ref="AB17">ROUND($G17/V17*W17,0)</f>
        <v>0</v>
      </c>
      <c r="AC17" s="368" cm="1">
        <f t="array" ref="AC17">ROUND(I17/V17*X17,0)</f>
        <v>0</v>
      </c>
      <c r="AD17" s="368" cm="1">
        <f t="array" ref="AD17">ROUND($M17/V17*Y17,0)</f>
        <v>14000000</v>
      </c>
      <c r="AE17" s="368"/>
      <c r="AF17" s="368" cm="1">
        <f t="array" ref="AF17">SUM(AG17:AL17)</f>
        <v>-75000</v>
      </c>
      <c r="AG17" s="962"/>
      <c r="AH17" s="962"/>
      <c r="AI17" s="962"/>
      <c r="AJ17" s="368" cm="1">
        <f t="array" ref="AJ17">-VLOOKUP(B17,'Bảng công_092024'!$AR$31:$AS$57,2,0)</f>
        <v>-75000</v>
      </c>
      <c r="AK17" s="962"/>
      <c r="AL17" s="389"/>
      <c r="AM17" s="963" cm="1">
        <f t="array" ref="AM17">AA17+AF17</f>
        <v>13925000</v>
      </c>
      <c r="AN17" s="368" cm="1">
        <f t="array" ref="AN17">VLOOKUP(B17,'BHXH'!$E$7:$F$12,2,0)</f>
        <v>5310000</v>
      </c>
      <c r="AO17" s="368" cm="1">
        <f t="array" ref="AO17">$AN17*10.5%</f>
        <v>557550</v>
      </c>
      <c r="AP17" s="368" cm="1">
        <f t="array" ref="AP17">$AN17*21.5%</f>
        <v>1141650</v>
      </c>
      <c r="AQ17" s="966">
        <v>1</v>
      </c>
      <c r="AR17" s="389" cm="1">
        <f t="array" ref="AR17">IF($E17=10%,0,(AQ17*4400000+11000000))</f>
        <v>15400000</v>
      </c>
      <c r="AS17" s="389" cm="1">
        <f t="array" ref="AS17">AM17-(Q17+R17+S17)/V17*U17</f>
        <v>12295000</v>
      </c>
      <c r="AT17" s="368" cm="1">
        <f t="array" ref="AT17">ROUND(IF((AS17-AR17-AO17)&lt;0,0,(AS17-AR17-AO17)),0)</f>
        <v>0</v>
      </c>
      <c r="AU17" s="389"/>
      <c r="AV17" s="389" cm="1">
        <f t="array" ref="AV17">ROUND(IF(AU17&gt;0,0,IF(AT17&lt;5000000,AT17*5%,IF(AT17&lt;10000000,250000+(AT17-5000000)*10%,IF(AT17&lt;18000000,750000+(AT17-10000000)*15%,IF(AT17&lt;32000000,1950000+(AT17-18000000)*20%,IF(AT17&lt;52000000,4750000+(AT17-32000000)*25%,IF(AT17&lt;80000000,9750000+(AT17-52000000)*30%,IF(AT17&lt;400000000,18150000+(AT17-80000000)*35%,0)))))))),0)</f>
        <v>0</v>
      </c>
      <c r="AW17" s="368" cm="1">
        <f t="array" ref="AW17">AM17-AO17-AV17-AU17</f>
        <v>13367450</v>
      </c>
      <c r="AX17" s="962"/>
      <c r="AY17" s="962"/>
      <c r="AZ17" s="368" cm="1">
        <f t="array" ref="AZ17">ROUND(AW17-AX17+AY17,0)</f>
        <v>13367450</v>
      </c>
      <c r="BA17" s="389" cm="1">
        <f t="array" ref="BA17">AM17+AP17</f>
        <v>15066650</v>
      </c>
      <c r="BB17" s="974"/>
      <c r="BC17" s="967" cm="1">
        <f t="array" ref="BC17">U17</f>
        <v>21</v>
      </c>
      <c r="BD17" s="968" cm="1">
        <f t="array" ref="BD17">AJ17</f>
        <v>-75000</v>
      </c>
      <c r="BE17" s="920">
        <v>0</v>
      </c>
      <c r="BF17" s="877" cm="1">
        <f t="array" ref="BF17">T17/V17*U17</f>
        <v>1630000</v>
      </c>
      <c r="BG17" t="str" s="880" cm="1">
        <f t="array" ref="BG17">B17</f>
        <v>Trần Minh Tuyết</v>
      </c>
      <c r="BH17" s="920">
        <v>13055000</v>
      </c>
      <c r="BI17" s="969">
        <v>22</v>
      </c>
      <c r="BJ17" s="970" cm="1">
        <f t="array" ref="BJ17">AZ17-BH17</f>
        <v>312450</v>
      </c>
      <c r="BK17" t="s" s="975">
        <v>5322</v>
      </c>
      <c r="BL17" s="973"/>
      <c r="BM17" t="s" s="972">
        <v>227</v>
      </c>
      <c r="BN17" t="s" s="972">
        <v>228</v>
      </c>
      <c r="BO17" t="s" s="972">
        <v>5306</v>
      </c>
      <c r="BP17" t="s" s="972">
        <v>229</v>
      </c>
      <c r="BQ17" s="874"/>
    </row>
    <row r="18" ht="24" customHeight="1">
      <c r="A18" s="706">
        <v>10</v>
      </c>
      <c r="B18" t="s" s="783">
        <v>5328</v>
      </c>
      <c r="C18" t="s" s="783">
        <v>153</v>
      </c>
      <c r="D18" t="s" s="959">
        <v>5329</v>
      </c>
      <c r="E18" s="988"/>
      <c r="F18" t="s" s="961">
        <v>85</v>
      </c>
      <c r="G18" s="368"/>
      <c r="H18" s="368"/>
      <c r="I18" s="389"/>
      <c r="J18" s="390"/>
      <c r="K18" s="390"/>
      <c r="L18" s="963">
        <v>11000000</v>
      </c>
      <c r="M18" s="963" cm="1">
        <f t="array" ref="M18">L18</f>
        <v>11000000</v>
      </c>
      <c r="N18" s="368" cm="1">
        <f t="array" ref="N18">VLOOKUP(B18,'BHXH'!$E$7:$F$12,2,0)</f>
      </c>
      <c r="O18" s="368" cm="1">
        <f t="array" ref="O18">M18-(N18+P18+Q18+R18+S18)</f>
      </c>
      <c r="P18" s="368">
        <v>250000</v>
      </c>
      <c r="Q18" s="368">
        <v>400000</v>
      </c>
      <c r="R18" s="368">
        <v>500000</v>
      </c>
      <c r="S18" s="368">
        <v>730000</v>
      </c>
      <c r="T18" s="368" cm="1">
        <f t="array" ref="T18">SUM(Q18:S18)</f>
        <v>1630000</v>
      </c>
      <c r="U18" s="964" cm="1">
        <f t="array" ref="U18">SUM(W18:Y18)</f>
        <v>21</v>
      </c>
      <c r="V18" s="964">
        <v>21</v>
      </c>
      <c r="W18" s="964"/>
      <c r="X18" s="964"/>
      <c r="Y18" s="965" cm="1">
        <f t="array" ref="Y18">VLOOKUP(B18,'Bảng công_092024'!$AR$31:$AT$57,3,0)</f>
        <v>21</v>
      </c>
      <c r="Z18" s="368" cm="1">
        <f t="array" ref="Z18">M18-Q18-R18-S18</f>
        <v>9370000</v>
      </c>
      <c r="AA18" s="963" cm="1">
        <f t="array" ref="AA18">SUM(AB18:AD18)</f>
        <v>11000000</v>
      </c>
      <c r="AB18" s="368" cm="1">
        <f t="array" ref="AB18">ROUND($G18/V18*W18,0)</f>
        <v>0</v>
      </c>
      <c r="AC18" s="368" cm="1">
        <f t="array" ref="AC18">ROUND(I18/V18*X18,0)</f>
        <v>0</v>
      </c>
      <c r="AD18" s="368" cm="1">
        <f t="array" ref="AD18">ROUND($M18/V18*Y18,0)</f>
        <v>11000000</v>
      </c>
      <c r="AE18" s="368"/>
      <c r="AF18" s="368" cm="1">
        <f t="array" ref="AF18">SUM(AG18:AL18)</f>
        <v>-75000</v>
      </c>
      <c r="AG18" s="962"/>
      <c r="AH18" s="962"/>
      <c r="AI18" s="962"/>
      <c r="AJ18" s="368" cm="1">
        <f t="array" ref="AJ18">-VLOOKUP(B18,'Bảng công_092024'!$AR$31:$AS$57,2,0)</f>
        <v>-75000</v>
      </c>
      <c r="AK18" s="962"/>
      <c r="AL18" s="389"/>
      <c r="AM18" s="963" cm="1">
        <f t="array" ref="AM18">AA18+AF18</f>
        <v>10925000</v>
      </c>
      <c r="AN18" s="368" cm="1">
        <f t="array" ref="AN18">VLOOKUP(B18,'BHXH'!$E$7:$F$12,2,0)</f>
      </c>
      <c r="AO18" s="368" cm="1">
        <f t="array" ref="AO18">$AN18*10.5%</f>
      </c>
      <c r="AP18" s="368" cm="1">
        <f t="array" ref="AP18">$AN18*21.5%</f>
      </c>
      <c r="AQ18" s="966">
        <v>0</v>
      </c>
      <c r="AR18" s="389" cm="1">
        <f t="array" ref="AR18">IF($E18=10%,0,(AQ18*4400000+11000000))</f>
        <v>11000000</v>
      </c>
      <c r="AS18" s="389" cm="1">
        <f t="array" ref="AS18">AM18-(Q18+R18+S18)/V18*U18</f>
        <v>9295000</v>
      </c>
      <c r="AT18" s="368" cm="1">
        <f t="array" ref="AT18">ROUND(IF((AS18-AR18-AO18)&lt;0,0,(AS18-AR18-AO18)),0)</f>
      </c>
      <c r="AU18" s="389"/>
      <c r="AV18" s="389" cm="1">
        <f t="array" ref="AV18">ROUND(IF(AU18&gt;0,0,IF(AT18&lt;5000000,AT18*5%,IF(AT18&lt;10000000,250000+(AT18-5000000)*10%,IF(AT18&lt;18000000,750000+(AT18-10000000)*15%,IF(AT18&lt;32000000,1950000+(AT18-18000000)*20%,IF(AT18&lt;52000000,4750000+(AT18-32000000)*25%,IF(AT18&lt;80000000,9750000+(AT18-52000000)*30%,IF(AT18&lt;400000000,18150000+(AT18-80000000)*35%,0)))))))),0)</f>
      </c>
      <c r="AW18" s="368" cm="1">
        <f t="array" ref="AW18">AM18-AO18-AV18-AU18</f>
      </c>
      <c r="AX18" s="389">
        <v>0</v>
      </c>
      <c r="AY18" s="962"/>
      <c r="AZ18" s="368" cm="1">
        <f t="array" ref="AZ18">ROUND(AW18-AX18+AY18,0)</f>
      </c>
      <c r="BA18" s="389" cm="1">
        <f t="array" ref="BA18">AM18+AP18</f>
      </c>
      <c r="BB18" s="989"/>
      <c r="BC18" s="967" cm="1">
        <f t="array" ref="BC18">U18</f>
        <v>21</v>
      </c>
      <c r="BD18" s="968" cm="1">
        <f t="array" ref="BD18">AJ18</f>
        <v>-75000</v>
      </c>
      <c r="BE18" s="920">
        <v>-75000</v>
      </c>
      <c r="BF18" s="877" cm="1">
        <f t="array" ref="BF18">T18/V18*U18</f>
        <v>1630000</v>
      </c>
      <c r="BG18" t="str" s="880" cm="1">
        <f t="array" ref="BG18">B18</f>
        <v>Nguyễn Thị Thu Thảo </v>
      </c>
      <c r="BH18" s="920">
        <v>10389500</v>
      </c>
      <c r="BI18" s="969">
        <v>22</v>
      </c>
      <c r="BJ18" s="970" cm="1">
        <f t="array" ref="BJ18">AZ18-BH18</f>
      </c>
      <c r="BK18" s="896"/>
      <c r="BL18" s="973"/>
      <c r="BM18" t="s" s="972">
        <v>5331</v>
      </c>
      <c r="BN18" t="s" s="972">
        <v>5332</v>
      </c>
      <c r="BO18" t="s" s="972">
        <v>5306</v>
      </c>
      <c r="BP18" t="s" s="972">
        <v>266</v>
      </c>
      <c r="BQ18" s="874"/>
    </row>
    <row r="19" ht="24.75" customHeight="1">
      <c r="A19" s="706">
        <v>11</v>
      </c>
      <c r="B19" t="s" s="783">
        <v>230</v>
      </c>
      <c r="C19" t="s" s="783">
        <v>231</v>
      </c>
      <c r="D19" t="s" s="959">
        <v>92</v>
      </c>
      <c r="E19" s="988"/>
      <c r="F19" t="s" s="961">
        <v>85</v>
      </c>
      <c r="G19" s="368"/>
      <c r="H19" s="368"/>
      <c r="I19" s="389"/>
      <c r="J19" s="390"/>
      <c r="K19" s="390"/>
      <c r="L19" s="990">
        <v>11000000</v>
      </c>
      <c r="M19" s="963" cm="1">
        <f t="array" ref="M19">L19</f>
        <v>11000000</v>
      </c>
      <c r="N19" s="368" cm="1">
        <f t="array" ref="N19">VLOOKUP(B19,'BHXH'!$E$7:$F$12,2,0)</f>
        <v>5310000</v>
      </c>
      <c r="O19" s="368" cm="1">
        <f t="array" ref="O19">M19-(N19+P19+Q19+R19+S19)</f>
        <v>3810000</v>
      </c>
      <c r="P19" s="368">
        <v>250000</v>
      </c>
      <c r="Q19" s="368">
        <v>400000</v>
      </c>
      <c r="R19" s="368">
        <v>500000</v>
      </c>
      <c r="S19" s="368">
        <v>730000</v>
      </c>
      <c r="T19" s="368" cm="1">
        <f t="array" ref="T19">SUM(Q19:S19)</f>
        <v>1630000</v>
      </c>
      <c r="U19" s="964" cm="1">
        <f t="array" ref="U19">SUM(W19:Y19)</f>
        <v>21</v>
      </c>
      <c r="V19" s="964">
        <v>21</v>
      </c>
      <c r="W19" s="964"/>
      <c r="X19" s="964"/>
      <c r="Y19" s="965" cm="1">
        <f t="array" ref="Y19">VLOOKUP(B19,'Bảng công_092024'!$AR$31:$AT$57,3,0)</f>
        <v>21</v>
      </c>
      <c r="Z19" s="368" cm="1">
        <f t="array" ref="Z19">M19-Q19-R19-S19</f>
        <v>9370000</v>
      </c>
      <c r="AA19" s="963" cm="1">
        <f t="array" ref="AA19">SUM(AB19:AD19)</f>
        <v>11000000</v>
      </c>
      <c r="AB19" s="368" cm="1">
        <f t="array" ref="AB19">ROUND($G19/V19*W19,0)</f>
        <v>0</v>
      </c>
      <c r="AC19" s="368" cm="1">
        <f t="array" ref="AC19">ROUND(I19/V19*X19,0)</f>
        <v>0</v>
      </c>
      <c r="AD19" s="368" cm="1">
        <f t="array" ref="AD19">ROUND($M19/V19*Y19,0)</f>
        <v>11000000</v>
      </c>
      <c r="AE19" s="368"/>
      <c r="AF19" s="368" cm="1">
        <f t="array" ref="AF19">SUM(AG19:AL19)</f>
        <v>-75000</v>
      </c>
      <c r="AG19" s="962"/>
      <c r="AH19" s="962"/>
      <c r="AI19" s="962"/>
      <c r="AJ19" s="368" cm="1">
        <f t="array" ref="AJ19">-VLOOKUP(B19,'Bảng công_092024'!$AR$31:$AS$57,2,0)</f>
        <v>-75000</v>
      </c>
      <c r="AK19" s="962"/>
      <c r="AL19" s="389"/>
      <c r="AM19" s="963" cm="1">
        <f t="array" ref="AM19">AA19+AF19</f>
        <v>10925000</v>
      </c>
      <c r="AN19" s="368" cm="1">
        <f t="array" ref="AN19">VLOOKUP(B19,'BHXH'!$E$7:$F$12,2,0)</f>
        <v>5310000</v>
      </c>
      <c r="AO19" s="368" cm="1">
        <f t="array" ref="AO19">$AN19*10.5%</f>
        <v>557550</v>
      </c>
      <c r="AP19" s="368" cm="1">
        <f t="array" ref="AP19">$AN19*21.5%</f>
        <v>1141650</v>
      </c>
      <c r="AQ19" s="966">
        <v>0</v>
      </c>
      <c r="AR19" s="389" cm="1">
        <f t="array" ref="AR19">IF($E19=10%,0,(AQ19*4400000+11000000))</f>
        <v>11000000</v>
      </c>
      <c r="AS19" s="389" cm="1">
        <f t="array" ref="AS19">AM19-(Q19+R19+S19)/V19*U19</f>
        <v>9295000</v>
      </c>
      <c r="AT19" s="368" cm="1">
        <f t="array" ref="AT19">ROUND(IF((AS19-AR19-AO19)&lt;0,0,(AS19-AR19-AO19)),0)</f>
        <v>0</v>
      </c>
      <c r="AU19" s="389"/>
      <c r="AV19" s="389" cm="1">
        <f t="array" ref="AV19">ROUND(IF(AU19&gt;0,0,IF(AT19&lt;5000000,AT19*5%,IF(AT19&lt;10000000,250000+(AT19-5000000)*10%,IF(AT19&lt;18000000,750000+(AT19-10000000)*15%,IF(AT19&lt;32000000,1950000+(AT19-18000000)*20%,IF(AT19&lt;52000000,4750000+(AT19-32000000)*25%,IF(AT19&lt;80000000,9750000+(AT19-52000000)*30%,IF(AT19&lt;400000000,18150000+(AT19-80000000)*35%,0)))))))),0)</f>
        <v>0</v>
      </c>
      <c r="AW19" s="368" cm="1">
        <f t="array" ref="AW19">AM19-AO19-AV19-AU19</f>
        <v>10367450</v>
      </c>
      <c r="AX19" s="389"/>
      <c r="AY19" s="962"/>
      <c r="AZ19" s="368" cm="1">
        <f t="array" ref="AZ19">ROUND(AW19-AX19+AY19,0)</f>
        <v>10367450</v>
      </c>
      <c r="BA19" s="389" cm="1">
        <f t="array" ref="BA19">AM19+AP19</f>
        <v>12066650</v>
      </c>
      <c r="BB19" s="989"/>
      <c r="BC19" s="967" cm="1">
        <f t="array" ref="BC19">U19</f>
        <v>21</v>
      </c>
      <c r="BD19" s="968" cm="1">
        <f t="array" ref="BD19">AJ19</f>
        <v>-75000</v>
      </c>
      <c r="BE19" s="920">
        <v>-150000</v>
      </c>
      <c r="BF19" s="877" cm="1">
        <f t="array" ref="BF19">T19/V19*U19</f>
        <v>1630000</v>
      </c>
      <c r="BG19" t="str" s="880" cm="1">
        <f t="array" ref="BG19">B19</f>
        <v>Nguyễn Hữu Tuấn Minh </v>
      </c>
      <c r="BH19" s="920">
        <v>8350000</v>
      </c>
      <c r="BI19" s="969">
        <v>22</v>
      </c>
      <c r="BJ19" s="970" cm="1">
        <f t="array" ref="BJ19">AZ19-BH19</f>
        <v>2017450</v>
      </c>
      <c r="BK19" t="s" s="975">
        <v>5334</v>
      </c>
      <c r="BL19" s="991"/>
      <c r="BM19" t="s" s="992">
        <v>233</v>
      </c>
      <c r="BN19" t="s" s="992">
        <v>235</v>
      </c>
      <c r="BO19" s="993"/>
      <c r="BP19" t="s" s="992">
        <v>229</v>
      </c>
      <c r="BQ19" s="994"/>
    </row>
    <row r="20" ht="24" customHeight="1">
      <c r="A20" s="706">
        <v>3</v>
      </c>
      <c r="B20" t="s" s="986">
        <v>139</v>
      </c>
      <c r="C20" t="s" s="986">
        <v>140</v>
      </c>
      <c r="D20" t="s" s="959">
        <v>236</v>
      </c>
      <c r="E20" s="988"/>
      <c r="F20" t="s" s="961">
        <v>85</v>
      </c>
      <c r="G20" s="389"/>
      <c r="H20" s="389"/>
      <c r="I20" s="995"/>
      <c r="J20" s="390"/>
      <c r="K20" s="390"/>
      <c r="L20" s="996">
        <v>29777265</v>
      </c>
      <c r="M20" s="997" cm="1">
        <f t="array" ref="M20">L20</f>
        <v>29777265</v>
      </c>
      <c r="N20" s="368" cm="1">
        <f t="array" ref="N20">VLOOKUP(B20,'BHXH'!$E$7:$F$15,2,0)</f>
        <v>5310000</v>
      </c>
      <c r="O20" s="368" cm="1">
        <f t="array" ref="O20">M20-(N20+P20+Q20+R20+S20)</f>
        <v>22587265</v>
      </c>
      <c r="P20" s="368">
        <v>250000</v>
      </c>
      <c r="Q20" s="368">
        <v>400000</v>
      </c>
      <c r="R20" s="368">
        <v>500000</v>
      </c>
      <c r="S20" s="368">
        <v>730000</v>
      </c>
      <c r="T20" s="368" cm="1">
        <f t="array" ref="T20">SUM(Q20:S20)</f>
        <v>1630000</v>
      </c>
      <c r="U20" s="964" cm="1">
        <f t="array" ref="U20">SUM(W20:Y20)</f>
        <v>21</v>
      </c>
      <c r="V20" s="964">
        <v>21</v>
      </c>
      <c r="W20" s="998"/>
      <c r="X20" s="999"/>
      <c r="Y20" s="965" cm="1">
        <f t="array" ref="Y20">VLOOKUP(B20,'Bảng công_092024'!$AR$31:$AT$57,3,0)</f>
        <v>21</v>
      </c>
      <c r="Z20" s="368" cm="1">
        <f t="array" ref="Z20">M20-Q20-R20-S20</f>
        <v>28147265</v>
      </c>
      <c r="AA20" s="963" cm="1">
        <f t="array" ref="AA20">SUM(AB20:AD20)</f>
        <v>29777265</v>
      </c>
      <c r="AB20" s="368" cm="1">
        <f t="array" ref="AB20">ROUND($G20/V20*W20,0)</f>
        <v>0</v>
      </c>
      <c r="AC20" s="368" cm="1">
        <f t="array" ref="AC20">ROUND(I20/V20*X20,0)</f>
        <v>0</v>
      </c>
      <c r="AD20" s="368" cm="1">
        <f t="array" ref="AD20">ROUND($M20/V20*Y20,0)</f>
        <v>29777265</v>
      </c>
      <c r="AE20" s="1000"/>
      <c r="AF20" s="368" cm="1">
        <f t="array" ref="AF20">SUM(AG20:AL20)</f>
        <v>941690</v>
      </c>
      <c r="AG20" s="1001">
        <v>941690</v>
      </c>
      <c r="AH20" s="1002"/>
      <c r="AI20" s="1002"/>
      <c r="AJ20" s="368" cm="1">
        <f t="array" ref="AJ20">-VLOOKUP(B20,'Bảng công_092024'!$AR$31:$AS$57,2,0)</f>
        <v>0</v>
      </c>
      <c r="AK20" s="1002"/>
      <c r="AL20" s="995"/>
      <c r="AM20" s="963" cm="1">
        <f t="array" ref="AM20">AA20+AF20</f>
        <v>30718955</v>
      </c>
      <c r="AN20" s="368" cm="1">
        <f t="array" ref="AN20">VLOOKUP(B20,'BHXH'!$E$7:$F$15,2,0)</f>
        <v>5310000</v>
      </c>
      <c r="AO20" s="368" cm="1">
        <f t="array" ref="AO20">$AN20*10.5%</f>
        <v>557550</v>
      </c>
      <c r="AP20" s="368" cm="1">
        <f t="array" ref="AP20">$AN20*21.5%</f>
        <v>1141650</v>
      </c>
      <c r="AQ20" s="966">
        <v>0</v>
      </c>
      <c r="AR20" s="389" cm="1">
        <f t="array" ref="AR20">IF($E20=10%,0,(AQ20*4400000+11000000))</f>
        <v>11000000</v>
      </c>
      <c r="AS20" s="389" cm="1">
        <f t="array" ref="AS20">AM20-(Q20+R20+S20)/V20*U20</f>
        <v>29088955</v>
      </c>
      <c r="AT20" s="368" cm="1">
        <f t="array" ref="AT20">ROUND(IF((AS20-AR20-AO20)&lt;0,0,(AS20-AR20-AO20)),0)</f>
        <v>17531405</v>
      </c>
      <c r="AU20" s="995">
        <v>0</v>
      </c>
      <c r="AV20" s="389" cm="1">
        <f t="array" ref="AV20">ROUND(IF(AU20&gt;0,0,IF(AT20&lt;5000000,AT20*5%,IF(AT20&lt;10000000,250000+(AT20-5000000)*10%,IF(AT20&lt;18000000,750000+(AT20-10000000)*15%,IF(AT20&lt;32000000,1950000+(AT20-18000000)*20%,IF(AT20&lt;52000000,4750000+(AT20-32000000)*25%,IF(AT20&lt;80000000,9750000+(AT20-52000000)*30%,IF(AT20&lt;400000000,18150000+(AT20-80000000)*35%,0)))))))),0)</f>
        <v>1879711</v>
      </c>
      <c r="AW20" s="1000" cm="1">
        <f t="array" ref="AW20">AM20-AO20-AV20-AU20</f>
        <v>28281694</v>
      </c>
      <c r="AX20" s="1002"/>
      <c r="AY20" s="1002"/>
      <c r="AZ20" s="368" cm="1">
        <f t="array" ref="AZ20">ROUND(AW20-AX20+AY20,0)</f>
        <v>28281694</v>
      </c>
      <c r="BA20" s="995" cm="1">
        <f t="array" ref="BA20">AM20+AP20</f>
        <v>31860605</v>
      </c>
      <c r="BB20" s="1003"/>
      <c r="BC20" s="967" cm="1">
        <f t="array" ref="BC20">U20</f>
        <v>21</v>
      </c>
      <c r="BD20" s="968" cm="1">
        <f t="array" ref="BD20">AJ20</f>
        <v>0</v>
      </c>
      <c r="BE20" s="920">
        <v>-75000</v>
      </c>
      <c r="BF20" s="877" cm="1">
        <f t="array" ref="BF20">T20/V20*U20</f>
        <v>1630000</v>
      </c>
      <c r="BG20" t="str" s="880" cm="1">
        <f t="array" ref="BG20">B20</f>
        <v>Đỗ Khánh Huyền</v>
      </c>
      <c r="BH20" s="920">
        <v>25736686</v>
      </c>
      <c r="BI20" s="969">
        <v>22</v>
      </c>
      <c r="BJ20" s="970" cm="1">
        <f t="array" ref="BJ20">AZ20-BH20</f>
        <v>2545008</v>
      </c>
      <c r="BK20" t="s" s="1004">
        <v>5336</v>
      </c>
      <c r="BL20" s="1005"/>
      <c r="BM20" t="s" s="1006">
        <v>237</v>
      </c>
      <c r="BN20" t="s" s="1006">
        <v>239</v>
      </c>
      <c r="BO20" t="s" s="1006">
        <v>5306</v>
      </c>
      <c r="BP20" t="s" s="1006">
        <v>240</v>
      </c>
      <c r="BQ20" s="1007"/>
    </row>
    <row r="21" ht="28.5" customHeight="1">
      <c r="A21" s="706">
        <v>13</v>
      </c>
      <c r="B21" t="s" s="986">
        <v>142</v>
      </c>
      <c r="C21" t="s" s="959">
        <v>143</v>
      </c>
      <c r="D21" t="s" s="959">
        <v>144</v>
      </c>
      <c r="E21" s="988"/>
      <c r="F21" t="s" s="961">
        <v>85</v>
      </c>
      <c r="G21" s="368"/>
      <c r="H21" s="368"/>
      <c r="I21" s="995"/>
      <c r="J21" s="390"/>
      <c r="K21" s="390"/>
      <c r="L21" s="963" cm="1">
        <f t="array" ref="L21">15000000</f>
        <v>15000000</v>
      </c>
      <c r="M21" s="963" cm="1">
        <f t="array" ref="M21">L21</f>
        <v>15000000</v>
      </c>
      <c r="N21" s="368" cm="1">
        <f t="array" ref="N21">VLOOKUP(B21,'BHXH'!$E$7:$F$15,2,0)</f>
        <v>5310000</v>
      </c>
      <c r="O21" s="368" cm="1">
        <f t="array" ref="O21">M21-(N21+P21+Q21+R21+S21)</f>
        <v>7810000</v>
      </c>
      <c r="P21" s="368">
        <v>250000</v>
      </c>
      <c r="Q21" s="368">
        <v>400000</v>
      </c>
      <c r="R21" s="368">
        <v>500000</v>
      </c>
      <c r="S21" s="368">
        <v>730000</v>
      </c>
      <c r="T21" s="368" cm="1">
        <f t="array" ref="T21">SUM(Q21:S21)</f>
        <v>1630000</v>
      </c>
      <c r="U21" s="964" cm="1">
        <f t="array" ref="U21">SUM(W21:Y21)</f>
        <v>21</v>
      </c>
      <c r="V21" s="964">
        <v>21</v>
      </c>
      <c r="W21" s="964"/>
      <c r="X21" s="999"/>
      <c r="Y21" s="965" cm="1">
        <f t="array" ref="Y21">VLOOKUP(B21,'Bảng công_092024'!$AR$31:$AT$57,3,0)</f>
        <v>21</v>
      </c>
      <c r="Z21" s="368" cm="1">
        <f t="array" ref="Z21">M21-Q21-R21-S21</f>
        <v>13370000</v>
      </c>
      <c r="AA21" s="963" cm="1">
        <f t="array" ref="AA21">SUM(AB21:AD21)</f>
        <v>15000000</v>
      </c>
      <c r="AB21" s="368" cm="1">
        <f t="array" ref="AB21">ROUND($G21/V21*W21,0)</f>
        <v>0</v>
      </c>
      <c r="AC21" s="368" cm="1">
        <f t="array" ref="AC21">ROUND(I21/V21*X21,0)</f>
        <v>0</v>
      </c>
      <c r="AD21" s="368" cm="1">
        <f t="array" ref="AD21">ROUND($M21/V21*Y21,0)</f>
        <v>15000000</v>
      </c>
      <c r="AE21" s="368"/>
      <c r="AF21" s="368" cm="1">
        <f t="array" ref="AF21">SUM(AG21:AL21)</f>
        <v>-150000</v>
      </c>
      <c r="AG21" s="962"/>
      <c r="AH21" s="962"/>
      <c r="AI21" s="962"/>
      <c r="AJ21" s="368" cm="1">
        <f t="array" ref="AJ21">-VLOOKUP(B21,'Bảng công_092024'!$AR$31:$AS$57,2,0)</f>
        <v>-150000</v>
      </c>
      <c r="AK21" s="962"/>
      <c r="AL21" s="389"/>
      <c r="AM21" s="963" cm="1">
        <f t="array" ref="AM21">AA21+AF21</f>
        <v>14850000</v>
      </c>
      <c r="AN21" s="368" cm="1">
        <f t="array" ref="AN21">VLOOKUP(B21,'BHXH'!$E$7:$F$15,2,0)</f>
        <v>5310000</v>
      </c>
      <c r="AO21" s="368" cm="1">
        <f t="array" ref="AO21">$AN21*10.5%</f>
        <v>557550</v>
      </c>
      <c r="AP21" s="368" cm="1">
        <f t="array" ref="AP21">$AN21*21.5%</f>
        <v>1141650</v>
      </c>
      <c r="AQ21" s="966">
        <v>0</v>
      </c>
      <c r="AR21" s="389" cm="1">
        <f t="array" ref="AR21">IF($E21=10%,0,(AQ21*4400000+11000000))</f>
        <v>11000000</v>
      </c>
      <c r="AS21" s="389" cm="1">
        <f t="array" ref="AS21">AM21-(Q21+R21+S21)/V21*U21</f>
        <v>13220000</v>
      </c>
      <c r="AT21" s="368" cm="1">
        <f t="array" ref="AT21">ROUND(IF((AS21-AR21-AO21)&lt;0,0,(AS21-AR21-AO21)),0)</f>
        <v>1662450</v>
      </c>
      <c r="AU21" s="995" cm="1">
        <f t="array" ref="AU21">IF(AT21&lt;2000000,0,(AT21*10%))</f>
        <v>0</v>
      </c>
      <c r="AV21" s="389" cm="1">
        <f t="array" ref="AV21">ROUND(IF(AU21&gt;0,0,IF(AT21&lt;5000000,AT21*5%,IF(AT21&lt;10000000,250000+(AT21-5000000)*10%,IF(AT21&lt;18000000,750000+(AT21-10000000)*15%,IF(AT21&lt;32000000,1950000+(AT21-18000000)*20%,IF(AT21&lt;52000000,4750000+(AT21-32000000)*25%,IF(AT21&lt;80000000,9750000+(AT21-52000000)*30%,IF(AT21&lt;400000000,18150000+(AT21-80000000)*35%,0)))))))),0)</f>
        <v>83123</v>
      </c>
      <c r="AW21" s="1000" cm="1">
        <f t="array" ref="AW21">AM21-AO21-AV21-AU21</f>
        <v>14209327</v>
      </c>
      <c r="AX21" s="389"/>
      <c r="AY21" s="962"/>
      <c r="AZ21" s="368" cm="1">
        <f t="array" ref="AZ21">ROUND(AW21-AX21+AY21,0)</f>
        <v>14209327</v>
      </c>
      <c r="BA21" s="995" cm="1">
        <f t="array" ref="BA21">AM21+AP21</f>
        <v>15991650</v>
      </c>
      <c r="BB21" s="1003"/>
      <c r="BC21" s="967" cm="1">
        <f t="array" ref="BC21">U21</f>
        <v>21</v>
      </c>
      <c r="BD21" s="968" cm="1">
        <f t="array" ref="BD21">AJ21</f>
        <v>-150000</v>
      </c>
      <c r="BE21" s="920">
        <v>-150000</v>
      </c>
      <c r="BF21" s="877" cm="1">
        <f t="array" ref="BF21">T21/V21*U21</f>
        <v>1630000</v>
      </c>
      <c r="BG21" t="str" s="880" cm="1">
        <f t="array" ref="BG21">B21</f>
        <v>Nguyễn Tử Trường Lâm</v>
      </c>
      <c r="BH21" s="920">
        <v>14230275</v>
      </c>
      <c r="BI21" s="969">
        <v>22</v>
      </c>
      <c r="BJ21" s="970" cm="1">
        <f t="array" ref="BJ21">AZ21-BH21</f>
        <v>-20948</v>
      </c>
      <c r="BK21" s="1008"/>
      <c r="BL21" s="1005" cm="1">
        <f t="array" ref="BL21">15000000-13333333</f>
        <v>1666667</v>
      </c>
      <c r="BM21" t="s" s="1006">
        <v>242</v>
      </c>
      <c r="BN21" t="s" s="1006">
        <v>243</v>
      </c>
      <c r="BO21" t="s" s="1006">
        <v>5306</v>
      </c>
      <c r="BP21" t="s" s="1006">
        <v>211</v>
      </c>
      <c r="BQ21" s="1007"/>
    </row>
    <row r="22" ht="26.25" customHeight="1">
      <c r="A22" s="706">
        <v>14</v>
      </c>
      <c r="B22" t="s" s="783">
        <v>145</v>
      </c>
      <c r="C22" t="s" s="783">
        <v>146</v>
      </c>
      <c r="D22" t="s" s="959">
        <v>147</v>
      </c>
      <c r="E22" s="988"/>
      <c r="F22" t="s" s="961">
        <v>85</v>
      </c>
      <c r="G22" s="368"/>
      <c r="H22" s="368"/>
      <c r="I22" s="995"/>
      <c r="J22" s="390"/>
      <c r="K22" s="390"/>
      <c r="L22" s="963">
        <v>20000000</v>
      </c>
      <c r="M22" s="963" cm="1">
        <f t="array" ref="M22">L22</f>
        <v>20000000</v>
      </c>
      <c r="N22" s="368" cm="1">
        <f t="array" ref="N22">VLOOKUP(B22,'BHXH'!$E$7:$F$15,2,0)</f>
      </c>
      <c r="O22" s="368" cm="1">
        <f t="array" ref="O22">M22-(N22+P22+Q22+R22+S22)</f>
      </c>
      <c r="P22" s="368">
        <v>250000</v>
      </c>
      <c r="Q22" s="368">
        <v>400000</v>
      </c>
      <c r="R22" s="368">
        <v>500000</v>
      </c>
      <c r="S22" s="368">
        <v>730000</v>
      </c>
      <c r="T22" s="368" cm="1">
        <f t="array" ref="T22">SUM(Q22:S22)</f>
        <v>1630000</v>
      </c>
      <c r="U22" s="964" cm="1">
        <f t="array" ref="U22">SUM(W22:Y22)</f>
        <v>21</v>
      </c>
      <c r="V22" s="964">
        <v>21</v>
      </c>
      <c r="W22" s="964"/>
      <c r="X22" s="999"/>
      <c r="Y22" s="965" cm="1">
        <f t="array" ref="Y22">VLOOKUP(B22,'Bảng công_092024'!$AR$31:$AT$57,3,0)</f>
        <v>21</v>
      </c>
      <c r="Z22" s="368" cm="1">
        <f t="array" ref="Z22">M22-Q22-R22-S22</f>
        <v>18370000</v>
      </c>
      <c r="AA22" s="963" cm="1">
        <f t="array" ref="AA22">SUM(AB22:AD22)</f>
        <v>20000000</v>
      </c>
      <c r="AB22" s="368" cm="1">
        <f t="array" ref="AB22">ROUND($G22/V22*W22,0)</f>
        <v>0</v>
      </c>
      <c r="AC22" s="368" cm="1">
        <f t="array" ref="AC22">ROUND(I22/V22*X22,0)</f>
        <v>0</v>
      </c>
      <c r="AD22" s="368" cm="1">
        <f t="array" ref="AD22">ROUND($M22/V22*Y22,0)</f>
        <v>20000000</v>
      </c>
      <c r="AE22" s="368"/>
      <c r="AF22" s="368" cm="1">
        <f t="array" ref="AF22">SUM(AG22:AL22)</f>
        <v>-225000</v>
      </c>
      <c r="AG22" s="962"/>
      <c r="AH22" s="962"/>
      <c r="AI22" s="962"/>
      <c r="AJ22" s="368" cm="1">
        <f t="array" ref="AJ22">-VLOOKUP(B22,'Bảng công_092024'!$AR$31:$AS$57,2,0)</f>
        <v>-225000</v>
      </c>
      <c r="AK22" s="962"/>
      <c r="AL22" s="389"/>
      <c r="AM22" s="963" cm="1">
        <f t="array" ref="AM22">AA22+AF22</f>
        <v>19775000</v>
      </c>
      <c r="AN22" s="368" cm="1">
        <f t="array" ref="AN22">VLOOKUP(B22,'BHXH'!$E$7:$F$15,2,0)</f>
      </c>
      <c r="AO22" s="368" cm="1">
        <f t="array" ref="AO22">$AN22*10.5%</f>
      </c>
      <c r="AP22" s="368" cm="1">
        <f t="array" ref="AP22">$AN22*21.5%</f>
      </c>
      <c r="AQ22" s="966">
        <v>0</v>
      </c>
      <c r="AR22" s="389" cm="1">
        <f t="array" ref="AR22">IF($E22=10%,0,(AQ22*4400000+11000000))</f>
        <v>11000000</v>
      </c>
      <c r="AS22" s="389" cm="1">
        <f t="array" ref="AS22">AM22-(Q22+R22+S22)/V22*U22</f>
        <v>18145000</v>
      </c>
      <c r="AT22" s="368" cm="1">
        <f t="array" ref="AT22">ROUND(IF((AS22-AR22-AO22)&lt;0,0,(AS22-AR22-AO22)),0)</f>
      </c>
      <c r="AU22" s="995">
        <v>0</v>
      </c>
      <c r="AV22" s="389" cm="1">
        <f t="array" ref="AV22">ROUND(IF(AU22&gt;0,0,IF(AT22&lt;5000000,AT22*5%,IF(AT22&lt;10000000,250000+(AT22-5000000)*10%,IF(AT22&lt;18000000,750000+(AT22-10000000)*15%,IF(AT22&lt;32000000,1950000+(AT22-18000000)*20%,IF(AT22&lt;52000000,4750000+(AT22-32000000)*25%,IF(AT22&lt;80000000,9750000+(AT22-52000000)*30%,IF(AT22&lt;400000000,18150000+(AT22-80000000)*35%,0)))))))),0)</f>
      </c>
      <c r="AW22" s="1000" cm="1">
        <f t="array" ref="AW22">AM22-AO22-AV22-AU22</f>
      </c>
      <c r="AX22" s="389"/>
      <c r="AY22" s="962"/>
      <c r="AZ22" s="368" cm="1">
        <f t="array" ref="AZ22">ROUND(AW22-AX22+AY22,0)</f>
      </c>
      <c r="BA22" s="995" cm="1">
        <f t="array" ref="BA22">AM22+AP22</f>
      </c>
      <c r="BB22" s="1003"/>
      <c r="BC22" s="967" cm="1">
        <f t="array" ref="BC22">U22</f>
        <v>21</v>
      </c>
      <c r="BD22" s="968" cm="1">
        <f t="array" ref="BD22">AJ22</f>
        <v>-225000</v>
      </c>
      <c r="BE22" s="920">
        <v>-375000</v>
      </c>
      <c r="BF22" s="877" cm="1">
        <f t="array" ref="BF22">T22/V22*U22</f>
        <v>1630000</v>
      </c>
      <c r="BG22" t="str" s="880" cm="1">
        <f t="array" ref="BG22">B22</f>
        <v>Lê Anh Việt </v>
      </c>
      <c r="BH22" s="920">
        <v>18280755</v>
      </c>
      <c r="BI22" s="969">
        <v>21.5</v>
      </c>
      <c r="BJ22" s="970" cm="1">
        <f t="array" ref="BJ22">AZ22-BH22</f>
      </c>
      <c r="BK22" t="s" s="1009">
        <v>5339</v>
      </c>
      <c r="BL22" s="1005"/>
      <c r="BM22" t="s" s="1006">
        <v>5340</v>
      </c>
      <c r="BN22" t="s" s="1006">
        <v>5341</v>
      </c>
      <c r="BO22" t="s" s="1006">
        <v>5306</v>
      </c>
      <c r="BP22" t="s" s="1006">
        <v>5342</v>
      </c>
      <c r="BQ22" s="1007"/>
    </row>
    <row r="23" ht="27" customHeight="1">
      <c r="A23" s="706">
        <v>15</v>
      </c>
      <c r="B23" t="s" s="783">
        <v>244</v>
      </c>
      <c r="C23" t="s" s="783">
        <v>245</v>
      </c>
      <c r="D23" t="s" s="959">
        <v>246</v>
      </c>
      <c r="E23" s="988"/>
      <c r="F23" t="s" s="961">
        <v>85</v>
      </c>
      <c r="G23" s="1010"/>
      <c r="H23" s="1010"/>
      <c r="I23" s="1011"/>
      <c r="J23" s="390"/>
      <c r="K23" s="390"/>
      <c r="L23" s="997">
        <v>47000000</v>
      </c>
      <c r="M23" s="997" cm="1">
        <f t="array" ref="M23">L23</f>
        <v>47000000</v>
      </c>
      <c r="N23" s="368" cm="1">
        <f t="array" ref="N23">VLOOKUP(B23,'BHXH'!$E$7:$F$15,2,0)</f>
        <v>5310000</v>
      </c>
      <c r="O23" s="1010" cm="1">
        <f t="array" ref="O23">M23-(N23+P23+Q23+R23+S23)</f>
        <v>39060000</v>
      </c>
      <c r="P23" s="368">
        <v>500000</v>
      </c>
      <c r="Q23" s="368">
        <v>400000</v>
      </c>
      <c r="R23" s="368">
        <v>1000000</v>
      </c>
      <c r="S23" s="368">
        <v>730000</v>
      </c>
      <c r="T23" s="368" cm="1">
        <f t="array" ref="T23">SUM(Q23:S23)</f>
        <v>2130000</v>
      </c>
      <c r="U23" s="1012" cm="1">
        <f t="array" ref="U23">SUM(W23:Y23)</f>
        <v>21</v>
      </c>
      <c r="V23" s="964">
        <v>21</v>
      </c>
      <c r="W23" s="1013"/>
      <c r="X23" s="1014"/>
      <c r="Y23" s="965" cm="1">
        <f t="array" ref="Y23">VLOOKUP(B23,'Bảng công_092024'!$AR$31:$AT$57,3,0)</f>
        <v>21</v>
      </c>
      <c r="Z23" s="368" cm="1">
        <f t="array" ref="Z23">M23-Q23-R23-S23</f>
        <v>44870000</v>
      </c>
      <c r="AA23" s="997" cm="1">
        <f t="array" ref="AA23">SUM(AB23:AD23)</f>
        <v>47000000</v>
      </c>
      <c r="AB23" s="368" cm="1">
        <f t="array" ref="AB23">ROUND($G23/V23*W23,0)</f>
        <v>0</v>
      </c>
      <c r="AC23" s="1015" cm="1">
        <f t="array" ref="AC23">ROUND(I23/V23*X23,0)</f>
        <v>0</v>
      </c>
      <c r="AD23" s="368" cm="1">
        <f t="array" ref="AD23">ROUND($M23/V23*Y23,0)</f>
        <v>47000000</v>
      </c>
      <c r="AE23" s="1010"/>
      <c r="AF23" s="1015" cm="1">
        <f t="array" ref="AF23">SUM(AG23:AL23)</f>
        <v>-75000</v>
      </c>
      <c r="AG23" s="1016"/>
      <c r="AH23" s="1016"/>
      <c r="AI23" s="1016"/>
      <c r="AJ23" s="368" cm="1">
        <f t="array" ref="AJ23">-VLOOKUP(B23,'Bảng công_092024'!$AR$31:$AS$57,2,0)</f>
        <v>-75000</v>
      </c>
      <c r="AK23" s="1016"/>
      <c r="AL23" s="1017"/>
      <c r="AM23" s="963" cm="1">
        <f t="array" ref="AM23">AA23+AF23</f>
        <v>46925000</v>
      </c>
      <c r="AN23" s="368" cm="1">
        <f t="array" ref="AN23">VLOOKUP(B23,'BHXH'!$E$7:$F$15,2,0)</f>
        <v>5310000</v>
      </c>
      <c r="AO23" s="368" cm="1">
        <f t="array" ref="AO23">$AN23*10.5%</f>
        <v>557550</v>
      </c>
      <c r="AP23" s="368" cm="1">
        <f t="array" ref="AP23">$AN23*21.5%</f>
        <v>1141650</v>
      </c>
      <c r="AQ23" s="966">
        <v>0</v>
      </c>
      <c r="AR23" s="389" cm="1">
        <f t="array" ref="AR23">IF($E23=10%,0,(AQ23*4400000+11000000))</f>
        <v>11000000</v>
      </c>
      <c r="AS23" s="1018" cm="1">
        <f t="array" ref="AS23">AM23-(Q23+R23+S23)/V23*U23</f>
        <v>44795000</v>
      </c>
      <c r="AT23" s="368" cm="1">
        <f t="array" ref="AT23">ROUND(IF((AS23-AR23-AO23)&lt;0,0,(AS23-AR23-AO23)),0)</f>
        <v>33237450</v>
      </c>
      <c r="AU23" s="1011">
        <v>0</v>
      </c>
      <c r="AV23" s="389" cm="1">
        <f t="array" ref="AV23">ROUND(IF(AU23&gt;0,0,IF(AT23&lt;5000000,AT23*5%,IF(AT23&lt;10000000,250000+(AT23-5000000)*10%,IF(AT23&lt;18000000,750000+(AT23-10000000)*15%,IF(AT23&lt;32000000,1950000+(AT23-18000000)*20%,IF(AT23&lt;52000000,4750000+(AT23-32000000)*25%,IF(AT23&lt;80000000,9750000+(AT23-52000000)*30%,IF(AT23&lt;400000000,18150000+(AT23-80000000)*35%,0)))))))),0)</f>
        <v>5059363</v>
      </c>
      <c r="AW23" s="1019" cm="1">
        <f t="array" ref="AW23">AM23-AO23-AV23-AU23</f>
        <v>41308087</v>
      </c>
      <c r="AX23" s="1017"/>
      <c r="AY23" s="1016"/>
      <c r="AZ23" s="1015" cm="1">
        <f t="array" ref="AZ23">ROUND(AW23-AX23+AY23,0)</f>
        <v>41308087</v>
      </c>
      <c r="BA23" s="1011" cm="1">
        <f t="array" ref="BA23">AM23+AP23</f>
        <v>48066650</v>
      </c>
      <c r="BB23" s="1003"/>
      <c r="BC23" s="967" cm="1">
        <f t="array" ref="BC23">U23</f>
        <v>21</v>
      </c>
      <c r="BD23" s="968" cm="1">
        <f t="array" ref="BD23">AJ23</f>
        <v>-75000</v>
      </c>
      <c r="BE23" s="920">
        <v>-150000</v>
      </c>
      <c r="BF23" s="877" cm="1">
        <f t="array" ref="BF23">T23/V23*U23</f>
        <v>2130000</v>
      </c>
      <c r="BG23" t="str" s="880" cm="1">
        <f t="array" ref="BG23">B23</f>
        <v>Nguyễn Song Hà </v>
      </c>
      <c r="BH23" s="920">
        <v>40961250</v>
      </c>
      <c r="BI23" s="969">
        <v>22</v>
      </c>
      <c r="BJ23" s="1020" cm="1">
        <f t="array" ref="BJ23">AZ23-BH23</f>
        <v>346837</v>
      </c>
      <c r="BK23" t="s" s="975">
        <v>5322</v>
      </c>
      <c r="BL23" s="1021"/>
      <c r="BM23" t="s" s="1022">
        <v>248</v>
      </c>
      <c r="BN23" s="1023">
        <v>19020074352016</v>
      </c>
      <c r="BO23" s="1021"/>
      <c r="BP23" s="1024"/>
      <c r="BQ23" s="1025"/>
    </row>
    <row r="24" ht="23.25" customHeight="1">
      <c r="A24" s="706">
        <v>16</v>
      </c>
      <c r="B24" t="s" s="1026">
        <v>148</v>
      </c>
      <c r="C24" t="s" s="783">
        <v>149</v>
      </c>
      <c r="D24" t="s" s="959">
        <v>150</v>
      </c>
      <c r="E24" s="988">
        <v>0.1</v>
      </c>
      <c r="F24" t="s" s="961">
        <v>85</v>
      </c>
      <c r="G24" s="368"/>
      <c r="H24" s="368"/>
      <c r="I24" s="389" cm="1">
        <f t="array" ref="I24">L24*100%</f>
        <v>20000000</v>
      </c>
      <c r="J24" s="390"/>
      <c r="K24" s="390"/>
      <c r="L24" s="963" cm="1">
        <f t="array" ref="L24">18000000/0.9</f>
        <v>20000000</v>
      </c>
      <c r="M24" s="963" cm="1">
        <f t="array" ref="M24">L24</f>
        <v>20000000</v>
      </c>
      <c r="N24" s="368"/>
      <c r="O24" s="368" cm="1">
        <f t="array" ref="O24">SUM(P20:S20)</f>
        <v>1880000</v>
      </c>
      <c r="P24" s="368"/>
      <c r="Q24" s="368"/>
      <c r="R24" s="368"/>
      <c r="S24" s="368"/>
      <c r="T24" s="964"/>
      <c r="U24" s="964" cm="1">
        <f t="array" ref="U24">SUM(W24:Y24)</f>
        <v>21</v>
      </c>
      <c r="V24" s="964">
        <v>21</v>
      </c>
      <c r="W24" s="964"/>
      <c r="X24" s="999" cm="1">
        <f t="array" ref="X24">VLOOKUP(B24,'Bảng công_092024'!$AR$31:$AT$57,3,FALSE)</f>
        <v>21</v>
      </c>
      <c r="Y24" s="985"/>
      <c r="Z24" s="985"/>
      <c r="AA24" s="1027" cm="1">
        <f t="array" ref="AA24">SUM(AB24:AD24)</f>
        <v>20000000</v>
      </c>
      <c r="AB24" s="368" cm="1">
        <f t="array" ref="AB24">ROUND($G24/V24*W24,0)</f>
        <v>0</v>
      </c>
      <c r="AC24" s="1000" cm="1">
        <f t="array" ref="AC24">ROUND(I24/V24*X24,0)</f>
        <v>20000000</v>
      </c>
      <c r="AD24" s="1000" cm="1">
        <f t="array" ref="AD24">ROUND($M24/V24*Y24,0)</f>
        <v>0</v>
      </c>
      <c r="AE24" s="368"/>
      <c r="AF24" s="1015" cm="1">
        <f t="array" ref="AF24">SUM(AG24:AL24)</f>
        <v>-75000</v>
      </c>
      <c r="AG24" s="962"/>
      <c r="AH24" s="962"/>
      <c r="AI24" s="962"/>
      <c r="AJ24" s="368" cm="1">
        <f t="array" ref="AJ24">-VLOOKUP(B24,'Bảng công_092024'!$AR$31:$AS$57,2,0)</f>
        <v>-75000</v>
      </c>
      <c r="AK24" s="962"/>
      <c r="AL24" s="389"/>
      <c r="AM24" s="963" cm="1">
        <f t="array" ref="AM24">AA24+AF24</f>
        <v>19925000</v>
      </c>
      <c r="AN24" s="368"/>
      <c r="AO24" s="1000"/>
      <c r="AP24" s="1000"/>
      <c r="AQ24" s="1002"/>
      <c r="AR24" s="389" cm="1">
        <f t="array" ref="AR24">IF($E24=10%,0,(AQ24*4400000+11000000))</f>
        <v>0</v>
      </c>
      <c r="AS24" s="389" cm="1">
        <f t="array" ref="AS24">AM24-(Q24+R24+S24)/V24*U24</f>
        <v>19925000</v>
      </c>
      <c r="AT24" s="368" cm="1">
        <f t="array" ref="AT24">ROUND(IF((AS24-AR24-AO24)&lt;0,0,(AS24-AR24-AO24)),0)</f>
        <v>19925000</v>
      </c>
      <c r="AU24" s="995" cm="1">
        <f t="array" ref="AU24">IF(AT24&lt;2000000,0,(AT24*10%))</f>
        <v>1992500</v>
      </c>
      <c r="AV24" s="389"/>
      <c r="AW24" s="1000" cm="1">
        <f t="array" ref="AW24">AM24-AO24-AV24-AU24</f>
        <v>17932500</v>
      </c>
      <c r="AX24" s="389"/>
      <c r="AY24" s="962"/>
      <c r="AZ24" s="368" cm="1">
        <f t="array" ref="AZ24">ROUND(AW24-AX24+AY24,0)</f>
        <v>17932500</v>
      </c>
      <c r="BA24" s="995" cm="1">
        <f t="array" ref="BA24">AM24+AP24</f>
        <v>19925000</v>
      </c>
      <c r="BB24" t="s" s="1026">
        <v>137</v>
      </c>
      <c r="BC24" s="967" cm="1">
        <f t="array" ref="BC24">U24</f>
        <v>21</v>
      </c>
      <c r="BD24" s="968" cm="1">
        <f t="array" ref="BD24">AJ24</f>
        <v>-75000</v>
      </c>
      <c r="BE24" s="920">
        <v>-150000</v>
      </c>
      <c r="BF24" s="877" cm="1">
        <f t="array" ref="BF24">T24/V24*U24</f>
        <v>0</v>
      </c>
      <c r="BG24" t="str" s="880" cm="1">
        <f t="array" ref="BG24">B24</f>
        <v>Trần Thị Bảo Tâm </v>
      </c>
      <c r="BH24" s="920">
        <v>17865000</v>
      </c>
      <c r="BI24" s="969">
        <v>22</v>
      </c>
      <c r="BJ24" s="970" cm="1">
        <f t="array" ref="BJ24">AZ24-BH24</f>
        <v>67500</v>
      </c>
      <c r="BK24" t="s" s="975">
        <v>5322</v>
      </c>
      <c r="BL24" s="1005"/>
      <c r="BM24" t="s" s="1006">
        <v>5345</v>
      </c>
      <c r="BN24" t="s" s="1006">
        <v>5346</v>
      </c>
      <c r="BO24" t="s" s="1006">
        <v>5306</v>
      </c>
      <c r="BP24" t="s" s="1006">
        <v>276</v>
      </c>
      <c r="BQ24" s="1007"/>
    </row>
    <row r="25" ht="24" customHeight="1">
      <c r="A25" s="706">
        <v>17</v>
      </c>
      <c r="B25" t="s" s="1026">
        <v>251</v>
      </c>
      <c r="C25" t="s" s="783">
        <v>252</v>
      </c>
      <c r="D25" t="s" s="959">
        <v>144</v>
      </c>
      <c r="E25" s="988">
        <v>0.1</v>
      </c>
      <c r="F25" t="s" s="1026">
        <v>137</v>
      </c>
      <c r="G25" s="368"/>
      <c r="H25" s="368"/>
      <c r="I25" s="1028" cm="1">
        <f t="array" ref="I25">L25*85%</f>
        <v>15111111.1111111</v>
      </c>
      <c r="J25" s="390"/>
      <c r="K25" s="390"/>
      <c r="L25" s="1029" cm="1">
        <f t="array" ref="L25">16000000/0.9</f>
        <v>17777777.7777778</v>
      </c>
      <c r="M25" s="963" cm="1">
        <f t="array" ref="M25">L25</f>
        <v>17777777.7777778</v>
      </c>
      <c r="N25" s="368"/>
      <c r="O25" s="368"/>
      <c r="P25" s="368"/>
      <c r="Q25" s="368"/>
      <c r="R25" s="368"/>
      <c r="S25" s="368"/>
      <c r="T25" s="964"/>
      <c r="U25" s="964" cm="1">
        <f t="array" ref="U25">SUM(W25:Y25)</f>
        <v>21</v>
      </c>
      <c r="V25" s="964">
        <v>21</v>
      </c>
      <c r="W25" s="964"/>
      <c r="X25" s="999" cm="1">
        <f t="array" ref="X25">VLOOKUP(B25,'Bảng công_092024'!$AR$31:$AT$57,3,FALSE)</f>
        <v>21</v>
      </c>
      <c r="Y25" s="985"/>
      <c r="Z25" s="985"/>
      <c r="AA25" s="1027" cm="1">
        <f t="array" ref="AA25">SUM(AB25:AD25)</f>
        <v>15111111</v>
      </c>
      <c r="AB25" s="368" cm="1">
        <f t="array" ref="AB25">ROUND($G25/V25*W25,0)</f>
        <v>0</v>
      </c>
      <c r="AC25" s="1000" cm="1">
        <f t="array" ref="AC25">ROUND(I25/V25*X25,0)</f>
        <v>15111111</v>
      </c>
      <c r="AD25" s="1000" cm="1">
        <f t="array" ref="AD25">ROUND($M25/V25*Y25,0)</f>
        <v>0</v>
      </c>
      <c r="AE25" s="368"/>
      <c r="AF25" s="1015" cm="1">
        <f t="array" ref="AF25">SUM(AG25:AL25)</f>
        <v>-225000</v>
      </c>
      <c r="AG25" s="962"/>
      <c r="AH25" s="962"/>
      <c r="AI25" s="962"/>
      <c r="AJ25" s="368" cm="1">
        <f t="array" ref="AJ25">-VLOOKUP(B25,'Bảng công_092024'!$AR$31:$AS$57,2,0)</f>
        <v>-225000</v>
      </c>
      <c r="AK25" s="962"/>
      <c r="AL25" s="389"/>
      <c r="AM25" s="963" cm="1">
        <f t="array" ref="AM25">AA25+AF25</f>
        <v>14886111</v>
      </c>
      <c r="AN25" s="368"/>
      <c r="AO25" s="368"/>
      <c r="AP25" s="368"/>
      <c r="AQ25" s="962"/>
      <c r="AR25" s="389"/>
      <c r="AS25" s="389" cm="1">
        <f t="array" ref="AS25">AM25-(Q25+R25+S25)/V25*U25</f>
        <v>14886111</v>
      </c>
      <c r="AT25" s="368" cm="1">
        <f t="array" ref="AT25">ROUND(IF((AS25-AR25-AO25)&lt;0,0,(AS25-AR25-AO25)),0)</f>
        <v>14886111</v>
      </c>
      <c r="AU25" s="995" cm="1">
        <f t="array" ref="AU25">IF(AT25&lt;2000000,0,(AT25*10%))</f>
        <v>1488611.1</v>
      </c>
      <c r="AV25" s="389"/>
      <c r="AW25" s="1000" cm="1">
        <f t="array" ref="AW25">AM25-AO25-AV25-AU25</f>
        <v>13397499.9</v>
      </c>
      <c r="AX25" s="389"/>
      <c r="AY25" s="962"/>
      <c r="AZ25" s="368" cm="1">
        <f t="array" ref="AZ25">ROUND(AW25-AX25+AY25,0)</f>
        <v>13397500</v>
      </c>
      <c r="BA25" s="995" cm="1">
        <f t="array" ref="BA25">AM25+AP25</f>
        <v>14886111</v>
      </c>
      <c r="BB25" t="s" s="1026">
        <v>137</v>
      </c>
      <c r="BC25" s="967" cm="1">
        <f t="array" ref="BC25">U25</f>
        <v>21</v>
      </c>
      <c r="BD25" s="968" cm="1">
        <f t="array" ref="BD25">AJ25</f>
        <v>-225000</v>
      </c>
      <c r="BE25" s="920">
        <v>0</v>
      </c>
      <c r="BF25" s="877" cm="1">
        <f t="array" ref="BF25">T25/V25*U25</f>
        <v>0</v>
      </c>
      <c r="BG25" t="str" s="880" cm="1">
        <f t="array" ref="BG25">B25</f>
        <v>Phạm Đăng Bình </v>
      </c>
      <c r="BH25" s="920">
        <v>11745455</v>
      </c>
      <c r="BI25" s="969">
        <v>19</v>
      </c>
      <c r="BJ25" s="970" cm="1">
        <f t="array" ref="BJ25">AZ25-BH25</f>
        <v>1652045</v>
      </c>
      <c r="BK25" t="s" s="1009">
        <v>5348</v>
      </c>
      <c r="BL25" s="1030"/>
      <c r="BM25" s="1031"/>
      <c r="BN25" s="1032"/>
      <c r="BO25" s="1031"/>
      <c r="BP25" s="1032"/>
      <c r="BQ25" s="930"/>
    </row>
    <row r="26" ht="27.75" customHeight="1">
      <c r="A26" s="706">
        <v>18</v>
      </c>
      <c r="B26" t="s" s="1026">
        <v>5349</v>
      </c>
      <c r="C26" t="s" s="783">
        <v>5350</v>
      </c>
      <c r="D26" t="s" s="959">
        <v>144</v>
      </c>
      <c r="E26" s="988">
        <v>0.1</v>
      </c>
      <c r="F26" t="s" s="1026">
        <v>137</v>
      </c>
      <c r="G26" s="368"/>
      <c r="H26" s="368"/>
      <c r="I26" s="1028" cm="1">
        <f t="array" ref="I26">L26*85%</f>
        <v>11050000</v>
      </c>
      <c r="J26" s="390"/>
      <c r="K26" s="390"/>
      <c r="L26" s="1029">
        <v>13000000</v>
      </c>
      <c r="M26" s="963" cm="1">
        <f t="array" ref="M26">L26</f>
        <v>13000000</v>
      </c>
      <c r="N26" s="368"/>
      <c r="O26" s="368"/>
      <c r="P26" s="368"/>
      <c r="Q26" s="368"/>
      <c r="R26" s="368"/>
      <c r="S26" s="368"/>
      <c r="T26" s="964"/>
      <c r="U26" s="964" cm="1">
        <f t="array" ref="U26">SUM(W26:Y26)</f>
        <v>21</v>
      </c>
      <c r="V26" s="964">
        <v>21</v>
      </c>
      <c r="W26" s="964"/>
      <c r="X26" s="999" cm="1">
        <f t="array" ref="X26">VLOOKUP(B26,'Bảng công_092024'!$AR$31:$AT$57,3,FALSE)</f>
        <v>21</v>
      </c>
      <c r="Y26" s="985"/>
      <c r="Z26" s="985"/>
      <c r="AA26" s="1027" cm="1">
        <f t="array" ref="AA26">SUM(AB26:AD26)</f>
        <v>11050000</v>
      </c>
      <c r="AB26" s="368" cm="1">
        <f t="array" ref="AB26">ROUND($G26/V26*W26,0)</f>
        <v>0</v>
      </c>
      <c r="AC26" s="1000" cm="1">
        <f t="array" ref="AC26">ROUND(I26/V26*X26,0)</f>
        <v>11050000</v>
      </c>
      <c r="AD26" s="1000" cm="1">
        <f t="array" ref="AD26">ROUND($M26/V26*Y26,0)</f>
        <v>0</v>
      </c>
      <c r="AE26" s="368"/>
      <c r="AF26" s="1015" cm="1">
        <f t="array" ref="AF26">SUM(AG26:AL26)</f>
        <v>0</v>
      </c>
      <c r="AG26" s="962"/>
      <c r="AH26" s="962"/>
      <c r="AI26" s="962"/>
      <c r="AJ26" s="368" cm="1">
        <f t="array" ref="AJ26">-VLOOKUP(B26,'Bảng công_092024'!$AR$31:$AS$57,2,0)</f>
        <v>0</v>
      </c>
      <c r="AK26" s="962"/>
      <c r="AL26" s="389"/>
      <c r="AM26" s="963" cm="1">
        <f t="array" ref="AM26">AA26+AF26</f>
        <v>11050000</v>
      </c>
      <c r="AN26" s="368"/>
      <c r="AO26" s="368"/>
      <c r="AP26" s="368"/>
      <c r="AQ26" s="962"/>
      <c r="AR26" s="389"/>
      <c r="AS26" s="389" cm="1">
        <f t="array" ref="AS26">AM26-(Q26+R26+S26)/V26*U26</f>
        <v>11050000</v>
      </c>
      <c r="AT26" s="368" cm="1">
        <f t="array" ref="AT26">ROUND(IF((AS26-AR26-AO26)&lt;0,0,(AS26-AR26-AO26)),0)</f>
        <v>11050000</v>
      </c>
      <c r="AU26" s="995" cm="1">
        <f t="array" ref="AU26">IF(AT26&lt;2000000,0,(AT26*10%))</f>
        <v>1105000</v>
      </c>
      <c r="AV26" s="389"/>
      <c r="AW26" s="1000" cm="1">
        <f t="array" ref="AW26">AM26-AO26-AV26-AU26</f>
        <v>9945000</v>
      </c>
      <c r="AX26" s="389"/>
      <c r="AY26" s="962"/>
      <c r="AZ26" s="368" cm="1">
        <f t="array" ref="AZ26">ROUND(AW26-AX26+AY26,0)</f>
        <v>9945000</v>
      </c>
      <c r="BA26" s="995" cm="1">
        <f t="array" ref="BA26">AM26+AP26</f>
        <v>11050000</v>
      </c>
      <c r="BB26" t="s" s="1026">
        <v>137</v>
      </c>
      <c r="BC26" s="967" cm="1">
        <f t="array" ref="BC26">U26</f>
        <v>21</v>
      </c>
      <c r="BD26" s="968" cm="1">
        <f t="array" ref="BD26">AJ26</f>
        <v>0</v>
      </c>
      <c r="BE26" s="920">
        <v>-75000</v>
      </c>
      <c r="BF26" s="877" cm="1">
        <f t="array" ref="BF26">T26/V26*U26</f>
        <v>0</v>
      </c>
      <c r="BG26" t="str" s="880" cm="1">
        <f t="array" ref="BG26">B26</f>
        <v>Phạm Thị Mỹ Duyên </v>
      </c>
      <c r="BH26" s="920">
        <v>8973410</v>
      </c>
      <c r="BI26" s="969">
        <v>20</v>
      </c>
      <c r="BJ26" s="970" cm="1">
        <f t="array" ref="BJ26">AZ26-BH26</f>
        <v>971590</v>
      </c>
      <c r="BK26" t="s" s="1009">
        <v>5348</v>
      </c>
      <c r="BL26" s="973"/>
      <c r="BM26" s="977"/>
      <c r="BN26" s="978"/>
      <c r="BO26" s="977"/>
      <c r="BP26" s="978"/>
      <c r="BQ26" s="874"/>
    </row>
    <row r="27" ht="24.75" customHeight="1">
      <c r="A27" s="706">
        <v>19</v>
      </c>
      <c r="B27" t="s" s="1026">
        <v>5352</v>
      </c>
      <c r="C27" t="s" s="1033">
        <v>5353</v>
      </c>
      <c r="D27" t="s" s="959">
        <v>236</v>
      </c>
      <c r="E27" s="988">
        <v>0.1</v>
      </c>
      <c r="F27" t="s" s="1026">
        <v>137</v>
      </c>
      <c r="G27" s="368"/>
      <c r="H27" s="368"/>
      <c r="I27" s="1028" cm="1">
        <f t="array" ref="I27">L27*100%</f>
        <v>27777777.7777778</v>
      </c>
      <c r="J27" s="390"/>
      <c r="K27" s="390"/>
      <c r="L27" s="1029" cm="1">
        <f t="array" ref="L27">25000000/0.9</f>
        <v>27777777.7777778</v>
      </c>
      <c r="M27" s="963" cm="1">
        <f t="array" ref="M27">L27</f>
        <v>27777777.7777778</v>
      </c>
      <c r="N27" s="368"/>
      <c r="O27" s="368"/>
      <c r="P27" s="368"/>
      <c r="Q27" s="368"/>
      <c r="R27" s="368"/>
      <c r="S27" s="368"/>
      <c r="T27" s="964"/>
      <c r="U27" s="964" cm="1">
        <f t="array" ref="U27">SUM(W27:Y27)</f>
        <v>21</v>
      </c>
      <c r="V27" s="964">
        <v>21</v>
      </c>
      <c r="W27" s="964"/>
      <c r="X27" s="999" cm="1">
        <f t="array" ref="X27">VLOOKUP(B27,'Bảng công_092024'!$AR$31:$AT$57,3,FALSE)</f>
        <v>21</v>
      </c>
      <c r="Y27" s="985"/>
      <c r="Z27" s="985"/>
      <c r="AA27" s="1027" cm="1">
        <f t="array" ref="AA27">SUM(AB27:AD27)</f>
        <v>27777778</v>
      </c>
      <c r="AB27" s="368" cm="1">
        <f t="array" ref="AB27">ROUND($G27/V27*W27,0)</f>
        <v>0</v>
      </c>
      <c r="AC27" s="1000" cm="1">
        <f t="array" ref="AC27">ROUND(I27/V27*X27,0)</f>
        <v>27777778</v>
      </c>
      <c r="AD27" s="1000" cm="1">
        <f t="array" ref="AD27">ROUND($M27/V27*Y27,0)</f>
        <v>0</v>
      </c>
      <c r="AE27" s="368"/>
      <c r="AF27" s="1015" cm="1">
        <f t="array" ref="AF27">SUM(AG27:AL27)</f>
        <v>0</v>
      </c>
      <c r="AG27" s="962"/>
      <c r="AH27" s="962"/>
      <c r="AI27" s="962"/>
      <c r="AJ27" s="368" cm="1">
        <f t="array" ref="AJ27">-VLOOKUP(B27,'Bảng công_092024'!$AR$31:$AS$57,2,0)</f>
        <v>0</v>
      </c>
      <c r="AK27" s="962"/>
      <c r="AL27" s="389"/>
      <c r="AM27" s="963" cm="1">
        <f t="array" ref="AM27">AA27+AF27</f>
        <v>27777778</v>
      </c>
      <c r="AN27" s="368"/>
      <c r="AO27" s="368"/>
      <c r="AP27" s="368"/>
      <c r="AQ27" s="962"/>
      <c r="AR27" s="389"/>
      <c r="AS27" s="389" cm="1">
        <f t="array" ref="AS27">AM27-(Q27+R27+S27)/V27*U27</f>
        <v>27777778</v>
      </c>
      <c r="AT27" s="368" cm="1">
        <f t="array" ref="AT27">ROUND(IF((AS27-AR27-AO27)&lt;0,0,(AS27-AR27-AO27)),0)</f>
        <v>27777778</v>
      </c>
      <c r="AU27" s="995" cm="1">
        <f t="array" ref="AU27">IF(AT27&lt;2000000,0,(AT27*10%))</f>
        <v>2777777.8</v>
      </c>
      <c r="AV27" s="389"/>
      <c r="AW27" s="1000" cm="1">
        <f t="array" ref="AW27">AM27-AO27-AV27-AU27</f>
        <v>25000000.2</v>
      </c>
      <c r="AX27" s="389"/>
      <c r="AY27" s="962"/>
      <c r="AZ27" s="368" cm="1">
        <f t="array" ref="AZ27">ROUND(AW27-AX27+AY27,0)</f>
        <v>25000000</v>
      </c>
      <c r="BA27" s="995" cm="1">
        <f t="array" ref="BA27">AM27+AP27</f>
        <v>27777778</v>
      </c>
      <c r="BB27" t="s" s="1026">
        <v>137</v>
      </c>
      <c r="BC27" s="967" cm="1">
        <f t="array" ref="BC27">U27</f>
        <v>21</v>
      </c>
      <c r="BD27" s="968" cm="1">
        <f t="array" ref="BD27">AJ27</f>
        <v>0</v>
      </c>
      <c r="BE27" s="920">
        <v>-75000</v>
      </c>
      <c r="BF27" s="877" cm="1">
        <f t="array" ref="BF27">T27/V27*U27</f>
        <v>0</v>
      </c>
      <c r="BG27" t="str" s="1034" cm="1">
        <f t="array" ref="BG27">B27</f>
        <v>Nguyễn Phương Ly </v>
      </c>
      <c r="BH27" s="920">
        <v>3341591</v>
      </c>
      <c r="BI27" s="969">
        <v>3</v>
      </c>
      <c r="BJ27" s="970" cm="1">
        <f t="array" ref="BJ27">AZ27-BH27</f>
        <v>21658409</v>
      </c>
      <c r="BK27" t="s" s="975">
        <v>5355</v>
      </c>
      <c r="BL27" s="973"/>
      <c r="BM27" s="977"/>
      <c r="BN27" s="978"/>
      <c r="BO27" s="977"/>
      <c r="BP27" s="978"/>
      <c r="BQ27" s="874"/>
    </row>
    <row r="28" ht="24" customHeight="1">
      <c r="A28" s="706">
        <v>20</v>
      </c>
      <c r="B28" t="s" s="1026">
        <v>379</v>
      </c>
      <c r="C28" t="s" s="783">
        <v>5356</v>
      </c>
      <c r="D28" t="s" s="959">
        <v>5357</v>
      </c>
      <c r="E28" s="988">
        <v>0.1</v>
      </c>
      <c r="F28" t="s" s="1026">
        <v>137</v>
      </c>
      <c r="G28" s="368"/>
      <c r="H28" s="368"/>
      <c r="I28" s="1028" cm="1">
        <f t="array" ref="I28">L28*100%</f>
        <v>35555555.5555556</v>
      </c>
      <c r="J28" s="390"/>
      <c r="K28" s="390"/>
      <c r="L28" s="1029" cm="1">
        <f t="array" ref="L28">32000000/0.9</f>
        <v>35555555.5555556</v>
      </c>
      <c r="M28" s="963" cm="1">
        <f t="array" ref="M28">L28</f>
        <v>35555555.5555556</v>
      </c>
      <c r="N28" s="368"/>
      <c r="O28" s="368"/>
      <c r="P28" s="368"/>
      <c r="Q28" s="368"/>
      <c r="R28" s="368"/>
      <c r="S28" s="368"/>
      <c r="T28" s="964"/>
      <c r="U28" s="964" cm="1">
        <f t="array" ref="U28">SUM(W28:Y28)</f>
        <v>19</v>
      </c>
      <c r="V28" s="964">
        <v>21</v>
      </c>
      <c r="W28" s="964"/>
      <c r="X28" s="999" cm="1">
        <f t="array" ref="X28">VLOOKUP(B28,'Bảng công_092024'!$AR$31:$AT$57,3,FALSE)</f>
        <v>19</v>
      </c>
      <c r="Y28" s="985"/>
      <c r="Z28" s="985"/>
      <c r="AA28" s="1027" cm="1">
        <f t="array" ref="AA28">SUM(AB28:AD28)</f>
        <v>32169312</v>
      </c>
      <c r="AB28" s="368" cm="1">
        <f t="array" ref="AB28">ROUND($G28/V28*W28,0)</f>
        <v>0</v>
      </c>
      <c r="AC28" s="1000" cm="1">
        <f t="array" ref="AC28">ROUND(I28/V28*X28,0)</f>
        <v>32169312</v>
      </c>
      <c r="AD28" s="1000" cm="1">
        <f t="array" ref="AD28">ROUND($M28/V28*Y28,0)</f>
        <v>0</v>
      </c>
      <c r="AE28" s="368"/>
      <c r="AF28" s="1015" cm="1">
        <f t="array" ref="AF28">SUM(AG28:AL28)</f>
        <v>0</v>
      </c>
      <c r="AG28" s="962"/>
      <c r="AH28" s="962"/>
      <c r="AI28" s="962"/>
      <c r="AJ28" s="368" cm="1">
        <f t="array" ref="AJ28">-VLOOKUP(B28,'Bảng công_092024'!$AR$31:$AS$57,2,0)</f>
        <v>0</v>
      </c>
      <c r="AK28" s="962"/>
      <c r="AL28" s="389"/>
      <c r="AM28" s="963" cm="1">
        <f t="array" ref="AM28">AA28+AF28</f>
        <v>32169312</v>
      </c>
      <c r="AN28" s="368"/>
      <c r="AO28" s="368"/>
      <c r="AP28" s="368"/>
      <c r="AQ28" s="962"/>
      <c r="AR28" s="389"/>
      <c r="AS28" s="389" cm="1">
        <f t="array" ref="AS28">AM28-(Q28+R28+S28)/V28*U28</f>
        <v>32169312</v>
      </c>
      <c r="AT28" s="368" cm="1">
        <f t="array" ref="AT28">ROUND(IF((AS28-AR28-AO28)&lt;0,0,(AS28-AR28-AO28)),0)</f>
        <v>32169312</v>
      </c>
      <c r="AU28" s="995" cm="1">
        <f t="array" ref="AU28">IF(AT28&lt;2000000,0,(AT28*10%))</f>
        <v>3216931.2</v>
      </c>
      <c r="AV28" s="389"/>
      <c r="AW28" s="1000" cm="1">
        <f t="array" ref="AW28">AM28-AO28-AV28-AU28</f>
        <v>28952380.8</v>
      </c>
      <c r="AX28" s="389"/>
      <c r="AY28" s="962"/>
      <c r="AZ28" s="368" cm="1">
        <f t="array" ref="AZ28">ROUND(AW28-AX28+AY28,0)</f>
        <v>28952381</v>
      </c>
      <c r="BA28" s="995" cm="1">
        <f t="array" ref="BA28">AM28+AP28</f>
        <v>32169312</v>
      </c>
      <c r="BB28" s="989"/>
      <c r="BC28" s="967" cm="1">
        <f t="array" ref="BC28">U28</f>
        <v>19</v>
      </c>
      <c r="BD28" s="968" cm="1">
        <f t="array" ref="BD28">AJ28</f>
        <v>0</v>
      </c>
      <c r="BE28" s="920">
        <v>0</v>
      </c>
      <c r="BF28" s="1035" cm="1">
        <f t="array" ref="BF28">T28/V28*U28</f>
        <v>0</v>
      </c>
      <c r="BG28" t="str" s="1036" cm="1">
        <f t="array" ref="BG28">B28</f>
        <v>Nguyễn Thị Ngọc Ánh</v>
      </c>
      <c r="BH28" s="1037">
        <v>0</v>
      </c>
      <c r="BI28" s="969">
        <v>0</v>
      </c>
      <c r="BJ28" s="970" cm="1">
        <f t="array" ref="BJ28">AZ28-BH28</f>
        <v>28952381</v>
      </c>
      <c r="BK28" t="s" s="975">
        <v>5359</v>
      </c>
      <c r="BL28" s="973"/>
      <c r="BM28" s="977"/>
      <c r="BN28" s="978"/>
      <c r="BO28" s="977"/>
      <c r="BP28" s="978"/>
      <c r="BQ28" s="874"/>
    </row>
    <row r="29" ht="24" customHeight="1">
      <c r="A29" s="706">
        <v>21</v>
      </c>
      <c r="B29" t="s" s="1038">
        <v>5360</v>
      </c>
      <c r="C29" t="s" s="783">
        <v>5361</v>
      </c>
      <c r="D29" t="s" s="959">
        <v>5362</v>
      </c>
      <c r="E29" s="988">
        <v>0.1</v>
      </c>
      <c r="F29" t="s" s="1026">
        <v>137</v>
      </c>
      <c r="G29" s="368"/>
      <c r="H29" s="368"/>
      <c r="I29" s="1028" cm="1">
        <f t="array" ref="I29">L29*85%</f>
        <v>12750000</v>
      </c>
      <c r="J29" s="390"/>
      <c r="K29" s="390"/>
      <c r="L29" s="1039">
        <v>15000000</v>
      </c>
      <c r="M29" s="963" cm="1">
        <f t="array" ref="M29">L29</f>
        <v>15000000</v>
      </c>
      <c r="N29" s="368"/>
      <c r="O29" s="368"/>
      <c r="P29" s="368"/>
      <c r="Q29" s="368"/>
      <c r="R29" s="368"/>
      <c r="S29" s="368"/>
      <c r="T29" s="964"/>
      <c r="U29" s="964" cm="1">
        <f t="array" ref="U29">SUM(W29:Y29)</f>
        <v>9</v>
      </c>
      <c r="V29" s="964">
        <v>21</v>
      </c>
      <c r="W29" s="964"/>
      <c r="X29" s="999" cm="1">
        <f t="array" ref="X29">VLOOKUP(B29,'Bảng công_092024'!$AR$31:$AT$57,3,FALSE)</f>
        <v>9</v>
      </c>
      <c r="Y29" s="985"/>
      <c r="Z29" s="985"/>
      <c r="AA29" s="1027" cm="1">
        <f t="array" ref="AA29">SUM(AB29:AD29)</f>
        <v>5464286</v>
      </c>
      <c r="AB29" s="368" cm="1">
        <f t="array" ref="AB29">ROUND($G29/V29*W29,0)</f>
        <v>0</v>
      </c>
      <c r="AC29" s="1000" cm="1">
        <f t="array" ref="AC29">ROUND(I29/V29*X29,0)</f>
        <v>5464286</v>
      </c>
      <c r="AD29" s="1000" cm="1">
        <f t="array" ref="AD29">ROUND($M29/V29*Y29,0)</f>
        <v>0</v>
      </c>
      <c r="AE29" s="368"/>
      <c r="AF29" s="1015" cm="1">
        <f t="array" ref="AF29">SUM(AG29:AL29)</f>
        <v>-150000</v>
      </c>
      <c r="AG29" s="962"/>
      <c r="AH29" s="962"/>
      <c r="AI29" s="962"/>
      <c r="AJ29" s="368" cm="1">
        <f t="array" ref="AJ29">-VLOOKUP(B29,'Bảng công_092024'!$AR$31:$AS$57,2,0)</f>
        <v>-150000</v>
      </c>
      <c r="AK29" s="962"/>
      <c r="AL29" s="389"/>
      <c r="AM29" s="963" cm="1">
        <f t="array" ref="AM29">AA29+AF29</f>
        <v>5314286</v>
      </c>
      <c r="AN29" s="368"/>
      <c r="AO29" s="368"/>
      <c r="AP29" s="368"/>
      <c r="AQ29" s="962"/>
      <c r="AR29" s="389"/>
      <c r="AS29" s="389" cm="1">
        <f t="array" ref="AS29">AM29-(Q29+R29+S29)/V29*U29</f>
        <v>5314286</v>
      </c>
      <c r="AT29" s="368" cm="1">
        <f t="array" ref="AT29">ROUND(IF((AS29-AR29-AO29)&lt;0,0,(AS29-AR29-AO29)),0)</f>
        <v>5314286</v>
      </c>
      <c r="AU29" s="995" cm="1">
        <f t="array" ref="AU29">IF(AT29&lt;2000000,0,(AT29*10%))</f>
        <v>531428.6</v>
      </c>
      <c r="AV29" s="389"/>
      <c r="AW29" s="1000" cm="1">
        <f t="array" ref="AW29">AM29-AO29-AV29-AU29</f>
        <v>4782857.4</v>
      </c>
      <c r="AX29" s="389"/>
      <c r="AY29" s="962"/>
      <c r="AZ29" s="368" cm="1">
        <f t="array" ref="AZ29">ROUND(AW29-AX29+AY29,0)</f>
        <v>4782857</v>
      </c>
      <c r="BA29" s="995" cm="1">
        <f t="array" ref="BA29">AM29+AP29</f>
        <v>5314286</v>
      </c>
      <c r="BB29" s="989"/>
      <c r="BC29" s="967" cm="1">
        <f t="array" ref="BC29">U29</f>
        <v>9</v>
      </c>
      <c r="BD29" s="968" cm="1">
        <f t="array" ref="BD29">AJ29</f>
        <v>-150000</v>
      </c>
      <c r="BE29" s="920">
        <v>0</v>
      </c>
      <c r="BF29" s="1035" cm="1">
        <f t="array" ref="BF29">T29/V29*U29</f>
        <v>0</v>
      </c>
      <c r="BG29" t="str" s="1036" cm="1">
        <f t="array" ref="BG29">B29</f>
        <v>Bùi Thị Nam Trang </v>
      </c>
      <c r="BH29" s="1037">
        <v>0</v>
      </c>
      <c r="BI29" s="969">
        <v>0</v>
      </c>
      <c r="BJ29" s="970" cm="1">
        <f t="array" ref="BJ29">AZ29-BH29</f>
        <v>4782857</v>
      </c>
      <c r="BK29" t="s" s="975">
        <v>5359</v>
      </c>
      <c r="BL29" s="973"/>
      <c r="BM29" s="977"/>
      <c r="BN29" s="978"/>
      <c r="BO29" s="977"/>
      <c r="BP29" s="978"/>
      <c r="BQ29" s="874"/>
    </row>
    <row r="30" ht="27" customHeight="1">
      <c r="A30" s="706">
        <v>22</v>
      </c>
      <c r="B30" t="s" s="783">
        <v>157</v>
      </c>
      <c r="C30" t="s" s="783">
        <v>158</v>
      </c>
      <c r="D30" t="s" s="959">
        <v>262</v>
      </c>
      <c r="E30" s="981">
        <v>0.1</v>
      </c>
      <c r="F30" t="s" s="961">
        <v>85</v>
      </c>
      <c r="G30" s="368" cm="1">
        <f t="array" ref="G30">6000000/0.9</f>
        <v>6666666.66666667</v>
      </c>
      <c r="H30" s="368"/>
      <c r="I30" s="389"/>
      <c r="J30" s="390"/>
      <c r="K30" s="390"/>
      <c r="L30" s="963" cm="1">
        <f t="array" ref="L30">G30</f>
        <v>6666666.66666667</v>
      </c>
      <c r="M30" s="963"/>
      <c r="N30" s="368"/>
      <c r="O30" s="368"/>
      <c r="P30" s="368"/>
      <c r="Q30" s="368"/>
      <c r="R30" s="368"/>
      <c r="S30" s="368"/>
      <c r="T30" s="964"/>
      <c r="U30" s="964" cm="1">
        <f t="array" ref="U30">SUM(W30:Y30)</f>
        <v>18.5</v>
      </c>
      <c r="V30" s="964">
        <v>21</v>
      </c>
      <c r="W30" s="964" cm="1">
        <f t="array" ref="W30">VLOOKUP(B30,'Bảng công_092024'!$AR$31:$AT$57,3,FALSE)</f>
        <v>18.5</v>
      </c>
      <c r="X30" s="964"/>
      <c r="Y30" s="985"/>
      <c r="Z30" s="985"/>
      <c r="AA30" s="963" cm="1">
        <f t="array" ref="AA30">SUM(AB30:AE30)</f>
        <v>5873016</v>
      </c>
      <c r="AB30" s="368" cm="1">
        <f t="array" ref="AB30">ROUND($G30/V30*W30,0)</f>
        <v>5873016</v>
      </c>
      <c r="AC30" s="368" cm="1">
        <f t="array" ref="AC30">ROUND(I30/V30*X30,0)</f>
        <v>0</v>
      </c>
      <c r="AD30" s="368" cm="1">
        <f t="array" ref="AD30">ROUND($M30/V30*Y30,0)</f>
        <v>0</v>
      </c>
      <c r="AE30" s="368"/>
      <c r="AF30" s="1015" cm="1">
        <f t="array" ref="AF30">SUM(AG30:AL30)</f>
        <v>0</v>
      </c>
      <c r="AG30" s="962"/>
      <c r="AH30" s="962"/>
      <c r="AI30" s="962"/>
      <c r="AJ30" s="368" cm="1">
        <f t="array" ref="AJ30">-VLOOKUP(B30,'Bảng công_092024'!$AR$31:$AS$57,2,0)</f>
        <v>0</v>
      </c>
      <c r="AK30" s="962"/>
      <c r="AL30" s="389"/>
      <c r="AM30" s="963" cm="1">
        <f t="array" ref="AM30">AA30+AF30</f>
        <v>5873016</v>
      </c>
      <c r="AN30" s="368"/>
      <c r="AO30" s="368"/>
      <c r="AP30" s="368"/>
      <c r="AQ30" s="962"/>
      <c r="AR30" s="389" cm="1">
        <f t="array" ref="AR30">IF($E30=10%,0,(AQ30*4400000+11000000))</f>
        <v>0</v>
      </c>
      <c r="AS30" s="389" cm="1">
        <f t="array" ref="AS30">AM30-(Q30+R30+S30)/V30*U30</f>
        <v>5873016</v>
      </c>
      <c r="AT30" s="368" cm="1">
        <f t="array" ref="AT30">ROUND(IF((AS30-AR30-AO30)&lt;0,0,(AS30-AR30-AO30)),0)</f>
        <v>5873016</v>
      </c>
      <c r="AU30" s="995" cm="1">
        <f t="array" ref="AU30">IF(AT30&lt;2000000,0,(AT30*10%))</f>
        <v>587301.6</v>
      </c>
      <c r="AV30" s="389"/>
      <c r="AW30" s="368" cm="1">
        <f t="array" ref="AW30">AM30-AO30-AV30-AU30</f>
        <v>5285714.4</v>
      </c>
      <c r="AX30" s="389">
        <v>0</v>
      </c>
      <c r="AY30" s="389"/>
      <c r="AZ30" s="368" cm="1">
        <f t="array" ref="AZ30">ROUND(AW30-AX30+AY30,0)</f>
        <v>5285714</v>
      </c>
      <c r="BA30" s="389" cm="1">
        <f t="array" ref="BA30">AM30+AP30</f>
        <v>5873016</v>
      </c>
      <c r="BB30" t="s" s="1040">
        <v>155</v>
      </c>
      <c r="BC30" s="967" cm="1">
        <f t="array" ref="BC30">U30</f>
        <v>18.5</v>
      </c>
      <c r="BD30" s="968" cm="1">
        <f t="array" ref="BD30">AJ30</f>
        <v>0</v>
      </c>
      <c r="BE30" s="920">
        <v>0</v>
      </c>
      <c r="BF30" s="877" cm="1">
        <f t="array" ref="BF30">T30/V30*U30</f>
        <v>0</v>
      </c>
      <c r="BG30" t="str" s="1041" cm="1">
        <f t="array" ref="BG30">B30</f>
        <v>Nguyễn Xuân Phong</v>
      </c>
      <c r="BH30" s="920">
        <v>4636364</v>
      </c>
      <c r="BI30" s="969">
        <v>17</v>
      </c>
      <c r="BJ30" s="970" cm="1">
        <f t="array" ref="BJ30">AZ30-BH30</f>
        <v>649350</v>
      </c>
      <c r="BK30" t="s" s="975">
        <v>5365</v>
      </c>
      <c r="BL30" t="s" s="1042">
        <v>159</v>
      </c>
      <c r="BM30" t="s" s="972">
        <v>264</v>
      </c>
      <c r="BN30" t="s" s="972">
        <v>265</v>
      </c>
      <c r="BO30" t="s" s="972">
        <v>5306</v>
      </c>
      <c r="BP30" t="s" s="972">
        <v>266</v>
      </c>
      <c r="BQ30" s="874"/>
    </row>
    <row r="31" ht="29.25" customHeight="1">
      <c r="A31" s="706">
        <v>23</v>
      </c>
      <c r="B31" t="s" s="783">
        <v>161</v>
      </c>
      <c r="C31" t="s" s="986">
        <v>162</v>
      </c>
      <c r="D31" t="s" s="959">
        <v>170</v>
      </c>
      <c r="E31" s="981">
        <v>0.1</v>
      </c>
      <c r="F31" t="s" s="961">
        <v>85</v>
      </c>
      <c r="G31" s="368" cm="1">
        <f t="array" ref="G31">8000000/0.9</f>
        <v>8888888.88888889</v>
      </c>
      <c r="H31" s="368"/>
      <c r="I31" s="389"/>
      <c r="J31" s="390"/>
      <c r="K31" s="390"/>
      <c r="L31" s="963" cm="1">
        <f t="array" ref="L31">G31</f>
        <v>8888888.88888889</v>
      </c>
      <c r="M31" s="963"/>
      <c r="N31" s="368"/>
      <c r="O31" s="368"/>
      <c r="P31" s="368"/>
      <c r="Q31" s="368"/>
      <c r="R31" s="368"/>
      <c r="S31" s="368"/>
      <c r="T31" s="964"/>
      <c r="U31" s="964" cm="1">
        <f t="array" ref="U31">SUM(W31:Y31)</f>
        <v>20</v>
      </c>
      <c r="V31" s="964">
        <v>21</v>
      </c>
      <c r="W31" s="964" cm="1">
        <f t="array" ref="W31">VLOOKUP(B31,'Bảng công_092024'!$AR$31:$AT$57,3,FALSE)</f>
        <v>20</v>
      </c>
      <c r="X31" s="964"/>
      <c r="Y31" s="985"/>
      <c r="Z31" s="985"/>
      <c r="AA31" s="963" cm="1">
        <f t="array" ref="AA31">SUM(AB31:AE31)</f>
        <v>8465608</v>
      </c>
      <c r="AB31" s="368" cm="1">
        <f t="array" ref="AB31">ROUND($G31/V31*W31,0)</f>
        <v>8465608</v>
      </c>
      <c r="AC31" s="368" cm="1">
        <f t="array" ref="AC31">ROUND(I31/V31*X31,0)</f>
        <v>0</v>
      </c>
      <c r="AD31" s="368" cm="1">
        <f t="array" ref="AD31">ROUND($M31/V31*Y31,0)</f>
        <v>0</v>
      </c>
      <c r="AE31" s="368"/>
      <c r="AF31" s="1015" cm="1">
        <f t="array" ref="AF31">SUM(AG31:AL31)</f>
        <v>0</v>
      </c>
      <c r="AG31" s="962"/>
      <c r="AH31" s="962"/>
      <c r="AI31" s="962"/>
      <c r="AJ31" s="368" cm="1">
        <f t="array" ref="AJ31">-VLOOKUP(B31,'Bảng công_092024'!$AR$31:$AS$57,2,0)</f>
        <v>0</v>
      </c>
      <c r="AK31" s="962"/>
      <c r="AL31" s="389"/>
      <c r="AM31" s="963" cm="1">
        <f t="array" ref="AM31">AA31+AF31</f>
        <v>8465608</v>
      </c>
      <c r="AN31" s="368"/>
      <c r="AO31" s="368"/>
      <c r="AP31" s="368"/>
      <c r="AQ31" s="962"/>
      <c r="AR31" s="389" cm="1">
        <f t="array" ref="AR31">IF($E31=10%,0,(AQ31*4400000+11000000))</f>
        <v>0</v>
      </c>
      <c r="AS31" s="389" cm="1">
        <f t="array" ref="AS31">AM31-(Q31+R31+S31)/V31*U31</f>
        <v>8465608</v>
      </c>
      <c r="AT31" s="368" cm="1">
        <f t="array" ref="AT31">ROUND(IF((AS31-AR31-AO31)&lt;0,0,(AS31-AR31-AO31)),0)</f>
        <v>8465608</v>
      </c>
      <c r="AU31" s="995" cm="1">
        <f t="array" ref="AU31">IF(AT31&lt;2000000,0,(AT31*10%))</f>
        <v>846560.8</v>
      </c>
      <c r="AV31" s="389"/>
      <c r="AW31" s="368" cm="1">
        <f t="array" ref="AW31">AM31-AO31-AV31-AU31</f>
        <v>7619047.2</v>
      </c>
      <c r="AX31" s="389">
        <v>0</v>
      </c>
      <c r="AY31" s="389"/>
      <c r="AZ31" s="368" cm="1">
        <f t="array" ref="AZ31">ROUND(AW31-AX31+AY31,0)</f>
        <v>7619047</v>
      </c>
      <c r="BA31" s="389" cm="1">
        <f t="array" ref="BA31">AM31+AP31</f>
        <v>8465608</v>
      </c>
      <c r="BB31" t="s" s="1040">
        <v>155</v>
      </c>
      <c r="BC31" s="967" cm="1">
        <f t="array" ref="BC31">U31</f>
        <v>20</v>
      </c>
      <c r="BD31" s="968" cm="1">
        <f t="array" ref="BD31">AJ31</f>
        <v>0</v>
      </c>
      <c r="BE31" s="920">
        <v>0</v>
      </c>
      <c r="BF31" s="877" cm="1">
        <f t="array" ref="BF31">T31/V31*U31</f>
        <v>0</v>
      </c>
      <c r="BG31" t="str" s="880" cm="1">
        <f t="array" ref="BG31">B31</f>
        <v>Vương Tuấn Cường</v>
      </c>
      <c r="BH31" s="920">
        <v>7636363</v>
      </c>
      <c r="BI31" s="969">
        <v>21</v>
      </c>
      <c r="BJ31" s="970" cm="1">
        <f t="array" ref="BJ31">AZ31-BH31</f>
        <v>-17316</v>
      </c>
      <c r="BK31" t="s" s="1004">
        <v>5367</v>
      </c>
      <c r="BL31" t="s" s="1042">
        <v>159</v>
      </c>
      <c r="BM31" t="s" s="412">
        <v>5368</v>
      </c>
      <c r="BN31" t="s" s="976">
        <v>5369</v>
      </c>
      <c r="BO31" s="984"/>
      <c r="BP31" s="984"/>
      <c r="BQ31" s="874"/>
    </row>
    <row r="32" ht="23.25" customHeight="1">
      <c r="A32" s="706">
        <v>24</v>
      </c>
      <c r="B32" t="s" s="986">
        <v>164</v>
      </c>
      <c r="C32" t="s" s="986">
        <v>165</v>
      </c>
      <c r="D32" t="s" s="959">
        <v>262</v>
      </c>
      <c r="E32" s="981">
        <v>0.1</v>
      </c>
      <c r="F32" t="s" s="961">
        <v>85</v>
      </c>
      <c r="G32" s="368" cm="1">
        <f t="array" ref="G32">6000000/0.9</f>
        <v>6666666.66666667</v>
      </c>
      <c r="H32" s="1000"/>
      <c r="I32" s="995"/>
      <c r="J32" s="390"/>
      <c r="K32" s="390"/>
      <c r="L32" s="963" cm="1">
        <f t="array" ref="L32">G32</f>
        <v>6666666.66666667</v>
      </c>
      <c r="M32" s="1027"/>
      <c r="N32" s="1000"/>
      <c r="O32" s="1000"/>
      <c r="P32" s="1000"/>
      <c r="Q32" s="1000"/>
      <c r="R32" s="1000"/>
      <c r="S32" s="1000"/>
      <c r="T32" s="964"/>
      <c r="U32" s="964" cm="1">
        <f t="array" ref="U32">SUM(W32:Y32)</f>
        <v>19</v>
      </c>
      <c r="V32" s="964">
        <v>21</v>
      </c>
      <c r="W32" s="964" cm="1">
        <f t="array" ref="W32">VLOOKUP(B32,'Bảng công_092024'!$AR$31:$AT$57,3,FALSE)</f>
        <v>19</v>
      </c>
      <c r="X32" s="998"/>
      <c r="Y32" s="985"/>
      <c r="Z32" s="999"/>
      <c r="AA32" s="963" cm="1">
        <f t="array" ref="AA32">SUM(AB32:AE32)</f>
        <v>6031746</v>
      </c>
      <c r="AB32" s="368" cm="1">
        <f t="array" ref="AB32">ROUND($G32/V32*W32,0)</f>
        <v>6031746</v>
      </c>
      <c r="AC32" s="368" cm="1">
        <f t="array" ref="AC32">ROUND(I32/V32*X32,0)</f>
        <v>0</v>
      </c>
      <c r="AD32" s="368" cm="1">
        <f t="array" ref="AD32">ROUND($M32/V32*Y32,0)</f>
        <v>0</v>
      </c>
      <c r="AE32" s="368"/>
      <c r="AF32" s="1015" cm="1">
        <f t="array" ref="AF32">SUM(AG32:AL32)</f>
        <v>0</v>
      </c>
      <c r="AG32" s="962"/>
      <c r="AH32" s="962"/>
      <c r="AI32" s="1002"/>
      <c r="AJ32" s="368" cm="1">
        <f t="array" ref="AJ32">-VLOOKUP(B32,'Bảng công_092024'!$AR$31:$AS$57,2,0)</f>
        <v>0</v>
      </c>
      <c r="AK32" s="1002"/>
      <c r="AL32" s="995"/>
      <c r="AM32" s="963" cm="1">
        <f t="array" ref="AM32">AA32+AF32</f>
        <v>6031746</v>
      </c>
      <c r="AN32" s="368"/>
      <c r="AO32" s="1000"/>
      <c r="AP32" s="1000"/>
      <c r="AQ32" s="1002"/>
      <c r="AR32" s="389" cm="1">
        <f t="array" ref="AR32">IF($E32=10%,0,(AQ32*4400000+11000000))</f>
        <v>0</v>
      </c>
      <c r="AS32" s="389" cm="1">
        <f t="array" ref="AS32">AM32-(Q32+R32+S32)/V32*U32</f>
        <v>6031746</v>
      </c>
      <c r="AT32" s="368" cm="1">
        <f t="array" ref="AT32">ROUND(IF((AS32-AR32-AO32)&lt;0,0,(AS32-AR32-AO32)),0)</f>
        <v>6031746</v>
      </c>
      <c r="AU32" s="995" cm="1">
        <f t="array" ref="AU32">IF(AT32&lt;2000000,0,(AT32*10%))</f>
        <v>603174.6</v>
      </c>
      <c r="AV32" s="389"/>
      <c r="AW32" s="368" cm="1">
        <f t="array" ref="AW32">AM32-AO32-AV32-AU32</f>
        <v>5428571.4</v>
      </c>
      <c r="AX32" s="389">
        <v>0</v>
      </c>
      <c r="AY32" s="389"/>
      <c r="AZ32" s="368" cm="1">
        <f t="array" ref="AZ32">ROUND(AW32-AX32+AY32,0)</f>
        <v>5428571</v>
      </c>
      <c r="BA32" s="995" cm="1">
        <f t="array" ref="BA32">AM32+AP32</f>
        <v>6031746</v>
      </c>
      <c r="BB32" t="s" s="1040">
        <v>155</v>
      </c>
      <c r="BC32" s="967" cm="1">
        <f t="array" ref="BC32">U32</f>
        <v>19</v>
      </c>
      <c r="BD32" s="968" cm="1">
        <f t="array" ref="BD32">AJ32</f>
        <v>0</v>
      </c>
      <c r="BE32" s="920">
        <v>-75000</v>
      </c>
      <c r="BF32" s="877" cm="1">
        <f t="array" ref="BF32">T32/V32*U32</f>
        <v>0</v>
      </c>
      <c r="BG32" t="str" s="880" cm="1">
        <f t="array" ref="BG32">B32</f>
        <v>Nguyễn Nam Anh</v>
      </c>
      <c r="BH32" s="920">
        <v>5659772</v>
      </c>
      <c r="BI32" s="969">
        <v>21</v>
      </c>
      <c r="BJ32" s="970" cm="1">
        <f t="array" ref="BJ32">AZ32-BH32</f>
        <v>-231201</v>
      </c>
      <c r="BK32" t="s" s="1004">
        <v>5371</v>
      </c>
      <c r="BL32" t="s" s="1042">
        <v>159</v>
      </c>
      <c r="BM32" t="s" s="412">
        <v>5372</v>
      </c>
      <c r="BN32" t="s" s="976">
        <v>5373</v>
      </c>
      <c r="BO32" s="984"/>
      <c r="BP32" s="984"/>
      <c r="BQ32" s="874"/>
    </row>
    <row r="33" ht="21.75" customHeight="1">
      <c r="A33" s="706">
        <v>25</v>
      </c>
      <c r="B33" t="s" s="986">
        <v>167</v>
      </c>
      <c r="C33" t="s" s="1043">
        <v>5374</v>
      </c>
      <c r="D33" t="s" s="959">
        <v>170</v>
      </c>
      <c r="E33" s="981">
        <v>0.1</v>
      </c>
      <c r="F33" t="s" s="961">
        <v>85</v>
      </c>
      <c r="G33" s="368" cm="1">
        <f t="array" ref="G33">6000000/0.9</f>
        <v>6666666.66666667</v>
      </c>
      <c r="H33" s="1000"/>
      <c r="I33" s="995"/>
      <c r="J33" s="390"/>
      <c r="K33" s="390"/>
      <c r="L33" s="963" cm="1">
        <f t="array" ref="L33">G33</f>
        <v>6666666.66666667</v>
      </c>
      <c r="M33" s="1027"/>
      <c r="N33" s="1000"/>
      <c r="O33" s="1000"/>
      <c r="P33" s="1000"/>
      <c r="Q33" s="1000"/>
      <c r="R33" s="1000"/>
      <c r="S33" s="1000"/>
      <c r="T33" s="964"/>
      <c r="U33" s="964" cm="1">
        <f t="array" ref="U33">SUM(W33:Y33)</f>
        <v>18.5</v>
      </c>
      <c r="V33" s="964">
        <v>21</v>
      </c>
      <c r="W33" s="964" cm="1">
        <f t="array" ref="W33">VLOOKUP(B33,'Bảng công_092024'!$AR$31:$AT$57,3,FALSE)</f>
        <v>18.5</v>
      </c>
      <c r="X33" s="998"/>
      <c r="Y33" s="985"/>
      <c r="Z33" s="999"/>
      <c r="AA33" s="963" cm="1">
        <f t="array" ref="AA33">SUM(AB33:AE33)</f>
        <v>5873016</v>
      </c>
      <c r="AB33" s="368" cm="1">
        <f t="array" ref="AB33">ROUND($G33/V33*W33,0)</f>
        <v>5873016</v>
      </c>
      <c r="AC33" s="368" cm="1">
        <f t="array" ref="AC33">ROUND(I33/V33*X33,0)</f>
        <v>0</v>
      </c>
      <c r="AD33" s="368" cm="1">
        <f t="array" ref="AD33">ROUND($M33/V33*Y33,0)</f>
        <v>0</v>
      </c>
      <c r="AE33" s="368"/>
      <c r="AF33" s="1015" cm="1">
        <f t="array" ref="AF33">SUM(AG33:AL33)</f>
        <v>-75000</v>
      </c>
      <c r="AG33" s="962"/>
      <c r="AH33" s="962"/>
      <c r="AI33" s="1002"/>
      <c r="AJ33" s="368" cm="1">
        <f t="array" ref="AJ33">-VLOOKUP(B33,'Bảng công_092024'!$AR$31:$AS$57,2,0)</f>
        <v>-75000</v>
      </c>
      <c r="AK33" s="1002"/>
      <c r="AL33" s="995"/>
      <c r="AM33" s="963" cm="1">
        <f t="array" ref="AM33">AA33+AF33</f>
        <v>5798016</v>
      </c>
      <c r="AN33" s="368"/>
      <c r="AO33" s="1000"/>
      <c r="AP33" s="1000"/>
      <c r="AQ33" s="1002"/>
      <c r="AR33" s="389" cm="1">
        <f t="array" ref="AR33">IF($E33=10%,0,(AQ33*4400000+11000000))</f>
        <v>0</v>
      </c>
      <c r="AS33" s="389" cm="1">
        <f t="array" ref="AS33">AM33-(Q33+R33+S33)/V33*U33</f>
        <v>5798016</v>
      </c>
      <c r="AT33" s="368" cm="1">
        <f t="array" ref="AT33">ROUND(IF((AS33-AR33-AO33)&lt;0,0,(AS33-AR33-AO33)),0)</f>
        <v>5798016</v>
      </c>
      <c r="AU33" s="995" cm="1">
        <f t="array" ref="AU33">IF(AT33&lt;2000000,0,(AT33*10%))</f>
        <v>579801.6</v>
      </c>
      <c r="AV33" s="389"/>
      <c r="AW33" s="368" cm="1">
        <f t="array" ref="AW33">AM33-AO33-AV33-AU33</f>
        <v>5218214.4</v>
      </c>
      <c r="AX33" s="389">
        <v>0</v>
      </c>
      <c r="AY33" s="389"/>
      <c r="AZ33" s="368" cm="1">
        <f t="array" ref="AZ33">ROUND(AW33-AX33+AY33,0)</f>
        <v>5218214</v>
      </c>
      <c r="BA33" s="995" cm="1">
        <f t="array" ref="BA33">AM33+AP33</f>
        <v>5798016</v>
      </c>
      <c r="BB33" t="s" s="1040">
        <v>155</v>
      </c>
      <c r="BC33" s="967" cm="1">
        <f t="array" ref="BC33">U33</f>
        <v>18.5</v>
      </c>
      <c r="BD33" s="968" cm="1">
        <f t="array" ref="BD33">AJ33</f>
        <v>-75000</v>
      </c>
      <c r="BE33" s="920">
        <v>0</v>
      </c>
      <c r="BF33" s="877" cm="1">
        <f t="array" ref="BF33">T33/V33*U33</f>
        <v>0</v>
      </c>
      <c r="BG33" t="str" s="880" cm="1">
        <f t="array" ref="BG33">B33</f>
        <v>Ngô Phương Anh</v>
      </c>
      <c r="BH33" s="920">
        <v>5045455</v>
      </c>
      <c r="BI33" s="969">
        <v>18.5</v>
      </c>
      <c r="BJ33" s="970" cm="1">
        <f t="array" ref="BJ33">AZ33-BH33</f>
        <v>172759</v>
      </c>
      <c r="BK33" t="s" s="1004">
        <v>5376</v>
      </c>
      <c r="BL33" t="s" s="1042">
        <v>159</v>
      </c>
      <c r="BM33" t="s" s="972">
        <v>5377</v>
      </c>
      <c r="BN33" t="s" s="972">
        <v>5378</v>
      </c>
      <c r="BO33" t="s" s="972">
        <v>5306</v>
      </c>
      <c r="BP33" t="s" s="972">
        <v>229</v>
      </c>
      <c r="BQ33" s="874"/>
    </row>
    <row r="34" ht="24.75" customHeight="1">
      <c r="A34" s="706">
        <v>26</v>
      </c>
      <c r="B34" t="s" s="783">
        <v>5379</v>
      </c>
      <c r="C34" t="s" s="1033">
        <v>5380</v>
      </c>
      <c r="D34" t="s" s="959">
        <v>170</v>
      </c>
      <c r="E34" s="981">
        <v>0.1</v>
      </c>
      <c r="F34" t="s" s="961">
        <v>135</v>
      </c>
      <c r="G34" s="368">
        <v>4000000</v>
      </c>
      <c r="H34" s="368"/>
      <c r="I34" s="389"/>
      <c r="J34" s="390"/>
      <c r="K34" s="390"/>
      <c r="L34" s="963" cm="1">
        <f t="array" ref="L34">G34</f>
        <v>4000000</v>
      </c>
      <c r="M34" s="963"/>
      <c r="N34" s="368"/>
      <c r="O34" s="368"/>
      <c r="P34" s="368"/>
      <c r="Q34" s="368"/>
      <c r="R34" s="368"/>
      <c r="S34" s="368"/>
      <c r="T34" s="964"/>
      <c r="U34" s="964" cm="1">
        <f t="array" ref="U34">SUM(W34:Y34)</f>
        <v>19</v>
      </c>
      <c r="V34" s="964">
        <v>21</v>
      </c>
      <c r="W34" s="964" cm="1">
        <f t="array" ref="W34">VLOOKUP(B34,'Bảng công_092024'!$AR$31:$AT$57,3,FALSE)</f>
        <v>19</v>
      </c>
      <c r="X34" s="964"/>
      <c r="Y34" s="985"/>
      <c r="Z34" s="985"/>
      <c r="AA34" s="963" cm="1">
        <f t="array" ref="AA34">SUM(AB34:AE34)</f>
        <v>3619048</v>
      </c>
      <c r="AB34" s="368" cm="1">
        <f t="array" ref="AB34">ROUND($G34/V34*W34,0)</f>
        <v>3619048</v>
      </c>
      <c r="AC34" s="368" cm="1">
        <f t="array" ref="AC34">ROUND(I34/V34*X34,0)</f>
        <v>0</v>
      </c>
      <c r="AD34" s="368" cm="1">
        <f t="array" ref="AD34">ROUND($M34/V34*Y34,0)</f>
        <v>0</v>
      </c>
      <c r="AE34" s="368"/>
      <c r="AF34" s="1015" cm="1">
        <f t="array" ref="AF34">SUM(AG34:AL34)</f>
        <v>0</v>
      </c>
      <c r="AG34" s="962"/>
      <c r="AH34" s="962"/>
      <c r="AI34" s="962"/>
      <c r="AJ34" s="368" cm="1">
        <f t="array" ref="AJ34">-VLOOKUP(B34,'Bảng công_092024'!$AR$31:$AS$57,2,0)</f>
        <v>0</v>
      </c>
      <c r="AK34" s="389"/>
      <c r="AL34" s="368"/>
      <c r="AM34" s="963" cm="1">
        <f t="array" ref="AM34">AA34+AF34</f>
        <v>3619048</v>
      </c>
      <c r="AN34" s="368"/>
      <c r="AO34" s="368"/>
      <c r="AP34" s="962"/>
      <c r="AQ34" s="389"/>
      <c r="AR34" s="389" cm="1">
        <f t="array" ref="AR34">IF($E34=10%,0,(AQ34*4400000+11000000))</f>
        <v>0</v>
      </c>
      <c r="AS34" s="389" cm="1">
        <f t="array" ref="AS34">AM34-(Q34+R34+S34)/V34*U34</f>
        <v>3619048</v>
      </c>
      <c r="AT34" s="368" cm="1">
        <f t="array" ref="AT34">ROUND(IF((AS34-AR34-AO34)&lt;0,0,(AS34-AR34-AO34)),0)</f>
        <v>3619048</v>
      </c>
      <c r="AU34" s="995" cm="1">
        <f t="array" ref="AU34">IF(AT34&lt;2000000,0,(AT34*10%))</f>
        <v>361904.8</v>
      </c>
      <c r="AV34" s="389"/>
      <c r="AW34" s="368" cm="1">
        <f t="array" ref="AW34">AM34-AO34-AV34-AU34</f>
        <v>3257143.2</v>
      </c>
      <c r="AX34" s="389">
        <v>0</v>
      </c>
      <c r="AY34" s="389"/>
      <c r="AZ34" s="368" cm="1">
        <f t="array" ref="AZ34">ROUND(AW34-AX34+AY34,0)</f>
        <v>3257143</v>
      </c>
      <c r="BA34" s="995" cm="1">
        <f t="array" ref="BA34">AM34+AP34</f>
        <v>3619048</v>
      </c>
      <c r="BB34" t="s" s="1040">
        <v>155</v>
      </c>
      <c r="BC34" s="967" cm="1">
        <f t="array" ref="BC34">U34</f>
        <v>19</v>
      </c>
      <c r="BD34" s="968" cm="1">
        <f t="array" ref="BD34">AJ34</f>
        <v>0</v>
      </c>
      <c r="BE34" s="920">
        <v>0</v>
      </c>
      <c r="BF34" s="877" cm="1">
        <f t="array" ref="BF34">T34/V34*U34</f>
        <v>0</v>
      </c>
      <c r="BG34" t="str" s="880" cm="1">
        <f t="array" ref="BG34">B34</f>
        <v>Nguyễn Gia Bình </v>
      </c>
      <c r="BH34" s="920">
        <v>3027272</v>
      </c>
      <c r="BI34" s="969">
        <v>18.5</v>
      </c>
      <c r="BJ34" s="970" cm="1">
        <f t="array" ref="BJ34">AZ34-BH34</f>
        <v>229871</v>
      </c>
      <c r="BK34" t="s" s="975">
        <v>5382</v>
      </c>
      <c r="BL34" t="s" s="898">
        <v>5383</v>
      </c>
      <c r="BM34" s="1044"/>
      <c r="BN34" s="1044"/>
      <c r="BO34" s="1044"/>
      <c r="BP34" s="1045"/>
      <c r="BQ34" s="874"/>
    </row>
    <row r="35" ht="24" customHeight="1">
      <c r="A35" s="706">
        <v>27</v>
      </c>
      <c r="B35" t="s" s="1046">
        <v>5384</v>
      </c>
      <c r="C35" t="s" s="1033">
        <v>5385</v>
      </c>
      <c r="D35" t="s" s="959">
        <v>170</v>
      </c>
      <c r="E35" s="981">
        <v>0.1</v>
      </c>
      <c r="F35" t="s" s="961">
        <v>135</v>
      </c>
      <c r="G35" s="368">
        <v>4000000</v>
      </c>
      <c r="H35" s="368"/>
      <c r="I35" s="389"/>
      <c r="J35" s="390"/>
      <c r="K35" s="390"/>
      <c r="L35" s="963" cm="1">
        <f t="array" ref="L35">G35</f>
        <v>4000000</v>
      </c>
      <c r="M35" s="963"/>
      <c r="N35" s="368"/>
      <c r="O35" s="368"/>
      <c r="P35" s="368"/>
      <c r="Q35" s="368"/>
      <c r="R35" s="368"/>
      <c r="S35" s="368"/>
      <c r="T35" s="964"/>
      <c r="U35" s="964" cm="1">
        <f t="array" ref="U35">SUM(W35:Y35)</f>
        <v>20</v>
      </c>
      <c r="V35" s="964">
        <v>21</v>
      </c>
      <c r="W35" s="964" cm="1">
        <f t="array" ref="W35">VLOOKUP(B35,'Bảng công_092024'!$AR$31:$AT$57,3,FALSE)</f>
        <v>20</v>
      </c>
      <c r="X35" s="964"/>
      <c r="Y35" s="985"/>
      <c r="Z35" s="985"/>
      <c r="AA35" s="963" cm="1">
        <f t="array" ref="AA35">SUM(AB35:AE35)</f>
        <v>3809524</v>
      </c>
      <c r="AB35" s="368" cm="1">
        <f t="array" ref="AB35">ROUND($G35/V35*W35,0)</f>
        <v>3809524</v>
      </c>
      <c r="AC35" s="368" cm="1">
        <f t="array" ref="AC35">ROUND(I35/V35*X35,0)</f>
        <v>0</v>
      </c>
      <c r="AD35" s="368" cm="1">
        <f t="array" ref="AD35">ROUND($M35/V35*Y35,0)</f>
        <v>0</v>
      </c>
      <c r="AE35" s="368"/>
      <c r="AF35" s="1015" cm="1">
        <f t="array" ref="AF35">SUM(AG35:AL35)</f>
        <v>0</v>
      </c>
      <c r="AG35" s="962"/>
      <c r="AH35" s="962"/>
      <c r="AI35" s="962"/>
      <c r="AJ35" s="368" cm="1">
        <f t="array" ref="AJ35">-VLOOKUP(B35,'Bảng công_092024'!$AR$31:$AS$57,2,0)</f>
        <v>0</v>
      </c>
      <c r="AK35" s="389"/>
      <c r="AL35" s="368"/>
      <c r="AM35" s="963" cm="1">
        <f t="array" ref="AM35">AA35+AF35</f>
        <v>3809524</v>
      </c>
      <c r="AN35" s="368"/>
      <c r="AO35" s="368"/>
      <c r="AP35" s="962"/>
      <c r="AQ35" s="389"/>
      <c r="AR35" s="389" cm="1">
        <f t="array" ref="AR35">IF($E35=10%,0,(AQ35*4400000+11000000))</f>
        <v>0</v>
      </c>
      <c r="AS35" s="389" cm="1">
        <f t="array" ref="AS35">AM35-(Q35+R35+S35)/V35*U35</f>
        <v>3809524</v>
      </c>
      <c r="AT35" s="368" cm="1">
        <f t="array" ref="AT35">ROUND(IF((AS35-AR35-AO35)&lt;0,0,(AS35-AR35-AO35)),0)</f>
        <v>3809524</v>
      </c>
      <c r="AU35" s="995" cm="1">
        <f t="array" ref="AU35">IF(AT35&lt;2000000,0,(AT35*10%))</f>
        <v>380952.4</v>
      </c>
      <c r="AV35" s="389"/>
      <c r="AW35" s="368" cm="1">
        <f t="array" ref="AW35">AM35-AO35-AV35-AU35</f>
        <v>3428571.6</v>
      </c>
      <c r="AX35" s="389">
        <v>0</v>
      </c>
      <c r="AY35" s="389"/>
      <c r="AZ35" s="368" cm="1">
        <f t="array" ref="AZ35">ROUND(AW35-AX35+AY35,0)</f>
        <v>3428572</v>
      </c>
      <c r="BA35" s="995" cm="1">
        <f t="array" ref="BA35">AM35+AP35</f>
        <v>3809524</v>
      </c>
      <c r="BB35" t="s" s="1040">
        <v>155</v>
      </c>
      <c r="BC35" s="967" cm="1">
        <f t="array" ref="BC35">U35</f>
        <v>20</v>
      </c>
      <c r="BD35" s="968" cm="1">
        <f t="array" ref="BD35">AJ35</f>
        <v>0</v>
      </c>
      <c r="BE35" s="920">
        <v>-150000</v>
      </c>
      <c r="BF35" s="877" cm="1">
        <f t="array" ref="BF35">T35/V35*U35</f>
        <v>0</v>
      </c>
      <c r="BG35" t="str" s="880" cm="1">
        <f t="array" ref="BG35">B35</f>
        <v>Nguyễn Thị Duyên </v>
      </c>
      <c r="BH35" s="920">
        <v>3465000</v>
      </c>
      <c r="BI35" s="969">
        <v>22</v>
      </c>
      <c r="BJ35" s="970" cm="1">
        <f t="array" ref="BJ35">AZ35-BH35</f>
        <v>-36428</v>
      </c>
      <c r="BK35" t="s" s="975">
        <v>5382</v>
      </c>
      <c r="BL35" t="s" s="898">
        <v>5383</v>
      </c>
      <c r="BM35" t="s" s="412">
        <v>5387</v>
      </c>
      <c r="BN35" t="s" s="976">
        <v>5388</v>
      </c>
      <c r="BO35" s="904"/>
      <c r="BP35" s="874"/>
      <c r="BQ35" s="874"/>
    </row>
    <row r="36" ht="26.25" customHeight="1">
      <c r="A36" s="706">
        <v>28</v>
      </c>
      <c r="B36" t="s" s="1047">
        <v>5389</v>
      </c>
      <c r="C36" t="s" s="959">
        <v>5390</v>
      </c>
      <c r="D36" t="s" s="959">
        <v>348</v>
      </c>
      <c r="E36" s="981">
        <v>0.1</v>
      </c>
      <c r="F36" t="s" s="1026">
        <v>137</v>
      </c>
      <c r="G36" s="1048">
        <v>4000000</v>
      </c>
      <c r="H36" s="390"/>
      <c r="I36" s="390"/>
      <c r="J36" s="390"/>
      <c r="K36" s="390"/>
      <c r="L36" s="1029" cm="1">
        <f t="array" ref="L36">G36</f>
        <v>4000000</v>
      </c>
      <c r="M36" s="963"/>
      <c r="N36" s="963"/>
      <c r="O36" s="963"/>
      <c r="P36" s="963"/>
      <c r="Q36" s="963"/>
      <c r="R36" s="963"/>
      <c r="S36" s="963"/>
      <c r="T36" s="963"/>
      <c r="U36" s="964" cm="1">
        <f t="array" ref="U36">SUM(W36:Y36)</f>
        <v>20.5</v>
      </c>
      <c r="V36" s="964">
        <v>21</v>
      </c>
      <c r="W36" s="964" cm="1">
        <f t="array" ref="W36">VLOOKUP(B36,'Bảng công_092024'!$AR$31:$AT$57,3,FALSE)</f>
        <v>20.5</v>
      </c>
      <c r="X36" s="963"/>
      <c r="Y36" s="963"/>
      <c r="Z36" s="963"/>
      <c r="AA36" s="963" cm="1">
        <f t="array" ref="AA36">SUM(AB36:AE36)</f>
        <v>3904762</v>
      </c>
      <c r="AB36" s="368" cm="1">
        <f t="array" ref="AB36">ROUND($G36/V36*W36,0)</f>
        <v>3904762</v>
      </c>
      <c r="AC36" s="368" cm="1">
        <f t="array" ref="AC36">ROUND(I36/V36*X36,0)</f>
        <v>0</v>
      </c>
      <c r="AD36" s="368" cm="1">
        <f t="array" ref="AD36">ROUND($M36/V36*Y36,0)</f>
        <v>0</v>
      </c>
      <c r="AE36" s="963"/>
      <c r="AF36" s="1015" cm="1">
        <f t="array" ref="AF36">SUM(AG36:AL36)</f>
        <v>0</v>
      </c>
      <c r="AG36" s="963"/>
      <c r="AH36" s="963"/>
      <c r="AI36" s="963"/>
      <c r="AJ36" s="368" cm="1">
        <f t="array" ref="AJ36">-VLOOKUP(B36,'Bảng công_092024'!$AR$31:$AS$57,2,0)</f>
        <v>0</v>
      </c>
      <c r="AK36" s="963"/>
      <c r="AL36" s="963"/>
      <c r="AM36" s="963" cm="1">
        <f t="array" ref="AM36">AA36+AF36</f>
        <v>3904762</v>
      </c>
      <c r="AN36" s="963"/>
      <c r="AO36" s="963"/>
      <c r="AP36" s="963"/>
      <c r="AQ36" s="963"/>
      <c r="AR36" s="389" cm="1">
        <f t="array" ref="AR36">IF($E36=10%,0,(AQ36*4400000+11000000))</f>
        <v>0</v>
      </c>
      <c r="AS36" s="389" cm="1">
        <f t="array" ref="AS36">AM36-(Q36+R36+S36)/V36*U36</f>
        <v>3904762</v>
      </c>
      <c r="AT36" s="368" cm="1">
        <f t="array" ref="AT36">ROUND(IF((AS36-AR36-AO36)&lt;0,0,(AS36-AR36-AO36)),0)</f>
        <v>3904762</v>
      </c>
      <c r="AU36" s="995" cm="1">
        <f t="array" ref="AU36">IF(AT36&lt;2000000,0,(AT36*10%))</f>
        <v>390476.2</v>
      </c>
      <c r="AV36" s="389"/>
      <c r="AW36" s="368" cm="1">
        <f t="array" ref="AW36">AM36-AO36-AV36-AU36</f>
        <v>3514285.8</v>
      </c>
      <c r="AX36" s="389">
        <v>0</v>
      </c>
      <c r="AY36" s="389"/>
      <c r="AZ36" s="368" cm="1">
        <f t="array" ref="AZ36">ROUND(AW36-AX36+AY36,0)</f>
        <v>3514286</v>
      </c>
      <c r="BA36" s="995" cm="1">
        <f t="array" ref="BA36">AM36+AP36</f>
        <v>3904762</v>
      </c>
      <c r="BB36" t="s" s="1040">
        <v>155</v>
      </c>
      <c r="BC36" s="1049" cm="1">
        <f t="array" ref="BC36">U36</f>
        <v>20.5</v>
      </c>
      <c r="BD36" s="1050" cm="1">
        <f t="array" ref="BD36">AJ36</f>
        <v>0</v>
      </c>
      <c r="BE36" s="1051">
        <v>0</v>
      </c>
      <c r="BF36" s="1052" cm="1">
        <f t="array" ref="BF36">T36/V36*U36</f>
        <v>0</v>
      </c>
      <c r="BG36" t="str" s="880" cm="1">
        <f t="array" ref="BG36">B36</f>
        <v>Phan Thị Nguyệt Ánh </v>
      </c>
      <c r="BH36" s="1051">
        <v>1545455</v>
      </c>
      <c r="BI36" s="1053">
        <v>8.5</v>
      </c>
      <c r="BJ36" s="1054" cm="1">
        <f t="array" ref="BJ36">AZ36-BH36</f>
        <v>1968831</v>
      </c>
      <c r="BK36" t="s" s="1055">
        <v>5382</v>
      </c>
      <c r="BL36" t="s" s="898">
        <v>5383</v>
      </c>
      <c r="BM36" s="904"/>
      <c r="BN36" s="904"/>
      <c r="BO36" s="904"/>
      <c r="BP36" s="874"/>
      <c r="BQ36" s="526"/>
    </row>
    <row r="37" ht="26.25" customHeight="1">
      <c r="A37" s="1056"/>
      <c r="B37" t="s" s="1057">
        <v>180</v>
      </c>
      <c r="C37" s="1058"/>
      <c r="D37" s="1059"/>
      <c r="E37" s="1056"/>
      <c r="F37" s="1056"/>
      <c r="G37" s="390" cm="1">
        <f t="array" ref="G37">SUM(G9:G36)</f>
        <v>40888888.8888889</v>
      </c>
      <c r="H37" s="390" cm="1">
        <f t="array" ref="H37">SUM(H9:H36)</f>
        <v>0</v>
      </c>
      <c r="I37" s="390" cm="1">
        <f t="array" ref="I37">SUM(I9:I36)</f>
        <v>122244444.444445</v>
      </c>
      <c r="J37" s="390" cm="1">
        <f t="array" ref="J37">SUM(J9:J36)</f>
        <v>0</v>
      </c>
      <c r="K37" s="390" cm="1">
        <f t="array" ref="K37">SUM(K9:K36)</f>
        <v>0</v>
      </c>
      <c r="L37" s="390" cm="1">
        <f t="array" ref="L37">SUM(L9:L36)</f>
        <v>626649000</v>
      </c>
      <c r="M37" s="390" cm="1">
        <f t="array" ref="M37">SUM(M9:M36)</f>
        <v>585760111.111111</v>
      </c>
      <c r="N37" s="390" cm="1">
        <f t="array" ref="N37">SUM(N9:N36)</f>
      </c>
      <c r="O37" s="390" cm="1">
        <f t="array" ref="O37">SUM(O9:O36)</f>
      </c>
      <c r="P37" s="390" cm="1">
        <f t="array" ref="P37">SUM(P9:P36)</f>
        <v>4250000</v>
      </c>
      <c r="Q37" s="390" cm="1">
        <f t="array" ref="Q37">SUM(Q9:Q36)</f>
        <v>6000000</v>
      </c>
      <c r="R37" s="390" cm="1">
        <f t="array" ref="R37">SUM(R9:R36)</f>
        <v>9500000</v>
      </c>
      <c r="S37" s="390" cm="1">
        <f t="array" ref="S37">SUM(S9:S36)</f>
        <v>10950000</v>
      </c>
      <c r="T37" s="390" cm="1">
        <f t="array" ref="T37">SUM(T9:T36)</f>
        <v>26450000</v>
      </c>
      <c r="U37" s="390" cm="1">
        <f t="array" ref="U37">SUM(U9:U36)</f>
        <v>551.5</v>
      </c>
      <c r="V37" s="390" cm="1">
        <f t="array" ref="V37">SUM(V9:V36)</f>
        <v>588</v>
      </c>
      <c r="W37" s="390" cm="1">
        <f t="array" ref="W37">SUM(W9:W36)</f>
        <v>135.5</v>
      </c>
      <c r="X37" s="390" cm="1">
        <f t="array" ref="X37">SUM(X9:X36)</f>
        <v>112</v>
      </c>
      <c r="Y37" s="390" cm="1">
        <f t="array" ref="Y37">SUM(Y9:Y36)</f>
        <v>304</v>
      </c>
      <c r="Z37" s="390" cm="1">
        <f t="array" ref="Z37">SUM(Z9:Z36)</f>
        <v>430199000</v>
      </c>
      <c r="AA37" s="390" cm="1">
        <f t="array" ref="AA37">SUM(AA9:AA36)</f>
        <v>594798207</v>
      </c>
      <c r="AB37" s="390" cm="1">
        <f t="array" ref="AB37">SUM(AB9:AB36)</f>
        <v>37576720</v>
      </c>
      <c r="AC37" s="390" cm="1">
        <f t="array" ref="AC37">SUM(AC9:AC36)</f>
        <v>111572487</v>
      </c>
      <c r="AD37" s="390" cm="1">
        <f t="array" ref="AD37">SUM(AD9:AD36)</f>
        <v>445649000</v>
      </c>
      <c r="AE37" s="390" cm="1">
        <f t="array" ref="AE37">SUM(AE9:AE36)</f>
        <v>0</v>
      </c>
      <c r="AF37" s="390" cm="1">
        <f t="array" ref="AF37">SUM(AF9:AF36)</f>
        <v>-708310</v>
      </c>
      <c r="AG37" s="390" cm="1">
        <f t="array" ref="AG37">SUM(AG9:AG36)</f>
        <v>941690</v>
      </c>
      <c r="AH37" s="390" cm="1">
        <f t="array" ref="AH37">SUM(AH9:AH36)</f>
        <v>0</v>
      </c>
      <c r="AI37" s="390" cm="1">
        <f t="array" ref="AI37">SUM(AI9:AI36)</f>
        <v>0</v>
      </c>
      <c r="AJ37" s="390" cm="1">
        <f t="array" ref="AJ37">SUM(AJ9:AJ36)</f>
        <v>-1650000</v>
      </c>
      <c r="AK37" s="390" cm="1">
        <f t="array" ref="AK37">SUM(AK9:AK36)</f>
        <v>0</v>
      </c>
      <c r="AL37" s="390" cm="1">
        <f t="array" ref="AL37">SUM(AL9:AL36)</f>
        <v>0</v>
      </c>
      <c r="AM37" s="390" cm="1">
        <f t="array" ref="AM37">SUM(AM9:AM36)</f>
        <v>594089897</v>
      </c>
      <c r="AN37" s="390" cm="1">
        <f t="array" ref="AN37">SUM(AN9:AN36)</f>
      </c>
      <c r="AO37" s="390" cm="1">
        <f t="array" ref="AO37">SUM(AO9:AO36)</f>
      </c>
      <c r="AP37" s="390" cm="1">
        <f t="array" ref="AP37">SUM(AP9:AP36)</f>
      </c>
      <c r="AQ37" s="390" cm="1">
        <f t="array" ref="AQ37">SUM(AQ9:AQ36)</f>
        <v>7</v>
      </c>
      <c r="AR37" s="390" cm="1">
        <f t="array" ref="AR37">SUM(AR9:AR36)</f>
        <v>195800000</v>
      </c>
      <c r="AS37" s="390" cm="1">
        <f t="array" ref="AS37">SUM(AS9:AS36)</f>
        <v>568493706.52381</v>
      </c>
      <c r="AT37" s="390" cm="1">
        <f t="array" ref="AT37">SUM(AT9:AT36)</f>
      </c>
      <c r="AU37" s="390" cm="1">
        <f t="array" ref="AU37">SUM(AU9:AU36)</f>
        <v>14862420.7</v>
      </c>
      <c r="AV37" s="390" cm="1">
        <f t="array" ref="AV37">SUM(AV9:AV36)</f>
      </c>
      <c r="AW37" s="390" cm="1">
        <f t="array" ref="AW37">SUM(AW9:AW36)</f>
      </c>
      <c r="AX37" s="390" cm="1">
        <f t="array" ref="AX37">SUM(AX9:AX36)</f>
        <v>0</v>
      </c>
      <c r="AY37" s="390" cm="1">
        <f t="array" ref="AY37">SUM(AY9:AY36)</f>
        <v>0</v>
      </c>
      <c r="AZ37" s="390" cm="1">
        <f t="array" ref="AZ37">SUM(AZ9:AZ36)</f>
      </c>
      <c r="BA37" s="390" cm="1">
        <f t="array" ref="BA37">SUM(BA9:BA36)</f>
      </c>
      <c r="BB37" s="390" cm="1">
        <f t="array" ref="BB37">SUM(BB9:BB36)</f>
        <v>0</v>
      </c>
      <c r="BC37" s="1027" cm="1">
        <f t="array" ref="BC37">SUM(BC9:BC36)</f>
        <v>551.5</v>
      </c>
      <c r="BD37" s="1027" cm="1">
        <f t="array" ref="BD37">SUM(BD9:BD36)</f>
        <v>-1650000</v>
      </c>
      <c r="BE37" s="1027" cm="1">
        <f t="array" ref="BE37">SUM(BE9:BE36)</f>
        <v>-2700000</v>
      </c>
      <c r="BF37" s="963" cm="1">
        <f t="array" ref="BF37">SUM(BF9:BF36)</f>
        <v>25596190.4761905</v>
      </c>
      <c r="BG37" s="1060"/>
      <c r="BH37" s="1027" cm="1">
        <f t="array" ref="BH37">SUM(BH9:BH36)</f>
        <v>477344416</v>
      </c>
      <c r="BI37" s="1027" cm="1">
        <f t="array" ref="BI37">SUM(BI9:BI36)</f>
        <v>520</v>
      </c>
      <c r="BJ37" s="1061" cm="1">
        <f t="array" ref="BJ37">SUM(BJ9:BJ36)</f>
      </c>
      <c r="BK37" s="1061" cm="1">
        <f t="array" ref="BK37">SUM(BK9:BK20)</f>
        <v>0</v>
      </c>
      <c r="BL37" s="1062"/>
      <c r="BM37" s="904"/>
      <c r="BN37" s="904"/>
      <c r="BO37" s="904"/>
      <c r="BP37" s="874"/>
      <c r="BQ37" s="526"/>
    </row>
    <row r="38" ht="18.75" customHeight="1">
      <c r="A38" s="1063"/>
      <c r="B38" s="1063"/>
      <c r="C38" s="1063"/>
      <c r="D38" s="1063"/>
      <c r="E38" s="1063"/>
      <c r="F38" s="1063"/>
      <c r="G38" s="1063"/>
      <c r="H38" s="1063"/>
      <c r="I38" s="1063"/>
      <c r="J38" s="1064"/>
      <c r="K38" s="1063"/>
      <c r="L38" s="1063"/>
      <c r="M38" s="1063"/>
      <c r="N38" s="1063"/>
      <c r="O38" s="1063"/>
      <c r="P38" s="1063"/>
      <c r="Q38" s="1063"/>
      <c r="R38" s="1063"/>
      <c r="S38" s="1063"/>
      <c r="T38" s="1063"/>
      <c r="U38" s="1063"/>
      <c r="V38" s="1063"/>
      <c r="W38" s="1063"/>
      <c r="X38" s="1063"/>
      <c r="Y38" s="1063"/>
      <c r="Z38" s="1063"/>
      <c r="AA38" s="1063"/>
      <c r="AB38" s="1063"/>
      <c r="AC38" s="1063"/>
      <c r="AD38" s="1063"/>
      <c r="AE38" s="1063"/>
      <c r="AF38" s="1063"/>
      <c r="AG38" s="1063"/>
      <c r="AH38" s="1063"/>
      <c r="AI38" s="1063"/>
      <c r="AJ38" s="1063"/>
      <c r="AK38" s="1063"/>
      <c r="AL38" s="1063"/>
      <c r="AM38" s="1065" cm="1">
        <f t="array" ref="AM38">AF37+AA37</f>
        <v>594089897</v>
      </c>
      <c r="AN38" s="1063"/>
      <c r="AO38" s="1065" cm="1">
        <f t="array" ref="AO38">AO37/10.5*21.5</f>
      </c>
      <c r="AP38" s="1063"/>
      <c r="AQ38" s="1063"/>
      <c r="AR38" s="1065"/>
      <c r="AS38" s="509" cm="1">
        <f t="array" ref="AS38">AM37-BF37</f>
        <v>568493706.52381</v>
      </c>
      <c r="AT38" s="509"/>
      <c r="AU38" s="1063"/>
      <c r="AV38" s="1063"/>
      <c r="AW38" s="1063"/>
      <c r="AX38" s="1063"/>
      <c r="AY38" s="1063"/>
      <c r="AZ38" s="1065">
        <v>484253507</v>
      </c>
      <c r="BA38" s="1063"/>
      <c r="BB38" s="1063"/>
      <c r="BC38" s="1063"/>
      <c r="BD38" s="1063"/>
      <c r="BE38" s="1063"/>
      <c r="BF38" s="1063"/>
      <c r="BG38" t="s" s="1066">
        <v>104</v>
      </c>
      <c r="BH38" s="1067">
        <v>6909091</v>
      </c>
      <c r="BI38" s="1068"/>
      <c r="BJ38" s="1069"/>
      <c r="BK38" s="1070"/>
      <c r="BL38" s="548"/>
      <c r="BM38" s="904"/>
      <c r="BN38" s="904"/>
      <c r="BO38" s="904"/>
      <c r="BP38" s="874"/>
      <c r="BQ38" s="526"/>
    </row>
    <row r="39" ht="18.75" customHeight="1">
      <c r="A39" s="526"/>
      <c r="B39" s="526"/>
      <c r="C39" s="526"/>
      <c r="D39" s="526"/>
      <c r="E39" s="526"/>
      <c r="F39" s="526"/>
      <c r="G39" s="526"/>
      <c r="H39" s="526"/>
      <c r="I39" s="526"/>
      <c r="J39" s="1071"/>
      <c r="K39" s="526"/>
      <c r="L39" s="526"/>
      <c r="M39" s="526"/>
      <c r="N39" s="526"/>
      <c r="O39" s="526"/>
      <c r="P39" s="526"/>
      <c r="Q39" s="526"/>
      <c r="R39" s="526"/>
      <c r="S39" s="526"/>
      <c r="T39" s="526"/>
      <c r="U39" s="526"/>
      <c r="V39" s="526"/>
      <c r="W39" s="526"/>
      <c r="X39" s="526"/>
      <c r="Y39" s="526"/>
      <c r="Z39" s="526"/>
      <c r="AA39" s="526"/>
      <c r="AB39" s="526"/>
      <c r="AC39" s="526"/>
      <c r="AD39" s="526"/>
      <c r="AE39" s="526"/>
      <c r="AF39" s="526"/>
      <c r="AG39" s="526"/>
      <c r="AH39" s="526"/>
      <c r="AI39" s="526"/>
      <c r="AJ39" s="1072" cm="1">
        <f t="array" ref="AJ39">-AJ37</f>
        <v>1650000</v>
      </c>
      <c r="AK39" s="526"/>
      <c r="AL39" s="526"/>
      <c r="AM39" s="1072" cm="1">
        <f t="array" ref="AM39">AM38-AJ37</f>
        <v>595739897</v>
      </c>
      <c r="AN39" s="1073"/>
      <c r="AO39" s="562"/>
      <c r="AP39" s="526"/>
      <c r="AQ39" s="526"/>
      <c r="AR39" s="526"/>
      <c r="AS39" s="562" cm="1">
        <f t="array" ref="AS39">AS37-AS38</f>
        <v>0</v>
      </c>
      <c r="AT39" s="526"/>
      <c r="AU39" s="526"/>
      <c r="AV39" s="526"/>
      <c r="AW39" s="526"/>
      <c r="AX39" s="526"/>
      <c r="AY39" s="526"/>
      <c r="AZ39" s="562" cm="1">
        <f t="array" ref="AZ39">AZ37-AZ38</f>
      </c>
      <c r="BA39" s="1072"/>
      <c r="BB39" s="526"/>
      <c r="BC39" s="526"/>
      <c r="BD39" s="526"/>
      <c r="BE39" s="526"/>
      <c r="BF39" s="526"/>
      <c r="BG39" s="880"/>
      <c r="BH39" s="1074" cm="1">
        <f t="array" ref="BH39">BH38+BH37</f>
        <v>484253507</v>
      </c>
      <c r="BI39" s="1075"/>
      <c r="BJ39" s="1076"/>
      <c r="BK39" s="1077"/>
      <c r="BL39" s="548"/>
      <c r="BM39" s="904"/>
      <c r="BN39" s="904"/>
      <c r="BO39" s="904"/>
      <c r="BP39" s="874"/>
      <c r="BQ39" s="526"/>
    </row>
    <row r="40" ht="18.75" customHeight="1">
      <c r="A40" s="159"/>
      <c r="B40" s="159"/>
      <c r="C40" s="159"/>
      <c r="D40" s="159"/>
      <c r="E40" s="159"/>
      <c r="F40" s="159"/>
      <c r="G40" s="159"/>
      <c r="H40" s="159"/>
      <c r="I40" s="159"/>
      <c r="J40" s="542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568"/>
      <c r="BH40" s="1078"/>
      <c r="BI40" s="537"/>
      <c r="BJ40" s="553"/>
      <c r="BK40" s="564"/>
      <c r="BL40" s="569"/>
      <c r="BM40" s="5"/>
      <c r="BN40" s="5"/>
      <c r="BO40" s="5"/>
      <c r="BP40" s="5"/>
      <c r="BQ40" s="159"/>
    </row>
    <row r="41" ht="18.75" customHeight="1">
      <c r="A41" s="159"/>
      <c r="B41" s="159"/>
      <c r="C41" s="159"/>
      <c r="D41" s="159"/>
      <c r="E41" s="159"/>
      <c r="F41" s="159"/>
      <c r="G41" s="159"/>
      <c r="H41" s="159"/>
      <c r="I41" s="159"/>
      <c r="J41" s="542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078"/>
      <c r="BH41" s="1079"/>
      <c r="BI41" s="1080"/>
      <c r="BJ41" s="553"/>
      <c r="BK41" s="564"/>
      <c r="BL41" s="569"/>
      <c r="BM41" s="5"/>
      <c r="BN41" s="5"/>
      <c r="BO41" s="5"/>
      <c r="BP41" s="5"/>
      <c r="BQ41" s="159"/>
    </row>
    <row r="42" ht="18.75" customHeight="1">
      <c r="A42" s="159"/>
      <c r="B42" s="159"/>
      <c r="C42" s="159"/>
      <c r="D42" s="159"/>
      <c r="E42" s="159"/>
      <c r="F42" s="159"/>
      <c r="G42" s="159"/>
      <c r="H42" s="159"/>
      <c r="I42" s="159"/>
      <c r="J42" s="542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59"/>
      <c r="AJ42" s="159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568"/>
      <c r="BH42" s="568"/>
      <c r="BI42" s="537"/>
      <c r="BJ42" s="553"/>
      <c r="BK42" s="564"/>
      <c r="BL42" s="569"/>
      <c r="BM42" s="5"/>
      <c r="BN42" s="5"/>
      <c r="BO42" s="5"/>
      <c r="BP42" s="5"/>
      <c r="BQ42" s="159"/>
    </row>
    <row r="43" ht="18.75" customHeight="1">
      <c r="A43" s="159"/>
      <c r="B43" s="159"/>
      <c r="C43" s="159"/>
      <c r="D43" s="159"/>
      <c r="E43" s="159"/>
      <c r="F43" s="159"/>
      <c r="G43" s="159"/>
      <c r="H43" s="159"/>
      <c r="I43" s="159"/>
      <c r="J43" s="542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568"/>
      <c r="BH43" s="568"/>
      <c r="BI43" s="537"/>
      <c r="BJ43" s="553"/>
      <c r="BK43" s="564"/>
      <c r="BL43" s="569"/>
      <c r="BM43" s="159"/>
      <c r="BN43" s="159"/>
      <c r="BO43" s="159"/>
      <c r="BP43" s="159"/>
      <c r="BQ43" s="159"/>
    </row>
    <row r="44" ht="18.75" customHeight="1">
      <c r="A44" s="159"/>
      <c r="B44" s="159"/>
      <c r="C44" s="159"/>
      <c r="D44" s="159"/>
      <c r="E44" s="159"/>
      <c r="F44" s="159"/>
      <c r="G44" s="159"/>
      <c r="H44" s="159"/>
      <c r="I44" s="159"/>
      <c r="J44" s="542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59"/>
      <c r="AJ44" s="159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568"/>
      <c r="BH44" s="568"/>
      <c r="BI44" s="537"/>
      <c r="BJ44" s="553"/>
      <c r="BK44" s="564"/>
      <c r="BL44" s="569"/>
      <c r="BM44" s="159"/>
      <c r="BN44" s="159"/>
      <c r="BO44" s="159"/>
      <c r="BP44" s="159"/>
      <c r="BQ44" s="159"/>
    </row>
    <row r="45" ht="18.75" customHeight="1">
      <c r="A45" s="159"/>
      <c r="B45" s="159"/>
      <c r="C45" s="159"/>
      <c r="D45" s="159"/>
      <c r="E45" s="159"/>
      <c r="F45" s="159"/>
      <c r="G45" s="159"/>
      <c r="H45" s="159"/>
      <c r="I45" s="159"/>
      <c r="J45" s="542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  <c r="AD45" s="159"/>
      <c r="AE45" s="159"/>
      <c r="AF45" s="159"/>
      <c r="AG45" s="159"/>
      <c r="AH45" s="159"/>
      <c r="AI45" s="159"/>
      <c r="AJ45" s="159"/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568"/>
      <c r="BH45" s="568"/>
      <c r="BI45" s="537"/>
      <c r="BJ45" s="553"/>
      <c r="BK45" s="564"/>
      <c r="BL45" s="569"/>
      <c r="BM45" s="159"/>
      <c r="BN45" s="159"/>
      <c r="BO45" s="159"/>
      <c r="BP45" s="159"/>
      <c r="BQ45" s="159"/>
    </row>
    <row r="46" ht="18.75" customHeight="1">
      <c r="A46" s="159"/>
      <c r="B46" s="159"/>
      <c r="C46" s="159"/>
      <c r="D46" s="159"/>
      <c r="E46" s="159"/>
      <c r="F46" s="159"/>
      <c r="G46" s="159"/>
      <c r="H46" s="159"/>
      <c r="I46" s="159"/>
      <c r="J46" s="542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  <c r="AA46" s="159"/>
      <c r="AB46" s="159"/>
      <c r="AC46" s="159"/>
      <c r="AD46" s="159"/>
      <c r="AE46" s="159"/>
      <c r="AF46" s="159"/>
      <c r="AG46" s="159"/>
      <c r="AH46" s="159"/>
      <c r="AI46" s="159"/>
      <c r="AJ46" s="159"/>
      <c r="AK46" s="159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568"/>
      <c r="BH46" s="568"/>
      <c r="BI46" s="537"/>
      <c r="BJ46" s="553"/>
      <c r="BK46" s="564"/>
      <c r="BL46" s="569"/>
      <c r="BM46" s="159"/>
      <c r="BN46" s="159"/>
      <c r="BO46" s="159"/>
      <c r="BP46" s="159"/>
      <c r="BQ46" s="159"/>
    </row>
    <row r="47" ht="18.75" customHeight="1">
      <c r="A47" s="159"/>
      <c r="B47" s="159"/>
      <c r="C47" s="159"/>
      <c r="D47" s="159"/>
      <c r="E47" s="159"/>
      <c r="F47" s="159"/>
      <c r="G47" s="159"/>
      <c r="H47" s="159"/>
      <c r="I47" s="159"/>
      <c r="J47" s="542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159"/>
      <c r="AH47" s="159"/>
      <c r="AI47" s="159"/>
      <c r="AJ47" s="159"/>
      <c r="AK47" s="159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568"/>
      <c r="BH47" s="568"/>
      <c r="BI47" s="537"/>
      <c r="BJ47" s="553"/>
      <c r="BK47" s="564"/>
      <c r="BL47" s="569"/>
      <c r="BM47" s="159"/>
      <c r="BN47" s="159"/>
      <c r="BO47" s="159"/>
      <c r="BP47" s="159"/>
      <c r="BQ47" s="159"/>
    </row>
    <row r="48" ht="18.75" customHeight="1">
      <c r="A48" s="159"/>
      <c r="B48" s="159"/>
      <c r="C48" s="159"/>
      <c r="D48" s="159"/>
      <c r="E48" s="159"/>
      <c r="F48" s="159"/>
      <c r="G48" s="159"/>
      <c r="H48" s="159"/>
      <c r="I48" s="159"/>
      <c r="J48" s="542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  <c r="AA48" s="159"/>
      <c r="AB48" s="159"/>
      <c r="AC48" s="159"/>
      <c r="AD48" s="159"/>
      <c r="AE48" s="159"/>
      <c r="AF48" s="159"/>
      <c r="AG48" s="159"/>
      <c r="AH48" s="159"/>
      <c r="AI48" s="159"/>
      <c r="AJ48" s="159"/>
      <c r="AK48" s="159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568"/>
      <c r="BH48" s="568"/>
      <c r="BI48" s="537"/>
      <c r="BJ48" s="553"/>
      <c r="BK48" s="564"/>
      <c r="BL48" s="569"/>
      <c r="BM48" s="159"/>
      <c r="BN48" s="159"/>
      <c r="BO48" s="159"/>
      <c r="BP48" s="159"/>
      <c r="BQ48" s="159"/>
    </row>
    <row r="49" ht="18.75" customHeight="1">
      <c r="A49" s="159"/>
      <c r="B49" s="159"/>
      <c r="C49" s="159"/>
      <c r="D49" s="159"/>
      <c r="E49" s="159"/>
      <c r="F49" s="159"/>
      <c r="G49" s="159"/>
      <c r="H49" s="159"/>
      <c r="I49" s="159"/>
      <c r="J49" s="542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59"/>
      <c r="AJ49" s="159"/>
      <c r="AK49" s="159"/>
      <c r="AL49" s="159"/>
      <c r="AM49" s="159"/>
      <c r="AN49" s="159"/>
      <c r="AO49" s="159"/>
      <c r="AP49" s="159"/>
      <c r="AQ49" s="159"/>
      <c r="AR49" s="159"/>
      <c r="AS49" s="159"/>
      <c r="AT49" s="159"/>
      <c r="AU49" s="159"/>
      <c r="AV49" s="159"/>
      <c r="AW49" s="159"/>
      <c r="AX49" s="159"/>
      <c r="AY49" s="159"/>
      <c r="AZ49" s="159"/>
      <c r="BA49" s="159"/>
      <c r="BB49" s="159"/>
      <c r="BC49" s="159"/>
      <c r="BD49" s="159"/>
      <c r="BE49" s="159"/>
      <c r="BF49" s="159"/>
      <c r="BG49" s="568"/>
      <c r="BH49" s="568"/>
      <c r="BI49" s="537"/>
      <c r="BJ49" s="553"/>
      <c r="BK49" s="564"/>
      <c r="BL49" s="569"/>
      <c r="BM49" s="159"/>
      <c r="BN49" s="159"/>
      <c r="BO49" s="159"/>
      <c r="BP49" s="159"/>
      <c r="BQ49" s="159"/>
    </row>
    <row r="50" ht="18.75" customHeight="1">
      <c r="A50" s="159"/>
      <c r="B50" s="159"/>
      <c r="C50" s="159"/>
      <c r="D50" s="159"/>
      <c r="E50" s="159"/>
      <c r="F50" s="159"/>
      <c r="G50" s="159"/>
      <c r="H50" s="159"/>
      <c r="I50" s="159"/>
      <c r="J50" s="542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568"/>
      <c r="BH50" s="568"/>
      <c r="BI50" s="537"/>
      <c r="BJ50" s="553"/>
      <c r="BK50" s="564"/>
      <c r="BL50" s="569"/>
      <c r="BM50" s="159"/>
      <c r="BN50" s="159"/>
      <c r="BO50" s="159"/>
      <c r="BP50" s="159"/>
      <c r="BQ50" s="159"/>
    </row>
    <row r="51" ht="18.75" customHeight="1">
      <c r="A51" s="159"/>
      <c r="B51" s="159"/>
      <c r="C51" s="159"/>
      <c r="D51" s="159"/>
      <c r="E51" s="159"/>
      <c r="F51" s="159"/>
      <c r="G51" s="159"/>
      <c r="H51" s="159"/>
      <c r="I51" s="159"/>
      <c r="J51" s="542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568"/>
      <c r="BH51" s="568"/>
      <c r="BI51" s="537"/>
      <c r="BJ51" s="553"/>
      <c r="BK51" s="564"/>
      <c r="BL51" s="569"/>
      <c r="BM51" s="159"/>
      <c r="BN51" s="159"/>
      <c r="BO51" s="159"/>
      <c r="BP51" s="159"/>
      <c r="BQ51" s="159"/>
    </row>
    <row r="52" ht="18.75" customHeight="1">
      <c r="A52" s="159"/>
      <c r="B52" s="159"/>
      <c r="C52" s="159"/>
      <c r="D52" s="159"/>
      <c r="E52" s="159"/>
      <c r="F52" s="159"/>
      <c r="G52" s="159"/>
      <c r="H52" s="159"/>
      <c r="I52" s="159"/>
      <c r="J52" s="542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9"/>
      <c r="AB52" s="159"/>
      <c r="AC52" s="159"/>
      <c r="AD52" s="159"/>
      <c r="AE52" s="159"/>
      <c r="AF52" s="159"/>
      <c r="AG52" s="159"/>
      <c r="AH52" s="159"/>
      <c r="AI52" s="159"/>
      <c r="AJ52" s="159"/>
      <c r="AK52" s="159"/>
      <c r="AL52" s="159"/>
      <c r="AM52" s="159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568"/>
      <c r="BH52" s="568"/>
      <c r="BI52" s="537"/>
      <c r="BJ52" s="553"/>
      <c r="BK52" s="564"/>
      <c r="BL52" s="569"/>
      <c r="BM52" s="159"/>
      <c r="BN52" s="159"/>
      <c r="BO52" s="159"/>
      <c r="BP52" s="159"/>
      <c r="BQ52" s="159"/>
    </row>
    <row r="53" ht="18.75" customHeight="1">
      <c r="A53" s="159"/>
      <c r="B53" s="159"/>
      <c r="C53" s="159"/>
      <c r="D53" s="159"/>
      <c r="E53" s="159"/>
      <c r="F53" s="159"/>
      <c r="G53" s="159"/>
      <c r="H53" s="159"/>
      <c r="I53" s="159"/>
      <c r="J53" s="542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9"/>
      <c r="AB53" s="159"/>
      <c r="AC53" s="159"/>
      <c r="AD53" s="159"/>
      <c r="AE53" s="159"/>
      <c r="AF53" s="159"/>
      <c r="AG53" s="159"/>
      <c r="AH53" s="159"/>
      <c r="AI53" s="159"/>
      <c r="AJ53" s="159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568"/>
      <c r="BH53" s="568"/>
      <c r="BI53" s="537"/>
      <c r="BJ53" s="553"/>
      <c r="BK53" s="564"/>
      <c r="BL53" s="569"/>
      <c r="BM53" s="159"/>
      <c r="BN53" s="159"/>
      <c r="BO53" s="159"/>
      <c r="BP53" s="159"/>
      <c r="BQ53" s="159"/>
    </row>
    <row r="54" ht="18.75" customHeight="1">
      <c r="A54" s="159"/>
      <c r="B54" s="159"/>
      <c r="C54" s="159"/>
      <c r="D54" s="159"/>
      <c r="E54" s="159"/>
      <c r="F54" s="159"/>
      <c r="G54" s="159"/>
      <c r="H54" s="159"/>
      <c r="I54" s="159"/>
      <c r="J54" s="542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568"/>
      <c r="BH54" s="568"/>
      <c r="BI54" s="537"/>
      <c r="BJ54" s="553"/>
      <c r="BK54" s="564"/>
      <c r="BL54" s="569"/>
      <c r="BM54" s="159"/>
      <c r="BN54" s="159"/>
      <c r="BO54" s="159"/>
      <c r="BP54" s="159"/>
      <c r="BQ54" s="159"/>
    </row>
    <row r="55" ht="18.75" customHeight="1">
      <c r="A55" s="159"/>
      <c r="B55" s="159"/>
      <c r="C55" s="159"/>
      <c r="D55" s="159"/>
      <c r="E55" s="159"/>
      <c r="F55" s="159"/>
      <c r="G55" s="159"/>
      <c r="H55" s="159"/>
      <c r="I55" s="159"/>
      <c r="J55" s="542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568"/>
      <c r="BH55" s="568"/>
      <c r="BI55" s="537"/>
      <c r="BJ55" s="553"/>
      <c r="BK55" s="564"/>
      <c r="BL55" s="569"/>
      <c r="BM55" s="159"/>
      <c r="BN55" s="159"/>
      <c r="BO55" s="159"/>
      <c r="BP55" s="159"/>
      <c r="BQ55" s="159"/>
    </row>
    <row r="56" ht="18.75" customHeight="1">
      <c r="A56" s="159"/>
      <c r="B56" s="159"/>
      <c r="C56" s="159"/>
      <c r="D56" s="159"/>
      <c r="E56" s="159"/>
      <c r="F56" s="159"/>
      <c r="G56" s="159"/>
      <c r="H56" s="159"/>
      <c r="I56" s="159"/>
      <c r="J56" s="542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159"/>
      <c r="AZ56" s="159"/>
      <c r="BA56" s="159"/>
      <c r="BB56" s="159"/>
      <c r="BC56" s="159"/>
      <c r="BD56" s="159"/>
      <c r="BE56" s="159"/>
      <c r="BF56" s="159"/>
      <c r="BG56" s="568"/>
      <c r="BH56" s="568"/>
      <c r="BI56" s="537"/>
      <c r="BJ56" s="553"/>
      <c r="BK56" s="564"/>
      <c r="BL56" s="569"/>
      <c r="BM56" s="159"/>
      <c r="BN56" s="159"/>
      <c r="BO56" s="159"/>
      <c r="BP56" s="159"/>
      <c r="BQ56" s="159"/>
    </row>
    <row r="57" ht="18.75" customHeight="1">
      <c r="A57" s="159"/>
      <c r="B57" s="159"/>
      <c r="C57" s="159"/>
      <c r="D57" s="159"/>
      <c r="E57" s="159"/>
      <c r="F57" s="159"/>
      <c r="G57" s="159"/>
      <c r="H57" s="159"/>
      <c r="I57" s="159"/>
      <c r="J57" s="542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  <c r="AK57" s="159"/>
      <c r="AL57" s="159"/>
      <c r="AM57" s="159"/>
      <c r="AN57" s="159"/>
      <c r="AO57" s="159"/>
      <c r="AP57" s="159"/>
      <c r="AQ57" s="159"/>
      <c r="AR57" s="159"/>
      <c r="AS57" s="159"/>
      <c r="AT57" s="159"/>
      <c r="AU57" s="159"/>
      <c r="AV57" s="159"/>
      <c r="AW57" s="159"/>
      <c r="AX57" s="159"/>
      <c r="AY57" s="159"/>
      <c r="AZ57" s="159"/>
      <c r="BA57" s="159"/>
      <c r="BB57" s="159"/>
      <c r="BC57" s="159"/>
      <c r="BD57" s="159"/>
      <c r="BE57" s="159"/>
      <c r="BF57" s="159"/>
      <c r="BG57" s="568"/>
      <c r="BH57" s="568"/>
      <c r="BI57" s="537"/>
      <c r="BJ57" s="553"/>
      <c r="BK57" s="564"/>
      <c r="BL57" s="569"/>
      <c r="BM57" s="159"/>
      <c r="BN57" s="159"/>
      <c r="BO57" s="159"/>
      <c r="BP57" s="159"/>
      <c r="BQ57" s="159"/>
    </row>
    <row r="58" ht="18.75" customHeight="1">
      <c r="A58" s="159"/>
      <c r="B58" s="159"/>
      <c r="C58" s="159"/>
      <c r="D58" s="159"/>
      <c r="E58" s="159"/>
      <c r="F58" s="159"/>
      <c r="G58" s="159"/>
      <c r="H58" s="159"/>
      <c r="I58" s="159"/>
      <c r="J58" s="542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9"/>
      <c r="AV58" s="159"/>
      <c r="AW58" s="159"/>
      <c r="AX58" s="159"/>
      <c r="AY58" s="159"/>
      <c r="AZ58" s="159"/>
      <c r="BA58" s="159"/>
      <c r="BB58" s="159"/>
      <c r="BC58" s="159"/>
      <c r="BD58" s="159"/>
      <c r="BE58" s="159"/>
      <c r="BF58" s="159"/>
      <c r="BG58" s="568"/>
      <c r="BH58" s="568"/>
      <c r="BI58" s="537"/>
      <c r="BJ58" s="553"/>
      <c r="BK58" s="564"/>
      <c r="BL58" s="569"/>
      <c r="BM58" s="159"/>
      <c r="BN58" s="159"/>
      <c r="BO58" s="159"/>
      <c r="BP58" s="159"/>
      <c r="BQ58" s="159"/>
    </row>
    <row r="59" ht="18.75" customHeight="1">
      <c r="A59" s="159"/>
      <c r="B59" s="159"/>
      <c r="C59" s="159"/>
      <c r="D59" s="159"/>
      <c r="E59" s="159"/>
      <c r="F59" s="159"/>
      <c r="G59" s="159"/>
      <c r="H59" s="159"/>
      <c r="I59" s="159"/>
      <c r="J59" s="542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/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9"/>
      <c r="AV59" s="159"/>
      <c r="AW59" s="159"/>
      <c r="AX59" s="159"/>
      <c r="AY59" s="159"/>
      <c r="AZ59" s="159"/>
      <c r="BA59" s="159"/>
      <c r="BB59" s="159"/>
      <c r="BC59" s="159"/>
      <c r="BD59" s="159"/>
      <c r="BE59" s="159"/>
      <c r="BF59" s="159"/>
      <c r="BG59" s="568"/>
      <c r="BH59" s="568"/>
      <c r="BI59" s="537"/>
      <c r="BJ59" s="553"/>
      <c r="BK59" s="564"/>
      <c r="BL59" s="569"/>
      <c r="BM59" s="159"/>
      <c r="BN59" s="159"/>
      <c r="BO59" s="159"/>
      <c r="BP59" s="159"/>
      <c r="BQ59" s="159"/>
    </row>
    <row r="60" ht="18.75" customHeight="1">
      <c r="A60" s="159"/>
      <c r="B60" s="159"/>
      <c r="C60" s="159"/>
      <c r="D60" s="159"/>
      <c r="E60" s="159"/>
      <c r="F60" s="159"/>
      <c r="G60" s="159"/>
      <c r="H60" s="159"/>
      <c r="I60" s="159"/>
      <c r="J60" s="542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  <c r="AK60" s="159"/>
      <c r="AL60" s="159"/>
      <c r="AM60" s="159"/>
      <c r="AN60" s="159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59"/>
      <c r="BG60" s="568"/>
      <c r="BH60" s="568"/>
      <c r="BI60" s="537"/>
      <c r="BJ60" s="553"/>
      <c r="BK60" s="564"/>
      <c r="BL60" s="569"/>
      <c r="BM60" s="159"/>
      <c r="BN60" s="159"/>
      <c r="BO60" s="159"/>
      <c r="BP60" s="159"/>
      <c r="BQ60" s="159"/>
    </row>
    <row r="61" ht="18.75" customHeight="1">
      <c r="A61" s="159"/>
      <c r="B61" s="159"/>
      <c r="C61" s="159"/>
      <c r="D61" s="159"/>
      <c r="E61" s="159"/>
      <c r="F61" s="159"/>
      <c r="G61" s="159"/>
      <c r="H61" s="159"/>
      <c r="I61" s="159"/>
      <c r="J61" s="542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568"/>
      <c r="BH61" s="568"/>
      <c r="BI61" s="537"/>
      <c r="BJ61" s="553"/>
      <c r="BK61" s="564"/>
      <c r="BL61" s="569"/>
      <c r="BM61" s="159"/>
      <c r="BN61" s="159"/>
      <c r="BO61" s="159"/>
      <c r="BP61" s="159"/>
      <c r="BQ61" s="159"/>
    </row>
    <row r="62" ht="18.75" customHeight="1">
      <c r="A62" s="159"/>
      <c r="B62" s="159"/>
      <c r="C62" s="159"/>
      <c r="D62" s="159"/>
      <c r="E62" s="159"/>
      <c r="F62" s="159"/>
      <c r="G62" s="159"/>
      <c r="H62" s="159"/>
      <c r="I62" s="159"/>
      <c r="J62" s="542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568"/>
      <c r="BH62" s="568"/>
      <c r="BI62" s="537"/>
      <c r="BJ62" s="553"/>
      <c r="BK62" s="564"/>
      <c r="BL62" s="569"/>
      <c r="BM62" s="159"/>
      <c r="BN62" s="159"/>
      <c r="BO62" s="159"/>
      <c r="BP62" s="159"/>
      <c r="BQ62" s="159"/>
    </row>
    <row r="63" ht="18.75" customHeight="1">
      <c r="A63" s="159"/>
      <c r="B63" s="159"/>
      <c r="C63" s="159"/>
      <c r="D63" s="159"/>
      <c r="E63" s="159"/>
      <c r="F63" s="159"/>
      <c r="G63" s="159"/>
      <c r="H63" s="159"/>
      <c r="I63" s="159"/>
      <c r="J63" s="542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  <c r="AK63" s="159"/>
      <c r="AL63" s="159"/>
      <c r="AM63" s="159"/>
      <c r="AN63" s="159"/>
      <c r="AO63" s="159"/>
      <c r="AP63" s="159"/>
      <c r="AQ63" s="159"/>
      <c r="AR63" s="159"/>
      <c r="AS63" s="159"/>
      <c r="AT63" s="159"/>
      <c r="AU63" s="159"/>
      <c r="AV63" s="159"/>
      <c r="AW63" s="159"/>
      <c r="AX63" s="159"/>
      <c r="AY63" s="159"/>
      <c r="AZ63" s="159"/>
      <c r="BA63" s="159"/>
      <c r="BB63" s="159"/>
      <c r="BC63" s="159"/>
      <c r="BD63" s="159"/>
      <c r="BE63" s="159"/>
      <c r="BF63" s="159"/>
      <c r="BG63" s="568"/>
      <c r="BH63" s="568"/>
      <c r="BI63" s="537"/>
      <c r="BJ63" s="553"/>
      <c r="BK63" s="564"/>
      <c r="BL63" s="569"/>
      <c r="BM63" s="159"/>
      <c r="BN63" s="159"/>
      <c r="BO63" s="159"/>
      <c r="BP63" s="159"/>
      <c r="BQ63" s="159"/>
    </row>
    <row r="64" ht="18.75" customHeight="1">
      <c r="A64" s="159"/>
      <c r="B64" s="159"/>
      <c r="C64" s="159"/>
      <c r="D64" s="159"/>
      <c r="E64" s="159"/>
      <c r="F64" s="159"/>
      <c r="G64" s="159"/>
      <c r="H64" s="159"/>
      <c r="I64" s="159"/>
      <c r="J64" s="542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  <c r="AK64" s="159"/>
      <c r="AL64" s="159"/>
      <c r="AM64" s="159"/>
      <c r="AN64" s="159"/>
      <c r="AO64" s="159"/>
      <c r="AP64" s="159"/>
      <c r="AQ64" s="159"/>
      <c r="AR64" s="159"/>
      <c r="AS64" s="159"/>
      <c r="AT64" s="159"/>
      <c r="AU64" s="159"/>
      <c r="AV64" s="159"/>
      <c r="AW64" s="159"/>
      <c r="AX64" s="159"/>
      <c r="AY64" s="159"/>
      <c r="AZ64" s="159"/>
      <c r="BA64" s="159"/>
      <c r="BB64" s="159"/>
      <c r="BC64" s="159"/>
      <c r="BD64" s="159"/>
      <c r="BE64" s="159"/>
      <c r="BF64" s="159"/>
      <c r="BG64" s="568"/>
      <c r="BH64" s="568"/>
      <c r="BI64" s="537"/>
      <c r="BJ64" s="553"/>
      <c r="BK64" s="564"/>
      <c r="BL64" s="569"/>
      <c r="BM64" s="159"/>
      <c r="BN64" s="159"/>
      <c r="BO64" s="159"/>
      <c r="BP64" s="159"/>
      <c r="BQ64" s="159"/>
    </row>
    <row r="65" ht="18.75" customHeight="1">
      <c r="A65" s="159"/>
      <c r="B65" s="159"/>
      <c r="C65" s="159"/>
      <c r="D65" s="159"/>
      <c r="E65" s="159"/>
      <c r="F65" s="159"/>
      <c r="G65" s="159"/>
      <c r="H65" s="159"/>
      <c r="I65" s="159"/>
      <c r="J65" s="542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  <c r="AK65" s="159"/>
      <c r="AL65" s="159"/>
      <c r="AM65" s="159"/>
      <c r="AN65" s="159"/>
      <c r="AO65" s="159"/>
      <c r="AP65" s="159"/>
      <c r="AQ65" s="159"/>
      <c r="AR65" s="159"/>
      <c r="AS65" s="159"/>
      <c r="AT65" s="159"/>
      <c r="AU65" s="159"/>
      <c r="AV65" s="159"/>
      <c r="AW65" s="159"/>
      <c r="AX65" s="159"/>
      <c r="AY65" s="159"/>
      <c r="AZ65" s="159"/>
      <c r="BA65" s="159"/>
      <c r="BB65" s="159"/>
      <c r="BC65" s="159"/>
      <c r="BD65" s="159"/>
      <c r="BE65" s="159"/>
      <c r="BF65" s="159"/>
      <c r="BG65" s="568"/>
      <c r="BH65" s="568"/>
      <c r="BI65" s="537"/>
      <c r="BJ65" s="553"/>
      <c r="BK65" s="564"/>
      <c r="BL65" s="569"/>
      <c r="BM65" s="159"/>
      <c r="BN65" s="159"/>
      <c r="BO65" s="159"/>
      <c r="BP65" s="159"/>
      <c r="BQ65" s="159"/>
    </row>
    <row r="66" ht="18.75" customHeight="1">
      <c r="A66" s="159"/>
      <c r="B66" s="159"/>
      <c r="C66" s="159"/>
      <c r="D66" s="159"/>
      <c r="E66" s="159"/>
      <c r="F66" s="159"/>
      <c r="G66" s="159"/>
      <c r="H66" s="159"/>
      <c r="I66" s="159"/>
      <c r="J66" s="542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  <c r="AK66" s="159"/>
      <c r="AL66" s="159"/>
      <c r="AM66" s="159"/>
      <c r="AN66" s="159"/>
      <c r="AO66" s="159"/>
      <c r="AP66" s="159"/>
      <c r="AQ66" s="159"/>
      <c r="AR66" s="159"/>
      <c r="AS66" s="159"/>
      <c r="AT66" s="159"/>
      <c r="AU66" s="159"/>
      <c r="AV66" s="159"/>
      <c r="AW66" s="159"/>
      <c r="AX66" s="159"/>
      <c r="AY66" s="159"/>
      <c r="AZ66" s="159"/>
      <c r="BA66" s="159"/>
      <c r="BB66" s="159"/>
      <c r="BC66" s="159"/>
      <c r="BD66" s="159"/>
      <c r="BE66" s="159"/>
      <c r="BF66" s="159"/>
      <c r="BG66" s="568"/>
      <c r="BH66" s="568"/>
      <c r="BI66" s="537"/>
      <c r="BJ66" s="553"/>
      <c r="BK66" s="564"/>
      <c r="BL66" s="569"/>
      <c r="BM66" s="159"/>
      <c r="BN66" s="159"/>
      <c r="BO66" s="159"/>
      <c r="BP66" s="159"/>
      <c r="BQ66" s="159"/>
    </row>
    <row r="67" ht="18.75" customHeight="1">
      <c r="A67" s="159"/>
      <c r="B67" s="159"/>
      <c r="C67" s="159"/>
      <c r="D67" s="159"/>
      <c r="E67" s="159"/>
      <c r="F67" s="159"/>
      <c r="G67" s="159"/>
      <c r="H67" s="159"/>
      <c r="I67" s="159"/>
      <c r="J67" s="542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  <c r="AK67" s="159"/>
      <c r="AL67" s="159"/>
      <c r="AM67" s="159"/>
      <c r="AN67" s="159"/>
      <c r="AO67" s="159"/>
      <c r="AP67" s="159"/>
      <c r="AQ67" s="159"/>
      <c r="AR67" s="159"/>
      <c r="AS67" s="159"/>
      <c r="AT67" s="159"/>
      <c r="AU67" s="159"/>
      <c r="AV67" s="159"/>
      <c r="AW67" s="159"/>
      <c r="AX67" s="159"/>
      <c r="AY67" s="159"/>
      <c r="AZ67" s="159"/>
      <c r="BA67" s="159"/>
      <c r="BB67" s="159"/>
      <c r="BC67" s="159"/>
      <c r="BD67" s="159"/>
      <c r="BE67" s="159"/>
      <c r="BF67" s="159"/>
      <c r="BG67" s="568"/>
      <c r="BH67" s="568"/>
      <c r="BI67" s="537"/>
      <c r="BJ67" s="553"/>
      <c r="BK67" s="564"/>
      <c r="BL67" s="569"/>
      <c r="BM67" s="159"/>
      <c r="BN67" s="159"/>
      <c r="BO67" s="159"/>
      <c r="BP67" s="159"/>
      <c r="BQ67" s="159"/>
    </row>
    <row r="68" ht="18.75" customHeight="1">
      <c r="A68" s="159"/>
      <c r="B68" s="159"/>
      <c r="C68" s="159"/>
      <c r="D68" s="159"/>
      <c r="E68" s="159"/>
      <c r="F68" s="159"/>
      <c r="G68" s="159"/>
      <c r="H68" s="159"/>
      <c r="I68" s="159"/>
      <c r="J68" s="542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  <c r="AK68" s="159"/>
      <c r="AL68" s="159"/>
      <c r="AM68" s="159"/>
      <c r="AN68" s="159"/>
      <c r="AO68" s="159"/>
      <c r="AP68" s="159"/>
      <c r="AQ68" s="159"/>
      <c r="AR68" s="159"/>
      <c r="AS68" s="159"/>
      <c r="AT68" s="159"/>
      <c r="AU68" s="159"/>
      <c r="AV68" s="159"/>
      <c r="AW68" s="159"/>
      <c r="AX68" s="159"/>
      <c r="AY68" s="159"/>
      <c r="AZ68" s="159"/>
      <c r="BA68" s="159"/>
      <c r="BB68" s="159"/>
      <c r="BC68" s="159"/>
      <c r="BD68" s="159"/>
      <c r="BE68" s="159"/>
      <c r="BF68" s="159"/>
      <c r="BG68" s="568"/>
      <c r="BH68" s="568"/>
      <c r="BI68" s="537"/>
      <c r="BJ68" s="553"/>
      <c r="BK68" s="564"/>
      <c r="BL68" s="569"/>
      <c r="BM68" s="159"/>
      <c r="BN68" s="159"/>
      <c r="BO68" s="159"/>
      <c r="BP68" s="159"/>
      <c r="BQ68" s="159"/>
    </row>
    <row r="69" ht="18.75" customHeight="1">
      <c r="A69" s="159"/>
      <c r="B69" s="159"/>
      <c r="C69" s="159"/>
      <c r="D69" s="159"/>
      <c r="E69" s="159"/>
      <c r="F69" s="159"/>
      <c r="G69" s="159"/>
      <c r="H69" s="159"/>
      <c r="I69" s="159"/>
      <c r="J69" s="542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59"/>
      <c r="AJ69" s="159"/>
      <c r="AK69" s="159"/>
      <c r="AL69" s="159"/>
      <c r="AM69" s="159"/>
      <c r="AN69" s="159"/>
      <c r="AO69" s="159"/>
      <c r="AP69" s="159"/>
      <c r="AQ69" s="159"/>
      <c r="AR69" s="159"/>
      <c r="AS69" s="159"/>
      <c r="AT69" s="159"/>
      <c r="AU69" s="159"/>
      <c r="AV69" s="159"/>
      <c r="AW69" s="159"/>
      <c r="AX69" s="159"/>
      <c r="AY69" s="159"/>
      <c r="AZ69" s="159"/>
      <c r="BA69" s="159"/>
      <c r="BB69" s="159"/>
      <c r="BC69" s="159"/>
      <c r="BD69" s="159"/>
      <c r="BE69" s="159"/>
      <c r="BF69" s="159"/>
      <c r="BG69" s="568"/>
      <c r="BH69" s="568"/>
      <c r="BI69" s="537"/>
      <c r="BJ69" s="553"/>
      <c r="BK69" s="564"/>
      <c r="BL69" s="569"/>
      <c r="BM69" s="159"/>
      <c r="BN69" s="159"/>
      <c r="BO69" s="159"/>
      <c r="BP69" s="159"/>
      <c r="BQ69" s="159"/>
    </row>
    <row r="70" ht="18.75" customHeight="1">
      <c r="A70" s="159"/>
      <c r="B70" s="159"/>
      <c r="C70" s="159"/>
      <c r="D70" s="159"/>
      <c r="E70" s="159"/>
      <c r="F70" s="159"/>
      <c r="G70" s="159"/>
      <c r="H70" s="159"/>
      <c r="I70" s="159"/>
      <c r="J70" s="542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/>
      <c r="AK70" s="159"/>
      <c r="AL70" s="159"/>
      <c r="AM70" s="159"/>
      <c r="AN70" s="159"/>
      <c r="AO70" s="159"/>
      <c r="AP70" s="159"/>
      <c r="AQ70" s="159"/>
      <c r="AR70" s="159"/>
      <c r="AS70" s="159"/>
      <c r="AT70" s="159"/>
      <c r="AU70" s="159"/>
      <c r="AV70" s="159"/>
      <c r="AW70" s="159"/>
      <c r="AX70" s="159"/>
      <c r="AY70" s="159"/>
      <c r="AZ70" s="159"/>
      <c r="BA70" s="159"/>
      <c r="BB70" s="159"/>
      <c r="BC70" s="159"/>
      <c r="BD70" s="159"/>
      <c r="BE70" s="159"/>
      <c r="BF70" s="159"/>
      <c r="BG70" s="568"/>
      <c r="BH70" s="568"/>
      <c r="BI70" s="537"/>
      <c r="BJ70" s="553"/>
      <c r="BK70" s="564"/>
      <c r="BL70" s="569"/>
      <c r="BM70" s="159"/>
      <c r="BN70" s="159"/>
      <c r="BO70" s="159"/>
      <c r="BP70" s="159"/>
      <c r="BQ70" s="159"/>
    </row>
    <row r="71" ht="18.75" customHeight="1">
      <c r="A71" s="159"/>
      <c r="B71" s="159"/>
      <c r="C71" s="159"/>
      <c r="D71" s="159"/>
      <c r="E71" s="159"/>
      <c r="F71" s="159"/>
      <c r="G71" s="159"/>
      <c r="H71" s="159"/>
      <c r="I71" s="159"/>
      <c r="J71" s="542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  <c r="AK71" s="159"/>
      <c r="AL71" s="159"/>
      <c r="AM71" s="159"/>
      <c r="AN71" s="159"/>
      <c r="AO71" s="159"/>
      <c r="AP71" s="159"/>
      <c r="AQ71" s="159"/>
      <c r="AR71" s="159"/>
      <c r="AS71" s="159"/>
      <c r="AT71" s="159"/>
      <c r="AU71" s="159"/>
      <c r="AV71" s="159"/>
      <c r="AW71" s="159"/>
      <c r="AX71" s="159"/>
      <c r="AY71" s="159"/>
      <c r="AZ71" s="159"/>
      <c r="BA71" s="159"/>
      <c r="BB71" s="159"/>
      <c r="BC71" s="159"/>
      <c r="BD71" s="159"/>
      <c r="BE71" s="159"/>
      <c r="BF71" s="159"/>
      <c r="BG71" s="568"/>
      <c r="BH71" s="568"/>
      <c r="BI71" s="537"/>
      <c r="BJ71" s="553"/>
      <c r="BK71" s="564"/>
      <c r="BL71" s="569"/>
      <c r="BM71" s="159"/>
      <c r="BN71" s="159"/>
      <c r="BO71" s="159"/>
      <c r="BP71" s="159"/>
      <c r="BQ71" s="159"/>
    </row>
    <row r="72" ht="18.75" customHeight="1">
      <c r="A72" s="159"/>
      <c r="B72" s="159"/>
      <c r="C72" s="159"/>
      <c r="D72" s="159"/>
      <c r="E72" s="159"/>
      <c r="F72" s="159"/>
      <c r="G72" s="159"/>
      <c r="H72" s="159"/>
      <c r="I72" s="159"/>
      <c r="J72" s="542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  <c r="AK72" s="159"/>
      <c r="AL72" s="159"/>
      <c r="AM72" s="159"/>
      <c r="AN72" s="159"/>
      <c r="AO72" s="159"/>
      <c r="AP72" s="159"/>
      <c r="AQ72" s="159"/>
      <c r="AR72" s="159"/>
      <c r="AS72" s="159"/>
      <c r="AT72" s="159"/>
      <c r="AU72" s="159"/>
      <c r="AV72" s="159"/>
      <c r="AW72" s="159"/>
      <c r="AX72" s="159"/>
      <c r="AY72" s="159"/>
      <c r="AZ72" s="159"/>
      <c r="BA72" s="159"/>
      <c r="BB72" s="159"/>
      <c r="BC72" s="159"/>
      <c r="BD72" s="159"/>
      <c r="BE72" s="159"/>
      <c r="BF72" s="159"/>
      <c r="BG72" s="568"/>
      <c r="BH72" s="568"/>
      <c r="BI72" s="537"/>
      <c r="BJ72" s="553"/>
      <c r="BK72" s="564"/>
      <c r="BL72" s="569"/>
      <c r="BM72" s="159"/>
      <c r="BN72" s="159"/>
      <c r="BO72" s="159"/>
      <c r="BP72" s="159"/>
      <c r="BQ72" s="159"/>
    </row>
    <row r="73" ht="18.75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542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9"/>
      <c r="AB73" s="159"/>
      <c r="AC73" s="159"/>
      <c r="AD73" s="159"/>
      <c r="AE73" s="159"/>
      <c r="AF73" s="159"/>
      <c r="AG73" s="159"/>
      <c r="AH73" s="159"/>
      <c r="AI73" s="159"/>
      <c r="AJ73" s="159"/>
      <c r="AK73" s="159"/>
      <c r="AL73" s="159"/>
      <c r="AM73" s="159"/>
      <c r="AN73" s="159"/>
      <c r="AO73" s="159"/>
      <c r="AP73" s="159"/>
      <c r="AQ73" s="159"/>
      <c r="AR73" s="159"/>
      <c r="AS73" s="159"/>
      <c r="AT73" s="159"/>
      <c r="AU73" s="159"/>
      <c r="AV73" s="159"/>
      <c r="AW73" s="159"/>
      <c r="AX73" s="159"/>
      <c r="AY73" s="159"/>
      <c r="AZ73" s="159"/>
      <c r="BA73" s="159"/>
      <c r="BB73" s="159"/>
      <c r="BC73" s="159"/>
      <c r="BD73" s="159"/>
      <c r="BE73" s="159"/>
      <c r="BF73" s="159"/>
      <c r="BG73" s="568"/>
      <c r="BH73" s="568"/>
      <c r="BI73" s="537"/>
      <c r="BJ73" s="553"/>
      <c r="BK73" s="564"/>
      <c r="BL73" s="569"/>
      <c r="BM73" s="159"/>
      <c r="BN73" s="159"/>
      <c r="BO73" s="159"/>
      <c r="BP73" s="159"/>
      <c r="BQ73" s="159"/>
    </row>
    <row r="74" ht="18.75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542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9"/>
      <c r="AB74" s="159"/>
      <c r="AC74" s="159"/>
      <c r="AD74" s="159"/>
      <c r="AE74" s="159"/>
      <c r="AF74" s="159"/>
      <c r="AG74" s="159"/>
      <c r="AH74" s="159"/>
      <c r="AI74" s="159"/>
      <c r="AJ74" s="159"/>
      <c r="AK74" s="159"/>
      <c r="AL74" s="159"/>
      <c r="AM74" s="159"/>
      <c r="AN74" s="159"/>
      <c r="AO74" s="159"/>
      <c r="AP74" s="159"/>
      <c r="AQ74" s="159"/>
      <c r="AR74" s="159"/>
      <c r="AS74" s="159"/>
      <c r="AT74" s="159"/>
      <c r="AU74" s="159"/>
      <c r="AV74" s="159"/>
      <c r="AW74" s="159"/>
      <c r="AX74" s="159"/>
      <c r="AY74" s="159"/>
      <c r="AZ74" s="159"/>
      <c r="BA74" s="159"/>
      <c r="BB74" s="159"/>
      <c r="BC74" s="159"/>
      <c r="BD74" s="159"/>
      <c r="BE74" s="159"/>
      <c r="BF74" s="159"/>
      <c r="BG74" s="568"/>
      <c r="BH74" s="568"/>
      <c r="BI74" s="537"/>
      <c r="BJ74" s="553"/>
      <c r="BK74" s="564"/>
      <c r="BL74" s="569"/>
      <c r="BM74" s="159"/>
      <c r="BN74" s="159"/>
      <c r="BO74" s="159"/>
      <c r="BP74" s="159"/>
      <c r="BQ74" s="159"/>
    </row>
    <row r="75" ht="18.75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542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  <c r="AJ75" s="159"/>
      <c r="AK75" s="159"/>
      <c r="AL75" s="159"/>
      <c r="AM75" s="159"/>
      <c r="AN75" s="159"/>
      <c r="AO75" s="159"/>
      <c r="AP75" s="159"/>
      <c r="AQ75" s="159"/>
      <c r="AR75" s="159"/>
      <c r="AS75" s="159"/>
      <c r="AT75" s="159"/>
      <c r="AU75" s="159"/>
      <c r="AV75" s="159"/>
      <c r="AW75" s="159"/>
      <c r="AX75" s="159"/>
      <c r="AY75" s="159"/>
      <c r="AZ75" s="159"/>
      <c r="BA75" s="159"/>
      <c r="BB75" s="159"/>
      <c r="BC75" s="159"/>
      <c r="BD75" s="159"/>
      <c r="BE75" s="159"/>
      <c r="BF75" s="159"/>
      <c r="BG75" s="568"/>
      <c r="BH75" s="568"/>
      <c r="BI75" s="537"/>
      <c r="BJ75" s="553"/>
      <c r="BK75" s="564"/>
      <c r="BL75" s="569"/>
      <c r="BM75" s="159"/>
      <c r="BN75" s="159"/>
      <c r="BO75" s="159"/>
      <c r="BP75" s="159"/>
      <c r="BQ75" s="159"/>
    </row>
    <row r="76" ht="18.75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542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  <c r="AJ76" s="159"/>
      <c r="AK76" s="159"/>
      <c r="AL76" s="159"/>
      <c r="AM76" s="159"/>
      <c r="AN76" s="159"/>
      <c r="AO76" s="159"/>
      <c r="AP76" s="159"/>
      <c r="AQ76" s="159"/>
      <c r="AR76" s="159"/>
      <c r="AS76" s="159"/>
      <c r="AT76" s="159"/>
      <c r="AU76" s="159"/>
      <c r="AV76" s="159"/>
      <c r="AW76" s="159"/>
      <c r="AX76" s="159"/>
      <c r="AY76" s="159"/>
      <c r="AZ76" s="159"/>
      <c r="BA76" s="159"/>
      <c r="BB76" s="159"/>
      <c r="BC76" s="159"/>
      <c r="BD76" s="159"/>
      <c r="BE76" s="159"/>
      <c r="BF76" s="159"/>
      <c r="BG76" s="568"/>
      <c r="BH76" s="568"/>
      <c r="BI76" s="537"/>
      <c r="BJ76" s="553"/>
      <c r="BK76" s="564"/>
      <c r="BL76" s="569"/>
      <c r="BM76" s="159"/>
      <c r="BN76" s="159"/>
      <c r="BO76" s="159"/>
      <c r="BP76" s="159"/>
      <c r="BQ76" s="159"/>
    </row>
    <row r="77" ht="18.75" customHeight="1">
      <c r="A77" s="159"/>
      <c r="B77" s="159"/>
      <c r="C77" s="159"/>
      <c r="D77" s="159"/>
      <c r="E77" s="159"/>
      <c r="F77" s="159"/>
      <c r="G77" s="159"/>
      <c r="H77" s="159"/>
      <c r="I77" s="159"/>
      <c r="J77" s="542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59"/>
      <c r="AX77" s="159"/>
      <c r="AY77" s="159"/>
      <c r="AZ77" s="159"/>
      <c r="BA77" s="159"/>
      <c r="BB77" s="159"/>
      <c r="BC77" s="159"/>
      <c r="BD77" s="159"/>
      <c r="BE77" s="159"/>
      <c r="BF77" s="159"/>
      <c r="BG77" s="568"/>
      <c r="BH77" s="568"/>
      <c r="BI77" s="537"/>
      <c r="BJ77" s="553"/>
      <c r="BK77" s="564"/>
      <c r="BL77" s="569"/>
      <c r="BM77" s="159"/>
      <c r="BN77" s="159"/>
      <c r="BO77" s="159"/>
      <c r="BP77" s="159"/>
      <c r="BQ77" s="159"/>
    </row>
    <row r="78" ht="18.75" customHeight="1">
      <c r="A78" s="159"/>
      <c r="B78" s="159"/>
      <c r="C78" s="159"/>
      <c r="D78" s="159"/>
      <c r="E78" s="159"/>
      <c r="F78" s="159"/>
      <c r="G78" s="159"/>
      <c r="H78" s="159"/>
      <c r="I78" s="159"/>
      <c r="J78" s="542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/>
      <c r="BF78" s="159"/>
      <c r="BG78" s="568"/>
      <c r="BH78" s="568"/>
      <c r="BI78" s="537"/>
      <c r="BJ78" s="553"/>
      <c r="BK78" s="564"/>
      <c r="BL78" s="569"/>
      <c r="BM78" s="159"/>
      <c r="BN78" s="159"/>
      <c r="BO78" s="159"/>
      <c r="BP78" s="159"/>
      <c r="BQ78" s="159"/>
    </row>
    <row r="79" ht="18.75" customHeight="1">
      <c r="A79" s="159"/>
      <c r="B79" s="159"/>
      <c r="C79" s="159"/>
      <c r="D79" s="159"/>
      <c r="E79" s="159"/>
      <c r="F79" s="159"/>
      <c r="G79" s="159"/>
      <c r="H79" s="159"/>
      <c r="I79" s="159"/>
      <c r="J79" s="542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/>
      <c r="BF79" s="159"/>
      <c r="BG79" s="568"/>
      <c r="BH79" s="568"/>
      <c r="BI79" s="537"/>
      <c r="BJ79" s="553"/>
      <c r="BK79" s="564"/>
      <c r="BL79" s="569"/>
      <c r="BM79" s="159"/>
      <c r="BN79" s="159"/>
      <c r="BO79" s="159"/>
      <c r="BP79" s="159"/>
      <c r="BQ79" s="159"/>
    </row>
    <row r="80" ht="18.75" customHeight="1">
      <c r="A80" s="159"/>
      <c r="B80" s="159"/>
      <c r="C80" s="159"/>
      <c r="D80" s="159"/>
      <c r="E80" s="159"/>
      <c r="F80" s="159"/>
      <c r="G80" s="159"/>
      <c r="H80" s="159"/>
      <c r="I80" s="159"/>
      <c r="J80" s="542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159"/>
      <c r="AY80" s="159"/>
      <c r="AZ80" s="159"/>
      <c r="BA80" s="159"/>
      <c r="BB80" s="159"/>
      <c r="BC80" s="159"/>
      <c r="BD80" s="159"/>
      <c r="BE80" s="159"/>
      <c r="BF80" s="159"/>
      <c r="BG80" s="568"/>
      <c r="BH80" s="568"/>
      <c r="BI80" s="537"/>
      <c r="BJ80" s="553"/>
      <c r="BK80" s="564"/>
      <c r="BL80" s="569"/>
      <c r="BM80" s="159"/>
      <c r="BN80" s="159"/>
      <c r="BO80" s="159"/>
      <c r="BP80" s="159"/>
      <c r="BQ80" s="159"/>
    </row>
    <row r="81" ht="18.75" customHeight="1">
      <c r="A81" s="159"/>
      <c r="B81" s="159"/>
      <c r="C81" s="159"/>
      <c r="D81" s="159"/>
      <c r="E81" s="159"/>
      <c r="F81" s="159"/>
      <c r="G81" s="159"/>
      <c r="H81" s="159"/>
      <c r="I81" s="159"/>
      <c r="J81" s="542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59"/>
      <c r="BF81" s="159"/>
      <c r="BG81" s="568"/>
      <c r="BH81" s="568"/>
      <c r="BI81" s="537"/>
      <c r="BJ81" s="553"/>
      <c r="BK81" s="564"/>
      <c r="BL81" s="569"/>
      <c r="BM81" s="159"/>
      <c r="BN81" s="159"/>
      <c r="BO81" s="159"/>
      <c r="BP81" s="159"/>
      <c r="BQ81" s="159"/>
    </row>
    <row r="82" ht="18.75" customHeight="1">
      <c r="A82" s="159"/>
      <c r="B82" s="159"/>
      <c r="C82" s="159"/>
      <c r="D82" s="159"/>
      <c r="E82" s="159"/>
      <c r="F82" s="159"/>
      <c r="G82" s="159"/>
      <c r="H82" s="159"/>
      <c r="I82" s="159"/>
      <c r="J82" s="542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/>
      <c r="BF82" s="159"/>
      <c r="BG82" s="568"/>
      <c r="BH82" s="568"/>
      <c r="BI82" s="537"/>
      <c r="BJ82" s="553"/>
      <c r="BK82" s="564"/>
      <c r="BL82" s="569"/>
      <c r="BM82" s="159"/>
      <c r="BN82" s="159"/>
      <c r="BO82" s="159"/>
      <c r="BP82" s="159"/>
      <c r="BQ82" s="159"/>
    </row>
    <row r="83" ht="18.75" customHeight="1">
      <c r="A83" s="159"/>
      <c r="B83" s="159"/>
      <c r="C83" s="159"/>
      <c r="D83" s="159"/>
      <c r="E83" s="159"/>
      <c r="F83" s="159"/>
      <c r="G83" s="159"/>
      <c r="H83" s="159"/>
      <c r="I83" s="159"/>
      <c r="J83" s="542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159"/>
      <c r="AY83" s="159"/>
      <c r="AZ83" s="159"/>
      <c r="BA83" s="159"/>
      <c r="BB83" s="159"/>
      <c r="BC83" s="159"/>
      <c r="BD83" s="159"/>
      <c r="BE83" s="159"/>
      <c r="BF83" s="159"/>
      <c r="BG83" s="568"/>
      <c r="BH83" s="568"/>
      <c r="BI83" s="537"/>
      <c r="BJ83" s="553"/>
      <c r="BK83" s="564"/>
      <c r="BL83" s="569"/>
      <c r="BM83" s="159"/>
      <c r="BN83" s="159"/>
      <c r="BO83" s="159"/>
      <c r="BP83" s="159"/>
      <c r="BQ83" s="159"/>
    </row>
    <row r="84" ht="18.75" customHeight="1">
      <c r="A84" s="159"/>
      <c r="B84" s="159"/>
      <c r="C84" s="159"/>
      <c r="D84" s="159"/>
      <c r="E84" s="159"/>
      <c r="F84" s="159"/>
      <c r="G84" s="159"/>
      <c r="H84" s="159"/>
      <c r="I84" s="159"/>
      <c r="J84" s="542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159"/>
      <c r="AY84" s="159"/>
      <c r="AZ84" s="159"/>
      <c r="BA84" s="159"/>
      <c r="BB84" s="159"/>
      <c r="BC84" s="159"/>
      <c r="BD84" s="159"/>
      <c r="BE84" s="159"/>
      <c r="BF84" s="159"/>
      <c r="BG84" s="568"/>
      <c r="BH84" s="568"/>
      <c r="BI84" s="537"/>
      <c r="BJ84" s="553"/>
      <c r="BK84" s="564"/>
      <c r="BL84" s="569"/>
      <c r="BM84" s="159"/>
      <c r="BN84" s="159"/>
      <c r="BO84" s="159"/>
      <c r="BP84" s="159"/>
      <c r="BQ84" s="159"/>
    </row>
    <row r="85" ht="18.75" customHeight="1">
      <c r="A85" s="159"/>
      <c r="B85" s="159"/>
      <c r="C85" s="159"/>
      <c r="D85" s="159"/>
      <c r="E85" s="159"/>
      <c r="F85" s="159"/>
      <c r="G85" s="159"/>
      <c r="H85" s="159"/>
      <c r="I85" s="159"/>
      <c r="J85" s="542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159"/>
      <c r="AY85" s="159"/>
      <c r="AZ85" s="159"/>
      <c r="BA85" s="159"/>
      <c r="BB85" s="159"/>
      <c r="BC85" s="159"/>
      <c r="BD85" s="159"/>
      <c r="BE85" s="159"/>
      <c r="BF85" s="159"/>
      <c r="BG85" s="568"/>
      <c r="BH85" s="568"/>
      <c r="BI85" s="537"/>
      <c r="BJ85" s="553"/>
      <c r="BK85" s="564"/>
      <c r="BL85" s="569"/>
      <c r="BM85" s="159"/>
      <c r="BN85" s="159"/>
      <c r="BO85" s="159"/>
      <c r="BP85" s="159"/>
      <c r="BQ85" s="159"/>
    </row>
    <row r="86" ht="18.75" customHeight="1">
      <c r="A86" s="159"/>
      <c r="B86" s="159"/>
      <c r="C86" s="159"/>
      <c r="D86" s="159"/>
      <c r="E86" s="159"/>
      <c r="F86" s="159"/>
      <c r="G86" s="159"/>
      <c r="H86" s="159"/>
      <c r="I86" s="159"/>
      <c r="J86" s="542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159"/>
      <c r="AY86" s="159"/>
      <c r="AZ86" s="159"/>
      <c r="BA86" s="159"/>
      <c r="BB86" s="159"/>
      <c r="BC86" s="159"/>
      <c r="BD86" s="159"/>
      <c r="BE86" s="159"/>
      <c r="BF86" s="159"/>
      <c r="BG86" s="568"/>
      <c r="BH86" s="568"/>
      <c r="BI86" s="537"/>
      <c r="BJ86" s="553"/>
      <c r="BK86" s="564"/>
      <c r="BL86" s="569"/>
      <c r="BM86" s="159"/>
      <c r="BN86" s="159"/>
      <c r="BO86" s="159"/>
      <c r="BP86" s="159"/>
      <c r="BQ86" s="159"/>
    </row>
    <row r="87" ht="18.75" customHeight="1">
      <c r="A87" s="159"/>
      <c r="B87" s="159"/>
      <c r="C87" s="159"/>
      <c r="D87" s="159"/>
      <c r="E87" s="159"/>
      <c r="F87" s="159"/>
      <c r="G87" s="159"/>
      <c r="H87" s="159"/>
      <c r="I87" s="159"/>
      <c r="J87" s="542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568"/>
      <c r="BH87" s="568"/>
      <c r="BI87" s="537"/>
      <c r="BJ87" s="553"/>
      <c r="BK87" s="564"/>
      <c r="BL87" s="569"/>
      <c r="BM87" s="159"/>
      <c r="BN87" s="159"/>
      <c r="BO87" s="159"/>
      <c r="BP87" s="159"/>
      <c r="BQ87" s="159"/>
    </row>
    <row r="88" ht="18.75" customHeight="1">
      <c r="A88" s="159"/>
      <c r="B88" s="159"/>
      <c r="C88" s="159"/>
      <c r="D88" s="159"/>
      <c r="E88" s="159"/>
      <c r="F88" s="159"/>
      <c r="G88" s="159"/>
      <c r="H88" s="159"/>
      <c r="I88" s="159"/>
      <c r="J88" s="542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568"/>
      <c r="BH88" s="568"/>
      <c r="BI88" s="537"/>
      <c r="BJ88" s="553"/>
      <c r="BK88" s="564"/>
      <c r="BL88" s="569"/>
      <c r="BM88" s="159"/>
      <c r="BN88" s="159"/>
      <c r="BO88" s="159"/>
      <c r="BP88" s="159"/>
      <c r="BQ88" s="159"/>
    </row>
    <row r="89" ht="18.75" customHeight="1">
      <c r="A89" s="159"/>
      <c r="B89" s="159"/>
      <c r="C89" s="159"/>
      <c r="D89" s="159"/>
      <c r="E89" s="159"/>
      <c r="F89" s="159"/>
      <c r="G89" s="159"/>
      <c r="H89" s="159"/>
      <c r="I89" s="159"/>
      <c r="J89" s="542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568"/>
      <c r="BH89" s="568"/>
      <c r="BI89" s="537"/>
      <c r="BJ89" s="553"/>
      <c r="BK89" s="564"/>
      <c r="BL89" s="569"/>
      <c r="BM89" s="159"/>
      <c r="BN89" s="159"/>
      <c r="BO89" s="159"/>
      <c r="BP89" s="159"/>
      <c r="BQ89" s="159"/>
    </row>
    <row r="90" ht="18.75" customHeight="1">
      <c r="A90" s="159"/>
      <c r="B90" s="159"/>
      <c r="C90" s="159"/>
      <c r="D90" s="159"/>
      <c r="E90" s="159"/>
      <c r="F90" s="159"/>
      <c r="G90" s="159"/>
      <c r="H90" s="159"/>
      <c r="I90" s="159"/>
      <c r="J90" s="542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159"/>
      <c r="AY90" s="159"/>
      <c r="AZ90" s="159"/>
      <c r="BA90" s="159"/>
      <c r="BB90" s="159"/>
      <c r="BC90" s="159"/>
      <c r="BD90" s="159"/>
      <c r="BE90" s="159"/>
      <c r="BF90" s="159"/>
      <c r="BG90" s="568"/>
      <c r="BH90" s="568"/>
      <c r="BI90" s="537"/>
      <c r="BJ90" s="553"/>
      <c r="BK90" s="564"/>
      <c r="BL90" s="569"/>
      <c r="BM90" s="159"/>
      <c r="BN90" s="159"/>
      <c r="BO90" s="159"/>
      <c r="BP90" s="159"/>
      <c r="BQ90" s="159"/>
    </row>
    <row r="91" ht="18.75" customHeight="1">
      <c r="A91" s="159"/>
      <c r="B91" s="159"/>
      <c r="C91" s="159"/>
      <c r="D91" s="159"/>
      <c r="E91" s="159"/>
      <c r="F91" s="159"/>
      <c r="G91" s="159"/>
      <c r="H91" s="159"/>
      <c r="I91" s="159"/>
      <c r="J91" s="542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159"/>
      <c r="AY91" s="159"/>
      <c r="AZ91" s="159"/>
      <c r="BA91" s="159"/>
      <c r="BB91" s="159"/>
      <c r="BC91" s="159"/>
      <c r="BD91" s="159"/>
      <c r="BE91" s="159"/>
      <c r="BF91" s="159"/>
      <c r="BG91" s="568"/>
      <c r="BH91" s="568"/>
      <c r="BI91" s="537"/>
      <c r="BJ91" s="553"/>
      <c r="BK91" s="564"/>
      <c r="BL91" s="569"/>
      <c r="BM91" s="159"/>
      <c r="BN91" s="159"/>
      <c r="BO91" s="159"/>
      <c r="BP91" s="159"/>
      <c r="BQ91" s="159"/>
    </row>
    <row r="92" ht="18.75" customHeight="1">
      <c r="A92" s="159"/>
      <c r="B92" s="159"/>
      <c r="C92" s="159"/>
      <c r="D92" s="159"/>
      <c r="E92" s="159"/>
      <c r="F92" s="159"/>
      <c r="G92" s="159"/>
      <c r="H92" s="159"/>
      <c r="I92" s="159"/>
      <c r="J92" s="542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159"/>
      <c r="AY92" s="159"/>
      <c r="AZ92" s="159"/>
      <c r="BA92" s="159"/>
      <c r="BB92" s="159"/>
      <c r="BC92" s="159"/>
      <c r="BD92" s="159"/>
      <c r="BE92" s="159"/>
      <c r="BF92" s="159"/>
      <c r="BG92" s="568"/>
      <c r="BH92" s="568"/>
      <c r="BI92" s="537"/>
      <c r="BJ92" s="553"/>
      <c r="BK92" s="564"/>
      <c r="BL92" s="569"/>
      <c r="BM92" s="159"/>
      <c r="BN92" s="159"/>
      <c r="BO92" s="159"/>
      <c r="BP92" s="159"/>
      <c r="BQ92" s="159"/>
    </row>
    <row r="93" ht="18.75" customHeight="1">
      <c r="A93" s="159"/>
      <c r="B93" s="159"/>
      <c r="C93" s="159"/>
      <c r="D93" s="159"/>
      <c r="E93" s="159"/>
      <c r="F93" s="159"/>
      <c r="G93" s="159"/>
      <c r="H93" s="159"/>
      <c r="I93" s="159"/>
      <c r="J93" s="542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568"/>
      <c r="BH93" s="568"/>
      <c r="BI93" s="537"/>
      <c r="BJ93" s="553"/>
      <c r="BK93" s="564"/>
      <c r="BL93" s="569"/>
      <c r="BM93" s="159"/>
      <c r="BN93" s="159"/>
      <c r="BO93" s="159"/>
      <c r="BP93" s="159"/>
      <c r="BQ93" s="159"/>
    </row>
    <row r="94" ht="18.75" customHeight="1">
      <c r="A94" s="159"/>
      <c r="B94" s="159"/>
      <c r="C94" s="159"/>
      <c r="D94" s="159"/>
      <c r="E94" s="159"/>
      <c r="F94" s="159"/>
      <c r="G94" s="159"/>
      <c r="H94" s="159"/>
      <c r="I94" s="159"/>
      <c r="J94" s="542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568"/>
      <c r="BH94" s="568"/>
      <c r="BI94" s="537"/>
      <c r="BJ94" s="553"/>
      <c r="BK94" s="564"/>
      <c r="BL94" s="569"/>
      <c r="BM94" s="159"/>
      <c r="BN94" s="159"/>
      <c r="BO94" s="159"/>
      <c r="BP94" s="159"/>
      <c r="BQ94" s="159"/>
    </row>
    <row r="95" ht="18.75" customHeight="1">
      <c r="A95" s="159"/>
      <c r="B95" s="159"/>
      <c r="C95" s="159"/>
      <c r="D95" s="159"/>
      <c r="E95" s="159"/>
      <c r="F95" s="159"/>
      <c r="G95" s="159"/>
      <c r="H95" s="159"/>
      <c r="I95" s="159"/>
      <c r="J95" s="542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59"/>
      <c r="BF95" s="159"/>
      <c r="BG95" s="568"/>
      <c r="BH95" s="568"/>
      <c r="BI95" s="537"/>
      <c r="BJ95" s="553"/>
      <c r="BK95" s="564"/>
      <c r="BL95" s="569"/>
      <c r="BM95" s="159"/>
      <c r="BN95" s="159"/>
      <c r="BO95" s="159"/>
      <c r="BP95" s="159"/>
      <c r="BQ95" s="159"/>
    </row>
    <row r="96" ht="18.75" customHeight="1">
      <c r="A96" s="159"/>
      <c r="B96" s="159"/>
      <c r="C96" s="159"/>
      <c r="D96" s="159"/>
      <c r="E96" s="159"/>
      <c r="F96" s="159"/>
      <c r="G96" s="159"/>
      <c r="H96" s="159"/>
      <c r="I96" s="159"/>
      <c r="J96" s="542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159"/>
      <c r="AY96" s="159"/>
      <c r="AZ96" s="159"/>
      <c r="BA96" s="159"/>
      <c r="BB96" s="159"/>
      <c r="BC96" s="159"/>
      <c r="BD96" s="159"/>
      <c r="BE96" s="159"/>
      <c r="BF96" s="159"/>
      <c r="BG96" s="568"/>
      <c r="BH96" s="568"/>
      <c r="BI96" s="537"/>
      <c r="BJ96" s="553"/>
      <c r="BK96" s="564"/>
      <c r="BL96" s="569"/>
      <c r="BM96" s="159"/>
      <c r="BN96" s="159"/>
      <c r="BO96" s="159"/>
      <c r="BP96" s="159"/>
      <c r="BQ96" s="159"/>
    </row>
    <row r="97" ht="18.75" customHeight="1">
      <c r="A97" s="159"/>
      <c r="B97" s="159"/>
      <c r="C97" s="159"/>
      <c r="D97" s="159"/>
      <c r="E97" s="159"/>
      <c r="F97" s="159"/>
      <c r="G97" s="159"/>
      <c r="H97" s="159"/>
      <c r="I97" s="159"/>
      <c r="J97" s="542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568"/>
      <c r="BH97" s="568"/>
      <c r="BI97" s="537"/>
      <c r="BJ97" s="553"/>
      <c r="BK97" s="564"/>
      <c r="BL97" s="569"/>
      <c r="BM97" s="159"/>
      <c r="BN97" s="159"/>
      <c r="BO97" s="159"/>
      <c r="BP97" s="159"/>
      <c r="BQ97" s="159"/>
    </row>
    <row r="98" ht="18.75" customHeight="1">
      <c r="A98" s="159"/>
      <c r="B98" s="159"/>
      <c r="C98" s="159"/>
      <c r="D98" s="159"/>
      <c r="E98" s="159"/>
      <c r="F98" s="159"/>
      <c r="G98" s="159"/>
      <c r="H98" s="159"/>
      <c r="I98" s="159"/>
      <c r="J98" s="542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159"/>
      <c r="AY98" s="159"/>
      <c r="AZ98" s="159"/>
      <c r="BA98" s="159"/>
      <c r="BB98" s="159"/>
      <c r="BC98" s="159"/>
      <c r="BD98" s="159"/>
      <c r="BE98" s="159"/>
      <c r="BF98" s="159"/>
      <c r="BG98" s="568"/>
      <c r="BH98" s="568"/>
      <c r="BI98" s="537"/>
      <c r="BJ98" s="553"/>
      <c r="BK98" s="564"/>
      <c r="BL98" s="569"/>
      <c r="BM98" s="159"/>
      <c r="BN98" s="159"/>
      <c r="BO98" s="159"/>
      <c r="BP98" s="159"/>
      <c r="BQ98" s="159"/>
    </row>
    <row r="99" ht="18.75" customHeight="1">
      <c r="A99" s="159"/>
      <c r="B99" s="159"/>
      <c r="C99" s="159"/>
      <c r="D99" s="159"/>
      <c r="E99" s="159"/>
      <c r="F99" s="159"/>
      <c r="G99" s="159"/>
      <c r="H99" s="159"/>
      <c r="I99" s="159"/>
      <c r="J99" s="542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59"/>
      <c r="BF99" s="159"/>
      <c r="BG99" s="568"/>
      <c r="BH99" s="568"/>
      <c r="BI99" s="537"/>
      <c r="BJ99" s="553"/>
      <c r="BK99" s="564"/>
      <c r="BL99" s="569"/>
      <c r="BM99" s="159"/>
      <c r="BN99" s="159"/>
      <c r="BO99" s="159"/>
      <c r="BP99" s="159"/>
      <c r="BQ99" s="159"/>
    </row>
    <row r="100" ht="18.75" customHeight="1">
      <c r="A100" s="159"/>
      <c r="B100" s="159"/>
      <c r="C100" s="159"/>
      <c r="D100" s="159"/>
      <c r="E100" s="159"/>
      <c r="F100" s="159"/>
      <c r="G100" s="159"/>
      <c r="H100" s="159"/>
      <c r="I100" s="159"/>
      <c r="J100" s="542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159"/>
      <c r="AY100" s="159"/>
      <c r="AZ100" s="159"/>
      <c r="BA100" s="159"/>
      <c r="BB100" s="159"/>
      <c r="BC100" s="159"/>
      <c r="BD100" s="159"/>
      <c r="BE100" s="159"/>
      <c r="BF100" s="159"/>
      <c r="BG100" s="568"/>
      <c r="BH100" s="568"/>
      <c r="BI100" s="537"/>
      <c r="BJ100" s="553"/>
      <c r="BK100" s="564"/>
      <c r="BL100" s="569"/>
      <c r="BM100" s="159"/>
      <c r="BN100" s="159"/>
      <c r="BO100" s="159"/>
      <c r="BP100" s="159"/>
      <c r="BQ100" s="159"/>
    </row>
    <row r="101" ht="18.75" customHeight="1">
      <c r="A101" s="159"/>
      <c r="B101" s="159"/>
      <c r="C101" s="159"/>
      <c r="D101" s="159"/>
      <c r="E101" s="159"/>
      <c r="F101" s="159"/>
      <c r="G101" s="159"/>
      <c r="H101" s="159"/>
      <c r="I101" s="159"/>
      <c r="J101" s="542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59"/>
      <c r="BF101" s="159"/>
      <c r="BG101" s="568"/>
      <c r="BH101" s="568"/>
      <c r="BI101" s="537"/>
      <c r="BJ101" s="553"/>
      <c r="BK101" s="564"/>
      <c r="BL101" s="569"/>
      <c r="BM101" s="159"/>
      <c r="BN101" s="159"/>
      <c r="BO101" s="159"/>
      <c r="BP101" s="159"/>
      <c r="BQ101" s="159"/>
    </row>
    <row r="102" ht="18.75" customHeight="1">
      <c r="A102" s="159"/>
      <c r="B102" s="159"/>
      <c r="C102" s="159"/>
      <c r="D102" s="159"/>
      <c r="E102" s="159"/>
      <c r="F102" s="159"/>
      <c r="G102" s="159"/>
      <c r="H102" s="159"/>
      <c r="I102" s="159"/>
      <c r="J102" s="542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159"/>
      <c r="AY102" s="159"/>
      <c r="AZ102" s="159"/>
      <c r="BA102" s="159"/>
      <c r="BB102" s="159"/>
      <c r="BC102" s="159"/>
      <c r="BD102" s="159"/>
      <c r="BE102" s="159"/>
      <c r="BF102" s="159"/>
      <c r="BG102" s="568"/>
      <c r="BH102" s="568"/>
      <c r="BI102" s="537"/>
      <c r="BJ102" s="553"/>
      <c r="BK102" s="564"/>
      <c r="BL102" s="569"/>
      <c r="BM102" s="159"/>
      <c r="BN102" s="159"/>
      <c r="BO102" s="159"/>
      <c r="BP102" s="159"/>
      <c r="BQ102" s="159"/>
    </row>
    <row r="103" ht="18.75" customHeight="1">
      <c r="A103" s="159"/>
      <c r="B103" s="159"/>
      <c r="C103" s="159"/>
      <c r="D103" s="159"/>
      <c r="E103" s="159"/>
      <c r="F103" s="159"/>
      <c r="G103" s="159"/>
      <c r="H103" s="159"/>
      <c r="I103" s="159"/>
      <c r="J103" s="542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59"/>
      <c r="BF103" s="159"/>
      <c r="BG103" s="568"/>
      <c r="BH103" s="568"/>
      <c r="BI103" s="537"/>
      <c r="BJ103" s="553"/>
      <c r="BK103" s="564"/>
      <c r="BL103" s="569"/>
      <c r="BM103" s="159"/>
      <c r="BN103" s="159"/>
      <c r="BO103" s="159"/>
      <c r="BP103" s="159"/>
      <c r="BQ103" s="159"/>
    </row>
    <row r="104" ht="18.75" customHeight="1">
      <c r="A104" s="159"/>
      <c r="B104" s="159"/>
      <c r="C104" s="159"/>
      <c r="D104" s="159"/>
      <c r="E104" s="159"/>
      <c r="F104" s="159"/>
      <c r="G104" s="159"/>
      <c r="H104" s="159"/>
      <c r="I104" s="159"/>
      <c r="J104" s="542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159"/>
      <c r="AY104" s="159"/>
      <c r="AZ104" s="159"/>
      <c r="BA104" s="159"/>
      <c r="BB104" s="159"/>
      <c r="BC104" s="159"/>
      <c r="BD104" s="159"/>
      <c r="BE104" s="159"/>
      <c r="BF104" s="159"/>
      <c r="BG104" s="568"/>
      <c r="BH104" s="568"/>
      <c r="BI104" s="537"/>
      <c r="BJ104" s="553"/>
      <c r="BK104" s="564"/>
      <c r="BL104" s="569"/>
      <c r="BM104" s="159"/>
      <c r="BN104" s="159"/>
      <c r="BO104" s="159"/>
      <c r="BP104" s="159"/>
      <c r="BQ104" s="159"/>
    </row>
    <row r="105" ht="18.75" customHeight="1">
      <c r="A105" s="159"/>
      <c r="B105" s="159"/>
      <c r="C105" s="159"/>
      <c r="D105" s="159"/>
      <c r="E105" s="159"/>
      <c r="F105" s="159"/>
      <c r="G105" s="159"/>
      <c r="H105" s="159"/>
      <c r="I105" s="159"/>
      <c r="J105" s="542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159"/>
      <c r="AY105" s="159"/>
      <c r="AZ105" s="159"/>
      <c r="BA105" s="159"/>
      <c r="BB105" s="159"/>
      <c r="BC105" s="159"/>
      <c r="BD105" s="159"/>
      <c r="BE105" s="159"/>
      <c r="BF105" s="159"/>
      <c r="BG105" s="568"/>
      <c r="BH105" s="568"/>
      <c r="BI105" s="537"/>
      <c r="BJ105" s="553"/>
      <c r="BK105" s="564"/>
      <c r="BL105" s="569"/>
      <c r="BM105" s="159"/>
      <c r="BN105" s="159"/>
      <c r="BO105" s="159"/>
      <c r="BP105" s="159"/>
      <c r="BQ105" s="159"/>
    </row>
    <row r="106" ht="18.75" customHeight="1">
      <c r="A106" s="159"/>
      <c r="B106" s="159"/>
      <c r="C106" s="159"/>
      <c r="D106" s="159"/>
      <c r="E106" s="159"/>
      <c r="F106" s="159"/>
      <c r="G106" s="159"/>
      <c r="H106" s="159"/>
      <c r="I106" s="159"/>
      <c r="J106" s="542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159"/>
      <c r="AY106" s="159"/>
      <c r="AZ106" s="159"/>
      <c r="BA106" s="159"/>
      <c r="BB106" s="159"/>
      <c r="BC106" s="159"/>
      <c r="BD106" s="159"/>
      <c r="BE106" s="159"/>
      <c r="BF106" s="159"/>
      <c r="BG106" s="568"/>
      <c r="BH106" s="568"/>
      <c r="BI106" s="537"/>
      <c r="BJ106" s="553"/>
      <c r="BK106" s="564"/>
      <c r="BL106" s="569"/>
      <c r="BM106" s="159"/>
      <c r="BN106" s="159"/>
      <c r="BO106" s="159"/>
      <c r="BP106" s="159"/>
      <c r="BQ106" s="159"/>
    </row>
    <row r="107" ht="18.75" customHeight="1">
      <c r="A107" s="159"/>
      <c r="B107" s="159"/>
      <c r="C107" s="159"/>
      <c r="D107" s="159"/>
      <c r="E107" s="159"/>
      <c r="F107" s="159"/>
      <c r="G107" s="159"/>
      <c r="H107" s="159"/>
      <c r="I107" s="159"/>
      <c r="J107" s="542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59"/>
      <c r="BF107" s="159"/>
      <c r="BG107" s="568"/>
      <c r="BH107" s="568"/>
      <c r="BI107" s="537"/>
      <c r="BJ107" s="553"/>
      <c r="BK107" s="564"/>
      <c r="BL107" s="569"/>
      <c r="BM107" s="159"/>
      <c r="BN107" s="159"/>
      <c r="BO107" s="159"/>
      <c r="BP107" s="159"/>
      <c r="BQ107" s="159"/>
    </row>
    <row r="108" ht="18.75" customHeight="1">
      <c r="A108" s="159"/>
      <c r="B108" s="159"/>
      <c r="C108" s="159"/>
      <c r="D108" s="159"/>
      <c r="E108" s="159"/>
      <c r="F108" s="159"/>
      <c r="G108" s="159"/>
      <c r="H108" s="159"/>
      <c r="I108" s="159"/>
      <c r="J108" s="542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159"/>
      <c r="AY108" s="159"/>
      <c r="AZ108" s="159"/>
      <c r="BA108" s="159"/>
      <c r="BB108" s="159"/>
      <c r="BC108" s="159"/>
      <c r="BD108" s="159"/>
      <c r="BE108" s="159"/>
      <c r="BF108" s="159"/>
      <c r="BG108" s="568"/>
      <c r="BH108" s="568"/>
      <c r="BI108" s="537"/>
      <c r="BJ108" s="553"/>
      <c r="BK108" s="564"/>
      <c r="BL108" s="569"/>
      <c r="BM108" s="159"/>
      <c r="BN108" s="159"/>
      <c r="BO108" s="159"/>
      <c r="BP108" s="159"/>
      <c r="BQ108" s="159"/>
    </row>
    <row r="109" ht="18.75" customHeight="1">
      <c r="A109" s="159"/>
      <c r="B109" s="159"/>
      <c r="C109" s="159"/>
      <c r="D109" s="159"/>
      <c r="E109" s="159"/>
      <c r="F109" s="159"/>
      <c r="G109" s="159"/>
      <c r="H109" s="159"/>
      <c r="I109" s="159"/>
      <c r="J109" s="542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59"/>
      <c r="BF109" s="159"/>
      <c r="BG109" s="568"/>
      <c r="BH109" s="568"/>
      <c r="BI109" s="537"/>
      <c r="BJ109" s="553"/>
      <c r="BK109" s="564"/>
      <c r="BL109" s="569"/>
      <c r="BM109" s="159"/>
      <c r="BN109" s="159"/>
      <c r="BO109" s="159"/>
      <c r="BP109" s="159"/>
      <c r="BQ109" s="159"/>
    </row>
    <row r="110" ht="18.75" customHeight="1">
      <c r="A110" s="159"/>
      <c r="B110" s="159"/>
      <c r="C110" s="159"/>
      <c r="D110" s="159"/>
      <c r="E110" s="159"/>
      <c r="F110" s="159"/>
      <c r="G110" s="159"/>
      <c r="H110" s="159"/>
      <c r="I110" s="159"/>
      <c r="J110" s="542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568"/>
      <c r="BH110" s="568"/>
      <c r="BI110" s="537"/>
      <c r="BJ110" s="553"/>
      <c r="BK110" s="564"/>
      <c r="BL110" s="569"/>
      <c r="BM110" s="159"/>
      <c r="BN110" s="159"/>
      <c r="BO110" s="159"/>
      <c r="BP110" s="159"/>
      <c r="BQ110" s="159"/>
    </row>
    <row r="111" ht="18.75" customHeight="1">
      <c r="A111" s="159"/>
      <c r="B111" s="159"/>
      <c r="C111" s="159"/>
      <c r="D111" s="159"/>
      <c r="E111" s="159"/>
      <c r="F111" s="159"/>
      <c r="G111" s="159"/>
      <c r="H111" s="159"/>
      <c r="I111" s="159"/>
      <c r="J111" s="542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59"/>
      <c r="BF111" s="159"/>
      <c r="BG111" s="568"/>
      <c r="BH111" s="568"/>
      <c r="BI111" s="537"/>
      <c r="BJ111" s="553"/>
      <c r="BK111" s="564"/>
      <c r="BL111" s="569"/>
      <c r="BM111" s="159"/>
      <c r="BN111" s="159"/>
      <c r="BO111" s="159"/>
      <c r="BP111" s="159"/>
      <c r="BQ111" s="159"/>
    </row>
    <row r="112" ht="18.75" customHeight="1">
      <c r="A112" s="159"/>
      <c r="B112" s="159"/>
      <c r="C112" s="159"/>
      <c r="D112" s="159"/>
      <c r="E112" s="159"/>
      <c r="F112" s="159"/>
      <c r="G112" s="159"/>
      <c r="H112" s="159"/>
      <c r="I112" s="159"/>
      <c r="J112" s="542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568"/>
      <c r="BH112" s="568"/>
      <c r="BI112" s="537"/>
      <c r="BJ112" s="553"/>
      <c r="BK112" s="564"/>
      <c r="BL112" s="569"/>
      <c r="BM112" s="159"/>
      <c r="BN112" s="159"/>
      <c r="BO112" s="159"/>
      <c r="BP112" s="159"/>
      <c r="BQ112" s="159"/>
    </row>
    <row r="113" ht="18.75" customHeight="1">
      <c r="A113" s="159"/>
      <c r="B113" s="159"/>
      <c r="C113" s="159"/>
      <c r="D113" s="159"/>
      <c r="E113" s="159"/>
      <c r="F113" s="159"/>
      <c r="G113" s="159"/>
      <c r="H113" s="159"/>
      <c r="I113" s="159"/>
      <c r="J113" s="542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568"/>
      <c r="BH113" s="568"/>
      <c r="BI113" s="537"/>
      <c r="BJ113" s="553"/>
      <c r="BK113" s="564"/>
      <c r="BL113" s="569"/>
      <c r="BM113" s="159"/>
      <c r="BN113" s="159"/>
      <c r="BO113" s="159"/>
      <c r="BP113" s="159"/>
      <c r="BQ113" s="159"/>
    </row>
    <row r="114" ht="18.75" customHeight="1">
      <c r="A114" s="159"/>
      <c r="B114" s="159"/>
      <c r="C114" s="159"/>
      <c r="D114" s="159"/>
      <c r="E114" s="159"/>
      <c r="F114" s="159"/>
      <c r="G114" s="159"/>
      <c r="H114" s="159"/>
      <c r="I114" s="159"/>
      <c r="J114" s="542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568"/>
      <c r="BH114" s="568"/>
      <c r="BI114" s="537"/>
      <c r="BJ114" s="553"/>
      <c r="BK114" s="564"/>
      <c r="BL114" s="569"/>
      <c r="BM114" s="159"/>
      <c r="BN114" s="159"/>
      <c r="BO114" s="159"/>
      <c r="BP114" s="159"/>
      <c r="BQ114" s="159"/>
    </row>
    <row r="115" ht="18.75" customHeight="1">
      <c r="A115" s="159"/>
      <c r="B115" s="159"/>
      <c r="C115" s="159"/>
      <c r="D115" s="159"/>
      <c r="E115" s="159"/>
      <c r="F115" s="159"/>
      <c r="G115" s="159"/>
      <c r="H115" s="159"/>
      <c r="I115" s="159"/>
      <c r="J115" s="542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159"/>
      <c r="AY115" s="159"/>
      <c r="AZ115" s="159"/>
      <c r="BA115" s="159"/>
      <c r="BB115" s="159"/>
      <c r="BC115" s="159"/>
      <c r="BD115" s="159"/>
      <c r="BE115" s="159"/>
      <c r="BF115" s="159"/>
      <c r="BG115" s="568"/>
      <c r="BH115" s="568"/>
      <c r="BI115" s="537"/>
      <c r="BJ115" s="553"/>
      <c r="BK115" s="564"/>
      <c r="BL115" s="569"/>
      <c r="BM115" s="159"/>
      <c r="BN115" s="159"/>
      <c r="BO115" s="159"/>
      <c r="BP115" s="159"/>
      <c r="BQ115" s="159"/>
    </row>
    <row r="116" ht="18.75" customHeight="1">
      <c r="A116" s="159"/>
      <c r="B116" s="159"/>
      <c r="C116" s="159"/>
      <c r="D116" s="159"/>
      <c r="E116" s="159"/>
      <c r="F116" s="159"/>
      <c r="G116" s="159"/>
      <c r="H116" s="159"/>
      <c r="I116" s="159"/>
      <c r="J116" s="542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568"/>
      <c r="BH116" s="568"/>
      <c r="BI116" s="537"/>
      <c r="BJ116" s="553"/>
      <c r="BK116" s="564"/>
      <c r="BL116" s="569"/>
      <c r="BM116" s="159"/>
      <c r="BN116" s="159"/>
      <c r="BO116" s="159"/>
      <c r="BP116" s="159"/>
      <c r="BQ116" s="159"/>
    </row>
    <row r="117" ht="18.75" customHeight="1">
      <c r="A117" s="159"/>
      <c r="B117" s="159"/>
      <c r="C117" s="159"/>
      <c r="D117" s="159"/>
      <c r="E117" s="159"/>
      <c r="F117" s="159"/>
      <c r="G117" s="159"/>
      <c r="H117" s="159"/>
      <c r="I117" s="159"/>
      <c r="J117" s="542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59"/>
      <c r="BF117" s="159"/>
      <c r="BG117" s="568"/>
      <c r="BH117" s="568"/>
      <c r="BI117" s="537"/>
      <c r="BJ117" s="553"/>
      <c r="BK117" s="564"/>
      <c r="BL117" s="569"/>
      <c r="BM117" s="159"/>
      <c r="BN117" s="159"/>
      <c r="BO117" s="159"/>
      <c r="BP117" s="159"/>
      <c r="BQ117" s="159"/>
    </row>
    <row r="118" ht="18.75" customHeight="1">
      <c r="A118" s="159"/>
      <c r="B118" s="159"/>
      <c r="C118" s="159"/>
      <c r="D118" s="159"/>
      <c r="E118" s="159"/>
      <c r="F118" s="159"/>
      <c r="G118" s="159"/>
      <c r="H118" s="159"/>
      <c r="I118" s="159"/>
      <c r="J118" s="542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159"/>
      <c r="AY118" s="159"/>
      <c r="AZ118" s="159"/>
      <c r="BA118" s="159"/>
      <c r="BB118" s="159"/>
      <c r="BC118" s="159"/>
      <c r="BD118" s="159"/>
      <c r="BE118" s="159"/>
      <c r="BF118" s="159"/>
      <c r="BG118" s="568"/>
      <c r="BH118" s="568"/>
      <c r="BI118" s="537"/>
      <c r="BJ118" s="553"/>
      <c r="BK118" s="564"/>
      <c r="BL118" s="569"/>
      <c r="BM118" s="159"/>
      <c r="BN118" s="159"/>
      <c r="BO118" s="159"/>
      <c r="BP118" s="159"/>
      <c r="BQ118" s="159"/>
    </row>
    <row r="119" ht="18.75" customHeight="1">
      <c r="A119" s="159"/>
      <c r="B119" s="159"/>
      <c r="C119" s="159"/>
      <c r="D119" s="159"/>
      <c r="E119" s="159"/>
      <c r="F119" s="159"/>
      <c r="G119" s="159"/>
      <c r="H119" s="159"/>
      <c r="I119" s="159"/>
      <c r="J119" s="542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159"/>
      <c r="AY119" s="159"/>
      <c r="AZ119" s="159"/>
      <c r="BA119" s="159"/>
      <c r="BB119" s="159"/>
      <c r="BC119" s="159"/>
      <c r="BD119" s="159"/>
      <c r="BE119" s="159"/>
      <c r="BF119" s="159"/>
      <c r="BG119" s="568"/>
      <c r="BH119" s="568"/>
      <c r="BI119" s="537"/>
      <c r="BJ119" s="553"/>
      <c r="BK119" s="564"/>
      <c r="BL119" s="569"/>
      <c r="BM119" s="159"/>
      <c r="BN119" s="159"/>
      <c r="BO119" s="159"/>
      <c r="BP119" s="159"/>
      <c r="BQ119" s="159"/>
    </row>
    <row r="120" ht="18.75" customHeight="1">
      <c r="A120" s="159"/>
      <c r="B120" s="159"/>
      <c r="C120" s="159"/>
      <c r="D120" s="159"/>
      <c r="E120" s="159"/>
      <c r="F120" s="159"/>
      <c r="G120" s="159"/>
      <c r="H120" s="159"/>
      <c r="I120" s="159"/>
      <c r="J120" s="542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159"/>
      <c r="AY120" s="159"/>
      <c r="AZ120" s="159"/>
      <c r="BA120" s="159"/>
      <c r="BB120" s="159"/>
      <c r="BC120" s="159"/>
      <c r="BD120" s="159"/>
      <c r="BE120" s="159"/>
      <c r="BF120" s="159"/>
      <c r="BG120" s="568"/>
      <c r="BH120" s="568"/>
      <c r="BI120" s="537"/>
      <c r="BJ120" s="553"/>
      <c r="BK120" s="564"/>
      <c r="BL120" s="569"/>
      <c r="BM120" s="159"/>
      <c r="BN120" s="159"/>
      <c r="BO120" s="159"/>
      <c r="BP120" s="159"/>
      <c r="BQ120" s="159"/>
    </row>
    <row r="121" ht="18.75" customHeight="1">
      <c r="A121" s="159"/>
      <c r="B121" s="159"/>
      <c r="C121" s="159"/>
      <c r="D121" s="159"/>
      <c r="E121" s="159"/>
      <c r="F121" s="159"/>
      <c r="G121" s="159"/>
      <c r="H121" s="159"/>
      <c r="I121" s="159"/>
      <c r="J121" s="542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59"/>
      <c r="BF121" s="159"/>
      <c r="BG121" s="568"/>
      <c r="BH121" s="568"/>
      <c r="BI121" s="537"/>
      <c r="BJ121" s="553"/>
      <c r="BK121" s="564"/>
      <c r="BL121" s="569"/>
      <c r="BM121" s="159"/>
      <c r="BN121" s="159"/>
      <c r="BO121" s="159"/>
      <c r="BP121" s="159"/>
      <c r="BQ121" s="159"/>
    </row>
    <row r="122" ht="18.75" customHeight="1">
      <c r="A122" s="159"/>
      <c r="B122" s="159"/>
      <c r="C122" s="159"/>
      <c r="D122" s="159"/>
      <c r="E122" s="159"/>
      <c r="F122" s="159"/>
      <c r="G122" s="159"/>
      <c r="H122" s="159"/>
      <c r="I122" s="159"/>
      <c r="J122" s="542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159"/>
      <c r="AY122" s="159"/>
      <c r="AZ122" s="159"/>
      <c r="BA122" s="159"/>
      <c r="BB122" s="159"/>
      <c r="BC122" s="159"/>
      <c r="BD122" s="159"/>
      <c r="BE122" s="159"/>
      <c r="BF122" s="159"/>
      <c r="BG122" s="568"/>
      <c r="BH122" s="568"/>
      <c r="BI122" s="537"/>
      <c r="BJ122" s="553"/>
      <c r="BK122" s="564"/>
      <c r="BL122" s="569"/>
      <c r="BM122" s="159"/>
      <c r="BN122" s="159"/>
      <c r="BO122" s="159"/>
      <c r="BP122" s="159"/>
      <c r="BQ122" s="159"/>
    </row>
    <row r="123" ht="18.75" customHeight="1">
      <c r="A123" s="159"/>
      <c r="B123" s="159"/>
      <c r="C123" s="159"/>
      <c r="D123" s="159"/>
      <c r="E123" s="159"/>
      <c r="F123" s="159"/>
      <c r="G123" s="159"/>
      <c r="H123" s="159"/>
      <c r="I123" s="159"/>
      <c r="J123" s="542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59"/>
      <c r="BF123" s="159"/>
      <c r="BG123" s="568"/>
      <c r="BH123" s="568"/>
      <c r="BI123" s="537"/>
      <c r="BJ123" s="553"/>
      <c r="BK123" s="564"/>
      <c r="BL123" s="569"/>
      <c r="BM123" s="159"/>
      <c r="BN123" s="159"/>
      <c r="BO123" s="159"/>
      <c r="BP123" s="159"/>
      <c r="BQ123" s="159"/>
    </row>
    <row r="124" ht="18.75" customHeight="1">
      <c r="A124" s="159"/>
      <c r="B124" s="159"/>
      <c r="C124" s="159"/>
      <c r="D124" s="159"/>
      <c r="E124" s="159"/>
      <c r="F124" s="159"/>
      <c r="G124" s="159"/>
      <c r="H124" s="159"/>
      <c r="I124" s="159"/>
      <c r="J124" s="542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159"/>
      <c r="AY124" s="159"/>
      <c r="AZ124" s="159"/>
      <c r="BA124" s="159"/>
      <c r="BB124" s="159"/>
      <c r="BC124" s="159"/>
      <c r="BD124" s="159"/>
      <c r="BE124" s="159"/>
      <c r="BF124" s="159"/>
      <c r="BG124" s="568"/>
      <c r="BH124" s="568"/>
      <c r="BI124" s="537"/>
      <c r="BJ124" s="553"/>
      <c r="BK124" s="564"/>
      <c r="BL124" s="569"/>
      <c r="BM124" s="159"/>
      <c r="BN124" s="159"/>
      <c r="BO124" s="159"/>
      <c r="BP124" s="159"/>
      <c r="BQ124" s="159"/>
    </row>
    <row r="125" ht="18.75" customHeight="1">
      <c r="A125" s="159"/>
      <c r="B125" s="159"/>
      <c r="C125" s="159"/>
      <c r="D125" s="159"/>
      <c r="E125" s="159"/>
      <c r="F125" s="159"/>
      <c r="G125" s="159"/>
      <c r="H125" s="159"/>
      <c r="I125" s="159"/>
      <c r="J125" s="542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159"/>
      <c r="AY125" s="159"/>
      <c r="AZ125" s="159"/>
      <c r="BA125" s="159"/>
      <c r="BB125" s="159"/>
      <c r="BC125" s="159"/>
      <c r="BD125" s="159"/>
      <c r="BE125" s="159"/>
      <c r="BF125" s="159"/>
      <c r="BG125" s="568"/>
      <c r="BH125" s="568"/>
      <c r="BI125" s="537"/>
      <c r="BJ125" s="553"/>
      <c r="BK125" s="564"/>
      <c r="BL125" s="569"/>
      <c r="BM125" s="159"/>
      <c r="BN125" s="159"/>
      <c r="BO125" s="159"/>
      <c r="BP125" s="159"/>
      <c r="BQ125" s="159"/>
    </row>
    <row r="126" ht="18.75" customHeight="1">
      <c r="A126" s="159"/>
      <c r="B126" s="159"/>
      <c r="C126" s="159"/>
      <c r="D126" s="159"/>
      <c r="E126" s="159"/>
      <c r="F126" s="159"/>
      <c r="G126" s="159"/>
      <c r="H126" s="159"/>
      <c r="I126" s="159"/>
      <c r="J126" s="542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159"/>
      <c r="AY126" s="159"/>
      <c r="AZ126" s="159"/>
      <c r="BA126" s="159"/>
      <c r="BB126" s="159"/>
      <c r="BC126" s="159"/>
      <c r="BD126" s="159"/>
      <c r="BE126" s="159"/>
      <c r="BF126" s="159"/>
      <c r="BG126" s="568"/>
      <c r="BH126" s="568"/>
      <c r="BI126" s="537"/>
      <c r="BJ126" s="553"/>
      <c r="BK126" s="564"/>
      <c r="BL126" s="569"/>
      <c r="BM126" s="159"/>
      <c r="BN126" s="159"/>
      <c r="BO126" s="159"/>
      <c r="BP126" s="159"/>
      <c r="BQ126" s="159"/>
    </row>
    <row r="127" ht="18.75" customHeight="1">
      <c r="A127" s="159"/>
      <c r="B127" s="159"/>
      <c r="C127" s="159"/>
      <c r="D127" s="159"/>
      <c r="E127" s="159"/>
      <c r="F127" s="159"/>
      <c r="G127" s="159"/>
      <c r="H127" s="159"/>
      <c r="I127" s="159"/>
      <c r="J127" s="542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59"/>
      <c r="AY127" s="159"/>
      <c r="AZ127" s="159"/>
      <c r="BA127" s="159"/>
      <c r="BB127" s="159"/>
      <c r="BC127" s="159"/>
      <c r="BD127" s="159"/>
      <c r="BE127" s="159"/>
      <c r="BF127" s="159"/>
      <c r="BG127" s="568"/>
      <c r="BH127" s="568"/>
      <c r="BI127" s="537"/>
      <c r="BJ127" s="553"/>
      <c r="BK127" s="564"/>
      <c r="BL127" s="569"/>
      <c r="BM127" s="159"/>
      <c r="BN127" s="159"/>
      <c r="BO127" s="159"/>
      <c r="BP127" s="159"/>
      <c r="BQ127" s="159"/>
    </row>
    <row r="128" ht="18.75" customHeight="1">
      <c r="A128" s="159"/>
      <c r="B128" s="159"/>
      <c r="C128" s="159"/>
      <c r="D128" s="159"/>
      <c r="E128" s="159"/>
      <c r="F128" s="159"/>
      <c r="G128" s="159"/>
      <c r="H128" s="159"/>
      <c r="I128" s="159"/>
      <c r="J128" s="542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159"/>
      <c r="AY128" s="159"/>
      <c r="AZ128" s="159"/>
      <c r="BA128" s="159"/>
      <c r="BB128" s="159"/>
      <c r="BC128" s="159"/>
      <c r="BD128" s="159"/>
      <c r="BE128" s="159"/>
      <c r="BF128" s="159"/>
      <c r="BG128" s="568"/>
      <c r="BH128" s="568"/>
      <c r="BI128" s="537"/>
      <c r="BJ128" s="553"/>
      <c r="BK128" s="564"/>
      <c r="BL128" s="569"/>
      <c r="BM128" s="159"/>
      <c r="BN128" s="159"/>
      <c r="BO128" s="159"/>
      <c r="BP128" s="159"/>
      <c r="BQ128" s="159"/>
    </row>
    <row r="129" ht="18.75" customHeight="1">
      <c r="A129" s="159"/>
      <c r="B129" s="159"/>
      <c r="C129" s="159"/>
      <c r="D129" s="159"/>
      <c r="E129" s="159"/>
      <c r="F129" s="159"/>
      <c r="G129" s="159"/>
      <c r="H129" s="159"/>
      <c r="I129" s="159"/>
      <c r="J129" s="542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59"/>
      <c r="BF129" s="159"/>
      <c r="BG129" s="568"/>
      <c r="BH129" s="568"/>
      <c r="BI129" s="537"/>
      <c r="BJ129" s="553"/>
      <c r="BK129" s="564"/>
      <c r="BL129" s="569"/>
      <c r="BM129" s="159"/>
      <c r="BN129" s="159"/>
      <c r="BO129" s="159"/>
      <c r="BP129" s="159"/>
      <c r="BQ129" s="159"/>
    </row>
    <row r="130" ht="18.75" customHeight="1">
      <c r="A130" s="159"/>
      <c r="B130" s="159"/>
      <c r="C130" s="159"/>
      <c r="D130" s="159"/>
      <c r="E130" s="159"/>
      <c r="F130" s="159"/>
      <c r="G130" s="159"/>
      <c r="H130" s="159"/>
      <c r="I130" s="159"/>
      <c r="J130" s="542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159"/>
      <c r="AY130" s="159"/>
      <c r="AZ130" s="159"/>
      <c r="BA130" s="159"/>
      <c r="BB130" s="159"/>
      <c r="BC130" s="159"/>
      <c r="BD130" s="159"/>
      <c r="BE130" s="159"/>
      <c r="BF130" s="159"/>
      <c r="BG130" s="568"/>
      <c r="BH130" s="568"/>
      <c r="BI130" s="537"/>
      <c r="BJ130" s="553"/>
      <c r="BK130" s="564"/>
      <c r="BL130" s="569"/>
      <c r="BM130" s="159"/>
      <c r="BN130" s="159"/>
      <c r="BO130" s="159"/>
      <c r="BP130" s="159"/>
      <c r="BQ130" s="159"/>
    </row>
    <row r="131" ht="18.75" customHeight="1">
      <c r="A131" s="159"/>
      <c r="B131" s="159"/>
      <c r="C131" s="159"/>
      <c r="D131" s="159"/>
      <c r="E131" s="159"/>
      <c r="F131" s="159"/>
      <c r="G131" s="159"/>
      <c r="H131" s="159"/>
      <c r="I131" s="159"/>
      <c r="J131" s="542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159"/>
      <c r="AY131" s="159"/>
      <c r="AZ131" s="159"/>
      <c r="BA131" s="159"/>
      <c r="BB131" s="159"/>
      <c r="BC131" s="159"/>
      <c r="BD131" s="159"/>
      <c r="BE131" s="159"/>
      <c r="BF131" s="159"/>
      <c r="BG131" s="568"/>
      <c r="BH131" s="568"/>
      <c r="BI131" s="537"/>
      <c r="BJ131" s="553"/>
      <c r="BK131" s="564"/>
      <c r="BL131" s="569"/>
      <c r="BM131" s="159"/>
      <c r="BN131" s="159"/>
      <c r="BO131" s="159"/>
      <c r="BP131" s="159"/>
      <c r="BQ131" s="159"/>
    </row>
    <row r="132" ht="18.75" customHeight="1">
      <c r="A132" s="159"/>
      <c r="B132" s="159"/>
      <c r="C132" s="159"/>
      <c r="D132" s="159"/>
      <c r="E132" s="159"/>
      <c r="F132" s="159"/>
      <c r="G132" s="159"/>
      <c r="H132" s="159"/>
      <c r="I132" s="159"/>
      <c r="J132" s="542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159"/>
      <c r="AY132" s="159"/>
      <c r="AZ132" s="159"/>
      <c r="BA132" s="159"/>
      <c r="BB132" s="159"/>
      <c r="BC132" s="159"/>
      <c r="BD132" s="159"/>
      <c r="BE132" s="159"/>
      <c r="BF132" s="159"/>
      <c r="BG132" s="568"/>
      <c r="BH132" s="568"/>
      <c r="BI132" s="537"/>
      <c r="BJ132" s="553"/>
      <c r="BK132" s="564"/>
      <c r="BL132" s="569"/>
      <c r="BM132" s="159"/>
      <c r="BN132" s="159"/>
      <c r="BO132" s="159"/>
      <c r="BP132" s="159"/>
      <c r="BQ132" s="159"/>
    </row>
    <row r="133" ht="18.75" customHeight="1">
      <c r="A133" s="159"/>
      <c r="B133" s="159"/>
      <c r="C133" s="159"/>
      <c r="D133" s="159"/>
      <c r="E133" s="159"/>
      <c r="F133" s="159"/>
      <c r="G133" s="159"/>
      <c r="H133" s="159"/>
      <c r="I133" s="159"/>
      <c r="J133" s="542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159"/>
      <c r="AY133" s="159"/>
      <c r="AZ133" s="159"/>
      <c r="BA133" s="159"/>
      <c r="BB133" s="159"/>
      <c r="BC133" s="159"/>
      <c r="BD133" s="159"/>
      <c r="BE133" s="159"/>
      <c r="BF133" s="159"/>
      <c r="BG133" s="568"/>
      <c r="BH133" s="568"/>
      <c r="BI133" s="537"/>
      <c r="BJ133" s="553"/>
      <c r="BK133" s="564"/>
      <c r="BL133" s="569"/>
      <c r="BM133" s="159"/>
      <c r="BN133" s="159"/>
      <c r="BO133" s="159"/>
      <c r="BP133" s="159"/>
      <c r="BQ133" s="159"/>
    </row>
    <row r="134" ht="18.75" customHeight="1">
      <c r="A134" s="159"/>
      <c r="B134" s="159"/>
      <c r="C134" s="159"/>
      <c r="D134" s="159"/>
      <c r="E134" s="159"/>
      <c r="F134" s="159"/>
      <c r="G134" s="159"/>
      <c r="H134" s="159"/>
      <c r="I134" s="159"/>
      <c r="J134" s="542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159"/>
      <c r="AY134" s="159"/>
      <c r="AZ134" s="159"/>
      <c r="BA134" s="159"/>
      <c r="BB134" s="159"/>
      <c r="BC134" s="159"/>
      <c r="BD134" s="159"/>
      <c r="BE134" s="159"/>
      <c r="BF134" s="159"/>
      <c r="BG134" s="568"/>
      <c r="BH134" s="568"/>
      <c r="BI134" s="537"/>
      <c r="BJ134" s="553"/>
      <c r="BK134" s="564"/>
      <c r="BL134" s="569"/>
      <c r="BM134" s="159"/>
      <c r="BN134" s="159"/>
      <c r="BO134" s="159"/>
      <c r="BP134" s="159"/>
      <c r="BQ134" s="159"/>
    </row>
    <row r="135" ht="18.75" customHeight="1">
      <c r="A135" s="159"/>
      <c r="B135" s="159"/>
      <c r="C135" s="159"/>
      <c r="D135" s="159"/>
      <c r="E135" s="159"/>
      <c r="F135" s="159"/>
      <c r="G135" s="159"/>
      <c r="H135" s="159"/>
      <c r="I135" s="159"/>
      <c r="J135" s="542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159"/>
      <c r="BF135" s="159"/>
      <c r="BG135" s="568"/>
      <c r="BH135" s="568"/>
      <c r="BI135" s="537"/>
      <c r="BJ135" s="553"/>
      <c r="BK135" s="564"/>
      <c r="BL135" s="569"/>
      <c r="BM135" s="159"/>
      <c r="BN135" s="159"/>
      <c r="BO135" s="159"/>
      <c r="BP135" s="159"/>
      <c r="BQ135" s="159"/>
    </row>
    <row r="136" ht="18.75" customHeight="1">
      <c r="A136" s="159"/>
      <c r="B136" s="159"/>
      <c r="C136" s="159"/>
      <c r="D136" s="159"/>
      <c r="E136" s="159"/>
      <c r="F136" s="159"/>
      <c r="G136" s="159"/>
      <c r="H136" s="159"/>
      <c r="I136" s="159"/>
      <c r="J136" s="542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159"/>
      <c r="AY136" s="159"/>
      <c r="AZ136" s="159"/>
      <c r="BA136" s="159"/>
      <c r="BB136" s="159"/>
      <c r="BC136" s="159"/>
      <c r="BD136" s="159"/>
      <c r="BE136" s="159"/>
      <c r="BF136" s="159"/>
      <c r="BG136" s="568"/>
      <c r="BH136" s="568"/>
      <c r="BI136" s="537"/>
      <c r="BJ136" s="553"/>
      <c r="BK136" s="564"/>
      <c r="BL136" s="569"/>
      <c r="BM136" s="159"/>
      <c r="BN136" s="159"/>
      <c r="BO136" s="159"/>
      <c r="BP136" s="159"/>
      <c r="BQ136" s="159"/>
    </row>
    <row r="137" ht="18.75" customHeight="1">
      <c r="A137" s="159"/>
      <c r="B137" s="159"/>
      <c r="C137" s="159"/>
      <c r="D137" s="159"/>
      <c r="E137" s="159"/>
      <c r="F137" s="159"/>
      <c r="G137" s="159"/>
      <c r="H137" s="159"/>
      <c r="I137" s="159"/>
      <c r="J137" s="542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/>
      <c r="BB137" s="159"/>
      <c r="BC137" s="159"/>
      <c r="BD137" s="159"/>
      <c r="BE137" s="159"/>
      <c r="BF137" s="159"/>
      <c r="BG137" s="568"/>
      <c r="BH137" s="568"/>
      <c r="BI137" s="537"/>
      <c r="BJ137" s="553"/>
      <c r="BK137" s="564"/>
      <c r="BL137" s="569"/>
      <c r="BM137" s="159"/>
      <c r="BN137" s="159"/>
      <c r="BO137" s="159"/>
      <c r="BP137" s="159"/>
      <c r="BQ137" s="159"/>
    </row>
    <row r="138" ht="18.75" customHeight="1">
      <c r="A138" s="159"/>
      <c r="B138" s="159"/>
      <c r="C138" s="159"/>
      <c r="D138" s="159"/>
      <c r="E138" s="159"/>
      <c r="F138" s="159"/>
      <c r="G138" s="159"/>
      <c r="H138" s="159"/>
      <c r="I138" s="159"/>
      <c r="J138" s="542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159"/>
      <c r="AY138" s="159"/>
      <c r="AZ138" s="159"/>
      <c r="BA138" s="159"/>
      <c r="BB138" s="159"/>
      <c r="BC138" s="159"/>
      <c r="BD138" s="159"/>
      <c r="BE138" s="159"/>
      <c r="BF138" s="159"/>
      <c r="BG138" s="568"/>
      <c r="BH138" s="568"/>
      <c r="BI138" s="537"/>
      <c r="BJ138" s="553"/>
      <c r="BK138" s="564"/>
      <c r="BL138" s="569"/>
      <c r="BM138" s="159"/>
      <c r="BN138" s="159"/>
      <c r="BO138" s="159"/>
      <c r="BP138" s="159"/>
      <c r="BQ138" s="159"/>
    </row>
    <row r="139" ht="18.75" customHeight="1">
      <c r="A139" s="159"/>
      <c r="B139" s="159"/>
      <c r="C139" s="159"/>
      <c r="D139" s="159"/>
      <c r="E139" s="159"/>
      <c r="F139" s="159"/>
      <c r="G139" s="159"/>
      <c r="H139" s="159"/>
      <c r="I139" s="159"/>
      <c r="J139" s="542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159"/>
      <c r="AY139" s="159"/>
      <c r="AZ139" s="159"/>
      <c r="BA139" s="159"/>
      <c r="BB139" s="159"/>
      <c r="BC139" s="159"/>
      <c r="BD139" s="159"/>
      <c r="BE139" s="159"/>
      <c r="BF139" s="159"/>
      <c r="BG139" s="568"/>
      <c r="BH139" s="568"/>
      <c r="BI139" s="537"/>
      <c r="BJ139" s="553"/>
      <c r="BK139" s="564"/>
      <c r="BL139" s="569"/>
      <c r="BM139" s="159"/>
      <c r="BN139" s="159"/>
      <c r="BO139" s="159"/>
      <c r="BP139" s="159"/>
      <c r="BQ139" s="159"/>
    </row>
    <row r="140" ht="18.75" customHeight="1">
      <c r="A140" s="159"/>
      <c r="B140" s="159"/>
      <c r="C140" s="159"/>
      <c r="D140" s="159"/>
      <c r="E140" s="159"/>
      <c r="F140" s="159"/>
      <c r="G140" s="159"/>
      <c r="H140" s="159"/>
      <c r="I140" s="159"/>
      <c r="J140" s="542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159"/>
      <c r="AY140" s="159"/>
      <c r="AZ140" s="159"/>
      <c r="BA140" s="159"/>
      <c r="BB140" s="159"/>
      <c r="BC140" s="159"/>
      <c r="BD140" s="159"/>
      <c r="BE140" s="159"/>
      <c r="BF140" s="159"/>
      <c r="BG140" s="568"/>
      <c r="BH140" s="568"/>
      <c r="BI140" s="537"/>
      <c r="BJ140" s="553"/>
      <c r="BK140" s="564"/>
      <c r="BL140" s="569"/>
      <c r="BM140" s="159"/>
      <c r="BN140" s="159"/>
      <c r="BO140" s="159"/>
      <c r="BP140" s="159"/>
      <c r="BQ140" s="159"/>
    </row>
    <row r="141" ht="18.75" customHeight="1">
      <c r="A141" s="159"/>
      <c r="B141" s="159"/>
      <c r="C141" s="159"/>
      <c r="D141" s="159"/>
      <c r="E141" s="159"/>
      <c r="F141" s="159"/>
      <c r="G141" s="159"/>
      <c r="H141" s="159"/>
      <c r="I141" s="159"/>
      <c r="J141" s="542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/>
      <c r="BB141" s="159"/>
      <c r="BC141" s="159"/>
      <c r="BD141" s="159"/>
      <c r="BE141" s="159"/>
      <c r="BF141" s="159"/>
      <c r="BG141" s="568"/>
      <c r="BH141" s="568"/>
      <c r="BI141" s="537"/>
      <c r="BJ141" s="553"/>
      <c r="BK141" s="564"/>
      <c r="BL141" s="569"/>
      <c r="BM141" s="159"/>
      <c r="BN141" s="159"/>
      <c r="BO141" s="159"/>
      <c r="BP141" s="159"/>
      <c r="BQ141" s="159"/>
    </row>
    <row r="142" ht="18.75" customHeight="1">
      <c r="A142" s="159"/>
      <c r="B142" s="159"/>
      <c r="C142" s="159"/>
      <c r="D142" s="159"/>
      <c r="E142" s="159"/>
      <c r="F142" s="159"/>
      <c r="G142" s="159"/>
      <c r="H142" s="159"/>
      <c r="I142" s="159"/>
      <c r="J142" s="542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159"/>
      <c r="AY142" s="159"/>
      <c r="AZ142" s="159"/>
      <c r="BA142" s="159"/>
      <c r="BB142" s="159"/>
      <c r="BC142" s="159"/>
      <c r="BD142" s="159"/>
      <c r="BE142" s="159"/>
      <c r="BF142" s="159"/>
      <c r="BG142" s="568"/>
      <c r="BH142" s="568"/>
      <c r="BI142" s="537"/>
      <c r="BJ142" s="553"/>
      <c r="BK142" s="564"/>
      <c r="BL142" s="569"/>
      <c r="BM142" s="159"/>
      <c r="BN142" s="159"/>
      <c r="BO142" s="159"/>
      <c r="BP142" s="159"/>
      <c r="BQ142" s="159"/>
    </row>
    <row r="143" ht="18.75" customHeight="1">
      <c r="A143" s="159"/>
      <c r="B143" s="159"/>
      <c r="C143" s="159"/>
      <c r="D143" s="159"/>
      <c r="E143" s="159"/>
      <c r="F143" s="159"/>
      <c r="G143" s="159"/>
      <c r="H143" s="159"/>
      <c r="I143" s="159"/>
      <c r="J143" s="542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568"/>
      <c r="BH143" s="568"/>
      <c r="BI143" s="537"/>
      <c r="BJ143" s="553"/>
      <c r="BK143" s="564"/>
      <c r="BL143" s="569"/>
      <c r="BM143" s="159"/>
      <c r="BN143" s="159"/>
      <c r="BO143" s="159"/>
      <c r="BP143" s="159"/>
      <c r="BQ143" s="159"/>
    </row>
    <row r="144" ht="18.75" customHeight="1">
      <c r="A144" s="159"/>
      <c r="B144" s="159"/>
      <c r="C144" s="159"/>
      <c r="D144" s="159"/>
      <c r="E144" s="159"/>
      <c r="F144" s="159"/>
      <c r="G144" s="159"/>
      <c r="H144" s="159"/>
      <c r="I144" s="159"/>
      <c r="J144" s="542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159"/>
      <c r="AY144" s="159"/>
      <c r="AZ144" s="159"/>
      <c r="BA144" s="159"/>
      <c r="BB144" s="159"/>
      <c r="BC144" s="159"/>
      <c r="BD144" s="159"/>
      <c r="BE144" s="159"/>
      <c r="BF144" s="159"/>
      <c r="BG144" s="568"/>
      <c r="BH144" s="568"/>
      <c r="BI144" s="537"/>
      <c r="BJ144" s="553"/>
      <c r="BK144" s="564"/>
      <c r="BL144" s="569"/>
      <c r="BM144" s="159"/>
      <c r="BN144" s="159"/>
      <c r="BO144" s="159"/>
      <c r="BP144" s="159"/>
      <c r="BQ144" s="159"/>
    </row>
    <row r="145" ht="18.75" customHeight="1">
      <c r="A145" s="159"/>
      <c r="B145" s="159"/>
      <c r="C145" s="159"/>
      <c r="D145" s="159"/>
      <c r="E145" s="159"/>
      <c r="F145" s="159"/>
      <c r="G145" s="159"/>
      <c r="H145" s="159"/>
      <c r="I145" s="159"/>
      <c r="J145" s="542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159"/>
      <c r="BB145" s="159"/>
      <c r="BC145" s="159"/>
      <c r="BD145" s="159"/>
      <c r="BE145" s="159"/>
      <c r="BF145" s="159"/>
      <c r="BG145" s="568"/>
      <c r="BH145" s="568"/>
      <c r="BI145" s="537"/>
      <c r="BJ145" s="553"/>
      <c r="BK145" s="564"/>
      <c r="BL145" s="569"/>
      <c r="BM145" s="159"/>
      <c r="BN145" s="159"/>
      <c r="BO145" s="159"/>
      <c r="BP145" s="159"/>
      <c r="BQ145" s="159"/>
    </row>
    <row r="146" ht="18.75" customHeight="1">
      <c r="A146" s="159"/>
      <c r="B146" s="159"/>
      <c r="C146" s="159"/>
      <c r="D146" s="159"/>
      <c r="E146" s="159"/>
      <c r="F146" s="159"/>
      <c r="G146" s="159"/>
      <c r="H146" s="159"/>
      <c r="I146" s="159"/>
      <c r="J146" s="542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159"/>
      <c r="AY146" s="159"/>
      <c r="AZ146" s="159"/>
      <c r="BA146" s="159"/>
      <c r="BB146" s="159"/>
      <c r="BC146" s="159"/>
      <c r="BD146" s="159"/>
      <c r="BE146" s="159"/>
      <c r="BF146" s="159"/>
      <c r="BG146" s="568"/>
      <c r="BH146" s="568"/>
      <c r="BI146" s="537"/>
      <c r="BJ146" s="553"/>
      <c r="BK146" s="564"/>
      <c r="BL146" s="569"/>
      <c r="BM146" s="159"/>
      <c r="BN146" s="159"/>
      <c r="BO146" s="159"/>
      <c r="BP146" s="159"/>
      <c r="BQ146" s="159"/>
    </row>
    <row r="147" ht="18.75" customHeight="1">
      <c r="A147" s="159"/>
      <c r="B147" s="159"/>
      <c r="C147" s="159"/>
      <c r="D147" s="159"/>
      <c r="E147" s="159"/>
      <c r="F147" s="159"/>
      <c r="G147" s="159"/>
      <c r="H147" s="159"/>
      <c r="I147" s="159"/>
      <c r="J147" s="542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/>
      <c r="BC147" s="159"/>
      <c r="BD147" s="159"/>
      <c r="BE147" s="159"/>
      <c r="BF147" s="159"/>
      <c r="BG147" s="568"/>
      <c r="BH147" s="568"/>
      <c r="BI147" s="537"/>
      <c r="BJ147" s="553"/>
      <c r="BK147" s="564"/>
      <c r="BL147" s="569"/>
      <c r="BM147" s="159"/>
      <c r="BN147" s="159"/>
      <c r="BO147" s="159"/>
      <c r="BP147" s="159"/>
      <c r="BQ147" s="159"/>
    </row>
    <row r="148" ht="18.75" customHeight="1">
      <c r="A148" s="159"/>
      <c r="B148" s="159"/>
      <c r="C148" s="159"/>
      <c r="D148" s="159"/>
      <c r="E148" s="159"/>
      <c r="F148" s="159"/>
      <c r="G148" s="159"/>
      <c r="H148" s="159"/>
      <c r="I148" s="159"/>
      <c r="J148" s="542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159"/>
      <c r="AY148" s="159"/>
      <c r="AZ148" s="159"/>
      <c r="BA148" s="159"/>
      <c r="BB148" s="159"/>
      <c r="BC148" s="159"/>
      <c r="BD148" s="159"/>
      <c r="BE148" s="159"/>
      <c r="BF148" s="159"/>
      <c r="BG148" s="568"/>
      <c r="BH148" s="568"/>
      <c r="BI148" s="537"/>
      <c r="BJ148" s="553"/>
      <c r="BK148" s="564"/>
      <c r="BL148" s="569"/>
      <c r="BM148" s="159"/>
      <c r="BN148" s="159"/>
      <c r="BO148" s="159"/>
      <c r="BP148" s="159"/>
      <c r="BQ148" s="159"/>
    </row>
    <row r="149" ht="18.75" customHeight="1">
      <c r="A149" s="159"/>
      <c r="B149" s="159"/>
      <c r="C149" s="159"/>
      <c r="D149" s="159"/>
      <c r="E149" s="159"/>
      <c r="F149" s="159"/>
      <c r="G149" s="159"/>
      <c r="H149" s="159"/>
      <c r="I149" s="159"/>
      <c r="J149" s="542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159"/>
      <c r="AY149" s="159"/>
      <c r="AZ149" s="159"/>
      <c r="BA149" s="159"/>
      <c r="BB149" s="159"/>
      <c r="BC149" s="159"/>
      <c r="BD149" s="159"/>
      <c r="BE149" s="159"/>
      <c r="BF149" s="159"/>
      <c r="BG149" s="568"/>
      <c r="BH149" s="568"/>
      <c r="BI149" s="537"/>
      <c r="BJ149" s="553"/>
      <c r="BK149" s="564"/>
      <c r="BL149" s="569"/>
      <c r="BM149" s="159"/>
      <c r="BN149" s="159"/>
      <c r="BO149" s="159"/>
      <c r="BP149" s="159"/>
      <c r="BQ149" s="159"/>
    </row>
    <row r="150" ht="18.75" customHeight="1">
      <c r="A150" s="159"/>
      <c r="B150" s="159"/>
      <c r="C150" s="159"/>
      <c r="D150" s="159"/>
      <c r="E150" s="159"/>
      <c r="F150" s="159"/>
      <c r="G150" s="159"/>
      <c r="H150" s="159"/>
      <c r="I150" s="159"/>
      <c r="J150" s="542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159"/>
      <c r="AY150" s="159"/>
      <c r="AZ150" s="159"/>
      <c r="BA150" s="159"/>
      <c r="BB150" s="159"/>
      <c r="BC150" s="159"/>
      <c r="BD150" s="159"/>
      <c r="BE150" s="159"/>
      <c r="BF150" s="159"/>
      <c r="BG150" s="568"/>
      <c r="BH150" s="568"/>
      <c r="BI150" s="537"/>
      <c r="BJ150" s="553"/>
      <c r="BK150" s="564"/>
      <c r="BL150" s="569"/>
      <c r="BM150" s="159"/>
      <c r="BN150" s="159"/>
      <c r="BO150" s="159"/>
      <c r="BP150" s="159"/>
      <c r="BQ150" s="159"/>
    </row>
    <row r="151" ht="18.75" customHeight="1">
      <c r="A151" s="159"/>
      <c r="B151" s="159"/>
      <c r="C151" s="159"/>
      <c r="D151" s="159"/>
      <c r="E151" s="159"/>
      <c r="F151" s="159"/>
      <c r="G151" s="159"/>
      <c r="H151" s="159"/>
      <c r="I151" s="159"/>
      <c r="J151" s="542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159"/>
      <c r="AY151" s="159"/>
      <c r="AZ151" s="159"/>
      <c r="BA151" s="159"/>
      <c r="BB151" s="159"/>
      <c r="BC151" s="159"/>
      <c r="BD151" s="159"/>
      <c r="BE151" s="159"/>
      <c r="BF151" s="159"/>
      <c r="BG151" s="568"/>
      <c r="BH151" s="568"/>
      <c r="BI151" s="537"/>
      <c r="BJ151" s="553"/>
      <c r="BK151" s="564"/>
      <c r="BL151" s="569"/>
      <c r="BM151" s="159"/>
      <c r="BN151" s="159"/>
      <c r="BO151" s="159"/>
      <c r="BP151" s="159"/>
      <c r="BQ151" s="159"/>
    </row>
    <row r="152" ht="18.75" customHeight="1">
      <c r="A152" s="159"/>
      <c r="B152" s="159"/>
      <c r="C152" s="159"/>
      <c r="D152" s="159"/>
      <c r="E152" s="159"/>
      <c r="F152" s="159"/>
      <c r="G152" s="159"/>
      <c r="H152" s="159"/>
      <c r="I152" s="159"/>
      <c r="J152" s="542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159"/>
      <c r="AY152" s="159"/>
      <c r="AZ152" s="159"/>
      <c r="BA152" s="159"/>
      <c r="BB152" s="159"/>
      <c r="BC152" s="159"/>
      <c r="BD152" s="159"/>
      <c r="BE152" s="159"/>
      <c r="BF152" s="159"/>
      <c r="BG152" s="568"/>
      <c r="BH152" s="568"/>
      <c r="BI152" s="537"/>
      <c r="BJ152" s="553"/>
      <c r="BK152" s="564"/>
      <c r="BL152" s="569"/>
      <c r="BM152" s="159"/>
      <c r="BN152" s="159"/>
      <c r="BO152" s="159"/>
      <c r="BP152" s="159"/>
      <c r="BQ152" s="159"/>
    </row>
    <row r="153" ht="18.75" customHeight="1">
      <c r="A153" s="159"/>
      <c r="B153" s="159"/>
      <c r="C153" s="159"/>
      <c r="D153" s="159"/>
      <c r="E153" s="159"/>
      <c r="F153" s="159"/>
      <c r="G153" s="159"/>
      <c r="H153" s="159"/>
      <c r="I153" s="159"/>
      <c r="J153" s="542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159"/>
      <c r="BF153" s="159"/>
      <c r="BG153" s="568"/>
      <c r="BH153" s="568"/>
      <c r="BI153" s="537"/>
      <c r="BJ153" s="553"/>
      <c r="BK153" s="564"/>
      <c r="BL153" s="569"/>
      <c r="BM153" s="159"/>
      <c r="BN153" s="159"/>
      <c r="BO153" s="159"/>
      <c r="BP153" s="159"/>
      <c r="BQ153" s="159"/>
    </row>
    <row r="154" ht="18.75" customHeight="1">
      <c r="A154" s="159"/>
      <c r="B154" s="159"/>
      <c r="C154" s="159"/>
      <c r="D154" s="159"/>
      <c r="E154" s="159"/>
      <c r="F154" s="159"/>
      <c r="G154" s="159"/>
      <c r="H154" s="159"/>
      <c r="I154" s="159"/>
      <c r="J154" s="542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159"/>
      <c r="AY154" s="159"/>
      <c r="AZ154" s="159"/>
      <c r="BA154" s="159"/>
      <c r="BB154" s="159"/>
      <c r="BC154" s="159"/>
      <c r="BD154" s="159"/>
      <c r="BE154" s="159"/>
      <c r="BF154" s="159"/>
      <c r="BG154" s="568"/>
      <c r="BH154" s="568"/>
      <c r="BI154" s="537"/>
      <c r="BJ154" s="553"/>
      <c r="BK154" s="564"/>
      <c r="BL154" s="569"/>
      <c r="BM154" s="159"/>
      <c r="BN154" s="159"/>
      <c r="BO154" s="159"/>
      <c r="BP154" s="159"/>
      <c r="BQ154" s="159"/>
    </row>
    <row r="155" ht="18.75" customHeight="1">
      <c r="A155" s="159"/>
      <c r="B155" s="159"/>
      <c r="C155" s="159"/>
      <c r="D155" s="159"/>
      <c r="E155" s="159"/>
      <c r="F155" s="159"/>
      <c r="G155" s="159"/>
      <c r="H155" s="159"/>
      <c r="I155" s="159"/>
      <c r="J155" s="542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159"/>
      <c r="AY155" s="159"/>
      <c r="AZ155" s="159"/>
      <c r="BA155" s="159"/>
      <c r="BB155" s="159"/>
      <c r="BC155" s="159"/>
      <c r="BD155" s="159"/>
      <c r="BE155" s="159"/>
      <c r="BF155" s="159"/>
      <c r="BG155" s="568"/>
      <c r="BH155" s="568"/>
      <c r="BI155" s="537"/>
      <c r="BJ155" s="553"/>
      <c r="BK155" s="564"/>
      <c r="BL155" s="569"/>
      <c r="BM155" s="159"/>
      <c r="BN155" s="159"/>
      <c r="BO155" s="159"/>
      <c r="BP155" s="159"/>
      <c r="BQ155" s="159"/>
    </row>
    <row r="156" ht="18.75" customHeight="1">
      <c r="A156" s="159"/>
      <c r="B156" s="159"/>
      <c r="C156" s="159"/>
      <c r="D156" s="159"/>
      <c r="E156" s="159"/>
      <c r="F156" s="159"/>
      <c r="G156" s="159"/>
      <c r="H156" s="159"/>
      <c r="I156" s="159"/>
      <c r="J156" s="542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159"/>
      <c r="AY156" s="159"/>
      <c r="AZ156" s="159"/>
      <c r="BA156" s="159"/>
      <c r="BB156" s="159"/>
      <c r="BC156" s="159"/>
      <c r="BD156" s="159"/>
      <c r="BE156" s="159"/>
      <c r="BF156" s="159"/>
      <c r="BG156" s="568"/>
      <c r="BH156" s="568"/>
      <c r="BI156" s="537"/>
      <c r="BJ156" s="553"/>
      <c r="BK156" s="564"/>
      <c r="BL156" s="569"/>
      <c r="BM156" s="159"/>
      <c r="BN156" s="159"/>
      <c r="BO156" s="159"/>
      <c r="BP156" s="159"/>
      <c r="BQ156" s="159"/>
    </row>
    <row r="157" ht="18.75" customHeight="1">
      <c r="A157" s="159"/>
      <c r="B157" s="159"/>
      <c r="C157" s="159"/>
      <c r="D157" s="159"/>
      <c r="E157" s="159"/>
      <c r="F157" s="159"/>
      <c r="G157" s="159"/>
      <c r="H157" s="159"/>
      <c r="I157" s="159"/>
      <c r="J157" s="542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159"/>
      <c r="BF157" s="159"/>
      <c r="BG157" s="568"/>
      <c r="BH157" s="568"/>
      <c r="BI157" s="537"/>
      <c r="BJ157" s="553"/>
      <c r="BK157" s="564"/>
      <c r="BL157" s="569"/>
      <c r="BM157" s="159"/>
      <c r="BN157" s="159"/>
      <c r="BO157" s="159"/>
      <c r="BP157" s="159"/>
      <c r="BQ157" s="159"/>
    </row>
    <row r="158" ht="18.75" customHeight="1">
      <c r="A158" s="159"/>
      <c r="B158" s="159"/>
      <c r="C158" s="159"/>
      <c r="D158" s="159"/>
      <c r="E158" s="159"/>
      <c r="F158" s="159"/>
      <c r="G158" s="159"/>
      <c r="H158" s="159"/>
      <c r="I158" s="159"/>
      <c r="J158" s="542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159"/>
      <c r="AY158" s="159"/>
      <c r="AZ158" s="159"/>
      <c r="BA158" s="159"/>
      <c r="BB158" s="159"/>
      <c r="BC158" s="159"/>
      <c r="BD158" s="159"/>
      <c r="BE158" s="159"/>
      <c r="BF158" s="159"/>
      <c r="BG158" s="568"/>
      <c r="BH158" s="568"/>
      <c r="BI158" s="537"/>
      <c r="BJ158" s="553"/>
      <c r="BK158" s="564"/>
      <c r="BL158" s="569"/>
      <c r="BM158" s="159"/>
      <c r="BN158" s="159"/>
      <c r="BO158" s="159"/>
      <c r="BP158" s="159"/>
      <c r="BQ158" s="159"/>
    </row>
    <row r="159" ht="18.75" customHeight="1">
      <c r="A159" s="159"/>
      <c r="B159" s="159"/>
      <c r="C159" s="159"/>
      <c r="D159" s="159"/>
      <c r="E159" s="159"/>
      <c r="F159" s="159"/>
      <c r="G159" s="159"/>
      <c r="H159" s="159"/>
      <c r="I159" s="159"/>
      <c r="J159" s="542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159"/>
      <c r="AY159" s="159"/>
      <c r="AZ159" s="159"/>
      <c r="BA159" s="159"/>
      <c r="BB159" s="159"/>
      <c r="BC159" s="159"/>
      <c r="BD159" s="159"/>
      <c r="BE159" s="159"/>
      <c r="BF159" s="159"/>
      <c r="BG159" s="568"/>
      <c r="BH159" s="568"/>
      <c r="BI159" s="537"/>
      <c r="BJ159" s="553"/>
      <c r="BK159" s="564"/>
      <c r="BL159" s="569"/>
      <c r="BM159" s="159"/>
      <c r="BN159" s="159"/>
      <c r="BO159" s="159"/>
      <c r="BP159" s="159"/>
      <c r="BQ159" s="159"/>
    </row>
    <row r="160" ht="18.75" customHeight="1">
      <c r="A160" s="159"/>
      <c r="B160" s="159"/>
      <c r="C160" s="159"/>
      <c r="D160" s="159"/>
      <c r="E160" s="159"/>
      <c r="F160" s="159"/>
      <c r="G160" s="159"/>
      <c r="H160" s="159"/>
      <c r="I160" s="159"/>
      <c r="J160" s="542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159"/>
      <c r="AY160" s="159"/>
      <c r="AZ160" s="159"/>
      <c r="BA160" s="159"/>
      <c r="BB160" s="159"/>
      <c r="BC160" s="159"/>
      <c r="BD160" s="159"/>
      <c r="BE160" s="159"/>
      <c r="BF160" s="159"/>
      <c r="BG160" s="568"/>
      <c r="BH160" s="568"/>
      <c r="BI160" s="537"/>
      <c r="BJ160" s="553"/>
      <c r="BK160" s="564"/>
      <c r="BL160" s="569"/>
      <c r="BM160" s="159"/>
      <c r="BN160" s="159"/>
      <c r="BO160" s="159"/>
      <c r="BP160" s="159"/>
      <c r="BQ160" s="159"/>
    </row>
    <row r="161" ht="18.75" customHeight="1">
      <c r="A161" s="159"/>
      <c r="B161" s="159"/>
      <c r="C161" s="159"/>
      <c r="D161" s="159"/>
      <c r="E161" s="159"/>
      <c r="F161" s="159"/>
      <c r="G161" s="159"/>
      <c r="H161" s="159"/>
      <c r="I161" s="159"/>
      <c r="J161" s="542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159"/>
      <c r="AY161" s="159"/>
      <c r="AZ161" s="159"/>
      <c r="BA161" s="159"/>
      <c r="BB161" s="159"/>
      <c r="BC161" s="159"/>
      <c r="BD161" s="159"/>
      <c r="BE161" s="159"/>
      <c r="BF161" s="159"/>
      <c r="BG161" s="568"/>
      <c r="BH161" s="568"/>
      <c r="BI161" s="537"/>
      <c r="BJ161" s="553"/>
      <c r="BK161" s="564"/>
      <c r="BL161" s="569"/>
      <c r="BM161" s="159"/>
      <c r="BN161" s="159"/>
      <c r="BO161" s="159"/>
      <c r="BP161" s="159"/>
      <c r="BQ161" s="159"/>
    </row>
    <row r="162" ht="18.75" customHeight="1">
      <c r="A162" s="159"/>
      <c r="B162" s="159"/>
      <c r="C162" s="159"/>
      <c r="D162" s="159"/>
      <c r="E162" s="159"/>
      <c r="F162" s="159"/>
      <c r="G162" s="159"/>
      <c r="H162" s="159"/>
      <c r="I162" s="159"/>
      <c r="J162" s="542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159"/>
      <c r="AY162" s="159"/>
      <c r="AZ162" s="159"/>
      <c r="BA162" s="159"/>
      <c r="BB162" s="159"/>
      <c r="BC162" s="159"/>
      <c r="BD162" s="159"/>
      <c r="BE162" s="159"/>
      <c r="BF162" s="159"/>
      <c r="BG162" s="568"/>
      <c r="BH162" s="568"/>
      <c r="BI162" s="537"/>
      <c r="BJ162" s="553"/>
      <c r="BK162" s="564"/>
      <c r="BL162" s="569"/>
      <c r="BM162" s="159"/>
      <c r="BN162" s="159"/>
      <c r="BO162" s="159"/>
      <c r="BP162" s="159"/>
      <c r="BQ162" s="159"/>
    </row>
    <row r="163" ht="18.75" customHeight="1">
      <c r="A163" s="159"/>
      <c r="B163" s="159"/>
      <c r="C163" s="159"/>
      <c r="D163" s="159"/>
      <c r="E163" s="159"/>
      <c r="F163" s="159"/>
      <c r="G163" s="159"/>
      <c r="H163" s="159"/>
      <c r="I163" s="159"/>
      <c r="J163" s="542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159"/>
      <c r="BF163" s="159"/>
      <c r="BG163" s="568"/>
      <c r="BH163" s="568"/>
      <c r="BI163" s="537"/>
      <c r="BJ163" s="553"/>
      <c r="BK163" s="564"/>
      <c r="BL163" s="569"/>
      <c r="BM163" s="159"/>
      <c r="BN163" s="159"/>
      <c r="BO163" s="159"/>
      <c r="BP163" s="159"/>
      <c r="BQ163" s="159"/>
    </row>
    <row r="164" ht="18.75" customHeight="1">
      <c r="A164" s="159"/>
      <c r="B164" s="159"/>
      <c r="C164" s="159"/>
      <c r="D164" s="159"/>
      <c r="E164" s="159"/>
      <c r="F164" s="159"/>
      <c r="G164" s="159"/>
      <c r="H164" s="159"/>
      <c r="I164" s="159"/>
      <c r="J164" s="542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159"/>
      <c r="AY164" s="159"/>
      <c r="AZ164" s="159"/>
      <c r="BA164" s="159"/>
      <c r="BB164" s="159"/>
      <c r="BC164" s="159"/>
      <c r="BD164" s="159"/>
      <c r="BE164" s="159"/>
      <c r="BF164" s="159"/>
      <c r="BG164" s="568"/>
      <c r="BH164" s="568"/>
      <c r="BI164" s="537"/>
      <c r="BJ164" s="553"/>
      <c r="BK164" s="564"/>
      <c r="BL164" s="569"/>
      <c r="BM164" s="159"/>
      <c r="BN164" s="159"/>
      <c r="BO164" s="159"/>
      <c r="BP164" s="159"/>
      <c r="BQ164" s="159"/>
    </row>
    <row r="165" ht="18.75" customHeight="1">
      <c r="A165" s="159"/>
      <c r="B165" s="159"/>
      <c r="C165" s="159"/>
      <c r="D165" s="159"/>
      <c r="E165" s="159"/>
      <c r="F165" s="159"/>
      <c r="G165" s="159"/>
      <c r="H165" s="159"/>
      <c r="I165" s="159"/>
      <c r="J165" s="542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159"/>
      <c r="BF165" s="159"/>
      <c r="BG165" s="568"/>
      <c r="BH165" s="568"/>
      <c r="BI165" s="537"/>
      <c r="BJ165" s="553"/>
      <c r="BK165" s="564"/>
      <c r="BL165" s="569"/>
      <c r="BM165" s="159"/>
      <c r="BN165" s="159"/>
      <c r="BO165" s="159"/>
      <c r="BP165" s="159"/>
      <c r="BQ165" s="159"/>
    </row>
    <row r="166" ht="18.75" customHeight="1">
      <c r="A166" s="159"/>
      <c r="B166" s="159"/>
      <c r="C166" s="159"/>
      <c r="D166" s="159"/>
      <c r="E166" s="159"/>
      <c r="F166" s="159"/>
      <c r="G166" s="159"/>
      <c r="H166" s="159"/>
      <c r="I166" s="159"/>
      <c r="J166" s="542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159"/>
      <c r="AY166" s="159"/>
      <c r="AZ166" s="159"/>
      <c r="BA166" s="159"/>
      <c r="BB166" s="159"/>
      <c r="BC166" s="159"/>
      <c r="BD166" s="159"/>
      <c r="BE166" s="159"/>
      <c r="BF166" s="159"/>
      <c r="BG166" s="568"/>
      <c r="BH166" s="568"/>
      <c r="BI166" s="537"/>
      <c r="BJ166" s="553"/>
      <c r="BK166" s="564"/>
      <c r="BL166" s="569"/>
      <c r="BM166" s="159"/>
      <c r="BN166" s="159"/>
      <c r="BO166" s="159"/>
      <c r="BP166" s="159"/>
      <c r="BQ166" s="159"/>
    </row>
    <row r="167" ht="18.75" customHeight="1">
      <c r="A167" s="159"/>
      <c r="B167" s="159"/>
      <c r="C167" s="159"/>
      <c r="D167" s="159"/>
      <c r="E167" s="159"/>
      <c r="F167" s="159"/>
      <c r="G167" s="159"/>
      <c r="H167" s="159"/>
      <c r="I167" s="159"/>
      <c r="J167" s="542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159"/>
      <c r="AY167" s="159"/>
      <c r="AZ167" s="159"/>
      <c r="BA167" s="159"/>
      <c r="BB167" s="159"/>
      <c r="BC167" s="159"/>
      <c r="BD167" s="159"/>
      <c r="BE167" s="159"/>
      <c r="BF167" s="159"/>
      <c r="BG167" s="568"/>
      <c r="BH167" s="568"/>
      <c r="BI167" s="537"/>
      <c r="BJ167" s="553"/>
      <c r="BK167" s="564"/>
      <c r="BL167" s="569"/>
      <c r="BM167" s="159"/>
      <c r="BN167" s="159"/>
      <c r="BO167" s="159"/>
      <c r="BP167" s="159"/>
      <c r="BQ167" s="159"/>
    </row>
    <row r="168" ht="18.75" customHeight="1">
      <c r="A168" s="159"/>
      <c r="B168" s="159"/>
      <c r="C168" s="159"/>
      <c r="D168" s="159"/>
      <c r="E168" s="159"/>
      <c r="F168" s="159"/>
      <c r="G168" s="159"/>
      <c r="H168" s="159"/>
      <c r="I168" s="159"/>
      <c r="J168" s="542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159"/>
      <c r="AY168" s="159"/>
      <c r="AZ168" s="159"/>
      <c r="BA168" s="159"/>
      <c r="BB168" s="159"/>
      <c r="BC168" s="159"/>
      <c r="BD168" s="159"/>
      <c r="BE168" s="159"/>
      <c r="BF168" s="159"/>
      <c r="BG168" s="568"/>
      <c r="BH168" s="568"/>
      <c r="BI168" s="537"/>
      <c r="BJ168" s="553"/>
      <c r="BK168" s="564"/>
      <c r="BL168" s="569"/>
      <c r="BM168" s="159"/>
      <c r="BN168" s="159"/>
      <c r="BO168" s="159"/>
      <c r="BP168" s="159"/>
      <c r="BQ168" s="159"/>
    </row>
    <row r="169" ht="18.75" customHeight="1">
      <c r="A169" s="159"/>
      <c r="B169" s="159"/>
      <c r="C169" s="159"/>
      <c r="D169" s="159"/>
      <c r="E169" s="159"/>
      <c r="F169" s="159"/>
      <c r="G169" s="159"/>
      <c r="H169" s="159"/>
      <c r="I169" s="159"/>
      <c r="J169" s="542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/>
      <c r="BB169" s="159"/>
      <c r="BC169" s="159"/>
      <c r="BD169" s="159"/>
      <c r="BE169" s="159"/>
      <c r="BF169" s="159"/>
      <c r="BG169" s="568"/>
      <c r="BH169" s="568"/>
      <c r="BI169" s="537"/>
      <c r="BJ169" s="553"/>
      <c r="BK169" s="564"/>
      <c r="BL169" s="569"/>
      <c r="BM169" s="159"/>
      <c r="BN169" s="159"/>
      <c r="BO169" s="159"/>
      <c r="BP169" s="159"/>
      <c r="BQ169" s="159"/>
    </row>
    <row r="170" ht="18.75" customHeight="1">
      <c r="A170" s="159"/>
      <c r="B170" s="159"/>
      <c r="C170" s="159"/>
      <c r="D170" s="159"/>
      <c r="E170" s="159"/>
      <c r="F170" s="159"/>
      <c r="G170" s="159"/>
      <c r="H170" s="159"/>
      <c r="I170" s="159"/>
      <c r="J170" s="542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159"/>
      <c r="AY170" s="159"/>
      <c r="AZ170" s="159"/>
      <c r="BA170" s="159"/>
      <c r="BB170" s="159"/>
      <c r="BC170" s="159"/>
      <c r="BD170" s="159"/>
      <c r="BE170" s="159"/>
      <c r="BF170" s="159"/>
      <c r="BG170" s="568"/>
      <c r="BH170" s="568"/>
      <c r="BI170" s="537"/>
      <c r="BJ170" s="553"/>
      <c r="BK170" s="564"/>
      <c r="BL170" s="569"/>
      <c r="BM170" s="159"/>
      <c r="BN170" s="159"/>
      <c r="BO170" s="159"/>
      <c r="BP170" s="159"/>
      <c r="BQ170" s="159"/>
    </row>
    <row r="171" ht="18.75" customHeight="1">
      <c r="A171" s="159"/>
      <c r="B171" s="159"/>
      <c r="C171" s="159"/>
      <c r="D171" s="159"/>
      <c r="E171" s="159"/>
      <c r="F171" s="159"/>
      <c r="G171" s="159"/>
      <c r="H171" s="159"/>
      <c r="I171" s="159"/>
      <c r="J171" s="542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568"/>
      <c r="BH171" s="568"/>
      <c r="BI171" s="537"/>
      <c r="BJ171" s="553"/>
      <c r="BK171" s="564"/>
      <c r="BL171" s="569"/>
      <c r="BM171" s="159"/>
      <c r="BN171" s="159"/>
      <c r="BO171" s="159"/>
      <c r="BP171" s="159"/>
      <c r="BQ171" s="159"/>
    </row>
    <row r="172" ht="18.75" customHeight="1">
      <c r="A172" s="159"/>
      <c r="B172" s="159"/>
      <c r="C172" s="159"/>
      <c r="D172" s="159"/>
      <c r="E172" s="159"/>
      <c r="F172" s="159"/>
      <c r="G172" s="159"/>
      <c r="H172" s="159"/>
      <c r="I172" s="159"/>
      <c r="J172" s="542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159"/>
      <c r="AY172" s="159"/>
      <c r="AZ172" s="159"/>
      <c r="BA172" s="159"/>
      <c r="BB172" s="159"/>
      <c r="BC172" s="159"/>
      <c r="BD172" s="159"/>
      <c r="BE172" s="159"/>
      <c r="BF172" s="159"/>
      <c r="BG172" s="568"/>
      <c r="BH172" s="568"/>
      <c r="BI172" s="537"/>
      <c r="BJ172" s="553"/>
      <c r="BK172" s="564"/>
      <c r="BL172" s="569"/>
      <c r="BM172" s="159"/>
      <c r="BN172" s="159"/>
      <c r="BO172" s="159"/>
      <c r="BP172" s="159"/>
      <c r="BQ172" s="159"/>
    </row>
    <row r="173" ht="18.75" customHeight="1">
      <c r="A173" s="159"/>
      <c r="B173" s="159"/>
      <c r="C173" s="159"/>
      <c r="D173" s="159"/>
      <c r="E173" s="159"/>
      <c r="F173" s="159"/>
      <c r="G173" s="159"/>
      <c r="H173" s="159"/>
      <c r="I173" s="159"/>
      <c r="J173" s="542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159"/>
      <c r="BB173" s="159"/>
      <c r="BC173" s="159"/>
      <c r="BD173" s="159"/>
      <c r="BE173" s="159"/>
      <c r="BF173" s="159"/>
      <c r="BG173" s="568"/>
      <c r="BH173" s="568"/>
      <c r="BI173" s="537"/>
      <c r="BJ173" s="553"/>
      <c r="BK173" s="564"/>
      <c r="BL173" s="569"/>
      <c r="BM173" s="159"/>
      <c r="BN173" s="159"/>
      <c r="BO173" s="159"/>
      <c r="BP173" s="159"/>
      <c r="BQ173" s="159"/>
    </row>
    <row r="174" ht="18.75" customHeight="1">
      <c r="A174" s="159"/>
      <c r="B174" s="159"/>
      <c r="C174" s="159"/>
      <c r="D174" s="159"/>
      <c r="E174" s="159"/>
      <c r="F174" s="159"/>
      <c r="G174" s="159"/>
      <c r="H174" s="159"/>
      <c r="I174" s="159"/>
      <c r="J174" s="542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159"/>
      <c r="AY174" s="159"/>
      <c r="AZ174" s="159"/>
      <c r="BA174" s="159"/>
      <c r="BB174" s="159"/>
      <c r="BC174" s="159"/>
      <c r="BD174" s="159"/>
      <c r="BE174" s="159"/>
      <c r="BF174" s="159"/>
      <c r="BG174" s="568"/>
      <c r="BH174" s="568"/>
      <c r="BI174" s="537"/>
      <c r="BJ174" s="553"/>
      <c r="BK174" s="564"/>
      <c r="BL174" s="569"/>
      <c r="BM174" s="159"/>
      <c r="BN174" s="159"/>
      <c r="BO174" s="159"/>
      <c r="BP174" s="159"/>
      <c r="BQ174" s="159"/>
    </row>
    <row r="175" ht="18.75" customHeight="1">
      <c r="A175" s="159"/>
      <c r="B175" s="159"/>
      <c r="C175" s="159"/>
      <c r="D175" s="159"/>
      <c r="E175" s="159"/>
      <c r="F175" s="159"/>
      <c r="G175" s="159"/>
      <c r="H175" s="159"/>
      <c r="I175" s="159"/>
      <c r="J175" s="542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159"/>
      <c r="AY175" s="159"/>
      <c r="AZ175" s="159"/>
      <c r="BA175" s="159"/>
      <c r="BB175" s="159"/>
      <c r="BC175" s="159"/>
      <c r="BD175" s="159"/>
      <c r="BE175" s="159"/>
      <c r="BF175" s="159"/>
      <c r="BG175" s="568"/>
      <c r="BH175" s="568"/>
      <c r="BI175" s="537"/>
      <c r="BJ175" s="553"/>
      <c r="BK175" s="564"/>
      <c r="BL175" s="569"/>
      <c r="BM175" s="159"/>
      <c r="BN175" s="159"/>
      <c r="BO175" s="159"/>
      <c r="BP175" s="159"/>
      <c r="BQ175" s="159"/>
    </row>
    <row r="176" ht="18.75" customHeight="1">
      <c r="A176" s="159"/>
      <c r="B176" s="159"/>
      <c r="C176" s="159"/>
      <c r="D176" s="159"/>
      <c r="E176" s="159"/>
      <c r="F176" s="159"/>
      <c r="G176" s="159"/>
      <c r="H176" s="159"/>
      <c r="I176" s="159"/>
      <c r="J176" s="542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159"/>
      <c r="AY176" s="159"/>
      <c r="AZ176" s="159"/>
      <c r="BA176" s="159"/>
      <c r="BB176" s="159"/>
      <c r="BC176" s="159"/>
      <c r="BD176" s="159"/>
      <c r="BE176" s="159"/>
      <c r="BF176" s="159"/>
      <c r="BG176" s="568"/>
      <c r="BH176" s="568"/>
      <c r="BI176" s="537"/>
      <c r="BJ176" s="553"/>
      <c r="BK176" s="564"/>
      <c r="BL176" s="569"/>
      <c r="BM176" s="159"/>
      <c r="BN176" s="159"/>
      <c r="BO176" s="159"/>
      <c r="BP176" s="159"/>
      <c r="BQ176" s="159"/>
    </row>
    <row r="177" ht="18.75" customHeight="1">
      <c r="A177" s="159"/>
      <c r="B177" s="159"/>
      <c r="C177" s="159"/>
      <c r="D177" s="159"/>
      <c r="E177" s="159"/>
      <c r="F177" s="159"/>
      <c r="G177" s="159"/>
      <c r="H177" s="159"/>
      <c r="I177" s="159"/>
      <c r="J177" s="542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159"/>
      <c r="BB177" s="159"/>
      <c r="BC177" s="159"/>
      <c r="BD177" s="159"/>
      <c r="BE177" s="159"/>
      <c r="BF177" s="159"/>
      <c r="BG177" s="568"/>
      <c r="BH177" s="568"/>
      <c r="BI177" s="537"/>
      <c r="BJ177" s="553"/>
      <c r="BK177" s="564"/>
      <c r="BL177" s="569"/>
      <c r="BM177" s="159"/>
      <c r="BN177" s="159"/>
      <c r="BO177" s="159"/>
      <c r="BP177" s="159"/>
      <c r="BQ177" s="159"/>
    </row>
    <row r="178" ht="18.75" customHeight="1">
      <c r="A178" s="159"/>
      <c r="B178" s="159"/>
      <c r="C178" s="159"/>
      <c r="D178" s="159"/>
      <c r="E178" s="159"/>
      <c r="F178" s="159"/>
      <c r="G178" s="159"/>
      <c r="H178" s="159"/>
      <c r="I178" s="159"/>
      <c r="J178" s="542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159"/>
      <c r="AY178" s="159"/>
      <c r="AZ178" s="159"/>
      <c r="BA178" s="159"/>
      <c r="BB178" s="159"/>
      <c r="BC178" s="159"/>
      <c r="BD178" s="159"/>
      <c r="BE178" s="159"/>
      <c r="BF178" s="159"/>
      <c r="BG178" s="568"/>
      <c r="BH178" s="568"/>
      <c r="BI178" s="537"/>
      <c r="BJ178" s="553"/>
      <c r="BK178" s="564"/>
      <c r="BL178" s="569"/>
      <c r="BM178" s="159"/>
      <c r="BN178" s="159"/>
      <c r="BO178" s="159"/>
      <c r="BP178" s="159"/>
      <c r="BQ178" s="159"/>
    </row>
    <row r="179" ht="18.75" customHeight="1">
      <c r="A179" s="159"/>
      <c r="B179" s="159"/>
      <c r="C179" s="159"/>
      <c r="D179" s="159"/>
      <c r="E179" s="159"/>
      <c r="F179" s="159"/>
      <c r="G179" s="159"/>
      <c r="H179" s="159"/>
      <c r="I179" s="159"/>
      <c r="J179" s="542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159"/>
      <c r="BB179" s="159"/>
      <c r="BC179" s="159"/>
      <c r="BD179" s="159"/>
      <c r="BE179" s="159"/>
      <c r="BF179" s="159"/>
      <c r="BG179" s="568"/>
      <c r="BH179" s="568"/>
      <c r="BI179" s="537"/>
      <c r="BJ179" s="553"/>
      <c r="BK179" s="564"/>
      <c r="BL179" s="569"/>
      <c r="BM179" s="159"/>
      <c r="BN179" s="159"/>
      <c r="BO179" s="159"/>
      <c r="BP179" s="159"/>
      <c r="BQ179" s="159"/>
    </row>
    <row r="180" ht="18.75" customHeight="1">
      <c r="A180" s="159"/>
      <c r="B180" s="159"/>
      <c r="C180" s="159"/>
      <c r="D180" s="159"/>
      <c r="E180" s="159"/>
      <c r="F180" s="159"/>
      <c r="G180" s="159"/>
      <c r="H180" s="159"/>
      <c r="I180" s="159"/>
      <c r="J180" s="542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159"/>
      <c r="AY180" s="159"/>
      <c r="AZ180" s="159"/>
      <c r="BA180" s="159"/>
      <c r="BB180" s="159"/>
      <c r="BC180" s="159"/>
      <c r="BD180" s="159"/>
      <c r="BE180" s="159"/>
      <c r="BF180" s="159"/>
      <c r="BG180" s="568"/>
      <c r="BH180" s="568"/>
      <c r="BI180" s="537"/>
      <c r="BJ180" s="553"/>
      <c r="BK180" s="564"/>
      <c r="BL180" s="569"/>
      <c r="BM180" s="159"/>
      <c r="BN180" s="159"/>
      <c r="BO180" s="159"/>
      <c r="BP180" s="159"/>
      <c r="BQ180" s="159"/>
    </row>
    <row r="181" ht="18.75" customHeight="1">
      <c r="A181" s="159"/>
      <c r="B181" s="159"/>
      <c r="C181" s="159"/>
      <c r="D181" s="159"/>
      <c r="E181" s="159"/>
      <c r="F181" s="159"/>
      <c r="G181" s="159"/>
      <c r="H181" s="159"/>
      <c r="I181" s="159"/>
      <c r="J181" s="542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159"/>
      <c r="BB181" s="159"/>
      <c r="BC181" s="159"/>
      <c r="BD181" s="159"/>
      <c r="BE181" s="159"/>
      <c r="BF181" s="159"/>
      <c r="BG181" s="568"/>
      <c r="BH181" s="568"/>
      <c r="BI181" s="537"/>
      <c r="BJ181" s="553"/>
      <c r="BK181" s="564"/>
      <c r="BL181" s="569"/>
      <c r="BM181" s="159"/>
      <c r="BN181" s="159"/>
      <c r="BO181" s="159"/>
      <c r="BP181" s="159"/>
      <c r="BQ181" s="159"/>
    </row>
    <row r="182" ht="18.75" customHeight="1">
      <c r="A182" s="159"/>
      <c r="B182" s="159"/>
      <c r="C182" s="159"/>
      <c r="D182" s="159"/>
      <c r="E182" s="159"/>
      <c r="F182" s="159"/>
      <c r="G182" s="159"/>
      <c r="H182" s="159"/>
      <c r="I182" s="159"/>
      <c r="J182" s="542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159"/>
      <c r="AY182" s="159"/>
      <c r="AZ182" s="159"/>
      <c r="BA182" s="159"/>
      <c r="BB182" s="159"/>
      <c r="BC182" s="159"/>
      <c r="BD182" s="159"/>
      <c r="BE182" s="159"/>
      <c r="BF182" s="159"/>
      <c r="BG182" s="568"/>
      <c r="BH182" s="568"/>
      <c r="BI182" s="537"/>
      <c r="BJ182" s="553"/>
      <c r="BK182" s="564"/>
      <c r="BL182" s="569"/>
      <c r="BM182" s="159"/>
      <c r="BN182" s="159"/>
      <c r="BO182" s="159"/>
      <c r="BP182" s="159"/>
      <c r="BQ182" s="159"/>
    </row>
    <row r="183" ht="18.75" customHeight="1">
      <c r="A183" s="159"/>
      <c r="B183" s="159"/>
      <c r="C183" s="159"/>
      <c r="D183" s="159"/>
      <c r="E183" s="159"/>
      <c r="F183" s="159"/>
      <c r="G183" s="159"/>
      <c r="H183" s="159"/>
      <c r="I183" s="159"/>
      <c r="J183" s="542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159"/>
      <c r="AY183" s="159"/>
      <c r="AZ183" s="159"/>
      <c r="BA183" s="159"/>
      <c r="BB183" s="159"/>
      <c r="BC183" s="159"/>
      <c r="BD183" s="159"/>
      <c r="BE183" s="159"/>
      <c r="BF183" s="159"/>
      <c r="BG183" s="568"/>
      <c r="BH183" s="568"/>
      <c r="BI183" s="537"/>
      <c r="BJ183" s="553"/>
      <c r="BK183" s="564"/>
      <c r="BL183" s="569"/>
      <c r="BM183" s="159"/>
      <c r="BN183" s="159"/>
      <c r="BO183" s="159"/>
      <c r="BP183" s="159"/>
      <c r="BQ183" s="159"/>
    </row>
    <row r="184" ht="18.75" customHeight="1">
      <c r="A184" s="159"/>
      <c r="B184" s="159"/>
      <c r="C184" s="159"/>
      <c r="D184" s="159"/>
      <c r="E184" s="159"/>
      <c r="F184" s="159"/>
      <c r="G184" s="159"/>
      <c r="H184" s="159"/>
      <c r="I184" s="159"/>
      <c r="J184" s="542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159"/>
      <c r="AY184" s="159"/>
      <c r="AZ184" s="159"/>
      <c r="BA184" s="159"/>
      <c r="BB184" s="159"/>
      <c r="BC184" s="159"/>
      <c r="BD184" s="159"/>
      <c r="BE184" s="159"/>
      <c r="BF184" s="159"/>
      <c r="BG184" s="568"/>
      <c r="BH184" s="568"/>
      <c r="BI184" s="537"/>
      <c r="BJ184" s="553"/>
      <c r="BK184" s="564"/>
      <c r="BL184" s="569"/>
      <c r="BM184" s="159"/>
      <c r="BN184" s="159"/>
      <c r="BO184" s="159"/>
      <c r="BP184" s="159"/>
      <c r="BQ184" s="159"/>
    </row>
    <row r="185" ht="18.75" customHeight="1">
      <c r="A185" s="159"/>
      <c r="B185" s="159"/>
      <c r="C185" s="159"/>
      <c r="D185" s="159"/>
      <c r="E185" s="159"/>
      <c r="F185" s="159"/>
      <c r="G185" s="159"/>
      <c r="H185" s="159"/>
      <c r="I185" s="159"/>
      <c r="J185" s="542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568"/>
      <c r="BH185" s="568"/>
      <c r="BI185" s="537"/>
      <c r="BJ185" s="553"/>
      <c r="BK185" s="564"/>
      <c r="BL185" s="569"/>
      <c r="BM185" s="159"/>
      <c r="BN185" s="159"/>
      <c r="BO185" s="159"/>
      <c r="BP185" s="159"/>
      <c r="BQ185" s="159"/>
    </row>
    <row r="186" ht="18.75" customHeight="1">
      <c r="A186" s="159"/>
      <c r="B186" s="159"/>
      <c r="C186" s="159"/>
      <c r="D186" s="159"/>
      <c r="E186" s="159"/>
      <c r="F186" s="159"/>
      <c r="G186" s="159"/>
      <c r="H186" s="159"/>
      <c r="I186" s="159"/>
      <c r="J186" s="542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568"/>
      <c r="BH186" s="568"/>
      <c r="BI186" s="537"/>
      <c r="BJ186" s="553"/>
      <c r="BK186" s="564"/>
      <c r="BL186" s="569"/>
      <c r="BM186" s="159"/>
      <c r="BN186" s="159"/>
      <c r="BO186" s="159"/>
      <c r="BP186" s="159"/>
      <c r="BQ186" s="159"/>
    </row>
    <row r="187" ht="18.75" customHeight="1">
      <c r="A187" s="159"/>
      <c r="B187" s="159"/>
      <c r="C187" s="159"/>
      <c r="D187" s="159"/>
      <c r="E187" s="159"/>
      <c r="F187" s="159"/>
      <c r="G187" s="159"/>
      <c r="H187" s="159"/>
      <c r="I187" s="159"/>
      <c r="J187" s="542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159"/>
      <c r="BF187" s="159"/>
      <c r="BG187" s="568"/>
      <c r="BH187" s="568"/>
      <c r="BI187" s="537"/>
      <c r="BJ187" s="553"/>
      <c r="BK187" s="564"/>
      <c r="BL187" s="569"/>
      <c r="BM187" s="159"/>
      <c r="BN187" s="159"/>
      <c r="BO187" s="159"/>
      <c r="BP187" s="159"/>
      <c r="BQ187" s="159"/>
    </row>
    <row r="188" ht="18.75" customHeight="1">
      <c r="A188" s="159"/>
      <c r="B188" s="159"/>
      <c r="C188" s="159"/>
      <c r="D188" s="159"/>
      <c r="E188" s="159"/>
      <c r="F188" s="159"/>
      <c r="G188" s="159"/>
      <c r="H188" s="159"/>
      <c r="I188" s="159"/>
      <c r="J188" s="542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568"/>
      <c r="BH188" s="568"/>
      <c r="BI188" s="537"/>
      <c r="BJ188" s="553"/>
      <c r="BK188" s="564"/>
      <c r="BL188" s="569"/>
      <c r="BM188" s="159"/>
      <c r="BN188" s="159"/>
      <c r="BO188" s="159"/>
      <c r="BP188" s="159"/>
      <c r="BQ188" s="159"/>
    </row>
    <row r="189" ht="18.75" customHeight="1">
      <c r="A189" s="159"/>
      <c r="B189" s="159"/>
      <c r="C189" s="159"/>
      <c r="D189" s="159"/>
      <c r="E189" s="159"/>
      <c r="F189" s="159"/>
      <c r="G189" s="159"/>
      <c r="H189" s="159"/>
      <c r="I189" s="159"/>
      <c r="J189" s="542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568"/>
      <c r="BH189" s="568"/>
      <c r="BI189" s="537"/>
      <c r="BJ189" s="553"/>
      <c r="BK189" s="564"/>
      <c r="BL189" s="569"/>
      <c r="BM189" s="159"/>
      <c r="BN189" s="159"/>
      <c r="BO189" s="159"/>
      <c r="BP189" s="159"/>
      <c r="BQ189" s="159"/>
    </row>
    <row r="190" ht="18.75" customHeight="1">
      <c r="A190" s="159"/>
      <c r="B190" s="159"/>
      <c r="C190" s="159"/>
      <c r="D190" s="159"/>
      <c r="E190" s="159"/>
      <c r="F190" s="159"/>
      <c r="G190" s="159"/>
      <c r="H190" s="159"/>
      <c r="I190" s="159"/>
      <c r="J190" s="542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159"/>
      <c r="AY190" s="159"/>
      <c r="AZ190" s="159"/>
      <c r="BA190" s="159"/>
      <c r="BB190" s="159"/>
      <c r="BC190" s="159"/>
      <c r="BD190" s="159"/>
      <c r="BE190" s="159"/>
      <c r="BF190" s="159"/>
      <c r="BG190" s="568"/>
      <c r="BH190" s="568"/>
      <c r="BI190" s="537"/>
      <c r="BJ190" s="553"/>
      <c r="BK190" s="564"/>
      <c r="BL190" s="569"/>
      <c r="BM190" s="159"/>
      <c r="BN190" s="159"/>
      <c r="BO190" s="159"/>
      <c r="BP190" s="159"/>
      <c r="BQ190" s="159"/>
    </row>
    <row r="191" ht="18.75" customHeight="1">
      <c r="A191" s="159"/>
      <c r="B191" s="159"/>
      <c r="C191" s="159"/>
      <c r="D191" s="159"/>
      <c r="E191" s="159"/>
      <c r="F191" s="159"/>
      <c r="G191" s="159"/>
      <c r="H191" s="159"/>
      <c r="I191" s="159"/>
      <c r="J191" s="542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159"/>
      <c r="AY191" s="159"/>
      <c r="AZ191" s="159"/>
      <c r="BA191" s="159"/>
      <c r="BB191" s="159"/>
      <c r="BC191" s="159"/>
      <c r="BD191" s="159"/>
      <c r="BE191" s="159"/>
      <c r="BF191" s="159"/>
      <c r="BG191" s="568"/>
      <c r="BH191" s="568"/>
      <c r="BI191" s="537"/>
      <c r="BJ191" s="553"/>
      <c r="BK191" s="564"/>
      <c r="BL191" s="569"/>
      <c r="BM191" s="159"/>
      <c r="BN191" s="159"/>
      <c r="BO191" s="159"/>
      <c r="BP191" s="159"/>
      <c r="BQ191" s="159"/>
    </row>
    <row r="192" ht="18.75" customHeight="1">
      <c r="A192" s="159"/>
      <c r="B192" s="159"/>
      <c r="C192" s="159"/>
      <c r="D192" s="159"/>
      <c r="E192" s="159"/>
      <c r="F192" s="159"/>
      <c r="G192" s="159"/>
      <c r="H192" s="159"/>
      <c r="I192" s="159"/>
      <c r="J192" s="542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159"/>
      <c r="AY192" s="159"/>
      <c r="AZ192" s="159"/>
      <c r="BA192" s="159"/>
      <c r="BB192" s="159"/>
      <c r="BC192" s="159"/>
      <c r="BD192" s="159"/>
      <c r="BE192" s="159"/>
      <c r="BF192" s="159"/>
      <c r="BG192" s="568"/>
      <c r="BH192" s="568"/>
      <c r="BI192" s="537"/>
      <c r="BJ192" s="553"/>
      <c r="BK192" s="564"/>
      <c r="BL192" s="569"/>
      <c r="BM192" s="159"/>
      <c r="BN192" s="159"/>
      <c r="BO192" s="159"/>
      <c r="BP192" s="159"/>
      <c r="BQ192" s="159"/>
    </row>
    <row r="193" ht="18.75" customHeight="1">
      <c r="A193" s="159"/>
      <c r="B193" s="159"/>
      <c r="C193" s="159"/>
      <c r="D193" s="159"/>
      <c r="E193" s="159"/>
      <c r="F193" s="159"/>
      <c r="G193" s="159"/>
      <c r="H193" s="159"/>
      <c r="I193" s="159"/>
      <c r="J193" s="542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159"/>
      <c r="BF193" s="159"/>
      <c r="BG193" s="568"/>
      <c r="BH193" s="568"/>
      <c r="BI193" s="537"/>
      <c r="BJ193" s="553"/>
      <c r="BK193" s="564"/>
      <c r="BL193" s="569"/>
      <c r="BM193" s="159"/>
      <c r="BN193" s="159"/>
      <c r="BO193" s="159"/>
      <c r="BP193" s="159"/>
      <c r="BQ193" s="159"/>
    </row>
    <row r="194" ht="18.75" customHeight="1">
      <c r="A194" s="159"/>
      <c r="B194" s="159"/>
      <c r="C194" s="159"/>
      <c r="D194" s="159"/>
      <c r="E194" s="159"/>
      <c r="F194" s="159"/>
      <c r="G194" s="159"/>
      <c r="H194" s="159"/>
      <c r="I194" s="159"/>
      <c r="J194" s="542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159"/>
      <c r="AY194" s="159"/>
      <c r="AZ194" s="159"/>
      <c r="BA194" s="159"/>
      <c r="BB194" s="159"/>
      <c r="BC194" s="159"/>
      <c r="BD194" s="159"/>
      <c r="BE194" s="159"/>
      <c r="BF194" s="159"/>
      <c r="BG194" s="568"/>
      <c r="BH194" s="568"/>
      <c r="BI194" s="537"/>
      <c r="BJ194" s="553"/>
      <c r="BK194" s="564"/>
      <c r="BL194" s="569"/>
      <c r="BM194" s="159"/>
      <c r="BN194" s="159"/>
      <c r="BO194" s="159"/>
      <c r="BP194" s="159"/>
      <c r="BQ194" s="159"/>
    </row>
    <row r="195" ht="18.75" customHeight="1">
      <c r="A195" s="159"/>
      <c r="B195" s="159"/>
      <c r="C195" s="159"/>
      <c r="D195" s="159"/>
      <c r="E195" s="159"/>
      <c r="F195" s="159"/>
      <c r="G195" s="159"/>
      <c r="H195" s="159"/>
      <c r="I195" s="159"/>
      <c r="J195" s="542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159"/>
      <c r="AY195" s="159"/>
      <c r="AZ195" s="159"/>
      <c r="BA195" s="159"/>
      <c r="BB195" s="159"/>
      <c r="BC195" s="159"/>
      <c r="BD195" s="159"/>
      <c r="BE195" s="159"/>
      <c r="BF195" s="159"/>
      <c r="BG195" s="568"/>
      <c r="BH195" s="568"/>
      <c r="BI195" s="537"/>
      <c r="BJ195" s="553"/>
      <c r="BK195" s="564"/>
      <c r="BL195" s="569"/>
      <c r="BM195" s="159"/>
      <c r="BN195" s="159"/>
      <c r="BO195" s="159"/>
      <c r="BP195" s="159"/>
      <c r="BQ195" s="159"/>
    </row>
    <row r="196" ht="18.75" customHeight="1">
      <c r="A196" s="159"/>
      <c r="B196" s="159"/>
      <c r="C196" s="159"/>
      <c r="D196" s="159"/>
      <c r="E196" s="159"/>
      <c r="F196" s="159"/>
      <c r="G196" s="159"/>
      <c r="H196" s="159"/>
      <c r="I196" s="159"/>
      <c r="J196" s="542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159"/>
      <c r="AY196" s="159"/>
      <c r="AZ196" s="159"/>
      <c r="BA196" s="159"/>
      <c r="BB196" s="159"/>
      <c r="BC196" s="159"/>
      <c r="BD196" s="159"/>
      <c r="BE196" s="159"/>
      <c r="BF196" s="159"/>
      <c r="BG196" s="568"/>
      <c r="BH196" s="568"/>
      <c r="BI196" s="537"/>
      <c r="BJ196" s="553"/>
      <c r="BK196" s="564"/>
      <c r="BL196" s="569"/>
      <c r="BM196" s="159"/>
      <c r="BN196" s="159"/>
      <c r="BO196" s="159"/>
      <c r="BP196" s="159"/>
      <c r="BQ196" s="159"/>
    </row>
    <row r="197" ht="18.75" customHeight="1">
      <c r="A197" s="159"/>
      <c r="B197" s="159"/>
      <c r="C197" s="159"/>
      <c r="D197" s="159"/>
      <c r="E197" s="159"/>
      <c r="F197" s="159"/>
      <c r="G197" s="159"/>
      <c r="H197" s="159"/>
      <c r="I197" s="159"/>
      <c r="J197" s="542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568"/>
      <c r="BH197" s="568"/>
      <c r="BI197" s="537"/>
      <c r="BJ197" s="553"/>
      <c r="BK197" s="564"/>
      <c r="BL197" s="569"/>
      <c r="BM197" s="159"/>
      <c r="BN197" s="159"/>
      <c r="BO197" s="159"/>
      <c r="BP197" s="159"/>
      <c r="BQ197" s="159"/>
    </row>
    <row r="198" ht="18.75" customHeight="1">
      <c r="A198" s="159"/>
      <c r="B198" s="159"/>
      <c r="C198" s="159"/>
      <c r="D198" s="159"/>
      <c r="E198" s="159"/>
      <c r="F198" s="159"/>
      <c r="G198" s="159"/>
      <c r="H198" s="159"/>
      <c r="I198" s="159"/>
      <c r="J198" s="542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568"/>
      <c r="BH198" s="568"/>
      <c r="BI198" s="537"/>
      <c r="BJ198" s="553"/>
      <c r="BK198" s="564"/>
      <c r="BL198" s="569"/>
      <c r="BM198" s="159"/>
      <c r="BN198" s="159"/>
      <c r="BO198" s="159"/>
      <c r="BP198" s="159"/>
      <c r="BQ198" s="159"/>
    </row>
    <row r="199" ht="18.75" customHeight="1">
      <c r="A199" s="159"/>
      <c r="B199" s="159"/>
      <c r="C199" s="159"/>
      <c r="D199" s="159"/>
      <c r="E199" s="159"/>
      <c r="F199" s="159"/>
      <c r="G199" s="159"/>
      <c r="H199" s="159"/>
      <c r="I199" s="159"/>
      <c r="J199" s="542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159"/>
      <c r="BF199" s="159"/>
      <c r="BG199" s="568"/>
      <c r="BH199" s="568"/>
      <c r="BI199" s="537"/>
      <c r="BJ199" s="553"/>
      <c r="BK199" s="564"/>
      <c r="BL199" s="569"/>
      <c r="BM199" s="159"/>
      <c r="BN199" s="159"/>
      <c r="BO199" s="159"/>
      <c r="BP199" s="159"/>
      <c r="BQ199" s="159"/>
    </row>
    <row r="200" ht="18.75" customHeight="1">
      <c r="A200" s="159"/>
      <c r="B200" s="159"/>
      <c r="C200" s="159"/>
      <c r="D200" s="159"/>
      <c r="E200" s="159"/>
      <c r="F200" s="159"/>
      <c r="G200" s="159"/>
      <c r="H200" s="159"/>
      <c r="I200" s="159"/>
      <c r="J200" s="542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159"/>
      <c r="AY200" s="159"/>
      <c r="AZ200" s="159"/>
      <c r="BA200" s="159"/>
      <c r="BB200" s="159"/>
      <c r="BC200" s="159"/>
      <c r="BD200" s="159"/>
      <c r="BE200" s="159"/>
      <c r="BF200" s="159"/>
      <c r="BG200" s="568"/>
      <c r="BH200" s="568"/>
      <c r="BI200" s="537"/>
      <c r="BJ200" s="553"/>
      <c r="BK200" s="564"/>
      <c r="BL200" s="569"/>
      <c r="BM200" s="159"/>
      <c r="BN200" s="159"/>
      <c r="BO200" s="159"/>
      <c r="BP200" s="159"/>
      <c r="BQ200" s="159"/>
    </row>
    <row r="201" ht="18.75" customHeight="1">
      <c r="A201" s="159"/>
      <c r="B201" s="159"/>
      <c r="C201" s="159"/>
      <c r="D201" s="159"/>
      <c r="E201" s="159"/>
      <c r="F201" s="159"/>
      <c r="G201" s="159"/>
      <c r="H201" s="159"/>
      <c r="I201" s="159"/>
      <c r="J201" s="542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159"/>
      <c r="BF201" s="159"/>
      <c r="BG201" s="568"/>
      <c r="BH201" s="568"/>
      <c r="BI201" s="537"/>
      <c r="BJ201" s="553"/>
      <c r="BK201" s="564"/>
      <c r="BL201" s="569"/>
      <c r="BM201" s="159"/>
      <c r="BN201" s="159"/>
      <c r="BO201" s="159"/>
      <c r="BP201" s="159"/>
      <c r="BQ201" s="159"/>
    </row>
    <row r="202" ht="18.75" customHeight="1">
      <c r="A202" s="159"/>
      <c r="B202" s="159"/>
      <c r="C202" s="159"/>
      <c r="D202" s="159"/>
      <c r="E202" s="159"/>
      <c r="F202" s="159"/>
      <c r="G202" s="159"/>
      <c r="H202" s="159"/>
      <c r="I202" s="159"/>
      <c r="J202" s="542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159"/>
      <c r="AY202" s="159"/>
      <c r="AZ202" s="159"/>
      <c r="BA202" s="159"/>
      <c r="BB202" s="159"/>
      <c r="BC202" s="159"/>
      <c r="BD202" s="159"/>
      <c r="BE202" s="159"/>
      <c r="BF202" s="159"/>
      <c r="BG202" s="568"/>
      <c r="BH202" s="568"/>
      <c r="BI202" s="537"/>
      <c r="BJ202" s="553"/>
      <c r="BK202" s="564"/>
      <c r="BL202" s="569"/>
      <c r="BM202" s="159"/>
      <c r="BN202" s="159"/>
      <c r="BO202" s="159"/>
      <c r="BP202" s="159"/>
      <c r="BQ202" s="159"/>
    </row>
    <row r="203" ht="18.75" customHeight="1">
      <c r="A203" s="159"/>
      <c r="B203" s="159"/>
      <c r="C203" s="159"/>
      <c r="D203" s="159"/>
      <c r="E203" s="159"/>
      <c r="F203" s="159"/>
      <c r="G203" s="159"/>
      <c r="H203" s="159"/>
      <c r="I203" s="159"/>
      <c r="J203" s="542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568"/>
      <c r="BH203" s="568"/>
      <c r="BI203" s="537"/>
      <c r="BJ203" s="553"/>
      <c r="BK203" s="564"/>
      <c r="BL203" s="569"/>
      <c r="BM203" s="159"/>
      <c r="BN203" s="159"/>
      <c r="BO203" s="159"/>
      <c r="BP203" s="159"/>
      <c r="BQ203" s="159"/>
    </row>
    <row r="204" ht="18.75" customHeight="1">
      <c r="A204" s="159"/>
      <c r="B204" s="159"/>
      <c r="C204" s="159"/>
      <c r="D204" s="159"/>
      <c r="E204" s="159"/>
      <c r="F204" s="159"/>
      <c r="G204" s="159"/>
      <c r="H204" s="159"/>
      <c r="I204" s="159"/>
      <c r="J204" s="542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159"/>
      <c r="AY204" s="159"/>
      <c r="AZ204" s="159"/>
      <c r="BA204" s="159"/>
      <c r="BB204" s="159"/>
      <c r="BC204" s="159"/>
      <c r="BD204" s="159"/>
      <c r="BE204" s="159"/>
      <c r="BF204" s="159"/>
      <c r="BG204" s="568"/>
      <c r="BH204" s="568"/>
      <c r="BI204" s="537"/>
      <c r="BJ204" s="553"/>
      <c r="BK204" s="564"/>
      <c r="BL204" s="569"/>
      <c r="BM204" s="159"/>
      <c r="BN204" s="159"/>
      <c r="BO204" s="159"/>
      <c r="BP204" s="159"/>
      <c r="BQ204" s="159"/>
    </row>
    <row r="205" ht="18.75" customHeight="1">
      <c r="A205" s="159"/>
      <c r="B205" s="159"/>
      <c r="C205" s="159"/>
      <c r="D205" s="159"/>
      <c r="E205" s="159"/>
      <c r="F205" s="159"/>
      <c r="G205" s="159"/>
      <c r="H205" s="159"/>
      <c r="I205" s="159"/>
      <c r="J205" s="542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568"/>
      <c r="BH205" s="568"/>
      <c r="BI205" s="537"/>
      <c r="BJ205" s="553"/>
      <c r="BK205" s="564"/>
      <c r="BL205" s="569"/>
      <c r="BM205" s="159"/>
      <c r="BN205" s="159"/>
      <c r="BO205" s="159"/>
      <c r="BP205" s="159"/>
      <c r="BQ205" s="159"/>
    </row>
    <row r="206" ht="18.75" customHeight="1">
      <c r="A206" s="159"/>
      <c r="B206" s="159"/>
      <c r="C206" s="159"/>
      <c r="D206" s="159"/>
      <c r="E206" s="159"/>
      <c r="F206" s="159"/>
      <c r="G206" s="159"/>
      <c r="H206" s="159"/>
      <c r="I206" s="159"/>
      <c r="J206" s="542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159"/>
      <c r="AY206" s="159"/>
      <c r="AZ206" s="159"/>
      <c r="BA206" s="159"/>
      <c r="BB206" s="159"/>
      <c r="BC206" s="159"/>
      <c r="BD206" s="159"/>
      <c r="BE206" s="159"/>
      <c r="BF206" s="159"/>
      <c r="BG206" s="568"/>
      <c r="BH206" s="568"/>
      <c r="BI206" s="537"/>
      <c r="BJ206" s="553"/>
      <c r="BK206" s="564"/>
      <c r="BL206" s="569"/>
      <c r="BM206" s="159"/>
      <c r="BN206" s="159"/>
      <c r="BO206" s="159"/>
      <c r="BP206" s="159"/>
      <c r="BQ206" s="159"/>
    </row>
    <row r="207" ht="18.75" customHeight="1">
      <c r="A207" s="159"/>
      <c r="B207" s="159"/>
      <c r="C207" s="159"/>
      <c r="D207" s="159"/>
      <c r="E207" s="159"/>
      <c r="F207" s="159"/>
      <c r="G207" s="159"/>
      <c r="H207" s="159"/>
      <c r="I207" s="159"/>
      <c r="J207" s="542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  <c r="AG207" s="15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59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159"/>
      <c r="BF207" s="159"/>
      <c r="BG207" s="568"/>
      <c r="BH207" s="568"/>
      <c r="BI207" s="537"/>
      <c r="BJ207" s="553"/>
      <c r="BK207" s="564"/>
      <c r="BL207" s="569"/>
      <c r="BM207" s="159"/>
      <c r="BN207" s="159"/>
      <c r="BO207" s="159"/>
      <c r="BP207" s="159"/>
      <c r="BQ207" s="159"/>
    </row>
    <row r="208" ht="18.75" customHeight="1">
      <c r="A208" s="159"/>
      <c r="B208" s="159"/>
      <c r="C208" s="159"/>
      <c r="D208" s="159"/>
      <c r="E208" s="159"/>
      <c r="F208" s="159"/>
      <c r="G208" s="159"/>
      <c r="H208" s="159"/>
      <c r="I208" s="159"/>
      <c r="J208" s="542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59"/>
      <c r="AT208" s="159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568"/>
      <c r="BH208" s="568"/>
      <c r="BI208" s="537"/>
      <c r="BJ208" s="553"/>
      <c r="BK208" s="564"/>
      <c r="BL208" s="569"/>
      <c r="BM208" s="159"/>
      <c r="BN208" s="159"/>
      <c r="BO208" s="159"/>
      <c r="BP208" s="159"/>
      <c r="BQ208" s="159"/>
    </row>
    <row r="209" ht="18.75" customHeight="1">
      <c r="A209" s="159"/>
      <c r="B209" s="159"/>
      <c r="C209" s="159"/>
      <c r="D209" s="159"/>
      <c r="E209" s="159"/>
      <c r="F209" s="159"/>
      <c r="G209" s="159"/>
      <c r="H209" s="159"/>
      <c r="I209" s="159"/>
      <c r="J209" s="542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  <c r="AG209" s="15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59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159"/>
      <c r="BF209" s="159"/>
      <c r="BG209" s="568"/>
      <c r="BH209" s="568"/>
      <c r="BI209" s="537"/>
      <c r="BJ209" s="553"/>
      <c r="BK209" s="564"/>
      <c r="BL209" s="569"/>
      <c r="BM209" s="159"/>
      <c r="BN209" s="159"/>
      <c r="BO209" s="159"/>
      <c r="BP209" s="159"/>
      <c r="BQ209" s="159"/>
    </row>
    <row r="210" ht="18.75" customHeight="1">
      <c r="A210" s="159"/>
      <c r="B210" s="159"/>
      <c r="C210" s="159"/>
      <c r="D210" s="159"/>
      <c r="E210" s="159"/>
      <c r="F210" s="159"/>
      <c r="G210" s="159"/>
      <c r="H210" s="159"/>
      <c r="I210" s="159"/>
      <c r="J210" s="542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  <c r="AG210" s="159"/>
      <c r="AH210" s="159"/>
      <c r="AI210" s="159"/>
      <c r="AJ210" s="159"/>
      <c r="AK210" s="159"/>
      <c r="AL210" s="159"/>
      <c r="AM210" s="159"/>
      <c r="AN210" s="159"/>
      <c r="AO210" s="159"/>
      <c r="AP210" s="159"/>
      <c r="AQ210" s="159"/>
      <c r="AR210" s="159"/>
      <c r="AS210" s="159"/>
      <c r="AT210" s="159"/>
      <c r="AU210" s="159"/>
      <c r="AV210" s="159"/>
      <c r="AW210" s="159"/>
      <c r="AX210" s="159"/>
      <c r="AY210" s="159"/>
      <c r="AZ210" s="159"/>
      <c r="BA210" s="159"/>
      <c r="BB210" s="159"/>
      <c r="BC210" s="159"/>
      <c r="BD210" s="159"/>
      <c r="BE210" s="159"/>
      <c r="BF210" s="159"/>
      <c r="BG210" s="568"/>
      <c r="BH210" s="568"/>
      <c r="BI210" s="537"/>
      <c r="BJ210" s="553"/>
      <c r="BK210" s="564"/>
      <c r="BL210" s="569"/>
      <c r="BM210" s="159"/>
      <c r="BN210" s="159"/>
      <c r="BO210" s="159"/>
      <c r="BP210" s="159"/>
      <c r="BQ210" s="159"/>
    </row>
    <row r="211" ht="18.75" customHeight="1">
      <c r="A211" s="159"/>
      <c r="B211" s="159"/>
      <c r="C211" s="159"/>
      <c r="D211" s="159"/>
      <c r="E211" s="159"/>
      <c r="F211" s="159"/>
      <c r="G211" s="159"/>
      <c r="H211" s="159"/>
      <c r="I211" s="159"/>
      <c r="J211" s="542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568"/>
      <c r="BH211" s="568"/>
      <c r="BI211" s="537"/>
      <c r="BJ211" s="553"/>
      <c r="BK211" s="564"/>
      <c r="BL211" s="569"/>
      <c r="BM211" s="159"/>
      <c r="BN211" s="159"/>
      <c r="BO211" s="159"/>
      <c r="BP211" s="159"/>
      <c r="BQ211" s="159"/>
    </row>
    <row r="212" ht="18.75" customHeight="1">
      <c r="A212" s="159"/>
      <c r="B212" s="159"/>
      <c r="C212" s="159"/>
      <c r="D212" s="159"/>
      <c r="E212" s="159"/>
      <c r="F212" s="159"/>
      <c r="G212" s="159"/>
      <c r="H212" s="159"/>
      <c r="I212" s="159"/>
      <c r="J212" s="542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  <c r="AG212" s="159"/>
      <c r="AH212" s="159"/>
      <c r="AI212" s="159"/>
      <c r="AJ212" s="159"/>
      <c r="AK212" s="159"/>
      <c r="AL212" s="159"/>
      <c r="AM212" s="159"/>
      <c r="AN212" s="159"/>
      <c r="AO212" s="159"/>
      <c r="AP212" s="159"/>
      <c r="AQ212" s="159"/>
      <c r="AR212" s="159"/>
      <c r="AS212" s="159"/>
      <c r="AT212" s="159"/>
      <c r="AU212" s="159"/>
      <c r="AV212" s="159"/>
      <c r="AW212" s="159"/>
      <c r="AX212" s="159"/>
      <c r="AY212" s="159"/>
      <c r="AZ212" s="159"/>
      <c r="BA212" s="159"/>
      <c r="BB212" s="159"/>
      <c r="BC212" s="159"/>
      <c r="BD212" s="159"/>
      <c r="BE212" s="159"/>
      <c r="BF212" s="159"/>
      <c r="BG212" s="568"/>
      <c r="BH212" s="568"/>
      <c r="BI212" s="537"/>
      <c r="BJ212" s="553"/>
      <c r="BK212" s="564"/>
      <c r="BL212" s="569"/>
      <c r="BM212" s="159"/>
      <c r="BN212" s="159"/>
      <c r="BO212" s="159"/>
      <c r="BP212" s="159"/>
      <c r="BQ212" s="159"/>
    </row>
    <row r="213" ht="18.75" customHeight="1">
      <c r="A213" s="159"/>
      <c r="B213" s="159"/>
      <c r="C213" s="159"/>
      <c r="D213" s="159"/>
      <c r="E213" s="159"/>
      <c r="F213" s="159"/>
      <c r="G213" s="159"/>
      <c r="H213" s="159"/>
      <c r="I213" s="159"/>
      <c r="J213" s="542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  <c r="AG213" s="15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59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159"/>
      <c r="BF213" s="159"/>
      <c r="BG213" s="568"/>
      <c r="BH213" s="568"/>
      <c r="BI213" s="537"/>
      <c r="BJ213" s="553"/>
      <c r="BK213" s="564"/>
      <c r="BL213" s="569"/>
      <c r="BM213" s="159"/>
      <c r="BN213" s="159"/>
      <c r="BO213" s="159"/>
      <c r="BP213" s="159"/>
      <c r="BQ213" s="159"/>
    </row>
    <row r="214" ht="18.75" customHeight="1">
      <c r="A214" s="159"/>
      <c r="B214" s="159"/>
      <c r="C214" s="159"/>
      <c r="D214" s="159"/>
      <c r="E214" s="159"/>
      <c r="F214" s="159"/>
      <c r="G214" s="159"/>
      <c r="H214" s="159"/>
      <c r="I214" s="159"/>
      <c r="J214" s="542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59"/>
      <c r="AT214" s="159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568"/>
      <c r="BH214" s="568"/>
      <c r="BI214" s="537"/>
      <c r="BJ214" s="553"/>
      <c r="BK214" s="564"/>
      <c r="BL214" s="569"/>
      <c r="BM214" s="159"/>
      <c r="BN214" s="159"/>
      <c r="BO214" s="159"/>
      <c r="BP214" s="159"/>
      <c r="BQ214" s="159"/>
    </row>
    <row r="215" ht="18.75" customHeight="1">
      <c r="A215" s="159"/>
      <c r="B215" s="159"/>
      <c r="C215" s="159"/>
      <c r="D215" s="159"/>
      <c r="E215" s="159"/>
      <c r="F215" s="159"/>
      <c r="G215" s="159"/>
      <c r="H215" s="159"/>
      <c r="I215" s="159"/>
      <c r="J215" s="542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  <c r="AG215" s="15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59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159"/>
      <c r="BF215" s="159"/>
      <c r="BG215" s="568"/>
      <c r="BH215" s="568"/>
      <c r="BI215" s="537"/>
      <c r="BJ215" s="553"/>
      <c r="BK215" s="564"/>
      <c r="BL215" s="569"/>
      <c r="BM215" s="159"/>
      <c r="BN215" s="159"/>
      <c r="BO215" s="159"/>
      <c r="BP215" s="159"/>
      <c r="BQ215" s="159"/>
    </row>
    <row r="216" ht="18.75" customHeight="1">
      <c r="A216" s="159"/>
      <c r="B216" s="159"/>
      <c r="C216" s="159"/>
      <c r="D216" s="159"/>
      <c r="E216" s="159"/>
      <c r="F216" s="159"/>
      <c r="G216" s="159"/>
      <c r="H216" s="159"/>
      <c r="I216" s="159"/>
      <c r="J216" s="542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59"/>
      <c r="AY216" s="159"/>
      <c r="AZ216" s="159"/>
      <c r="BA216" s="159"/>
      <c r="BB216" s="159"/>
      <c r="BC216" s="159"/>
      <c r="BD216" s="159"/>
      <c r="BE216" s="159"/>
      <c r="BF216" s="159"/>
      <c r="BG216" s="568"/>
      <c r="BH216" s="568"/>
      <c r="BI216" s="537"/>
      <c r="BJ216" s="553"/>
      <c r="BK216" s="564"/>
      <c r="BL216" s="569"/>
      <c r="BM216" s="159"/>
      <c r="BN216" s="159"/>
      <c r="BO216" s="159"/>
      <c r="BP216" s="159"/>
      <c r="BQ216" s="159"/>
    </row>
    <row r="217" ht="18.75" customHeight="1">
      <c r="A217" s="159"/>
      <c r="B217" s="159"/>
      <c r="C217" s="159"/>
      <c r="D217" s="159"/>
      <c r="E217" s="159"/>
      <c r="F217" s="159"/>
      <c r="G217" s="159"/>
      <c r="H217" s="159"/>
      <c r="I217" s="159"/>
      <c r="J217" s="542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568"/>
      <c r="BH217" s="568"/>
      <c r="BI217" s="537"/>
      <c r="BJ217" s="553"/>
      <c r="BK217" s="564"/>
      <c r="BL217" s="569"/>
      <c r="BM217" s="159"/>
      <c r="BN217" s="159"/>
      <c r="BO217" s="159"/>
      <c r="BP217" s="159"/>
      <c r="BQ217" s="159"/>
    </row>
    <row r="218" ht="18.75" customHeight="1">
      <c r="A218" s="159"/>
      <c r="B218" s="159"/>
      <c r="C218" s="159"/>
      <c r="D218" s="159"/>
      <c r="E218" s="159"/>
      <c r="F218" s="159"/>
      <c r="G218" s="159"/>
      <c r="H218" s="159"/>
      <c r="I218" s="159"/>
      <c r="J218" s="542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  <c r="AG218" s="159"/>
      <c r="AH218" s="159"/>
      <c r="AI218" s="159"/>
      <c r="AJ218" s="159"/>
      <c r="AK218" s="159"/>
      <c r="AL218" s="159"/>
      <c r="AM218" s="159"/>
      <c r="AN218" s="159"/>
      <c r="AO218" s="159"/>
      <c r="AP218" s="159"/>
      <c r="AQ218" s="159"/>
      <c r="AR218" s="159"/>
      <c r="AS218" s="159"/>
      <c r="AT218" s="159"/>
      <c r="AU218" s="159"/>
      <c r="AV218" s="159"/>
      <c r="AW218" s="159"/>
      <c r="AX218" s="159"/>
      <c r="AY218" s="159"/>
      <c r="AZ218" s="159"/>
      <c r="BA218" s="159"/>
      <c r="BB218" s="159"/>
      <c r="BC218" s="159"/>
      <c r="BD218" s="159"/>
      <c r="BE218" s="159"/>
      <c r="BF218" s="159"/>
      <c r="BG218" s="568"/>
      <c r="BH218" s="568"/>
      <c r="BI218" s="537"/>
      <c r="BJ218" s="553"/>
      <c r="BK218" s="564"/>
      <c r="BL218" s="569"/>
      <c r="BM218" s="159"/>
      <c r="BN218" s="159"/>
      <c r="BO218" s="159"/>
      <c r="BP218" s="159"/>
      <c r="BQ218" s="159"/>
    </row>
    <row r="219" ht="18.75" customHeight="1">
      <c r="A219" s="159"/>
      <c r="B219" s="159"/>
      <c r="C219" s="159"/>
      <c r="D219" s="159"/>
      <c r="E219" s="159"/>
      <c r="F219" s="159"/>
      <c r="G219" s="159"/>
      <c r="H219" s="159"/>
      <c r="I219" s="159"/>
      <c r="J219" s="542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  <c r="AG219" s="15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59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159"/>
      <c r="BF219" s="159"/>
      <c r="BG219" s="568"/>
      <c r="BH219" s="568"/>
      <c r="BI219" s="537"/>
      <c r="BJ219" s="553"/>
      <c r="BK219" s="564"/>
      <c r="BL219" s="569"/>
      <c r="BM219" s="159"/>
      <c r="BN219" s="159"/>
      <c r="BO219" s="159"/>
      <c r="BP219" s="159"/>
      <c r="BQ219" s="159"/>
    </row>
    <row r="220" ht="18.75" customHeight="1">
      <c r="A220" s="159"/>
      <c r="B220" s="159"/>
      <c r="C220" s="159"/>
      <c r="D220" s="159"/>
      <c r="E220" s="159"/>
      <c r="F220" s="159"/>
      <c r="G220" s="159"/>
      <c r="H220" s="159"/>
      <c r="I220" s="159"/>
      <c r="J220" s="542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59"/>
      <c r="AT220" s="159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568"/>
      <c r="BH220" s="568"/>
      <c r="BI220" s="537"/>
      <c r="BJ220" s="553"/>
      <c r="BK220" s="564"/>
      <c r="BL220" s="569"/>
      <c r="BM220" s="159"/>
      <c r="BN220" s="159"/>
      <c r="BO220" s="159"/>
      <c r="BP220" s="159"/>
      <c r="BQ220" s="159"/>
    </row>
    <row r="221" ht="18.75" customHeight="1">
      <c r="A221" s="159"/>
      <c r="B221" s="159"/>
      <c r="C221" s="159"/>
      <c r="D221" s="159"/>
      <c r="E221" s="159"/>
      <c r="F221" s="159"/>
      <c r="G221" s="159"/>
      <c r="H221" s="159"/>
      <c r="I221" s="159"/>
      <c r="J221" s="542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568"/>
      <c r="BH221" s="568"/>
      <c r="BI221" s="537"/>
      <c r="BJ221" s="553"/>
      <c r="BK221" s="564"/>
      <c r="BL221" s="569"/>
      <c r="BM221" s="159"/>
      <c r="BN221" s="159"/>
      <c r="BO221" s="159"/>
      <c r="BP221" s="159"/>
      <c r="BQ221" s="159"/>
    </row>
    <row r="222" ht="18.75" customHeight="1">
      <c r="A222" s="159"/>
      <c r="B222" s="159"/>
      <c r="C222" s="159"/>
      <c r="D222" s="159"/>
      <c r="E222" s="159"/>
      <c r="F222" s="159"/>
      <c r="G222" s="159"/>
      <c r="H222" s="159"/>
      <c r="I222" s="159"/>
      <c r="J222" s="542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  <c r="AG222" s="159"/>
      <c r="AH222" s="159"/>
      <c r="AI222" s="159"/>
      <c r="AJ222" s="159"/>
      <c r="AK222" s="159"/>
      <c r="AL222" s="159"/>
      <c r="AM222" s="159"/>
      <c r="AN222" s="159"/>
      <c r="AO222" s="159"/>
      <c r="AP222" s="159"/>
      <c r="AQ222" s="159"/>
      <c r="AR222" s="159"/>
      <c r="AS222" s="159"/>
      <c r="AT222" s="159"/>
      <c r="AU222" s="159"/>
      <c r="AV222" s="159"/>
      <c r="AW222" s="159"/>
      <c r="AX222" s="159"/>
      <c r="AY222" s="159"/>
      <c r="AZ222" s="159"/>
      <c r="BA222" s="159"/>
      <c r="BB222" s="159"/>
      <c r="BC222" s="159"/>
      <c r="BD222" s="159"/>
      <c r="BE222" s="159"/>
      <c r="BF222" s="159"/>
      <c r="BG222" s="568"/>
      <c r="BH222" s="568"/>
      <c r="BI222" s="537"/>
      <c r="BJ222" s="553"/>
      <c r="BK222" s="564"/>
      <c r="BL222" s="569"/>
      <c r="BM222" s="159"/>
      <c r="BN222" s="159"/>
      <c r="BO222" s="159"/>
      <c r="BP222" s="159"/>
      <c r="BQ222" s="159"/>
    </row>
    <row r="223" ht="18.75" customHeight="1">
      <c r="A223" s="159"/>
      <c r="B223" s="159"/>
      <c r="C223" s="159"/>
      <c r="D223" s="159"/>
      <c r="E223" s="159"/>
      <c r="F223" s="159"/>
      <c r="G223" s="159"/>
      <c r="H223" s="159"/>
      <c r="I223" s="159"/>
      <c r="J223" s="542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  <c r="AG223" s="15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59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159"/>
      <c r="BF223" s="159"/>
      <c r="BG223" s="568"/>
      <c r="BH223" s="568"/>
      <c r="BI223" s="537"/>
      <c r="BJ223" s="553"/>
      <c r="BK223" s="564"/>
      <c r="BL223" s="569"/>
      <c r="BM223" s="159"/>
      <c r="BN223" s="159"/>
      <c r="BO223" s="159"/>
      <c r="BP223" s="159"/>
      <c r="BQ223" s="159"/>
    </row>
    <row r="224" ht="18.75" customHeight="1">
      <c r="A224" s="159"/>
      <c r="B224" s="159"/>
      <c r="C224" s="159"/>
      <c r="D224" s="159"/>
      <c r="E224" s="159"/>
      <c r="F224" s="159"/>
      <c r="G224" s="159"/>
      <c r="H224" s="159"/>
      <c r="I224" s="159"/>
      <c r="J224" s="542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568"/>
      <c r="BH224" s="568"/>
      <c r="BI224" s="537"/>
      <c r="BJ224" s="553"/>
      <c r="BK224" s="564"/>
      <c r="BL224" s="569"/>
      <c r="BM224" s="159"/>
      <c r="BN224" s="159"/>
      <c r="BO224" s="159"/>
      <c r="BP224" s="159"/>
      <c r="BQ224" s="159"/>
    </row>
    <row r="225" ht="18.75" customHeight="1">
      <c r="A225" s="159"/>
      <c r="B225" s="159"/>
      <c r="C225" s="159"/>
      <c r="D225" s="159"/>
      <c r="E225" s="159"/>
      <c r="F225" s="159"/>
      <c r="G225" s="159"/>
      <c r="H225" s="159"/>
      <c r="I225" s="159"/>
      <c r="J225" s="542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  <c r="AG225" s="15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59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159"/>
      <c r="BF225" s="159"/>
      <c r="BG225" s="568"/>
      <c r="BH225" s="568"/>
      <c r="BI225" s="537"/>
      <c r="BJ225" s="553"/>
      <c r="BK225" s="564"/>
      <c r="BL225" s="569"/>
      <c r="BM225" s="159"/>
      <c r="BN225" s="159"/>
      <c r="BO225" s="159"/>
      <c r="BP225" s="159"/>
      <c r="BQ225" s="159"/>
    </row>
    <row r="226" ht="18.75" customHeight="1">
      <c r="A226" s="159"/>
      <c r="B226" s="159"/>
      <c r="C226" s="159"/>
      <c r="D226" s="159"/>
      <c r="E226" s="159"/>
      <c r="F226" s="159"/>
      <c r="G226" s="159"/>
      <c r="H226" s="159"/>
      <c r="I226" s="159"/>
      <c r="J226" s="542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568"/>
      <c r="BH226" s="568"/>
      <c r="BI226" s="537"/>
      <c r="BJ226" s="553"/>
      <c r="BK226" s="564"/>
      <c r="BL226" s="569"/>
      <c r="BM226" s="159"/>
      <c r="BN226" s="159"/>
      <c r="BO226" s="159"/>
      <c r="BP226" s="159"/>
      <c r="BQ226" s="159"/>
    </row>
    <row r="227" ht="18.75" customHeight="1">
      <c r="A227" s="159"/>
      <c r="B227" s="159"/>
      <c r="C227" s="159"/>
      <c r="D227" s="159"/>
      <c r="E227" s="159"/>
      <c r="F227" s="159"/>
      <c r="G227" s="159"/>
      <c r="H227" s="159"/>
      <c r="I227" s="159"/>
      <c r="J227" s="542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568"/>
      <c r="BH227" s="568"/>
      <c r="BI227" s="537"/>
      <c r="BJ227" s="553"/>
      <c r="BK227" s="564"/>
      <c r="BL227" s="569"/>
      <c r="BM227" s="159"/>
      <c r="BN227" s="159"/>
      <c r="BO227" s="159"/>
      <c r="BP227" s="159"/>
      <c r="BQ227" s="159"/>
    </row>
    <row r="228" ht="18.75" customHeight="1">
      <c r="A228" s="159"/>
      <c r="B228" s="159"/>
      <c r="C228" s="159"/>
      <c r="D228" s="159"/>
      <c r="E228" s="159"/>
      <c r="F228" s="159"/>
      <c r="G228" s="159"/>
      <c r="H228" s="159"/>
      <c r="I228" s="159"/>
      <c r="J228" s="542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568"/>
      <c r="BH228" s="568"/>
      <c r="BI228" s="537"/>
      <c r="BJ228" s="553"/>
      <c r="BK228" s="564"/>
      <c r="BL228" s="569"/>
      <c r="BM228" s="159"/>
      <c r="BN228" s="159"/>
      <c r="BO228" s="159"/>
      <c r="BP228" s="159"/>
      <c r="BQ228" s="159"/>
    </row>
    <row r="229" ht="18.75" customHeight="1">
      <c r="A229" s="159"/>
      <c r="B229" s="159"/>
      <c r="C229" s="159"/>
      <c r="D229" s="159"/>
      <c r="E229" s="159"/>
      <c r="F229" s="159"/>
      <c r="G229" s="159"/>
      <c r="H229" s="159"/>
      <c r="I229" s="159"/>
      <c r="J229" s="542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  <c r="AG229" s="15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59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159"/>
      <c r="BF229" s="159"/>
      <c r="BG229" s="568"/>
      <c r="BH229" s="568"/>
      <c r="BI229" s="537"/>
      <c r="BJ229" s="553"/>
      <c r="BK229" s="564"/>
      <c r="BL229" s="569"/>
      <c r="BM229" s="159"/>
      <c r="BN229" s="159"/>
      <c r="BO229" s="159"/>
      <c r="BP229" s="159"/>
      <c r="BQ229" s="159"/>
    </row>
    <row r="230" ht="18.75" customHeight="1">
      <c r="A230" s="159"/>
      <c r="B230" s="159"/>
      <c r="C230" s="159"/>
      <c r="D230" s="159"/>
      <c r="E230" s="159"/>
      <c r="F230" s="159"/>
      <c r="G230" s="159"/>
      <c r="H230" s="159"/>
      <c r="I230" s="159"/>
      <c r="J230" s="542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  <c r="AG230" s="159"/>
      <c r="AH230" s="159"/>
      <c r="AI230" s="159"/>
      <c r="AJ230" s="159"/>
      <c r="AK230" s="159"/>
      <c r="AL230" s="159"/>
      <c r="AM230" s="159"/>
      <c r="AN230" s="159"/>
      <c r="AO230" s="159"/>
      <c r="AP230" s="159"/>
      <c r="AQ230" s="159"/>
      <c r="AR230" s="159"/>
      <c r="AS230" s="159"/>
      <c r="AT230" s="159"/>
      <c r="AU230" s="159"/>
      <c r="AV230" s="159"/>
      <c r="AW230" s="159"/>
      <c r="AX230" s="159"/>
      <c r="AY230" s="159"/>
      <c r="AZ230" s="159"/>
      <c r="BA230" s="159"/>
      <c r="BB230" s="159"/>
      <c r="BC230" s="159"/>
      <c r="BD230" s="159"/>
      <c r="BE230" s="159"/>
      <c r="BF230" s="159"/>
      <c r="BG230" s="568"/>
      <c r="BH230" s="568"/>
      <c r="BI230" s="537"/>
      <c r="BJ230" s="553"/>
      <c r="BK230" s="564"/>
      <c r="BL230" s="569"/>
      <c r="BM230" s="159"/>
      <c r="BN230" s="159"/>
      <c r="BO230" s="159"/>
      <c r="BP230" s="159"/>
      <c r="BQ230" s="159"/>
    </row>
    <row r="231" ht="18.75" customHeight="1">
      <c r="A231" s="159"/>
      <c r="B231" s="159"/>
      <c r="C231" s="159"/>
      <c r="D231" s="159"/>
      <c r="E231" s="159"/>
      <c r="F231" s="159"/>
      <c r="G231" s="159"/>
      <c r="H231" s="159"/>
      <c r="I231" s="159"/>
      <c r="J231" s="542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59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159"/>
      <c r="BF231" s="159"/>
      <c r="BG231" s="568"/>
      <c r="BH231" s="568"/>
      <c r="BI231" s="537"/>
      <c r="BJ231" s="553"/>
      <c r="BK231" s="564"/>
      <c r="BL231" s="569"/>
      <c r="BM231" s="159"/>
      <c r="BN231" s="159"/>
      <c r="BO231" s="159"/>
      <c r="BP231" s="159"/>
      <c r="BQ231" s="159"/>
    </row>
    <row r="232" ht="18.75" customHeight="1">
      <c r="A232" s="159"/>
      <c r="B232" s="159"/>
      <c r="C232" s="159"/>
      <c r="D232" s="159"/>
      <c r="E232" s="159"/>
      <c r="F232" s="159"/>
      <c r="G232" s="159"/>
      <c r="H232" s="159"/>
      <c r="I232" s="159"/>
      <c r="J232" s="542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  <c r="AG232" s="159"/>
      <c r="AH232" s="159"/>
      <c r="AI232" s="159"/>
      <c r="AJ232" s="159"/>
      <c r="AK232" s="159"/>
      <c r="AL232" s="159"/>
      <c r="AM232" s="159"/>
      <c r="AN232" s="159"/>
      <c r="AO232" s="159"/>
      <c r="AP232" s="159"/>
      <c r="AQ232" s="159"/>
      <c r="AR232" s="159"/>
      <c r="AS232" s="159"/>
      <c r="AT232" s="159"/>
      <c r="AU232" s="159"/>
      <c r="AV232" s="159"/>
      <c r="AW232" s="159"/>
      <c r="AX232" s="159"/>
      <c r="AY232" s="159"/>
      <c r="AZ232" s="159"/>
      <c r="BA232" s="159"/>
      <c r="BB232" s="159"/>
      <c r="BC232" s="159"/>
      <c r="BD232" s="159"/>
      <c r="BE232" s="159"/>
      <c r="BF232" s="159"/>
      <c r="BG232" s="568"/>
      <c r="BH232" s="568"/>
      <c r="BI232" s="537"/>
      <c r="BJ232" s="553"/>
      <c r="BK232" s="564"/>
      <c r="BL232" s="569"/>
      <c r="BM232" s="159"/>
      <c r="BN232" s="159"/>
      <c r="BO232" s="159"/>
      <c r="BP232" s="159"/>
      <c r="BQ232" s="159"/>
    </row>
    <row r="233" ht="18.75" customHeight="1">
      <c r="A233" s="159"/>
      <c r="B233" s="159"/>
      <c r="C233" s="159"/>
      <c r="D233" s="159"/>
      <c r="E233" s="159"/>
      <c r="F233" s="159"/>
      <c r="G233" s="159"/>
      <c r="H233" s="159"/>
      <c r="I233" s="159"/>
      <c r="J233" s="542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  <c r="AG233" s="15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59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159"/>
      <c r="BF233" s="159"/>
      <c r="BG233" s="568"/>
      <c r="BH233" s="568"/>
      <c r="BI233" s="537"/>
      <c r="BJ233" s="553"/>
      <c r="BK233" s="564"/>
      <c r="BL233" s="569"/>
      <c r="BM233" s="159"/>
      <c r="BN233" s="159"/>
      <c r="BO233" s="159"/>
      <c r="BP233" s="159"/>
      <c r="BQ233" s="159"/>
    </row>
    <row r="234" ht="18.75" customHeight="1">
      <c r="A234" s="159"/>
      <c r="B234" s="159"/>
      <c r="C234" s="159"/>
      <c r="D234" s="159"/>
      <c r="E234" s="159"/>
      <c r="F234" s="159"/>
      <c r="G234" s="159"/>
      <c r="H234" s="159"/>
      <c r="I234" s="159"/>
      <c r="J234" s="542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  <c r="AG234" s="159"/>
      <c r="AH234" s="159"/>
      <c r="AI234" s="159"/>
      <c r="AJ234" s="159"/>
      <c r="AK234" s="159"/>
      <c r="AL234" s="159"/>
      <c r="AM234" s="159"/>
      <c r="AN234" s="159"/>
      <c r="AO234" s="159"/>
      <c r="AP234" s="159"/>
      <c r="AQ234" s="159"/>
      <c r="AR234" s="159"/>
      <c r="AS234" s="159"/>
      <c r="AT234" s="159"/>
      <c r="AU234" s="159"/>
      <c r="AV234" s="159"/>
      <c r="AW234" s="159"/>
      <c r="AX234" s="159"/>
      <c r="AY234" s="159"/>
      <c r="AZ234" s="159"/>
      <c r="BA234" s="159"/>
      <c r="BB234" s="159"/>
      <c r="BC234" s="159"/>
      <c r="BD234" s="159"/>
      <c r="BE234" s="159"/>
      <c r="BF234" s="159"/>
      <c r="BG234" s="568"/>
      <c r="BH234" s="568"/>
      <c r="BI234" s="537"/>
      <c r="BJ234" s="553"/>
      <c r="BK234" s="564"/>
      <c r="BL234" s="569"/>
      <c r="BM234" s="159"/>
      <c r="BN234" s="159"/>
      <c r="BO234" s="159"/>
      <c r="BP234" s="159"/>
      <c r="BQ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573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568"/>
      <c r="BH235" s="568"/>
      <c r="BI235" s="576"/>
      <c r="BJ235" s="575"/>
      <c r="BK235" s="574"/>
      <c r="BL235" s="886"/>
      <c r="BM235" s="159"/>
      <c r="BN235" s="159"/>
      <c r="BO235" s="159"/>
      <c r="BP235" s="159"/>
      <c r="BQ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573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568"/>
      <c r="BH236" s="568"/>
      <c r="BI236" s="576"/>
      <c r="BJ236" s="575"/>
      <c r="BK236" s="574"/>
      <c r="BL236" s="886"/>
      <c r="BM236" s="159"/>
      <c r="BN236" s="159"/>
      <c r="BO236" s="159"/>
      <c r="BP236" s="159"/>
      <c r="BQ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573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568"/>
      <c r="BH237" s="568"/>
      <c r="BI237" s="576"/>
      <c r="BJ237" s="575"/>
      <c r="BK237" s="574"/>
      <c r="BL237" s="886"/>
      <c r="BM237" s="159"/>
      <c r="BN237" s="159"/>
      <c r="BO237" s="159"/>
      <c r="BP237" s="159"/>
      <c r="BQ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573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577"/>
      <c r="BH238" s="577"/>
      <c r="BI238" s="576"/>
      <c r="BJ238" s="575"/>
      <c r="BK238" s="574"/>
      <c r="BL238" s="886"/>
      <c r="BM238" s="159"/>
      <c r="BN238" s="159"/>
      <c r="BO238" s="159"/>
      <c r="BP238" s="159"/>
      <c r="BQ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573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577"/>
      <c r="BH239" s="577"/>
      <c r="BI239" s="576"/>
      <c r="BJ239" s="1081"/>
      <c r="BK239" s="1082"/>
      <c r="BL239" s="886"/>
      <c r="BM239" s="159"/>
      <c r="BN239" s="159"/>
      <c r="BO239" s="159"/>
      <c r="BP239" s="159"/>
      <c r="BQ239" s="27"/>
    </row>
  </sheetData>
  <mergeCells count="54">
    <mergeCell ref="M5:S5"/>
    <mergeCell ref="U5:U6"/>
    <mergeCell ref="AB5:AB6"/>
    <mergeCell ref="AC5:AC6"/>
    <mergeCell ref="AD5:AD6"/>
    <mergeCell ref="X5:X6"/>
    <mergeCell ref="Y5:Y6"/>
    <mergeCell ref="Z5:Z6"/>
    <mergeCell ref="AA5:AA6"/>
    <mergeCell ref="AE5:AE6"/>
    <mergeCell ref="AF5:AF6"/>
    <mergeCell ref="AG5:AG6"/>
    <mergeCell ref="AH5:AH6"/>
    <mergeCell ref="AI5:AI6"/>
    <mergeCell ref="AJ5:AJ6"/>
    <mergeCell ref="AK5:AK6"/>
    <mergeCell ref="AF4:AL4"/>
    <mergeCell ref="AM4:AM6"/>
    <mergeCell ref="A5:A6"/>
    <mergeCell ref="B5:B6"/>
    <mergeCell ref="C5:C6"/>
    <mergeCell ref="D5:D6"/>
    <mergeCell ref="E5:E6"/>
    <mergeCell ref="AL5:AL6"/>
    <mergeCell ref="F5:F6"/>
    <mergeCell ref="G5:H5"/>
    <mergeCell ref="I5:K5"/>
    <mergeCell ref="L5:L6"/>
    <mergeCell ref="V5:V6"/>
    <mergeCell ref="W5:W6"/>
    <mergeCell ref="AY5:AY6"/>
    <mergeCell ref="AN4:AP4"/>
    <mergeCell ref="AQ4:AV4"/>
    <mergeCell ref="BA4:BA6"/>
    <mergeCell ref="BB4:BB6"/>
    <mergeCell ref="AN5:AN6"/>
    <mergeCell ref="AO5:AO6"/>
    <mergeCell ref="AP5:AP6"/>
    <mergeCell ref="AZ5:AZ6"/>
    <mergeCell ref="AQ5:AQ6"/>
    <mergeCell ref="AR5:AR6"/>
    <mergeCell ref="AS5:AS6"/>
    <mergeCell ref="AT5:AT6"/>
    <mergeCell ref="AU5:AV5"/>
    <mergeCell ref="AW5:AW6"/>
    <mergeCell ref="AX5:AX6"/>
    <mergeCell ref="A2:B2"/>
    <mergeCell ref="BM2:BN2"/>
    <mergeCell ref="A3:BA3"/>
    <mergeCell ref="A4:B4"/>
    <mergeCell ref="G4:S4"/>
    <mergeCell ref="U4:Y4"/>
    <mergeCell ref="AA4:AD4"/>
    <mergeCell ref="AW4:AZ4"/>
  </mergeCell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  <drawing r:id="rId1"/>
  <legacyDrawing r:id="rId2"/>
</worksheet>
</file>

<file path=xl/worksheets/sheet8.xml><?xml version="1.0" encoding="utf-8"?>
<worksheet xmlns:r="http://schemas.openxmlformats.org/officeDocument/2006/relationships" xmlns="http://schemas.openxmlformats.org/spreadsheetml/2006/main">
  <dimension ref="A1:BD294"/>
  <sheetViews>
    <sheetView workbookViewId="0" showGridLines="0" defaultGridColor="1"/>
  </sheetViews>
  <sheetFormatPr defaultColWidth="14.4" defaultRowHeight="15" customHeight="1" outlineLevelRow="0" outlineLevelCol="0"/>
  <cols>
    <col min="1" max="1" width="10.6016" style="1083" customWidth="1"/>
    <col min="2" max="2" width="25.6016" style="1083" customWidth="1"/>
    <col min="3" max="7" width="15" style="1083" customWidth="1"/>
    <col min="8" max="8" width="16.4219" style="1083" customWidth="1"/>
    <col min="9" max="11" width="15" style="1083" customWidth="1"/>
    <col min="12" max="12" width="20.2109" style="1083" customWidth="1"/>
    <col min="13" max="24" width="15" style="1083" customWidth="1"/>
    <col min="25" max="25" width="10.6016" style="1083" customWidth="1"/>
    <col min="26" max="27" width="15" style="1083" customWidth="1"/>
    <col min="28" max="28" width="15.2109" style="1083" customWidth="1"/>
    <col min="29" max="30" width="17" style="1083" customWidth="1"/>
    <col min="31" max="32" width="15" style="1083" customWidth="1"/>
    <col min="33" max="33" width="19.4219" style="1083" customWidth="1"/>
    <col min="34" max="34" width="23.6016" style="1083" customWidth="1"/>
    <col min="35" max="35" width="17.8125" style="1083" customWidth="1"/>
    <col min="36" max="36" width="15" style="1083" customWidth="1"/>
    <col min="37" max="37" width="14.2109" style="1083" customWidth="1"/>
    <col min="38" max="38" width="15" style="1083" customWidth="1"/>
    <col min="39" max="39" width="15.4219" style="1083" customWidth="1"/>
    <col min="40" max="43" width="15" style="1083" customWidth="1"/>
    <col min="44" max="44" width="22.4219" style="1083" customWidth="1"/>
    <col min="45" max="45" width="17" style="1083" customWidth="1"/>
    <col min="46" max="56" width="15" style="1083" customWidth="1"/>
    <col min="57" max="16384" width="14.4219" style="1083" customWidth="1"/>
  </cols>
  <sheetData>
    <row r="1" ht="14.25" customHeight="1">
      <c r="A1" t="s" s="1084">
        <v>5392</v>
      </c>
      <c r="B1" t="s" s="1085">
        <v>384</v>
      </c>
      <c r="C1" s="1086"/>
      <c r="D1" t="s" s="1087">
        <v>5393</v>
      </c>
      <c r="E1" s="1088"/>
      <c r="F1" s="1089"/>
      <c r="G1" s="1089"/>
      <c r="H1" s="1089"/>
      <c r="I1" s="1089"/>
      <c r="J1" s="1089"/>
      <c r="K1" s="1090"/>
      <c r="L1" t="s" s="1087">
        <v>5394</v>
      </c>
      <c r="M1" s="1088"/>
      <c r="N1" s="1089"/>
      <c r="O1" s="1089"/>
      <c r="P1" s="1089"/>
      <c r="Q1" s="1089"/>
      <c r="R1" s="1089"/>
      <c r="S1" s="1089"/>
      <c r="T1" s="1089"/>
      <c r="U1" s="1090"/>
      <c r="V1" t="s" s="1087">
        <v>5395</v>
      </c>
      <c r="W1" s="1088"/>
      <c r="X1" s="1089"/>
      <c r="Y1" s="1089"/>
      <c r="Z1" s="1090"/>
      <c r="AA1" t="s" s="1087">
        <v>5396</v>
      </c>
      <c r="AB1" s="1088"/>
      <c r="AC1" s="1089"/>
      <c r="AD1" s="1089"/>
      <c r="AE1" s="1089"/>
      <c r="AF1" s="1089"/>
      <c r="AG1" s="1089"/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89"/>
      <c r="AX1" s="1089"/>
      <c r="AY1" s="1089"/>
      <c r="AZ1" s="1089"/>
      <c r="BA1" s="1089"/>
      <c r="BB1" s="1089"/>
      <c r="BC1" s="1089"/>
      <c r="BD1" s="1089"/>
    </row>
    <row r="2" ht="14.25" customHeight="1">
      <c r="A2" s="1091"/>
      <c r="B2" s="1091"/>
      <c r="C2" t="s" s="1092">
        <v>5397</v>
      </c>
      <c r="D2" t="s" s="1092">
        <v>5398</v>
      </c>
      <c r="E2" t="s" s="1092">
        <v>5399</v>
      </c>
      <c r="F2" t="s" s="1092">
        <v>5400</v>
      </c>
      <c r="G2" t="s" s="1092">
        <v>5401</v>
      </c>
      <c r="H2" t="s" s="1092">
        <v>5402</v>
      </c>
      <c r="I2" t="s" s="1092">
        <v>5403</v>
      </c>
      <c r="J2" t="s" s="1092">
        <v>5404</v>
      </c>
      <c r="K2" t="s" s="1092">
        <v>5405</v>
      </c>
      <c r="L2" t="s" s="1092">
        <v>5406</v>
      </c>
      <c r="M2" t="s" s="1092">
        <v>5407</v>
      </c>
      <c r="N2" t="s" s="1092">
        <v>5408</v>
      </c>
      <c r="O2" t="s" s="1092">
        <v>5409</v>
      </c>
      <c r="P2" t="s" s="1092">
        <v>5410</v>
      </c>
      <c r="Q2" t="s" s="1092">
        <v>5411</v>
      </c>
      <c r="R2" t="s" s="1092">
        <v>5412</v>
      </c>
      <c r="S2" t="s" s="1092">
        <v>5413</v>
      </c>
      <c r="T2" t="s" s="1092">
        <v>5414</v>
      </c>
      <c r="U2" t="s" s="1092">
        <v>5415</v>
      </c>
      <c r="V2" t="s" s="1092">
        <v>5416</v>
      </c>
      <c r="W2" t="s" s="1092">
        <v>5417</v>
      </c>
      <c r="X2" t="s" s="1092">
        <v>5418</v>
      </c>
      <c r="Y2" t="s" s="1092">
        <v>5419</v>
      </c>
      <c r="Z2" t="s" s="1092">
        <v>5420</v>
      </c>
      <c r="AA2" t="s" s="1092">
        <v>5421</v>
      </c>
      <c r="AB2" t="s" s="1092">
        <v>5422</v>
      </c>
      <c r="AC2" t="s" s="1092">
        <v>5423</v>
      </c>
      <c r="AD2" t="s" s="1092">
        <v>5424</v>
      </c>
      <c r="AE2" t="s" s="1092">
        <v>5425</v>
      </c>
      <c r="AF2" t="s" s="1092">
        <v>5426</v>
      </c>
      <c r="AG2" s="1093">
        <v>45542</v>
      </c>
      <c r="AH2" s="1093">
        <v>45543</v>
      </c>
      <c r="AI2" t="s" s="1092">
        <v>5427</v>
      </c>
      <c r="AJ2" t="s" s="1092">
        <v>5428</v>
      </c>
      <c r="AK2" t="s" s="1092">
        <v>5429</v>
      </c>
      <c r="AL2" t="s" s="1092">
        <v>5430</v>
      </c>
      <c r="AM2" t="s" s="1092">
        <v>5431</v>
      </c>
      <c r="AN2" t="s" s="1094">
        <v>5432</v>
      </c>
      <c r="AO2" t="s" s="1094">
        <v>5433</v>
      </c>
      <c r="AP2" t="s" s="1092">
        <v>5434</v>
      </c>
      <c r="AQ2" t="s" s="1092">
        <v>5435</v>
      </c>
      <c r="AR2" t="s" s="1092">
        <v>5436</v>
      </c>
      <c r="AS2" t="s" s="1092">
        <v>5437</v>
      </c>
      <c r="AT2" t="s" s="1092">
        <v>5438</v>
      </c>
      <c r="AU2" s="1095">
        <v>45556</v>
      </c>
      <c r="AV2" s="1095">
        <v>45557</v>
      </c>
      <c r="AW2" t="s" s="1092">
        <v>5439</v>
      </c>
      <c r="AX2" t="s" s="1092">
        <v>5440</v>
      </c>
      <c r="AY2" t="s" s="1092">
        <v>5441</v>
      </c>
      <c r="AZ2" t="s" s="1092">
        <v>5442</v>
      </c>
      <c r="BA2" t="s" s="1092">
        <v>5443</v>
      </c>
      <c r="BB2" s="1096">
        <v>45563</v>
      </c>
      <c r="BC2" s="1096">
        <v>45564</v>
      </c>
      <c r="BD2" t="s" s="1097">
        <v>5444</v>
      </c>
    </row>
    <row r="3" ht="14.25" customHeight="1">
      <c r="A3" s="1098">
        <v>1</v>
      </c>
      <c r="B3" t="s" s="1099">
        <v>5445</v>
      </c>
      <c r="C3" t="s" s="1099">
        <v>478</v>
      </c>
      <c r="D3" t="s" s="1099">
        <v>5446</v>
      </c>
      <c r="E3" t="s" s="1099">
        <v>5447</v>
      </c>
      <c r="F3" t="s" s="1099">
        <v>5448</v>
      </c>
      <c r="G3" t="s" s="1099">
        <v>5449</v>
      </c>
      <c r="H3" t="s" s="1099">
        <v>5450</v>
      </c>
      <c r="I3" t="s" s="1099">
        <v>5451</v>
      </c>
      <c r="J3" t="s" s="1099">
        <v>5452</v>
      </c>
      <c r="K3" t="s" s="1099">
        <v>5449</v>
      </c>
      <c r="L3" t="s" s="1099">
        <v>5453</v>
      </c>
      <c r="M3" t="s" s="1099">
        <v>5454</v>
      </c>
      <c r="N3" t="s" s="1099">
        <v>5449</v>
      </c>
      <c r="O3" t="s" s="1099">
        <v>5449</v>
      </c>
      <c r="P3" t="s" s="1099">
        <v>5449</v>
      </c>
      <c r="Q3" t="s" s="1099">
        <v>5449</v>
      </c>
      <c r="R3" t="s" s="1099">
        <v>5455</v>
      </c>
      <c r="S3" t="s" s="1099">
        <v>5456</v>
      </c>
      <c r="T3" t="s" s="1099">
        <v>5457</v>
      </c>
      <c r="U3" t="s" s="1099">
        <v>5458</v>
      </c>
      <c r="V3" t="s" s="1099">
        <v>5449</v>
      </c>
      <c r="W3" t="s" s="1099">
        <v>5449</v>
      </c>
      <c r="X3" t="s" s="1099">
        <v>5459</v>
      </c>
      <c r="Y3" t="s" s="1099">
        <v>5449</v>
      </c>
      <c r="Z3" t="s" s="1099">
        <v>5460</v>
      </c>
      <c r="AA3" t="s" s="1099">
        <v>478</v>
      </c>
      <c r="AB3" t="s" s="1099">
        <v>478</v>
      </c>
      <c r="AC3" t="s" s="1099">
        <v>478</v>
      </c>
      <c r="AD3" t="s" s="1099">
        <v>5461</v>
      </c>
      <c r="AE3" t="s" s="1099">
        <v>5462</v>
      </c>
      <c r="AF3" t="s" s="1099">
        <v>5463</v>
      </c>
      <c r="AG3" t="s" s="1100">
        <v>478</v>
      </c>
      <c r="AH3" t="s" s="1100">
        <v>478</v>
      </c>
      <c r="AI3" t="s" s="1099">
        <v>5464</v>
      </c>
      <c r="AJ3" t="s" s="1099">
        <v>5465</v>
      </c>
      <c r="AK3" t="s" s="1099">
        <v>478</v>
      </c>
      <c r="AL3" t="s" s="1099">
        <v>5466</v>
      </c>
      <c r="AM3" t="s" s="1099">
        <v>5467</v>
      </c>
      <c r="AN3" t="s" s="1101">
        <v>478</v>
      </c>
      <c r="AO3" t="s" s="1101">
        <v>478</v>
      </c>
      <c r="AP3" t="s" s="1099">
        <v>478</v>
      </c>
      <c r="AQ3" t="s" s="1099">
        <v>478</v>
      </c>
      <c r="AR3" t="s" s="1099">
        <v>478</v>
      </c>
      <c r="AS3" t="s" s="1099">
        <v>478</v>
      </c>
      <c r="AT3" t="s" s="1099">
        <v>478</v>
      </c>
      <c r="AU3" t="s" s="1101">
        <v>478</v>
      </c>
      <c r="AV3" t="s" s="1101">
        <v>478</v>
      </c>
      <c r="AW3" t="s" s="1099">
        <v>478</v>
      </c>
      <c r="AX3" t="s" s="1099">
        <v>478</v>
      </c>
      <c r="AY3" t="s" s="1099">
        <v>478</v>
      </c>
      <c r="AZ3" t="s" s="1099">
        <v>478</v>
      </c>
      <c r="BA3" t="s" s="1099">
        <v>478</v>
      </c>
      <c r="BB3" t="s" s="1101">
        <v>478</v>
      </c>
      <c r="BC3" t="s" s="1101">
        <v>478</v>
      </c>
      <c r="BD3" t="s" s="1099">
        <v>478</v>
      </c>
    </row>
    <row r="4" ht="14.25" customHeight="1">
      <c r="A4" s="1098">
        <v>2</v>
      </c>
      <c r="B4" t="s" s="1099">
        <v>5468</v>
      </c>
      <c r="C4" t="s" s="1099">
        <v>478</v>
      </c>
      <c r="D4" t="s" s="1099">
        <v>5446</v>
      </c>
      <c r="E4" t="s" s="1099">
        <v>5447</v>
      </c>
      <c r="F4" t="s" s="1099">
        <v>5469</v>
      </c>
      <c r="G4" t="s" s="1099">
        <v>5449</v>
      </c>
      <c r="H4" t="s" s="1099">
        <v>5450</v>
      </c>
      <c r="I4" t="s" s="1099">
        <v>5470</v>
      </c>
      <c r="J4" t="s" s="1099">
        <v>5471</v>
      </c>
      <c r="K4" t="s" s="1099">
        <v>5449</v>
      </c>
      <c r="L4" t="s" s="1099">
        <v>5449</v>
      </c>
      <c r="M4" t="s" s="1099">
        <v>5449</v>
      </c>
      <c r="N4" t="s" s="1099">
        <v>5449</v>
      </c>
      <c r="O4" t="s" s="1099">
        <v>5449</v>
      </c>
      <c r="P4" t="s" s="1099">
        <v>5449</v>
      </c>
      <c r="Q4" t="s" s="1099">
        <v>5449</v>
      </c>
      <c r="R4" t="s" s="1099">
        <v>5472</v>
      </c>
      <c r="S4" t="s" s="1099">
        <v>5473</v>
      </c>
      <c r="T4" t="s" s="1099">
        <v>5459</v>
      </c>
      <c r="U4" t="s" s="1099">
        <v>5459</v>
      </c>
      <c r="V4" t="s" s="1099">
        <v>5449</v>
      </c>
      <c r="W4" t="s" s="1099">
        <v>5449</v>
      </c>
      <c r="X4" t="s" s="1099">
        <v>5449</v>
      </c>
      <c r="Y4" t="s" s="1099">
        <v>5474</v>
      </c>
      <c r="Z4" t="s" s="1099">
        <v>5475</v>
      </c>
      <c r="AA4" t="s" s="1099">
        <v>478</v>
      </c>
      <c r="AB4" t="s" s="1099">
        <v>478</v>
      </c>
      <c r="AC4" t="s" s="1099">
        <v>478</v>
      </c>
      <c r="AD4" t="s" s="1099">
        <v>5476</v>
      </c>
      <c r="AE4" t="s" s="1099">
        <v>5477</v>
      </c>
      <c r="AF4" t="s" s="1099">
        <v>5478</v>
      </c>
      <c r="AG4" t="s" s="1100">
        <v>478</v>
      </c>
      <c r="AH4" t="s" s="1100">
        <v>478</v>
      </c>
      <c r="AI4" t="s" s="1099">
        <v>5479</v>
      </c>
      <c r="AJ4" t="s" s="1099">
        <v>5480</v>
      </c>
      <c r="AK4" t="s" s="1099">
        <v>478</v>
      </c>
      <c r="AL4" t="s" s="1099">
        <v>5481</v>
      </c>
      <c r="AM4" t="s" s="1099">
        <v>5482</v>
      </c>
      <c r="AN4" t="s" s="1101">
        <v>478</v>
      </c>
      <c r="AO4" t="s" s="1101">
        <v>478</v>
      </c>
      <c r="AP4" t="s" s="1099">
        <v>5483</v>
      </c>
      <c r="AQ4" t="s" s="1099">
        <v>5484</v>
      </c>
      <c r="AR4" t="s" s="1099">
        <v>5485</v>
      </c>
      <c r="AS4" t="s" s="1099">
        <v>5464</v>
      </c>
      <c r="AT4" t="s" s="1099">
        <v>5486</v>
      </c>
      <c r="AU4" t="s" s="1101">
        <v>478</v>
      </c>
      <c r="AV4" t="s" s="1101">
        <v>478</v>
      </c>
      <c r="AW4" t="s" s="1099">
        <v>5487</v>
      </c>
      <c r="AX4" t="s" s="1099">
        <v>5488</v>
      </c>
      <c r="AY4" t="s" s="1099">
        <v>5489</v>
      </c>
      <c r="AZ4" t="s" s="1099">
        <v>5490</v>
      </c>
      <c r="BA4" t="s" s="1099">
        <v>5491</v>
      </c>
      <c r="BB4" t="s" s="1101">
        <v>478</v>
      </c>
      <c r="BC4" t="s" s="1101">
        <v>478</v>
      </c>
      <c r="BD4" t="s" s="1099">
        <v>5492</v>
      </c>
    </row>
    <row r="5" ht="14.25" customHeight="1">
      <c r="A5" s="1098">
        <v>3</v>
      </c>
      <c r="B5" t="s" s="1099">
        <v>5493</v>
      </c>
      <c r="C5" t="s" s="1099">
        <v>478</v>
      </c>
      <c r="D5" t="s" s="1099">
        <v>5446</v>
      </c>
      <c r="E5" t="s" s="1099">
        <v>5447</v>
      </c>
      <c r="F5" t="s" s="1099">
        <v>5494</v>
      </c>
      <c r="G5" t="s" s="1099">
        <v>5449</v>
      </c>
      <c r="H5" t="s" s="1099">
        <v>5450</v>
      </c>
      <c r="I5" t="s" s="1099">
        <v>5495</v>
      </c>
      <c r="J5" t="s" s="1099">
        <v>5496</v>
      </c>
      <c r="K5" t="s" s="1099">
        <v>5449</v>
      </c>
      <c r="L5" t="s" s="1099">
        <v>5449</v>
      </c>
      <c r="M5" t="s" s="1099">
        <v>5449</v>
      </c>
      <c r="N5" t="s" s="1099">
        <v>5449</v>
      </c>
      <c r="O5" t="s" s="1099">
        <v>5449</v>
      </c>
      <c r="P5" t="s" s="1099">
        <v>5449</v>
      </c>
      <c r="Q5" t="s" s="1099">
        <v>5449</v>
      </c>
      <c r="R5" t="s" s="1099">
        <v>5497</v>
      </c>
      <c r="S5" t="s" s="1099">
        <v>5449</v>
      </c>
      <c r="T5" t="s" s="1099">
        <v>5459</v>
      </c>
      <c r="U5" t="s" s="1099">
        <v>5449</v>
      </c>
      <c r="V5" t="s" s="1099">
        <v>5498</v>
      </c>
      <c r="W5" t="s" s="1099">
        <v>5449</v>
      </c>
      <c r="X5" t="s" s="1099">
        <v>5498</v>
      </c>
      <c r="Y5" t="s" s="1099">
        <v>5474</v>
      </c>
      <c r="Z5" t="s" s="1099">
        <v>5499</v>
      </c>
      <c r="AA5" t="s" s="1099">
        <v>478</v>
      </c>
      <c r="AB5" t="s" s="1099">
        <v>478</v>
      </c>
      <c r="AC5" t="s" s="1099">
        <v>5500</v>
      </c>
      <c r="AD5" t="s" s="1099">
        <v>5501</v>
      </c>
      <c r="AE5" t="s" s="1099">
        <v>5502</v>
      </c>
      <c r="AF5" t="s" s="1099">
        <v>5464</v>
      </c>
      <c r="AG5" t="s" s="1100">
        <v>478</v>
      </c>
      <c r="AH5" t="s" s="1100">
        <v>478</v>
      </c>
      <c r="AI5" t="s" s="1099">
        <v>5503</v>
      </c>
      <c r="AJ5" t="s" s="1099">
        <v>5464</v>
      </c>
      <c r="AK5" t="s" s="1099">
        <v>5504</v>
      </c>
      <c r="AL5" t="s" s="1099">
        <v>5505</v>
      </c>
      <c r="AM5" t="s" s="1099">
        <v>478</v>
      </c>
      <c r="AN5" t="s" s="1101">
        <v>478</v>
      </c>
      <c r="AO5" t="s" s="1101">
        <v>478</v>
      </c>
      <c r="AP5" t="s" s="1099">
        <v>478</v>
      </c>
      <c r="AQ5" t="s" s="1099">
        <v>5506</v>
      </c>
      <c r="AR5" t="s" s="1099">
        <v>5507</v>
      </c>
      <c r="AS5" t="s" s="1099">
        <v>5508</v>
      </c>
      <c r="AT5" t="s" s="1099">
        <v>478</v>
      </c>
      <c r="AU5" t="s" s="1101">
        <v>478</v>
      </c>
      <c r="AV5" t="s" s="1101">
        <v>478</v>
      </c>
      <c r="AW5" t="s" s="1099">
        <v>5509</v>
      </c>
      <c r="AX5" t="s" s="1099">
        <v>5510</v>
      </c>
      <c r="AY5" t="s" s="1099">
        <v>5511</v>
      </c>
      <c r="AZ5" t="s" s="1099">
        <v>5508</v>
      </c>
      <c r="BA5" t="s" s="1099">
        <v>5512</v>
      </c>
      <c r="BB5" t="s" s="1101">
        <v>478</v>
      </c>
      <c r="BC5" t="s" s="1101">
        <v>478</v>
      </c>
      <c r="BD5" t="s" s="1099">
        <v>478</v>
      </c>
    </row>
    <row r="6" ht="15" customHeight="1">
      <c r="A6" s="1098">
        <v>4</v>
      </c>
      <c r="B6" t="s" s="1099">
        <v>5513</v>
      </c>
      <c r="C6" t="s" s="1099">
        <v>478</v>
      </c>
      <c r="D6" t="s" s="1099">
        <v>5446</v>
      </c>
      <c r="E6" t="s" s="1099">
        <v>5447</v>
      </c>
      <c r="F6" t="s" s="1099">
        <v>5456</v>
      </c>
      <c r="G6" t="s" s="1099">
        <v>5449</v>
      </c>
      <c r="H6" t="s" s="1099">
        <v>5450</v>
      </c>
      <c r="I6" t="s" s="1099">
        <v>5514</v>
      </c>
      <c r="J6" t="s" s="1099">
        <v>5514</v>
      </c>
      <c r="K6" t="s" s="1099">
        <v>5515</v>
      </c>
      <c r="L6" t="s" s="1099">
        <v>5516</v>
      </c>
      <c r="M6" t="s" s="1099">
        <v>5517</v>
      </c>
      <c r="N6" t="s" s="1099">
        <v>5449</v>
      </c>
      <c r="O6" t="s" s="1099">
        <v>5449</v>
      </c>
      <c r="P6" t="s" s="1099">
        <v>5449</v>
      </c>
      <c r="Q6" t="s" s="1099">
        <v>5449</v>
      </c>
      <c r="R6" t="s" s="1099">
        <v>5518</v>
      </c>
      <c r="S6" t="s" s="1099">
        <v>5450</v>
      </c>
      <c r="T6" t="s" s="1099">
        <v>5446</v>
      </c>
      <c r="U6" t="s" s="1099">
        <v>5450</v>
      </c>
      <c r="V6" t="s" s="1099">
        <v>5449</v>
      </c>
      <c r="W6" t="s" s="1099">
        <v>5449</v>
      </c>
      <c r="X6" t="s" s="1099">
        <v>5449</v>
      </c>
      <c r="Y6" t="s" s="1099">
        <v>5449</v>
      </c>
      <c r="Z6" t="s" s="1099">
        <v>5475</v>
      </c>
      <c r="AA6" t="s" s="1099">
        <v>478</v>
      </c>
      <c r="AB6" t="s" s="1099">
        <v>478</v>
      </c>
      <c r="AC6" t="s" s="1099">
        <v>478</v>
      </c>
      <c r="AD6" t="s" s="1102">
        <v>5519</v>
      </c>
      <c r="AE6" t="s" s="1099">
        <v>478</v>
      </c>
      <c r="AF6" t="s" s="1102">
        <v>5520</v>
      </c>
      <c r="AG6" t="s" s="1100">
        <v>478</v>
      </c>
      <c r="AH6" t="s" s="1100">
        <v>478</v>
      </c>
      <c r="AI6" t="s" s="1099">
        <v>5521</v>
      </c>
      <c r="AJ6" t="s" s="1099">
        <v>478</v>
      </c>
      <c r="AK6" t="s" s="1099">
        <v>478</v>
      </c>
      <c r="AL6" t="s" s="1099">
        <v>5522</v>
      </c>
      <c r="AM6" t="s" s="1099">
        <v>478</v>
      </c>
      <c r="AN6" t="s" s="1103">
        <v>478</v>
      </c>
      <c r="AO6" t="s" s="1103">
        <v>478</v>
      </c>
      <c r="AP6" t="s" s="1099">
        <v>478</v>
      </c>
      <c r="AQ6" t="s" s="1099">
        <v>5523</v>
      </c>
      <c r="AR6" t="s" s="1099">
        <v>5519</v>
      </c>
      <c r="AS6" t="s" s="1099">
        <v>478</v>
      </c>
      <c r="AT6" t="s" s="1099">
        <v>5524</v>
      </c>
      <c r="AU6" t="s" s="1101">
        <v>478</v>
      </c>
      <c r="AV6" t="s" s="1101">
        <v>478</v>
      </c>
      <c r="AW6" t="s" s="1099">
        <v>5525</v>
      </c>
      <c r="AX6" t="s" s="1099">
        <v>478</v>
      </c>
      <c r="AY6" t="s" s="1099">
        <v>478</v>
      </c>
      <c r="AZ6" t="s" s="1102">
        <v>5526</v>
      </c>
      <c r="BA6" t="s" s="1099">
        <v>5527</v>
      </c>
      <c r="BB6" t="s" s="1101">
        <v>478</v>
      </c>
      <c r="BC6" t="s" s="1101">
        <v>478</v>
      </c>
      <c r="BD6" t="s" s="1099">
        <v>478</v>
      </c>
    </row>
    <row r="7" ht="14.25" customHeight="1">
      <c r="A7" s="1098">
        <v>5</v>
      </c>
      <c r="B7" t="s" s="1099">
        <v>5528</v>
      </c>
      <c r="C7" t="s" s="1099">
        <v>478</v>
      </c>
      <c r="D7" t="s" s="1099">
        <v>5446</v>
      </c>
      <c r="E7" t="s" s="1099">
        <v>5447</v>
      </c>
      <c r="F7" t="s" s="1099">
        <v>5529</v>
      </c>
      <c r="G7" t="s" s="1099">
        <v>5449</v>
      </c>
      <c r="H7" t="s" s="1099">
        <v>5450</v>
      </c>
      <c r="I7" t="s" s="1099">
        <v>5530</v>
      </c>
      <c r="J7" t="s" s="1099">
        <v>5531</v>
      </c>
      <c r="K7" t="s" s="1099">
        <v>5449</v>
      </c>
      <c r="L7" t="s" s="1099">
        <v>5449</v>
      </c>
      <c r="M7" t="s" s="1099">
        <v>5449</v>
      </c>
      <c r="N7" t="s" s="1099">
        <v>5449</v>
      </c>
      <c r="O7" t="s" s="1099">
        <v>5449</v>
      </c>
      <c r="P7" t="s" s="1099">
        <v>5449</v>
      </c>
      <c r="Q7" t="s" s="1099">
        <v>5449</v>
      </c>
      <c r="R7" t="s" s="1099">
        <v>5532</v>
      </c>
      <c r="S7" t="s" s="1099">
        <v>5459</v>
      </c>
      <c r="T7" t="s" s="1099">
        <v>5459</v>
      </c>
      <c r="U7" t="s" s="1099">
        <v>5459</v>
      </c>
      <c r="V7" t="s" s="1099">
        <v>5449</v>
      </c>
      <c r="W7" t="s" s="1099">
        <v>5449</v>
      </c>
      <c r="X7" t="s" s="1099">
        <v>5449</v>
      </c>
      <c r="Y7" t="s" s="1099">
        <v>5473</v>
      </c>
      <c r="Z7" t="s" s="1099">
        <v>5449</v>
      </c>
      <c r="AA7" t="s" s="1099">
        <v>478</v>
      </c>
      <c r="AB7" t="s" s="1099">
        <v>478</v>
      </c>
      <c r="AC7" t="s" s="1099">
        <v>478</v>
      </c>
      <c r="AD7" t="s" s="1099">
        <v>5533</v>
      </c>
      <c r="AE7" t="s" s="1099">
        <v>5534</v>
      </c>
      <c r="AF7" t="s" s="1099">
        <v>5486</v>
      </c>
      <c r="AG7" t="s" s="1100">
        <v>478</v>
      </c>
      <c r="AH7" t="s" s="1100">
        <v>478</v>
      </c>
      <c r="AI7" t="s" s="1099">
        <v>5535</v>
      </c>
      <c r="AJ7" t="s" s="1099">
        <v>5536</v>
      </c>
      <c r="AK7" t="s" s="1099">
        <v>5537</v>
      </c>
      <c r="AL7" t="s" s="1099">
        <v>5538</v>
      </c>
      <c r="AM7" t="s" s="1099">
        <v>5538</v>
      </c>
      <c r="AN7" t="s" s="1101">
        <v>478</v>
      </c>
      <c r="AO7" t="s" s="1101">
        <v>478</v>
      </c>
      <c r="AP7" t="s" s="1099">
        <v>5539</v>
      </c>
      <c r="AQ7" t="s" s="1099">
        <v>5540</v>
      </c>
      <c r="AR7" t="s" s="1099">
        <v>5541</v>
      </c>
      <c r="AS7" t="s" s="1099">
        <v>478</v>
      </c>
      <c r="AT7" t="s" s="1099">
        <v>5540</v>
      </c>
      <c r="AU7" t="s" s="1101">
        <v>478</v>
      </c>
      <c r="AV7" t="s" s="1101">
        <v>478</v>
      </c>
      <c r="AW7" t="s" s="1099">
        <v>5542</v>
      </c>
      <c r="AX7" t="s" s="1099">
        <v>5543</v>
      </c>
      <c r="AY7" t="s" s="1099">
        <v>5544</v>
      </c>
      <c r="AZ7" t="s" s="1099">
        <v>5540</v>
      </c>
      <c r="BA7" t="s" s="1099">
        <v>5538</v>
      </c>
      <c r="BB7" t="s" s="1101">
        <v>478</v>
      </c>
      <c r="BC7" t="s" s="1101">
        <v>478</v>
      </c>
      <c r="BD7" t="s" s="1099">
        <v>5545</v>
      </c>
    </row>
    <row r="8" ht="14.25" customHeight="1">
      <c r="A8" s="1098">
        <v>6</v>
      </c>
      <c r="B8" t="s" s="1099">
        <v>5546</v>
      </c>
      <c r="C8" t="s" s="1099">
        <v>478</v>
      </c>
      <c r="D8" t="s" s="1099">
        <v>5446</v>
      </c>
      <c r="E8" t="s" s="1099">
        <v>5447</v>
      </c>
      <c r="F8" t="s" s="1099">
        <v>5547</v>
      </c>
      <c r="G8" t="s" s="1099">
        <v>5449</v>
      </c>
      <c r="H8" t="s" s="1099">
        <v>5450</v>
      </c>
      <c r="I8" t="s" s="1099">
        <v>5548</v>
      </c>
      <c r="J8" t="s" s="1099">
        <v>5549</v>
      </c>
      <c r="K8" t="s" s="1099">
        <v>5449</v>
      </c>
      <c r="L8" t="s" s="1099">
        <v>5473</v>
      </c>
      <c r="M8" t="s" s="1099">
        <v>5550</v>
      </c>
      <c r="N8" t="s" s="1099">
        <v>5449</v>
      </c>
      <c r="O8" t="s" s="1099">
        <v>5449</v>
      </c>
      <c r="P8" t="s" s="1099">
        <v>5449</v>
      </c>
      <c r="Q8" t="s" s="1099">
        <v>5449</v>
      </c>
      <c r="R8" t="s" s="1099">
        <v>5551</v>
      </c>
      <c r="S8" t="s" s="1099">
        <v>5459</v>
      </c>
      <c r="T8" t="s" s="1099">
        <v>5459</v>
      </c>
      <c r="U8" t="s" s="1099">
        <v>5459</v>
      </c>
      <c r="V8" t="s" s="1099">
        <v>5449</v>
      </c>
      <c r="W8" t="s" s="1099">
        <v>5449</v>
      </c>
      <c r="X8" t="s" s="1099">
        <v>5552</v>
      </c>
      <c r="Y8" t="s" s="1099">
        <v>5473</v>
      </c>
      <c r="Z8" t="s" s="1099">
        <v>5553</v>
      </c>
      <c r="AA8" t="s" s="1099">
        <v>478</v>
      </c>
      <c r="AB8" t="s" s="1099">
        <v>478</v>
      </c>
      <c r="AC8" t="s" s="1099">
        <v>478</v>
      </c>
      <c r="AD8" t="s" s="1099">
        <v>5554</v>
      </c>
      <c r="AE8" t="s" s="1099">
        <v>5555</v>
      </c>
      <c r="AF8" t="s" s="1099">
        <v>5556</v>
      </c>
      <c r="AG8" t="s" s="1100">
        <v>478</v>
      </c>
      <c r="AH8" t="s" s="1100">
        <v>478</v>
      </c>
      <c r="AI8" t="s" s="1102">
        <v>5557</v>
      </c>
      <c r="AJ8" t="s" s="1099">
        <v>5483</v>
      </c>
      <c r="AK8" t="s" s="1099">
        <v>478</v>
      </c>
      <c r="AL8" t="s" s="1099">
        <v>478</v>
      </c>
      <c r="AM8" t="s" s="1099">
        <v>5558</v>
      </c>
      <c r="AN8" t="s" s="1101">
        <v>478</v>
      </c>
      <c r="AO8" t="s" s="1101">
        <v>478</v>
      </c>
      <c r="AP8" t="s" s="1099">
        <v>5512</v>
      </c>
      <c r="AQ8" t="s" s="1099">
        <v>5541</v>
      </c>
      <c r="AR8" t="s" s="1099">
        <v>5559</v>
      </c>
      <c r="AS8" t="s" s="1099">
        <v>5560</v>
      </c>
      <c r="AT8" t="s" s="1099">
        <v>5561</v>
      </c>
      <c r="AU8" t="s" s="1101">
        <v>478</v>
      </c>
      <c r="AV8" t="s" s="1101">
        <v>478</v>
      </c>
      <c r="AW8" t="s" s="1102">
        <v>5562</v>
      </c>
      <c r="AX8" t="s" s="1099">
        <v>5563</v>
      </c>
      <c r="AY8" t="s" s="1099">
        <v>5482</v>
      </c>
      <c r="AZ8" t="s" s="1099">
        <v>5564</v>
      </c>
      <c r="BA8" t="s" s="1099">
        <v>5565</v>
      </c>
      <c r="BB8" t="s" s="1101">
        <v>478</v>
      </c>
      <c r="BC8" t="s" s="1101">
        <v>478</v>
      </c>
      <c r="BD8" t="s" s="1099">
        <v>5566</v>
      </c>
    </row>
    <row r="9" ht="14.25" customHeight="1">
      <c r="A9" s="1098">
        <v>7</v>
      </c>
      <c r="B9" t="s" s="1099">
        <v>5567</v>
      </c>
      <c r="C9" t="s" s="1099">
        <v>478</v>
      </c>
      <c r="D9" t="s" s="1099">
        <v>5446</v>
      </c>
      <c r="E9" t="s" s="1099">
        <v>5447</v>
      </c>
      <c r="F9" t="s" s="1099">
        <v>5568</v>
      </c>
      <c r="G9" t="s" s="1099">
        <v>5449</v>
      </c>
      <c r="H9" t="s" s="1099">
        <v>5450</v>
      </c>
      <c r="I9" t="s" s="1099">
        <v>5569</v>
      </c>
      <c r="J9" t="s" s="1099">
        <v>5570</v>
      </c>
      <c r="K9" t="s" s="1099">
        <v>5449</v>
      </c>
      <c r="L9" t="s" s="1099">
        <v>5473</v>
      </c>
      <c r="M9" t="s" s="1099">
        <v>5571</v>
      </c>
      <c r="N9" t="s" s="1099">
        <v>5449</v>
      </c>
      <c r="O9" t="s" s="1099">
        <v>5449</v>
      </c>
      <c r="P9" t="s" s="1099">
        <v>5449</v>
      </c>
      <c r="Q9" t="s" s="1099">
        <v>5449</v>
      </c>
      <c r="R9" t="s" s="1099">
        <v>5572</v>
      </c>
      <c r="S9" t="s" s="1099">
        <v>5459</v>
      </c>
      <c r="T9" t="s" s="1099">
        <v>5459</v>
      </c>
      <c r="U9" t="s" s="1099">
        <v>5459</v>
      </c>
      <c r="V9" t="s" s="1099">
        <v>5449</v>
      </c>
      <c r="W9" t="s" s="1099">
        <v>5449</v>
      </c>
      <c r="X9" t="s" s="1099">
        <v>5449</v>
      </c>
      <c r="Y9" t="s" s="1099">
        <v>5498</v>
      </c>
      <c r="Z9" t="s" s="1099">
        <v>5573</v>
      </c>
      <c r="AA9" t="s" s="1099">
        <v>478</v>
      </c>
      <c r="AB9" t="s" s="1099">
        <v>478</v>
      </c>
      <c r="AC9" t="s" s="1099">
        <v>478</v>
      </c>
      <c r="AD9" t="s" s="1102">
        <v>5574</v>
      </c>
      <c r="AE9" t="s" s="1099">
        <v>5575</v>
      </c>
      <c r="AF9" t="s" s="1099">
        <v>5576</v>
      </c>
      <c r="AG9" t="s" s="1100">
        <v>478</v>
      </c>
      <c r="AH9" t="s" s="1100">
        <v>478</v>
      </c>
      <c r="AI9" t="s" s="1099">
        <v>5577</v>
      </c>
      <c r="AJ9" t="s" s="1099">
        <v>5578</v>
      </c>
      <c r="AK9" t="s" s="1099">
        <v>478</v>
      </c>
      <c r="AL9" t="s" s="1099">
        <v>5579</v>
      </c>
      <c r="AM9" t="s" s="1099">
        <v>5580</v>
      </c>
      <c r="AN9" t="s" s="1101">
        <v>478</v>
      </c>
      <c r="AO9" t="s" s="1101">
        <v>478</v>
      </c>
      <c r="AP9" t="s" s="1099">
        <v>5581</v>
      </c>
      <c r="AQ9" t="s" s="1099">
        <v>5483</v>
      </c>
      <c r="AR9" t="s" s="1099">
        <v>5582</v>
      </c>
      <c r="AS9" t="s" s="1099">
        <v>5583</v>
      </c>
      <c r="AT9" t="s" s="1099">
        <v>5584</v>
      </c>
      <c r="AU9" t="s" s="1101">
        <v>478</v>
      </c>
      <c r="AV9" t="s" s="1101">
        <v>478</v>
      </c>
      <c r="AW9" t="s" s="1099">
        <v>5536</v>
      </c>
      <c r="AX9" t="s" s="1099">
        <v>5585</v>
      </c>
      <c r="AY9" t="s" s="1099">
        <v>5586</v>
      </c>
      <c r="AZ9" t="s" s="1099">
        <v>5587</v>
      </c>
      <c r="BA9" t="s" s="1099">
        <v>5588</v>
      </c>
      <c r="BB9" t="s" s="1101">
        <v>478</v>
      </c>
      <c r="BC9" t="s" s="1101">
        <v>478</v>
      </c>
      <c r="BD9" t="s" s="1099">
        <v>5589</v>
      </c>
    </row>
    <row r="10" ht="14.25" customHeight="1">
      <c r="A10" s="1098">
        <v>8</v>
      </c>
      <c r="B10" t="s" s="1099">
        <v>5590</v>
      </c>
      <c r="C10" t="s" s="1099">
        <v>478</v>
      </c>
      <c r="D10" t="s" s="1099">
        <v>5446</v>
      </c>
      <c r="E10" t="s" s="1099">
        <v>5447</v>
      </c>
      <c r="F10" t="s" s="1099">
        <v>5591</v>
      </c>
      <c r="G10" t="s" s="1099">
        <v>5449</v>
      </c>
      <c r="H10" t="s" s="1099">
        <v>5450</v>
      </c>
      <c r="I10" t="s" s="1099">
        <v>5592</v>
      </c>
      <c r="J10" t="s" s="1099">
        <v>5471</v>
      </c>
      <c r="K10" t="s" s="1099">
        <v>5449</v>
      </c>
      <c r="L10" t="s" s="1099">
        <v>5449</v>
      </c>
      <c r="M10" t="s" s="1099">
        <v>5449</v>
      </c>
      <c r="N10" t="s" s="1099">
        <v>5449</v>
      </c>
      <c r="O10" t="s" s="1099">
        <v>5449</v>
      </c>
      <c r="P10" t="s" s="1099">
        <v>5449</v>
      </c>
      <c r="Q10" t="s" s="1099">
        <v>5449</v>
      </c>
      <c r="R10" t="s" s="1099">
        <v>5472</v>
      </c>
      <c r="S10" t="s" s="1099">
        <v>5459</v>
      </c>
      <c r="T10" t="s" s="1099">
        <v>5459</v>
      </c>
      <c r="U10" t="s" s="1099">
        <v>5459</v>
      </c>
      <c r="V10" t="s" s="1099">
        <v>5449</v>
      </c>
      <c r="W10" t="s" s="1099">
        <v>5449</v>
      </c>
      <c r="X10" t="s" s="1099">
        <v>5449</v>
      </c>
      <c r="Y10" t="s" s="1099">
        <v>5593</v>
      </c>
      <c r="Z10" t="s" s="1099">
        <v>5449</v>
      </c>
      <c r="AA10" t="s" s="1099">
        <v>478</v>
      </c>
      <c r="AB10" t="s" s="1099">
        <v>478</v>
      </c>
      <c r="AC10" t="s" s="1099">
        <v>478</v>
      </c>
      <c r="AD10" t="s" s="1099">
        <v>5594</v>
      </c>
      <c r="AE10" t="s" s="1099">
        <v>5595</v>
      </c>
      <c r="AF10" t="s" s="1099">
        <v>478</v>
      </c>
      <c r="AG10" t="s" s="1100">
        <v>478</v>
      </c>
      <c r="AH10" t="s" s="1100">
        <v>478</v>
      </c>
      <c r="AI10" t="s" s="1099">
        <v>5596</v>
      </c>
      <c r="AJ10" t="s" s="1099">
        <v>5597</v>
      </c>
      <c r="AK10" t="s" s="1099">
        <v>478</v>
      </c>
      <c r="AL10" t="s" s="1099">
        <v>478</v>
      </c>
      <c r="AM10" t="s" s="1099">
        <v>5598</v>
      </c>
      <c r="AN10" t="s" s="1101">
        <v>478</v>
      </c>
      <c r="AO10" t="s" s="1101">
        <v>478</v>
      </c>
      <c r="AP10" t="s" s="1099">
        <v>5599</v>
      </c>
      <c r="AQ10" t="s" s="1099">
        <v>5600</v>
      </c>
      <c r="AR10" t="s" s="1099">
        <v>5544</v>
      </c>
      <c r="AS10" t="s" s="1099">
        <v>5601</v>
      </c>
      <c r="AT10" t="s" s="1099">
        <v>5602</v>
      </c>
      <c r="AU10" t="s" s="1101">
        <v>478</v>
      </c>
      <c r="AV10" t="s" s="1101">
        <v>478</v>
      </c>
      <c r="AW10" t="s" s="1099">
        <v>5603</v>
      </c>
      <c r="AX10" t="s" s="1099">
        <v>5604</v>
      </c>
      <c r="AY10" t="s" s="1099">
        <v>5605</v>
      </c>
      <c r="AZ10" t="s" s="1099">
        <v>5606</v>
      </c>
      <c r="BA10" t="s" s="1099">
        <v>5607</v>
      </c>
      <c r="BB10" t="s" s="1101">
        <v>478</v>
      </c>
      <c r="BC10" t="s" s="1101">
        <v>478</v>
      </c>
      <c r="BD10" t="s" s="1099">
        <v>5608</v>
      </c>
    </row>
    <row r="11" ht="14.25" customHeight="1">
      <c r="A11" s="1098">
        <v>9</v>
      </c>
      <c r="B11" t="s" s="1099">
        <v>5609</v>
      </c>
      <c r="C11" t="s" s="1099">
        <v>478</v>
      </c>
      <c r="D11" t="s" s="1099">
        <v>5446</v>
      </c>
      <c r="E11" t="s" s="1099">
        <v>5447</v>
      </c>
      <c r="F11" t="s" s="1099">
        <v>5610</v>
      </c>
      <c r="G11" t="s" s="1099">
        <v>5449</v>
      </c>
      <c r="H11" t="s" s="1099">
        <v>5450</v>
      </c>
      <c r="I11" t="s" s="1099">
        <v>5611</v>
      </c>
      <c r="J11" t="s" s="1099">
        <v>5612</v>
      </c>
      <c r="K11" t="s" s="1099">
        <v>5449</v>
      </c>
      <c r="L11" t="s" s="1099">
        <v>5459</v>
      </c>
      <c r="M11" t="s" s="1099">
        <v>5613</v>
      </c>
      <c r="N11" t="s" s="1099">
        <v>5449</v>
      </c>
      <c r="O11" t="s" s="1099">
        <v>5449</v>
      </c>
      <c r="P11" t="s" s="1099">
        <v>5449</v>
      </c>
      <c r="Q11" t="s" s="1099">
        <v>5449</v>
      </c>
      <c r="R11" t="s" s="1099">
        <v>5614</v>
      </c>
      <c r="S11" t="s" s="1099">
        <v>5459</v>
      </c>
      <c r="T11" t="s" s="1099">
        <v>5459</v>
      </c>
      <c r="U11" t="s" s="1099">
        <v>5459</v>
      </c>
      <c r="V11" t="s" s="1099">
        <v>5449</v>
      </c>
      <c r="W11" t="s" s="1099">
        <v>5449</v>
      </c>
      <c r="X11" t="s" s="1099">
        <v>5449</v>
      </c>
      <c r="Y11" t="s" s="1099">
        <v>5473</v>
      </c>
      <c r="Z11" t="s" s="1099">
        <v>5451</v>
      </c>
      <c r="AA11" t="s" s="1099">
        <v>478</v>
      </c>
      <c r="AB11" t="s" s="1099">
        <v>478</v>
      </c>
      <c r="AC11" t="s" s="1099">
        <v>478</v>
      </c>
      <c r="AD11" t="s" s="1099">
        <v>5615</v>
      </c>
      <c r="AE11" t="s" s="1099">
        <v>5616</v>
      </c>
      <c r="AF11" t="s" s="1099">
        <v>5486</v>
      </c>
      <c r="AG11" t="s" s="1100">
        <v>478</v>
      </c>
      <c r="AH11" t="s" s="1100">
        <v>478</v>
      </c>
      <c r="AI11" t="s" s="1102">
        <v>5617</v>
      </c>
      <c r="AJ11" t="s" s="1099">
        <v>5618</v>
      </c>
      <c r="AK11" t="s" s="1099">
        <v>478</v>
      </c>
      <c r="AL11" t="s" s="1099">
        <v>478</v>
      </c>
      <c r="AM11" t="s" s="1099">
        <v>5619</v>
      </c>
      <c r="AN11" t="s" s="1101">
        <v>478</v>
      </c>
      <c r="AO11" t="s" s="1101">
        <v>478</v>
      </c>
      <c r="AP11" t="s" s="1099">
        <v>5620</v>
      </c>
      <c r="AQ11" t="s" s="1099">
        <v>5538</v>
      </c>
      <c r="AR11" t="s" s="1099">
        <v>5621</v>
      </c>
      <c r="AS11" t="s" s="1099">
        <v>5622</v>
      </c>
      <c r="AT11" t="s" s="1099">
        <v>5623</v>
      </c>
      <c r="AU11" t="s" s="1101">
        <v>478</v>
      </c>
      <c r="AV11" t="s" s="1101">
        <v>478</v>
      </c>
      <c r="AW11" t="s" s="1099">
        <v>5624</v>
      </c>
      <c r="AX11" t="s" s="1099">
        <v>5604</v>
      </c>
      <c r="AY11" t="s" s="1099">
        <v>5625</v>
      </c>
      <c r="AZ11" t="s" s="1099">
        <v>5626</v>
      </c>
      <c r="BA11" t="s" s="1099">
        <v>5627</v>
      </c>
      <c r="BB11" t="s" s="1101">
        <v>478</v>
      </c>
      <c r="BC11" t="s" s="1101">
        <v>478</v>
      </c>
      <c r="BD11" t="s" s="1099">
        <v>5628</v>
      </c>
    </row>
    <row r="12" ht="14.25" customHeight="1">
      <c r="A12" s="1098">
        <v>10</v>
      </c>
      <c r="B12" t="s" s="1099">
        <v>5629</v>
      </c>
      <c r="C12" t="s" s="1099">
        <v>478</v>
      </c>
      <c r="D12" t="s" s="1099">
        <v>5446</v>
      </c>
      <c r="E12" t="s" s="1099">
        <v>5447</v>
      </c>
      <c r="F12" t="s" s="1099">
        <v>5630</v>
      </c>
      <c r="G12" t="s" s="1099">
        <v>5449</v>
      </c>
      <c r="H12" t="s" s="1099">
        <v>5450</v>
      </c>
      <c r="I12" t="s" s="1099">
        <v>5631</v>
      </c>
      <c r="J12" t="s" s="1099">
        <v>5632</v>
      </c>
      <c r="K12" t="s" s="1099">
        <v>5449</v>
      </c>
      <c r="L12" t="s" s="1099">
        <v>5449</v>
      </c>
      <c r="M12" t="s" s="1099">
        <v>5449</v>
      </c>
      <c r="N12" t="s" s="1099">
        <v>5449</v>
      </c>
      <c r="O12" t="s" s="1099">
        <v>5449</v>
      </c>
      <c r="P12" t="s" s="1099">
        <v>5449</v>
      </c>
      <c r="Q12" t="s" s="1099">
        <v>5449</v>
      </c>
      <c r="R12" t="s" s="1099">
        <v>5633</v>
      </c>
      <c r="S12" t="s" s="1099">
        <v>5459</v>
      </c>
      <c r="T12" t="s" s="1099">
        <v>5459</v>
      </c>
      <c r="U12" t="s" s="1099">
        <v>5459</v>
      </c>
      <c r="V12" t="s" s="1099">
        <v>5449</v>
      </c>
      <c r="W12" t="s" s="1099">
        <v>5449</v>
      </c>
      <c r="X12" t="s" s="1099">
        <v>5473</v>
      </c>
      <c r="Y12" t="s" s="1099">
        <v>5473</v>
      </c>
      <c r="Z12" t="s" s="1099">
        <v>5634</v>
      </c>
      <c r="AA12" t="s" s="1099">
        <v>478</v>
      </c>
      <c r="AB12" t="s" s="1099">
        <v>478</v>
      </c>
      <c r="AC12" t="s" s="1099">
        <v>478</v>
      </c>
      <c r="AD12" t="s" s="1099">
        <v>5575</v>
      </c>
      <c r="AE12" t="s" s="1099">
        <v>5635</v>
      </c>
      <c r="AF12" t="s" s="1099">
        <v>5576</v>
      </c>
      <c r="AG12" t="s" s="1100">
        <v>478</v>
      </c>
      <c r="AH12" t="s" s="1100">
        <v>478</v>
      </c>
      <c r="AI12" t="s" s="1099">
        <v>478</v>
      </c>
      <c r="AJ12" t="s" s="1099">
        <v>5576</v>
      </c>
      <c r="AK12" t="s" s="1099">
        <v>478</v>
      </c>
      <c r="AL12" t="s" s="1099">
        <v>5636</v>
      </c>
      <c r="AM12" t="s" s="1099">
        <v>5583</v>
      </c>
      <c r="AN12" t="s" s="1101">
        <v>478</v>
      </c>
      <c r="AO12" t="s" s="1101">
        <v>478</v>
      </c>
      <c r="AP12" t="s" s="1099">
        <v>5464</v>
      </c>
      <c r="AQ12" t="s" s="1099">
        <v>5637</v>
      </c>
      <c r="AR12" t="s" s="1099">
        <v>5638</v>
      </c>
      <c r="AS12" t="s" s="1099">
        <v>5639</v>
      </c>
      <c r="AT12" t="s" s="1099">
        <v>5583</v>
      </c>
      <c r="AU12" t="s" s="1101">
        <v>478</v>
      </c>
      <c r="AV12" t="s" s="1101">
        <v>478</v>
      </c>
      <c r="AW12" t="s" s="1099">
        <v>5560</v>
      </c>
      <c r="AX12" t="s" s="1099">
        <v>5640</v>
      </c>
      <c r="AY12" t="s" s="1099">
        <v>5641</v>
      </c>
      <c r="AZ12" t="s" s="1099">
        <v>5642</v>
      </c>
      <c r="BA12" t="s" s="1099">
        <v>5643</v>
      </c>
      <c r="BB12" t="s" s="1101">
        <v>478</v>
      </c>
      <c r="BC12" t="s" s="1101">
        <v>478</v>
      </c>
      <c r="BD12" t="s" s="1099">
        <v>478</v>
      </c>
    </row>
    <row r="13" ht="14.25" customHeight="1">
      <c r="A13" s="1098">
        <v>11</v>
      </c>
      <c r="B13" t="s" s="1099">
        <v>5644</v>
      </c>
      <c r="C13" t="s" s="1099">
        <v>478</v>
      </c>
      <c r="D13" t="s" s="1099">
        <v>5446</v>
      </c>
      <c r="E13" t="s" s="1099">
        <v>5447</v>
      </c>
      <c r="F13" t="s" s="1099">
        <v>5645</v>
      </c>
      <c r="G13" t="s" s="1099">
        <v>5449</v>
      </c>
      <c r="H13" t="s" s="1099">
        <v>5450</v>
      </c>
      <c r="I13" t="s" s="1099">
        <v>5646</v>
      </c>
      <c r="J13" t="s" s="1099">
        <v>5647</v>
      </c>
      <c r="K13" t="s" s="1099">
        <v>5449</v>
      </c>
      <c r="L13" t="s" s="1099">
        <v>5473</v>
      </c>
      <c r="M13" t="s" s="1099">
        <v>5648</v>
      </c>
      <c r="N13" t="s" s="1099">
        <v>5449</v>
      </c>
      <c r="O13" t="s" s="1099">
        <v>5449</v>
      </c>
      <c r="P13" t="s" s="1099">
        <v>5449</v>
      </c>
      <c r="Q13" t="s" s="1099">
        <v>5449</v>
      </c>
      <c r="R13" t="s" s="1099">
        <v>5649</v>
      </c>
      <c r="S13" t="s" s="1099">
        <v>5449</v>
      </c>
      <c r="T13" t="s" s="1099">
        <v>5459</v>
      </c>
      <c r="U13" t="s" s="1099">
        <v>5449</v>
      </c>
      <c r="V13" t="s" s="1099">
        <v>5449</v>
      </c>
      <c r="W13" t="s" s="1099">
        <v>5449</v>
      </c>
      <c r="X13" t="s" s="1099">
        <v>5459</v>
      </c>
      <c r="Y13" t="s" s="1099">
        <v>5473</v>
      </c>
      <c r="Z13" t="s" s="1099">
        <v>5650</v>
      </c>
      <c r="AA13" t="s" s="1099">
        <v>478</v>
      </c>
      <c r="AB13" t="s" s="1099">
        <v>478</v>
      </c>
      <c r="AC13" t="s" s="1099">
        <v>5486</v>
      </c>
      <c r="AD13" t="s" s="1099">
        <v>5651</v>
      </c>
      <c r="AE13" t="s" s="1099">
        <v>478</v>
      </c>
      <c r="AF13" t="s" s="1099">
        <v>478</v>
      </c>
      <c r="AG13" t="s" s="1100">
        <v>478</v>
      </c>
      <c r="AH13" t="s" s="1100">
        <v>478</v>
      </c>
      <c r="AI13" t="s" s="1099">
        <v>5461</v>
      </c>
      <c r="AJ13" t="s" s="1099">
        <v>478</v>
      </c>
      <c r="AK13" t="s" s="1099">
        <v>5464</v>
      </c>
      <c r="AL13" t="s" s="1099">
        <v>5652</v>
      </c>
      <c r="AM13" t="s" s="1102">
        <v>5653</v>
      </c>
      <c r="AN13" t="s" s="1101">
        <v>478</v>
      </c>
      <c r="AO13" t="s" s="1101">
        <v>478</v>
      </c>
      <c r="AP13" t="s" s="1099">
        <v>5560</v>
      </c>
      <c r="AQ13" t="s" s="1099">
        <v>5654</v>
      </c>
      <c r="AR13" t="s" s="1099">
        <v>5560</v>
      </c>
      <c r="AS13" t="s" s="1102">
        <v>5655</v>
      </c>
      <c r="AT13" t="s" s="1099">
        <v>5486</v>
      </c>
      <c r="AU13" t="s" s="1101">
        <v>478</v>
      </c>
      <c r="AV13" t="s" s="1101">
        <v>478</v>
      </c>
      <c r="AW13" t="s" s="1102">
        <v>5656</v>
      </c>
      <c r="AX13" t="s" s="1099">
        <v>5486</v>
      </c>
      <c r="AY13" t="s" s="1099">
        <v>5657</v>
      </c>
      <c r="AZ13" t="s" s="1099">
        <v>5464</v>
      </c>
      <c r="BA13" t="s" s="1099">
        <v>5487</v>
      </c>
      <c r="BB13" t="s" s="1101">
        <v>478</v>
      </c>
      <c r="BC13" t="s" s="1101">
        <v>478</v>
      </c>
      <c r="BD13" t="s" s="1099">
        <v>5657</v>
      </c>
    </row>
    <row r="14" ht="14.25" customHeight="1">
      <c r="A14" s="1098">
        <v>12</v>
      </c>
      <c r="B14" t="s" s="1099">
        <v>5658</v>
      </c>
      <c r="C14" t="s" s="1099">
        <v>478</v>
      </c>
      <c r="D14" t="s" s="1099">
        <v>5446</v>
      </c>
      <c r="E14" t="s" s="1099">
        <v>5447</v>
      </c>
      <c r="F14" t="s" s="1099">
        <v>5659</v>
      </c>
      <c r="G14" t="s" s="1099">
        <v>5449</v>
      </c>
      <c r="H14" t="s" s="1099">
        <v>5450</v>
      </c>
      <c r="I14" t="s" s="1099">
        <v>5660</v>
      </c>
      <c r="J14" t="s" s="1099">
        <v>5661</v>
      </c>
      <c r="K14" t="s" s="1099">
        <v>5449</v>
      </c>
      <c r="L14" t="s" s="1099">
        <v>5449</v>
      </c>
      <c r="M14" t="s" s="1099">
        <v>5449</v>
      </c>
      <c r="N14" t="s" s="1099">
        <v>5449</v>
      </c>
      <c r="O14" t="s" s="1099">
        <v>5449</v>
      </c>
      <c r="P14" t="s" s="1099">
        <v>5449</v>
      </c>
      <c r="Q14" t="s" s="1099">
        <v>5449</v>
      </c>
      <c r="R14" t="s" s="1099">
        <v>5662</v>
      </c>
      <c r="S14" t="s" s="1099">
        <v>5459</v>
      </c>
      <c r="T14" t="s" s="1099">
        <v>5473</v>
      </c>
      <c r="U14" t="s" s="1099">
        <v>5459</v>
      </c>
      <c r="V14" t="s" s="1099">
        <v>5449</v>
      </c>
      <c r="W14" t="s" s="1099">
        <v>5449</v>
      </c>
      <c r="X14" t="s" s="1099">
        <v>5474</v>
      </c>
      <c r="Y14" t="s" s="1099">
        <v>5593</v>
      </c>
      <c r="Z14" t="s" s="1099">
        <v>5663</v>
      </c>
      <c r="AA14" t="s" s="1099">
        <v>478</v>
      </c>
      <c r="AB14" t="s" s="1099">
        <v>478</v>
      </c>
      <c r="AC14" t="s" s="1099">
        <v>478</v>
      </c>
      <c r="AD14" t="s" s="1099">
        <v>5664</v>
      </c>
      <c r="AE14" t="s" s="1099">
        <v>5464</v>
      </c>
      <c r="AF14" t="s" s="1099">
        <v>5665</v>
      </c>
      <c r="AG14" t="s" s="1100">
        <v>478</v>
      </c>
      <c r="AH14" t="s" s="1100">
        <v>478</v>
      </c>
      <c r="AI14" t="s" s="1099">
        <v>478</v>
      </c>
      <c r="AJ14" t="s" s="1099">
        <v>5666</v>
      </c>
      <c r="AK14" t="s" s="1099">
        <v>478</v>
      </c>
      <c r="AL14" t="s" s="1099">
        <v>5667</v>
      </c>
      <c r="AM14" t="s" s="1099">
        <v>478</v>
      </c>
      <c r="AN14" t="s" s="1101">
        <v>478</v>
      </c>
      <c r="AO14" t="s" s="1101">
        <v>478</v>
      </c>
      <c r="AP14" t="s" s="1099">
        <v>5668</v>
      </c>
      <c r="AQ14" t="s" s="1099">
        <v>5669</v>
      </c>
      <c r="AR14" t="s" s="1099">
        <v>478</v>
      </c>
      <c r="AS14" t="s" s="1099">
        <v>5670</v>
      </c>
      <c r="AT14" t="s" s="1099">
        <v>5671</v>
      </c>
      <c r="AU14" t="s" s="1101">
        <v>478</v>
      </c>
      <c r="AV14" t="s" s="1101">
        <v>478</v>
      </c>
      <c r="AW14" t="s" s="1099">
        <v>5672</v>
      </c>
      <c r="AX14" t="s" s="1099">
        <v>5673</v>
      </c>
      <c r="AY14" t="s" s="1099">
        <v>5536</v>
      </c>
      <c r="AZ14" t="s" s="1099">
        <v>5674</v>
      </c>
      <c r="BA14" t="s" s="1099">
        <v>478</v>
      </c>
      <c r="BB14" t="s" s="1101">
        <v>478</v>
      </c>
      <c r="BC14" t="s" s="1101">
        <v>478</v>
      </c>
      <c r="BD14" t="s" s="1099">
        <v>5675</v>
      </c>
    </row>
    <row r="15" ht="14.25" customHeight="1">
      <c r="A15" s="1098">
        <v>13</v>
      </c>
      <c r="B15" t="s" s="1099">
        <v>167</v>
      </c>
      <c r="C15" t="s" s="1099">
        <v>478</v>
      </c>
      <c r="D15" t="s" s="1099">
        <v>5446</v>
      </c>
      <c r="E15" t="s" s="1099">
        <v>5447</v>
      </c>
      <c r="F15" t="s" s="1099">
        <v>5676</v>
      </c>
      <c r="G15" t="s" s="1099">
        <v>5449</v>
      </c>
      <c r="H15" t="s" s="1099">
        <v>5450</v>
      </c>
      <c r="I15" t="s" s="1099">
        <v>5677</v>
      </c>
      <c r="J15" t="s" s="1099">
        <v>5678</v>
      </c>
      <c r="K15" t="s" s="1099">
        <v>5449</v>
      </c>
      <c r="L15" t="s" s="1099">
        <v>5459</v>
      </c>
      <c r="M15" t="s" s="1099">
        <v>5679</v>
      </c>
      <c r="N15" t="s" s="1099">
        <v>5449</v>
      </c>
      <c r="O15" t="s" s="1099">
        <v>5449</v>
      </c>
      <c r="P15" t="s" s="1099">
        <v>5449</v>
      </c>
      <c r="Q15" t="s" s="1099">
        <v>5449</v>
      </c>
      <c r="R15" t="s" s="1099">
        <v>5680</v>
      </c>
      <c r="S15" t="s" s="1099">
        <v>5459</v>
      </c>
      <c r="T15" t="s" s="1099">
        <v>5458</v>
      </c>
      <c r="U15" t="s" s="1099">
        <v>5459</v>
      </c>
      <c r="V15" t="s" s="1099">
        <v>5449</v>
      </c>
      <c r="W15" t="s" s="1099">
        <v>5449</v>
      </c>
      <c r="X15" t="s" s="1099">
        <v>5474</v>
      </c>
      <c r="Y15" t="s" s="1099">
        <v>5474</v>
      </c>
      <c r="Z15" t="s" s="1099">
        <v>5681</v>
      </c>
      <c r="AA15" t="s" s="1099">
        <v>478</v>
      </c>
      <c r="AB15" t="s" s="1099">
        <v>478</v>
      </c>
      <c r="AC15" t="s" s="1099">
        <v>478</v>
      </c>
      <c r="AD15" t="s" s="1099">
        <v>5467</v>
      </c>
      <c r="AE15" t="s" s="1099">
        <v>5682</v>
      </c>
      <c r="AF15" t="s" s="1099">
        <v>5665</v>
      </c>
      <c r="AG15" t="s" s="1100">
        <v>478</v>
      </c>
      <c r="AH15" t="s" s="1100">
        <v>478</v>
      </c>
      <c r="AI15" t="s" s="1099">
        <v>5478</v>
      </c>
      <c r="AJ15" t="s" s="1102">
        <v>5683</v>
      </c>
      <c r="AK15" t="s" s="1099">
        <v>478</v>
      </c>
      <c r="AL15" t="s" s="1099">
        <v>478</v>
      </c>
      <c r="AM15" t="s" s="1099">
        <v>5684</v>
      </c>
      <c r="AN15" t="s" s="1101">
        <v>478</v>
      </c>
      <c r="AO15" t="s" s="1101">
        <v>478</v>
      </c>
      <c r="AP15" t="s" s="1099">
        <v>478</v>
      </c>
      <c r="AQ15" t="s" s="1099">
        <v>478</v>
      </c>
      <c r="AR15" t="s" s="1099">
        <v>5685</v>
      </c>
      <c r="AS15" t="s" s="1099">
        <v>5686</v>
      </c>
      <c r="AT15" t="s" s="1099">
        <v>5686</v>
      </c>
      <c r="AU15" t="s" s="1101">
        <v>478</v>
      </c>
      <c r="AV15" t="s" s="1101">
        <v>478</v>
      </c>
      <c r="AW15" t="s" s="1099">
        <v>5687</v>
      </c>
      <c r="AX15" t="s" s="1099">
        <v>5688</v>
      </c>
      <c r="AY15" t="s" s="1099">
        <v>5689</v>
      </c>
      <c r="AZ15" t="s" s="1099">
        <v>478</v>
      </c>
      <c r="BA15" t="s" s="1099">
        <v>5690</v>
      </c>
      <c r="BB15" t="s" s="1101">
        <v>478</v>
      </c>
      <c r="BC15" t="s" s="1101">
        <v>478</v>
      </c>
      <c r="BD15" t="s" s="1099">
        <v>5688</v>
      </c>
    </row>
    <row r="16" ht="18" customHeight="1">
      <c r="A16" s="1098">
        <v>14</v>
      </c>
      <c r="B16" t="s" s="1099">
        <v>5691</v>
      </c>
      <c r="C16" t="s" s="1099">
        <v>478</v>
      </c>
      <c r="D16" t="s" s="1099">
        <v>5446</v>
      </c>
      <c r="E16" t="s" s="1099">
        <v>5447</v>
      </c>
      <c r="F16" t="s" s="1099">
        <v>5692</v>
      </c>
      <c r="G16" t="s" s="1099">
        <v>5449</v>
      </c>
      <c r="H16" t="s" s="1099">
        <v>5450</v>
      </c>
      <c r="I16" t="s" s="1099">
        <v>5693</v>
      </c>
      <c r="J16" t="s" s="1099">
        <v>5694</v>
      </c>
      <c r="K16" t="s" s="1099">
        <v>5449</v>
      </c>
      <c r="L16" t="s" s="1099">
        <v>5593</v>
      </c>
      <c r="M16" t="s" s="1099">
        <v>5695</v>
      </c>
      <c r="N16" t="s" s="1099">
        <v>5449</v>
      </c>
      <c r="O16" t="s" s="1099">
        <v>5449</v>
      </c>
      <c r="P16" t="s" s="1099">
        <v>5449</v>
      </c>
      <c r="Q16" t="s" s="1099">
        <v>5449</v>
      </c>
      <c r="R16" t="s" s="1099">
        <v>5696</v>
      </c>
      <c r="S16" t="s" s="1099">
        <v>5459</v>
      </c>
      <c r="T16" t="s" s="1099">
        <v>5459</v>
      </c>
      <c r="U16" t="s" s="1099">
        <v>5459</v>
      </c>
      <c r="V16" t="s" s="1099">
        <v>5449</v>
      </c>
      <c r="W16" t="s" s="1099">
        <v>5449</v>
      </c>
      <c r="X16" t="s" s="1099">
        <v>5449</v>
      </c>
      <c r="Y16" t="s" s="1099">
        <v>5459</v>
      </c>
      <c r="Z16" t="s" s="1099">
        <v>5449</v>
      </c>
      <c r="AA16" t="s" s="1099">
        <v>478</v>
      </c>
      <c r="AB16" t="s" s="1099">
        <v>478</v>
      </c>
      <c r="AC16" t="s" s="1099">
        <v>478</v>
      </c>
      <c r="AD16" t="s" s="1099">
        <v>5697</v>
      </c>
      <c r="AE16" t="s" s="1099">
        <v>5698</v>
      </c>
      <c r="AF16" t="s" s="1099">
        <v>5699</v>
      </c>
      <c r="AG16" t="s" s="1100">
        <v>478</v>
      </c>
      <c r="AH16" t="s" s="1100">
        <v>478</v>
      </c>
      <c r="AI16" t="s" s="1099">
        <v>5700</v>
      </c>
      <c r="AJ16" t="s" s="1099">
        <v>5672</v>
      </c>
      <c r="AK16" t="s" s="1099">
        <v>5487</v>
      </c>
      <c r="AL16" t="s" s="1099">
        <v>5701</v>
      </c>
      <c r="AM16" t="s" s="1099">
        <v>5702</v>
      </c>
      <c r="AN16" t="s" s="1101">
        <v>478</v>
      </c>
      <c r="AO16" t="s" s="1101">
        <v>478</v>
      </c>
      <c r="AP16" t="s" s="1099">
        <v>478</v>
      </c>
      <c r="AQ16" t="s" s="1099">
        <v>5556</v>
      </c>
      <c r="AR16" t="s" s="1099">
        <v>5703</v>
      </c>
      <c r="AS16" t="s" s="1099">
        <v>5704</v>
      </c>
      <c r="AT16" t="s" s="1099">
        <v>5705</v>
      </c>
      <c r="AU16" t="s" s="1101">
        <v>478</v>
      </c>
      <c r="AV16" t="s" s="1101">
        <v>478</v>
      </c>
      <c r="AW16" t="s" s="1102">
        <v>5642</v>
      </c>
      <c r="AX16" t="s" s="1102">
        <v>5706</v>
      </c>
      <c r="AY16" t="s" s="1099">
        <v>5707</v>
      </c>
      <c r="AZ16" t="s" s="1099">
        <v>5486</v>
      </c>
      <c r="BA16" t="s" s="1099">
        <v>5708</v>
      </c>
      <c r="BB16" t="s" s="1101">
        <v>478</v>
      </c>
      <c r="BC16" t="s" s="1101">
        <v>478</v>
      </c>
      <c r="BD16" t="s" s="1099">
        <v>5709</v>
      </c>
    </row>
    <row r="17" ht="14.25" customHeight="1">
      <c r="A17" s="1098">
        <v>15</v>
      </c>
      <c r="B17" t="s" s="1099">
        <v>5710</v>
      </c>
      <c r="C17" t="s" s="1099">
        <v>478</v>
      </c>
      <c r="D17" t="s" s="1099">
        <v>5446</v>
      </c>
      <c r="E17" t="s" s="1099">
        <v>5447</v>
      </c>
      <c r="F17" t="s" s="1099">
        <v>5711</v>
      </c>
      <c r="G17" t="s" s="1099">
        <v>5449</v>
      </c>
      <c r="H17" t="s" s="1099">
        <v>5450</v>
      </c>
      <c r="I17" t="s" s="1099">
        <v>5712</v>
      </c>
      <c r="J17" t="s" s="1099">
        <v>5713</v>
      </c>
      <c r="K17" t="s" s="1099">
        <v>5449</v>
      </c>
      <c r="L17" t="s" s="1099">
        <v>5458</v>
      </c>
      <c r="M17" t="s" s="1099">
        <v>5714</v>
      </c>
      <c r="N17" t="s" s="1099">
        <v>5449</v>
      </c>
      <c r="O17" t="s" s="1099">
        <v>5449</v>
      </c>
      <c r="P17" t="s" s="1099">
        <v>5449</v>
      </c>
      <c r="Q17" t="s" s="1099">
        <v>5449</v>
      </c>
      <c r="R17" t="s" s="1099">
        <v>5715</v>
      </c>
      <c r="S17" t="s" s="1099">
        <v>5473</v>
      </c>
      <c r="T17" t="s" s="1099">
        <v>5456</v>
      </c>
      <c r="U17" t="s" s="1099">
        <v>5473</v>
      </c>
      <c r="V17" t="s" s="1099">
        <v>5552</v>
      </c>
      <c r="W17" t="s" s="1099">
        <v>5449</v>
      </c>
      <c r="X17" t="s" s="1099">
        <v>5449</v>
      </c>
      <c r="Y17" t="s" s="1099">
        <v>5459</v>
      </c>
      <c r="Z17" t="s" s="1099">
        <v>5475</v>
      </c>
      <c r="AA17" t="s" s="1099">
        <v>478</v>
      </c>
      <c r="AB17" t="s" s="1099">
        <v>478</v>
      </c>
      <c r="AC17" t="s" s="1099">
        <v>478</v>
      </c>
      <c r="AD17" t="s" s="1099">
        <v>5716</v>
      </c>
      <c r="AE17" t="s" s="1099">
        <v>5717</v>
      </c>
      <c r="AF17" t="s" s="1099">
        <v>5674</v>
      </c>
      <c r="AG17" t="s" s="1100">
        <v>478</v>
      </c>
      <c r="AH17" t="s" s="1100">
        <v>478</v>
      </c>
      <c r="AI17" t="s" s="1099">
        <v>5718</v>
      </c>
      <c r="AJ17" t="s" s="1099">
        <v>5719</v>
      </c>
      <c r="AK17" t="s" s="1099">
        <v>5720</v>
      </c>
      <c r="AL17" t="s" s="1099">
        <v>5721</v>
      </c>
      <c r="AM17" t="s" s="1099">
        <v>5560</v>
      </c>
      <c r="AN17" t="s" s="1101">
        <v>478</v>
      </c>
      <c r="AO17" t="s" s="1101">
        <v>478</v>
      </c>
      <c r="AP17" t="s" s="1102">
        <v>5722</v>
      </c>
      <c r="AQ17" t="s" s="1099">
        <v>5723</v>
      </c>
      <c r="AR17" t="s" s="1099">
        <v>5724</v>
      </c>
      <c r="AS17" t="s" s="1099">
        <v>5725</v>
      </c>
      <c r="AT17" t="s" s="1099">
        <v>5726</v>
      </c>
      <c r="AU17" t="s" s="1101">
        <v>478</v>
      </c>
      <c r="AV17" t="s" s="1101">
        <v>478</v>
      </c>
      <c r="AW17" t="s" s="1099">
        <v>5727</v>
      </c>
      <c r="AX17" t="s" s="1099">
        <v>5728</v>
      </c>
      <c r="AY17" t="s" s="1099">
        <v>478</v>
      </c>
      <c r="AZ17" t="s" s="1099">
        <v>5729</v>
      </c>
      <c r="BA17" t="s" s="1099">
        <v>5730</v>
      </c>
      <c r="BB17" t="s" s="1101">
        <v>478</v>
      </c>
      <c r="BC17" t="s" s="1101">
        <v>478</v>
      </c>
      <c r="BD17" t="s" s="1099">
        <v>5731</v>
      </c>
    </row>
    <row r="18" ht="14.25" customHeight="1">
      <c r="A18" s="1098">
        <v>16</v>
      </c>
      <c r="B18" t="s" s="1099">
        <v>5732</v>
      </c>
      <c r="C18" t="s" s="1099">
        <v>478</v>
      </c>
      <c r="D18" t="s" s="1099">
        <v>5446</v>
      </c>
      <c r="E18" t="s" s="1099">
        <v>5447</v>
      </c>
      <c r="F18" t="s" s="1099">
        <v>5733</v>
      </c>
      <c r="G18" t="s" s="1099">
        <v>5449</v>
      </c>
      <c r="H18" t="s" s="1099">
        <v>5450</v>
      </c>
      <c r="I18" t="s" s="1099">
        <v>5734</v>
      </c>
      <c r="J18" t="s" s="1099">
        <v>5735</v>
      </c>
      <c r="K18" t="s" s="1099">
        <v>5449</v>
      </c>
      <c r="L18" t="s" s="1099">
        <v>5459</v>
      </c>
      <c r="M18" t="s" s="1099">
        <v>5736</v>
      </c>
      <c r="N18" t="s" s="1099">
        <v>5449</v>
      </c>
      <c r="O18" t="s" s="1099">
        <v>5449</v>
      </c>
      <c r="P18" t="s" s="1099">
        <v>5449</v>
      </c>
      <c r="Q18" t="s" s="1099">
        <v>5449</v>
      </c>
      <c r="R18" t="s" s="1099">
        <v>5737</v>
      </c>
      <c r="S18" t="s" s="1099">
        <v>5459</v>
      </c>
      <c r="T18" t="s" s="1099">
        <v>5473</v>
      </c>
      <c r="U18" t="s" s="1099">
        <v>5459</v>
      </c>
      <c r="V18" t="s" s="1099">
        <v>5449</v>
      </c>
      <c r="W18" t="s" s="1099">
        <v>5449</v>
      </c>
      <c r="X18" t="s" s="1099">
        <v>5552</v>
      </c>
      <c r="Y18" t="s" s="1099">
        <v>5552</v>
      </c>
      <c r="Z18" t="s" s="1099">
        <v>5449</v>
      </c>
      <c r="AA18" t="s" s="1099">
        <v>478</v>
      </c>
      <c r="AB18" t="s" s="1099">
        <v>478</v>
      </c>
      <c r="AC18" t="s" s="1099">
        <v>478</v>
      </c>
      <c r="AD18" t="s" s="1099">
        <v>5738</v>
      </c>
      <c r="AE18" t="s" s="1099">
        <v>5739</v>
      </c>
      <c r="AF18" t="s" s="1099">
        <v>5576</v>
      </c>
      <c r="AG18" t="s" s="1100">
        <v>478</v>
      </c>
      <c r="AH18" t="s" s="1100">
        <v>478</v>
      </c>
      <c r="AI18" t="s" s="1099">
        <v>5555</v>
      </c>
      <c r="AJ18" t="s" s="1099">
        <v>5740</v>
      </c>
      <c r="AK18" t="s" s="1099">
        <v>5487</v>
      </c>
      <c r="AL18" t="s" s="1099">
        <v>5467</v>
      </c>
      <c r="AM18" t="s" s="1099">
        <v>5741</v>
      </c>
      <c r="AN18" t="s" s="1101">
        <v>478</v>
      </c>
      <c r="AO18" t="s" s="1101">
        <v>478</v>
      </c>
      <c r="AP18" t="s" s="1099">
        <v>5742</v>
      </c>
      <c r="AQ18" t="s" s="1099">
        <v>5743</v>
      </c>
      <c r="AR18" t="s" s="1099">
        <v>5744</v>
      </c>
      <c r="AS18" t="s" s="1102">
        <v>5745</v>
      </c>
      <c r="AT18" t="s" s="1099">
        <v>5746</v>
      </c>
      <c r="AU18" t="s" s="1101">
        <v>478</v>
      </c>
      <c r="AV18" t="s" s="1101">
        <v>478</v>
      </c>
      <c r="AW18" t="s" s="1099">
        <v>5747</v>
      </c>
      <c r="AX18" t="s" s="1099">
        <v>5748</v>
      </c>
      <c r="AY18" t="s" s="1099">
        <v>5749</v>
      </c>
      <c r="AZ18" t="s" s="1099">
        <v>5655</v>
      </c>
      <c r="BA18" t="s" s="1099">
        <v>5750</v>
      </c>
      <c r="BB18" t="s" s="1101">
        <v>478</v>
      </c>
      <c r="BC18" t="s" s="1101">
        <v>478</v>
      </c>
      <c r="BD18" t="s" s="1099">
        <v>5540</v>
      </c>
    </row>
    <row r="19" ht="14.25" customHeight="1">
      <c r="A19" s="1098">
        <v>17</v>
      </c>
      <c r="B19" t="s" s="1099">
        <v>5751</v>
      </c>
      <c r="C19" t="s" s="1099">
        <v>478</v>
      </c>
      <c r="D19" t="s" s="1099">
        <v>5446</v>
      </c>
      <c r="E19" t="s" s="1099">
        <v>5447</v>
      </c>
      <c r="F19" t="s" s="1099">
        <v>5752</v>
      </c>
      <c r="G19" t="s" s="1099">
        <v>5449</v>
      </c>
      <c r="H19" t="s" s="1099">
        <v>5450</v>
      </c>
      <c r="I19" t="s" s="1099">
        <v>5753</v>
      </c>
      <c r="J19" t="s" s="1099">
        <v>5754</v>
      </c>
      <c r="K19" t="s" s="1099">
        <v>5449</v>
      </c>
      <c r="L19" t="s" s="1099">
        <v>5459</v>
      </c>
      <c r="M19" t="s" s="1099">
        <v>5550</v>
      </c>
      <c r="N19" t="s" s="1099">
        <v>5449</v>
      </c>
      <c r="O19" t="s" s="1099">
        <v>5449</v>
      </c>
      <c r="P19" t="s" s="1099">
        <v>5449</v>
      </c>
      <c r="Q19" t="s" s="1099">
        <v>5449</v>
      </c>
      <c r="R19" t="s" s="1099">
        <v>5755</v>
      </c>
      <c r="S19" t="s" s="1099">
        <v>5459</v>
      </c>
      <c r="T19" t="s" s="1099">
        <v>5459</v>
      </c>
      <c r="U19" t="s" s="1099">
        <v>5459</v>
      </c>
      <c r="V19" t="s" s="1099">
        <v>5449</v>
      </c>
      <c r="W19" t="s" s="1099">
        <v>5449</v>
      </c>
      <c r="X19" t="s" s="1099">
        <v>5459</v>
      </c>
      <c r="Y19" t="s" s="1099">
        <v>5498</v>
      </c>
      <c r="Z19" t="s" s="1099">
        <v>5449</v>
      </c>
      <c r="AA19" t="s" s="1099">
        <v>478</v>
      </c>
      <c r="AB19" t="s" s="1099">
        <v>478</v>
      </c>
      <c r="AC19" t="s" s="1099">
        <v>478</v>
      </c>
      <c r="AD19" t="s" s="1099">
        <v>5666</v>
      </c>
      <c r="AE19" t="s" s="1099">
        <v>5756</v>
      </c>
      <c r="AF19" t="s" s="1099">
        <v>5487</v>
      </c>
      <c r="AG19" t="s" s="1100">
        <v>478</v>
      </c>
      <c r="AH19" t="s" s="1100">
        <v>478</v>
      </c>
      <c r="AI19" t="s" s="1099">
        <v>5486</v>
      </c>
      <c r="AJ19" t="s" s="1099">
        <v>5757</v>
      </c>
      <c r="AK19" t="s" s="1099">
        <v>478</v>
      </c>
      <c r="AL19" t="s" s="1099">
        <v>5758</v>
      </c>
      <c r="AM19" t="s" s="1099">
        <v>5759</v>
      </c>
      <c r="AN19" t="s" s="1101">
        <v>478</v>
      </c>
      <c r="AO19" t="s" s="1101">
        <v>478</v>
      </c>
      <c r="AP19" t="s" s="1102">
        <v>5760</v>
      </c>
      <c r="AQ19" t="s" s="1099">
        <v>5761</v>
      </c>
      <c r="AR19" t="s" s="1099">
        <v>478</v>
      </c>
      <c r="AS19" t="s" s="1099">
        <v>5486</v>
      </c>
      <c r="AT19" t="s" s="1099">
        <v>5486</v>
      </c>
      <c r="AU19" t="s" s="1101">
        <v>478</v>
      </c>
      <c r="AV19" t="s" s="1101">
        <v>478</v>
      </c>
      <c r="AW19" t="s" s="1099">
        <v>5486</v>
      </c>
      <c r="AX19" t="s" s="1099">
        <v>5762</v>
      </c>
      <c r="AY19" t="s" s="1099">
        <v>5763</v>
      </c>
      <c r="AZ19" t="s" s="1099">
        <v>5536</v>
      </c>
      <c r="BA19" t="s" s="1099">
        <v>5486</v>
      </c>
      <c r="BB19" t="s" s="1101">
        <v>478</v>
      </c>
      <c r="BC19" t="s" s="1101">
        <v>478</v>
      </c>
      <c r="BD19" t="s" s="1099">
        <v>5764</v>
      </c>
    </row>
    <row r="20" ht="14.25" customHeight="1">
      <c r="A20" s="1098">
        <v>18</v>
      </c>
      <c r="B20" t="s" s="1099">
        <v>5765</v>
      </c>
      <c r="C20" t="s" s="1099">
        <v>478</v>
      </c>
      <c r="D20" t="s" s="1099">
        <v>5446</v>
      </c>
      <c r="E20" t="s" s="1099">
        <v>5447</v>
      </c>
      <c r="F20" t="s" s="1099">
        <v>5766</v>
      </c>
      <c r="G20" t="s" s="1099">
        <v>5449</v>
      </c>
      <c r="H20" t="s" s="1099">
        <v>5450</v>
      </c>
      <c r="I20" t="s" s="1099">
        <v>5767</v>
      </c>
      <c r="J20" t="s" s="1099">
        <v>5768</v>
      </c>
      <c r="K20" t="s" s="1099">
        <v>5449</v>
      </c>
      <c r="L20" t="s" s="1099">
        <v>5449</v>
      </c>
      <c r="M20" t="s" s="1099">
        <v>5449</v>
      </c>
      <c r="N20" t="s" s="1099">
        <v>5449</v>
      </c>
      <c r="O20" t="s" s="1099">
        <v>5449</v>
      </c>
      <c r="P20" t="s" s="1099">
        <v>5449</v>
      </c>
      <c r="Q20" t="s" s="1099">
        <v>5449</v>
      </c>
      <c r="R20" t="s" s="1099">
        <v>5769</v>
      </c>
      <c r="S20" t="s" s="1099">
        <v>5449</v>
      </c>
      <c r="T20" t="s" s="1099">
        <v>5449</v>
      </c>
      <c r="U20" t="s" s="1099">
        <v>5449</v>
      </c>
      <c r="V20" t="s" s="1099">
        <v>5449</v>
      </c>
      <c r="W20" t="s" s="1099">
        <v>5449</v>
      </c>
      <c r="X20" t="s" s="1099">
        <v>5473</v>
      </c>
      <c r="Y20" t="s" s="1099">
        <v>5593</v>
      </c>
      <c r="Z20" t="s" s="1099">
        <v>5770</v>
      </c>
      <c r="AA20" t="s" s="1099">
        <v>478</v>
      </c>
      <c r="AB20" t="s" s="1099">
        <v>478</v>
      </c>
      <c r="AC20" t="s" s="1099">
        <v>5486</v>
      </c>
      <c r="AD20" t="s" s="1099">
        <v>5575</v>
      </c>
      <c r="AE20" t="s" s="1099">
        <v>5771</v>
      </c>
      <c r="AF20" t="s" s="1099">
        <v>478</v>
      </c>
      <c r="AG20" t="s" s="1100">
        <v>478</v>
      </c>
      <c r="AH20" t="s" s="1100">
        <v>478</v>
      </c>
      <c r="AI20" t="s" s="1099">
        <v>5772</v>
      </c>
      <c r="AJ20" t="s" s="1099">
        <v>5773</v>
      </c>
      <c r="AK20" t="s" s="1099">
        <v>478</v>
      </c>
      <c r="AL20" t="s" s="1099">
        <v>478</v>
      </c>
      <c r="AM20" t="s" s="1099">
        <v>5723</v>
      </c>
      <c r="AN20" t="s" s="1101">
        <v>478</v>
      </c>
      <c r="AO20" t="s" s="1101">
        <v>478</v>
      </c>
      <c r="AP20" t="s" s="1099">
        <v>5774</v>
      </c>
      <c r="AQ20" t="s" s="1099">
        <v>5775</v>
      </c>
      <c r="AR20" t="s" s="1099">
        <v>478</v>
      </c>
      <c r="AS20" t="s" s="1099">
        <v>5776</v>
      </c>
      <c r="AT20" t="s" s="1099">
        <v>5777</v>
      </c>
      <c r="AU20" t="s" s="1101">
        <v>478</v>
      </c>
      <c r="AV20" t="s" s="1101">
        <v>478</v>
      </c>
      <c r="AW20" t="s" s="1099">
        <v>478</v>
      </c>
      <c r="AX20" t="s" s="1099">
        <v>5778</v>
      </c>
      <c r="AY20" t="s" s="1099">
        <v>5779</v>
      </c>
      <c r="AZ20" t="s" s="1099">
        <v>5489</v>
      </c>
      <c r="BA20" t="s" s="1099">
        <v>5780</v>
      </c>
      <c r="BB20" t="s" s="1101">
        <v>478</v>
      </c>
      <c r="BC20" t="s" s="1101">
        <v>478</v>
      </c>
      <c r="BD20" t="s" s="1099">
        <v>5594</v>
      </c>
    </row>
    <row r="21" ht="14.25" customHeight="1">
      <c r="A21" s="1098">
        <v>19</v>
      </c>
      <c r="B21" t="s" s="1099">
        <v>5781</v>
      </c>
      <c r="C21" t="s" s="1099">
        <v>478</v>
      </c>
      <c r="D21" t="s" s="1099">
        <v>5446</v>
      </c>
      <c r="E21" t="s" s="1099">
        <v>5447</v>
      </c>
      <c r="F21" t="s" s="1099">
        <v>5782</v>
      </c>
      <c r="G21" t="s" s="1099">
        <v>5449</v>
      </c>
      <c r="H21" t="s" s="1099">
        <v>5450</v>
      </c>
      <c r="I21" t="s" s="1099">
        <v>5783</v>
      </c>
      <c r="J21" t="s" s="1099">
        <v>5784</v>
      </c>
      <c r="K21" t="s" s="1099">
        <v>5449</v>
      </c>
      <c r="L21" t="s" s="1099">
        <v>5459</v>
      </c>
      <c r="M21" t="s" s="1099">
        <v>5736</v>
      </c>
      <c r="N21" t="s" s="1099">
        <v>5449</v>
      </c>
      <c r="O21" t="s" s="1099">
        <v>5449</v>
      </c>
      <c r="P21" t="s" s="1099">
        <v>5449</v>
      </c>
      <c r="Q21" t="s" s="1099">
        <v>5449</v>
      </c>
      <c r="R21" t="s" s="1099">
        <v>5785</v>
      </c>
      <c r="S21" t="s" s="1099">
        <v>5473</v>
      </c>
      <c r="T21" t="s" s="1099">
        <v>5458</v>
      </c>
      <c r="U21" t="s" s="1099">
        <v>5473</v>
      </c>
      <c r="V21" t="s" s="1099">
        <v>5449</v>
      </c>
      <c r="W21" t="s" s="1099">
        <v>5449</v>
      </c>
      <c r="X21" t="s" s="1099">
        <v>5449</v>
      </c>
      <c r="Y21" t="s" s="1099">
        <v>5593</v>
      </c>
      <c r="Z21" t="s" s="1099">
        <v>5449</v>
      </c>
      <c r="AA21" t="s" s="1099">
        <v>478</v>
      </c>
      <c r="AB21" t="s" s="1099">
        <v>478</v>
      </c>
      <c r="AC21" t="s" s="1099">
        <v>478</v>
      </c>
      <c r="AD21" t="s" s="1099">
        <v>5786</v>
      </c>
      <c r="AE21" t="s" s="1099">
        <v>5739</v>
      </c>
      <c r="AF21" t="s" s="1099">
        <v>5686</v>
      </c>
      <c r="AG21" t="s" s="1100">
        <v>478</v>
      </c>
      <c r="AH21" t="s" s="1100">
        <v>478</v>
      </c>
      <c r="AI21" t="s" s="1099">
        <v>5780</v>
      </c>
      <c r="AJ21" t="s" s="1099">
        <v>478</v>
      </c>
      <c r="AK21" t="s" s="1099">
        <v>478</v>
      </c>
      <c r="AL21" t="s" s="1099">
        <v>5540</v>
      </c>
      <c r="AM21" t="s" s="1099">
        <v>5787</v>
      </c>
      <c r="AN21" t="s" s="1101">
        <v>478</v>
      </c>
      <c r="AO21" t="s" s="1101">
        <v>478</v>
      </c>
      <c r="AP21" t="s" s="1099">
        <v>5788</v>
      </c>
      <c r="AQ21" t="s" s="1099">
        <v>5729</v>
      </c>
      <c r="AR21" t="s" s="1099">
        <v>5655</v>
      </c>
      <c r="AS21" t="s" s="1099">
        <v>5740</v>
      </c>
      <c r="AT21" t="s" s="1099">
        <v>478</v>
      </c>
      <c r="AU21" t="s" s="1101">
        <v>478</v>
      </c>
      <c r="AV21" t="s" s="1101">
        <v>478</v>
      </c>
      <c r="AW21" t="s" s="1099">
        <v>5789</v>
      </c>
      <c r="AX21" t="s" s="1099">
        <v>5790</v>
      </c>
      <c r="AY21" t="s" s="1099">
        <v>5539</v>
      </c>
      <c r="AZ21" t="s" s="1099">
        <v>5791</v>
      </c>
      <c r="BA21" t="s" s="1099">
        <v>5792</v>
      </c>
      <c r="BB21" t="s" s="1101">
        <v>478</v>
      </c>
      <c r="BC21" t="s" s="1101">
        <v>478</v>
      </c>
      <c r="BD21" t="s" s="1099">
        <v>478</v>
      </c>
    </row>
    <row r="22" ht="14.25" customHeight="1">
      <c r="A22" s="1098">
        <v>20</v>
      </c>
      <c r="B22" t="s" s="1099">
        <v>5793</v>
      </c>
      <c r="C22" t="s" s="1099">
        <v>478</v>
      </c>
      <c r="D22" t="s" s="1099">
        <v>5446</v>
      </c>
      <c r="E22" t="s" s="1099">
        <v>5447</v>
      </c>
      <c r="F22" t="s" s="1099">
        <v>5610</v>
      </c>
      <c r="G22" t="s" s="1099">
        <v>5449</v>
      </c>
      <c r="H22" t="s" s="1099">
        <v>5450</v>
      </c>
      <c r="I22" t="s" s="1099">
        <v>5734</v>
      </c>
      <c r="J22" t="s" s="1099">
        <v>5794</v>
      </c>
      <c r="K22" t="s" s="1099">
        <v>5449</v>
      </c>
      <c r="L22" t="s" s="1099">
        <v>5449</v>
      </c>
      <c r="M22" t="s" s="1099">
        <v>5449</v>
      </c>
      <c r="N22" t="s" s="1099">
        <v>5449</v>
      </c>
      <c r="O22" t="s" s="1099">
        <v>5449</v>
      </c>
      <c r="P22" t="s" s="1099">
        <v>5449</v>
      </c>
      <c r="Q22" t="s" s="1099">
        <v>5449</v>
      </c>
      <c r="R22" t="s" s="1099">
        <v>5795</v>
      </c>
      <c r="S22" t="s" s="1099">
        <v>5459</v>
      </c>
      <c r="T22" t="s" s="1099">
        <v>5459</v>
      </c>
      <c r="U22" t="s" s="1099">
        <v>5459</v>
      </c>
      <c r="V22" t="s" s="1099">
        <v>5449</v>
      </c>
      <c r="W22" t="s" s="1099">
        <v>5449</v>
      </c>
      <c r="X22" t="s" s="1099">
        <v>5459</v>
      </c>
      <c r="Y22" t="s" s="1099">
        <v>5459</v>
      </c>
      <c r="Z22" t="s" s="1099">
        <v>5681</v>
      </c>
      <c r="AA22" t="s" s="1099">
        <v>478</v>
      </c>
      <c r="AB22" t="s" s="1099">
        <v>478</v>
      </c>
      <c r="AC22" t="s" s="1099">
        <v>478</v>
      </c>
      <c r="AD22" t="s" s="1099">
        <v>5607</v>
      </c>
      <c r="AE22" t="s" s="1099">
        <v>5796</v>
      </c>
      <c r="AF22" t="s" s="1099">
        <v>5797</v>
      </c>
      <c r="AG22" t="s" s="1100">
        <v>478</v>
      </c>
      <c r="AH22" t="s" s="1100">
        <v>478</v>
      </c>
      <c r="AI22" t="s" s="1099">
        <v>5798</v>
      </c>
      <c r="AJ22" t="s" s="1099">
        <v>5542</v>
      </c>
      <c r="AK22" t="s" s="1099">
        <v>5594</v>
      </c>
      <c r="AL22" t="s" s="1099">
        <v>478</v>
      </c>
      <c r="AM22" t="s" s="1099">
        <v>5799</v>
      </c>
      <c r="AN22" t="s" s="1101">
        <v>478</v>
      </c>
      <c r="AO22" t="s" s="1101">
        <v>478</v>
      </c>
      <c r="AP22" t="s" s="1099">
        <v>5800</v>
      </c>
      <c r="AQ22" t="s" s="1099">
        <v>5801</v>
      </c>
      <c r="AR22" t="s" s="1099">
        <v>5802</v>
      </c>
      <c r="AS22" t="s" s="1099">
        <v>5803</v>
      </c>
      <c r="AT22" t="s" s="1099">
        <v>478</v>
      </c>
      <c r="AU22" t="s" s="1101">
        <v>478</v>
      </c>
      <c r="AV22" t="s" s="1101">
        <v>478</v>
      </c>
      <c r="AW22" t="s" s="1099">
        <v>5804</v>
      </c>
      <c r="AX22" t="s" s="1099">
        <v>5805</v>
      </c>
      <c r="AY22" t="s" s="1099">
        <v>5806</v>
      </c>
      <c r="AZ22" t="s" s="1099">
        <v>5807</v>
      </c>
      <c r="BA22" t="s" s="1099">
        <v>5808</v>
      </c>
      <c r="BB22" t="s" s="1101">
        <v>478</v>
      </c>
      <c r="BC22" t="s" s="1101">
        <v>478</v>
      </c>
      <c r="BD22" t="s" s="1099">
        <v>5575</v>
      </c>
    </row>
    <row r="23" ht="14.25" customHeight="1">
      <c r="A23" s="1098">
        <v>21</v>
      </c>
      <c r="B23" t="s" s="1099">
        <v>5809</v>
      </c>
      <c r="C23" t="s" s="1099">
        <v>478</v>
      </c>
      <c r="D23" t="s" s="1099">
        <v>5446</v>
      </c>
      <c r="E23" t="s" s="1099">
        <v>5447</v>
      </c>
      <c r="F23" t="s" s="1099">
        <v>5810</v>
      </c>
      <c r="G23" t="s" s="1099">
        <v>5449</v>
      </c>
      <c r="H23" t="s" s="1099">
        <v>5450</v>
      </c>
      <c r="I23" t="s" s="1099">
        <v>5811</v>
      </c>
      <c r="J23" t="s" s="1099">
        <v>5812</v>
      </c>
      <c r="K23" t="s" s="1099">
        <v>5449</v>
      </c>
      <c r="L23" t="s" s="1099">
        <v>5473</v>
      </c>
      <c r="M23" t="s" s="1099">
        <v>5679</v>
      </c>
      <c r="N23" t="s" s="1099">
        <v>5449</v>
      </c>
      <c r="O23" t="s" s="1099">
        <v>5449</v>
      </c>
      <c r="P23" t="s" s="1099">
        <v>5449</v>
      </c>
      <c r="Q23" t="s" s="1099">
        <v>5449</v>
      </c>
      <c r="R23" t="s" s="1099">
        <v>5813</v>
      </c>
      <c r="S23" t="s" s="1099">
        <v>5459</v>
      </c>
      <c r="T23" t="s" s="1099">
        <v>5473</v>
      </c>
      <c r="U23" t="s" s="1099">
        <v>5459</v>
      </c>
      <c r="V23" t="s" s="1099">
        <v>5449</v>
      </c>
      <c r="W23" t="s" s="1099">
        <v>5449</v>
      </c>
      <c r="X23" t="s" s="1099">
        <v>5459</v>
      </c>
      <c r="Y23" t="s" s="1099">
        <v>5473</v>
      </c>
      <c r="Z23" t="s" s="1099">
        <v>5475</v>
      </c>
      <c r="AA23" t="s" s="1099">
        <v>478</v>
      </c>
      <c r="AB23" t="s" s="1099">
        <v>478</v>
      </c>
      <c r="AC23" t="s" s="1099">
        <v>478</v>
      </c>
      <c r="AD23" t="s" s="1099">
        <v>5814</v>
      </c>
      <c r="AE23" t="s" s="1099">
        <v>5604</v>
      </c>
      <c r="AF23" t="s" s="1099">
        <v>478</v>
      </c>
      <c r="AG23" t="s" s="1100">
        <v>478</v>
      </c>
      <c r="AH23" t="s" s="1100">
        <v>478</v>
      </c>
      <c r="AI23" t="s" s="1102">
        <v>5815</v>
      </c>
      <c r="AJ23" t="s" s="1102">
        <v>5816</v>
      </c>
      <c r="AK23" t="s" s="1099">
        <v>478</v>
      </c>
      <c r="AL23" t="s" s="1099">
        <v>5817</v>
      </c>
      <c r="AM23" t="s" s="1099">
        <v>5818</v>
      </c>
      <c r="AN23" t="s" s="1101">
        <v>478</v>
      </c>
      <c r="AO23" t="s" s="1101">
        <v>478</v>
      </c>
      <c r="AP23" t="s" s="1099">
        <v>5819</v>
      </c>
      <c r="AQ23" t="s" s="1099">
        <v>478</v>
      </c>
      <c r="AR23" t="s" s="1099">
        <v>5589</v>
      </c>
      <c r="AS23" t="s" s="1099">
        <v>5820</v>
      </c>
      <c r="AT23" t="s" s="1099">
        <v>5686</v>
      </c>
      <c r="AU23" t="s" s="1101">
        <v>478</v>
      </c>
      <c r="AV23" t="s" s="1101">
        <v>478</v>
      </c>
      <c r="AW23" t="s" s="1102">
        <v>5821</v>
      </c>
      <c r="AX23" t="s" s="1099">
        <v>5822</v>
      </c>
      <c r="AY23" t="s" s="1099">
        <v>5823</v>
      </c>
      <c r="AZ23" t="s" s="1099">
        <v>5594</v>
      </c>
      <c r="BA23" t="s" s="1099">
        <v>5824</v>
      </c>
      <c r="BB23" t="s" s="1101">
        <v>478</v>
      </c>
      <c r="BC23" t="s" s="1101">
        <v>478</v>
      </c>
      <c r="BD23" t="s" s="1099">
        <v>5825</v>
      </c>
    </row>
    <row r="24" ht="14.25" customHeight="1">
      <c r="A24" s="1098">
        <v>22</v>
      </c>
      <c r="B24" t="s" s="1099">
        <v>5826</v>
      </c>
      <c r="C24" t="s" s="1099">
        <v>478</v>
      </c>
      <c r="D24" t="s" s="1099">
        <v>5446</v>
      </c>
      <c r="E24" t="s" s="1099">
        <v>5447</v>
      </c>
      <c r="F24" t="s" s="1099">
        <v>5827</v>
      </c>
      <c r="G24" t="s" s="1099">
        <v>5449</v>
      </c>
      <c r="H24" t="s" s="1099">
        <v>5450</v>
      </c>
      <c r="I24" t="s" s="1099">
        <v>5828</v>
      </c>
      <c r="J24" t="s" s="1099">
        <v>5829</v>
      </c>
      <c r="K24" t="s" s="1099">
        <v>5449</v>
      </c>
      <c r="L24" t="s" s="1099">
        <v>5459</v>
      </c>
      <c r="M24" t="s" s="1099">
        <v>5648</v>
      </c>
      <c r="N24" t="s" s="1099">
        <v>5449</v>
      </c>
      <c r="O24" t="s" s="1099">
        <v>5449</v>
      </c>
      <c r="P24" t="s" s="1099">
        <v>5449</v>
      </c>
      <c r="Q24" t="s" s="1099">
        <v>5449</v>
      </c>
      <c r="R24" t="s" s="1099">
        <v>5830</v>
      </c>
      <c r="S24" t="s" s="1099">
        <v>5449</v>
      </c>
      <c r="T24" t="s" s="1099">
        <v>5459</v>
      </c>
      <c r="U24" t="s" s="1099">
        <v>5449</v>
      </c>
      <c r="V24" t="s" s="1099">
        <v>5474</v>
      </c>
      <c r="W24" t="s" s="1099">
        <v>5449</v>
      </c>
      <c r="X24" t="s" s="1099">
        <v>5459</v>
      </c>
      <c r="Y24" t="s" s="1099">
        <v>5831</v>
      </c>
      <c r="Z24" t="s" s="1099">
        <v>5832</v>
      </c>
      <c r="AA24" t="s" s="1099">
        <v>478</v>
      </c>
      <c r="AB24" t="s" s="1099">
        <v>478</v>
      </c>
      <c r="AC24" t="s" s="1099">
        <v>5486</v>
      </c>
      <c r="AD24" t="s" s="1102">
        <v>5833</v>
      </c>
      <c r="AE24" t="s" s="1099">
        <v>5834</v>
      </c>
      <c r="AF24" t="s" s="1099">
        <v>5835</v>
      </c>
      <c r="AG24" t="s" s="1100">
        <v>478</v>
      </c>
      <c r="AH24" t="s" s="1100">
        <v>478</v>
      </c>
      <c r="AI24" t="s" s="1099">
        <v>478</v>
      </c>
      <c r="AJ24" t="s" s="1099">
        <v>5464</v>
      </c>
      <c r="AK24" t="s" s="1099">
        <v>478</v>
      </c>
      <c r="AL24" t="s" s="1099">
        <v>478</v>
      </c>
      <c r="AM24" t="s" s="1099">
        <v>5464</v>
      </c>
      <c r="AN24" t="s" s="1101">
        <v>478</v>
      </c>
      <c r="AO24" t="s" s="1101">
        <v>478</v>
      </c>
      <c r="AP24" t="s" s="1099">
        <v>5464</v>
      </c>
      <c r="AQ24" t="s" s="1099">
        <v>5836</v>
      </c>
      <c r="AR24" t="s" s="1099">
        <v>5837</v>
      </c>
      <c r="AS24" t="s" s="1099">
        <v>5838</v>
      </c>
      <c r="AT24" t="s" s="1099">
        <v>5839</v>
      </c>
      <c r="AU24" t="s" s="1101">
        <v>478</v>
      </c>
      <c r="AV24" t="s" s="1101">
        <v>478</v>
      </c>
      <c r="AW24" t="s" s="1099">
        <v>478</v>
      </c>
      <c r="AX24" t="s" s="1099">
        <v>5840</v>
      </c>
      <c r="AY24" t="s" s="1099">
        <v>5841</v>
      </c>
      <c r="AZ24" t="s" s="1099">
        <v>5842</v>
      </c>
      <c r="BA24" t="s" s="1099">
        <v>5843</v>
      </c>
      <c r="BB24" t="s" s="1101">
        <v>478</v>
      </c>
      <c r="BC24" t="s" s="1101">
        <v>478</v>
      </c>
      <c r="BD24" t="s" s="1099">
        <v>5844</v>
      </c>
    </row>
    <row r="25" ht="14.25" customHeight="1">
      <c r="A25" s="1098">
        <v>23</v>
      </c>
      <c r="B25" t="s" s="1099">
        <v>5845</v>
      </c>
      <c r="C25" t="s" s="1099">
        <v>478</v>
      </c>
      <c r="D25" t="s" s="1099">
        <v>5446</v>
      </c>
      <c r="E25" t="s" s="1099">
        <v>5447</v>
      </c>
      <c r="F25" t="s" s="1099">
        <v>5846</v>
      </c>
      <c r="G25" t="s" s="1099">
        <v>5449</v>
      </c>
      <c r="H25" t="s" s="1099">
        <v>5450</v>
      </c>
      <c r="I25" t="s" s="1099">
        <v>5847</v>
      </c>
      <c r="J25" t="s" s="1099">
        <v>5848</v>
      </c>
      <c r="K25" t="s" s="1099">
        <v>5449</v>
      </c>
      <c r="L25" t="s" s="1099">
        <v>5449</v>
      </c>
      <c r="M25" t="s" s="1099">
        <v>5449</v>
      </c>
      <c r="N25" t="s" s="1099">
        <v>5449</v>
      </c>
      <c r="O25" t="s" s="1099">
        <v>5449</v>
      </c>
      <c r="P25" t="s" s="1099">
        <v>5449</v>
      </c>
      <c r="Q25" t="s" s="1099">
        <v>5449</v>
      </c>
      <c r="R25" t="s" s="1099">
        <v>5849</v>
      </c>
      <c r="S25" t="s" s="1099">
        <v>5459</v>
      </c>
      <c r="T25" t="s" s="1099">
        <v>5459</v>
      </c>
      <c r="U25" t="s" s="1099">
        <v>5459</v>
      </c>
      <c r="V25" t="s" s="1099">
        <v>5449</v>
      </c>
      <c r="W25" t="s" s="1099">
        <v>5449</v>
      </c>
      <c r="X25" t="s" s="1099">
        <v>5459</v>
      </c>
      <c r="Y25" t="s" s="1099">
        <v>5593</v>
      </c>
      <c r="Z25" t="s" s="1099">
        <v>5850</v>
      </c>
      <c r="AA25" t="s" s="1099">
        <v>478</v>
      </c>
      <c r="AB25" t="s" s="1099">
        <v>478</v>
      </c>
      <c r="AC25" t="s" s="1099">
        <v>478</v>
      </c>
      <c r="AD25" t="s" s="1099">
        <v>5464</v>
      </c>
      <c r="AE25" t="s" s="1099">
        <v>5575</v>
      </c>
      <c r="AF25" t="s" s="1099">
        <v>478</v>
      </c>
      <c r="AG25" t="s" s="1100">
        <v>478</v>
      </c>
      <c r="AH25" t="s" s="1100">
        <v>478</v>
      </c>
      <c r="AI25" t="s" s="1099">
        <v>5851</v>
      </c>
      <c r="AJ25" t="s" s="1099">
        <v>5543</v>
      </c>
      <c r="AK25" t="s" s="1099">
        <v>478</v>
      </c>
      <c r="AL25" t="s" s="1099">
        <v>5852</v>
      </c>
      <c r="AM25" t="s" s="1099">
        <v>478</v>
      </c>
      <c r="AN25" t="s" s="1101">
        <v>478</v>
      </c>
      <c r="AO25" t="s" s="1101">
        <v>478</v>
      </c>
      <c r="AP25" t="s" s="1099">
        <v>5560</v>
      </c>
      <c r="AQ25" t="s" s="1099">
        <v>5853</v>
      </c>
      <c r="AR25" t="s" s="1099">
        <v>5854</v>
      </c>
      <c r="AS25" t="s" s="1099">
        <v>5855</v>
      </c>
      <c r="AT25" t="s" s="1099">
        <v>5856</v>
      </c>
      <c r="AU25" t="s" s="1101">
        <v>478</v>
      </c>
      <c r="AV25" t="s" s="1101">
        <v>478</v>
      </c>
      <c r="AW25" t="s" s="1099">
        <v>478</v>
      </c>
      <c r="AX25" t="s" s="1099">
        <v>5857</v>
      </c>
      <c r="AY25" t="s" s="1099">
        <v>5502</v>
      </c>
      <c r="AZ25" t="s" s="1099">
        <v>5595</v>
      </c>
      <c r="BA25" t="s" s="1099">
        <v>5502</v>
      </c>
      <c r="BB25" t="s" s="1101">
        <v>478</v>
      </c>
      <c r="BC25" t="s" s="1101">
        <v>478</v>
      </c>
      <c r="BD25" t="s" s="1099">
        <v>5858</v>
      </c>
    </row>
    <row r="26" ht="14.25" customHeight="1">
      <c r="A26" s="1098">
        <v>24</v>
      </c>
      <c r="B26" t="s" s="1099">
        <v>5859</v>
      </c>
      <c r="C26" t="s" s="1099">
        <v>478</v>
      </c>
      <c r="D26" t="s" s="1099">
        <v>5446</v>
      </c>
      <c r="E26" t="s" s="1099">
        <v>5447</v>
      </c>
      <c r="F26" t="s" s="1099">
        <v>5547</v>
      </c>
      <c r="G26" t="s" s="1099">
        <v>5449</v>
      </c>
      <c r="H26" t="s" s="1099">
        <v>5450</v>
      </c>
      <c r="I26" t="s" s="1099">
        <v>5860</v>
      </c>
      <c r="J26" t="s" s="1099">
        <v>5861</v>
      </c>
      <c r="K26" t="s" s="1099">
        <v>5449</v>
      </c>
      <c r="L26" t="s" s="1099">
        <v>5449</v>
      </c>
      <c r="M26" t="s" s="1099">
        <v>5449</v>
      </c>
      <c r="N26" t="s" s="1099">
        <v>5449</v>
      </c>
      <c r="O26" t="s" s="1099">
        <v>5449</v>
      </c>
      <c r="P26" t="s" s="1099">
        <v>5449</v>
      </c>
      <c r="Q26" t="s" s="1099">
        <v>5449</v>
      </c>
      <c r="R26" t="s" s="1099">
        <v>5862</v>
      </c>
      <c r="S26" t="s" s="1099">
        <v>5459</v>
      </c>
      <c r="T26" t="s" s="1099">
        <v>5459</v>
      </c>
      <c r="U26" t="s" s="1099">
        <v>5459</v>
      </c>
      <c r="V26" t="s" s="1099">
        <v>5449</v>
      </c>
      <c r="W26" t="s" s="1099">
        <v>5449</v>
      </c>
      <c r="X26" t="s" s="1099">
        <v>5449</v>
      </c>
      <c r="Y26" t="s" s="1099">
        <v>5473</v>
      </c>
      <c r="Z26" t="s" s="1099">
        <v>5770</v>
      </c>
      <c r="AA26" t="s" s="1099">
        <v>478</v>
      </c>
      <c r="AB26" t="s" s="1099">
        <v>478</v>
      </c>
      <c r="AC26" t="s" s="1099">
        <v>478</v>
      </c>
      <c r="AD26" t="s" s="1099">
        <v>5863</v>
      </c>
      <c r="AE26" t="s" s="1099">
        <v>5583</v>
      </c>
      <c r="AF26" t="s" s="1099">
        <v>5486</v>
      </c>
      <c r="AG26" t="s" s="1100">
        <v>478</v>
      </c>
      <c r="AH26" t="s" s="1100">
        <v>478</v>
      </c>
      <c r="AI26" t="s" s="1099">
        <v>5487</v>
      </c>
      <c r="AJ26" t="s" s="1099">
        <v>5814</v>
      </c>
      <c r="AK26" t="s" s="1099">
        <v>478</v>
      </c>
      <c r="AL26" t="s" s="1099">
        <v>5864</v>
      </c>
      <c r="AM26" t="s" s="1099">
        <v>5750</v>
      </c>
      <c r="AN26" t="s" s="1101">
        <v>478</v>
      </c>
      <c r="AO26" t="s" s="1101">
        <v>478</v>
      </c>
      <c r="AP26" t="s" s="1099">
        <v>5865</v>
      </c>
      <c r="AQ26" t="s" s="1099">
        <v>478</v>
      </c>
      <c r="AR26" t="s" s="1099">
        <v>5560</v>
      </c>
      <c r="AS26" t="s" s="1099">
        <v>5486</v>
      </c>
      <c r="AT26" t="s" s="1099">
        <v>5866</v>
      </c>
      <c r="AU26" t="s" s="1101">
        <v>478</v>
      </c>
      <c r="AV26" t="s" s="1101">
        <v>478</v>
      </c>
      <c r="AW26" t="s" s="1099">
        <v>5867</v>
      </c>
      <c r="AX26" t="s" s="1099">
        <v>5868</v>
      </c>
      <c r="AY26" t="s" s="1099">
        <v>5538</v>
      </c>
      <c r="AZ26" t="s" s="1099">
        <v>5486</v>
      </c>
      <c r="BA26" t="s" s="1099">
        <v>5869</v>
      </c>
      <c r="BB26" t="s" s="1101">
        <v>478</v>
      </c>
      <c r="BC26" t="s" s="1101">
        <v>478</v>
      </c>
      <c r="BD26" t="s" s="1099">
        <v>5870</v>
      </c>
    </row>
    <row r="27" ht="14.25" customHeight="1">
      <c r="A27" s="1098">
        <v>25</v>
      </c>
      <c r="B27" t="s" s="1099">
        <v>5590</v>
      </c>
      <c r="C27" t="s" s="1099">
        <v>478</v>
      </c>
      <c r="D27" t="s" s="1099">
        <v>5871</v>
      </c>
      <c r="E27" t="s" s="1099">
        <v>5872</v>
      </c>
      <c r="F27" t="s" s="1099">
        <v>5610</v>
      </c>
      <c r="G27" t="s" s="1099">
        <v>5449</v>
      </c>
      <c r="H27" t="s" s="1099">
        <v>5873</v>
      </c>
      <c r="I27" t="s" s="1099">
        <v>5874</v>
      </c>
      <c r="J27" t="s" s="1099">
        <v>5875</v>
      </c>
      <c r="K27" t="s" s="1099">
        <v>5449</v>
      </c>
      <c r="L27" t="s" s="1099">
        <v>5449</v>
      </c>
      <c r="M27" t="s" s="1099">
        <v>5449</v>
      </c>
      <c r="N27" t="s" s="1099">
        <v>5449</v>
      </c>
      <c r="O27" t="s" s="1099">
        <v>5449</v>
      </c>
      <c r="P27" t="s" s="1099">
        <v>5449</v>
      </c>
      <c r="Q27" t="s" s="1099">
        <v>5449</v>
      </c>
      <c r="R27" t="s" s="1099">
        <v>5876</v>
      </c>
      <c r="S27" t="s" s="1099">
        <v>5449</v>
      </c>
      <c r="T27" t="s" s="1099">
        <v>5449</v>
      </c>
      <c r="U27" t="s" s="1099">
        <v>5449</v>
      </c>
      <c r="V27" t="s" s="1099">
        <v>5449</v>
      </c>
      <c r="W27" t="s" s="1099">
        <v>5449</v>
      </c>
      <c r="X27" t="s" s="1099">
        <v>5449</v>
      </c>
      <c r="Y27" t="s" s="1099">
        <v>5473</v>
      </c>
      <c r="Z27" t="s" s="1099">
        <v>5475</v>
      </c>
      <c r="AA27" t="s" s="1099">
        <v>478</v>
      </c>
      <c r="AB27" t="s" s="1099">
        <v>478</v>
      </c>
      <c r="AC27" t="s" s="1099">
        <v>478</v>
      </c>
      <c r="AD27" t="s" s="1099">
        <v>5486</v>
      </c>
      <c r="AE27" t="s" s="1099">
        <v>5877</v>
      </c>
      <c r="AF27" t="s" s="1099">
        <v>5637</v>
      </c>
      <c r="AG27" t="s" s="1100">
        <v>478</v>
      </c>
      <c r="AH27" t="s" s="1100">
        <v>478</v>
      </c>
      <c r="AI27" t="s" s="1099">
        <v>5814</v>
      </c>
      <c r="AJ27" t="s" s="1099">
        <v>5466</v>
      </c>
      <c r="AK27" t="s" s="1099">
        <v>478</v>
      </c>
      <c r="AL27" t="s" s="1099">
        <v>478</v>
      </c>
      <c r="AM27" t="s" s="1099">
        <v>5878</v>
      </c>
      <c r="AN27" t="s" s="1101">
        <v>478</v>
      </c>
      <c r="AO27" t="s" s="1101">
        <v>478</v>
      </c>
      <c r="AP27" t="s" s="1099">
        <v>5879</v>
      </c>
      <c r="AQ27" t="s" s="1099">
        <v>5461</v>
      </c>
      <c r="AR27" t="s" s="1099">
        <v>5589</v>
      </c>
      <c r="AS27" t="s" s="1099">
        <v>5583</v>
      </c>
      <c r="AT27" t="s" s="1099">
        <v>5588</v>
      </c>
      <c r="AU27" t="s" s="1101">
        <v>478</v>
      </c>
      <c r="AV27" t="s" s="1101">
        <v>478</v>
      </c>
      <c r="AW27" t="s" s="1099">
        <v>5655</v>
      </c>
      <c r="AX27" t="s" s="1099">
        <v>5539</v>
      </c>
      <c r="AY27" t="s" s="1099">
        <v>5486</v>
      </c>
      <c r="AZ27" t="s" s="1099">
        <v>5880</v>
      </c>
      <c r="BA27" t="s" s="1099">
        <v>5739</v>
      </c>
      <c r="BB27" t="s" s="1101">
        <v>478</v>
      </c>
      <c r="BC27" t="s" s="1101">
        <v>478</v>
      </c>
      <c r="BD27" t="s" s="1099">
        <v>5576</v>
      </c>
    </row>
    <row r="28" ht="14.25" customHeight="1">
      <c r="A28" s="1098">
        <v>26</v>
      </c>
      <c r="B28" t="s" s="1099">
        <v>5881</v>
      </c>
      <c r="C28" t="s" s="1099">
        <v>478</v>
      </c>
      <c r="D28" t="s" s="1099">
        <v>5873</v>
      </c>
      <c r="E28" t="s" s="1099">
        <v>5882</v>
      </c>
      <c r="F28" t="s" s="1099">
        <v>5873</v>
      </c>
      <c r="G28" t="s" s="1099">
        <v>5449</v>
      </c>
      <c r="H28" t="s" s="1099">
        <v>5458</v>
      </c>
      <c r="I28" t="s" s="1099">
        <v>5883</v>
      </c>
      <c r="J28" t="s" s="1099">
        <v>5884</v>
      </c>
      <c r="K28" t="s" s="1099">
        <v>5449</v>
      </c>
      <c r="L28" t="s" s="1099">
        <v>5473</v>
      </c>
      <c r="M28" t="s" s="1099">
        <v>5679</v>
      </c>
      <c r="N28" t="s" s="1099">
        <v>5449</v>
      </c>
      <c r="O28" t="s" s="1099">
        <v>5449</v>
      </c>
      <c r="P28" t="s" s="1099">
        <v>5449</v>
      </c>
      <c r="Q28" t="s" s="1099">
        <v>5449</v>
      </c>
      <c r="R28" t="s" s="1099">
        <v>5679</v>
      </c>
      <c r="S28" t="s" s="1099">
        <v>5449</v>
      </c>
      <c r="T28" t="s" s="1099">
        <v>5449</v>
      </c>
      <c r="U28" t="s" s="1099">
        <v>5449</v>
      </c>
      <c r="V28" t="s" s="1099">
        <v>5449</v>
      </c>
      <c r="W28" t="s" s="1099">
        <v>5449</v>
      </c>
      <c r="X28" t="s" s="1099">
        <v>5449</v>
      </c>
      <c r="Y28" t="s" s="1099">
        <v>5449</v>
      </c>
      <c r="Z28" t="s" s="1099">
        <v>5449</v>
      </c>
      <c r="AA28" t="s" s="1099">
        <v>478</v>
      </c>
      <c r="AB28" t="s" s="1099">
        <v>478</v>
      </c>
      <c r="AC28" t="s" s="1099">
        <v>478</v>
      </c>
      <c r="AD28" t="s" s="1099">
        <v>478</v>
      </c>
      <c r="AE28" t="s" s="1099">
        <v>478</v>
      </c>
      <c r="AF28" t="s" s="1099">
        <v>478</v>
      </c>
      <c r="AG28" t="s" s="1100">
        <v>478</v>
      </c>
      <c r="AH28" t="s" s="1100">
        <v>478</v>
      </c>
      <c r="AI28" t="s" s="1099">
        <v>478</v>
      </c>
      <c r="AJ28" t="s" s="1099">
        <v>478</v>
      </c>
      <c r="AK28" t="s" s="1099">
        <v>478</v>
      </c>
      <c r="AL28" t="s" s="1099">
        <v>478</v>
      </c>
      <c r="AM28" t="s" s="1099">
        <v>478</v>
      </c>
      <c r="AN28" t="s" s="1101">
        <v>478</v>
      </c>
      <c r="AO28" t="s" s="1101">
        <v>478</v>
      </c>
      <c r="AP28" t="s" s="1099">
        <v>478</v>
      </c>
      <c r="AQ28" t="s" s="1099">
        <v>478</v>
      </c>
      <c r="AR28" t="s" s="1099">
        <v>478</v>
      </c>
      <c r="AS28" t="s" s="1099">
        <v>5885</v>
      </c>
      <c r="AT28" t="s" s="1099">
        <v>5886</v>
      </c>
      <c r="AU28" t="s" s="1101">
        <v>478</v>
      </c>
      <c r="AV28" t="s" s="1101">
        <v>478</v>
      </c>
      <c r="AW28" t="s" s="1102">
        <v>5642</v>
      </c>
      <c r="AX28" t="s" s="1099">
        <v>5536</v>
      </c>
      <c r="AY28" t="s" s="1099">
        <v>5556</v>
      </c>
      <c r="AZ28" t="s" s="1099">
        <v>5487</v>
      </c>
      <c r="BA28" t="s" s="1099">
        <v>5556</v>
      </c>
      <c r="BB28" t="s" s="1101">
        <v>478</v>
      </c>
      <c r="BC28" t="s" s="1101">
        <v>478</v>
      </c>
      <c r="BD28" t="s" s="1102">
        <v>5887</v>
      </c>
    </row>
    <row r="29" ht="14.25" customHeight="1">
      <c r="A29" s="1063"/>
      <c r="B29" s="1063"/>
      <c r="C29" s="1063"/>
      <c r="D29" s="1063"/>
      <c r="E29" s="1063"/>
      <c r="F29" s="1063"/>
      <c r="G29" s="1063"/>
      <c r="H29" s="1063"/>
      <c r="I29" s="1063"/>
      <c r="J29" s="1063"/>
      <c r="K29" s="1063"/>
      <c r="L29" s="1063"/>
      <c r="M29" s="1063"/>
      <c r="N29" s="1063"/>
      <c r="O29" s="1063"/>
      <c r="P29" s="1063"/>
      <c r="Q29" s="1063"/>
      <c r="R29" s="1063"/>
      <c r="S29" s="1063"/>
      <c r="T29" s="1063"/>
      <c r="U29" s="1063"/>
      <c r="V29" s="1063"/>
      <c r="W29" s="1063"/>
      <c r="X29" s="1063"/>
      <c r="Y29" s="1063"/>
      <c r="Z29" s="1063"/>
      <c r="AA29" s="1063"/>
      <c r="AB29" s="1063"/>
      <c r="AC29" s="1063"/>
      <c r="AD29" s="1063"/>
      <c r="AE29" s="1063"/>
      <c r="AF29" s="1104"/>
      <c r="AG29" s="1105"/>
      <c r="AH29" s="1105"/>
      <c r="AI29" s="1106"/>
      <c r="AJ29" s="1063"/>
      <c r="AK29" s="1063"/>
      <c r="AL29" s="1063"/>
      <c r="AM29" s="1104"/>
      <c r="AN29" s="1107"/>
      <c r="AO29" s="1107"/>
      <c r="AP29" s="1106"/>
      <c r="AQ29" s="1108"/>
      <c r="AR29" s="1108"/>
      <c r="AS29" s="1108"/>
      <c r="AT29" s="1109"/>
      <c r="AU29" s="1105"/>
      <c r="AV29" s="1105"/>
      <c r="AW29" s="1106"/>
      <c r="AX29" s="1063"/>
      <c r="AY29" s="1063"/>
      <c r="AZ29" s="1063"/>
      <c r="BA29" s="1104"/>
      <c r="BB29" s="1105"/>
      <c r="BC29" s="1105"/>
      <c r="BD29" s="1106"/>
    </row>
    <row r="30" ht="23.25" customHeight="1">
      <c r="A30" s="526"/>
      <c r="B30" s="526"/>
      <c r="C30" s="526"/>
      <c r="D30" s="526"/>
      <c r="E30" s="526"/>
      <c r="F30" s="526"/>
      <c r="G30" s="526"/>
      <c r="H30" s="526"/>
      <c r="I30" s="526"/>
      <c r="J30" s="526"/>
      <c r="K30" s="526"/>
      <c r="L30" s="526"/>
      <c r="M30" s="526"/>
      <c r="N30" s="526"/>
      <c r="O30" s="526"/>
      <c r="P30" s="526"/>
      <c r="Q30" s="526"/>
      <c r="R30" s="526"/>
      <c r="S30" s="526"/>
      <c r="T30" s="526"/>
      <c r="U30" s="526"/>
      <c r="V30" s="526"/>
      <c r="W30" s="526"/>
      <c r="X30" s="526"/>
      <c r="Y30" s="526"/>
      <c r="Z30" s="526"/>
      <c r="AA30" s="526"/>
      <c r="AB30" s="526"/>
      <c r="AC30" s="526"/>
      <c r="AD30" s="526"/>
      <c r="AE30" s="526"/>
      <c r="AF30" s="1110"/>
      <c r="AG30" s="1024"/>
      <c r="AH30" s="1024"/>
      <c r="AI30" s="548"/>
      <c r="AJ30" s="1111"/>
      <c r="AK30" s="1111"/>
      <c r="AL30" s="1111"/>
      <c r="AM30" s="1112"/>
      <c r="AN30" s="1113"/>
      <c r="AO30" s="1113"/>
      <c r="AP30" s="1114"/>
      <c r="AQ30" t="s" s="1115">
        <v>15</v>
      </c>
      <c r="AR30" t="s" s="1115">
        <v>5888</v>
      </c>
      <c r="AS30" t="s" s="1116">
        <v>5889</v>
      </c>
      <c r="AT30" t="s" s="1116">
        <v>5890</v>
      </c>
      <c r="AU30" s="1117"/>
      <c r="AV30" s="1024"/>
      <c r="AW30" s="548"/>
      <c r="AX30" s="526"/>
      <c r="AY30" s="526"/>
      <c r="AZ30" s="526"/>
      <c r="BA30" s="1110"/>
      <c r="BB30" s="1024"/>
      <c r="BC30" s="1024"/>
      <c r="BD30" s="548"/>
    </row>
    <row r="31" ht="14.25" customHeight="1">
      <c r="A31" s="1118"/>
      <c r="B31" s="1118"/>
      <c r="C31" s="1118"/>
      <c r="D31" s="1118"/>
      <c r="E31" s="1118"/>
      <c r="F31" s="1118"/>
      <c r="G31" s="1118"/>
      <c r="H31" s="1118"/>
      <c r="I31" s="1118"/>
      <c r="J31" s="1118"/>
      <c r="K31" s="1118"/>
      <c r="L31" s="1118"/>
      <c r="M31" s="526"/>
      <c r="N31" s="526"/>
      <c r="O31" s="526"/>
      <c r="P31" s="526"/>
      <c r="Q31" s="526"/>
      <c r="R31" s="526"/>
      <c r="S31" s="526"/>
      <c r="T31" s="526"/>
      <c r="U31" s="526"/>
      <c r="V31" s="526"/>
      <c r="W31" s="526"/>
      <c r="X31" s="526"/>
      <c r="Y31" s="1111"/>
      <c r="Z31" s="526"/>
      <c r="AA31" s="1118"/>
      <c r="AB31" s="1118"/>
      <c r="AC31" s="1118"/>
      <c r="AD31" s="1111"/>
      <c r="AE31" s="526"/>
      <c r="AF31" s="1119"/>
      <c r="AG31" s="1120"/>
      <c r="AH31" s="1120"/>
      <c r="AI31" s="1121"/>
      <c r="AJ31" s="1024"/>
      <c r="AK31" s="1024"/>
      <c r="AL31" s="1024"/>
      <c r="AM31" s="1024"/>
      <c r="AN31" s="1113"/>
      <c r="AO31" s="1113"/>
      <c r="AP31" s="1114"/>
      <c r="AQ31" s="1122">
        <v>1</v>
      </c>
      <c r="AR31" t="s" s="959">
        <v>97</v>
      </c>
      <c r="AS31" s="1017" cm="1">
        <f t="array" ref="AS31">0*75000</f>
        <v>0</v>
      </c>
      <c r="AT31" s="1122">
        <v>21</v>
      </c>
      <c r="AU31" s="1117"/>
      <c r="AV31" s="1024"/>
      <c r="AW31" s="548"/>
      <c r="AX31" s="526"/>
      <c r="AY31" s="526"/>
      <c r="AZ31" s="526"/>
      <c r="BA31" s="1110"/>
      <c r="BB31" s="1024"/>
      <c r="BC31" s="1024"/>
      <c r="BD31" s="548"/>
    </row>
    <row r="32" ht="14.25" customHeight="1">
      <c r="A32" t="s" s="1123">
        <v>5891</v>
      </c>
      <c r="B32" t="s" s="1033">
        <v>5892</v>
      </c>
      <c r="C32" s="1016"/>
      <c r="D32" s="1016"/>
      <c r="E32" s="1016"/>
      <c r="F32" s="1016"/>
      <c r="G32" s="1016"/>
      <c r="H32" s="1016"/>
      <c r="I32" s="1016"/>
      <c r="J32" s="1016"/>
      <c r="K32" s="1016"/>
      <c r="L32" t="s" s="1124">
        <v>5893</v>
      </c>
      <c r="M32" s="525"/>
      <c r="N32" s="526"/>
      <c r="O32" s="526"/>
      <c r="P32" s="526"/>
      <c r="Q32" s="526"/>
      <c r="R32" s="526"/>
      <c r="S32" s="526"/>
      <c r="T32" s="526"/>
      <c r="U32" s="526"/>
      <c r="V32" s="526"/>
      <c r="W32" s="526"/>
      <c r="X32" s="1110"/>
      <c r="Y32" s="1125"/>
      <c r="Z32" s="1114"/>
      <c r="AA32" t="s" s="1126">
        <v>5894</v>
      </c>
      <c r="AB32" t="s" s="1033">
        <v>5895</v>
      </c>
      <c r="AC32" t="s" s="1124">
        <v>5896</v>
      </c>
      <c r="AD32" t="s" s="1127">
        <v>5897</v>
      </c>
      <c r="AE32" s="1114"/>
      <c r="AF32" t="s" s="1126">
        <v>5898</v>
      </c>
      <c r="AG32" t="s" s="1033">
        <v>5899</v>
      </c>
      <c r="AH32" t="s" s="1124">
        <v>5900</v>
      </c>
      <c r="AI32" t="s" s="1128">
        <v>5897</v>
      </c>
      <c r="AJ32" s="1024"/>
      <c r="AK32" s="1024"/>
      <c r="AL32" s="1024"/>
      <c r="AM32" s="1125"/>
      <c r="AN32" s="1113"/>
      <c r="AO32" s="1113"/>
      <c r="AP32" s="1114"/>
      <c r="AQ32" s="1122">
        <v>2</v>
      </c>
      <c r="AR32" t="s" s="959">
        <v>101</v>
      </c>
      <c r="AS32" s="1017" cm="1">
        <f t="array" ref="AS32">1*75000</f>
        <v>75000</v>
      </c>
      <c r="AT32" s="1122">
        <v>21</v>
      </c>
      <c r="AU32" s="1117"/>
      <c r="AV32" s="1024"/>
      <c r="AW32" s="548"/>
      <c r="AX32" s="526"/>
      <c r="AY32" s="526"/>
      <c r="AZ32" s="526"/>
      <c r="BA32" s="1110"/>
      <c r="BB32" s="1024"/>
      <c r="BC32" s="1024"/>
      <c r="BD32" s="548"/>
    </row>
    <row r="33" ht="14.25" customHeight="1">
      <c r="A33" s="60"/>
      <c r="B33" t="s" s="1033">
        <v>5901</v>
      </c>
      <c r="C33" s="1016"/>
      <c r="D33" s="1016"/>
      <c r="E33" s="1016"/>
      <c r="F33" s="1016"/>
      <c r="G33" s="1016"/>
      <c r="H33" s="1016"/>
      <c r="I33" s="1016"/>
      <c r="J33" s="1016"/>
      <c r="K33" s="1016"/>
      <c r="L33" t="s" s="1129">
        <v>5902</v>
      </c>
      <c r="M33" s="525"/>
      <c r="N33" s="526"/>
      <c r="O33" s="526"/>
      <c r="P33" s="526"/>
      <c r="Q33" s="526"/>
      <c r="R33" s="526"/>
      <c r="S33" s="526"/>
      <c r="T33" s="526"/>
      <c r="U33" s="526"/>
      <c r="V33" s="526"/>
      <c r="W33" s="526"/>
      <c r="X33" s="1110"/>
      <c r="Y33" s="1024"/>
      <c r="Z33" s="1114"/>
      <c r="AA33" s="62"/>
      <c r="AB33" t="s" s="1129">
        <v>5903</v>
      </c>
      <c r="AC33" t="s" s="1129">
        <v>5904</v>
      </c>
      <c r="AD33" s="1130"/>
      <c r="AE33" s="1114"/>
      <c r="AF33" s="66"/>
      <c r="AG33" s="1016"/>
      <c r="AH33" t="s" s="1129">
        <v>5905</v>
      </c>
      <c r="AI33" s="1131"/>
      <c r="AJ33" s="1024"/>
      <c r="AK33" s="1024"/>
      <c r="AL33" s="1024"/>
      <c r="AM33" s="1024"/>
      <c r="AN33" s="1113"/>
      <c r="AO33" s="1113"/>
      <c r="AP33" s="1114"/>
      <c r="AQ33" s="1122">
        <v>3</v>
      </c>
      <c r="AR33" t="s" s="959">
        <v>108</v>
      </c>
      <c r="AS33" s="1017" cm="1">
        <f t="array" ref="AS33">0*75000</f>
        <v>0</v>
      </c>
      <c r="AT33" s="1122">
        <v>21</v>
      </c>
      <c r="AU33" s="1117"/>
      <c r="AV33" s="1024"/>
      <c r="AW33" s="548"/>
      <c r="AX33" s="526"/>
      <c r="AY33" s="526"/>
      <c r="AZ33" s="526"/>
      <c r="BA33" s="1110"/>
      <c r="BB33" s="1024"/>
      <c r="BC33" s="1024"/>
      <c r="BD33" s="548"/>
    </row>
    <row r="34" ht="14.25" customHeight="1">
      <c r="A34" s="62"/>
      <c r="B34" t="s" s="1033">
        <v>5906</v>
      </c>
      <c r="C34" s="1016"/>
      <c r="D34" s="1016"/>
      <c r="E34" s="1016"/>
      <c r="F34" s="1016"/>
      <c r="G34" s="1016"/>
      <c r="H34" s="1016"/>
      <c r="I34" s="1016"/>
      <c r="J34" s="1016"/>
      <c r="K34" s="1016"/>
      <c r="L34" s="1132"/>
      <c r="M34" s="525"/>
      <c r="N34" s="526"/>
      <c r="O34" s="526"/>
      <c r="P34" s="526"/>
      <c r="Q34" s="526"/>
      <c r="R34" s="526"/>
      <c r="S34" s="526"/>
      <c r="T34" s="526"/>
      <c r="U34" s="526"/>
      <c r="V34" s="526"/>
      <c r="W34" s="526"/>
      <c r="X34" s="1110"/>
      <c r="Y34" s="1024"/>
      <c r="Z34" s="1114"/>
      <c r="AA34" s="66"/>
      <c r="AB34" t="s" s="1129">
        <v>5907</v>
      </c>
      <c r="AC34" s="1016"/>
      <c r="AD34" s="1117"/>
      <c r="AE34" s="548"/>
      <c r="AF34" s="1133"/>
      <c r="AG34" s="1105"/>
      <c r="AH34" s="1105"/>
      <c r="AI34" s="1121"/>
      <c r="AJ34" s="1024"/>
      <c r="AK34" s="1024"/>
      <c r="AL34" s="1024"/>
      <c r="AM34" s="1024"/>
      <c r="AN34" s="1113"/>
      <c r="AO34" s="1113"/>
      <c r="AP34" s="1114"/>
      <c r="AQ34" s="1122">
        <v>4</v>
      </c>
      <c r="AR34" t="s" s="959">
        <v>111</v>
      </c>
      <c r="AS34" s="1017" cm="1">
        <f t="array" ref="AS34">0*75000</f>
        <v>0</v>
      </c>
      <c r="AT34" s="1122">
        <v>10</v>
      </c>
      <c r="AU34" s="1117"/>
      <c r="AV34" s="1024"/>
      <c r="AW34" s="548"/>
      <c r="AX34" s="526"/>
      <c r="AY34" s="526"/>
      <c r="AZ34" s="526"/>
      <c r="BA34" s="1110"/>
      <c r="BB34" s="1024"/>
      <c r="BC34" s="1024"/>
      <c r="BD34" s="548"/>
    </row>
    <row r="35" ht="25.5" customHeight="1">
      <c r="A35" s="62"/>
      <c r="B35" t="s" s="1033">
        <v>5908</v>
      </c>
      <c r="C35" s="1016"/>
      <c r="D35" s="1016"/>
      <c r="E35" s="1016"/>
      <c r="F35" s="1016"/>
      <c r="G35" s="1016"/>
      <c r="H35" s="1016"/>
      <c r="I35" s="1016"/>
      <c r="J35" s="1016"/>
      <c r="K35" s="1016"/>
      <c r="L35" s="1132"/>
      <c r="M35" s="525"/>
      <c r="N35" s="526"/>
      <c r="O35" s="526"/>
      <c r="P35" s="526"/>
      <c r="Q35" s="526"/>
      <c r="R35" s="526"/>
      <c r="S35" s="526"/>
      <c r="T35" s="526"/>
      <c r="U35" s="526"/>
      <c r="V35" s="526"/>
      <c r="W35" s="526"/>
      <c r="X35" s="1110"/>
      <c r="Y35" s="1024"/>
      <c r="Z35" s="548"/>
      <c r="AA35" s="1134"/>
      <c r="AB35" s="1135"/>
      <c r="AC35" s="1016"/>
      <c r="AD35" s="1117"/>
      <c r="AE35" s="548"/>
      <c r="AF35" s="1136"/>
      <c r="AG35" s="1120"/>
      <c r="AH35" s="1120"/>
      <c r="AI35" s="1121"/>
      <c r="AJ35" s="1024"/>
      <c r="AK35" s="1024"/>
      <c r="AL35" s="1024"/>
      <c r="AM35" s="1024"/>
      <c r="AN35" s="1113"/>
      <c r="AO35" s="1113"/>
      <c r="AP35" s="1114"/>
      <c r="AQ35" s="1122">
        <v>5</v>
      </c>
      <c r="AR35" t="s" s="959">
        <v>115</v>
      </c>
      <c r="AS35" s="1017" cm="1">
        <f t="array" ref="AS35">3*75000</f>
        <v>225000</v>
      </c>
      <c r="AT35" s="1122">
        <v>21</v>
      </c>
      <c r="AU35" s="1117"/>
      <c r="AV35" s="1024"/>
      <c r="AW35" s="548"/>
      <c r="AX35" s="526"/>
      <c r="AY35" s="526"/>
      <c r="AZ35" s="526"/>
      <c r="BA35" s="1110"/>
      <c r="BB35" s="1024"/>
      <c r="BC35" s="1024"/>
      <c r="BD35" s="548"/>
    </row>
    <row r="36" ht="14.25" customHeight="1">
      <c r="A36" s="62"/>
      <c r="B36" t="s" s="1033">
        <v>5909</v>
      </c>
      <c r="C36" s="1016"/>
      <c r="D36" s="1016"/>
      <c r="E36" s="1016"/>
      <c r="F36" s="1016"/>
      <c r="G36" s="1016"/>
      <c r="H36" s="1016"/>
      <c r="I36" s="1016"/>
      <c r="J36" s="1016"/>
      <c r="K36" s="1016"/>
      <c r="L36" s="1132"/>
      <c r="M36" s="525"/>
      <c r="N36" s="526"/>
      <c r="O36" s="526"/>
      <c r="P36" s="526"/>
      <c r="Q36" s="526"/>
      <c r="R36" s="526"/>
      <c r="S36" s="526"/>
      <c r="T36" s="526"/>
      <c r="U36" s="526"/>
      <c r="V36" s="526"/>
      <c r="W36" s="526"/>
      <c r="X36" s="1110"/>
      <c r="Y36" s="1024"/>
      <c r="Z36" s="1114"/>
      <c r="AA36" t="s" s="1126">
        <v>5910</v>
      </c>
      <c r="AB36" t="s" s="1129">
        <v>5911</v>
      </c>
      <c r="AC36" t="s" s="1124">
        <v>5896</v>
      </c>
      <c r="AD36" t="s" s="1127">
        <v>5897</v>
      </c>
      <c r="AE36" s="1114"/>
      <c r="AF36" t="s" s="1126">
        <v>5912</v>
      </c>
      <c r="AG36" t="s" s="1033">
        <v>5913</v>
      </c>
      <c r="AH36" t="s" s="1124">
        <v>5900</v>
      </c>
      <c r="AI36" t="s" s="1128">
        <v>5897</v>
      </c>
      <c r="AJ36" s="1024"/>
      <c r="AK36" s="1024"/>
      <c r="AL36" s="1024"/>
      <c r="AM36" s="1024"/>
      <c r="AN36" s="1113"/>
      <c r="AO36" s="1113"/>
      <c r="AP36" s="1114"/>
      <c r="AQ36" s="1122">
        <v>6</v>
      </c>
      <c r="AR36" t="s" s="783">
        <v>119</v>
      </c>
      <c r="AS36" s="1017" cm="1">
        <f t="array" ref="AS36">2*75000</f>
        <v>150000</v>
      </c>
      <c r="AT36" s="1122">
        <v>21</v>
      </c>
      <c r="AU36" s="1117"/>
      <c r="AV36" s="1024"/>
      <c r="AW36" s="548"/>
      <c r="AX36" s="526"/>
      <c r="AY36" s="526"/>
      <c r="AZ36" s="526"/>
      <c r="BA36" s="1110"/>
      <c r="BB36" s="1024"/>
      <c r="BC36" s="1024"/>
      <c r="BD36" s="548"/>
    </row>
    <row r="37" ht="14.25" customHeight="1">
      <c r="A37" s="62"/>
      <c r="B37" t="s" s="1033">
        <v>5914</v>
      </c>
      <c r="C37" s="1016"/>
      <c r="D37" s="1016"/>
      <c r="E37" s="1016"/>
      <c r="F37" s="1016"/>
      <c r="G37" s="1016"/>
      <c r="H37" s="1016"/>
      <c r="I37" s="1016"/>
      <c r="J37" s="1016"/>
      <c r="K37" s="1016"/>
      <c r="L37" s="1132"/>
      <c r="M37" s="525"/>
      <c r="N37" s="526"/>
      <c r="O37" s="526"/>
      <c r="P37" s="526"/>
      <c r="Q37" s="526"/>
      <c r="R37" s="526"/>
      <c r="S37" s="526"/>
      <c r="T37" s="526"/>
      <c r="U37" s="526"/>
      <c r="V37" s="526"/>
      <c r="W37" s="526"/>
      <c r="X37" s="1110"/>
      <c r="Y37" s="1024"/>
      <c r="Z37" s="1114"/>
      <c r="AA37" s="62"/>
      <c r="AB37" t="s" s="1129">
        <v>5915</v>
      </c>
      <c r="AC37" t="s" s="1033">
        <v>5916</v>
      </c>
      <c r="AD37" s="1117"/>
      <c r="AE37" s="1114"/>
      <c r="AF37" s="62"/>
      <c r="AG37" t="s" s="1033">
        <v>5917</v>
      </c>
      <c r="AH37" t="s" s="1129">
        <v>5918</v>
      </c>
      <c r="AI37" s="1131"/>
      <c r="AJ37" s="1024"/>
      <c r="AK37" s="1024"/>
      <c r="AL37" s="1024"/>
      <c r="AM37" s="1024"/>
      <c r="AN37" s="1113"/>
      <c r="AO37" s="1113"/>
      <c r="AP37" s="1114"/>
      <c r="AQ37" s="1122">
        <v>7</v>
      </c>
      <c r="AR37" t="s" s="959">
        <v>125</v>
      </c>
      <c r="AS37" s="1017" cm="1">
        <f t="array" ref="AS37">0*75000</f>
        <v>0</v>
      </c>
      <c r="AT37" s="1122">
        <v>21</v>
      </c>
      <c r="AU37" s="1117"/>
      <c r="AV37" s="1024"/>
      <c r="AW37" s="548"/>
      <c r="AX37" s="526"/>
      <c r="AY37" s="526"/>
      <c r="AZ37" s="526"/>
      <c r="BA37" s="1110"/>
      <c r="BB37" s="1024"/>
      <c r="BC37" s="1024"/>
      <c r="BD37" s="548"/>
    </row>
    <row r="38" ht="18.75" customHeight="1">
      <c r="A38" s="66"/>
      <c r="B38" t="s" s="1033">
        <v>5919</v>
      </c>
      <c r="C38" s="1016"/>
      <c r="D38" s="1016"/>
      <c r="E38" s="1016"/>
      <c r="F38" s="1016"/>
      <c r="G38" s="1016"/>
      <c r="H38" s="1016"/>
      <c r="I38" s="1016"/>
      <c r="J38" s="1016"/>
      <c r="K38" s="1016"/>
      <c r="L38" s="1132"/>
      <c r="M38" s="525"/>
      <c r="N38" s="526"/>
      <c r="O38" s="526"/>
      <c r="P38" s="526"/>
      <c r="Q38" s="526"/>
      <c r="R38" s="526"/>
      <c r="S38" s="526"/>
      <c r="T38" s="526"/>
      <c r="U38" s="526"/>
      <c r="V38" s="526"/>
      <c r="W38" s="526"/>
      <c r="X38" s="1110"/>
      <c r="Y38" s="1024"/>
      <c r="Z38" s="1114"/>
      <c r="AA38" s="66"/>
      <c r="AB38" t="s" s="1033">
        <v>5920</v>
      </c>
      <c r="AC38" s="1016"/>
      <c r="AD38" s="1117"/>
      <c r="AE38" s="1114"/>
      <c r="AF38" s="66"/>
      <c r="AG38" t="s" s="1033">
        <v>5921</v>
      </c>
      <c r="AH38" s="1132"/>
      <c r="AI38" s="1131"/>
      <c r="AJ38" s="1024"/>
      <c r="AK38" s="1024"/>
      <c r="AL38" s="1024"/>
      <c r="AM38" s="1024"/>
      <c r="AN38" s="1113"/>
      <c r="AO38" s="1113"/>
      <c r="AP38" s="1114"/>
      <c r="AQ38" s="1122">
        <v>8</v>
      </c>
      <c r="AR38" t="s" s="986">
        <v>224</v>
      </c>
      <c r="AS38" s="1017" cm="1">
        <f t="array" ref="AS38">1*75000</f>
        <v>75000</v>
      </c>
      <c r="AT38" s="1122">
        <v>21</v>
      </c>
      <c r="AU38" s="1117"/>
      <c r="AV38" s="1024"/>
      <c r="AW38" s="548"/>
      <c r="AX38" s="526"/>
      <c r="AY38" s="526"/>
      <c r="AZ38" s="526"/>
      <c r="BA38" s="1110"/>
      <c r="BB38" s="1024"/>
      <c r="BC38" s="1024"/>
      <c r="BD38" s="548"/>
    </row>
    <row r="39" ht="23.25" customHeight="1">
      <c r="A39" s="1137"/>
      <c r="B39" s="1063"/>
      <c r="C39" s="1063"/>
      <c r="D39" s="1063"/>
      <c r="E39" s="1063"/>
      <c r="F39" s="1063"/>
      <c r="G39" s="1063"/>
      <c r="H39" s="1063"/>
      <c r="I39" s="1063"/>
      <c r="J39" s="1063"/>
      <c r="K39" s="1063"/>
      <c r="L39" s="1138"/>
      <c r="M39" s="526"/>
      <c r="N39" s="526"/>
      <c r="O39" s="526"/>
      <c r="P39" s="526"/>
      <c r="Q39" s="526"/>
      <c r="R39" s="526"/>
      <c r="S39" s="526"/>
      <c r="T39" s="526"/>
      <c r="U39" s="526"/>
      <c r="V39" s="526"/>
      <c r="W39" s="526"/>
      <c r="X39" s="1110"/>
      <c r="Y39" s="1024"/>
      <c r="Z39" s="548"/>
      <c r="AA39" s="1134"/>
      <c r="AB39" s="1135"/>
      <c r="AC39" s="1016"/>
      <c r="AD39" s="1117"/>
      <c r="AE39" s="548"/>
      <c r="AF39" s="1139"/>
      <c r="AG39" s="1140"/>
      <c r="AH39" s="1141"/>
      <c r="AI39" s="1121"/>
      <c r="AJ39" s="1024"/>
      <c r="AK39" s="1024"/>
      <c r="AL39" s="1024"/>
      <c r="AM39" s="1125"/>
      <c r="AN39" s="1113"/>
      <c r="AO39" s="1113"/>
      <c r="AP39" s="1114"/>
      <c r="AQ39" s="1122">
        <v>9</v>
      </c>
      <c r="AR39" t="s" s="783">
        <v>5328</v>
      </c>
      <c r="AS39" s="1017" cm="1">
        <f t="array" ref="AS39">1*75000</f>
        <v>75000</v>
      </c>
      <c r="AT39" s="1122">
        <v>21</v>
      </c>
      <c r="AU39" s="1117"/>
      <c r="AV39" s="1024"/>
      <c r="AW39" s="548"/>
      <c r="AX39" s="526"/>
      <c r="AY39" s="526"/>
      <c r="AZ39" s="526"/>
      <c r="BA39" s="1110"/>
      <c r="BB39" s="1024"/>
      <c r="BC39" s="1024"/>
      <c r="BD39" s="548"/>
    </row>
    <row r="40" ht="14.25" customHeight="1">
      <c r="A40" s="1142"/>
      <c r="B40" s="1118"/>
      <c r="C40" s="1118"/>
      <c r="D40" s="1118"/>
      <c r="E40" s="1118"/>
      <c r="F40" s="1118"/>
      <c r="G40" s="1118"/>
      <c r="H40" s="1118"/>
      <c r="I40" s="1118"/>
      <c r="J40" s="1118"/>
      <c r="K40" s="1118"/>
      <c r="L40" s="1143"/>
      <c r="M40" s="526"/>
      <c r="N40" s="526"/>
      <c r="O40" s="526"/>
      <c r="P40" s="526"/>
      <c r="Q40" s="526"/>
      <c r="R40" s="526"/>
      <c r="S40" s="526"/>
      <c r="T40" s="526"/>
      <c r="U40" s="526"/>
      <c r="V40" s="526"/>
      <c r="W40" s="526"/>
      <c r="X40" s="1110"/>
      <c r="Y40" s="1024"/>
      <c r="Z40" s="1114"/>
      <c r="AA40" t="s" s="1126">
        <v>5922</v>
      </c>
      <c r="AB40" t="s" s="1033">
        <v>5923</v>
      </c>
      <c r="AC40" t="s" s="1124">
        <v>5896</v>
      </c>
      <c r="AD40" t="s" s="1127">
        <v>5897</v>
      </c>
      <c r="AE40" s="1114"/>
      <c r="AF40" t="s" s="1126">
        <v>5924</v>
      </c>
      <c r="AG40" s="1016"/>
      <c r="AH40" t="s" s="1124">
        <v>5925</v>
      </c>
      <c r="AI40" t="s" s="1128">
        <v>5897</v>
      </c>
      <c r="AJ40" s="1024"/>
      <c r="AK40" s="1024"/>
      <c r="AL40" s="1024"/>
      <c r="AM40" s="1024"/>
      <c r="AN40" s="1113"/>
      <c r="AO40" s="1113"/>
      <c r="AP40" s="1114"/>
      <c r="AQ40" s="1122">
        <v>10</v>
      </c>
      <c r="AR40" t="s" s="783">
        <v>230</v>
      </c>
      <c r="AS40" s="1017" cm="1">
        <f t="array" ref="AS40">1*75000</f>
        <v>75000</v>
      </c>
      <c r="AT40" s="1122">
        <v>21</v>
      </c>
      <c r="AU40" s="1117"/>
      <c r="AV40" s="1024"/>
      <c r="AW40" s="548"/>
      <c r="AX40" s="526"/>
      <c r="AY40" s="526"/>
      <c r="AZ40" s="526"/>
      <c r="BA40" s="1110"/>
      <c r="BB40" s="1024"/>
      <c r="BC40" s="1024"/>
      <c r="BD40" s="548"/>
    </row>
    <row r="41" ht="14.25" customHeight="1">
      <c r="A41" t="s" s="1144">
        <v>5926</v>
      </c>
      <c r="B41" t="s" s="1033">
        <v>5927</v>
      </c>
      <c r="C41" s="1016"/>
      <c r="D41" s="1016"/>
      <c r="E41" s="1016"/>
      <c r="F41" s="1016"/>
      <c r="G41" s="1016"/>
      <c r="H41" s="1016"/>
      <c r="I41" s="1016"/>
      <c r="J41" s="1016"/>
      <c r="K41" s="1016"/>
      <c r="L41" t="s" s="1124">
        <v>5928</v>
      </c>
      <c r="M41" s="525"/>
      <c r="N41" s="526"/>
      <c r="O41" s="526"/>
      <c r="P41" s="526"/>
      <c r="Q41" s="526"/>
      <c r="R41" s="526"/>
      <c r="S41" s="526"/>
      <c r="T41" s="526"/>
      <c r="U41" s="526"/>
      <c r="V41" s="526"/>
      <c r="W41" s="526"/>
      <c r="X41" s="1110"/>
      <c r="Y41" s="1024"/>
      <c r="Z41" s="1114"/>
      <c r="AA41" s="66"/>
      <c r="AB41" t="s" s="1129">
        <v>5929</v>
      </c>
      <c r="AC41" t="s" s="1129">
        <v>5930</v>
      </c>
      <c r="AD41" s="1130"/>
      <c r="AE41" s="1114"/>
      <c r="AF41" s="66"/>
      <c r="AG41" s="1016"/>
      <c r="AH41" t="s" s="1129">
        <v>5931</v>
      </c>
      <c r="AI41" s="1131"/>
      <c r="AJ41" s="1024"/>
      <c r="AK41" s="1024"/>
      <c r="AL41" s="1024"/>
      <c r="AM41" s="1024"/>
      <c r="AN41" s="1113"/>
      <c r="AO41" s="1113"/>
      <c r="AP41" s="1114"/>
      <c r="AQ41" s="1122">
        <v>11</v>
      </c>
      <c r="AR41" t="s" s="986">
        <v>139</v>
      </c>
      <c r="AS41" s="1017" cm="1">
        <f t="array" ref="AS41">0*75000</f>
        <v>0</v>
      </c>
      <c r="AT41" s="1122">
        <v>21</v>
      </c>
      <c r="AU41" s="1117"/>
      <c r="AV41" s="1024"/>
      <c r="AW41" s="548"/>
      <c r="AX41" s="526"/>
      <c r="AY41" s="526"/>
      <c r="AZ41" s="526"/>
      <c r="BA41" s="1110"/>
      <c r="BB41" s="1024"/>
      <c r="BC41" s="1024"/>
      <c r="BD41" s="548"/>
    </row>
    <row r="42" ht="21" customHeight="1">
      <c r="A42" s="66"/>
      <c r="B42" t="s" s="1033">
        <v>5932</v>
      </c>
      <c r="C42" s="1016"/>
      <c r="D42" s="1016"/>
      <c r="E42" s="1016"/>
      <c r="F42" s="1016"/>
      <c r="G42" s="1016"/>
      <c r="H42" s="1016"/>
      <c r="I42" s="1016"/>
      <c r="J42" s="1016"/>
      <c r="K42" s="1016"/>
      <c r="L42" t="s" s="1129">
        <v>5902</v>
      </c>
      <c r="M42" s="525"/>
      <c r="N42" s="526"/>
      <c r="O42" s="526"/>
      <c r="P42" s="526"/>
      <c r="Q42" s="526"/>
      <c r="R42" s="526"/>
      <c r="S42" s="526"/>
      <c r="T42" s="526"/>
      <c r="U42" s="526"/>
      <c r="V42" s="526"/>
      <c r="W42" s="526"/>
      <c r="X42" s="1110"/>
      <c r="Y42" s="1024"/>
      <c r="Z42" s="548"/>
      <c r="AA42" s="1137"/>
      <c r="AB42" s="1063"/>
      <c r="AC42" s="1063"/>
      <c r="AD42" s="1145"/>
      <c r="AE42" s="526"/>
      <c r="AF42" s="1139"/>
      <c r="AG42" s="1140"/>
      <c r="AH42" s="1141"/>
      <c r="AI42" s="1121"/>
      <c r="AJ42" s="1024"/>
      <c r="AK42" s="1024"/>
      <c r="AL42" s="1024"/>
      <c r="AM42" s="1024"/>
      <c r="AN42" s="1113"/>
      <c r="AO42" s="1113"/>
      <c r="AP42" s="1114"/>
      <c r="AQ42" s="1122">
        <v>12</v>
      </c>
      <c r="AR42" t="s" s="987">
        <v>142</v>
      </c>
      <c r="AS42" s="1017" cm="1">
        <f t="array" ref="AS42">2*75000</f>
        <v>150000</v>
      </c>
      <c r="AT42" s="1122">
        <v>21</v>
      </c>
      <c r="AU42" s="1117"/>
      <c r="AV42" s="1024"/>
      <c r="AW42" s="548"/>
      <c r="AX42" s="526"/>
      <c r="AY42" s="526"/>
      <c r="AZ42" s="526"/>
      <c r="BA42" s="1110"/>
      <c r="BB42" s="1024"/>
      <c r="BC42" s="1024"/>
      <c r="BD42" s="548"/>
    </row>
    <row r="43" ht="21" customHeight="1">
      <c r="A43" s="1137"/>
      <c r="B43" s="1137"/>
      <c r="C43" s="1063"/>
      <c r="D43" s="1063"/>
      <c r="E43" s="1063"/>
      <c r="F43" s="1063"/>
      <c r="G43" s="1063"/>
      <c r="H43" s="1063"/>
      <c r="I43" s="1063"/>
      <c r="J43" s="1063"/>
      <c r="K43" s="1063"/>
      <c r="L43" s="1138"/>
      <c r="M43" s="526"/>
      <c r="N43" s="526"/>
      <c r="O43" s="526"/>
      <c r="P43" s="526"/>
      <c r="Q43" s="526"/>
      <c r="R43" s="526"/>
      <c r="S43" s="526"/>
      <c r="T43" s="526"/>
      <c r="U43" s="526"/>
      <c r="V43" s="526"/>
      <c r="W43" s="526"/>
      <c r="X43" s="1110"/>
      <c r="Y43" s="1024"/>
      <c r="Z43" s="548"/>
      <c r="AA43" s="1142"/>
      <c r="AB43" s="1118"/>
      <c r="AC43" s="1118"/>
      <c r="AD43" s="1111"/>
      <c r="AE43" s="521"/>
      <c r="AF43" t="s" s="1126">
        <v>5933</v>
      </c>
      <c r="AG43" s="1016"/>
      <c r="AH43" t="s" s="1124">
        <v>5934</v>
      </c>
      <c r="AI43" t="s" s="1128">
        <v>5897</v>
      </c>
      <c r="AJ43" s="1024"/>
      <c r="AK43" s="1024"/>
      <c r="AL43" s="1024"/>
      <c r="AM43" s="1024"/>
      <c r="AN43" s="1113"/>
      <c r="AO43" s="1113"/>
      <c r="AP43" s="1114"/>
      <c r="AQ43" s="1122">
        <v>13</v>
      </c>
      <c r="AR43" t="s" s="783">
        <v>145</v>
      </c>
      <c r="AS43" s="1017" cm="1">
        <f t="array" ref="AS43">3*75000</f>
        <v>225000</v>
      </c>
      <c r="AT43" s="1122">
        <v>21</v>
      </c>
      <c r="AU43" s="1117"/>
      <c r="AV43" s="1024"/>
      <c r="AW43" s="548"/>
      <c r="AX43" s="526"/>
      <c r="AY43" s="526"/>
      <c r="AZ43" s="526"/>
      <c r="BA43" s="1110"/>
      <c r="BB43" s="1024"/>
      <c r="BC43" s="1024"/>
      <c r="BD43" s="548"/>
    </row>
    <row r="44" ht="14.25" customHeight="1">
      <c r="A44" s="1142"/>
      <c r="B44" s="1142"/>
      <c r="C44" s="1118"/>
      <c r="D44" s="1118"/>
      <c r="E44" s="1118"/>
      <c r="F44" s="1118"/>
      <c r="G44" s="1118"/>
      <c r="H44" s="1118"/>
      <c r="I44" s="1118"/>
      <c r="J44" s="1118"/>
      <c r="K44" s="1118"/>
      <c r="L44" s="1143"/>
      <c r="M44" s="526"/>
      <c r="N44" s="526"/>
      <c r="O44" s="526"/>
      <c r="P44" s="526"/>
      <c r="Q44" s="526"/>
      <c r="R44" s="526"/>
      <c r="S44" s="526"/>
      <c r="T44" s="526"/>
      <c r="U44" s="526"/>
      <c r="V44" s="526"/>
      <c r="W44" s="526"/>
      <c r="X44" s="1110"/>
      <c r="Y44" s="1024"/>
      <c r="Z44" s="1114"/>
      <c r="AA44" t="s" s="1126">
        <v>5629</v>
      </c>
      <c r="AB44" t="s" s="1129">
        <v>5935</v>
      </c>
      <c r="AC44" t="s" s="1124">
        <v>5934</v>
      </c>
      <c r="AD44" t="s" s="1127">
        <v>5897</v>
      </c>
      <c r="AE44" s="1114"/>
      <c r="AF44" s="66"/>
      <c r="AG44" s="1016"/>
      <c r="AH44" t="s" s="1129">
        <v>5936</v>
      </c>
      <c r="AI44" s="1131"/>
      <c r="AJ44" s="1024"/>
      <c r="AK44" s="1024"/>
      <c r="AL44" s="1024"/>
      <c r="AM44" s="1125"/>
      <c r="AN44" s="1113"/>
      <c r="AO44" s="1113"/>
      <c r="AP44" s="1114"/>
      <c r="AQ44" s="1122">
        <v>14</v>
      </c>
      <c r="AR44" t="s" s="783">
        <v>244</v>
      </c>
      <c r="AS44" s="1017" cm="1">
        <f t="array" ref="AS44">1*75000</f>
        <v>75000</v>
      </c>
      <c r="AT44" s="1122">
        <v>21</v>
      </c>
      <c r="AU44" s="1117"/>
      <c r="AV44" s="1024"/>
      <c r="AW44" s="548"/>
      <c r="AX44" s="526"/>
      <c r="AY44" s="526"/>
      <c r="AZ44" s="526"/>
      <c r="BA44" s="1110"/>
      <c r="BB44" s="1024"/>
      <c r="BC44" s="1024"/>
      <c r="BD44" s="548"/>
    </row>
    <row r="45" ht="14.25" customHeight="1">
      <c r="A45" t="s" s="1146">
        <v>5937</v>
      </c>
      <c r="B45" t="s" s="1033">
        <v>5938</v>
      </c>
      <c r="C45" s="1016"/>
      <c r="D45" s="1016"/>
      <c r="E45" s="1016"/>
      <c r="F45" s="1016"/>
      <c r="G45" s="1016"/>
      <c r="H45" s="1016"/>
      <c r="I45" s="1016"/>
      <c r="J45" s="1016"/>
      <c r="K45" s="1016"/>
      <c r="L45" t="s" s="1124">
        <v>5900</v>
      </c>
      <c r="M45" s="525"/>
      <c r="N45" s="526"/>
      <c r="O45" s="526"/>
      <c r="P45" s="526"/>
      <c r="Q45" s="526"/>
      <c r="R45" s="526"/>
      <c r="S45" s="526"/>
      <c r="T45" s="526"/>
      <c r="U45" s="526"/>
      <c r="V45" s="526"/>
      <c r="W45" s="526"/>
      <c r="X45" s="1110"/>
      <c r="Y45" s="1024"/>
      <c r="Z45" s="1114"/>
      <c r="AA45" s="62"/>
      <c r="AB45" t="s" s="1129">
        <v>5939</v>
      </c>
      <c r="AC45" t="s" s="1129">
        <v>5940</v>
      </c>
      <c r="AD45" s="1147"/>
      <c r="AE45" s="526"/>
      <c r="AF45" s="1148"/>
      <c r="AG45" s="1105"/>
      <c r="AH45" s="1149"/>
      <c r="AI45" s="1121"/>
      <c r="AJ45" s="1024"/>
      <c r="AK45" s="1024"/>
      <c r="AL45" s="1024"/>
      <c r="AM45" s="1024"/>
      <c r="AN45" s="1113"/>
      <c r="AO45" s="1113"/>
      <c r="AP45" s="1114"/>
      <c r="AQ45" s="1122">
        <v>15</v>
      </c>
      <c r="AR45" t="s" s="1026">
        <v>148</v>
      </c>
      <c r="AS45" s="1017" cm="1">
        <f t="array" ref="AS45">1*75000</f>
        <v>75000</v>
      </c>
      <c r="AT45" s="1122">
        <v>21</v>
      </c>
      <c r="AU45" s="1117"/>
      <c r="AV45" s="1024"/>
      <c r="AW45" s="548"/>
      <c r="AX45" s="526"/>
      <c r="AY45" s="526"/>
      <c r="AZ45" s="526"/>
      <c r="BA45" s="1110"/>
      <c r="BB45" s="1024"/>
      <c r="BC45" s="1024"/>
      <c r="BD45" s="548"/>
    </row>
    <row r="46" ht="32.25" customHeight="1">
      <c r="A46" s="62"/>
      <c r="B46" t="s" s="1033">
        <v>5941</v>
      </c>
      <c r="C46" s="1016"/>
      <c r="D46" s="1016"/>
      <c r="E46" s="1016"/>
      <c r="F46" s="1016"/>
      <c r="G46" s="1016"/>
      <c r="H46" s="1016"/>
      <c r="I46" s="1016"/>
      <c r="J46" s="1016"/>
      <c r="K46" s="1016"/>
      <c r="L46" t="s" s="1129">
        <v>5942</v>
      </c>
      <c r="M46" s="525"/>
      <c r="N46" s="526"/>
      <c r="O46" s="526"/>
      <c r="P46" s="526"/>
      <c r="Q46" s="526"/>
      <c r="R46" s="526"/>
      <c r="S46" s="526"/>
      <c r="T46" s="526"/>
      <c r="U46" s="526"/>
      <c r="V46" s="526"/>
      <c r="W46" s="526"/>
      <c r="X46" s="1110"/>
      <c r="Y46" s="1024"/>
      <c r="Z46" s="1114"/>
      <c r="AA46" s="62"/>
      <c r="AB46" t="s" s="1033">
        <v>5943</v>
      </c>
      <c r="AC46" t="s" s="1033">
        <v>5944</v>
      </c>
      <c r="AD46" s="525"/>
      <c r="AE46" s="526"/>
      <c r="AF46" s="1150"/>
      <c r="AG46" s="1120"/>
      <c r="AH46" s="1151"/>
      <c r="AI46" s="1121"/>
      <c r="AJ46" s="1024"/>
      <c r="AK46" s="1024"/>
      <c r="AL46" s="1024"/>
      <c r="AM46" s="1024"/>
      <c r="AN46" s="1113"/>
      <c r="AO46" s="1113"/>
      <c r="AP46" s="1114"/>
      <c r="AQ46" s="1122">
        <v>16</v>
      </c>
      <c r="AR46" t="s" s="1026">
        <v>251</v>
      </c>
      <c r="AS46" s="1017" cm="1">
        <f t="array" ref="AS46">3*75000</f>
        <v>225000</v>
      </c>
      <c r="AT46" s="1122">
        <v>21</v>
      </c>
      <c r="AU46" s="1117"/>
      <c r="AV46" s="1024"/>
      <c r="AW46" s="548"/>
      <c r="AX46" s="526"/>
      <c r="AY46" s="526"/>
      <c r="AZ46" s="526"/>
      <c r="BA46" s="1110"/>
      <c r="BB46" s="1024"/>
      <c r="BC46" s="1024"/>
      <c r="BD46" s="548"/>
    </row>
    <row r="47" ht="41.25" customHeight="1">
      <c r="A47" s="62"/>
      <c r="B47" t="s" s="1033">
        <v>5945</v>
      </c>
      <c r="C47" s="1016"/>
      <c r="D47" s="1016"/>
      <c r="E47" s="1016"/>
      <c r="F47" s="1016"/>
      <c r="G47" s="1016"/>
      <c r="H47" s="1016"/>
      <c r="I47" s="1016"/>
      <c r="J47" s="1016"/>
      <c r="K47" s="1016"/>
      <c r="L47" s="1132"/>
      <c r="M47" s="525"/>
      <c r="N47" s="526"/>
      <c r="O47" s="526"/>
      <c r="P47" s="526"/>
      <c r="Q47" s="526"/>
      <c r="R47" s="526"/>
      <c r="S47" s="526"/>
      <c r="T47" s="526"/>
      <c r="U47" s="526"/>
      <c r="V47" s="526"/>
      <c r="W47" s="526"/>
      <c r="X47" s="526"/>
      <c r="Y47" s="1145"/>
      <c r="Z47" s="521"/>
      <c r="AA47" s="62"/>
      <c r="AB47" t="s" s="1129">
        <v>5946</v>
      </c>
      <c r="AC47" t="s" s="1033">
        <v>5902</v>
      </c>
      <c r="AD47" s="525"/>
      <c r="AE47" s="521"/>
      <c r="AF47" t="s" s="1152">
        <v>5947</v>
      </c>
      <c r="AG47" t="s" s="1033">
        <v>5948</v>
      </c>
      <c r="AH47" t="s" s="1124">
        <v>5900</v>
      </c>
      <c r="AI47" t="s" s="1128">
        <v>5897</v>
      </c>
      <c r="AJ47" s="1024"/>
      <c r="AK47" s="1024"/>
      <c r="AL47" s="1024"/>
      <c r="AM47" s="1125"/>
      <c r="AN47" s="1113"/>
      <c r="AO47" s="1113"/>
      <c r="AP47" s="1114"/>
      <c r="AQ47" s="1122">
        <v>17</v>
      </c>
      <c r="AR47" t="s" s="1026">
        <v>5349</v>
      </c>
      <c r="AS47" s="1017" cm="1">
        <f t="array" ref="AS47">0*75000</f>
        <v>0</v>
      </c>
      <c r="AT47" s="1122">
        <v>21</v>
      </c>
      <c r="AU47" s="1117"/>
      <c r="AV47" s="1024"/>
      <c r="AW47" s="548"/>
      <c r="AX47" s="526"/>
      <c r="AY47" s="526"/>
      <c r="AZ47" s="526"/>
      <c r="BA47" s="1110"/>
      <c r="BB47" s="1024"/>
      <c r="BC47" s="1024"/>
      <c r="BD47" s="548"/>
    </row>
    <row r="48" ht="42" customHeight="1">
      <c r="A48" s="62"/>
      <c r="B48" t="s" s="1033">
        <v>5942</v>
      </c>
      <c r="C48" s="1016"/>
      <c r="D48" s="1016"/>
      <c r="E48" s="1016"/>
      <c r="F48" s="1016"/>
      <c r="G48" s="1016"/>
      <c r="H48" s="1016"/>
      <c r="I48" s="1016"/>
      <c r="J48" s="1016"/>
      <c r="K48" s="1016"/>
      <c r="L48" s="1132"/>
      <c r="M48" s="525"/>
      <c r="N48" s="526"/>
      <c r="O48" s="526"/>
      <c r="P48" s="526"/>
      <c r="Q48" s="526"/>
      <c r="R48" s="526"/>
      <c r="S48" s="526"/>
      <c r="T48" s="526"/>
      <c r="U48" s="526"/>
      <c r="V48" s="526"/>
      <c r="W48" s="526"/>
      <c r="X48" s="526"/>
      <c r="Y48" s="526"/>
      <c r="Z48" s="521"/>
      <c r="AA48" s="66"/>
      <c r="AB48" t="s" s="1033">
        <v>5949</v>
      </c>
      <c r="AC48" s="1016"/>
      <c r="AD48" s="525"/>
      <c r="AE48" s="521"/>
      <c r="AF48" s="62"/>
      <c r="AG48" t="s" s="1129">
        <v>5950</v>
      </c>
      <c r="AH48" t="s" s="1153">
        <v>5951</v>
      </c>
      <c r="AI48" s="1131"/>
      <c r="AJ48" s="1024"/>
      <c r="AK48" s="1024"/>
      <c r="AL48" s="1024"/>
      <c r="AM48" s="1024"/>
      <c r="AN48" s="1113"/>
      <c r="AO48" s="1113"/>
      <c r="AP48" s="1114"/>
      <c r="AQ48" s="1122">
        <v>18</v>
      </c>
      <c r="AR48" t="s" s="1026">
        <v>5352</v>
      </c>
      <c r="AS48" s="1017" cm="1">
        <f t="array" ref="AS48">0*75000</f>
        <v>0</v>
      </c>
      <c r="AT48" s="1122">
        <v>21</v>
      </c>
      <c r="AU48" s="1117"/>
      <c r="AV48" s="1024"/>
      <c r="AW48" s="548"/>
      <c r="AX48" s="526"/>
      <c r="AY48" s="526"/>
      <c r="AZ48" s="526"/>
      <c r="BA48" s="1110"/>
      <c r="BB48" s="1024"/>
      <c r="BC48" s="1024"/>
      <c r="BD48" s="548"/>
    </row>
    <row r="49" ht="18.75" customHeight="1">
      <c r="A49" s="66"/>
      <c r="B49" t="s" s="1033">
        <v>5952</v>
      </c>
      <c r="C49" s="1016"/>
      <c r="D49" s="1016"/>
      <c r="E49" s="1016"/>
      <c r="F49" s="1016"/>
      <c r="G49" s="1016"/>
      <c r="H49" s="1016"/>
      <c r="I49" s="1016"/>
      <c r="J49" s="1016"/>
      <c r="K49" s="1016"/>
      <c r="L49" s="1132"/>
      <c r="M49" s="525"/>
      <c r="N49" s="526"/>
      <c r="O49" s="526"/>
      <c r="P49" s="526"/>
      <c r="Q49" s="526"/>
      <c r="R49" s="526"/>
      <c r="S49" s="526"/>
      <c r="T49" s="526"/>
      <c r="U49" s="526"/>
      <c r="V49" s="526"/>
      <c r="W49" s="526"/>
      <c r="X49" s="526"/>
      <c r="Y49" s="526"/>
      <c r="Z49" s="526"/>
      <c r="AA49" s="1137"/>
      <c r="AB49" s="1138"/>
      <c r="AC49" s="1063"/>
      <c r="AD49" s="526"/>
      <c r="AE49" s="521"/>
      <c r="AF49" s="62"/>
      <c r="AG49" t="s" s="1033">
        <v>5953</v>
      </c>
      <c r="AH49" s="1132"/>
      <c r="AI49" s="1131"/>
      <c r="AJ49" s="1024"/>
      <c r="AK49" s="1024"/>
      <c r="AL49" s="1024"/>
      <c r="AM49" s="1024"/>
      <c r="AN49" s="1113"/>
      <c r="AO49" s="1113"/>
      <c r="AP49" s="1114"/>
      <c r="AQ49" s="1122">
        <v>19</v>
      </c>
      <c r="AR49" t="s" s="1026">
        <v>379</v>
      </c>
      <c r="AS49" s="1017" cm="1">
        <f t="array" ref="AS49">0*75000</f>
        <v>0</v>
      </c>
      <c r="AT49" s="1122">
        <v>19</v>
      </c>
      <c r="AU49" s="1117"/>
      <c r="AV49" s="1024"/>
      <c r="AW49" s="548"/>
      <c r="AX49" s="526"/>
      <c r="AY49" s="526"/>
      <c r="AZ49" s="526"/>
      <c r="BA49" s="1110"/>
      <c r="BB49" s="1024"/>
      <c r="BC49" s="1024"/>
      <c r="BD49" s="548"/>
    </row>
    <row r="50" ht="18" customHeight="1">
      <c r="A50" s="1137"/>
      <c r="B50" s="1063"/>
      <c r="C50" s="1063"/>
      <c r="D50" s="1063"/>
      <c r="E50" s="1063"/>
      <c r="F50" s="1063"/>
      <c r="G50" s="1063"/>
      <c r="H50" s="1063"/>
      <c r="I50" s="1063"/>
      <c r="J50" s="1063"/>
      <c r="K50" s="1063"/>
      <c r="L50" s="1063"/>
      <c r="M50" s="526"/>
      <c r="N50" s="526"/>
      <c r="O50" s="526"/>
      <c r="P50" s="526"/>
      <c r="Q50" s="526"/>
      <c r="R50" s="526"/>
      <c r="S50" s="526"/>
      <c r="T50" s="526"/>
      <c r="U50" s="526"/>
      <c r="V50" s="526"/>
      <c r="W50" s="526"/>
      <c r="X50" s="526"/>
      <c r="Y50" s="526"/>
      <c r="Z50" s="526"/>
      <c r="AA50" s="1142"/>
      <c r="AB50" s="1118"/>
      <c r="AC50" s="1118"/>
      <c r="AD50" s="1111"/>
      <c r="AE50" s="521"/>
      <c r="AF50" s="66"/>
      <c r="AG50" t="s" s="1033">
        <v>5954</v>
      </c>
      <c r="AH50" s="1132"/>
      <c r="AI50" s="1131"/>
      <c r="AJ50" s="1024"/>
      <c r="AK50" s="1024"/>
      <c r="AL50" s="1024"/>
      <c r="AM50" s="1024"/>
      <c r="AN50" s="1113"/>
      <c r="AO50" s="1113"/>
      <c r="AP50" s="1114"/>
      <c r="AQ50" s="1122">
        <v>20</v>
      </c>
      <c r="AR50" t="s" s="1026">
        <v>5360</v>
      </c>
      <c r="AS50" s="1017" cm="1">
        <f t="array" ref="AS50">2*75000</f>
        <v>150000</v>
      </c>
      <c r="AT50" s="1122">
        <v>9</v>
      </c>
      <c r="AU50" s="1117"/>
      <c r="AV50" s="1024"/>
      <c r="AW50" s="548"/>
      <c r="AX50" s="526"/>
      <c r="AY50" s="526"/>
      <c r="AZ50" s="526"/>
      <c r="BA50" s="1110"/>
      <c r="BB50" s="1024"/>
      <c r="BC50" s="1024"/>
      <c r="BD50" s="548"/>
    </row>
    <row r="51" ht="14.25" customHeight="1">
      <c r="A51" s="1154"/>
      <c r="B51" s="1154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1111"/>
      <c r="Z51" s="521"/>
      <c r="AA51" t="s" s="1126">
        <v>5955</v>
      </c>
      <c r="AB51" t="s" s="1129">
        <v>5956</v>
      </c>
      <c r="AC51" t="s" s="1124">
        <v>5957</v>
      </c>
      <c r="AD51" t="s" s="1127">
        <v>5897</v>
      </c>
      <c r="AE51" s="548"/>
      <c r="AF51" s="1139"/>
      <c r="AG51" s="1140"/>
      <c r="AH51" s="1141"/>
      <c r="AI51" s="1155"/>
      <c r="AJ51" s="1024"/>
      <c r="AK51" s="1024"/>
      <c r="AL51" s="1024"/>
      <c r="AM51" s="1125"/>
      <c r="AN51" s="1113"/>
      <c r="AO51" s="1113"/>
      <c r="AP51" s="1114"/>
      <c r="AQ51" s="1122">
        <v>21</v>
      </c>
      <c r="AR51" t="s" s="783">
        <v>157</v>
      </c>
      <c r="AS51" s="1017" cm="1">
        <f t="array" ref="AS51">0*75000</f>
        <v>0</v>
      </c>
      <c r="AT51" s="1122">
        <v>18.5</v>
      </c>
      <c r="AU51" s="1117"/>
      <c r="AV51" s="1024"/>
      <c r="AW51" s="548"/>
      <c r="AX51" s="526"/>
      <c r="AY51" s="526"/>
      <c r="AZ51" s="526"/>
      <c r="BA51" s="1110"/>
      <c r="BB51" s="1024"/>
      <c r="BC51" s="1024"/>
      <c r="BD51" s="548"/>
    </row>
    <row r="52" ht="14.25" customHeight="1">
      <c r="A52" s="1154"/>
      <c r="B52" s="1154"/>
      <c r="C52" s="526"/>
      <c r="D52" s="526"/>
      <c r="E52" s="526"/>
      <c r="F52" s="526"/>
      <c r="G52" s="526"/>
      <c r="H52" s="526"/>
      <c r="I52" s="526"/>
      <c r="J52" s="526"/>
      <c r="K52" s="526"/>
      <c r="L52" s="526"/>
      <c r="M52" s="526"/>
      <c r="N52" s="526"/>
      <c r="O52" s="526"/>
      <c r="P52" s="526"/>
      <c r="Q52" s="526"/>
      <c r="R52" s="526"/>
      <c r="S52" s="526"/>
      <c r="T52" s="526"/>
      <c r="U52" s="526"/>
      <c r="V52" s="526"/>
      <c r="W52" s="526"/>
      <c r="X52" s="1110"/>
      <c r="Y52" s="1024"/>
      <c r="Z52" s="1114"/>
      <c r="AA52" s="62"/>
      <c r="AB52" t="s" s="1129">
        <v>5958</v>
      </c>
      <c r="AC52" t="s" s="1033">
        <v>5902</v>
      </c>
      <c r="AD52" s="1156"/>
      <c r="AE52" s="521"/>
      <c r="AF52" t="s" s="1126">
        <v>5959</v>
      </c>
      <c r="AG52" t="s" s="1129">
        <v>5960</v>
      </c>
      <c r="AH52" t="s" s="1124">
        <v>5900</v>
      </c>
      <c r="AI52" t="s" s="1157">
        <v>5897</v>
      </c>
      <c r="AJ52" s="1024"/>
      <c r="AK52" s="1024"/>
      <c r="AL52" s="1024"/>
      <c r="AM52" s="1024"/>
      <c r="AN52" s="1113"/>
      <c r="AO52" s="1113"/>
      <c r="AP52" s="1114"/>
      <c r="AQ52" s="1122">
        <v>22</v>
      </c>
      <c r="AR52" t="s" s="783">
        <v>161</v>
      </c>
      <c r="AS52" s="1017" cm="1">
        <f t="array" ref="AS52">0*75000</f>
        <v>0</v>
      </c>
      <c r="AT52" s="1122">
        <v>20</v>
      </c>
      <c r="AU52" s="1117"/>
      <c r="AV52" s="1024"/>
      <c r="AW52" s="548"/>
      <c r="AX52" s="526"/>
      <c r="AY52" s="526"/>
      <c r="AZ52" s="526"/>
      <c r="BA52" s="1110"/>
      <c r="BB52" s="1024"/>
      <c r="BC52" s="1024"/>
      <c r="BD52" s="548"/>
    </row>
    <row r="53" ht="24.75" customHeight="1">
      <c r="A53" s="526"/>
      <c r="B53" s="526"/>
      <c r="C53" s="526"/>
      <c r="D53" s="526"/>
      <c r="E53" s="526"/>
      <c r="F53" s="526"/>
      <c r="G53" s="526"/>
      <c r="H53" s="526"/>
      <c r="I53" s="526"/>
      <c r="J53" s="526"/>
      <c r="K53" s="526"/>
      <c r="L53" s="526"/>
      <c r="M53" s="526"/>
      <c r="N53" s="526"/>
      <c r="O53" s="526"/>
      <c r="P53" s="526"/>
      <c r="Q53" s="526"/>
      <c r="R53" s="526"/>
      <c r="S53" s="526"/>
      <c r="T53" s="526"/>
      <c r="U53" s="526"/>
      <c r="V53" s="526"/>
      <c r="W53" s="526"/>
      <c r="X53" s="526"/>
      <c r="Y53" s="1145"/>
      <c r="Z53" s="521"/>
      <c r="AA53" s="66"/>
      <c r="AB53" t="s" s="1129">
        <v>5961</v>
      </c>
      <c r="AC53" s="1016"/>
      <c r="AD53" s="525"/>
      <c r="AE53" s="521"/>
      <c r="AF53" s="62"/>
      <c r="AG53" t="s" s="1033">
        <v>5962</v>
      </c>
      <c r="AH53" t="s" s="1129">
        <v>5963</v>
      </c>
      <c r="AI53" s="1158"/>
      <c r="AJ53" s="1024"/>
      <c r="AK53" s="1024"/>
      <c r="AL53" s="1024"/>
      <c r="AM53" s="1024"/>
      <c r="AN53" s="1113"/>
      <c r="AO53" s="1113"/>
      <c r="AP53" s="1114"/>
      <c r="AQ53" s="1122">
        <v>23</v>
      </c>
      <c r="AR53" t="s" s="986">
        <v>164</v>
      </c>
      <c r="AS53" s="1017" cm="1">
        <f t="array" ref="AS53">0*75000</f>
        <v>0</v>
      </c>
      <c r="AT53" s="1122">
        <v>19</v>
      </c>
      <c r="AU53" s="1117"/>
      <c r="AV53" s="1024"/>
      <c r="AW53" s="548"/>
      <c r="AX53" s="526"/>
      <c r="AY53" s="526"/>
      <c r="AZ53" s="526"/>
      <c r="BA53" s="1110"/>
      <c r="BB53" s="1024"/>
      <c r="BC53" s="1024"/>
      <c r="BD53" s="548"/>
    </row>
    <row r="54" ht="14.25" customHeight="1">
      <c r="A54" s="526"/>
      <c r="B54" s="526"/>
      <c r="C54" s="526"/>
      <c r="D54" s="526"/>
      <c r="E54" s="526"/>
      <c r="F54" s="526"/>
      <c r="G54" s="526"/>
      <c r="H54" s="526"/>
      <c r="I54" s="526"/>
      <c r="J54" s="526"/>
      <c r="K54" s="526"/>
      <c r="L54" s="526"/>
      <c r="M54" s="526"/>
      <c r="N54" s="526"/>
      <c r="O54" s="526"/>
      <c r="P54" s="526"/>
      <c r="Q54" s="526"/>
      <c r="R54" s="526"/>
      <c r="S54" s="526"/>
      <c r="T54" s="526"/>
      <c r="U54" s="526"/>
      <c r="V54" s="526"/>
      <c r="W54" s="526"/>
      <c r="X54" s="526"/>
      <c r="Y54" s="526"/>
      <c r="Z54" s="526"/>
      <c r="AA54" s="1137"/>
      <c r="AB54" s="1138"/>
      <c r="AC54" s="1063"/>
      <c r="AD54" s="526"/>
      <c r="AE54" s="521"/>
      <c r="AF54" s="62"/>
      <c r="AG54" t="s" s="1129">
        <v>5964</v>
      </c>
      <c r="AH54" s="1132"/>
      <c r="AI54" s="1131"/>
      <c r="AJ54" s="1024"/>
      <c r="AK54" s="1024"/>
      <c r="AL54" s="1024"/>
      <c r="AM54" s="1024"/>
      <c r="AN54" s="1113"/>
      <c r="AO54" s="1113"/>
      <c r="AP54" s="1114"/>
      <c r="AQ54" s="1122">
        <v>24</v>
      </c>
      <c r="AR54" t="s" s="986">
        <v>167</v>
      </c>
      <c r="AS54" s="1017" cm="1">
        <f t="array" ref="AS54">1*75000</f>
        <v>75000</v>
      </c>
      <c r="AT54" s="1122">
        <v>18.5</v>
      </c>
      <c r="AU54" s="1117"/>
      <c r="AV54" s="1024"/>
      <c r="AW54" s="548"/>
      <c r="AX54" s="526"/>
      <c r="AY54" s="526"/>
      <c r="AZ54" s="526"/>
      <c r="BA54" s="1110"/>
      <c r="BB54" s="1024"/>
      <c r="BC54" s="1024"/>
      <c r="BD54" s="548"/>
    </row>
    <row r="55" ht="21" customHeight="1">
      <c r="A55" s="526"/>
      <c r="B55" s="526"/>
      <c r="C55" s="526"/>
      <c r="D55" s="526"/>
      <c r="E55" s="526"/>
      <c r="F55" s="526"/>
      <c r="G55" s="526"/>
      <c r="H55" s="526"/>
      <c r="I55" s="526"/>
      <c r="J55" s="526"/>
      <c r="K55" s="526"/>
      <c r="L55" s="526"/>
      <c r="M55" s="526"/>
      <c r="N55" s="526"/>
      <c r="O55" s="526"/>
      <c r="P55" s="526"/>
      <c r="Q55" s="526"/>
      <c r="R55" s="526"/>
      <c r="S55" s="526"/>
      <c r="T55" s="526"/>
      <c r="U55" s="526"/>
      <c r="V55" s="526"/>
      <c r="W55" s="526"/>
      <c r="X55" s="526"/>
      <c r="Y55" s="526"/>
      <c r="Z55" s="526"/>
      <c r="AA55" s="1142"/>
      <c r="AB55" s="1118"/>
      <c r="AC55" s="1118"/>
      <c r="AD55" s="1111"/>
      <c r="AE55" s="521"/>
      <c r="AF55" s="66"/>
      <c r="AG55" t="s" s="1033">
        <v>5965</v>
      </c>
      <c r="AH55" s="1132"/>
      <c r="AI55" s="1131"/>
      <c r="AJ55" s="1024"/>
      <c r="AK55" s="1024"/>
      <c r="AL55" s="1024"/>
      <c r="AM55" s="1125"/>
      <c r="AN55" s="1113"/>
      <c r="AO55" s="1113"/>
      <c r="AP55" s="1114"/>
      <c r="AQ55" s="1122">
        <v>25</v>
      </c>
      <c r="AR55" t="s" s="783">
        <v>5379</v>
      </c>
      <c r="AS55" s="1017" cm="1">
        <f t="array" ref="AS55">0*75000</f>
        <v>0</v>
      </c>
      <c r="AT55" s="1122">
        <v>19</v>
      </c>
      <c r="AU55" s="1117"/>
      <c r="AV55" s="1024"/>
      <c r="AW55" s="548"/>
      <c r="AX55" s="526"/>
      <c r="AY55" s="526"/>
      <c r="AZ55" s="526"/>
      <c r="BA55" s="1110"/>
      <c r="BB55" s="1024"/>
      <c r="BC55" s="1024"/>
      <c r="BD55" s="548"/>
    </row>
    <row r="56" ht="14.25" customHeight="1">
      <c r="A56" s="526"/>
      <c r="B56" s="526"/>
      <c r="C56" s="526"/>
      <c r="D56" s="526"/>
      <c r="E56" s="526"/>
      <c r="F56" s="526"/>
      <c r="G56" s="526"/>
      <c r="H56" s="526"/>
      <c r="I56" s="526"/>
      <c r="J56" s="526"/>
      <c r="K56" s="526"/>
      <c r="L56" s="526"/>
      <c r="M56" s="526"/>
      <c r="N56" s="526"/>
      <c r="O56" s="526"/>
      <c r="P56" s="526"/>
      <c r="Q56" s="526"/>
      <c r="R56" s="526"/>
      <c r="S56" s="526"/>
      <c r="T56" s="526"/>
      <c r="U56" s="526"/>
      <c r="V56" s="526"/>
      <c r="W56" s="526"/>
      <c r="X56" s="526"/>
      <c r="Y56" s="526"/>
      <c r="Z56" s="521"/>
      <c r="AA56" t="s" s="1146">
        <v>5966</v>
      </c>
      <c r="AB56" t="s" s="1129">
        <v>5967</v>
      </c>
      <c r="AC56" t="s" s="1124">
        <v>5957</v>
      </c>
      <c r="AD56" t="s" s="1127">
        <v>5897</v>
      </c>
      <c r="AE56" s="548"/>
      <c r="AF56" s="1133"/>
      <c r="AG56" s="1105"/>
      <c r="AH56" s="1149"/>
      <c r="AI56" s="1121"/>
      <c r="AJ56" s="1024"/>
      <c r="AK56" s="1024"/>
      <c r="AL56" s="1024"/>
      <c r="AM56" s="1024"/>
      <c r="AN56" s="1113"/>
      <c r="AO56" s="1113"/>
      <c r="AP56" s="1114"/>
      <c r="AQ56" s="1122">
        <v>26</v>
      </c>
      <c r="AR56" t="s" s="783">
        <v>5384</v>
      </c>
      <c r="AS56" s="1017" cm="1">
        <f t="array" ref="AS56">0*75000</f>
        <v>0</v>
      </c>
      <c r="AT56" s="1122">
        <v>20</v>
      </c>
      <c r="AU56" s="1117"/>
      <c r="AV56" s="1024"/>
      <c r="AW56" s="548"/>
      <c r="AX56" s="526"/>
      <c r="AY56" s="526"/>
      <c r="AZ56" s="526"/>
      <c r="BA56" s="1110"/>
      <c r="BB56" s="1024"/>
      <c r="BC56" s="1024"/>
      <c r="BD56" s="548"/>
    </row>
    <row r="57" ht="14.25" customHeight="1">
      <c r="A57" s="526"/>
      <c r="B57" s="526"/>
      <c r="C57" s="526"/>
      <c r="D57" s="526"/>
      <c r="E57" s="526"/>
      <c r="F57" s="526"/>
      <c r="G57" s="526"/>
      <c r="H57" s="526"/>
      <c r="I57" s="526"/>
      <c r="J57" s="526"/>
      <c r="K57" s="526"/>
      <c r="L57" s="526"/>
      <c r="M57" s="526"/>
      <c r="N57" s="526"/>
      <c r="O57" s="526"/>
      <c r="P57" s="526"/>
      <c r="Q57" s="526"/>
      <c r="R57" s="526"/>
      <c r="S57" s="526"/>
      <c r="T57" s="526"/>
      <c r="U57" s="526"/>
      <c r="V57" s="526"/>
      <c r="W57" s="526"/>
      <c r="X57" s="526"/>
      <c r="Y57" s="526"/>
      <c r="Z57" s="521"/>
      <c r="AA57" s="62"/>
      <c r="AB57" t="s" s="1129">
        <v>5968</v>
      </c>
      <c r="AC57" t="s" s="1129">
        <v>5969</v>
      </c>
      <c r="AD57" s="1147"/>
      <c r="AE57" s="526"/>
      <c r="AF57" s="1136"/>
      <c r="AG57" s="1120"/>
      <c r="AH57" s="1151"/>
      <c r="AI57" s="1155"/>
      <c r="AJ57" s="1024"/>
      <c r="AK57" s="1024"/>
      <c r="AL57" s="1024"/>
      <c r="AM57" s="1024"/>
      <c r="AN57" s="1113"/>
      <c r="AO57" s="1113"/>
      <c r="AP57" s="1114"/>
      <c r="AQ57" s="1122">
        <v>27</v>
      </c>
      <c r="AR57" t="s" s="1159">
        <v>5389</v>
      </c>
      <c r="AS57" s="1017" cm="1">
        <f t="array" ref="AS57">0*75000</f>
        <v>0</v>
      </c>
      <c r="AT57" s="1122">
        <v>20.5</v>
      </c>
      <c r="AU57" s="1117"/>
      <c r="AV57" s="1024"/>
      <c r="AW57" s="548"/>
      <c r="AX57" s="526"/>
      <c r="AY57" s="526"/>
      <c r="AZ57" s="526"/>
      <c r="BA57" s="1110"/>
      <c r="BB57" s="1024"/>
      <c r="BC57" s="1024"/>
      <c r="BD57" s="548"/>
    </row>
    <row r="58" ht="14.25" customHeight="1">
      <c r="A58" s="526"/>
      <c r="B58" s="526"/>
      <c r="C58" s="526"/>
      <c r="D58" s="526"/>
      <c r="E58" s="526"/>
      <c r="F58" s="526"/>
      <c r="G58" s="526"/>
      <c r="H58" s="526"/>
      <c r="I58" s="526"/>
      <c r="J58" s="526"/>
      <c r="K58" s="526"/>
      <c r="L58" s="526"/>
      <c r="M58" s="526"/>
      <c r="N58" s="526"/>
      <c r="O58" s="526"/>
      <c r="P58" s="526"/>
      <c r="Q58" s="526"/>
      <c r="R58" s="526"/>
      <c r="S58" s="526"/>
      <c r="T58" s="526"/>
      <c r="U58" s="526"/>
      <c r="V58" s="526"/>
      <c r="W58" s="526"/>
      <c r="X58" s="526"/>
      <c r="Y58" s="526"/>
      <c r="Z58" s="521"/>
      <c r="AA58" s="62"/>
      <c r="AB58" t="s" s="1129">
        <v>5970</v>
      </c>
      <c r="AC58" s="1016"/>
      <c r="AD58" s="525"/>
      <c r="AE58" s="521"/>
      <c r="AF58" t="s" s="1126">
        <v>5971</v>
      </c>
      <c r="AG58" t="s" s="1129">
        <v>5972</v>
      </c>
      <c r="AH58" t="s" s="1124">
        <v>5973</v>
      </c>
      <c r="AI58" s="1160"/>
      <c r="AJ58" s="1024"/>
      <c r="AK58" s="1024"/>
      <c r="AL58" s="1024"/>
      <c r="AM58" s="1125"/>
      <c r="AN58" s="1113"/>
      <c r="AO58" s="1113"/>
      <c r="AP58" s="548"/>
      <c r="AQ58" s="1063"/>
      <c r="AR58" s="1063"/>
      <c r="AS58" s="509" cm="1">
        <f t="array" ref="AS58">SUM(AS31:AS57)</f>
        <v>1650000</v>
      </c>
      <c r="AT58" s="1104"/>
      <c r="AU58" s="1024"/>
      <c r="AV58" s="1024"/>
      <c r="AW58" s="548"/>
      <c r="AX58" s="526"/>
      <c r="AY58" s="526"/>
      <c r="AZ58" s="526"/>
      <c r="BA58" s="1110"/>
      <c r="BB58" s="1024"/>
      <c r="BC58" s="1024"/>
      <c r="BD58" s="548"/>
    </row>
    <row r="59" ht="14.25" customHeight="1">
      <c r="A59" s="526"/>
      <c r="B59" s="526"/>
      <c r="C59" s="526"/>
      <c r="D59" s="526"/>
      <c r="E59" s="526"/>
      <c r="F59" s="526"/>
      <c r="G59" s="526"/>
      <c r="H59" s="526"/>
      <c r="I59" s="526"/>
      <c r="J59" s="526"/>
      <c r="K59" s="526"/>
      <c r="L59" s="526"/>
      <c r="M59" s="526"/>
      <c r="N59" s="526"/>
      <c r="O59" s="526"/>
      <c r="P59" s="526"/>
      <c r="Q59" s="526"/>
      <c r="R59" s="526"/>
      <c r="S59" s="526"/>
      <c r="T59" s="526"/>
      <c r="U59" s="526"/>
      <c r="V59" s="526"/>
      <c r="W59" s="526"/>
      <c r="X59" s="526"/>
      <c r="Y59" s="526"/>
      <c r="Z59" s="521"/>
      <c r="AA59" s="62"/>
      <c r="AB59" t="s" s="1129">
        <v>5974</v>
      </c>
      <c r="AC59" s="1016"/>
      <c r="AD59" s="525"/>
      <c r="AE59" s="521"/>
      <c r="AF59" s="62"/>
      <c r="AG59" t="s" s="1129">
        <v>5975</v>
      </c>
      <c r="AH59" t="s" s="1129">
        <v>5916</v>
      </c>
      <c r="AI59" t="s" s="1157">
        <v>5897</v>
      </c>
      <c r="AJ59" s="1024"/>
      <c r="AK59" s="1024"/>
      <c r="AL59" s="1024"/>
      <c r="AM59" s="1024"/>
      <c r="AN59" s="1113"/>
      <c r="AO59" s="1113"/>
      <c r="AP59" s="548"/>
      <c r="AQ59" s="526"/>
      <c r="AR59" s="526"/>
      <c r="AS59" s="526"/>
      <c r="AT59" s="1110"/>
      <c r="AU59" s="1024"/>
      <c r="AV59" s="1024"/>
      <c r="AW59" s="548"/>
      <c r="AX59" s="526"/>
      <c r="AY59" s="526"/>
      <c r="AZ59" s="526"/>
      <c r="BA59" s="1110"/>
      <c r="BB59" s="1024"/>
      <c r="BC59" s="1024"/>
      <c r="BD59" s="548"/>
    </row>
    <row r="60" ht="14.25" customHeight="1">
      <c r="A60" s="526"/>
      <c r="B60" s="526"/>
      <c r="C60" s="526"/>
      <c r="D60" s="526"/>
      <c r="E60" s="526"/>
      <c r="F60" s="526"/>
      <c r="G60" s="526"/>
      <c r="H60" s="526"/>
      <c r="I60" s="526"/>
      <c r="J60" s="526"/>
      <c r="K60" s="526"/>
      <c r="L60" s="526"/>
      <c r="M60" s="526"/>
      <c r="N60" s="526"/>
      <c r="O60" s="526"/>
      <c r="P60" s="526"/>
      <c r="Q60" s="526"/>
      <c r="R60" s="526"/>
      <c r="S60" s="526"/>
      <c r="T60" s="526"/>
      <c r="U60" s="526"/>
      <c r="V60" s="526"/>
      <c r="W60" s="526"/>
      <c r="X60" s="526"/>
      <c r="Y60" s="526"/>
      <c r="Z60" s="521"/>
      <c r="AA60" s="66"/>
      <c r="AB60" t="s" s="1129">
        <v>5976</v>
      </c>
      <c r="AC60" s="1016"/>
      <c r="AD60" s="525"/>
      <c r="AE60" s="521"/>
      <c r="AF60" s="62"/>
      <c r="AG60" t="s" s="1129">
        <v>5977</v>
      </c>
      <c r="AH60" s="1132"/>
      <c r="AI60" s="1158"/>
      <c r="AJ60" s="1024"/>
      <c r="AK60" s="1024"/>
      <c r="AL60" s="1024"/>
      <c r="AM60" s="1024"/>
      <c r="AN60" s="1113"/>
      <c r="AO60" s="1113"/>
      <c r="AP60" s="548"/>
      <c r="AQ60" s="526"/>
      <c r="AR60" s="526"/>
      <c r="AS60" s="526"/>
      <c r="AT60" s="1110"/>
      <c r="AU60" s="1024"/>
      <c r="AV60" s="1024"/>
      <c r="AW60" s="548"/>
      <c r="AX60" s="526"/>
      <c r="AY60" s="526"/>
      <c r="AZ60" s="526"/>
      <c r="BA60" s="1110"/>
      <c r="BB60" s="1024"/>
      <c r="BC60" s="1024"/>
      <c r="BD60" s="548"/>
    </row>
    <row r="61" ht="14.25" customHeight="1">
      <c r="A61" s="1161"/>
      <c r="B61" s="874"/>
      <c r="C61" s="526"/>
      <c r="D61" s="526"/>
      <c r="E61" s="526"/>
      <c r="F61" s="526"/>
      <c r="G61" s="526"/>
      <c r="H61" s="526"/>
      <c r="I61" s="526"/>
      <c r="J61" s="526"/>
      <c r="K61" s="526"/>
      <c r="L61" s="526"/>
      <c r="M61" s="526"/>
      <c r="N61" s="526"/>
      <c r="O61" s="526"/>
      <c r="P61" s="526"/>
      <c r="Q61" s="526"/>
      <c r="R61" s="526"/>
      <c r="S61" s="526"/>
      <c r="T61" s="526"/>
      <c r="U61" s="526"/>
      <c r="V61" s="526"/>
      <c r="W61" s="526"/>
      <c r="X61" s="526"/>
      <c r="Y61" s="526"/>
      <c r="Z61" s="526"/>
      <c r="AA61" s="1134"/>
      <c r="AB61" s="1108"/>
      <c r="AC61" s="1108"/>
      <c r="AD61" s="1111"/>
      <c r="AE61" s="521"/>
      <c r="AF61" s="66"/>
      <c r="AG61" t="s" s="1129">
        <v>5978</v>
      </c>
      <c r="AH61" s="1132"/>
      <c r="AI61" s="1131"/>
      <c r="AJ61" s="1024"/>
      <c r="AK61" s="1024"/>
      <c r="AL61" s="1024"/>
      <c r="AM61" s="1125"/>
      <c r="AN61" s="1113"/>
      <c r="AO61" s="1113"/>
      <c r="AP61" s="548"/>
      <c r="AQ61" s="526"/>
      <c r="AR61" s="526"/>
      <c r="AS61" s="526"/>
      <c r="AT61" s="1110"/>
      <c r="AU61" s="1024"/>
      <c r="AV61" s="1024"/>
      <c r="AW61" s="548"/>
      <c r="AX61" s="526"/>
      <c r="AY61" s="526"/>
      <c r="AZ61" s="526"/>
      <c r="BA61" s="1110"/>
      <c r="BB61" s="1024"/>
      <c r="BC61" s="1024"/>
      <c r="BD61" s="548"/>
    </row>
    <row r="62" ht="14.25" customHeight="1">
      <c r="A62" s="1161"/>
      <c r="B62" s="874"/>
      <c r="C62" s="526"/>
      <c r="D62" s="526"/>
      <c r="E62" s="526"/>
      <c r="F62" s="526"/>
      <c r="G62" s="526"/>
      <c r="H62" s="526"/>
      <c r="I62" s="526"/>
      <c r="J62" s="526"/>
      <c r="K62" s="526"/>
      <c r="L62" s="526"/>
      <c r="M62" s="526"/>
      <c r="N62" s="526"/>
      <c r="O62" s="526"/>
      <c r="P62" s="526"/>
      <c r="Q62" s="526"/>
      <c r="R62" s="526"/>
      <c r="S62" s="526"/>
      <c r="T62" s="526"/>
      <c r="U62" s="526"/>
      <c r="V62" s="526"/>
      <c r="W62" s="526"/>
      <c r="X62" s="526"/>
      <c r="Y62" s="526"/>
      <c r="Z62" s="521"/>
      <c r="AA62" t="s" s="1162">
        <v>5979</v>
      </c>
      <c r="AB62" t="s" s="1163">
        <v>5980</v>
      </c>
      <c r="AC62" t="s" s="1124">
        <v>5900</v>
      </c>
      <c r="AD62" t="s" s="1127">
        <v>5897</v>
      </c>
      <c r="AE62" s="548"/>
      <c r="AF62" s="1139"/>
      <c r="AG62" s="1140"/>
      <c r="AH62" s="1141"/>
      <c r="AI62" s="1155"/>
      <c r="AJ62" s="1024"/>
      <c r="AK62" s="1024"/>
      <c r="AL62" s="1024"/>
      <c r="AM62" s="1024"/>
      <c r="AN62" s="1113"/>
      <c r="AO62" s="1113"/>
      <c r="AP62" s="548"/>
      <c r="AQ62" s="526"/>
      <c r="AR62" s="526"/>
      <c r="AS62" s="526"/>
      <c r="AT62" s="1110"/>
      <c r="AU62" s="1024"/>
      <c r="AV62" s="1024"/>
      <c r="AW62" s="548"/>
      <c r="AX62" s="526"/>
      <c r="AY62" s="526"/>
      <c r="AZ62" s="526"/>
      <c r="BA62" s="1110"/>
      <c r="BB62" s="1024"/>
      <c r="BC62" s="1024"/>
      <c r="BD62" s="548"/>
    </row>
    <row r="63" ht="20.25" customHeight="1">
      <c r="A63" s="1161"/>
      <c r="B63" s="874"/>
      <c r="C63" s="526"/>
      <c r="D63" s="526"/>
      <c r="E63" s="526"/>
      <c r="F63" s="526"/>
      <c r="G63" s="526"/>
      <c r="H63" s="526"/>
      <c r="I63" s="526"/>
      <c r="J63" s="526"/>
      <c r="K63" s="526"/>
      <c r="L63" s="526"/>
      <c r="M63" s="526"/>
      <c r="N63" s="526"/>
      <c r="O63" s="526"/>
      <c r="P63" s="526"/>
      <c r="Q63" s="526"/>
      <c r="R63" s="526"/>
      <c r="S63" s="526"/>
      <c r="T63" s="526"/>
      <c r="U63" s="526"/>
      <c r="V63" s="526"/>
      <c r="W63" s="526"/>
      <c r="X63" s="526"/>
      <c r="Y63" s="526"/>
      <c r="Z63" s="521"/>
      <c r="AA63" s="1016"/>
      <c r="AB63" t="s" s="1033">
        <v>5981</v>
      </c>
      <c r="AC63" t="s" s="1033">
        <v>5916</v>
      </c>
      <c r="AD63" s="1156"/>
      <c r="AE63" s="521"/>
      <c r="AF63" t="s" s="1126">
        <v>5982</v>
      </c>
      <c r="AG63" t="s" s="1129">
        <v>5983</v>
      </c>
      <c r="AH63" t="s" s="1124">
        <v>5934</v>
      </c>
      <c r="AI63" t="s" s="1164">
        <v>5897</v>
      </c>
      <c r="AJ63" s="1024"/>
      <c r="AK63" s="1024"/>
      <c r="AL63" s="1024"/>
      <c r="AM63" s="1024"/>
      <c r="AN63" s="1113"/>
      <c r="AO63" s="1113"/>
      <c r="AP63" s="548"/>
      <c r="AQ63" s="526"/>
      <c r="AR63" s="526"/>
      <c r="AS63" s="526"/>
      <c r="AT63" s="1110"/>
      <c r="AU63" s="1024"/>
      <c r="AV63" s="1024"/>
      <c r="AW63" s="548"/>
      <c r="AX63" s="526"/>
      <c r="AY63" s="526"/>
      <c r="AZ63" s="526"/>
      <c r="BA63" s="1110"/>
      <c r="BB63" s="1024"/>
      <c r="BC63" s="1024"/>
      <c r="BD63" s="548"/>
    </row>
    <row r="64" ht="22.5" customHeight="1">
      <c r="A64" s="1161"/>
      <c r="B64" s="874"/>
      <c r="C64" s="526"/>
      <c r="D64" s="526"/>
      <c r="E64" s="526"/>
      <c r="F64" s="526"/>
      <c r="G64" s="526"/>
      <c r="H64" s="526"/>
      <c r="I64" s="526"/>
      <c r="J64" s="526"/>
      <c r="K64" s="526"/>
      <c r="L64" s="526"/>
      <c r="M64" s="526"/>
      <c r="N64" s="526"/>
      <c r="O64" s="526"/>
      <c r="P64" s="526"/>
      <c r="Q64" s="526"/>
      <c r="R64" s="526"/>
      <c r="S64" s="526"/>
      <c r="T64" s="526"/>
      <c r="U64" s="526"/>
      <c r="V64" s="526"/>
      <c r="W64" s="526"/>
      <c r="X64" s="526"/>
      <c r="Y64" s="526"/>
      <c r="Z64" s="521"/>
      <c r="AA64" s="1016"/>
      <c r="AB64" t="s" s="1033">
        <v>5984</v>
      </c>
      <c r="AC64" s="1016"/>
      <c r="AD64" s="525"/>
      <c r="AE64" s="521"/>
      <c r="AF64" s="62"/>
      <c r="AG64" t="s" s="1033">
        <v>5985</v>
      </c>
      <c r="AH64" t="s" s="1129">
        <v>5902</v>
      </c>
      <c r="AI64" s="1117"/>
      <c r="AJ64" s="1024"/>
      <c r="AK64" s="1024"/>
      <c r="AL64" s="1024"/>
      <c r="AM64" s="1024"/>
      <c r="AN64" s="1113"/>
      <c r="AO64" s="1113"/>
      <c r="AP64" s="548"/>
      <c r="AQ64" s="526"/>
      <c r="AR64" s="526"/>
      <c r="AS64" s="526"/>
      <c r="AT64" s="1110"/>
      <c r="AU64" s="1024"/>
      <c r="AV64" s="1024"/>
      <c r="AW64" s="548"/>
      <c r="AX64" s="526"/>
      <c r="AY64" s="526"/>
      <c r="AZ64" s="526"/>
      <c r="BA64" s="1110"/>
      <c r="BB64" s="1024"/>
      <c r="BC64" s="1024"/>
      <c r="BD64" s="548"/>
    </row>
    <row r="65" ht="14.25" customHeight="1">
      <c r="A65" s="1161"/>
      <c r="B65" s="874"/>
      <c r="C65" s="526"/>
      <c r="D65" s="526"/>
      <c r="E65" s="526"/>
      <c r="F65" s="526"/>
      <c r="G65" s="526"/>
      <c r="H65" s="526"/>
      <c r="I65" s="526"/>
      <c r="J65" s="526"/>
      <c r="K65" s="526"/>
      <c r="L65" s="526"/>
      <c r="M65" s="526"/>
      <c r="N65" s="526"/>
      <c r="O65" s="526"/>
      <c r="P65" s="526"/>
      <c r="Q65" s="526"/>
      <c r="R65" s="526"/>
      <c r="S65" s="526"/>
      <c r="T65" s="526"/>
      <c r="U65" s="526"/>
      <c r="V65" s="526"/>
      <c r="W65" s="526"/>
      <c r="X65" s="526"/>
      <c r="Y65" s="526"/>
      <c r="Z65" s="526"/>
      <c r="AA65" s="1063"/>
      <c r="AB65" s="1063"/>
      <c r="AC65" s="1063"/>
      <c r="AD65" s="526"/>
      <c r="AE65" s="521"/>
      <c r="AF65" s="62"/>
      <c r="AG65" t="s" s="1129">
        <v>5986</v>
      </c>
      <c r="AH65" s="1132"/>
      <c r="AI65" s="1117"/>
      <c r="AJ65" s="1024"/>
      <c r="AK65" s="1024"/>
      <c r="AL65" s="1024"/>
      <c r="AM65" s="1024"/>
      <c r="AN65" s="1113"/>
      <c r="AO65" s="1113"/>
      <c r="AP65" s="548"/>
      <c r="AQ65" s="526"/>
      <c r="AR65" s="526"/>
      <c r="AS65" s="526"/>
      <c r="AT65" s="1110"/>
      <c r="AU65" s="1024"/>
      <c r="AV65" s="1024"/>
      <c r="AW65" s="548"/>
      <c r="AX65" s="526"/>
      <c r="AY65" s="526"/>
      <c r="AZ65" s="526"/>
      <c r="BA65" s="1110"/>
      <c r="BB65" s="1024"/>
      <c r="BC65" s="1024"/>
      <c r="BD65" s="548"/>
    </row>
    <row r="66" ht="14.25" customHeight="1">
      <c r="A66" s="1161"/>
      <c r="B66" s="879"/>
      <c r="C66" s="526"/>
      <c r="D66" s="526"/>
      <c r="E66" s="526"/>
      <c r="F66" s="526"/>
      <c r="G66" s="526"/>
      <c r="H66" s="526"/>
      <c r="I66" s="526"/>
      <c r="J66" s="526"/>
      <c r="K66" s="526"/>
      <c r="L66" s="526"/>
      <c r="M66" s="526"/>
      <c r="N66" s="526"/>
      <c r="O66" s="526"/>
      <c r="P66" s="526"/>
      <c r="Q66" s="526"/>
      <c r="R66" s="526"/>
      <c r="S66" s="526"/>
      <c r="T66" s="526"/>
      <c r="U66" s="526"/>
      <c r="V66" s="526"/>
      <c r="W66" s="526"/>
      <c r="X66" s="526"/>
      <c r="Y66" s="526"/>
      <c r="Z66" s="526"/>
      <c r="AA66" s="526"/>
      <c r="AB66" s="526"/>
      <c r="AC66" s="526"/>
      <c r="AD66" s="526"/>
      <c r="AE66" s="521"/>
      <c r="AF66" s="66"/>
      <c r="AG66" t="s" s="1033">
        <v>5987</v>
      </c>
      <c r="AH66" s="1132"/>
      <c r="AI66" s="1117"/>
      <c r="AJ66" s="1024"/>
      <c r="AK66" s="1024"/>
      <c r="AL66" s="1024"/>
      <c r="AM66" s="1024"/>
      <c r="AN66" s="1113"/>
      <c r="AO66" s="1113"/>
      <c r="AP66" s="548"/>
      <c r="AQ66" s="526"/>
      <c r="AR66" s="526"/>
      <c r="AS66" s="526"/>
      <c r="AT66" s="1110"/>
      <c r="AU66" s="1024"/>
      <c r="AV66" s="1024"/>
      <c r="AW66" s="548"/>
      <c r="AX66" s="526"/>
      <c r="AY66" s="526"/>
      <c r="AZ66" s="526"/>
      <c r="BA66" s="1110"/>
      <c r="BB66" s="1024"/>
      <c r="BC66" s="1024"/>
      <c r="BD66" s="548"/>
    </row>
    <row r="67" ht="14.25" customHeight="1">
      <c r="A67" s="1161"/>
      <c r="B67" s="874"/>
      <c r="C67" s="526"/>
      <c r="D67" s="526"/>
      <c r="E67" s="526"/>
      <c r="F67" s="526"/>
      <c r="G67" s="526"/>
      <c r="H67" s="526"/>
      <c r="I67" s="526"/>
      <c r="J67" s="526"/>
      <c r="K67" s="526"/>
      <c r="L67" s="526"/>
      <c r="M67" s="526"/>
      <c r="N67" s="526"/>
      <c r="O67" s="526"/>
      <c r="P67" s="526"/>
      <c r="Q67" s="526"/>
      <c r="R67" s="526"/>
      <c r="S67" s="526"/>
      <c r="T67" s="526"/>
      <c r="U67" s="526"/>
      <c r="V67" s="526"/>
      <c r="W67" s="526"/>
      <c r="X67" s="526"/>
      <c r="Y67" s="526"/>
      <c r="Z67" s="27"/>
      <c r="AA67" s="27"/>
      <c r="AB67" s="27"/>
      <c r="AC67" s="27"/>
      <c r="AD67" s="27"/>
      <c r="AE67" s="27"/>
      <c r="AF67" s="1134"/>
      <c r="AG67" s="1108"/>
      <c r="AH67" s="1165"/>
      <c r="AI67" s="1024"/>
      <c r="AJ67" s="1166"/>
      <c r="AK67" s="1166"/>
      <c r="AL67" s="1166"/>
      <c r="AM67" s="1125"/>
      <c r="AN67" s="1167"/>
      <c r="AO67" s="1167"/>
      <c r="AP67" s="886"/>
      <c r="AQ67" s="27"/>
      <c r="AR67" s="27"/>
      <c r="AS67" s="27"/>
      <c r="AT67" s="1168"/>
      <c r="AU67" s="1166"/>
      <c r="AV67" s="1166"/>
      <c r="AW67" s="886"/>
      <c r="AX67" s="27"/>
      <c r="AY67" s="27"/>
      <c r="AZ67" s="27"/>
      <c r="BA67" s="1168"/>
      <c r="BB67" s="1166"/>
      <c r="BC67" s="1166"/>
      <c r="BD67" s="886"/>
    </row>
    <row r="68" ht="14.25" customHeight="1">
      <c r="A68" s="1161"/>
      <c r="B68" s="1169"/>
      <c r="C68" s="526"/>
      <c r="D68" s="526"/>
      <c r="E68" s="526"/>
      <c r="F68" s="526"/>
      <c r="G68" s="526"/>
      <c r="H68" s="526"/>
      <c r="I68" s="526"/>
      <c r="J68" s="526"/>
      <c r="K68" s="526"/>
      <c r="L68" s="526"/>
      <c r="M68" s="526"/>
      <c r="N68" s="526"/>
      <c r="O68" s="526"/>
      <c r="P68" s="526"/>
      <c r="Q68" s="526"/>
      <c r="R68" s="526"/>
      <c r="S68" s="526"/>
      <c r="T68" s="526"/>
      <c r="U68" s="526"/>
      <c r="V68" s="526"/>
      <c r="W68" s="526"/>
      <c r="X68" s="526"/>
      <c r="Y68" s="526"/>
      <c r="Z68" s="27"/>
      <c r="AA68" s="27"/>
      <c r="AB68" s="27"/>
      <c r="AC68" s="27"/>
      <c r="AD68" s="27"/>
      <c r="AE68" s="1170"/>
      <c r="AF68" t="s" s="1126">
        <v>5988</v>
      </c>
      <c r="AG68" t="s" s="1033">
        <v>5989</v>
      </c>
      <c r="AH68" t="s" s="1124">
        <v>5990</v>
      </c>
      <c r="AI68" t="s" s="1164">
        <v>5897</v>
      </c>
      <c r="AJ68" s="1166"/>
      <c r="AK68" s="1166"/>
      <c r="AL68" s="1166"/>
      <c r="AM68" s="1166"/>
      <c r="AN68" s="1167"/>
      <c r="AO68" s="1167"/>
      <c r="AP68" s="886"/>
      <c r="AQ68" s="27"/>
      <c r="AR68" s="27"/>
      <c r="AS68" s="27"/>
      <c r="AT68" s="1168"/>
      <c r="AU68" s="1166"/>
      <c r="AV68" s="1166"/>
      <c r="AW68" s="886"/>
      <c r="AX68" s="27"/>
      <c r="AY68" s="27"/>
      <c r="AZ68" s="27"/>
      <c r="BA68" s="1168"/>
      <c r="BB68" s="1166"/>
      <c r="BC68" s="1166"/>
      <c r="BD68" s="886"/>
    </row>
    <row r="69" ht="14.25" customHeight="1">
      <c r="A69" s="1161"/>
      <c r="B69" s="1171"/>
      <c r="C69" s="526"/>
      <c r="D69" s="526"/>
      <c r="E69" s="526"/>
      <c r="F69" s="526"/>
      <c r="G69" s="526"/>
      <c r="H69" s="526"/>
      <c r="I69" s="526"/>
      <c r="J69" s="526"/>
      <c r="K69" s="526"/>
      <c r="L69" s="526"/>
      <c r="M69" s="526"/>
      <c r="N69" s="526"/>
      <c r="O69" s="526"/>
      <c r="P69" s="526"/>
      <c r="Q69" s="526"/>
      <c r="R69" s="526"/>
      <c r="S69" s="526"/>
      <c r="T69" s="526"/>
      <c r="U69" s="526"/>
      <c r="V69" s="526"/>
      <c r="W69" s="526"/>
      <c r="X69" s="526"/>
      <c r="Y69" s="526"/>
      <c r="Z69" s="27"/>
      <c r="AA69" s="27"/>
      <c r="AB69" s="27"/>
      <c r="AC69" s="27"/>
      <c r="AD69" s="27"/>
      <c r="AE69" s="1170"/>
      <c r="AF69" s="66"/>
      <c r="AG69" t="s" s="1033">
        <v>5991</v>
      </c>
      <c r="AH69" t="s" s="1129">
        <v>5916</v>
      </c>
      <c r="AI69" s="1117"/>
      <c r="AJ69" s="1166"/>
      <c r="AK69" s="1166"/>
      <c r="AL69" s="1166"/>
      <c r="AM69" s="1166"/>
      <c r="AN69" s="1167"/>
      <c r="AO69" s="1167"/>
      <c r="AP69" s="886"/>
      <c r="AQ69" s="27"/>
      <c r="AR69" s="27"/>
      <c r="AS69" s="27"/>
      <c r="AT69" s="1168"/>
      <c r="AU69" s="1166"/>
      <c r="AV69" s="1166"/>
      <c r="AW69" s="886"/>
      <c r="AX69" s="27"/>
      <c r="AY69" s="27"/>
      <c r="AZ69" s="27"/>
      <c r="BA69" s="1168"/>
      <c r="BB69" s="1166"/>
      <c r="BC69" s="1166"/>
      <c r="BD69" s="886"/>
    </row>
    <row r="70" ht="14.25" customHeight="1">
      <c r="A70" s="1172"/>
      <c r="B70" s="1173"/>
      <c r="C70" s="548"/>
      <c r="D70" s="526"/>
      <c r="E70" s="526"/>
      <c r="F70" s="526"/>
      <c r="G70" s="526"/>
      <c r="H70" s="526"/>
      <c r="I70" s="526"/>
      <c r="J70" s="526"/>
      <c r="K70" s="526"/>
      <c r="L70" s="526"/>
      <c r="M70" s="526"/>
      <c r="N70" s="526"/>
      <c r="O70" s="526"/>
      <c r="P70" s="526"/>
      <c r="Q70" s="526"/>
      <c r="R70" s="526"/>
      <c r="S70" s="526"/>
      <c r="T70" s="526"/>
      <c r="U70" s="526"/>
      <c r="V70" s="526"/>
      <c r="W70" s="526"/>
      <c r="X70" s="526"/>
      <c r="Y70" s="526"/>
      <c r="Z70" s="27"/>
      <c r="AA70" s="27"/>
      <c r="AB70" s="27"/>
      <c r="AC70" s="27"/>
      <c r="AD70" s="27"/>
      <c r="AE70" s="27"/>
      <c r="AF70" s="1134"/>
      <c r="AG70" s="1108"/>
      <c r="AH70" s="1165"/>
      <c r="AI70" s="1024"/>
      <c r="AJ70" s="1166"/>
      <c r="AK70" s="1166"/>
      <c r="AL70" s="1166"/>
      <c r="AM70" s="1166"/>
      <c r="AN70" s="1167"/>
      <c r="AO70" s="1167"/>
      <c r="AP70" s="886"/>
      <c r="AQ70" s="27"/>
      <c r="AR70" s="27"/>
      <c r="AS70" s="27"/>
      <c r="AT70" s="1168"/>
      <c r="AU70" s="1166"/>
      <c r="AV70" s="1166"/>
      <c r="AW70" s="886"/>
      <c r="AX70" s="27"/>
      <c r="AY70" s="27"/>
      <c r="AZ70" s="27"/>
      <c r="BA70" s="1168"/>
      <c r="BB70" s="1166"/>
      <c r="BC70" s="1166"/>
      <c r="BD70" s="886"/>
    </row>
    <row r="71" ht="14.25" customHeight="1">
      <c r="A71" s="1172"/>
      <c r="B71" s="1174"/>
      <c r="C71" s="548"/>
      <c r="D71" s="526"/>
      <c r="E71" s="526"/>
      <c r="F71" s="526"/>
      <c r="G71" s="526"/>
      <c r="H71" s="526"/>
      <c r="I71" s="526"/>
      <c r="J71" s="526"/>
      <c r="K71" s="526"/>
      <c r="L71" s="526"/>
      <c r="M71" s="526"/>
      <c r="N71" s="526"/>
      <c r="O71" s="526"/>
      <c r="P71" s="526"/>
      <c r="Q71" s="526"/>
      <c r="R71" s="526"/>
      <c r="S71" s="526"/>
      <c r="T71" s="526"/>
      <c r="U71" s="526"/>
      <c r="V71" s="526"/>
      <c r="W71" s="526"/>
      <c r="X71" s="526"/>
      <c r="Y71" s="526"/>
      <c r="Z71" s="27"/>
      <c r="AA71" s="27"/>
      <c r="AB71" s="27"/>
      <c r="AC71" s="27"/>
      <c r="AD71" s="27"/>
      <c r="AE71" s="1170"/>
      <c r="AF71" t="s" s="1126">
        <v>5992</v>
      </c>
      <c r="AG71" t="s" s="1033">
        <v>5993</v>
      </c>
      <c r="AH71" t="s" s="1124">
        <v>5900</v>
      </c>
      <c r="AI71" s="1160"/>
      <c r="AJ71" s="1166"/>
      <c r="AK71" s="1166"/>
      <c r="AL71" s="1166"/>
      <c r="AM71" s="1166"/>
      <c r="AN71" s="1167"/>
      <c r="AO71" s="1167"/>
      <c r="AP71" s="886"/>
      <c r="AQ71" s="27"/>
      <c r="AR71" s="27"/>
      <c r="AS71" s="27"/>
      <c r="AT71" s="1168"/>
      <c r="AU71" s="1166"/>
      <c r="AV71" s="1166"/>
      <c r="AW71" s="886"/>
      <c r="AX71" s="27"/>
      <c r="AY71" s="27"/>
      <c r="AZ71" s="27"/>
      <c r="BA71" s="1168"/>
      <c r="BB71" s="1166"/>
      <c r="BC71" s="1166"/>
      <c r="BD71" s="886"/>
    </row>
    <row r="72" ht="14.25" customHeight="1">
      <c r="A72" s="1172"/>
      <c r="B72" s="1174"/>
      <c r="C72" s="548"/>
      <c r="D72" s="526"/>
      <c r="E72" s="526"/>
      <c r="F72" s="526"/>
      <c r="G72" s="526"/>
      <c r="H72" s="526"/>
      <c r="I72" s="526"/>
      <c r="J72" s="526"/>
      <c r="K72" s="526"/>
      <c r="L72" s="526"/>
      <c r="M72" s="526"/>
      <c r="N72" s="526"/>
      <c r="O72" s="526"/>
      <c r="P72" s="526"/>
      <c r="Q72" s="526"/>
      <c r="R72" s="526"/>
      <c r="S72" s="526"/>
      <c r="T72" s="526"/>
      <c r="U72" s="526"/>
      <c r="V72" s="526"/>
      <c r="W72" s="526"/>
      <c r="X72" s="526"/>
      <c r="Y72" s="526"/>
      <c r="Z72" s="27"/>
      <c r="AA72" s="27"/>
      <c r="AB72" s="27"/>
      <c r="AC72" s="27"/>
      <c r="AD72" s="27"/>
      <c r="AE72" s="1170"/>
      <c r="AF72" s="62"/>
      <c r="AG72" t="s" s="1033">
        <v>5994</v>
      </c>
      <c r="AH72" t="s" s="1129">
        <v>5902</v>
      </c>
      <c r="AI72" s="1117"/>
      <c r="AJ72" s="1175"/>
      <c r="AK72" s="1176"/>
      <c r="AL72" s="1176"/>
      <c r="AM72" s="1177"/>
      <c r="AN72" s="1167"/>
      <c r="AO72" s="1167"/>
      <c r="AP72" s="886"/>
      <c r="AQ72" s="27"/>
      <c r="AR72" s="27"/>
      <c r="AS72" s="27"/>
      <c r="AT72" s="1168"/>
      <c r="AU72" s="1166"/>
      <c r="AV72" s="1166"/>
      <c r="AW72" s="886"/>
      <c r="AX72" s="27"/>
      <c r="AY72" s="27"/>
      <c r="AZ72" s="27"/>
      <c r="BA72" s="1168"/>
      <c r="BB72" s="1166"/>
      <c r="BC72" s="1166"/>
      <c r="BD72" s="886"/>
    </row>
    <row r="73" ht="14.25" customHeight="1">
      <c r="A73" s="1172"/>
      <c r="B73" s="1173"/>
      <c r="C73" s="548"/>
      <c r="D73" s="526"/>
      <c r="E73" s="526"/>
      <c r="F73" s="526"/>
      <c r="G73" s="526"/>
      <c r="H73" s="526"/>
      <c r="I73" s="526"/>
      <c r="J73" s="526"/>
      <c r="K73" s="526"/>
      <c r="L73" s="526"/>
      <c r="M73" s="526"/>
      <c r="N73" s="526"/>
      <c r="O73" s="526"/>
      <c r="P73" s="526"/>
      <c r="Q73" s="526"/>
      <c r="R73" s="526"/>
      <c r="S73" s="526"/>
      <c r="T73" s="526"/>
      <c r="U73" s="526"/>
      <c r="V73" s="526"/>
      <c r="W73" s="526"/>
      <c r="X73" s="526"/>
      <c r="Y73" s="526"/>
      <c r="Z73" s="27"/>
      <c r="AA73" s="27"/>
      <c r="AB73" s="27"/>
      <c r="AC73" s="27"/>
      <c r="AD73" s="27"/>
      <c r="AE73" s="1170"/>
      <c r="AF73" s="66"/>
      <c r="AG73" t="s" s="1033">
        <v>5995</v>
      </c>
      <c r="AH73" s="1132"/>
      <c r="AI73" s="1117"/>
      <c r="AJ73" s="886"/>
      <c r="AK73" s="27"/>
      <c r="AL73" s="27"/>
      <c r="AM73" s="1168"/>
      <c r="AN73" s="1167"/>
      <c r="AO73" s="1167"/>
      <c r="AP73" s="886"/>
      <c r="AQ73" s="27"/>
      <c r="AR73" s="27"/>
      <c r="AS73" s="27"/>
      <c r="AT73" s="1168"/>
      <c r="AU73" s="1166"/>
      <c r="AV73" s="1166"/>
      <c r="AW73" s="886"/>
      <c r="AX73" s="27"/>
      <c r="AY73" s="27"/>
      <c r="AZ73" s="27"/>
      <c r="BA73" s="1168"/>
      <c r="BB73" s="1166"/>
      <c r="BC73" s="1166"/>
      <c r="BD73" s="886"/>
    </row>
    <row r="74" ht="14.25" customHeight="1">
      <c r="A74" s="1172"/>
      <c r="B74" s="1173"/>
      <c r="C74" s="548"/>
      <c r="D74" s="526"/>
      <c r="E74" s="526"/>
      <c r="F74" s="526"/>
      <c r="G74" s="526"/>
      <c r="H74" s="526"/>
      <c r="I74" s="526"/>
      <c r="J74" s="526"/>
      <c r="K74" s="526"/>
      <c r="L74" s="526"/>
      <c r="M74" s="526"/>
      <c r="N74" s="526"/>
      <c r="O74" s="526"/>
      <c r="P74" s="526"/>
      <c r="Q74" s="526"/>
      <c r="R74" s="526"/>
      <c r="S74" s="526"/>
      <c r="T74" s="526"/>
      <c r="U74" s="526"/>
      <c r="V74" s="526"/>
      <c r="W74" s="526"/>
      <c r="X74" s="526"/>
      <c r="Y74" s="526"/>
      <c r="Z74" s="27"/>
      <c r="AA74" s="27"/>
      <c r="AB74" s="27"/>
      <c r="AC74" s="27"/>
      <c r="AD74" s="27"/>
      <c r="AE74" s="27"/>
      <c r="AF74" s="1134"/>
      <c r="AG74" s="1108"/>
      <c r="AH74" s="1165"/>
      <c r="AI74" s="1024"/>
      <c r="AJ74" s="886"/>
      <c r="AK74" s="27"/>
      <c r="AL74" s="27"/>
      <c r="AM74" s="1168"/>
      <c r="AN74" s="1167"/>
      <c r="AO74" s="1167"/>
      <c r="AP74" s="886"/>
      <c r="AQ74" s="27"/>
      <c r="AR74" s="27"/>
      <c r="AS74" s="27"/>
      <c r="AT74" s="1168"/>
      <c r="AU74" s="1166"/>
      <c r="AV74" s="1166"/>
      <c r="AW74" s="886"/>
      <c r="AX74" s="27"/>
      <c r="AY74" s="27"/>
      <c r="AZ74" s="27"/>
      <c r="BA74" s="1168"/>
      <c r="BB74" s="1166"/>
      <c r="BC74" s="1166"/>
      <c r="BD74" s="886"/>
    </row>
    <row r="75" ht="14.25" customHeight="1">
      <c r="A75" s="1172"/>
      <c r="B75" s="1178"/>
      <c r="C75" s="548"/>
      <c r="D75" s="526"/>
      <c r="E75" s="526"/>
      <c r="F75" s="526"/>
      <c r="G75" s="526"/>
      <c r="H75" s="526"/>
      <c r="I75" s="526"/>
      <c r="J75" s="526"/>
      <c r="K75" s="526"/>
      <c r="L75" s="526"/>
      <c r="M75" s="526"/>
      <c r="N75" s="526"/>
      <c r="O75" s="526"/>
      <c r="P75" s="526"/>
      <c r="Q75" s="526"/>
      <c r="R75" s="526"/>
      <c r="S75" s="526"/>
      <c r="T75" s="526"/>
      <c r="U75" s="526"/>
      <c r="V75" s="526"/>
      <c r="W75" s="526"/>
      <c r="X75" s="526"/>
      <c r="Y75" s="526"/>
      <c r="Z75" s="27"/>
      <c r="AA75" s="27"/>
      <c r="AB75" s="27"/>
      <c r="AC75" s="27"/>
      <c r="AD75" s="27"/>
      <c r="AE75" s="1170"/>
      <c r="AF75" t="s" s="1126">
        <v>5996</v>
      </c>
      <c r="AG75" t="s" s="1129">
        <v>5997</v>
      </c>
      <c r="AH75" t="s" s="1124">
        <v>5900</v>
      </c>
      <c r="AI75" t="s" s="1164">
        <v>5897</v>
      </c>
      <c r="AJ75" s="886"/>
      <c r="AK75" s="27"/>
      <c r="AL75" s="27"/>
      <c r="AM75" s="1168"/>
      <c r="AN75" s="1167"/>
      <c r="AO75" s="1167"/>
      <c r="AP75" s="886"/>
      <c r="AQ75" s="27"/>
      <c r="AR75" s="27"/>
      <c r="AS75" s="27"/>
      <c r="AT75" s="1168"/>
      <c r="AU75" s="1166"/>
      <c r="AV75" s="1166"/>
      <c r="AW75" s="886"/>
      <c r="AX75" s="27"/>
      <c r="AY75" s="27"/>
      <c r="AZ75" s="27"/>
      <c r="BA75" s="1168"/>
      <c r="BB75" s="1166"/>
      <c r="BC75" s="1166"/>
      <c r="BD75" s="886"/>
    </row>
    <row r="76" ht="14.25" customHeight="1">
      <c r="A76" s="1161"/>
      <c r="B76" s="1179"/>
      <c r="C76" s="526"/>
      <c r="D76" s="526"/>
      <c r="E76" s="526"/>
      <c r="F76" s="526"/>
      <c r="G76" s="526"/>
      <c r="H76" s="526"/>
      <c r="I76" s="526"/>
      <c r="J76" s="526"/>
      <c r="K76" s="526"/>
      <c r="L76" s="526"/>
      <c r="M76" s="526"/>
      <c r="N76" s="526"/>
      <c r="O76" s="526"/>
      <c r="P76" s="526"/>
      <c r="Q76" s="526"/>
      <c r="R76" s="526"/>
      <c r="S76" s="526"/>
      <c r="T76" s="526"/>
      <c r="U76" s="526"/>
      <c r="V76" s="526"/>
      <c r="W76" s="526"/>
      <c r="X76" s="526"/>
      <c r="Y76" s="526"/>
      <c r="Z76" s="27"/>
      <c r="AA76" s="27"/>
      <c r="AB76" s="27"/>
      <c r="AC76" s="27"/>
      <c r="AD76" s="27"/>
      <c r="AE76" s="1170"/>
      <c r="AF76" s="66"/>
      <c r="AG76" t="s" s="1033">
        <v>5998</v>
      </c>
      <c r="AH76" t="s" s="1129">
        <v>5999</v>
      </c>
      <c r="AI76" s="1117"/>
      <c r="AJ76" s="886"/>
      <c r="AK76" s="27"/>
      <c r="AL76" s="27"/>
      <c r="AM76" s="1168"/>
      <c r="AN76" s="1167"/>
      <c r="AO76" s="1167"/>
      <c r="AP76" s="886"/>
      <c r="AQ76" s="27"/>
      <c r="AR76" s="27"/>
      <c r="AS76" s="27"/>
      <c r="AT76" s="1168"/>
      <c r="AU76" s="1166"/>
      <c r="AV76" s="1166"/>
      <c r="AW76" s="886"/>
      <c r="AX76" s="27"/>
      <c r="AY76" s="27"/>
      <c r="AZ76" s="27"/>
      <c r="BA76" s="1168"/>
      <c r="BB76" s="1166"/>
      <c r="BC76" s="1166"/>
      <c r="BD76" s="886"/>
    </row>
    <row r="77" ht="14.25" customHeight="1">
      <c r="A77" s="1161"/>
      <c r="B77" s="1180"/>
      <c r="C77" s="526"/>
      <c r="D77" s="526"/>
      <c r="E77" s="526"/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526"/>
      <c r="X77" s="526"/>
      <c r="Y77" s="526"/>
      <c r="Z77" s="27"/>
      <c r="AA77" s="27"/>
      <c r="AB77" s="27"/>
      <c r="AC77" s="27"/>
      <c r="AD77" s="27"/>
      <c r="AE77" s="27"/>
      <c r="AF77" s="1137"/>
      <c r="AG77" s="1063"/>
      <c r="AH77" s="1181"/>
      <c r="AI77" s="1024"/>
      <c r="AJ77" s="886"/>
      <c r="AK77" s="27"/>
      <c r="AL77" s="27"/>
      <c r="AM77" s="1168"/>
      <c r="AN77" s="1167"/>
      <c r="AO77" s="1167"/>
      <c r="AP77" s="886"/>
      <c r="AQ77" s="27"/>
      <c r="AR77" s="27"/>
      <c r="AS77" s="27"/>
      <c r="AT77" s="1168"/>
      <c r="AU77" s="1166"/>
      <c r="AV77" s="1166"/>
      <c r="AW77" s="886"/>
      <c r="AX77" s="27"/>
      <c r="AY77" s="27"/>
      <c r="AZ77" s="27"/>
      <c r="BA77" s="1168"/>
      <c r="BB77" s="1166"/>
      <c r="BC77" s="1166"/>
      <c r="BD77" s="886"/>
    </row>
    <row r="78" ht="14.25" customHeight="1">
      <c r="A78" s="1161"/>
      <c r="B78" s="1182"/>
      <c r="C78" s="526"/>
      <c r="D78" s="526"/>
      <c r="E78" s="526"/>
      <c r="F78" s="526"/>
      <c r="G78" s="526"/>
      <c r="H78" s="526"/>
      <c r="I78" s="526"/>
      <c r="J78" s="526"/>
      <c r="K78" s="526"/>
      <c r="L78" s="526"/>
      <c r="M78" s="526"/>
      <c r="N78" s="526"/>
      <c r="O78" s="526"/>
      <c r="P78" s="526"/>
      <c r="Q78" s="526"/>
      <c r="R78" s="526"/>
      <c r="S78" s="526"/>
      <c r="T78" s="526"/>
      <c r="U78" s="526"/>
      <c r="V78" s="526"/>
      <c r="W78" s="526"/>
      <c r="X78" s="526"/>
      <c r="Y78" s="526"/>
      <c r="Z78" s="27"/>
      <c r="AA78" s="27"/>
      <c r="AB78" s="27"/>
      <c r="AC78" s="27"/>
      <c r="AD78" s="27"/>
      <c r="AE78" s="27"/>
      <c r="AF78" s="1142"/>
      <c r="AG78" s="1118"/>
      <c r="AH78" s="1183"/>
      <c r="AI78" s="1024"/>
      <c r="AJ78" s="886"/>
      <c r="AK78" s="27"/>
      <c r="AL78" s="27"/>
      <c r="AM78" s="1168"/>
      <c r="AN78" s="1167"/>
      <c r="AO78" s="1167"/>
      <c r="AP78" s="886"/>
      <c r="AQ78" s="27"/>
      <c r="AR78" s="27"/>
      <c r="AS78" s="27"/>
      <c r="AT78" s="1168"/>
      <c r="AU78" s="1166"/>
      <c r="AV78" s="1166"/>
      <c r="AW78" s="886"/>
      <c r="AX78" s="27"/>
      <c r="AY78" s="27"/>
      <c r="AZ78" s="27"/>
      <c r="BA78" s="1168"/>
      <c r="BB78" s="1166"/>
      <c r="BC78" s="1166"/>
      <c r="BD78" s="886"/>
    </row>
    <row r="79" ht="14.25" customHeight="1">
      <c r="A79" s="1172"/>
      <c r="B79" s="1178"/>
      <c r="C79" s="548"/>
      <c r="D79" s="526"/>
      <c r="E79" s="526"/>
      <c r="F79" s="526"/>
      <c r="G79" s="526"/>
      <c r="H79" s="526"/>
      <c r="I79" s="526"/>
      <c r="J79" s="526"/>
      <c r="K79" s="526"/>
      <c r="L79" s="526"/>
      <c r="M79" s="526"/>
      <c r="N79" s="526"/>
      <c r="O79" s="526"/>
      <c r="P79" s="526"/>
      <c r="Q79" s="526"/>
      <c r="R79" s="526"/>
      <c r="S79" s="526"/>
      <c r="T79" s="526"/>
      <c r="U79" s="526"/>
      <c r="V79" s="526"/>
      <c r="W79" s="526"/>
      <c r="X79" s="526"/>
      <c r="Y79" s="526"/>
      <c r="Z79" s="27"/>
      <c r="AA79" s="27"/>
      <c r="AB79" s="27"/>
      <c r="AC79" s="27"/>
      <c r="AD79" s="27"/>
      <c r="AE79" s="1170"/>
      <c r="AF79" t="s" s="1126">
        <v>6000</v>
      </c>
      <c r="AG79" t="s" s="1033">
        <v>6001</v>
      </c>
      <c r="AH79" t="s" s="1124">
        <v>5900</v>
      </c>
      <c r="AI79" t="s" s="1164">
        <v>5897</v>
      </c>
      <c r="AJ79" s="886"/>
      <c r="AK79" s="27"/>
      <c r="AL79" s="27"/>
      <c r="AM79" s="1168"/>
      <c r="AN79" s="1167"/>
      <c r="AO79" s="1167"/>
      <c r="AP79" s="886"/>
      <c r="AQ79" s="27"/>
      <c r="AR79" s="27"/>
      <c r="AS79" s="27"/>
      <c r="AT79" s="1168"/>
      <c r="AU79" s="1166"/>
      <c r="AV79" s="1166"/>
      <c r="AW79" s="886"/>
      <c r="AX79" s="27"/>
      <c r="AY79" s="27"/>
      <c r="AZ79" s="27"/>
      <c r="BA79" s="1168"/>
      <c r="BB79" s="1166"/>
      <c r="BC79" s="1166"/>
      <c r="BD79" s="886"/>
    </row>
    <row r="80" ht="14.25" customHeight="1">
      <c r="A80" s="1172"/>
      <c r="B80" s="1178"/>
      <c r="C80" s="548"/>
      <c r="D80" s="526"/>
      <c r="E80" s="526"/>
      <c r="F80" s="526"/>
      <c r="G80" s="526"/>
      <c r="H80" s="526"/>
      <c r="I80" s="526"/>
      <c r="J80" s="526"/>
      <c r="K80" s="526"/>
      <c r="L80" s="526"/>
      <c r="M80" s="526"/>
      <c r="N80" s="526"/>
      <c r="O80" s="526"/>
      <c r="P80" s="526"/>
      <c r="Q80" s="526"/>
      <c r="R80" s="526"/>
      <c r="S80" s="526"/>
      <c r="T80" s="526"/>
      <c r="U80" s="526"/>
      <c r="V80" s="526"/>
      <c r="W80" s="526"/>
      <c r="X80" s="526"/>
      <c r="Y80" s="526"/>
      <c r="Z80" s="27"/>
      <c r="AA80" s="27"/>
      <c r="AB80" s="27"/>
      <c r="AC80" s="27"/>
      <c r="AD80" s="27"/>
      <c r="AE80" s="1170"/>
      <c r="AF80" s="66"/>
      <c r="AG80" t="s" s="1033">
        <v>6002</v>
      </c>
      <c r="AH80" t="s" s="1129">
        <v>6003</v>
      </c>
      <c r="AI80" s="1117"/>
      <c r="AJ80" s="886"/>
      <c r="AK80" s="27"/>
      <c r="AL80" s="27"/>
      <c r="AM80" s="1168"/>
      <c r="AN80" s="1167"/>
      <c r="AO80" s="1167"/>
      <c r="AP80" s="886"/>
      <c r="AQ80" s="27"/>
      <c r="AR80" s="27"/>
      <c r="AS80" s="27"/>
      <c r="AT80" s="1168"/>
      <c r="AU80" s="1166"/>
      <c r="AV80" s="1166"/>
      <c r="AW80" s="886"/>
      <c r="AX80" s="27"/>
      <c r="AY80" s="27"/>
      <c r="AZ80" s="27"/>
      <c r="BA80" s="1168"/>
      <c r="BB80" s="1166"/>
      <c r="BC80" s="1166"/>
      <c r="BD80" s="886"/>
    </row>
    <row r="81" ht="14.25" customHeight="1">
      <c r="A81" s="1172"/>
      <c r="B81" s="1173"/>
      <c r="C81" s="548"/>
      <c r="D81" s="526"/>
      <c r="E81" s="526"/>
      <c r="F81" s="526"/>
      <c r="G81" s="526"/>
      <c r="H81" s="526"/>
      <c r="I81" s="526"/>
      <c r="J81" s="526"/>
      <c r="K81" s="526"/>
      <c r="L81" s="526"/>
      <c r="M81" s="526"/>
      <c r="N81" s="526"/>
      <c r="O81" s="526"/>
      <c r="P81" s="526"/>
      <c r="Q81" s="526"/>
      <c r="R81" s="526"/>
      <c r="S81" s="526"/>
      <c r="T81" s="526"/>
      <c r="U81" s="526"/>
      <c r="V81" s="526"/>
      <c r="W81" s="526"/>
      <c r="X81" s="526"/>
      <c r="Y81" s="526"/>
      <c r="Z81" s="27"/>
      <c r="AA81" s="27"/>
      <c r="AB81" s="27"/>
      <c r="AC81" s="27"/>
      <c r="AD81" s="27"/>
      <c r="AE81" s="27"/>
      <c r="AF81" s="1134"/>
      <c r="AG81" s="1108"/>
      <c r="AH81" s="1165"/>
      <c r="AI81" s="1024"/>
      <c r="AJ81" s="886"/>
      <c r="AK81" s="27"/>
      <c r="AL81" s="27"/>
      <c r="AM81" s="1168"/>
      <c r="AN81" s="1167"/>
      <c r="AO81" s="1167"/>
      <c r="AP81" s="886"/>
      <c r="AQ81" s="27"/>
      <c r="AR81" s="27"/>
      <c r="AS81" s="27"/>
      <c r="AT81" s="1168"/>
      <c r="AU81" s="1166"/>
      <c r="AV81" s="1166"/>
      <c r="AW81" s="886"/>
      <c r="AX81" s="27"/>
      <c r="AY81" s="27"/>
      <c r="AZ81" s="27"/>
      <c r="BA81" s="1168"/>
      <c r="BB81" s="1166"/>
      <c r="BC81" s="1166"/>
      <c r="BD81" s="886"/>
    </row>
    <row r="82" ht="14.25" customHeight="1">
      <c r="A82" s="1172"/>
      <c r="B82" s="1173"/>
      <c r="C82" s="548"/>
      <c r="D82" s="526"/>
      <c r="E82" s="526"/>
      <c r="F82" s="526"/>
      <c r="G82" s="526"/>
      <c r="H82" s="526"/>
      <c r="I82" s="526"/>
      <c r="J82" s="526"/>
      <c r="K82" s="526"/>
      <c r="L82" s="526"/>
      <c r="M82" s="526"/>
      <c r="N82" s="526"/>
      <c r="O82" s="526"/>
      <c r="P82" s="526"/>
      <c r="Q82" s="526"/>
      <c r="R82" s="526"/>
      <c r="S82" s="526"/>
      <c r="T82" s="526"/>
      <c r="U82" s="526"/>
      <c r="V82" s="526"/>
      <c r="W82" s="526"/>
      <c r="X82" s="526"/>
      <c r="Y82" s="526"/>
      <c r="Z82" s="27"/>
      <c r="AA82" s="27"/>
      <c r="AB82" s="27"/>
      <c r="AC82" s="27"/>
      <c r="AD82" s="27"/>
      <c r="AE82" s="1170"/>
      <c r="AF82" t="s" s="1126">
        <v>6004</v>
      </c>
      <c r="AG82" s="1016"/>
      <c r="AH82" t="s" s="1124">
        <v>5900</v>
      </c>
      <c r="AI82" t="s" s="1164">
        <v>5897</v>
      </c>
      <c r="AJ82" s="886"/>
      <c r="AK82" s="27"/>
      <c r="AL82" s="27"/>
      <c r="AM82" s="1168"/>
      <c r="AN82" s="1167"/>
      <c r="AO82" s="1167"/>
      <c r="AP82" s="886"/>
      <c r="AQ82" s="27"/>
      <c r="AR82" s="27"/>
      <c r="AS82" s="27"/>
      <c r="AT82" s="1168"/>
      <c r="AU82" s="1166"/>
      <c r="AV82" s="1166"/>
      <c r="AW82" s="886"/>
      <c r="AX82" s="27"/>
      <c r="AY82" s="27"/>
      <c r="AZ82" s="27"/>
      <c r="BA82" s="1168"/>
      <c r="BB82" s="1166"/>
      <c r="BC82" s="1166"/>
      <c r="BD82" s="886"/>
    </row>
    <row r="83" ht="14.25" customHeight="1">
      <c r="A83" s="1172"/>
      <c r="B83" s="1174"/>
      <c r="C83" s="548"/>
      <c r="D83" s="526"/>
      <c r="E83" s="526"/>
      <c r="F83" s="526"/>
      <c r="G83" s="526"/>
      <c r="H83" s="526"/>
      <c r="I83" s="526"/>
      <c r="J83" s="526"/>
      <c r="K83" s="526"/>
      <c r="L83" s="526"/>
      <c r="M83" s="526"/>
      <c r="N83" s="526"/>
      <c r="O83" s="526"/>
      <c r="P83" s="526"/>
      <c r="Q83" s="526"/>
      <c r="R83" s="526"/>
      <c r="S83" s="526"/>
      <c r="T83" s="526"/>
      <c r="U83" s="526"/>
      <c r="V83" s="526"/>
      <c r="W83" s="526"/>
      <c r="X83" s="526"/>
      <c r="Y83" s="526"/>
      <c r="Z83" s="27"/>
      <c r="AA83" s="27"/>
      <c r="AB83" s="27"/>
      <c r="AC83" s="27"/>
      <c r="AD83" s="27"/>
      <c r="AE83" s="1170"/>
      <c r="AF83" s="66"/>
      <c r="AG83" s="1016"/>
      <c r="AH83" t="s" s="1129">
        <v>6005</v>
      </c>
      <c r="AI83" s="1117"/>
      <c r="AJ83" s="886"/>
      <c r="AK83" s="27"/>
      <c r="AL83" s="27"/>
      <c r="AM83" s="1168"/>
      <c r="AN83" s="1167"/>
      <c r="AO83" s="1167"/>
      <c r="AP83" s="886"/>
      <c r="AQ83" s="27"/>
      <c r="AR83" s="27"/>
      <c r="AS83" s="27"/>
      <c r="AT83" s="1168"/>
      <c r="AU83" s="1166"/>
      <c r="AV83" s="1166"/>
      <c r="AW83" s="886"/>
      <c r="AX83" s="27"/>
      <c r="AY83" s="27"/>
      <c r="AZ83" s="27"/>
      <c r="BA83" s="1168"/>
      <c r="BB83" s="1166"/>
      <c r="BC83" s="1166"/>
      <c r="BD83" s="886"/>
    </row>
    <row r="84" ht="14.25" customHeight="1">
      <c r="A84" s="1172"/>
      <c r="B84" s="1174"/>
      <c r="C84" s="548"/>
      <c r="D84" s="526"/>
      <c r="E84" s="526"/>
      <c r="F84" s="526"/>
      <c r="G84" s="526"/>
      <c r="H84" s="526"/>
      <c r="I84" s="526"/>
      <c r="J84" s="526"/>
      <c r="K84" s="526"/>
      <c r="L84" s="526"/>
      <c r="M84" s="526"/>
      <c r="N84" s="526"/>
      <c r="O84" s="526"/>
      <c r="P84" s="526"/>
      <c r="Q84" s="526"/>
      <c r="R84" s="526"/>
      <c r="S84" s="526"/>
      <c r="T84" s="526"/>
      <c r="U84" s="526"/>
      <c r="V84" s="526"/>
      <c r="W84" s="526"/>
      <c r="X84" s="526"/>
      <c r="Y84" s="526"/>
      <c r="Z84" s="27"/>
      <c r="AA84" s="27"/>
      <c r="AB84" s="27"/>
      <c r="AC84" s="27"/>
      <c r="AD84" s="27"/>
      <c r="AE84" s="27"/>
      <c r="AF84" s="1134"/>
      <c r="AG84" s="1108"/>
      <c r="AH84" s="1165"/>
      <c r="AI84" s="1024"/>
      <c r="AJ84" s="886"/>
      <c r="AK84" s="27"/>
      <c r="AL84" s="27"/>
      <c r="AM84" s="1168"/>
      <c r="AN84" s="1167"/>
      <c r="AO84" s="1167"/>
      <c r="AP84" s="886"/>
      <c r="AQ84" s="27"/>
      <c r="AR84" s="27"/>
      <c r="AS84" s="27"/>
      <c r="AT84" s="1168"/>
      <c r="AU84" s="1166"/>
      <c r="AV84" s="1166"/>
      <c r="AW84" s="886"/>
      <c r="AX84" s="27"/>
      <c r="AY84" s="27"/>
      <c r="AZ84" s="27"/>
      <c r="BA84" s="1168"/>
      <c r="BB84" s="1166"/>
      <c r="BC84" s="1166"/>
      <c r="BD84" s="886"/>
    </row>
    <row r="85" ht="20.25" customHeight="1">
      <c r="A85" s="1172"/>
      <c r="B85" s="1173"/>
      <c r="C85" s="548"/>
      <c r="D85" s="526"/>
      <c r="E85" s="526"/>
      <c r="F85" s="526"/>
      <c r="G85" s="526"/>
      <c r="H85" s="526"/>
      <c r="I85" s="526"/>
      <c r="J85" s="526"/>
      <c r="K85" s="526"/>
      <c r="L85" s="526"/>
      <c r="M85" s="526"/>
      <c r="N85" s="526"/>
      <c r="O85" s="526"/>
      <c r="P85" s="526"/>
      <c r="Q85" s="526"/>
      <c r="R85" s="526"/>
      <c r="S85" s="526"/>
      <c r="T85" s="526"/>
      <c r="U85" s="526"/>
      <c r="V85" s="526"/>
      <c r="W85" s="526"/>
      <c r="X85" s="526"/>
      <c r="Y85" s="526"/>
      <c r="Z85" s="27"/>
      <c r="AA85" s="27"/>
      <c r="AB85" s="27"/>
      <c r="AC85" s="27"/>
      <c r="AD85" s="27"/>
      <c r="AE85" s="1170"/>
      <c r="AF85" t="s" s="1162">
        <v>6006</v>
      </c>
      <c r="AG85" s="1016"/>
      <c r="AH85" t="s" s="1124">
        <v>6007</v>
      </c>
      <c r="AI85" t="s" s="1164">
        <v>5897</v>
      </c>
      <c r="AJ85" s="886"/>
      <c r="AK85" s="27"/>
      <c r="AL85" s="27"/>
      <c r="AM85" s="1168"/>
      <c r="AN85" s="1167"/>
      <c r="AO85" s="1167"/>
      <c r="AP85" s="886"/>
      <c r="AQ85" s="27"/>
      <c r="AR85" s="27"/>
      <c r="AS85" s="27"/>
      <c r="AT85" s="1168"/>
      <c r="AU85" s="1166"/>
      <c r="AV85" s="1166"/>
      <c r="AW85" s="886"/>
      <c r="AX85" s="27"/>
      <c r="AY85" s="27"/>
      <c r="AZ85" s="27"/>
      <c r="BA85" s="1168"/>
      <c r="BB85" s="1166"/>
      <c r="BC85" s="1166"/>
      <c r="BD85" s="886"/>
    </row>
    <row r="86" ht="18.75" customHeight="1">
      <c r="A86" s="1172"/>
      <c r="B86" s="1173"/>
      <c r="C86" s="548"/>
      <c r="D86" s="526"/>
      <c r="E86" s="526"/>
      <c r="F86" s="526"/>
      <c r="G86" s="526"/>
      <c r="H86" s="526"/>
      <c r="I86" s="526"/>
      <c r="J86" s="526"/>
      <c r="K86" s="526"/>
      <c r="L86" s="526"/>
      <c r="M86" s="526"/>
      <c r="N86" s="526"/>
      <c r="O86" s="526"/>
      <c r="P86" s="526"/>
      <c r="Q86" s="526"/>
      <c r="R86" s="526"/>
      <c r="S86" s="526"/>
      <c r="T86" s="526"/>
      <c r="U86" s="526"/>
      <c r="V86" s="526"/>
      <c r="W86" s="526"/>
      <c r="X86" s="526"/>
      <c r="Y86" s="526"/>
      <c r="Z86" s="27"/>
      <c r="AA86" s="27"/>
      <c r="AB86" s="27"/>
      <c r="AC86" s="27"/>
      <c r="AD86" s="27"/>
      <c r="AE86" s="27"/>
      <c r="AF86" s="1134"/>
      <c r="AG86" s="1108"/>
      <c r="AH86" s="1165"/>
      <c r="AI86" s="1024"/>
      <c r="AJ86" s="886"/>
      <c r="AK86" s="27"/>
      <c r="AL86" s="27"/>
      <c r="AM86" s="1168"/>
      <c r="AN86" s="1167"/>
      <c r="AO86" s="1167"/>
      <c r="AP86" s="886"/>
      <c r="AQ86" s="27"/>
      <c r="AR86" s="27"/>
      <c r="AS86" s="27"/>
      <c r="AT86" s="1168"/>
      <c r="AU86" s="1166"/>
      <c r="AV86" s="1166"/>
      <c r="AW86" s="886"/>
      <c r="AX86" s="27"/>
      <c r="AY86" s="27"/>
      <c r="AZ86" s="27"/>
      <c r="BA86" s="1168"/>
      <c r="BB86" s="1166"/>
      <c r="BC86" s="1166"/>
      <c r="BD86" s="886"/>
    </row>
    <row r="87" ht="14.25" customHeight="1">
      <c r="A87" s="1172"/>
      <c r="B87" s="1184"/>
      <c r="C87" s="548"/>
      <c r="D87" s="526"/>
      <c r="E87" s="526"/>
      <c r="F87" s="526"/>
      <c r="G87" s="526"/>
      <c r="H87" s="526"/>
      <c r="I87" s="526"/>
      <c r="J87" s="526"/>
      <c r="K87" s="526"/>
      <c r="L87" s="526"/>
      <c r="M87" s="526"/>
      <c r="N87" s="526"/>
      <c r="O87" s="526"/>
      <c r="P87" s="526"/>
      <c r="Q87" s="526"/>
      <c r="R87" s="526"/>
      <c r="S87" s="526"/>
      <c r="T87" s="526"/>
      <c r="U87" s="526"/>
      <c r="V87" s="526"/>
      <c r="W87" s="526"/>
      <c r="X87" s="526"/>
      <c r="Y87" s="526"/>
      <c r="Z87" s="27"/>
      <c r="AA87" s="27"/>
      <c r="AB87" s="27"/>
      <c r="AC87" s="27"/>
      <c r="AD87" s="27"/>
      <c r="AE87" s="1170"/>
      <c r="AF87" t="s" s="1126">
        <v>6008</v>
      </c>
      <c r="AG87" t="s" s="1033">
        <v>6009</v>
      </c>
      <c r="AH87" t="s" s="1124">
        <v>5896</v>
      </c>
      <c r="AI87" t="s" s="1157">
        <v>5897</v>
      </c>
      <c r="AJ87" s="886"/>
      <c r="AK87" s="27"/>
      <c r="AL87" s="27"/>
      <c r="AM87" s="1168"/>
      <c r="AN87" s="1167"/>
      <c r="AO87" s="1167"/>
      <c r="AP87" s="886"/>
      <c r="AQ87" s="27"/>
      <c r="AR87" s="27"/>
      <c r="AS87" s="27"/>
      <c r="AT87" s="1168"/>
      <c r="AU87" s="1166"/>
      <c r="AV87" s="1166"/>
      <c r="AW87" s="886"/>
      <c r="AX87" s="27"/>
      <c r="AY87" s="27"/>
      <c r="AZ87" s="27"/>
      <c r="BA87" s="1168"/>
      <c r="BB87" s="1166"/>
      <c r="BC87" s="1166"/>
      <c r="BD87" s="886"/>
    </row>
    <row r="88" ht="14.25" customHeight="1">
      <c r="A88" s="526"/>
      <c r="B88" s="1145"/>
      <c r="C88" s="526"/>
      <c r="D88" s="526"/>
      <c r="E88" s="526"/>
      <c r="F88" s="526"/>
      <c r="G88" s="526"/>
      <c r="H88" s="526"/>
      <c r="I88" s="526"/>
      <c r="J88" s="526"/>
      <c r="K88" s="526"/>
      <c r="L88" s="526"/>
      <c r="M88" s="526"/>
      <c r="N88" s="526"/>
      <c r="O88" s="526"/>
      <c r="P88" s="526"/>
      <c r="Q88" s="526"/>
      <c r="R88" s="526"/>
      <c r="S88" s="526"/>
      <c r="T88" s="526"/>
      <c r="U88" s="526"/>
      <c r="V88" s="526"/>
      <c r="W88" s="526"/>
      <c r="X88" s="526"/>
      <c r="Y88" s="526"/>
      <c r="Z88" s="27"/>
      <c r="AA88" s="27"/>
      <c r="AB88" s="27"/>
      <c r="AC88" s="27"/>
      <c r="AD88" s="27"/>
      <c r="AE88" s="1170"/>
      <c r="AF88" s="62"/>
      <c r="AG88" t="s" s="1033">
        <v>6010</v>
      </c>
      <c r="AH88" t="s" s="1129">
        <v>6011</v>
      </c>
      <c r="AI88" s="1117"/>
      <c r="AJ88" s="886"/>
      <c r="AK88" s="27"/>
      <c r="AL88" s="27"/>
      <c r="AM88" s="1168"/>
      <c r="AN88" s="1167"/>
      <c r="AO88" s="1167"/>
      <c r="AP88" s="886"/>
      <c r="AQ88" s="27"/>
      <c r="AR88" s="27"/>
      <c r="AS88" s="27"/>
      <c r="AT88" s="1168"/>
      <c r="AU88" s="1166"/>
      <c r="AV88" s="1166"/>
      <c r="AW88" s="886"/>
      <c r="AX88" s="27"/>
      <c r="AY88" s="27"/>
      <c r="AZ88" s="27"/>
      <c r="BA88" s="1168"/>
      <c r="BB88" s="1166"/>
      <c r="BC88" s="1166"/>
      <c r="BD88" s="886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1170"/>
      <c r="AF89" s="66"/>
      <c r="AG89" t="s" s="1033">
        <v>6012</v>
      </c>
      <c r="AH89" s="1132"/>
      <c r="AI89" s="1117"/>
      <c r="AJ89" s="886"/>
      <c r="AK89" s="27"/>
      <c r="AL89" s="27"/>
      <c r="AM89" s="1168"/>
      <c r="AN89" s="1167"/>
      <c r="AO89" s="1167"/>
      <c r="AP89" s="886"/>
      <c r="AQ89" s="27"/>
      <c r="AR89" s="27"/>
      <c r="AS89" s="27"/>
      <c r="AT89" s="1168"/>
      <c r="AU89" s="1166"/>
      <c r="AV89" s="1166"/>
      <c r="AW89" s="886"/>
      <c r="AX89" s="27"/>
      <c r="AY89" s="27"/>
      <c r="AZ89" s="27"/>
      <c r="BA89" s="1168"/>
      <c r="BB89" s="1166"/>
      <c r="BC89" s="1166"/>
      <c r="BD89" s="886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526"/>
      <c r="AF90" s="1134"/>
      <c r="AG90" s="1108"/>
      <c r="AH90" s="1165"/>
      <c r="AI90" s="1024"/>
      <c r="AJ90" s="886"/>
      <c r="AK90" s="27"/>
      <c r="AL90" s="27"/>
      <c r="AM90" s="1168"/>
      <c r="AN90" s="1167"/>
      <c r="AO90" s="1167"/>
      <c r="AP90" s="886"/>
      <c r="AQ90" s="27"/>
      <c r="AR90" s="27"/>
      <c r="AS90" s="27"/>
      <c r="AT90" s="1168"/>
      <c r="AU90" s="1166"/>
      <c r="AV90" s="1166"/>
      <c r="AW90" s="886"/>
      <c r="AX90" s="27"/>
      <c r="AY90" s="27"/>
      <c r="AZ90" s="27"/>
      <c r="BA90" s="1168"/>
      <c r="BB90" s="1166"/>
      <c r="BC90" s="1166"/>
      <c r="BD90" s="886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521"/>
      <c r="AF91" t="s" s="1126">
        <v>6013</v>
      </c>
      <c r="AG91" t="s" s="1129">
        <v>6014</v>
      </c>
      <c r="AH91" t="s" s="1124">
        <v>6015</v>
      </c>
      <c r="AI91" s="1160"/>
      <c r="AJ91" s="886"/>
      <c r="AK91" s="27"/>
      <c r="AL91" s="27"/>
      <c r="AM91" s="1168"/>
      <c r="AN91" s="1167"/>
      <c r="AO91" s="1167"/>
      <c r="AP91" s="886"/>
      <c r="AQ91" s="27"/>
      <c r="AR91" s="27"/>
      <c r="AS91" s="27"/>
      <c r="AT91" s="1168"/>
      <c r="AU91" s="1166"/>
      <c r="AV91" s="1166"/>
      <c r="AW91" s="886"/>
      <c r="AX91" s="27"/>
      <c r="AY91" s="27"/>
      <c r="AZ91" s="27"/>
      <c r="BA91" s="1168"/>
      <c r="BB91" s="1166"/>
      <c r="BC91" s="1166"/>
      <c r="BD91" s="886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521"/>
      <c r="AF92" s="62"/>
      <c r="AG92" t="s" s="1033">
        <v>6016</v>
      </c>
      <c r="AH92" t="s" s="1129">
        <v>6017</v>
      </c>
      <c r="AI92" s="1185"/>
      <c r="AJ92" s="27"/>
      <c r="AK92" s="27"/>
      <c r="AL92" s="27"/>
      <c r="AM92" s="1168"/>
      <c r="AN92" s="1167"/>
      <c r="AO92" s="1167"/>
      <c r="AP92" s="886"/>
      <c r="AQ92" s="27"/>
      <c r="AR92" s="27"/>
      <c r="AS92" s="27"/>
      <c r="AT92" s="1168"/>
      <c r="AU92" s="1166"/>
      <c r="AV92" s="1166"/>
      <c r="AW92" s="886"/>
      <c r="AX92" s="27"/>
      <c r="AY92" s="27"/>
      <c r="AZ92" s="27"/>
      <c r="BA92" s="1168"/>
      <c r="BB92" s="1166"/>
      <c r="BC92" s="1166"/>
      <c r="BD92" s="886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521"/>
      <c r="AF93" s="62"/>
      <c r="AG93" t="s" s="1033">
        <v>6018</v>
      </c>
      <c r="AH93" s="1016"/>
      <c r="AI93" s="1186"/>
      <c r="AJ93" s="27"/>
      <c r="AK93" s="27"/>
      <c r="AL93" s="27"/>
      <c r="AM93" s="1168"/>
      <c r="AN93" s="1167"/>
      <c r="AO93" s="1167"/>
      <c r="AP93" s="886"/>
      <c r="AQ93" s="27"/>
      <c r="AR93" s="27"/>
      <c r="AS93" s="27"/>
      <c r="AT93" s="1168"/>
      <c r="AU93" s="1166"/>
      <c r="AV93" s="1166"/>
      <c r="AW93" s="886"/>
      <c r="AX93" s="27"/>
      <c r="AY93" s="27"/>
      <c r="AZ93" s="27"/>
      <c r="BA93" s="1168"/>
      <c r="BB93" s="1166"/>
      <c r="BC93" s="1166"/>
      <c r="BD93" s="886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521"/>
      <c r="AF94" s="66"/>
      <c r="AG94" t="s" s="1033">
        <v>6019</v>
      </c>
      <c r="AH94" s="1016"/>
      <c r="AI94" s="1186"/>
      <c r="AJ94" s="27"/>
      <c r="AK94" s="27"/>
      <c r="AL94" s="27"/>
      <c r="AM94" s="1168"/>
      <c r="AN94" s="1167"/>
      <c r="AO94" s="1167"/>
      <c r="AP94" s="886"/>
      <c r="AQ94" s="27"/>
      <c r="AR94" s="27"/>
      <c r="AS94" s="27"/>
      <c r="AT94" s="1168"/>
      <c r="AU94" s="1166"/>
      <c r="AV94" s="1166"/>
      <c r="AW94" s="886"/>
      <c r="AX94" s="27"/>
      <c r="AY94" s="27"/>
      <c r="AZ94" s="27"/>
      <c r="BA94" s="1168"/>
      <c r="BB94" s="1166"/>
      <c r="BC94" s="1166"/>
      <c r="BD94" s="886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526"/>
      <c r="AF95" s="1104"/>
      <c r="AG95" s="1105"/>
      <c r="AH95" s="1105"/>
      <c r="AI95" s="886"/>
      <c r="AJ95" s="27"/>
      <c r="AK95" s="27"/>
      <c r="AL95" s="27"/>
      <c r="AM95" s="1168"/>
      <c r="AN95" s="1167"/>
      <c r="AO95" s="1167"/>
      <c r="AP95" s="886"/>
      <c r="AQ95" s="27"/>
      <c r="AR95" s="27"/>
      <c r="AS95" s="27"/>
      <c r="AT95" s="1168"/>
      <c r="AU95" s="1166"/>
      <c r="AV95" s="1166"/>
      <c r="AW95" s="886"/>
      <c r="AX95" s="27"/>
      <c r="AY95" s="27"/>
      <c r="AZ95" s="27"/>
      <c r="BA95" s="1168"/>
      <c r="BB95" s="1166"/>
      <c r="BC95" s="1166"/>
      <c r="BD95" s="886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1168"/>
      <c r="AG96" s="1166"/>
      <c r="AH96" s="1166"/>
      <c r="AI96" s="886"/>
      <c r="AJ96" s="27"/>
      <c r="AK96" s="27"/>
      <c r="AL96" s="27"/>
      <c r="AM96" s="1168"/>
      <c r="AN96" s="1167"/>
      <c r="AO96" s="1167"/>
      <c r="AP96" s="886"/>
      <c r="AQ96" s="27"/>
      <c r="AR96" s="27"/>
      <c r="AS96" s="27"/>
      <c r="AT96" s="1168"/>
      <c r="AU96" s="1166"/>
      <c r="AV96" s="1166"/>
      <c r="AW96" s="886"/>
      <c r="AX96" s="27"/>
      <c r="AY96" s="27"/>
      <c r="AZ96" s="27"/>
      <c r="BA96" s="1168"/>
      <c r="BB96" s="1166"/>
      <c r="BC96" s="1166"/>
      <c r="BD96" s="886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1168"/>
      <c r="AG97" s="1166"/>
      <c r="AH97" s="1166"/>
      <c r="AI97" s="886"/>
      <c r="AJ97" s="27"/>
      <c r="AK97" s="27"/>
      <c r="AL97" s="27"/>
      <c r="AM97" s="1168"/>
      <c r="AN97" s="1167"/>
      <c r="AO97" s="1167"/>
      <c r="AP97" s="886"/>
      <c r="AQ97" s="27"/>
      <c r="AR97" s="27"/>
      <c r="AS97" s="27"/>
      <c r="AT97" s="1168"/>
      <c r="AU97" s="1166"/>
      <c r="AV97" s="1166"/>
      <c r="AW97" s="886"/>
      <c r="AX97" s="27"/>
      <c r="AY97" s="27"/>
      <c r="AZ97" s="27"/>
      <c r="BA97" s="1168"/>
      <c r="BB97" s="1166"/>
      <c r="BC97" s="1166"/>
      <c r="BD97" s="886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1168"/>
      <c r="AG98" s="1166"/>
      <c r="AH98" s="1166"/>
      <c r="AI98" s="886"/>
      <c r="AJ98" s="27"/>
      <c r="AK98" s="27"/>
      <c r="AL98" s="27"/>
      <c r="AM98" s="1168"/>
      <c r="AN98" s="1167"/>
      <c r="AO98" s="1167"/>
      <c r="AP98" s="886"/>
      <c r="AQ98" s="27"/>
      <c r="AR98" s="27"/>
      <c r="AS98" s="27"/>
      <c r="AT98" s="1168"/>
      <c r="AU98" s="1166"/>
      <c r="AV98" s="1166"/>
      <c r="AW98" s="886"/>
      <c r="AX98" s="27"/>
      <c r="AY98" s="27"/>
      <c r="AZ98" s="27"/>
      <c r="BA98" s="1168"/>
      <c r="BB98" s="1166"/>
      <c r="BC98" s="1166"/>
      <c r="BD98" s="886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1168"/>
      <c r="AG99" s="1166"/>
      <c r="AH99" s="1166"/>
      <c r="AI99" s="886"/>
      <c r="AJ99" s="27"/>
      <c r="AK99" s="27"/>
      <c r="AL99" s="27"/>
      <c r="AM99" s="1168"/>
      <c r="AN99" s="1167"/>
      <c r="AO99" s="1167"/>
      <c r="AP99" s="886"/>
      <c r="AQ99" s="27"/>
      <c r="AR99" s="27"/>
      <c r="AS99" s="27"/>
      <c r="AT99" s="1168"/>
      <c r="AU99" s="1166"/>
      <c r="AV99" s="1166"/>
      <c r="AW99" s="886"/>
      <c r="AX99" s="27"/>
      <c r="AY99" s="27"/>
      <c r="AZ99" s="27"/>
      <c r="BA99" s="1168"/>
      <c r="BB99" s="1166"/>
      <c r="BC99" s="1166"/>
      <c r="BD99" s="886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1168"/>
      <c r="AG100" s="1166"/>
      <c r="AH100" s="1166"/>
      <c r="AI100" s="886"/>
      <c r="AJ100" s="27"/>
      <c r="AK100" s="27"/>
      <c r="AL100" s="27"/>
      <c r="AM100" s="1168"/>
      <c r="AN100" s="1167"/>
      <c r="AO100" s="1167"/>
      <c r="AP100" s="886"/>
      <c r="AQ100" s="27"/>
      <c r="AR100" s="27"/>
      <c r="AS100" s="27"/>
      <c r="AT100" s="1168"/>
      <c r="AU100" s="1166"/>
      <c r="AV100" s="1166"/>
      <c r="AW100" s="886"/>
      <c r="AX100" s="27"/>
      <c r="AY100" s="27"/>
      <c r="AZ100" s="27"/>
      <c r="BA100" s="1168"/>
      <c r="BB100" s="1166"/>
      <c r="BC100" s="1166"/>
      <c r="BD100" s="886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1168"/>
      <c r="AG101" s="1166"/>
      <c r="AH101" s="1166"/>
      <c r="AI101" s="886"/>
      <c r="AJ101" s="27"/>
      <c r="AK101" s="27"/>
      <c r="AL101" s="27"/>
      <c r="AM101" s="1168"/>
      <c r="AN101" s="1167"/>
      <c r="AO101" s="1167"/>
      <c r="AP101" s="886"/>
      <c r="AQ101" s="27"/>
      <c r="AR101" s="27"/>
      <c r="AS101" s="27"/>
      <c r="AT101" s="1168"/>
      <c r="AU101" s="1166"/>
      <c r="AV101" s="1166"/>
      <c r="AW101" s="886"/>
      <c r="AX101" s="27"/>
      <c r="AY101" s="27"/>
      <c r="AZ101" s="27"/>
      <c r="BA101" s="1168"/>
      <c r="BB101" s="1166"/>
      <c r="BC101" s="1166"/>
      <c r="BD101" s="886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1168"/>
      <c r="AG102" s="1166"/>
      <c r="AH102" s="1166"/>
      <c r="AI102" s="886"/>
      <c r="AJ102" s="27"/>
      <c r="AK102" s="27"/>
      <c r="AL102" s="27"/>
      <c r="AM102" s="1168"/>
      <c r="AN102" s="1167"/>
      <c r="AO102" s="1167"/>
      <c r="AP102" s="886"/>
      <c r="AQ102" s="27"/>
      <c r="AR102" s="27"/>
      <c r="AS102" s="27"/>
      <c r="AT102" s="1168"/>
      <c r="AU102" s="1166"/>
      <c r="AV102" s="1166"/>
      <c r="AW102" s="886"/>
      <c r="AX102" s="27"/>
      <c r="AY102" s="27"/>
      <c r="AZ102" s="27"/>
      <c r="BA102" s="1168"/>
      <c r="BB102" s="1166"/>
      <c r="BC102" s="1166"/>
      <c r="BD102" s="886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1168"/>
      <c r="AG103" s="1166"/>
      <c r="AH103" s="1166"/>
      <c r="AI103" s="886"/>
      <c r="AJ103" s="27"/>
      <c r="AK103" s="27"/>
      <c r="AL103" s="27"/>
      <c r="AM103" s="1168"/>
      <c r="AN103" s="1167"/>
      <c r="AO103" s="1167"/>
      <c r="AP103" s="886"/>
      <c r="AQ103" s="27"/>
      <c r="AR103" s="27"/>
      <c r="AS103" s="27"/>
      <c r="AT103" s="1168"/>
      <c r="AU103" s="1166"/>
      <c r="AV103" s="1166"/>
      <c r="AW103" s="886"/>
      <c r="AX103" s="27"/>
      <c r="AY103" s="27"/>
      <c r="AZ103" s="27"/>
      <c r="BA103" s="1168"/>
      <c r="BB103" s="1166"/>
      <c r="BC103" s="1166"/>
      <c r="BD103" s="886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1168"/>
      <c r="AG104" s="1166"/>
      <c r="AH104" s="1166"/>
      <c r="AI104" s="886"/>
      <c r="AJ104" s="27"/>
      <c r="AK104" s="27"/>
      <c r="AL104" s="27"/>
      <c r="AM104" s="1168"/>
      <c r="AN104" s="1167"/>
      <c r="AO104" s="1167"/>
      <c r="AP104" s="886"/>
      <c r="AQ104" s="27"/>
      <c r="AR104" s="27"/>
      <c r="AS104" s="27"/>
      <c r="AT104" s="1168"/>
      <c r="AU104" s="1166"/>
      <c r="AV104" s="1166"/>
      <c r="AW104" s="886"/>
      <c r="AX104" s="27"/>
      <c r="AY104" s="27"/>
      <c r="AZ104" s="27"/>
      <c r="BA104" s="1168"/>
      <c r="BB104" s="1166"/>
      <c r="BC104" s="1166"/>
      <c r="BD104" s="886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1168"/>
      <c r="AG105" s="1166"/>
      <c r="AH105" s="1166"/>
      <c r="AI105" s="886"/>
      <c r="AJ105" s="27"/>
      <c r="AK105" s="27"/>
      <c r="AL105" s="27"/>
      <c r="AM105" s="1168"/>
      <c r="AN105" s="1167"/>
      <c r="AO105" s="1167"/>
      <c r="AP105" s="886"/>
      <c r="AQ105" s="27"/>
      <c r="AR105" s="27"/>
      <c r="AS105" s="27"/>
      <c r="AT105" s="1168"/>
      <c r="AU105" s="1166"/>
      <c r="AV105" s="1166"/>
      <c r="AW105" s="886"/>
      <c r="AX105" s="27"/>
      <c r="AY105" s="27"/>
      <c r="AZ105" s="27"/>
      <c r="BA105" s="1168"/>
      <c r="BB105" s="1166"/>
      <c r="BC105" s="1166"/>
      <c r="BD105" s="886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1168"/>
      <c r="AG106" s="1166"/>
      <c r="AH106" s="1166"/>
      <c r="AI106" s="886"/>
      <c r="AJ106" s="27"/>
      <c r="AK106" s="27"/>
      <c r="AL106" s="27"/>
      <c r="AM106" s="1168"/>
      <c r="AN106" s="1167"/>
      <c r="AO106" s="1167"/>
      <c r="AP106" s="886"/>
      <c r="AQ106" s="27"/>
      <c r="AR106" s="27"/>
      <c r="AS106" s="27"/>
      <c r="AT106" s="1168"/>
      <c r="AU106" s="1166"/>
      <c r="AV106" s="1166"/>
      <c r="AW106" s="886"/>
      <c r="AX106" s="27"/>
      <c r="AY106" s="27"/>
      <c r="AZ106" s="27"/>
      <c r="BA106" s="1168"/>
      <c r="BB106" s="1166"/>
      <c r="BC106" s="1166"/>
      <c r="BD106" s="886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1168"/>
      <c r="AG107" s="1166"/>
      <c r="AH107" s="1166"/>
      <c r="AI107" s="886"/>
      <c r="AJ107" s="27"/>
      <c r="AK107" s="27"/>
      <c r="AL107" s="27"/>
      <c r="AM107" s="1168"/>
      <c r="AN107" s="1167"/>
      <c r="AO107" s="1167"/>
      <c r="AP107" s="886"/>
      <c r="AQ107" s="27"/>
      <c r="AR107" s="27"/>
      <c r="AS107" s="27"/>
      <c r="AT107" s="1168"/>
      <c r="AU107" s="1166"/>
      <c r="AV107" s="1166"/>
      <c r="AW107" s="886"/>
      <c r="AX107" s="27"/>
      <c r="AY107" s="27"/>
      <c r="AZ107" s="27"/>
      <c r="BA107" s="1168"/>
      <c r="BB107" s="1166"/>
      <c r="BC107" s="1166"/>
      <c r="BD107" s="886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1168"/>
      <c r="AG108" s="1166"/>
      <c r="AH108" s="1166"/>
      <c r="AI108" s="886"/>
      <c r="AJ108" s="27"/>
      <c r="AK108" s="27"/>
      <c r="AL108" s="27"/>
      <c r="AM108" s="1168"/>
      <c r="AN108" s="1167"/>
      <c r="AO108" s="1167"/>
      <c r="AP108" s="886"/>
      <c r="AQ108" s="27"/>
      <c r="AR108" s="27"/>
      <c r="AS108" s="27"/>
      <c r="AT108" s="1168"/>
      <c r="AU108" s="1166"/>
      <c r="AV108" s="1166"/>
      <c r="AW108" s="886"/>
      <c r="AX108" s="27"/>
      <c r="AY108" s="27"/>
      <c r="AZ108" s="27"/>
      <c r="BA108" s="1168"/>
      <c r="BB108" s="1166"/>
      <c r="BC108" s="1166"/>
      <c r="BD108" s="886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1168"/>
      <c r="AG109" s="1166"/>
      <c r="AH109" s="1166"/>
      <c r="AI109" s="886"/>
      <c r="AJ109" s="27"/>
      <c r="AK109" s="27"/>
      <c r="AL109" s="27"/>
      <c r="AM109" s="1168"/>
      <c r="AN109" s="1167"/>
      <c r="AO109" s="1167"/>
      <c r="AP109" s="886"/>
      <c r="AQ109" s="27"/>
      <c r="AR109" s="27"/>
      <c r="AS109" s="27"/>
      <c r="AT109" s="1168"/>
      <c r="AU109" s="1166"/>
      <c r="AV109" s="1166"/>
      <c r="AW109" s="886"/>
      <c r="AX109" s="27"/>
      <c r="AY109" s="27"/>
      <c r="AZ109" s="27"/>
      <c r="BA109" s="1168"/>
      <c r="BB109" s="1166"/>
      <c r="BC109" s="1166"/>
      <c r="BD109" s="886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1168"/>
      <c r="AG110" s="1166"/>
      <c r="AH110" s="1166"/>
      <c r="AI110" s="886"/>
      <c r="AJ110" s="27"/>
      <c r="AK110" s="27"/>
      <c r="AL110" s="27"/>
      <c r="AM110" s="1168"/>
      <c r="AN110" s="1167"/>
      <c r="AO110" s="1167"/>
      <c r="AP110" s="886"/>
      <c r="AQ110" s="27"/>
      <c r="AR110" s="27"/>
      <c r="AS110" s="27"/>
      <c r="AT110" s="1168"/>
      <c r="AU110" s="1166"/>
      <c r="AV110" s="1166"/>
      <c r="AW110" s="886"/>
      <c r="AX110" s="27"/>
      <c r="AY110" s="27"/>
      <c r="AZ110" s="27"/>
      <c r="BA110" s="1168"/>
      <c r="BB110" s="1166"/>
      <c r="BC110" s="1166"/>
      <c r="BD110" s="886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1168"/>
      <c r="AG111" s="1166"/>
      <c r="AH111" s="1166"/>
      <c r="AI111" s="886"/>
      <c r="AJ111" s="27"/>
      <c r="AK111" s="27"/>
      <c r="AL111" s="27"/>
      <c r="AM111" s="1168"/>
      <c r="AN111" s="1167"/>
      <c r="AO111" s="1167"/>
      <c r="AP111" s="886"/>
      <c r="AQ111" s="27"/>
      <c r="AR111" s="27"/>
      <c r="AS111" s="27"/>
      <c r="AT111" s="1168"/>
      <c r="AU111" s="1166"/>
      <c r="AV111" s="1166"/>
      <c r="AW111" s="886"/>
      <c r="AX111" s="27"/>
      <c r="AY111" s="27"/>
      <c r="AZ111" s="27"/>
      <c r="BA111" s="1168"/>
      <c r="BB111" s="1166"/>
      <c r="BC111" s="1166"/>
      <c r="BD111" s="886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1168"/>
      <c r="AG112" s="1166"/>
      <c r="AH112" s="1166"/>
      <c r="AI112" s="886"/>
      <c r="AJ112" s="27"/>
      <c r="AK112" s="27"/>
      <c r="AL112" s="27"/>
      <c r="AM112" s="1168"/>
      <c r="AN112" s="1167"/>
      <c r="AO112" s="1167"/>
      <c r="AP112" s="886"/>
      <c r="AQ112" s="27"/>
      <c r="AR112" s="27"/>
      <c r="AS112" s="27"/>
      <c r="AT112" s="1168"/>
      <c r="AU112" s="1166"/>
      <c r="AV112" s="1166"/>
      <c r="AW112" s="886"/>
      <c r="AX112" s="27"/>
      <c r="AY112" s="27"/>
      <c r="AZ112" s="27"/>
      <c r="BA112" s="1168"/>
      <c r="BB112" s="1166"/>
      <c r="BC112" s="1166"/>
      <c r="BD112" s="886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1168"/>
      <c r="AG113" s="1166"/>
      <c r="AH113" s="1166"/>
      <c r="AI113" s="886"/>
      <c r="AJ113" s="27"/>
      <c r="AK113" s="27"/>
      <c r="AL113" s="27"/>
      <c r="AM113" s="1168"/>
      <c r="AN113" s="1167"/>
      <c r="AO113" s="1167"/>
      <c r="AP113" s="886"/>
      <c r="AQ113" s="27"/>
      <c r="AR113" s="27"/>
      <c r="AS113" s="27"/>
      <c r="AT113" s="1168"/>
      <c r="AU113" s="1166"/>
      <c r="AV113" s="1166"/>
      <c r="AW113" s="886"/>
      <c r="AX113" s="27"/>
      <c r="AY113" s="27"/>
      <c r="AZ113" s="27"/>
      <c r="BA113" s="1168"/>
      <c r="BB113" s="1166"/>
      <c r="BC113" s="1166"/>
      <c r="BD113" s="886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1168"/>
      <c r="AG114" s="1166"/>
      <c r="AH114" s="1166"/>
      <c r="AI114" s="886"/>
      <c r="AJ114" s="27"/>
      <c r="AK114" s="27"/>
      <c r="AL114" s="27"/>
      <c r="AM114" s="1168"/>
      <c r="AN114" s="1167"/>
      <c r="AO114" s="1167"/>
      <c r="AP114" s="886"/>
      <c r="AQ114" s="27"/>
      <c r="AR114" s="27"/>
      <c r="AS114" s="27"/>
      <c r="AT114" s="1168"/>
      <c r="AU114" s="1166"/>
      <c r="AV114" s="1166"/>
      <c r="AW114" s="886"/>
      <c r="AX114" s="27"/>
      <c r="AY114" s="27"/>
      <c r="AZ114" s="27"/>
      <c r="BA114" s="1168"/>
      <c r="BB114" s="1166"/>
      <c r="BC114" s="1166"/>
      <c r="BD114" s="886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1168"/>
      <c r="AG115" s="1166"/>
      <c r="AH115" s="1166"/>
      <c r="AI115" s="886"/>
      <c r="AJ115" s="27"/>
      <c r="AK115" s="27"/>
      <c r="AL115" s="27"/>
      <c r="AM115" s="1168"/>
      <c r="AN115" s="1167"/>
      <c r="AO115" s="1167"/>
      <c r="AP115" s="886"/>
      <c r="AQ115" s="27"/>
      <c r="AR115" s="27"/>
      <c r="AS115" s="27"/>
      <c r="AT115" s="1168"/>
      <c r="AU115" s="1166"/>
      <c r="AV115" s="1166"/>
      <c r="AW115" s="886"/>
      <c r="AX115" s="27"/>
      <c r="AY115" s="27"/>
      <c r="AZ115" s="27"/>
      <c r="BA115" s="1168"/>
      <c r="BB115" s="1166"/>
      <c r="BC115" s="1166"/>
      <c r="BD115" s="886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1168"/>
      <c r="AG116" s="1166"/>
      <c r="AH116" s="1166"/>
      <c r="AI116" s="886"/>
      <c r="AJ116" s="27"/>
      <c r="AK116" s="27"/>
      <c r="AL116" s="27"/>
      <c r="AM116" s="1168"/>
      <c r="AN116" s="1167"/>
      <c r="AO116" s="1167"/>
      <c r="AP116" s="886"/>
      <c r="AQ116" s="27"/>
      <c r="AR116" s="27"/>
      <c r="AS116" s="27"/>
      <c r="AT116" s="1168"/>
      <c r="AU116" s="1166"/>
      <c r="AV116" s="1166"/>
      <c r="AW116" s="886"/>
      <c r="AX116" s="27"/>
      <c r="AY116" s="27"/>
      <c r="AZ116" s="27"/>
      <c r="BA116" s="1168"/>
      <c r="BB116" s="1166"/>
      <c r="BC116" s="1166"/>
      <c r="BD116" s="886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1168"/>
      <c r="AG117" s="1166"/>
      <c r="AH117" s="1166"/>
      <c r="AI117" s="886"/>
      <c r="AJ117" s="27"/>
      <c r="AK117" s="27"/>
      <c r="AL117" s="27"/>
      <c r="AM117" s="1168"/>
      <c r="AN117" s="1167"/>
      <c r="AO117" s="1167"/>
      <c r="AP117" s="886"/>
      <c r="AQ117" s="27"/>
      <c r="AR117" s="27"/>
      <c r="AS117" s="27"/>
      <c r="AT117" s="1168"/>
      <c r="AU117" s="1166"/>
      <c r="AV117" s="1166"/>
      <c r="AW117" s="886"/>
      <c r="AX117" s="27"/>
      <c r="AY117" s="27"/>
      <c r="AZ117" s="27"/>
      <c r="BA117" s="1168"/>
      <c r="BB117" s="1166"/>
      <c r="BC117" s="1166"/>
      <c r="BD117" s="886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1168"/>
      <c r="AG118" s="1166"/>
      <c r="AH118" s="1166"/>
      <c r="AI118" s="886"/>
      <c r="AJ118" s="27"/>
      <c r="AK118" s="27"/>
      <c r="AL118" s="27"/>
      <c r="AM118" s="1168"/>
      <c r="AN118" s="1167"/>
      <c r="AO118" s="1167"/>
      <c r="AP118" s="886"/>
      <c r="AQ118" s="27"/>
      <c r="AR118" s="27"/>
      <c r="AS118" s="27"/>
      <c r="AT118" s="1168"/>
      <c r="AU118" s="1166"/>
      <c r="AV118" s="1166"/>
      <c r="AW118" s="886"/>
      <c r="AX118" s="27"/>
      <c r="AY118" s="27"/>
      <c r="AZ118" s="27"/>
      <c r="BA118" s="1168"/>
      <c r="BB118" s="1166"/>
      <c r="BC118" s="1166"/>
      <c r="BD118" s="886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1168"/>
      <c r="AG119" s="1166"/>
      <c r="AH119" s="1166"/>
      <c r="AI119" s="886"/>
      <c r="AJ119" s="27"/>
      <c r="AK119" s="27"/>
      <c r="AL119" s="27"/>
      <c r="AM119" s="1168"/>
      <c r="AN119" s="1167"/>
      <c r="AO119" s="1167"/>
      <c r="AP119" s="886"/>
      <c r="AQ119" s="27"/>
      <c r="AR119" s="27"/>
      <c r="AS119" s="27"/>
      <c r="AT119" s="1168"/>
      <c r="AU119" s="1166"/>
      <c r="AV119" s="1166"/>
      <c r="AW119" s="886"/>
      <c r="AX119" s="27"/>
      <c r="AY119" s="27"/>
      <c r="AZ119" s="27"/>
      <c r="BA119" s="1168"/>
      <c r="BB119" s="1166"/>
      <c r="BC119" s="1166"/>
      <c r="BD119" s="886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1168"/>
      <c r="AG120" s="1166"/>
      <c r="AH120" s="1166"/>
      <c r="AI120" s="886"/>
      <c r="AJ120" s="27"/>
      <c r="AK120" s="27"/>
      <c r="AL120" s="27"/>
      <c r="AM120" s="1168"/>
      <c r="AN120" s="1167"/>
      <c r="AO120" s="1167"/>
      <c r="AP120" s="886"/>
      <c r="AQ120" s="27"/>
      <c r="AR120" s="27"/>
      <c r="AS120" s="27"/>
      <c r="AT120" s="1168"/>
      <c r="AU120" s="1166"/>
      <c r="AV120" s="1166"/>
      <c r="AW120" s="886"/>
      <c r="AX120" s="27"/>
      <c r="AY120" s="27"/>
      <c r="AZ120" s="27"/>
      <c r="BA120" s="1168"/>
      <c r="BB120" s="1166"/>
      <c r="BC120" s="1166"/>
      <c r="BD120" s="886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1168"/>
      <c r="AG121" s="1166"/>
      <c r="AH121" s="1166"/>
      <c r="AI121" s="886"/>
      <c r="AJ121" s="27"/>
      <c r="AK121" s="27"/>
      <c r="AL121" s="27"/>
      <c r="AM121" s="1168"/>
      <c r="AN121" s="1167"/>
      <c r="AO121" s="1167"/>
      <c r="AP121" s="886"/>
      <c r="AQ121" s="27"/>
      <c r="AR121" s="27"/>
      <c r="AS121" s="27"/>
      <c r="AT121" s="1168"/>
      <c r="AU121" s="1166"/>
      <c r="AV121" s="1166"/>
      <c r="AW121" s="886"/>
      <c r="AX121" s="27"/>
      <c r="AY121" s="27"/>
      <c r="AZ121" s="27"/>
      <c r="BA121" s="1168"/>
      <c r="BB121" s="1166"/>
      <c r="BC121" s="1166"/>
      <c r="BD121" s="886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1168"/>
      <c r="AG122" s="1166"/>
      <c r="AH122" s="1166"/>
      <c r="AI122" s="886"/>
      <c r="AJ122" s="27"/>
      <c r="AK122" s="27"/>
      <c r="AL122" s="27"/>
      <c r="AM122" s="1168"/>
      <c r="AN122" s="1167"/>
      <c r="AO122" s="1167"/>
      <c r="AP122" s="886"/>
      <c r="AQ122" s="27"/>
      <c r="AR122" s="27"/>
      <c r="AS122" s="27"/>
      <c r="AT122" s="1168"/>
      <c r="AU122" s="1166"/>
      <c r="AV122" s="1166"/>
      <c r="AW122" s="886"/>
      <c r="AX122" s="27"/>
      <c r="AY122" s="27"/>
      <c r="AZ122" s="27"/>
      <c r="BA122" s="1168"/>
      <c r="BB122" s="1166"/>
      <c r="BC122" s="1166"/>
      <c r="BD122" s="886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1168"/>
      <c r="AG123" s="1166"/>
      <c r="AH123" s="1166"/>
      <c r="AI123" s="886"/>
      <c r="AJ123" s="27"/>
      <c r="AK123" s="27"/>
      <c r="AL123" s="27"/>
      <c r="AM123" s="1168"/>
      <c r="AN123" s="1167"/>
      <c r="AO123" s="1167"/>
      <c r="AP123" s="886"/>
      <c r="AQ123" s="27"/>
      <c r="AR123" s="27"/>
      <c r="AS123" s="27"/>
      <c r="AT123" s="1168"/>
      <c r="AU123" s="1166"/>
      <c r="AV123" s="1166"/>
      <c r="AW123" s="886"/>
      <c r="AX123" s="27"/>
      <c r="AY123" s="27"/>
      <c r="AZ123" s="27"/>
      <c r="BA123" s="1168"/>
      <c r="BB123" s="1166"/>
      <c r="BC123" s="1166"/>
      <c r="BD123" s="886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1168"/>
      <c r="AG124" s="1166"/>
      <c r="AH124" s="1166"/>
      <c r="AI124" s="886"/>
      <c r="AJ124" s="27"/>
      <c r="AK124" s="27"/>
      <c r="AL124" s="27"/>
      <c r="AM124" s="1168"/>
      <c r="AN124" s="1167"/>
      <c r="AO124" s="1167"/>
      <c r="AP124" s="886"/>
      <c r="AQ124" s="27"/>
      <c r="AR124" s="27"/>
      <c r="AS124" s="27"/>
      <c r="AT124" s="1168"/>
      <c r="AU124" s="1166"/>
      <c r="AV124" s="1166"/>
      <c r="AW124" s="886"/>
      <c r="AX124" s="27"/>
      <c r="AY124" s="27"/>
      <c r="AZ124" s="27"/>
      <c r="BA124" s="1168"/>
      <c r="BB124" s="1166"/>
      <c r="BC124" s="1166"/>
      <c r="BD124" s="886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1168"/>
      <c r="AG125" s="1166"/>
      <c r="AH125" s="1166"/>
      <c r="AI125" s="886"/>
      <c r="AJ125" s="27"/>
      <c r="AK125" s="27"/>
      <c r="AL125" s="27"/>
      <c r="AM125" s="1168"/>
      <c r="AN125" s="1167"/>
      <c r="AO125" s="1167"/>
      <c r="AP125" s="886"/>
      <c r="AQ125" s="27"/>
      <c r="AR125" s="27"/>
      <c r="AS125" s="27"/>
      <c r="AT125" s="1168"/>
      <c r="AU125" s="1166"/>
      <c r="AV125" s="1166"/>
      <c r="AW125" s="886"/>
      <c r="AX125" s="27"/>
      <c r="AY125" s="27"/>
      <c r="AZ125" s="27"/>
      <c r="BA125" s="1168"/>
      <c r="BB125" s="1166"/>
      <c r="BC125" s="1166"/>
      <c r="BD125" s="886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1168"/>
      <c r="AG126" s="1166"/>
      <c r="AH126" s="1166"/>
      <c r="AI126" s="886"/>
      <c r="AJ126" s="27"/>
      <c r="AK126" s="27"/>
      <c r="AL126" s="27"/>
      <c r="AM126" s="1168"/>
      <c r="AN126" s="1167"/>
      <c r="AO126" s="1167"/>
      <c r="AP126" s="886"/>
      <c r="AQ126" s="27"/>
      <c r="AR126" s="27"/>
      <c r="AS126" s="27"/>
      <c r="AT126" s="1168"/>
      <c r="AU126" s="1166"/>
      <c r="AV126" s="1166"/>
      <c r="AW126" s="886"/>
      <c r="AX126" s="27"/>
      <c r="AY126" s="27"/>
      <c r="AZ126" s="27"/>
      <c r="BA126" s="1168"/>
      <c r="BB126" s="1166"/>
      <c r="BC126" s="1166"/>
      <c r="BD126" s="886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1168"/>
      <c r="AG127" s="1166"/>
      <c r="AH127" s="1166"/>
      <c r="AI127" s="886"/>
      <c r="AJ127" s="27"/>
      <c r="AK127" s="27"/>
      <c r="AL127" s="27"/>
      <c r="AM127" s="1168"/>
      <c r="AN127" s="1167"/>
      <c r="AO127" s="1167"/>
      <c r="AP127" s="886"/>
      <c r="AQ127" s="27"/>
      <c r="AR127" s="27"/>
      <c r="AS127" s="27"/>
      <c r="AT127" s="1168"/>
      <c r="AU127" s="1166"/>
      <c r="AV127" s="1166"/>
      <c r="AW127" s="886"/>
      <c r="AX127" s="27"/>
      <c r="AY127" s="27"/>
      <c r="AZ127" s="27"/>
      <c r="BA127" s="1168"/>
      <c r="BB127" s="1166"/>
      <c r="BC127" s="1166"/>
      <c r="BD127" s="886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1168"/>
      <c r="AG128" s="1166"/>
      <c r="AH128" s="1166"/>
      <c r="AI128" s="886"/>
      <c r="AJ128" s="27"/>
      <c r="AK128" s="27"/>
      <c r="AL128" s="27"/>
      <c r="AM128" s="1168"/>
      <c r="AN128" s="1167"/>
      <c r="AO128" s="1167"/>
      <c r="AP128" s="886"/>
      <c r="AQ128" s="27"/>
      <c r="AR128" s="27"/>
      <c r="AS128" s="27"/>
      <c r="AT128" s="1168"/>
      <c r="AU128" s="1166"/>
      <c r="AV128" s="1166"/>
      <c r="AW128" s="886"/>
      <c r="AX128" s="27"/>
      <c r="AY128" s="27"/>
      <c r="AZ128" s="27"/>
      <c r="BA128" s="1168"/>
      <c r="BB128" s="1166"/>
      <c r="BC128" s="1166"/>
      <c r="BD128" s="886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1168"/>
      <c r="AG129" s="1166"/>
      <c r="AH129" s="1166"/>
      <c r="AI129" s="886"/>
      <c r="AJ129" s="27"/>
      <c r="AK129" s="27"/>
      <c r="AL129" s="27"/>
      <c r="AM129" s="1168"/>
      <c r="AN129" s="1167"/>
      <c r="AO129" s="1167"/>
      <c r="AP129" s="886"/>
      <c r="AQ129" s="27"/>
      <c r="AR129" s="27"/>
      <c r="AS129" s="27"/>
      <c r="AT129" s="1168"/>
      <c r="AU129" s="1166"/>
      <c r="AV129" s="1166"/>
      <c r="AW129" s="886"/>
      <c r="AX129" s="27"/>
      <c r="AY129" s="27"/>
      <c r="AZ129" s="27"/>
      <c r="BA129" s="1168"/>
      <c r="BB129" s="1166"/>
      <c r="BC129" s="1166"/>
      <c r="BD129" s="886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1168"/>
      <c r="AG130" s="1166"/>
      <c r="AH130" s="1166"/>
      <c r="AI130" s="886"/>
      <c r="AJ130" s="27"/>
      <c r="AK130" s="27"/>
      <c r="AL130" s="27"/>
      <c r="AM130" s="1168"/>
      <c r="AN130" s="1167"/>
      <c r="AO130" s="1167"/>
      <c r="AP130" s="886"/>
      <c r="AQ130" s="27"/>
      <c r="AR130" s="27"/>
      <c r="AS130" s="27"/>
      <c r="AT130" s="1168"/>
      <c r="AU130" s="1166"/>
      <c r="AV130" s="1166"/>
      <c r="AW130" s="886"/>
      <c r="AX130" s="27"/>
      <c r="AY130" s="27"/>
      <c r="AZ130" s="27"/>
      <c r="BA130" s="1168"/>
      <c r="BB130" s="1166"/>
      <c r="BC130" s="1166"/>
      <c r="BD130" s="886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1168"/>
      <c r="AG131" s="1166"/>
      <c r="AH131" s="1166"/>
      <c r="AI131" s="886"/>
      <c r="AJ131" s="27"/>
      <c r="AK131" s="27"/>
      <c r="AL131" s="27"/>
      <c r="AM131" s="1168"/>
      <c r="AN131" s="1167"/>
      <c r="AO131" s="1167"/>
      <c r="AP131" s="886"/>
      <c r="AQ131" s="27"/>
      <c r="AR131" s="27"/>
      <c r="AS131" s="27"/>
      <c r="AT131" s="1168"/>
      <c r="AU131" s="1166"/>
      <c r="AV131" s="1166"/>
      <c r="AW131" s="886"/>
      <c r="AX131" s="27"/>
      <c r="AY131" s="27"/>
      <c r="AZ131" s="27"/>
      <c r="BA131" s="1168"/>
      <c r="BB131" s="1166"/>
      <c r="BC131" s="1166"/>
      <c r="BD131" s="886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1168"/>
      <c r="AG132" s="1166"/>
      <c r="AH132" s="1166"/>
      <c r="AI132" s="886"/>
      <c r="AJ132" s="27"/>
      <c r="AK132" s="27"/>
      <c r="AL132" s="27"/>
      <c r="AM132" s="1168"/>
      <c r="AN132" s="1167"/>
      <c r="AO132" s="1167"/>
      <c r="AP132" s="886"/>
      <c r="AQ132" s="27"/>
      <c r="AR132" s="27"/>
      <c r="AS132" s="27"/>
      <c r="AT132" s="1168"/>
      <c r="AU132" s="1166"/>
      <c r="AV132" s="1166"/>
      <c r="AW132" s="886"/>
      <c r="AX132" s="27"/>
      <c r="AY132" s="27"/>
      <c r="AZ132" s="27"/>
      <c r="BA132" s="1168"/>
      <c r="BB132" s="1166"/>
      <c r="BC132" s="1166"/>
      <c r="BD132" s="886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1168"/>
      <c r="AG133" s="1166"/>
      <c r="AH133" s="1166"/>
      <c r="AI133" s="886"/>
      <c r="AJ133" s="27"/>
      <c r="AK133" s="27"/>
      <c r="AL133" s="27"/>
      <c r="AM133" s="1168"/>
      <c r="AN133" s="1167"/>
      <c r="AO133" s="1167"/>
      <c r="AP133" s="886"/>
      <c r="AQ133" s="27"/>
      <c r="AR133" s="27"/>
      <c r="AS133" s="27"/>
      <c r="AT133" s="1168"/>
      <c r="AU133" s="1166"/>
      <c r="AV133" s="1166"/>
      <c r="AW133" s="886"/>
      <c r="AX133" s="27"/>
      <c r="AY133" s="27"/>
      <c r="AZ133" s="27"/>
      <c r="BA133" s="1168"/>
      <c r="BB133" s="1166"/>
      <c r="BC133" s="1166"/>
      <c r="BD133" s="886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1168"/>
      <c r="AG134" s="1166"/>
      <c r="AH134" s="1166"/>
      <c r="AI134" s="886"/>
      <c r="AJ134" s="27"/>
      <c r="AK134" s="27"/>
      <c r="AL134" s="27"/>
      <c r="AM134" s="1168"/>
      <c r="AN134" s="1167"/>
      <c r="AO134" s="1167"/>
      <c r="AP134" s="886"/>
      <c r="AQ134" s="27"/>
      <c r="AR134" s="27"/>
      <c r="AS134" s="27"/>
      <c r="AT134" s="1168"/>
      <c r="AU134" s="1166"/>
      <c r="AV134" s="1166"/>
      <c r="AW134" s="886"/>
      <c r="AX134" s="27"/>
      <c r="AY134" s="27"/>
      <c r="AZ134" s="27"/>
      <c r="BA134" s="1168"/>
      <c r="BB134" s="1166"/>
      <c r="BC134" s="1166"/>
      <c r="BD134" s="886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1168"/>
      <c r="AG135" s="1166"/>
      <c r="AH135" s="1166"/>
      <c r="AI135" s="886"/>
      <c r="AJ135" s="27"/>
      <c r="AK135" s="27"/>
      <c r="AL135" s="27"/>
      <c r="AM135" s="1168"/>
      <c r="AN135" s="1167"/>
      <c r="AO135" s="1167"/>
      <c r="AP135" s="886"/>
      <c r="AQ135" s="27"/>
      <c r="AR135" s="27"/>
      <c r="AS135" s="27"/>
      <c r="AT135" s="1168"/>
      <c r="AU135" s="1166"/>
      <c r="AV135" s="1166"/>
      <c r="AW135" s="886"/>
      <c r="AX135" s="27"/>
      <c r="AY135" s="27"/>
      <c r="AZ135" s="27"/>
      <c r="BA135" s="1168"/>
      <c r="BB135" s="1166"/>
      <c r="BC135" s="1166"/>
      <c r="BD135" s="886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1168"/>
      <c r="AG136" s="1166"/>
      <c r="AH136" s="1166"/>
      <c r="AI136" s="886"/>
      <c r="AJ136" s="27"/>
      <c r="AK136" s="27"/>
      <c r="AL136" s="27"/>
      <c r="AM136" s="1168"/>
      <c r="AN136" s="1167"/>
      <c r="AO136" s="1167"/>
      <c r="AP136" s="886"/>
      <c r="AQ136" s="27"/>
      <c r="AR136" s="27"/>
      <c r="AS136" s="27"/>
      <c r="AT136" s="1168"/>
      <c r="AU136" s="1166"/>
      <c r="AV136" s="1166"/>
      <c r="AW136" s="886"/>
      <c r="AX136" s="27"/>
      <c r="AY136" s="27"/>
      <c r="AZ136" s="27"/>
      <c r="BA136" s="1168"/>
      <c r="BB136" s="1166"/>
      <c r="BC136" s="1166"/>
      <c r="BD136" s="886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1168"/>
      <c r="AG137" s="1166"/>
      <c r="AH137" s="1166"/>
      <c r="AI137" s="886"/>
      <c r="AJ137" s="27"/>
      <c r="AK137" s="27"/>
      <c r="AL137" s="27"/>
      <c r="AM137" s="1168"/>
      <c r="AN137" s="1167"/>
      <c r="AO137" s="1167"/>
      <c r="AP137" s="886"/>
      <c r="AQ137" s="27"/>
      <c r="AR137" s="27"/>
      <c r="AS137" s="27"/>
      <c r="AT137" s="1168"/>
      <c r="AU137" s="1166"/>
      <c r="AV137" s="1166"/>
      <c r="AW137" s="886"/>
      <c r="AX137" s="27"/>
      <c r="AY137" s="27"/>
      <c r="AZ137" s="27"/>
      <c r="BA137" s="1168"/>
      <c r="BB137" s="1166"/>
      <c r="BC137" s="1166"/>
      <c r="BD137" s="886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1168"/>
      <c r="AG138" s="1166"/>
      <c r="AH138" s="1166"/>
      <c r="AI138" s="886"/>
      <c r="AJ138" s="27"/>
      <c r="AK138" s="27"/>
      <c r="AL138" s="27"/>
      <c r="AM138" s="1168"/>
      <c r="AN138" s="1167"/>
      <c r="AO138" s="1167"/>
      <c r="AP138" s="886"/>
      <c r="AQ138" s="27"/>
      <c r="AR138" s="27"/>
      <c r="AS138" s="27"/>
      <c r="AT138" s="1168"/>
      <c r="AU138" s="1166"/>
      <c r="AV138" s="1166"/>
      <c r="AW138" s="886"/>
      <c r="AX138" s="27"/>
      <c r="AY138" s="27"/>
      <c r="AZ138" s="27"/>
      <c r="BA138" s="1168"/>
      <c r="BB138" s="1166"/>
      <c r="BC138" s="1166"/>
      <c r="BD138" s="886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1168"/>
      <c r="AG139" s="1166"/>
      <c r="AH139" s="1166"/>
      <c r="AI139" s="886"/>
      <c r="AJ139" s="27"/>
      <c r="AK139" s="27"/>
      <c r="AL139" s="27"/>
      <c r="AM139" s="1168"/>
      <c r="AN139" s="1167"/>
      <c r="AO139" s="1167"/>
      <c r="AP139" s="886"/>
      <c r="AQ139" s="27"/>
      <c r="AR139" s="27"/>
      <c r="AS139" s="27"/>
      <c r="AT139" s="1168"/>
      <c r="AU139" s="1166"/>
      <c r="AV139" s="1166"/>
      <c r="AW139" s="886"/>
      <c r="AX139" s="27"/>
      <c r="AY139" s="27"/>
      <c r="AZ139" s="27"/>
      <c r="BA139" s="1168"/>
      <c r="BB139" s="1166"/>
      <c r="BC139" s="1166"/>
      <c r="BD139" s="886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1168"/>
      <c r="AG140" s="1166"/>
      <c r="AH140" s="1166"/>
      <c r="AI140" s="886"/>
      <c r="AJ140" s="27"/>
      <c r="AK140" s="27"/>
      <c r="AL140" s="27"/>
      <c r="AM140" s="1168"/>
      <c r="AN140" s="1167"/>
      <c r="AO140" s="1167"/>
      <c r="AP140" s="886"/>
      <c r="AQ140" s="27"/>
      <c r="AR140" s="27"/>
      <c r="AS140" s="27"/>
      <c r="AT140" s="1168"/>
      <c r="AU140" s="1166"/>
      <c r="AV140" s="1166"/>
      <c r="AW140" s="886"/>
      <c r="AX140" s="27"/>
      <c r="AY140" s="27"/>
      <c r="AZ140" s="27"/>
      <c r="BA140" s="1168"/>
      <c r="BB140" s="1166"/>
      <c r="BC140" s="1166"/>
      <c r="BD140" s="886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1168"/>
      <c r="AG141" s="1166"/>
      <c r="AH141" s="1166"/>
      <c r="AI141" s="886"/>
      <c r="AJ141" s="27"/>
      <c r="AK141" s="27"/>
      <c r="AL141" s="27"/>
      <c r="AM141" s="1168"/>
      <c r="AN141" s="1167"/>
      <c r="AO141" s="1167"/>
      <c r="AP141" s="886"/>
      <c r="AQ141" s="27"/>
      <c r="AR141" s="27"/>
      <c r="AS141" s="27"/>
      <c r="AT141" s="1168"/>
      <c r="AU141" s="1166"/>
      <c r="AV141" s="1166"/>
      <c r="AW141" s="886"/>
      <c r="AX141" s="27"/>
      <c r="AY141" s="27"/>
      <c r="AZ141" s="27"/>
      <c r="BA141" s="1168"/>
      <c r="BB141" s="1166"/>
      <c r="BC141" s="1166"/>
      <c r="BD141" s="886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1168"/>
      <c r="AG142" s="1166"/>
      <c r="AH142" s="1166"/>
      <c r="AI142" s="886"/>
      <c r="AJ142" s="27"/>
      <c r="AK142" s="27"/>
      <c r="AL142" s="27"/>
      <c r="AM142" s="1168"/>
      <c r="AN142" s="1167"/>
      <c r="AO142" s="1167"/>
      <c r="AP142" s="886"/>
      <c r="AQ142" s="27"/>
      <c r="AR142" s="27"/>
      <c r="AS142" s="27"/>
      <c r="AT142" s="1168"/>
      <c r="AU142" s="1166"/>
      <c r="AV142" s="1166"/>
      <c r="AW142" s="886"/>
      <c r="AX142" s="27"/>
      <c r="AY142" s="27"/>
      <c r="AZ142" s="27"/>
      <c r="BA142" s="1168"/>
      <c r="BB142" s="1166"/>
      <c r="BC142" s="1166"/>
      <c r="BD142" s="886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1168"/>
      <c r="AG143" s="1166"/>
      <c r="AH143" s="1166"/>
      <c r="AI143" s="886"/>
      <c r="AJ143" s="27"/>
      <c r="AK143" s="27"/>
      <c r="AL143" s="27"/>
      <c r="AM143" s="1168"/>
      <c r="AN143" s="1167"/>
      <c r="AO143" s="1167"/>
      <c r="AP143" s="886"/>
      <c r="AQ143" s="27"/>
      <c r="AR143" s="27"/>
      <c r="AS143" s="27"/>
      <c r="AT143" s="1168"/>
      <c r="AU143" s="1166"/>
      <c r="AV143" s="1166"/>
      <c r="AW143" s="886"/>
      <c r="AX143" s="27"/>
      <c r="AY143" s="27"/>
      <c r="AZ143" s="27"/>
      <c r="BA143" s="1168"/>
      <c r="BB143" s="1166"/>
      <c r="BC143" s="1166"/>
      <c r="BD143" s="886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1168"/>
      <c r="AG144" s="1166"/>
      <c r="AH144" s="1166"/>
      <c r="AI144" s="886"/>
      <c r="AJ144" s="27"/>
      <c r="AK144" s="27"/>
      <c r="AL144" s="27"/>
      <c r="AM144" s="1168"/>
      <c r="AN144" s="1167"/>
      <c r="AO144" s="1167"/>
      <c r="AP144" s="886"/>
      <c r="AQ144" s="27"/>
      <c r="AR144" s="27"/>
      <c r="AS144" s="27"/>
      <c r="AT144" s="1168"/>
      <c r="AU144" s="1166"/>
      <c r="AV144" s="1166"/>
      <c r="AW144" s="886"/>
      <c r="AX144" s="27"/>
      <c r="AY144" s="27"/>
      <c r="AZ144" s="27"/>
      <c r="BA144" s="1168"/>
      <c r="BB144" s="1166"/>
      <c r="BC144" s="1166"/>
      <c r="BD144" s="886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1168"/>
      <c r="AG145" s="1166"/>
      <c r="AH145" s="1166"/>
      <c r="AI145" s="886"/>
      <c r="AJ145" s="27"/>
      <c r="AK145" s="27"/>
      <c r="AL145" s="27"/>
      <c r="AM145" s="1168"/>
      <c r="AN145" s="1167"/>
      <c r="AO145" s="1167"/>
      <c r="AP145" s="886"/>
      <c r="AQ145" s="27"/>
      <c r="AR145" s="27"/>
      <c r="AS145" s="27"/>
      <c r="AT145" s="1168"/>
      <c r="AU145" s="1166"/>
      <c r="AV145" s="1166"/>
      <c r="AW145" s="886"/>
      <c r="AX145" s="27"/>
      <c r="AY145" s="27"/>
      <c r="AZ145" s="27"/>
      <c r="BA145" s="1168"/>
      <c r="BB145" s="1166"/>
      <c r="BC145" s="1166"/>
      <c r="BD145" s="886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1168"/>
      <c r="AG146" s="1166"/>
      <c r="AH146" s="1166"/>
      <c r="AI146" s="886"/>
      <c r="AJ146" s="27"/>
      <c r="AK146" s="27"/>
      <c r="AL146" s="27"/>
      <c r="AM146" s="1168"/>
      <c r="AN146" s="1167"/>
      <c r="AO146" s="1167"/>
      <c r="AP146" s="886"/>
      <c r="AQ146" s="27"/>
      <c r="AR146" s="27"/>
      <c r="AS146" s="27"/>
      <c r="AT146" s="1168"/>
      <c r="AU146" s="1166"/>
      <c r="AV146" s="1166"/>
      <c r="AW146" s="886"/>
      <c r="AX146" s="27"/>
      <c r="AY146" s="27"/>
      <c r="AZ146" s="27"/>
      <c r="BA146" s="1168"/>
      <c r="BB146" s="1166"/>
      <c r="BC146" s="1166"/>
      <c r="BD146" s="886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1168"/>
      <c r="AG147" s="1166"/>
      <c r="AH147" s="1166"/>
      <c r="AI147" s="886"/>
      <c r="AJ147" s="27"/>
      <c r="AK147" s="27"/>
      <c r="AL147" s="27"/>
      <c r="AM147" s="1168"/>
      <c r="AN147" s="1167"/>
      <c r="AO147" s="1167"/>
      <c r="AP147" s="886"/>
      <c r="AQ147" s="27"/>
      <c r="AR147" s="27"/>
      <c r="AS147" s="27"/>
      <c r="AT147" s="1168"/>
      <c r="AU147" s="1166"/>
      <c r="AV147" s="1166"/>
      <c r="AW147" s="886"/>
      <c r="AX147" s="27"/>
      <c r="AY147" s="27"/>
      <c r="AZ147" s="27"/>
      <c r="BA147" s="1168"/>
      <c r="BB147" s="1166"/>
      <c r="BC147" s="1166"/>
      <c r="BD147" s="886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1168"/>
      <c r="AG148" s="1166"/>
      <c r="AH148" s="1166"/>
      <c r="AI148" s="886"/>
      <c r="AJ148" s="27"/>
      <c r="AK148" s="27"/>
      <c r="AL148" s="27"/>
      <c r="AM148" s="1168"/>
      <c r="AN148" s="1167"/>
      <c r="AO148" s="1167"/>
      <c r="AP148" s="886"/>
      <c r="AQ148" s="27"/>
      <c r="AR148" s="27"/>
      <c r="AS148" s="27"/>
      <c r="AT148" s="1168"/>
      <c r="AU148" s="1166"/>
      <c r="AV148" s="1166"/>
      <c r="AW148" s="886"/>
      <c r="AX148" s="27"/>
      <c r="AY148" s="27"/>
      <c r="AZ148" s="27"/>
      <c r="BA148" s="1168"/>
      <c r="BB148" s="1166"/>
      <c r="BC148" s="1166"/>
      <c r="BD148" s="886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1168"/>
      <c r="AG149" s="1166"/>
      <c r="AH149" s="1166"/>
      <c r="AI149" s="886"/>
      <c r="AJ149" s="27"/>
      <c r="AK149" s="27"/>
      <c r="AL149" s="27"/>
      <c r="AM149" s="1168"/>
      <c r="AN149" s="1167"/>
      <c r="AO149" s="1167"/>
      <c r="AP149" s="886"/>
      <c r="AQ149" s="27"/>
      <c r="AR149" s="27"/>
      <c r="AS149" s="27"/>
      <c r="AT149" s="1168"/>
      <c r="AU149" s="1166"/>
      <c r="AV149" s="1166"/>
      <c r="AW149" s="886"/>
      <c r="AX149" s="27"/>
      <c r="AY149" s="27"/>
      <c r="AZ149" s="27"/>
      <c r="BA149" s="1168"/>
      <c r="BB149" s="1166"/>
      <c r="BC149" s="1166"/>
      <c r="BD149" s="886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1168"/>
      <c r="AG150" s="1166"/>
      <c r="AH150" s="1166"/>
      <c r="AI150" s="886"/>
      <c r="AJ150" s="27"/>
      <c r="AK150" s="27"/>
      <c r="AL150" s="27"/>
      <c r="AM150" s="1168"/>
      <c r="AN150" s="1167"/>
      <c r="AO150" s="1167"/>
      <c r="AP150" s="886"/>
      <c r="AQ150" s="27"/>
      <c r="AR150" s="27"/>
      <c r="AS150" s="27"/>
      <c r="AT150" s="1168"/>
      <c r="AU150" s="1166"/>
      <c r="AV150" s="1166"/>
      <c r="AW150" s="886"/>
      <c r="AX150" s="27"/>
      <c r="AY150" s="27"/>
      <c r="AZ150" s="27"/>
      <c r="BA150" s="1168"/>
      <c r="BB150" s="1166"/>
      <c r="BC150" s="1166"/>
      <c r="BD150" s="886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1168"/>
      <c r="AG151" s="1166"/>
      <c r="AH151" s="1166"/>
      <c r="AI151" s="886"/>
      <c r="AJ151" s="27"/>
      <c r="AK151" s="27"/>
      <c r="AL151" s="27"/>
      <c r="AM151" s="1168"/>
      <c r="AN151" s="1167"/>
      <c r="AO151" s="1167"/>
      <c r="AP151" s="886"/>
      <c r="AQ151" s="27"/>
      <c r="AR151" s="27"/>
      <c r="AS151" s="27"/>
      <c r="AT151" s="1168"/>
      <c r="AU151" s="1166"/>
      <c r="AV151" s="1166"/>
      <c r="AW151" s="886"/>
      <c r="AX151" s="27"/>
      <c r="AY151" s="27"/>
      <c r="AZ151" s="27"/>
      <c r="BA151" s="1168"/>
      <c r="BB151" s="1166"/>
      <c r="BC151" s="1166"/>
      <c r="BD151" s="886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1168"/>
      <c r="AG152" s="1166"/>
      <c r="AH152" s="1166"/>
      <c r="AI152" s="886"/>
      <c r="AJ152" s="27"/>
      <c r="AK152" s="27"/>
      <c r="AL152" s="27"/>
      <c r="AM152" s="1168"/>
      <c r="AN152" s="1167"/>
      <c r="AO152" s="1167"/>
      <c r="AP152" s="886"/>
      <c r="AQ152" s="27"/>
      <c r="AR152" s="27"/>
      <c r="AS152" s="27"/>
      <c r="AT152" s="1168"/>
      <c r="AU152" s="1166"/>
      <c r="AV152" s="1166"/>
      <c r="AW152" s="886"/>
      <c r="AX152" s="27"/>
      <c r="AY152" s="27"/>
      <c r="AZ152" s="27"/>
      <c r="BA152" s="1168"/>
      <c r="BB152" s="1166"/>
      <c r="BC152" s="1166"/>
      <c r="BD152" s="886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1168"/>
      <c r="AG153" s="1166"/>
      <c r="AH153" s="1166"/>
      <c r="AI153" s="886"/>
      <c r="AJ153" s="27"/>
      <c r="AK153" s="27"/>
      <c r="AL153" s="27"/>
      <c r="AM153" s="1168"/>
      <c r="AN153" s="1167"/>
      <c r="AO153" s="1167"/>
      <c r="AP153" s="886"/>
      <c r="AQ153" s="27"/>
      <c r="AR153" s="27"/>
      <c r="AS153" s="27"/>
      <c r="AT153" s="1168"/>
      <c r="AU153" s="1166"/>
      <c r="AV153" s="1166"/>
      <c r="AW153" s="886"/>
      <c r="AX153" s="27"/>
      <c r="AY153" s="27"/>
      <c r="AZ153" s="27"/>
      <c r="BA153" s="1168"/>
      <c r="BB153" s="1166"/>
      <c r="BC153" s="1166"/>
      <c r="BD153" s="886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1168"/>
      <c r="AG154" s="1166"/>
      <c r="AH154" s="1166"/>
      <c r="AI154" s="886"/>
      <c r="AJ154" s="27"/>
      <c r="AK154" s="27"/>
      <c r="AL154" s="27"/>
      <c r="AM154" s="1168"/>
      <c r="AN154" s="1167"/>
      <c r="AO154" s="1167"/>
      <c r="AP154" s="886"/>
      <c r="AQ154" s="27"/>
      <c r="AR154" s="27"/>
      <c r="AS154" s="27"/>
      <c r="AT154" s="1168"/>
      <c r="AU154" s="1166"/>
      <c r="AV154" s="1166"/>
      <c r="AW154" s="886"/>
      <c r="AX154" s="27"/>
      <c r="AY154" s="27"/>
      <c r="AZ154" s="27"/>
      <c r="BA154" s="1168"/>
      <c r="BB154" s="1166"/>
      <c r="BC154" s="1166"/>
      <c r="BD154" s="886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1168"/>
      <c r="AG155" s="1166"/>
      <c r="AH155" s="1166"/>
      <c r="AI155" s="886"/>
      <c r="AJ155" s="27"/>
      <c r="AK155" s="27"/>
      <c r="AL155" s="27"/>
      <c r="AM155" s="1168"/>
      <c r="AN155" s="1167"/>
      <c r="AO155" s="1167"/>
      <c r="AP155" s="886"/>
      <c r="AQ155" s="27"/>
      <c r="AR155" s="27"/>
      <c r="AS155" s="27"/>
      <c r="AT155" s="1168"/>
      <c r="AU155" s="1166"/>
      <c r="AV155" s="1166"/>
      <c r="AW155" s="886"/>
      <c r="AX155" s="27"/>
      <c r="AY155" s="27"/>
      <c r="AZ155" s="27"/>
      <c r="BA155" s="1168"/>
      <c r="BB155" s="1166"/>
      <c r="BC155" s="1166"/>
      <c r="BD155" s="886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1168"/>
      <c r="AG156" s="1166"/>
      <c r="AH156" s="1166"/>
      <c r="AI156" s="886"/>
      <c r="AJ156" s="27"/>
      <c r="AK156" s="27"/>
      <c r="AL156" s="27"/>
      <c r="AM156" s="1168"/>
      <c r="AN156" s="1167"/>
      <c r="AO156" s="1167"/>
      <c r="AP156" s="886"/>
      <c r="AQ156" s="27"/>
      <c r="AR156" s="27"/>
      <c r="AS156" s="27"/>
      <c r="AT156" s="1168"/>
      <c r="AU156" s="1166"/>
      <c r="AV156" s="1166"/>
      <c r="AW156" s="886"/>
      <c r="AX156" s="27"/>
      <c r="AY156" s="27"/>
      <c r="AZ156" s="27"/>
      <c r="BA156" s="1168"/>
      <c r="BB156" s="1166"/>
      <c r="BC156" s="1166"/>
      <c r="BD156" s="886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1168"/>
      <c r="AG157" s="1166"/>
      <c r="AH157" s="1166"/>
      <c r="AI157" s="886"/>
      <c r="AJ157" s="27"/>
      <c r="AK157" s="27"/>
      <c r="AL157" s="27"/>
      <c r="AM157" s="1168"/>
      <c r="AN157" s="1167"/>
      <c r="AO157" s="1167"/>
      <c r="AP157" s="886"/>
      <c r="AQ157" s="27"/>
      <c r="AR157" s="27"/>
      <c r="AS157" s="27"/>
      <c r="AT157" s="1168"/>
      <c r="AU157" s="1166"/>
      <c r="AV157" s="1166"/>
      <c r="AW157" s="886"/>
      <c r="AX157" s="27"/>
      <c r="AY157" s="27"/>
      <c r="AZ157" s="27"/>
      <c r="BA157" s="1168"/>
      <c r="BB157" s="1166"/>
      <c r="BC157" s="1166"/>
      <c r="BD157" s="886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1168"/>
      <c r="AG158" s="1166"/>
      <c r="AH158" s="1166"/>
      <c r="AI158" s="886"/>
      <c r="AJ158" s="27"/>
      <c r="AK158" s="27"/>
      <c r="AL158" s="27"/>
      <c r="AM158" s="1168"/>
      <c r="AN158" s="1167"/>
      <c r="AO158" s="1167"/>
      <c r="AP158" s="886"/>
      <c r="AQ158" s="27"/>
      <c r="AR158" s="27"/>
      <c r="AS158" s="27"/>
      <c r="AT158" s="1168"/>
      <c r="AU158" s="1166"/>
      <c r="AV158" s="1166"/>
      <c r="AW158" s="886"/>
      <c r="AX158" s="27"/>
      <c r="AY158" s="27"/>
      <c r="AZ158" s="27"/>
      <c r="BA158" s="1168"/>
      <c r="BB158" s="1166"/>
      <c r="BC158" s="1166"/>
      <c r="BD158" s="886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1168"/>
      <c r="AG159" s="1166"/>
      <c r="AH159" s="1166"/>
      <c r="AI159" s="886"/>
      <c r="AJ159" s="27"/>
      <c r="AK159" s="27"/>
      <c r="AL159" s="27"/>
      <c r="AM159" s="1168"/>
      <c r="AN159" s="1167"/>
      <c r="AO159" s="1167"/>
      <c r="AP159" s="886"/>
      <c r="AQ159" s="27"/>
      <c r="AR159" s="27"/>
      <c r="AS159" s="27"/>
      <c r="AT159" s="1168"/>
      <c r="AU159" s="1166"/>
      <c r="AV159" s="1166"/>
      <c r="AW159" s="886"/>
      <c r="AX159" s="27"/>
      <c r="AY159" s="27"/>
      <c r="AZ159" s="27"/>
      <c r="BA159" s="1168"/>
      <c r="BB159" s="1166"/>
      <c r="BC159" s="1166"/>
      <c r="BD159" s="886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1168"/>
      <c r="AG160" s="1166"/>
      <c r="AH160" s="1166"/>
      <c r="AI160" s="886"/>
      <c r="AJ160" s="27"/>
      <c r="AK160" s="27"/>
      <c r="AL160" s="27"/>
      <c r="AM160" s="1168"/>
      <c r="AN160" s="1167"/>
      <c r="AO160" s="1167"/>
      <c r="AP160" s="886"/>
      <c r="AQ160" s="27"/>
      <c r="AR160" s="27"/>
      <c r="AS160" s="27"/>
      <c r="AT160" s="1168"/>
      <c r="AU160" s="1166"/>
      <c r="AV160" s="1166"/>
      <c r="AW160" s="886"/>
      <c r="AX160" s="27"/>
      <c r="AY160" s="27"/>
      <c r="AZ160" s="27"/>
      <c r="BA160" s="1168"/>
      <c r="BB160" s="1166"/>
      <c r="BC160" s="1166"/>
      <c r="BD160" s="886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1168"/>
      <c r="AG161" s="1166"/>
      <c r="AH161" s="1166"/>
      <c r="AI161" s="886"/>
      <c r="AJ161" s="27"/>
      <c r="AK161" s="27"/>
      <c r="AL161" s="27"/>
      <c r="AM161" s="1168"/>
      <c r="AN161" s="1167"/>
      <c r="AO161" s="1167"/>
      <c r="AP161" s="886"/>
      <c r="AQ161" s="27"/>
      <c r="AR161" s="27"/>
      <c r="AS161" s="27"/>
      <c r="AT161" s="1168"/>
      <c r="AU161" s="1166"/>
      <c r="AV161" s="1166"/>
      <c r="AW161" s="886"/>
      <c r="AX161" s="27"/>
      <c r="AY161" s="27"/>
      <c r="AZ161" s="27"/>
      <c r="BA161" s="1168"/>
      <c r="BB161" s="1166"/>
      <c r="BC161" s="1166"/>
      <c r="BD161" s="886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1168"/>
      <c r="AG162" s="1166"/>
      <c r="AH162" s="1166"/>
      <c r="AI162" s="886"/>
      <c r="AJ162" s="27"/>
      <c r="AK162" s="27"/>
      <c r="AL162" s="27"/>
      <c r="AM162" s="1168"/>
      <c r="AN162" s="1167"/>
      <c r="AO162" s="1167"/>
      <c r="AP162" s="886"/>
      <c r="AQ162" s="27"/>
      <c r="AR162" s="27"/>
      <c r="AS162" s="27"/>
      <c r="AT162" s="1168"/>
      <c r="AU162" s="1166"/>
      <c r="AV162" s="1166"/>
      <c r="AW162" s="886"/>
      <c r="AX162" s="27"/>
      <c r="AY162" s="27"/>
      <c r="AZ162" s="27"/>
      <c r="BA162" s="1168"/>
      <c r="BB162" s="1166"/>
      <c r="BC162" s="1166"/>
      <c r="BD162" s="886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1168"/>
      <c r="AG163" s="1166"/>
      <c r="AH163" s="1166"/>
      <c r="AI163" s="886"/>
      <c r="AJ163" s="27"/>
      <c r="AK163" s="27"/>
      <c r="AL163" s="27"/>
      <c r="AM163" s="1168"/>
      <c r="AN163" s="1167"/>
      <c r="AO163" s="1167"/>
      <c r="AP163" s="886"/>
      <c r="AQ163" s="27"/>
      <c r="AR163" s="27"/>
      <c r="AS163" s="27"/>
      <c r="AT163" s="1168"/>
      <c r="AU163" s="1166"/>
      <c r="AV163" s="1166"/>
      <c r="AW163" s="886"/>
      <c r="AX163" s="27"/>
      <c r="AY163" s="27"/>
      <c r="AZ163" s="27"/>
      <c r="BA163" s="1168"/>
      <c r="BB163" s="1166"/>
      <c r="BC163" s="1166"/>
      <c r="BD163" s="886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1168"/>
      <c r="AG164" s="1166"/>
      <c r="AH164" s="1166"/>
      <c r="AI164" s="886"/>
      <c r="AJ164" s="27"/>
      <c r="AK164" s="27"/>
      <c r="AL164" s="27"/>
      <c r="AM164" s="1168"/>
      <c r="AN164" s="1167"/>
      <c r="AO164" s="1167"/>
      <c r="AP164" s="886"/>
      <c r="AQ164" s="27"/>
      <c r="AR164" s="27"/>
      <c r="AS164" s="27"/>
      <c r="AT164" s="1168"/>
      <c r="AU164" s="1166"/>
      <c r="AV164" s="1166"/>
      <c r="AW164" s="886"/>
      <c r="AX164" s="27"/>
      <c r="AY164" s="27"/>
      <c r="AZ164" s="27"/>
      <c r="BA164" s="1168"/>
      <c r="BB164" s="1166"/>
      <c r="BC164" s="1166"/>
      <c r="BD164" s="886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1168"/>
      <c r="AG165" s="1166"/>
      <c r="AH165" s="1166"/>
      <c r="AI165" s="886"/>
      <c r="AJ165" s="27"/>
      <c r="AK165" s="27"/>
      <c r="AL165" s="27"/>
      <c r="AM165" s="1168"/>
      <c r="AN165" s="1167"/>
      <c r="AO165" s="1167"/>
      <c r="AP165" s="886"/>
      <c r="AQ165" s="27"/>
      <c r="AR165" s="27"/>
      <c r="AS165" s="27"/>
      <c r="AT165" s="1168"/>
      <c r="AU165" s="1166"/>
      <c r="AV165" s="1166"/>
      <c r="AW165" s="886"/>
      <c r="AX165" s="27"/>
      <c r="AY165" s="27"/>
      <c r="AZ165" s="27"/>
      <c r="BA165" s="1168"/>
      <c r="BB165" s="1166"/>
      <c r="BC165" s="1166"/>
      <c r="BD165" s="886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1168"/>
      <c r="AG166" s="1166"/>
      <c r="AH166" s="1166"/>
      <c r="AI166" s="886"/>
      <c r="AJ166" s="27"/>
      <c r="AK166" s="27"/>
      <c r="AL166" s="27"/>
      <c r="AM166" s="1168"/>
      <c r="AN166" s="1167"/>
      <c r="AO166" s="1167"/>
      <c r="AP166" s="886"/>
      <c r="AQ166" s="27"/>
      <c r="AR166" s="27"/>
      <c r="AS166" s="27"/>
      <c r="AT166" s="1168"/>
      <c r="AU166" s="1166"/>
      <c r="AV166" s="1166"/>
      <c r="AW166" s="886"/>
      <c r="AX166" s="27"/>
      <c r="AY166" s="27"/>
      <c r="AZ166" s="27"/>
      <c r="BA166" s="1168"/>
      <c r="BB166" s="1166"/>
      <c r="BC166" s="1166"/>
      <c r="BD166" s="886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1168"/>
      <c r="AG167" s="1166"/>
      <c r="AH167" s="1166"/>
      <c r="AI167" s="886"/>
      <c r="AJ167" s="27"/>
      <c r="AK167" s="27"/>
      <c r="AL167" s="27"/>
      <c r="AM167" s="1168"/>
      <c r="AN167" s="1167"/>
      <c r="AO167" s="1167"/>
      <c r="AP167" s="886"/>
      <c r="AQ167" s="27"/>
      <c r="AR167" s="27"/>
      <c r="AS167" s="27"/>
      <c r="AT167" s="1168"/>
      <c r="AU167" s="1166"/>
      <c r="AV167" s="1166"/>
      <c r="AW167" s="886"/>
      <c r="AX167" s="27"/>
      <c r="AY167" s="27"/>
      <c r="AZ167" s="27"/>
      <c r="BA167" s="1168"/>
      <c r="BB167" s="1166"/>
      <c r="BC167" s="1166"/>
      <c r="BD167" s="886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1168"/>
      <c r="AG168" s="1166"/>
      <c r="AH168" s="1166"/>
      <c r="AI168" s="886"/>
      <c r="AJ168" s="27"/>
      <c r="AK168" s="27"/>
      <c r="AL168" s="27"/>
      <c r="AM168" s="1168"/>
      <c r="AN168" s="1167"/>
      <c r="AO168" s="1167"/>
      <c r="AP168" s="886"/>
      <c r="AQ168" s="27"/>
      <c r="AR168" s="27"/>
      <c r="AS168" s="27"/>
      <c r="AT168" s="1168"/>
      <c r="AU168" s="1166"/>
      <c r="AV168" s="1166"/>
      <c r="AW168" s="886"/>
      <c r="AX168" s="27"/>
      <c r="AY168" s="27"/>
      <c r="AZ168" s="27"/>
      <c r="BA168" s="1168"/>
      <c r="BB168" s="1166"/>
      <c r="BC168" s="1166"/>
      <c r="BD168" s="886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1168"/>
      <c r="AG169" s="1166"/>
      <c r="AH169" s="1166"/>
      <c r="AI169" s="886"/>
      <c r="AJ169" s="27"/>
      <c r="AK169" s="27"/>
      <c r="AL169" s="27"/>
      <c r="AM169" s="1168"/>
      <c r="AN169" s="1167"/>
      <c r="AO169" s="1167"/>
      <c r="AP169" s="886"/>
      <c r="AQ169" s="27"/>
      <c r="AR169" s="27"/>
      <c r="AS169" s="27"/>
      <c r="AT169" s="1168"/>
      <c r="AU169" s="1166"/>
      <c r="AV169" s="1166"/>
      <c r="AW169" s="886"/>
      <c r="AX169" s="27"/>
      <c r="AY169" s="27"/>
      <c r="AZ169" s="27"/>
      <c r="BA169" s="1168"/>
      <c r="BB169" s="1166"/>
      <c r="BC169" s="1166"/>
      <c r="BD169" s="886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1168"/>
      <c r="AG170" s="1166"/>
      <c r="AH170" s="1166"/>
      <c r="AI170" s="886"/>
      <c r="AJ170" s="27"/>
      <c r="AK170" s="27"/>
      <c r="AL170" s="27"/>
      <c r="AM170" s="1168"/>
      <c r="AN170" s="1167"/>
      <c r="AO170" s="1167"/>
      <c r="AP170" s="886"/>
      <c r="AQ170" s="27"/>
      <c r="AR170" s="27"/>
      <c r="AS170" s="27"/>
      <c r="AT170" s="1168"/>
      <c r="AU170" s="1166"/>
      <c r="AV170" s="1166"/>
      <c r="AW170" s="886"/>
      <c r="AX170" s="27"/>
      <c r="AY170" s="27"/>
      <c r="AZ170" s="27"/>
      <c r="BA170" s="1168"/>
      <c r="BB170" s="1166"/>
      <c r="BC170" s="1166"/>
      <c r="BD170" s="886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1168"/>
      <c r="AG171" s="1166"/>
      <c r="AH171" s="1166"/>
      <c r="AI171" s="886"/>
      <c r="AJ171" s="27"/>
      <c r="AK171" s="27"/>
      <c r="AL171" s="27"/>
      <c r="AM171" s="1168"/>
      <c r="AN171" s="1167"/>
      <c r="AO171" s="1167"/>
      <c r="AP171" s="886"/>
      <c r="AQ171" s="27"/>
      <c r="AR171" s="27"/>
      <c r="AS171" s="27"/>
      <c r="AT171" s="1168"/>
      <c r="AU171" s="1166"/>
      <c r="AV171" s="1166"/>
      <c r="AW171" s="886"/>
      <c r="AX171" s="27"/>
      <c r="AY171" s="27"/>
      <c r="AZ171" s="27"/>
      <c r="BA171" s="1168"/>
      <c r="BB171" s="1166"/>
      <c r="BC171" s="1166"/>
      <c r="BD171" s="886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1168"/>
      <c r="AG172" s="1166"/>
      <c r="AH172" s="1166"/>
      <c r="AI172" s="886"/>
      <c r="AJ172" s="27"/>
      <c r="AK172" s="27"/>
      <c r="AL172" s="27"/>
      <c r="AM172" s="1168"/>
      <c r="AN172" s="1167"/>
      <c r="AO172" s="1167"/>
      <c r="AP172" s="886"/>
      <c r="AQ172" s="27"/>
      <c r="AR172" s="27"/>
      <c r="AS172" s="27"/>
      <c r="AT172" s="1168"/>
      <c r="AU172" s="1166"/>
      <c r="AV172" s="1166"/>
      <c r="AW172" s="886"/>
      <c r="AX172" s="27"/>
      <c r="AY172" s="27"/>
      <c r="AZ172" s="27"/>
      <c r="BA172" s="1168"/>
      <c r="BB172" s="1166"/>
      <c r="BC172" s="1166"/>
      <c r="BD172" s="886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1168"/>
      <c r="AG173" s="1166"/>
      <c r="AH173" s="1166"/>
      <c r="AI173" s="886"/>
      <c r="AJ173" s="27"/>
      <c r="AK173" s="27"/>
      <c r="AL173" s="27"/>
      <c r="AM173" s="1168"/>
      <c r="AN173" s="1167"/>
      <c r="AO173" s="1167"/>
      <c r="AP173" s="886"/>
      <c r="AQ173" s="27"/>
      <c r="AR173" s="27"/>
      <c r="AS173" s="27"/>
      <c r="AT173" s="1168"/>
      <c r="AU173" s="1166"/>
      <c r="AV173" s="1166"/>
      <c r="AW173" s="886"/>
      <c r="AX173" s="27"/>
      <c r="AY173" s="27"/>
      <c r="AZ173" s="27"/>
      <c r="BA173" s="1168"/>
      <c r="BB173" s="1166"/>
      <c r="BC173" s="1166"/>
      <c r="BD173" s="886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1168"/>
      <c r="AG174" s="1166"/>
      <c r="AH174" s="1166"/>
      <c r="AI174" s="886"/>
      <c r="AJ174" s="27"/>
      <c r="AK174" s="27"/>
      <c r="AL174" s="27"/>
      <c r="AM174" s="1168"/>
      <c r="AN174" s="1167"/>
      <c r="AO174" s="1167"/>
      <c r="AP174" s="886"/>
      <c r="AQ174" s="27"/>
      <c r="AR174" s="27"/>
      <c r="AS174" s="27"/>
      <c r="AT174" s="1168"/>
      <c r="AU174" s="1166"/>
      <c r="AV174" s="1166"/>
      <c r="AW174" s="886"/>
      <c r="AX174" s="27"/>
      <c r="AY174" s="27"/>
      <c r="AZ174" s="27"/>
      <c r="BA174" s="1168"/>
      <c r="BB174" s="1166"/>
      <c r="BC174" s="1166"/>
      <c r="BD174" s="886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1168"/>
      <c r="AG175" s="1166"/>
      <c r="AH175" s="1166"/>
      <c r="AI175" s="886"/>
      <c r="AJ175" s="27"/>
      <c r="AK175" s="27"/>
      <c r="AL175" s="27"/>
      <c r="AM175" s="1168"/>
      <c r="AN175" s="1167"/>
      <c r="AO175" s="1167"/>
      <c r="AP175" s="886"/>
      <c r="AQ175" s="27"/>
      <c r="AR175" s="27"/>
      <c r="AS175" s="27"/>
      <c r="AT175" s="1168"/>
      <c r="AU175" s="1166"/>
      <c r="AV175" s="1166"/>
      <c r="AW175" s="886"/>
      <c r="AX175" s="27"/>
      <c r="AY175" s="27"/>
      <c r="AZ175" s="27"/>
      <c r="BA175" s="1168"/>
      <c r="BB175" s="1166"/>
      <c r="BC175" s="1166"/>
      <c r="BD175" s="886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1168"/>
      <c r="AG176" s="1166"/>
      <c r="AH176" s="1166"/>
      <c r="AI176" s="886"/>
      <c r="AJ176" s="27"/>
      <c r="AK176" s="27"/>
      <c r="AL176" s="27"/>
      <c r="AM176" s="1168"/>
      <c r="AN176" s="1167"/>
      <c r="AO176" s="1167"/>
      <c r="AP176" s="886"/>
      <c r="AQ176" s="27"/>
      <c r="AR176" s="27"/>
      <c r="AS176" s="27"/>
      <c r="AT176" s="1168"/>
      <c r="AU176" s="1166"/>
      <c r="AV176" s="1166"/>
      <c r="AW176" s="886"/>
      <c r="AX176" s="27"/>
      <c r="AY176" s="27"/>
      <c r="AZ176" s="27"/>
      <c r="BA176" s="1168"/>
      <c r="BB176" s="1166"/>
      <c r="BC176" s="1166"/>
      <c r="BD176" s="886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1168"/>
      <c r="AG177" s="1166"/>
      <c r="AH177" s="1166"/>
      <c r="AI177" s="886"/>
      <c r="AJ177" s="27"/>
      <c r="AK177" s="27"/>
      <c r="AL177" s="27"/>
      <c r="AM177" s="1168"/>
      <c r="AN177" s="1167"/>
      <c r="AO177" s="1167"/>
      <c r="AP177" s="886"/>
      <c r="AQ177" s="27"/>
      <c r="AR177" s="27"/>
      <c r="AS177" s="27"/>
      <c r="AT177" s="1168"/>
      <c r="AU177" s="1166"/>
      <c r="AV177" s="1166"/>
      <c r="AW177" s="886"/>
      <c r="AX177" s="27"/>
      <c r="AY177" s="27"/>
      <c r="AZ177" s="27"/>
      <c r="BA177" s="1168"/>
      <c r="BB177" s="1166"/>
      <c r="BC177" s="1166"/>
      <c r="BD177" s="886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1168"/>
      <c r="AG178" s="1166"/>
      <c r="AH178" s="1166"/>
      <c r="AI178" s="886"/>
      <c r="AJ178" s="27"/>
      <c r="AK178" s="27"/>
      <c r="AL178" s="27"/>
      <c r="AM178" s="1168"/>
      <c r="AN178" s="1167"/>
      <c r="AO178" s="1167"/>
      <c r="AP178" s="886"/>
      <c r="AQ178" s="27"/>
      <c r="AR178" s="27"/>
      <c r="AS178" s="27"/>
      <c r="AT178" s="1168"/>
      <c r="AU178" s="1166"/>
      <c r="AV178" s="1166"/>
      <c r="AW178" s="886"/>
      <c r="AX178" s="27"/>
      <c r="AY178" s="27"/>
      <c r="AZ178" s="27"/>
      <c r="BA178" s="1168"/>
      <c r="BB178" s="1166"/>
      <c r="BC178" s="1166"/>
      <c r="BD178" s="886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1168"/>
      <c r="AG179" s="1166"/>
      <c r="AH179" s="1166"/>
      <c r="AI179" s="886"/>
      <c r="AJ179" s="27"/>
      <c r="AK179" s="27"/>
      <c r="AL179" s="27"/>
      <c r="AM179" s="1168"/>
      <c r="AN179" s="1167"/>
      <c r="AO179" s="1167"/>
      <c r="AP179" s="886"/>
      <c r="AQ179" s="27"/>
      <c r="AR179" s="27"/>
      <c r="AS179" s="27"/>
      <c r="AT179" s="1168"/>
      <c r="AU179" s="1166"/>
      <c r="AV179" s="1166"/>
      <c r="AW179" s="886"/>
      <c r="AX179" s="27"/>
      <c r="AY179" s="27"/>
      <c r="AZ179" s="27"/>
      <c r="BA179" s="1168"/>
      <c r="BB179" s="1166"/>
      <c r="BC179" s="1166"/>
      <c r="BD179" s="886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1168"/>
      <c r="AG180" s="1166"/>
      <c r="AH180" s="1166"/>
      <c r="AI180" s="886"/>
      <c r="AJ180" s="27"/>
      <c r="AK180" s="27"/>
      <c r="AL180" s="27"/>
      <c r="AM180" s="1168"/>
      <c r="AN180" s="1167"/>
      <c r="AO180" s="1167"/>
      <c r="AP180" s="886"/>
      <c r="AQ180" s="27"/>
      <c r="AR180" s="27"/>
      <c r="AS180" s="27"/>
      <c r="AT180" s="1168"/>
      <c r="AU180" s="1166"/>
      <c r="AV180" s="1166"/>
      <c r="AW180" s="886"/>
      <c r="AX180" s="27"/>
      <c r="AY180" s="27"/>
      <c r="AZ180" s="27"/>
      <c r="BA180" s="1168"/>
      <c r="BB180" s="1166"/>
      <c r="BC180" s="1166"/>
      <c r="BD180" s="886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1168"/>
      <c r="AG181" s="1166"/>
      <c r="AH181" s="1166"/>
      <c r="AI181" s="886"/>
      <c r="AJ181" s="27"/>
      <c r="AK181" s="27"/>
      <c r="AL181" s="27"/>
      <c r="AM181" s="1168"/>
      <c r="AN181" s="1167"/>
      <c r="AO181" s="1167"/>
      <c r="AP181" s="886"/>
      <c r="AQ181" s="27"/>
      <c r="AR181" s="27"/>
      <c r="AS181" s="27"/>
      <c r="AT181" s="1168"/>
      <c r="AU181" s="1166"/>
      <c r="AV181" s="1166"/>
      <c r="AW181" s="886"/>
      <c r="AX181" s="27"/>
      <c r="AY181" s="27"/>
      <c r="AZ181" s="27"/>
      <c r="BA181" s="1168"/>
      <c r="BB181" s="1166"/>
      <c r="BC181" s="1166"/>
      <c r="BD181" s="886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1168"/>
      <c r="AG182" s="1166"/>
      <c r="AH182" s="1166"/>
      <c r="AI182" s="886"/>
      <c r="AJ182" s="27"/>
      <c r="AK182" s="27"/>
      <c r="AL182" s="27"/>
      <c r="AM182" s="1168"/>
      <c r="AN182" s="1167"/>
      <c r="AO182" s="1167"/>
      <c r="AP182" s="886"/>
      <c r="AQ182" s="27"/>
      <c r="AR182" s="27"/>
      <c r="AS182" s="27"/>
      <c r="AT182" s="1168"/>
      <c r="AU182" s="1166"/>
      <c r="AV182" s="1166"/>
      <c r="AW182" s="886"/>
      <c r="AX182" s="27"/>
      <c r="AY182" s="27"/>
      <c r="AZ182" s="27"/>
      <c r="BA182" s="1168"/>
      <c r="BB182" s="1166"/>
      <c r="BC182" s="1166"/>
      <c r="BD182" s="886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1168"/>
      <c r="AG183" s="1166"/>
      <c r="AH183" s="1166"/>
      <c r="AI183" s="886"/>
      <c r="AJ183" s="27"/>
      <c r="AK183" s="27"/>
      <c r="AL183" s="27"/>
      <c r="AM183" s="1168"/>
      <c r="AN183" s="1167"/>
      <c r="AO183" s="1167"/>
      <c r="AP183" s="886"/>
      <c r="AQ183" s="27"/>
      <c r="AR183" s="27"/>
      <c r="AS183" s="27"/>
      <c r="AT183" s="1168"/>
      <c r="AU183" s="1166"/>
      <c r="AV183" s="1166"/>
      <c r="AW183" s="886"/>
      <c r="AX183" s="27"/>
      <c r="AY183" s="27"/>
      <c r="AZ183" s="27"/>
      <c r="BA183" s="1168"/>
      <c r="BB183" s="1166"/>
      <c r="BC183" s="1166"/>
      <c r="BD183" s="886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1168"/>
      <c r="AG184" s="1166"/>
      <c r="AH184" s="1166"/>
      <c r="AI184" s="886"/>
      <c r="AJ184" s="27"/>
      <c r="AK184" s="27"/>
      <c r="AL184" s="27"/>
      <c r="AM184" s="1168"/>
      <c r="AN184" s="1167"/>
      <c r="AO184" s="1167"/>
      <c r="AP184" s="886"/>
      <c r="AQ184" s="27"/>
      <c r="AR184" s="27"/>
      <c r="AS184" s="27"/>
      <c r="AT184" s="1168"/>
      <c r="AU184" s="1166"/>
      <c r="AV184" s="1166"/>
      <c r="AW184" s="886"/>
      <c r="AX184" s="27"/>
      <c r="AY184" s="27"/>
      <c r="AZ184" s="27"/>
      <c r="BA184" s="1168"/>
      <c r="BB184" s="1166"/>
      <c r="BC184" s="1166"/>
      <c r="BD184" s="886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1168"/>
      <c r="AG185" s="1166"/>
      <c r="AH185" s="1166"/>
      <c r="AI185" s="886"/>
      <c r="AJ185" s="27"/>
      <c r="AK185" s="27"/>
      <c r="AL185" s="27"/>
      <c r="AM185" s="1168"/>
      <c r="AN185" s="1167"/>
      <c r="AO185" s="1167"/>
      <c r="AP185" s="886"/>
      <c r="AQ185" s="27"/>
      <c r="AR185" s="27"/>
      <c r="AS185" s="27"/>
      <c r="AT185" s="1168"/>
      <c r="AU185" s="1166"/>
      <c r="AV185" s="1166"/>
      <c r="AW185" s="886"/>
      <c r="AX185" s="27"/>
      <c r="AY185" s="27"/>
      <c r="AZ185" s="27"/>
      <c r="BA185" s="1168"/>
      <c r="BB185" s="1166"/>
      <c r="BC185" s="1166"/>
      <c r="BD185" s="886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1168"/>
      <c r="AG186" s="1166"/>
      <c r="AH186" s="1166"/>
      <c r="AI186" s="886"/>
      <c r="AJ186" s="27"/>
      <c r="AK186" s="27"/>
      <c r="AL186" s="27"/>
      <c r="AM186" s="1168"/>
      <c r="AN186" s="1167"/>
      <c r="AO186" s="1167"/>
      <c r="AP186" s="886"/>
      <c r="AQ186" s="27"/>
      <c r="AR186" s="27"/>
      <c r="AS186" s="27"/>
      <c r="AT186" s="1168"/>
      <c r="AU186" s="1166"/>
      <c r="AV186" s="1166"/>
      <c r="AW186" s="886"/>
      <c r="AX186" s="27"/>
      <c r="AY186" s="27"/>
      <c r="AZ186" s="27"/>
      <c r="BA186" s="1168"/>
      <c r="BB186" s="1166"/>
      <c r="BC186" s="1166"/>
      <c r="BD186" s="886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1168"/>
      <c r="AG187" s="1166"/>
      <c r="AH187" s="1166"/>
      <c r="AI187" s="886"/>
      <c r="AJ187" s="27"/>
      <c r="AK187" s="27"/>
      <c r="AL187" s="27"/>
      <c r="AM187" s="1168"/>
      <c r="AN187" s="1167"/>
      <c r="AO187" s="1167"/>
      <c r="AP187" s="886"/>
      <c r="AQ187" s="27"/>
      <c r="AR187" s="27"/>
      <c r="AS187" s="27"/>
      <c r="AT187" s="1168"/>
      <c r="AU187" s="1166"/>
      <c r="AV187" s="1166"/>
      <c r="AW187" s="886"/>
      <c r="AX187" s="27"/>
      <c r="AY187" s="27"/>
      <c r="AZ187" s="27"/>
      <c r="BA187" s="1168"/>
      <c r="BB187" s="1166"/>
      <c r="BC187" s="1166"/>
      <c r="BD187" s="886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1168"/>
      <c r="AG188" s="1166"/>
      <c r="AH188" s="1166"/>
      <c r="AI188" s="886"/>
      <c r="AJ188" s="27"/>
      <c r="AK188" s="27"/>
      <c r="AL188" s="27"/>
      <c r="AM188" s="1168"/>
      <c r="AN188" s="1167"/>
      <c r="AO188" s="1167"/>
      <c r="AP188" s="886"/>
      <c r="AQ188" s="27"/>
      <c r="AR188" s="27"/>
      <c r="AS188" s="27"/>
      <c r="AT188" s="1168"/>
      <c r="AU188" s="1166"/>
      <c r="AV188" s="1166"/>
      <c r="AW188" s="886"/>
      <c r="AX188" s="27"/>
      <c r="AY188" s="27"/>
      <c r="AZ188" s="27"/>
      <c r="BA188" s="1168"/>
      <c r="BB188" s="1166"/>
      <c r="BC188" s="1166"/>
      <c r="BD188" s="886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1168"/>
      <c r="AG189" s="1166"/>
      <c r="AH189" s="1166"/>
      <c r="AI189" s="886"/>
      <c r="AJ189" s="27"/>
      <c r="AK189" s="27"/>
      <c r="AL189" s="27"/>
      <c r="AM189" s="1168"/>
      <c r="AN189" s="1167"/>
      <c r="AO189" s="1167"/>
      <c r="AP189" s="886"/>
      <c r="AQ189" s="27"/>
      <c r="AR189" s="27"/>
      <c r="AS189" s="27"/>
      <c r="AT189" s="1168"/>
      <c r="AU189" s="1166"/>
      <c r="AV189" s="1166"/>
      <c r="AW189" s="886"/>
      <c r="AX189" s="27"/>
      <c r="AY189" s="27"/>
      <c r="AZ189" s="27"/>
      <c r="BA189" s="1168"/>
      <c r="BB189" s="1166"/>
      <c r="BC189" s="1166"/>
      <c r="BD189" s="886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1168"/>
      <c r="AG190" s="1166"/>
      <c r="AH190" s="1166"/>
      <c r="AI190" s="886"/>
      <c r="AJ190" s="27"/>
      <c r="AK190" s="27"/>
      <c r="AL190" s="27"/>
      <c r="AM190" s="1168"/>
      <c r="AN190" s="1167"/>
      <c r="AO190" s="1167"/>
      <c r="AP190" s="886"/>
      <c r="AQ190" s="27"/>
      <c r="AR190" s="27"/>
      <c r="AS190" s="27"/>
      <c r="AT190" s="1168"/>
      <c r="AU190" s="1166"/>
      <c r="AV190" s="1166"/>
      <c r="AW190" s="886"/>
      <c r="AX190" s="27"/>
      <c r="AY190" s="27"/>
      <c r="AZ190" s="27"/>
      <c r="BA190" s="1168"/>
      <c r="BB190" s="1166"/>
      <c r="BC190" s="1166"/>
      <c r="BD190" s="886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1168"/>
      <c r="AG191" s="1166"/>
      <c r="AH191" s="1166"/>
      <c r="AI191" s="886"/>
      <c r="AJ191" s="27"/>
      <c r="AK191" s="27"/>
      <c r="AL191" s="27"/>
      <c r="AM191" s="1168"/>
      <c r="AN191" s="1167"/>
      <c r="AO191" s="1167"/>
      <c r="AP191" s="886"/>
      <c r="AQ191" s="27"/>
      <c r="AR191" s="27"/>
      <c r="AS191" s="27"/>
      <c r="AT191" s="1168"/>
      <c r="AU191" s="1166"/>
      <c r="AV191" s="1166"/>
      <c r="AW191" s="886"/>
      <c r="AX191" s="27"/>
      <c r="AY191" s="27"/>
      <c r="AZ191" s="27"/>
      <c r="BA191" s="1168"/>
      <c r="BB191" s="1166"/>
      <c r="BC191" s="1166"/>
      <c r="BD191" s="886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1168"/>
      <c r="AG192" s="1166"/>
      <c r="AH192" s="1166"/>
      <c r="AI192" s="886"/>
      <c r="AJ192" s="27"/>
      <c r="AK192" s="27"/>
      <c r="AL192" s="27"/>
      <c r="AM192" s="1168"/>
      <c r="AN192" s="1167"/>
      <c r="AO192" s="1167"/>
      <c r="AP192" s="886"/>
      <c r="AQ192" s="27"/>
      <c r="AR192" s="27"/>
      <c r="AS192" s="27"/>
      <c r="AT192" s="1168"/>
      <c r="AU192" s="1166"/>
      <c r="AV192" s="1166"/>
      <c r="AW192" s="886"/>
      <c r="AX192" s="27"/>
      <c r="AY192" s="27"/>
      <c r="AZ192" s="27"/>
      <c r="BA192" s="1168"/>
      <c r="BB192" s="1166"/>
      <c r="BC192" s="1166"/>
      <c r="BD192" s="886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1168"/>
      <c r="AG193" s="1166"/>
      <c r="AH193" s="1166"/>
      <c r="AI193" s="886"/>
      <c r="AJ193" s="27"/>
      <c r="AK193" s="27"/>
      <c r="AL193" s="27"/>
      <c r="AM193" s="1168"/>
      <c r="AN193" s="1167"/>
      <c r="AO193" s="1167"/>
      <c r="AP193" s="886"/>
      <c r="AQ193" s="27"/>
      <c r="AR193" s="27"/>
      <c r="AS193" s="27"/>
      <c r="AT193" s="1168"/>
      <c r="AU193" s="1166"/>
      <c r="AV193" s="1166"/>
      <c r="AW193" s="886"/>
      <c r="AX193" s="27"/>
      <c r="AY193" s="27"/>
      <c r="AZ193" s="27"/>
      <c r="BA193" s="1168"/>
      <c r="BB193" s="1166"/>
      <c r="BC193" s="1166"/>
      <c r="BD193" s="886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1168"/>
      <c r="AG194" s="1166"/>
      <c r="AH194" s="1166"/>
      <c r="AI194" s="886"/>
      <c r="AJ194" s="27"/>
      <c r="AK194" s="27"/>
      <c r="AL194" s="27"/>
      <c r="AM194" s="1168"/>
      <c r="AN194" s="1167"/>
      <c r="AO194" s="1167"/>
      <c r="AP194" s="886"/>
      <c r="AQ194" s="27"/>
      <c r="AR194" s="27"/>
      <c r="AS194" s="27"/>
      <c r="AT194" s="1168"/>
      <c r="AU194" s="1166"/>
      <c r="AV194" s="1166"/>
      <c r="AW194" s="886"/>
      <c r="AX194" s="27"/>
      <c r="AY194" s="27"/>
      <c r="AZ194" s="27"/>
      <c r="BA194" s="1168"/>
      <c r="BB194" s="1166"/>
      <c r="BC194" s="1166"/>
      <c r="BD194" s="886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1168"/>
      <c r="AG195" s="1166"/>
      <c r="AH195" s="1166"/>
      <c r="AI195" s="886"/>
      <c r="AJ195" s="27"/>
      <c r="AK195" s="27"/>
      <c r="AL195" s="27"/>
      <c r="AM195" s="1168"/>
      <c r="AN195" s="1167"/>
      <c r="AO195" s="1167"/>
      <c r="AP195" s="886"/>
      <c r="AQ195" s="27"/>
      <c r="AR195" s="27"/>
      <c r="AS195" s="27"/>
      <c r="AT195" s="1168"/>
      <c r="AU195" s="1166"/>
      <c r="AV195" s="1166"/>
      <c r="AW195" s="886"/>
      <c r="AX195" s="27"/>
      <c r="AY195" s="27"/>
      <c r="AZ195" s="27"/>
      <c r="BA195" s="1168"/>
      <c r="BB195" s="1166"/>
      <c r="BC195" s="1166"/>
      <c r="BD195" s="886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1168"/>
      <c r="AG196" s="1166"/>
      <c r="AH196" s="1166"/>
      <c r="AI196" s="886"/>
      <c r="AJ196" s="27"/>
      <c r="AK196" s="27"/>
      <c r="AL196" s="27"/>
      <c r="AM196" s="1168"/>
      <c r="AN196" s="1167"/>
      <c r="AO196" s="1167"/>
      <c r="AP196" s="886"/>
      <c r="AQ196" s="27"/>
      <c r="AR196" s="27"/>
      <c r="AS196" s="27"/>
      <c r="AT196" s="1168"/>
      <c r="AU196" s="1166"/>
      <c r="AV196" s="1166"/>
      <c r="AW196" s="886"/>
      <c r="AX196" s="27"/>
      <c r="AY196" s="27"/>
      <c r="AZ196" s="27"/>
      <c r="BA196" s="1168"/>
      <c r="BB196" s="1166"/>
      <c r="BC196" s="1166"/>
      <c r="BD196" s="886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1168"/>
      <c r="AG197" s="1166"/>
      <c r="AH197" s="1166"/>
      <c r="AI197" s="886"/>
      <c r="AJ197" s="27"/>
      <c r="AK197" s="27"/>
      <c r="AL197" s="27"/>
      <c r="AM197" s="1168"/>
      <c r="AN197" s="1167"/>
      <c r="AO197" s="1167"/>
      <c r="AP197" s="886"/>
      <c r="AQ197" s="27"/>
      <c r="AR197" s="27"/>
      <c r="AS197" s="27"/>
      <c r="AT197" s="1168"/>
      <c r="AU197" s="1166"/>
      <c r="AV197" s="1166"/>
      <c r="AW197" s="886"/>
      <c r="AX197" s="27"/>
      <c r="AY197" s="27"/>
      <c r="AZ197" s="27"/>
      <c r="BA197" s="1168"/>
      <c r="BB197" s="1166"/>
      <c r="BC197" s="1166"/>
      <c r="BD197" s="886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1168"/>
      <c r="AG198" s="1166"/>
      <c r="AH198" s="1166"/>
      <c r="AI198" s="886"/>
      <c r="AJ198" s="27"/>
      <c r="AK198" s="27"/>
      <c r="AL198" s="27"/>
      <c r="AM198" s="1168"/>
      <c r="AN198" s="1167"/>
      <c r="AO198" s="1167"/>
      <c r="AP198" s="886"/>
      <c r="AQ198" s="27"/>
      <c r="AR198" s="27"/>
      <c r="AS198" s="27"/>
      <c r="AT198" s="1168"/>
      <c r="AU198" s="1166"/>
      <c r="AV198" s="1166"/>
      <c r="AW198" s="886"/>
      <c r="AX198" s="27"/>
      <c r="AY198" s="27"/>
      <c r="AZ198" s="27"/>
      <c r="BA198" s="1168"/>
      <c r="BB198" s="1166"/>
      <c r="BC198" s="1166"/>
      <c r="BD198" s="886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1168"/>
      <c r="AG199" s="1166"/>
      <c r="AH199" s="1166"/>
      <c r="AI199" s="886"/>
      <c r="AJ199" s="27"/>
      <c r="AK199" s="27"/>
      <c r="AL199" s="27"/>
      <c r="AM199" s="1168"/>
      <c r="AN199" s="1167"/>
      <c r="AO199" s="1167"/>
      <c r="AP199" s="886"/>
      <c r="AQ199" s="27"/>
      <c r="AR199" s="27"/>
      <c r="AS199" s="27"/>
      <c r="AT199" s="1168"/>
      <c r="AU199" s="1166"/>
      <c r="AV199" s="1166"/>
      <c r="AW199" s="886"/>
      <c r="AX199" s="27"/>
      <c r="AY199" s="27"/>
      <c r="AZ199" s="27"/>
      <c r="BA199" s="1168"/>
      <c r="BB199" s="1166"/>
      <c r="BC199" s="1166"/>
      <c r="BD199" s="886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1168"/>
      <c r="AG200" s="1166"/>
      <c r="AH200" s="1166"/>
      <c r="AI200" s="886"/>
      <c r="AJ200" s="27"/>
      <c r="AK200" s="27"/>
      <c r="AL200" s="27"/>
      <c r="AM200" s="1168"/>
      <c r="AN200" s="1167"/>
      <c r="AO200" s="1167"/>
      <c r="AP200" s="886"/>
      <c r="AQ200" s="27"/>
      <c r="AR200" s="27"/>
      <c r="AS200" s="27"/>
      <c r="AT200" s="1168"/>
      <c r="AU200" s="1166"/>
      <c r="AV200" s="1166"/>
      <c r="AW200" s="886"/>
      <c r="AX200" s="27"/>
      <c r="AY200" s="27"/>
      <c r="AZ200" s="27"/>
      <c r="BA200" s="1168"/>
      <c r="BB200" s="1166"/>
      <c r="BC200" s="1166"/>
      <c r="BD200" s="886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1168"/>
      <c r="AG201" s="1166"/>
      <c r="AH201" s="1166"/>
      <c r="AI201" s="886"/>
      <c r="AJ201" s="27"/>
      <c r="AK201" s="27"/>
      <c r="AL201" s="27"/>
      <c r="AM201" s="1168"/>
      <c r="AN201" s="1167"/>
      <c r="AO201" s="1167"/>
      <c r="AP201" s="886"/>
      <c r="AQ201" s="27"/>
      <c r="AR201" s="27"/>
      <c r="AS201" s="27"/>
      <c r="AT201" s="1168"/>
      <c r="AU201" s="1166"/>
      <c r="AV201" s="1166"/>
      <c r="AW201" s="886"/>
      <c r="AX201" s="27"/>
      <c r="AY201" s="27"/>
      <c r="AZ201" s="27"/>
      <c r="BA201" s="1168"/>
      <c r="BB201" s="1166"/>
      <c r="BC201" s="1166"/>
      <c r="BD201" s="886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1168"/>
      <c r="AG202" s="1166"/>
      <c r="AH202" s="1166"/>
      <c r="AI202" s="886"/>
      <c r="AJ202" s="27"/>
      <c r="AK202" s="27"/>
      <c r="AL202" s="27"/>
      <c r="AM202" s="1168"/>
      <c r="AN202" s="1167"/>
      <c r="AO202" s="1167"/>
      <c r="AP202" s="886"/>
      <c r="AQ202" s="27"/>
      <c r="AR202" s="27"/>
      <c r="AS202" s="27"/>
      <c r="AT202" s="1168"/>
      <c r="AU202" s="1166"/>
      <c r="AV202" s="1166"/>
      <c r="AW202" s="886"/>
      <c r="AX202" s="27"/>
      <c r="AY202" s="27"/>
      <c r="AZ202" s="27"/>
      <c r="BA202" s="1168"/>
      <c r="BB202" s="1166"/>
      <c r="BC202" s="1166"/>
      <c r="BD202" s="886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1168"/>
      <c r="AG203" s="1166"/>
      <c r="AH203" s="1166"/>
      <c r="AI203" s="886"/>
      <c r="AJ203" s="27"/>
      <c r="AK203" s="27"/>
      <c r="AL203" s="27"/>
      <c r="AM203" s="1168"/>
      <c r="AN203" s="1167"/>
      <c r="AO203" s="1167"/>
      <c r="AP203" s="886"/>
      <c r="AQ203" s="27"/>
      <c r="AR203" s="27"/>
      <c r="AS203" s="27"/>
      <c r="AT203" s="1168"/>
      <c r="AU203" s="1166"/>
      <c r="AV203" s="1166"/>
      <c r="AW203" s="886"/>
      <c r="AX203" s="27"/>
      <c r="AY203" s="27"/>
      <c r="AZ203" s="27"/>
      <c r="BA203" s="1168"/>
      <c r="BB203" s="1166"/>
      <c r="BC203" s="1166"/>
      <c r="BD203" s="886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1168"/>
      <c r="AG204" s="1166"/>
      <c r="AH204" s="1166"/>
      <c r="AI204" s="886"/>
      <c r="AJ204" s="27"/>
      <c r="AK204" s="27"/>
      <c r="AL204" s="27"/>
      <c r="AM204" s="1168"/>
      <c r="AN204" s="1167"/>
      <c r="AO204" s="1167"/>
      <c r="AP204" s="886"/>
      <c r="AQ204" s="27"/>
      <c r="AR204" s="27"/>
      <c r="AS204" s="27"/>
      <c r="AT204" s="1168"/>
      <c r="AU204" s="1166"/>
      <c r="AV204" s="1166"/>
      <c r="AW204" s="886"/>
      <c r="AX204" s="27"/>
      <c r="AY204" s="27"/>
      <c r="AZ204" s="27"/>
      <c r="BA204" s="1168"/>
      <c r="BB204" s="1166"/>
      <c r="BC204" s="1166"/>
      <c r="BD204" s="886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1168"/>
      <c r="AG205" s="1166"/>
      <c r="AH205" s="1166"/>
      <c r="AI205" s="886"/>
      <c r="AJ205" s="27"/>
      <c r="AK205" s="27"/>
      <c r="AL205" s="27"/>
      <c r="AM205" s="1168"/>
      <c r="AN205" s="1167"/>
      <c r="AO205" s="1167"/>
      <c r="AP205" s="886"/>
      <c r="AQ205" s="27"/>
      <c r="AR205" s="27"/>
      <c r="AS205" s="27"/>
      <c r="AT205" s="1168"/>
      <c r="AU205" s="1166"/>
      <c r="AV205" s="1166"/>
      <c r="AW205" s="886"/>
      <c r="AX205" s="27"/>
      <c r="AY205" s="27"/>
      <c r="AZ205" s="27"/>
      <c r="BA205" s="1168"/>
      <c r="BB205" s="1166"/>
      <c r="BC205" s="1166"/>
      <c r="BD205" s="886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1168"/>
      <c r="AG206" s="1166"/>
      <c r="AH206" s="1166"/>
      <c r="AI206" s="886"/>
      <c r="AJ206" s="27"/>
      <c r="AK206" s="27"/>
      <c r="AL206" s="27"/>
      <c r="AM206" s="1168"/>
      <c r="AN206" s="1167"/>
      <c r="AO206" s="1167"/>
      <c r="AP206" s="886"/>
      <c r="AQ206" s="27"/>
      <c r="AR206" s="27"/>
      <c r="AS206" s="27"/>
      <c r="AT206" s="1168"/>
      <c r="AU206" s="1166"/>
      <c r="AV206" s="1166"/>
      <c r="AW206" s="886"/>
      <c r="AX206" s="27"/>
      <c r="AY206" s="27"/>
      <c r="AZ206" s="27"/>
      <c r="BA206" s="1168"/>
      <c r="BB206" s="1166"/>
      <c r="BC206" s="1166"/>
      <c r="BD206" s="886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1168"/>
      <c r="AG207" s="1166"/>
      <c r="AH207" s="1166"/>
      <c r="AI207" s="886"/>
      <c r="AJ207" s="27"/>
      <c r="AK207" s="27"/>
      <c r="AL207" s="27"/>
      <c r="AM207" s="1168"/>
      <c r="AN207" s="1167"/>
      <c r="AO207" s="1167"/>
      <c r="AP207" s="886"/>
      <c r="AQ207" s="27"/>
      <c r="AR207" s="27"/>
      <c r="AS207" s="27"/>
      <c r="AT207" s="1168"/>
      <c r="AU207" s="1166"/>
      <c r="AV207" s="1166"/>
      <c r="AW207" s="886"/>
      <c r="AX207" s="27"/>
      <c r="AY207" s="27"/>
      <c r="AZ207" s="27"/>
      <c r="BA207" s="1168"/>
      <c r="BB207" s="1166"/>
      <c r="BC207" s="1166"/>
      <c r="BD207" s="886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1168"/>
      <c r="AG208" s="1166"/>
      <c r="AH208" s="1166"/>
      <c r="AI208" s="886"/>
      <c r="AJ208" s="27"/>
      <c r="AK208" s="27"/>
      <c r="AL208" s="27"/>
      <c r="AM208" s="1168"/>
      <c r="AN208" s="1167"/>
      <c r="AO208" s="1167"/>
      <c r="AP208" s="886"/>
      <c r="AQ208" s="27"/>
      <c r="AR208" s="27"/>
      <c r="AS208" s="27"/>
      <c r="AT208" s="1168"/>
      <c r="AU208" s="1166"/>
      <c r="AV208" s="1166"/>
      <c r="AW208" s="886"/>
      <c r="AX208" s="27"/>
      <c r="AY208" s="27"/>
      <c r="AZ208" s="27"/>
      <c r="BA208" s="1168"/>
      <c r="BB208" s="1166"/>
      <c r="BC208" s="1166"/>
      <c r="BD208" s="886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1168"/>
      <c r="AG209" s="1166"/>
      <c r="AH209" s="1166"/>
      <c r="AI209" s="886"/>
      <c r="AJ209" s="27"/>
      <c r="AK209" s="27"/>
      <c r="AL209" s="27"/>
      <c r="AM209" s="1168"/>
      <c r="AN209" s="1167"/>
      <c r="AO209" s="1167"/>
      <c r="AP209" s="886"/>
      <c r="AQ209" s="27"/>
      <c r="AR209" s="27"/>
      <c r="AS209" s="27"/>
      <c r="AT209" s="1168"/>
      <c r="AU209" s="1166"/>
      <c r="AV209" s="1166"/>
      <c r="AW209" s="886"/>
      <c r="AX209" s="27"/>
      <c r="AY209" s="27"/>
      <c r="AZ209" s="27"/>
      <c r="BA209" s="1168"/>
      <c r="BB209" s="1166"/>
      <c r="BC209" s="1166"/>
      <c r="BD209" s="886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1168"/>
      <c r="AG210" s="1166"/>
      <c r="AH210" s="1166"/>
      <c r="AI210" s="886"/>
      <c r="AJ210" s="27"/>
      <c r="AK210" s="27"/>
      <c r="AL210" s="27"/>
      <c r="AM210" s="1168"/>
      <c r="AN210" s="1167"/>
      <c r="AO210" s="1167"/>
      <c r="AP210" s="886"/>
      <c r="AQ210" s="27"/>
      <c r="AR210" s="27"/>
      <c r="AS210" s="27"/>
      <c r="AT210" s="1168"/>
      <c r="AU210" s="1166"/>
      <c r="AV210" s="1166"/>
      <c r="AW210" s="886"/>
      <c r="AX210" s="27"/>
      <c r="AY210" s="27"/>
      <c r="AZ210" s="27"/>
      <c r="BA210" s="1168"/>
      <c r="BB210" s="1166"/>
      <c r="BC210" s="1166"/>
      <c r="BD210" s="886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1168"/>
      <c r="AG211" s="1166"/>
      <c r="AH211" s="1166"/>
      <c r="AI211" s="886"/>
      <c r="AJ211" s="27"/>
      <c r="AK211" s="27"/>
      <c r="AL211" s="27"/>
      <c r="AM211" s="1168"/>
      <c r="AN211" s="1167"/>
      <c r="AO211" s="1167"/>
      <c r="AP211" s="886"/>
      <c r="AQ211" s="27"/>
      <c r="AR211" s="27"/>
      <c r="AS211" s="27"/>
      <c r="AT211" s="1168"/>
      <c r="AU211" s="1166"/>
      <c r="AV211" s="1166"/>
      <c r="AW211" s="886"/>
      <c r="AX211" s="27"/>
      <c r="AY211" s="27"/>
      <c r="AZ211" s="27"/>
      <c r="BA211" s="1168"/>
      <c r="BB211" s="1166"/>
      <c r="BC211" s="1166"/>
      <c r="BD211" s="886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1168"/>
      <c r="AG212" s="1166"/>
      <c r="AH212" s="1166"/>
      <c r="AI212" s="886"/>
      <c r="AJ212" s="27"/>
      <c r="AK212" s="27"/>
      <c r="AL212" s="27"/>
      <c r="AM212" s="1168"/>
      <c r="AN212" s="1167"/>
      <c r="AO212" s="1167"/>
      <c r="AP212" s="886"/>
      <c r="AQ212" s="27"/>
      <c r="AR212" s="27"/>
      <c r="AS212" s="27"/>
      <c r="AT212" s="1168"/>
      <c r="AU212" s="1166"/>
      <c r="AV212" s="1166"/>
      <c r="AW212" s="886"/>
      <c r="AX212" s="27"/>
      <c r="AY212" s="27"/>
      <c r="AZ212" s="27"/>
      <c r="BA212" s="1168"/>
      <c r="BB212" s="1166"/>
      <c r="BC212" s="1166"/>
      <c r="BD212" s="886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1168"/>
      <c r="AG213" s="1166"/>
      <c r="AH213" s="1166"/>
      <c r="AI213" s="886"/>
      <c r="AJ213" s="27"/>
      <c r="AK213" s="27"/>
      <c r="AL213" s="27"/>
      <c r="AM213" s="1168"/>
      <c r="AN213" s="1167"/>
      <c r="AO213" s="1167"/>
      <c r="AP213" s="886"/>
      <c r="AQ213" s="27"/>
      <c r="AR213" s="27"/>
      <c r="AS213" s="27"/>
      <c r="AT213" s="1168"/>
      <c r="AU213" s="1166"/>
      <c r="AV213" s="1166"/>
      <c r="AW213" s="886"/>
      <c r="AX213" s="27"/>
      <c r="AY213" s="27"/>
      <c r="AZ213" s="27"/>
      <c r="BA213" s="1168"/>
      <c r="BB213" s="1166"/>
      <c r="BC213" s="1166"/>
      <c r="BD213" s="886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1168"/>
      <c r="AG214" s="1166"/>
      <c r="AH214" s="1166"/>
      <c r="AI214" s="886"/>
      <c r="AJ214" s="27"/>
      <c r="AK214" s="27"/>
      <c r="AL214" s="27"/>
      <c r="AM214" s="1168"/>
      <c r="AN214" s="1167"/>
      <c r="AO214" s="1167"/>
      <c r="AP214" s="886"/>
      <c r="AQ214" s="27"/>
      <c r="AR214" s="27"/>
      <c r="AS214" s="27"/>
      <c r="AT214" s="1168"/>
      <c r="AU214" s="1166"/>
      <c r="AV214" s="1166"/>
      <c r="AW214" s="886"/>
      <c r="AX214" s="27"/>
      <c r="AY214" s="27"/>
      <c r="AZ214" s="27"/>
      <c r="BA214" s="1168"/>
      <c r="BB214" s="1166"/>
      <c r="BC214" s="1166"/>
      <c r="BD214" s="886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1168"/>
      <c r="AG215" s="1166"/>
      <c r="AH215" s="1166"/>
      <c r="AI215" s="886"/>
      <c r="AJ215" s="27"/>
      <c r="AK215" s="27"/>
      <c r="AL215" s="27"/>
      <c r="AM215" s="1168"/>
      <c r="AN215" s="1167"/>
      <c r="AO215" s="1167"/>
      <c r="AP215" s="886"/>
      <c r="AQ215" s="27"/>
      <c r="AR215" s="27"/>
      <c r="AS215" s="27"/>
      <c r="AT215" s="1168"/>
      <c r="AU215" s="1166"/>
      <c r="AV215" s="1166"/>
      <c r="AW215" s="886"/>
      <c r="AX215" s="27"/>
      <c r="AY215" s="27"/>
      <c r="AZ215" s="27"/>
      <c r="BA215" s="1168"/>
      <c r="BB215" s="1166"/>
      <c r="BC215" s="1166"/>
      <c r="BD215" s="886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1168"/>
      <c r="AG216" s="1166"/>
      <c r="AH216" s="1166"/>
      <c r="AI216" s="886"/>
      <c r="AJ216" s="27"/>
      <c r="AK216" s="27"/>
      <c r="AL216" s="27"/>
      <c r="AM216" s="1168"/>
      <c r="AN216" s="1167"/>
      <c r="AO216" s="1167"/>
      <c r="AP216" s="886"/>
      <c r="AQ216" s="27"/>
      <c r="AR216" s="27"/>
      <c r="AS216" s="27"/>
      <c r="AT216" s="1168"/>
      <c r="AU216" s="1166"/>
      <c r="AV216" s="1166"/>
      <c r="AW216" s="886"/>
      <c r="AX216" s="27"/>
      <c r="AY216" s="27"/>
      <c r="AZ216" s="27"/>
      <c r="BA216" s="1168"/>
      <c r="BB216" s="1166"/>
      <c r="BC216" s="1166"/>
      <c r="BD216" s="886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1168"/>
      <c r="AG217" s="1166"/>
      <c r="AH217" s="1166"/>
      <c r="AI217" s="886"/>
      <c r="AJ217" s="27"/>
      <c r="AK217" s="27"/>
      <c r="AL217" s="27"/>
      <c r="AM217" s="1168"/>
      <c r="AN217" s="1167"/>
      <c r="AO217" s="1167"/>
      <c r="AP217" s="886"/>
      <c r="AQ217" s="27"/>
      <c r="AR217" s="27"/>
      <c r="AS217" s="27"/>
      <c r="AT217" s="1168"/>
      <c r="AU217" s="1166"/>
      <c r="AV217" s="1166"/>
      <c r="AW217" s="886"/>
      <c r="AX217" s="27"/>
      <c r="AY217" s="27"/>
      <c r="AZ217" s="27"/>
      <c r="BA217" s="1168"/>
      <c r="BB217" s="1166"/>
      <c r="BC217" s="1166"/>
      <c r="BD217" s="886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1168"/>
      <c r="AG218" s="1166"/>
      <c r="AH218" s="1166"/>
      <c r="AI218" s="886"/>
      <c r="AJ218" s="27"/>
      <c r="AK218" s="27"/>
      <c r="AL218" s="27"/>
      <c r="AM218" s="1168"/>
      <c r="AN218" s="1167"/>
      <c r="AO218" s="1167"/>
      <c r="AP218" s="886"/>
      <c r="AQ218" s="27"/>
      <c r="AR218" s="27"/>
      <c r="AS218" s="27"/>
      <c r="AT218" s="1168"/>
      <c r="AU218" s="1166"/>
      <c r="AV218" s="1166"/>
      <c r="AW218" s="886"/>
      <c r="AX218" s="27"/>
      <c r="AY218" s="27"/>
      <c r="AZ218" s="27"/>
      <c r="BA218" s="1168"/>
      <c r="BB218" s="1166"/>
      <c r="BC218" s="1166"/>
      <c r="BD218" s="886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1168"/>
      <c r="AG219" s="1166"/>
      <c r="AH219" s="1166"/>
      <c r="AI219" s="886"/>
      <c r="AJ219" s="27"/>
      <c r="AK219" s="27"/>
      <c r="AL219" s="27"/>
      <c r="AM219" s="1168"/>
      <c r="AN219" s="1167"/>
      <c r="AO219" s="1167"/>
      <c r="AP219" s="886"/>
      <c r="AQ219" s="27"/>
      <c r="AR219" s="27"/>
      <c r="AS219" s="27"/>
      <c r="AT219" s="1168"/>
      <c r="AU219" s="1166"/>
      <c r="AV219" s="1166"/>
      <c r="AW219" s="886"/>
      <c r="AX219" s="27"/>
      <c r="AY219" s="27"/>
      <c r="AZ219" s="27"/>
      <c r="BA219" s="1168"/>
      <c r="BB219" s="1166"/>
      <c r="BC219" s="1166"/>
      <c r="BD219" s="886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1168"/>
      <c r="AG220" s="1166"/>
      <c r="AH220" s="1166"/>
      <c r="AI220" s="886"/>
      <c r="AJ220" s="27"/>
      <c r="AK220" s="27"/>
      <c r="AL220" s="27"/>
      <c r="AM220" s="1168"/>
      <c r="AN220" s="1167"/>
      <c r="AO220" s="1167"/>
      <c r="AP220" s="886"/>
      <c r="AQ220" s="27"/>
      <c r="AR220" s="27"/>
      <c r="AS220" s="27"/>
      <c r="AT220" s="1168"/>
      <c r="AU220" s="1166"/>
      <c r="AV220" s="1166"/>
      <c r="AW220" s="886"/>
      <c r="AX220" s="27"/>
      <c r="AY220" s="27"/>
      <c r="AZ220" s="27"/>
      <c r="BA220" s="1168"/>
      <c r="BB220" s="1166"/>
      <c r="BC220" s="1166"/>
      <c r="BD220" s="886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1168"/>
      <c r="AG221" s="1166"/>
      <c r="AH221" s="1166"/>
      <c r="AI221" s="886"/>
      <c r="AJ221" s="27"/>
      <c r="AK221" s="27"/>
      <c r="AL221" s="27"/>
      <c r="AM221" s="1168"/>
      <c r="AN221" s="1167"/>
      <c r="AO221" s="1167"/>
      <c r="AP221" s="886"/>
      <c r="AQ221" s="27"/>
      <c r="AR221" s="27"/>
      <c r="AS221" s="27"/>
      <c r="AT221" s="1168"/>
      <c r="AU221" s="1166"/>
      <c r="AV221" s="1166"/>
      <c r="AW221" s="886"/>
      <c r="AX221" s="27"/>
      <c r="AY221" s="27"/>
      <c r="AZ221" s="27"/>
      <c r="BA221" s="1168"/>
      <c r="BB221" s="1166"/>
      <c r="BC221" s="1166"/>
      <c r="BD221" s="886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1168"/>
      <c r="AG222" s="1166"/>
      <c r="AH222" s="1166"/>
      <c r="AI222" s="886"/>
      <c r="AJ222" s="27"/>
      <c r="AK222" s="27"/>
      <c r="AL222" s="27"/>
      <c r="AM222" s="1168"/>
      <c r="AN222" s="1167"/>
      <c r="AO222" s="1167"/>
      <c r="AP222" s="886"/>
      <c r="AQ222" s="27"/>
      <c r="AR222" s="27"/>
      <c r="AS222" s="27"/>
      <c r="AT222" s="1168"/>
      <c r="AU222" s="1166"/>
      <c r="AV222" s="1166"/>
      <c r="AW222" s="886"/>
      <c r="AX222" s="27"/>
      <c r="AY222" s="27"/>
      <c r="AZ222" s="27"/>
      <c r="BA222" s="1168"/>
      <c r="BB222" s="1166"/>
      <c r="BC222" s="1166"/>
      <c r="BD222" s="886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1168"/>
      <c r="AG223" s="1166"/>
      <c r="AH223" s="1166"/>
      <c r="AI223" s="886"/>
      <c r="AJ223" s="27"/>
      <c r="AK223" s="27"/>
      <c r="AL223" s="27"/>
      <c r="AM223" s="1168"/>
      <c r="AN223" s="1167"/>
      <c r="AO223" s="1167"/>
      <c r="AP223" s="886"/>
      <c r="AQ223" s="27"/>
      <c r="AR223" s="27"/>
      <c r="AS223" s="27"/>
      <c r="AT223" s="1168"/>
      <c r="AU223" s="1166"/>
      <c r="AV223" s="1166"/>
      <c r="AW223" s="886"/>
      <c r="AX223" s="27"/>
      <c r="AY223" s="27"/>
      <c r="AZ223" s="27"/>
      <c r="BA223" s="1168"/>
      <c r="BB223" s="1166"/>
      <c r="BC223" s="1166"/>
      <c r="BD223" s="886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1168"/>
      <c r="AG224" s="1166"/>
      <c r="AH224" s="1166"/>
      <c r="AI224" s="886"/>
      <c r="AJ224" s="27"/>
      <c r="AK224" s="27"/>
      <c r="AL224" s="27"/>
      <c r="AM224" s="1168"/>
      <c r="AN224" s="1167"/>
      <c r="AO224" s="1167"/>
      <c r="AP224" s="886"/>
      <c r="AQ224" s="27"/>
      <c r="AR224" s="27"/>
      <c r="AS224" s="27"/>
      <c r="AT224" s="1168"/>
      <c r="AU224" s="1166"/>
      <c r="AV224" s="1166"/>
      <c r="AW224" s="886"/>
      <c r="AX224" s="27"/>
      <c r="AY224" s="27"/>
      <c r="AZ224" s="27"/>
      <c r="BA224" s="1168"/>
      <c r="BB224" s="1166"/>
      <c r="BC224" s="1166"/>
      <c r="BD224" s="886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1168"/>
      <c r="AG225" s="1166"/>
      <c r="AH225" s="1166"/>
      <c r="AI225" s="886"/>
      <c r="AJ225" s="27"/>
      <c r="AK225" s="27"/>
      <c r="AL225" s="27"/>
      <c r="AM225" s="1168"/>
      <c r="AN225" s="1167"/>
      <c r="AO225" s="1167"/>
      <c r="AP225" s="886"/>
      <c r="AQ225" s="27"/>
      <c r="AR225" s="27"/>
      <c r="AS225" s="27"/>
      <c r="AT225" s="1168"/>
      <c r="AU225" s="1166"/>
      <c r="AV225" s="1166"/>
      <c r="AW225" s="886"/>
      <c r="AX225" s="27"/>
      <c r="AY225" s="27"/>
      <c r="AZ225" s="27"/>
      <c r="BA225" s="1168"/>
      <c r="BB225" s="1166"/>
      <c r="BC225" s="1166"/>
      <c r="BD225" s="886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1168"/>
      <c r="AG226" s="1166"/>
      <c r="AH226" s="1166"/>
      <c r="AI226" s="886"/>
      <c r="AJ226" s="27"/>
      <c r="AK226" s="27"/>
      <c r="AL226" s="27"/>
      <c r="AM226" s="1168"/>
      <c r="AN226" s="1167"/>
      <c r="AO226" s="1167"/>
      <c r="AP226" s="886"/>
      <c r="AQ226" s="27"/>
      <c r="AR226" s="27"/>
      <c r="AS226" s="27"/>
      <c r="AT226" s="1168"/>
      <c r="AU226" s="1166"/>
      <c r="AV226" s="1166"/>
      <c r="AW226" s="886"/>
      <c r="AX226" s="27"/>
      <c r="AY226" s="27"/>
      <c r="AZ226" s="27"/>
      <c r="BA226" s="1168"/>
      <c r="BB226" s="1166"/>
      <c r="BC226" s="1166"/>
      <c r="BD226" s="886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1168"/>
      <c r="AG227" s="1166"/>
      <c r="AH227" s="1166"/>
      <c r="AI227" s="886"/>
      <c r="AJ227" s="27"/>
      <c r="AK227" s="27"/>
      <c r="AL227" s="27"/>
      <c r="AM227" s="1168"/>
      <c r="AN227" s="1167"/>
      <c r="AO227" s="1167"/>
      <c r="AP227" s="886"/>
      <c r="AQ227" s="27"/>
      <c r="AR227" s="27"/>
      <c r="AS227" s="27"/>
      <c r="AT227" s="1168"/>
      <c r="AU227" s="1166"/>
      <c r="AV227" s="1166"/>
      <c r="AW227" s="886"/>
      <c r="AX227" s="27"/>
      <c r="AY227" s="27"/>
      <c r="AZ227" s="27"/>
      <c r="BA227" s="1168"/>
      <c r="BB227" s="1166"/>
      <c r="BC227" s="1166"/>
      <c r="BD227" s="886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1168"/>
      <c r="AG228" s="1166"/>
      <c r="AH228" s="1166"/>
      <c r="AI228" s="886"/>
      <c r="AJ228" s="27"/>
      <c r="AK228" s="27"/>
      <c r="AL228" s="27"/>
      <c r="AM228" s="1168"/>
      <c r="AN228" s="1167"/>
      <c r="AO228" s="1167"/>
      <c r="AP228" s="886"/>
      <c r="AQ228" s="27"/>
      <c r="AR228" s="27"/>
      <c r="AS228" s="27"/>
      <c r="AT228" s="1168"/>
      <c r="AU228" s="1166"/>
      <c r="AV228" s="1166"/>
      <c r="AW228" s="886"/>
      <c r="AX228" s="27"/>
      <c r="AY228" s="27"/>
      <c r="AZ228" s="27"/>
      <c r="BA228" s="1168"/>
      <c r="BB228" s="1166"/>
      <c r="BC228" s="1166"/>
      <c r="BD228" s="886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1168"/>
      <c r="AG229" s="1166"/>
      <c r="AH229" s="1166"/>
      <c r="AI229" s="886"/>
      <c r="AJ229" s="27"/>
      <c r="AK229" s="27"/>
      <c r="AL229" s="27"/>
      <c r="AM229" s="1168"/>
      <c r="AN229" s="1167"/>
      <c r="AO229" s="1167"/>
      <c r="AP229" s="886"/>
      <c r="AQ229" s="27"/>
      <c r="AR229" s="27"/>
      <c r="AS229" s="27"/>
      <c r="AT229" s="1168"/>
      <c r="AU229" s="1166"/>
      <c r="AV229" s="1166"/>
      <c r="AW229" s="886"/>
      <c r="AX229" s="27"/>
      <c r="AY229" s="27"/>
      <c r="AZ229" s="27"/>
      <c r="BA229" s="1168"/>
      <c r="BB229" s="1166"/>
      <c r="BC229" s="1166"/>
      <c r="BD229" s="886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1168"/>
      <c r="AG230" s="1166"/>
      <c r="AH230" s="1166"/>
      <c r="AI230" s="886"/>
      <c r="AJ230" s="27"/>
      <c r="AK230" s="27"/>
      <c r="AL230" s="27"/>
      <c r="AM230" s="1168"/>
      <c r="AN230" s="1167"/>
      <c r="AO230" s="1167"/>
      <c r="AP230" s="886"/>
      <c r="AQ230" s="27"/>
      <c r="AR230" s="27"/>
      <c r="AS230" s="27"/>
      <c r="AT230" s="1168"/>
      <c r="AU230" s="1166"/>
      <c r="AV230" s="1166"/>
      <c r="AW230" s="886"/>
      <c r="AX230" s="27"/>
      <c r="AY230" s="27"/>
      <c r="AZ230" s="27"/>
      <c r="BA230" s="1168"/>
      <c r="BB230" s="1166"/>
      <c r="BC230" s="1166"/>
      <c r="BD230" s="886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1168"/>
      <c r="AG231" s="1166"/>
      <c r="AH231" s="1166"/>
      <c r="AI231" s="886"/>
      <c r="AJ231" s="27"/>
      <c r="AK231" s="27"/>
      <c r="AL231" s="27"/>
      <c r="AM231" s="1168"/>
      <c r="AN231" s="1167"/>
      <c r="AO231" s="1167"/>
      <c r="AP231" s="886"/>
      <c r="AQ231" s="27"/>
      <c r="AR231" s="27"/>
      <c r="AS231" s="27"/>
      <c r="AT231" s="1168"/>
      <c r="AU231" s="1166"/>
      <c r="AV231" s="1166"/>
      <c r="AW231" s="886"/>
      <c r="AX231" s="27"/>
      <c r="AY231" s="27"/>
      <c r="AZ231" s="27"/>
      <c r="BA231" s="1168"/>
      <c r="BB231" s="1166"/>
      <c r="BC231" s="1166"/>
      <c r="BD231" s="886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1168"/>
      <c r="AG232" s="1166"/>
      <c r="AH232" s="1166"/>
      <c r="AI232" s="886"/>
      <c r="AJ232" s="27"/>
      <c r="AK232" s="27"/>
      <c r="AL232" s="27"/>
      <c r="AM232" s="1168"/>
      <c r="AN232" s="1167"/>
      <c r="AO232" s="1167"/>
      <c r="AP232" s="886"/>
      <c r="AQ232" s="27"/>
      <c r="AR232" s="27"/>
      <c r="AS232" s="27"/>
      <c r="AT232" s="1168"/>
      <c r="AU232" s="1166"/>
      <c r="AV232" s="1166"/>
      <c r="AW232" s="886"/>
      <c r="AX232" s="27"/>
      <c r="AY232" s="27"/>
      <c r="AZ232" s="27"/>
      <c r="BA232" s="1168"/>
      <c r="BB232" s="1166"/>
      <c r="BC232" s="1166"/>
      <c r="BD232" s="886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1168"/>
      <c r="AG233" s="1166"/>
      <c r="AH233" s="1166"/>
      <c r="AI233" s="886"/>
      <c r="AJ233" s="27"/>
      <c r="AK233" s="27"/>
      <c r="AL233" s="27"/>
      <c r="AM233" s="1168"/>
      <c r="AN233" s="1167"/>
      <c r="AO233" s="1167"/>
      <c r="AP233" s="886"/>
      <c r="AQ233" s="27"/>
      <c r="AR233" s="27"/>
      <c r="AS233" s="27"/>
      <c r="AT233" s="1168"/>
      <c r="AU233" s="1166"/>
      <c r="AV233" s="1166"/>
      <c r="AW233" s="886"/>
      <c r="AX233" s="27"/>
      <c r="AY233" s="27"/>
      <c r="AZ233" s="27"/>
      <c r="BA233" s="1168"/>
      <c r="BB233" s="1166"/>
      <c r="BC233" s="1166"/>
      <c r="BD233" s="886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1168"/>
      <c r="AG234" s="1166"/>
      <c r="AH234" s="1166"/>
      <c r="AI234" s="886"/>
      <c r="AJ234" s="27"/>
      <c r="AK234" s="27"/>
      <c r="AL234" s="27"/>
      <c r="AM234" s="1168"/>
      <c r="AN234" s="1167"/>
      <c r="AO234" s="1167"/>
      <c r="AP234" s="886"/>
      <c r="AQ234" s="27"/>
      <c r="AR234" s="27"/>
      <c r="AS234" s="27"/>
      <c r="AT234" s="1168"/>
      <c r="AU234" s="1166"/>
      <c r="AV234" s="1166"/>
      <c r="AW234" s="886"/>
      <c r="AX234" s="27"/>
      <c r="AY234" s="27"/>
      <c r="AZ234" s="27"/>
      <c r="BA234" s="1168"/>
      <c r="BB234" s="1166"/>
      <c r="BC234" s="1166"/>
      <c r="BD234" s="886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1168"/>
      <c r="AG235" s="1166"/>
      <c r="AH235" s="1166"/>
      <c r="AI235" s="886"/>
      <c r="AJ235" s="27"/>
      <c r="AK235" s="27"/>
      <c r="AL235" s="27"/>
      <c r="AM235" s="1168"/>
      <c r="AN235" s="1167"/>
      <c r="AO235" s="1167"/>
      <c r="AP235" s="886"/>
      <c r="AQ235" s="27"/>
      <c r="AR235" s="27"/>
      <c r="AS235" s="27"/>
      <c r="AT235" s="1168"/>
      <c r="AU235" s="1166"/>
      <c r="AV235" s="1166"/>
      <c r="AW235" s="886"/>
      <c r="AX235" s="27"/>
      <c r="AY235" s="27"/>
      <c r="AZ235" s="27"/>
      <c r="BA235" s="1168"/>
      <c r="BB235" s="1166"/>
      <c r="BC235" s="1166"/>
      <c r="BD235" s="886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1168"/>
      <c r="AG236" s="1166"/>
      <c r="AH236" s="1166"/>
      <c r="AI236" s="886"/>
      <c r="AJ236" s="27"/>
      <c r="AK236" s="27"/>
      <c r="AL236" s="27"/>
      <c r="AM236" s="1168"/>
      <c r="AN236" s="1167"/>
      <c r="AO236" s="1167"/>
      <c r="AP236" s="886"/>
      <c r="AQ236" s="27"/>
      <c r="AR236" s="27"/>
      <c r="AS236" s="27"/>
      <c r="AT236" s="1168"/>
      <c r="AU236" s="1166"/>
      <c r="AV236" s="1166"/>
      <c r="AW236" s="886"/>
      <c r="AX236" s="27"/>
      <c r="AY236" s="27"/>
      <c r="AZ236" s="27"/>
      <c r="BA236" s="1168"/>
      <c r="BB236" s="1166"/>
      <c r="BC236" s="1166"/>
      <c r="BD236" s="886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1168"/>
      <c r="AG237" s="1166"/>
      <c r="AH237" s="1166"/>
      <c r="AI237" s="886"/>
      <c r="AJ237" s="27"/>
      <c r="AK237" s="27"/>
      <c r="AL237" s="27"/>
      <c r="AM237" s="1168"/>
      <c r="AN237" s="1167"/>
      <c r="AO237" s="1167"/>
      <c r="AP237" s="886"/>
      <c r="AQ237" s="27"/>
      <c r="AR237" s="27"/>
      <c r="AS237" s="27"/>
      <c r="AT237" s="1168"/>
      <c r="AU237" s="1166"/>
      <c r="AV237" s="1166"/>
      <c r="AW237" s="886"/>
      <c r="AX237" s="27"/>
      <c r="AY237" s="27"/>
      <c r="AZ237" s="27"/>
      <c r="BA237" s="1168"/>
      <c r="BB237" s="1166"/>
      <c r="BC237" s="1166"/>
      <c r="BD237" s="886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1168"/>
      <c r="AG238" s="1166"/>
      <c r="AH238" s="1166"/>
      <c r="AI238" s="886"/>
      <c r="AJ238" s="27"/>
      <c r="AK238" s="27"/>
      <c r="AL238" s="27"/>
      <c r="AM238" s="1168"/>
      <c r="AN238" s="1167"/>
      <c r="AO238" s="1167"/>
      <c r="AP238" s="886"/>
      <c r="AQ238" s="27"/>
      <c r="AR238" s="27"/>
      <c r="AS238" s="27"/>
      <c r="AT238" s="1168"/>
      <c r="AU238" s="1166"/>
      <c r="AV238" s="1166"/>
      <c r="AW238" s="886"/>
      <c r="AX238" s="27"/>
      <c r="AY238" s="27"/>
      <c r="AZ238" s="27"/>
      <c r="BA238" s="1168"/>
      <c r="BB238" s="1166"/>
      <c r="BC238" s="1166"/>
      <c r="BD238" s="886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1168"/>
      <c r="AG239" s="1166"/>
      <c r="AH239" s="1166"/>
      <c r="AI239" s="886"/>
      <c r="AJ239" s="27"/>
      <c r="AK239" s="27"/>
      <c r="AL239" s="27"/>
      <c r="AM239" s="1168"/>
      <c r="AN239" s="1167"/>
      <c r="AO239" s="1167"/>
      <c r="AP239" s="886"/>
      <c r="AQ239" s="27"/>
      <c r="AR239" s="27"/>
      <c r="AS239" s="27"/>
      <c r="AT239" s="1168"/>
      <c r="AU239" s="1166"/>
      <c r="AV239" s="1166"/>
      <c r="AW239" s="886"/>
      <c r="AX239" s="27"/>
      <c r="AY239" s="27"/>
      <c r="AZ239" s="27"/>
      <c r="BA239" s="1168"/>
      <c r="BB239" s="1166"/>
      <c r="BC239" s="1166"/>
      <c r="BD239" s="886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1168"/>
      <c r="AG240" s="1166"/>
      <c r="AH240" s="1166"/>
      <c r="AI240" s="886"/>
      <c r="AJ240" s="27"/>
      <c r="AK240" s="27"/>
      <c r="AL240" s="27"/>
      <c r="AM240" s="1168"/>
      <c r="AN240" s="1167"/>
      <c r="AO240" s="1167"/>
      <c r="AP240" s="886"/>
      <c r="AQ240" s="27"/>
      <c r="AR240" s="27"/>
      <c r="AS240" s="27"/>
      <c r="AT240" s="1168"/>
      <c r="AU240" s="1166"/>
      <c r="AV240" s="1166"/>
      <c r="AW240" s="886"/>
      <c r="AX240" s="27"/>
      <c r="AY240" s="27"/>
      <c r="AZ240" s="27"/>
      <c r="BA240" s="1168"/>
      <c r="BB240" s="1166"/>
      <c r="BC240" s="1166"/>
      <c r="BD240" s="886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1168"/>
      <c r="AG241" s="1166"/>
      <c r="AH241" s="1166"/>
      <c r="AI241" s="886"/>
      <c r="AJ241" s="27"/>
      <c r="AK241" s="27"/>
      <c r="AL241" s="27"/>
      <c r="AM241" s="1168"/>
      <c r="AN241" s="1167"/>
      <c r="AO241" s="1167"/>
      <c r="AP241" s="886"/>
      <c r="AQ241" s="27"/>
      <c r="AR241" s="27"/>
      <c r="AS241" s="27"/>
      <c r="AT241" s="1168"/>
      <c r="AU241" s="1166"/>
      <c r="AV241" s="1166"/>
      <c r="AW241" s="886"/>
      <c r="AX241" s="27"/>
      <c r="AY241" s="27"/>
      <c r="AZ241" s="27"/>
      <c r="BA241" s="1168"/>
      <c r="BB241" s="1166"/>
      <c r="BC241" s="1166"/>
      <c r="BD241" s="886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1168"/>
      <c r="AG242" s="1166"/>
      <c r="AH242" s="1166"/>
      <c r="AI242" s="886"/>
      <c r="AJ242" s="27"/>
      <c r="AK242" s="27"/>
      <c r="AL242" s="27"/>
      <c r="AM242" s="1168"/>
      <c r="AN242" s="1167"/>
      <c r="AO242" s="1167"/>
      <c r="AP242" s="886"/>
      <c r="AQ242" s="27"/>
      <c r="AR242" s="27"/>
      <c r="AS242" s="27"/>
      <c r="AT242" s="1168"/>
      <c r="AU242" s="1166"/>
      <c r="AV242" s="1166"/>
      <c r="AW242" s="886"/>
      <c r="AX242" s="27"/>
      <c r="AY242" s="27"/>
      <c r="AZ242" s="27"/>
      <c r="BA242" s="1168"/>
      <c r="BB242" s="1166"/>
      <c r="BC242" s="1166"/>
      <c r="BD242" s="886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1168"/>
      <c r="AG243" s="1166"/>
      <c r="AH243" s="1166"/>
      <c r="AI243" s="886"/>
      <c r="AJ243" s="27"/>
      <c r="AK243" s="27"/>
      <c r="AL243" s="27"/>
      <c r="AM243" s="1168"/>
      <c r="AN243" s="1167"/>
      <c r="AO243" s="1167"/>
      <c r="AP243" s="886"/>
      <c r="AQ243" s="27"/>
      <c r="AR243" s="27"/>
      <c r="AS243" s="27"/>
      <c r="AT243" s="1168"/>
      <c r="AU243" s="1166"/>
      <c r="AV243" s="1166"/>
      <c r="AW243" s="886"/>
      <c r="AX243" s="27"/>
      <c r="AY243" s="27"/>
      <c r="AZ243" s="27"/>
      <c r="BA243" s="1168"/>
      <c r="BB243" s="1166"/>
      <c r="BC243" s="1166"/>
      <c r="BD243" s="886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1168"/>
      <c r="AG244" s="1166"/>
      <c r="AH244" s="1166"/>
      <c r="AI244" s="886"/>
      <c r="AJ244" s="27"/>
      <c r="AK244" s="27"/>
      <c r="AL244" s="27"/>
      <c r="AM244" s="1168"/>
      <c r="AN244" s="1167"/>
      <c r="AO244" s="1167"/>
      <c r="AP244" s="886"/>
      <c r="AQ244" s="27"/>
      <c r="AR244" s="27"/>
      <c r="AS244" s="27"/>
      <c r="AT244" s="1168"/>
      <c r="AU244" s="1166"/>
      <c r="AV244" s="1166"/>
      <c r="AW244" s="886"/>
      <c r="AX244" s="27"/>
      <c r="AY244" s="27"/>
      <c r="AZ244" s="27"/>
      <c r="BA244" s="1168"/>
      <c r="BB244" s="1166"/>
      <c r="BC244" s="1166"/>
      <c r="BD244" s="886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1168"/>
      <c r="AG245" s="1166"/>
      <c r="AH245" s="1166"/>
      <c r="AI245" s="886"/>
      <c r="AJ245" s="27"/>
      <c r="AK245" s="27"/>
      <c r="AL245" s="27"/>
      <c r="AM245" s="1168"/>
      <c r="AN245" s="1167"/>
      <c r="AO245" s="1167"/>
      <c r="AP245" s="886"/>
      <c r="AQ245" s="27"/>
      <c r="AR245" s="27"/>
      <c r="AS245" s="27"/>
      <c r="AT245" s="1168"/>
      <c r="AU245" s="1166"/>
      <c r="AV245" s="1166"/>
      <c r="AW245" s="886"/>
      <c r="AX245" s="27"/>
      <c r="AY245" s="27"/>
      <c r="AZ245" s="27"/>
      <c r="BA245" s="1168"/>
      <c r="BB245" s="1166"/>
      <c r="BC245" s="1166"/>
      <c r="BD245" s="886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1168"/>
      <c r="AG246" s="1166"/>
      <c r="AH246" s="1166"/>
      <c r="AI246" s="886"/>
      <c r="AJ246" s="27"/>
      <c r="AK246" s="27"/>
      <c r="AL246" s="27"/>
      <c r="AM246" s="1168"/>
      <c r="AN246" s="1167"/>
      <c r="AO246" s="1167"/>
      <c r="AP246" s="886"/>
      <c r="AQ246" s="27"/>
      <c r="AR246" s="27"/>
      <c r="AS246" s="27"/>
      <c r="AT246" s="1168"/>
      <c r="AU246" s="1166"/>
      <c r="AV246" s="1166"/>
      <c r="AW246" s="886"/>
      <c r="AX246" s="27"/>
      <c r="AY246" s="27"/>
      <c r="AZ246" s="27"/>
      <c r="BA246" s="1168"/>
      <c r="BB246" s="1166"/>
      <c r="BC246" s="1166"/>
      <c r="BD246" s="886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1168"/>
      <c r="AG247" s="1166"/>
      <c r="AH247" s="1166"/>
      <c r="AI247" s="886"/>
      <c r="AJ247" s="27"/>
      <c r="AK247" s="27"/>
      <c r="AL247" s="27"/>
      <c r="AM247" s="1168"/>
      <c r="AN247" s="1167"/>
      <c r="AO247" s="1167"/>
      <c r="AP247" s="886"/>
      <c r="AQ247" s="27"/>
      <c r="AR247" s="27"/>
      <c r="AS247" s="27"/>
      <c r="AT247" s="1168"/>
      <c r="AU247" s="1166"/>
      <c r="AV247" s="1166"/>
      <c r="AW247" s="886"/>
      <c r="AX247" s="27"/>
      <c r="AY247" s="27"/>
      <c r="AZ247" s="27"/>
      <c r="BA247" s="1168"/>
      <c r="BB247" s="1166"/>
      <c r="BC247" s="1166"/>
      <c r="BD247" s="886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1168"/>
      <c r="AG248" s="1166"/>
      <c r="AH248" s="1166"/>
      <c r="AI248" s="886"/>
      <c r="AJ248" s="27"/>
      <c r="AK248" s="27"/>
      <c r="AL248" s="27"/>
      <c r="AM248" s="1168"/>
      <c r="AN248" s="1167"/>
      <c r="AO248" s="1167"/>
      <c r="AP248" s="886"/>
      <c r="AQ248" s="27"/>
      <c r="AR248" s="27"/>
      <c r="AS248" s="27"/>
      <c r="AT248" s="1168"/>
      <c r="AU248" s="1166"/>
      <c r="AV248" s="1166"/>
      <c r="AW248" s="886"/>
      <c r="AX248" s="27"/>
      <c r="AY248" s="27"/>
      <c r="AZ248" s="27"/>
      <c r="BA248" s="1168"/>
      <c r="BB248" s="1166"/>
      <c r="BC248" s="1166"/>
      <c r="BD248" s="886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1168"/>
      <c r="AG249" s="1166"/>
      <c r="AH249" s="1166"/>
      <c r="AI249" s="886"/>
      <c r="AJ249" s="27"/>
      <c r="AK249" s="27"/>
      <c r="AL249" s="27"/>
      <c r="AM249" s="1168"/>
      <c r="AN249" s="1167"/>
      <c r="AO249" s="1167"/>
      <c r="AP249" s="886"/>
      <c r="AQ249" s="27"/>
      <c r="AR249" s="27"/>
      <c r="AS249" s="27"/>
      <c r="AT249" s="1168"/>
      <c r="AU249" s="1166"/>
      <c r="AV249" s="1166"/>
      <c r="AW249" s="886"/>
      <c r="AX249" s="27"/>
      <c r="AY249" s="27"/>
      <c r="AZ249" s="27"/>
      <c r="BA249" s="1168"/>
      <c r="BB249" s="1166"/>
      <c r="BC249" s="1166"/>
      <c r="BD249" s="886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1168"/>
      <c r="AG250" s="1166"/>
      <c r="AH250" s="1166"/>
      <c r="AI250" s="886"/>
      <c r="AJ250" s="27"/>
      <c r="AK250" s="27"/>
      <c r="AL250" s="27"/>
      <c r="AM250" s="1168"/>
      <c r="AN250" s="1167"/>
      <c r="AO250" s="1167"/>
      <c r="AP250" s="886"/>
      <c r="AQ250" s="27"/>
      <c r="AR250" s="27"/>
      <c r="AS250" s="27"/>
      <c r="AT250" s="1168"/>
      <c r="AU250" s="1166"/>
      <c r="AV250" s="1166"/>
      <c r="AW250" s="886"/>
      <c r="AX250" s="27"/>
      <c r="AY250" s="27"/>
      <c r="AZ250" s="27"/>
      <c r="BA250" s="1168"/>
      <c r="BB250" s="1166"/>
      <c r="BC250" s="1166"/>
      <c r="BD250" s="886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1168"/>
      <c r="AG251" s="1166"/>
      <c r="AH251" s="1166"/>
      <c r="AI251" s="886"/>
      <c r="AJ251" s="27"/>
      <c r="AK251" s="27"/>
      <c r="AL251" s="27"/>
      <c r="AM251" s="1168"/>
      <c r="AN251" s="1167"/>
      <c r="AO251" s="1167"/>
      <c r="AP251" s="886"/>
      <c r="AQ251" s="27"/>
      <c r="AR251" s="27"/>
      <c r="AS251" s="27"/>
      <c r="AT251" s="1168"/>
      <c r="AU251" s="1166"/>
      <c r="AV251" s="1166"/>
      <c r="AW251" s="886"/>
      <c r="AX251" s="27"/>
      <c r="AY251" s="27"/>
      <c r="AZ251" s="27"/>
      <c r="BA251" s="1168"/>
      <c r="BB251" s="1166"/>
      <c r="BC251" s="1166"/>
      <c r="BD251" s="886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1168"/>
      <c r="AG252" s="1166"/>
      <c r="AH252" s="1166"/>
      <c r="AI252" s="886"/>
      <c r="AJ252" s="27"/>
      <c r="AK252" s="27"/>
      <c r="AL252" s="27"/>
      <c r="AM252" s="1168"/>
      <c r="AN252" s="1167"/>
      <c r="AO252" s="1167"/>
      <c r="AP252" s="886"/>
      <c r="AQ252" s="27"/>
      <c r="AR252" s="27"/>
      <c r="AS252" s="27"/>
      <c r="AT252" s="1168"/>
      <c r="AU252" s="1166"/>
      <c r="AV252" s="1166"/>
      <c r="AW252" s="886"/>
      <c r="AX252" s="27"/>
      <c r="AY252" s="27"/>
      <c r="AZ252" s="27"/>
      <c r="BA252" s="1168"/>
      <c r="BB252" s="1166"/>
      <c r="BC252" s="1166"/>
      <c r="BD252" s="886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1168"/>
      <c r="AG253" s="1166"/>
      <c r="AH253" s="1166"/>
      <c r="AI253" s="886"/>
      <c r="AJ253" s="27"/>
      <c r="AK253" s="27"/>
      <c r="AL253" s="27"/>
      <c r="AM253" s="1168"/>
      <c r="AN253" s="1167"/>
      <c r="AO253" s="1167"/>
      <c r="AP253" s="886"/>
      <c r="AQ253" s="27"/>
      <c r="AR253" s="27"/>
      <c r="AS253" s="27"/>
      <c r="AT253" s="1168"/>
      <c r="AU253" s="1166"/>
      <c r="AV253" s="1166"/>
      <c r="AW253" s="886"/>
      <c r="AX253" s="27"/>
      <c r="AY253" s="27"/>
      <c r="AZ253" s="27"/>
      <c r="BA253" s="1168"/>
      <c r="BB253" s="1166"/>
      <c r="BC253" s="1166"/>
      <c r="BD253" s="886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1168"/>
      <c r="AG254" s="1166"/>
      <c r="AH254" s="1166"/>
      <c r="AI254" s="886"/>
      <c r="AJ254" s="27"/>
      <c r="AK254" s="27"/>
      <c r="AL254" s="27"/>
      <c r="AM254" s="1168"/>
      <c r="AN254" s="1167"/>
      <c r="AO254" s="1167"/>
      <c r="AP254" s="886"/>
      <c r="AQ254" s="27"/>
      <c r="AR254" s="27"/>
      <c r="AS254" s="27"/>
      <c r="AT254" s="1168"/>
      <c r="AU254" s="1166"/>
      <c r="AV254" s="1166"/>
      <c r="AW254" s="886"/>
      <c r="AX254" s="27"/>
      <c r="AY254" s="27"/>
      <c r="AZ254" s="27"/>
      <c r="BA254" s="1168"/>
      <c r="BB254" s="1166"/>
      <c r="BC254" s="1166"/>
      <c r="BD254" s="886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1168"/>
      <c r="AG255" s="1166"/>
      <c r="AH255" s="1166"/>
      <c r="AI255" s="886"/>
      <c r="AJ255" s="27"/>
      <c r="AK255" s="27"/>
      <c r="AL255" s="27"/>
      <c r="AM255" s="1168"/>
      <c r="AN255" s="1167"/>
      <c r="AO255" s="1167"/>
      <c r="AP255" s="886"/>
      <c r="AQ255" s="27"/>
      <c r="AR255" s="27"/>
      <c r="AS255" s="27"/>
      <c r="AT255" s="1168"/>
      <c r="AU255" s="1166"/>
      <c r="AV255" s="1166"/>
      <c r="AW255" s="886"/>
      <c r="AX255" s="27"/>
      <c r="AY255" s="27"/>
      <c r="AZ255" s="27"/>
      <c r="BA255" s="1168"/>
      <c r="BB255" s="1166"/>
      <c r="BC255" s="1166"/>
      <c r="BD255" s="886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1168"/>
      <c r="AG256" s="1166"/>
      <c r="AH256" s="1166"/>
      <c r="AI256" s="886"/>
      <c r="AJ256" s="27"/>
      <c r="AK256" s="27"/>
      <c r="AL256" s="27"/>
      <c r="AM256" s="1168"/>
      <c r="AN256" s="1167"/>
      <c r="AO256" s="1167"/>
      <c r="AP256" s="886"/>
      <c r="AQ256" s="27"/>
      <c r="AR256" s="27"/>
      <c r="AS256" s="27"/>
      <c r="AT256" s="1168"/>
      <c r="AU256" s="1166"/>
      <c r="AV256" s="1166"/>
      <c r="AW256" s="886"/>
      <c r="AX256" s="27"/>
      <c r="AY256" s="27"/>
      <c r="AZ256" s="27"/>
      <c r="BA256" s="1168"/>
      <c r="BB256" s="1166"/>
      <c r="BC256" s="1166"/>
      <c r="BD256" s="886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1168"/>
      <c r="AG257" s="1166"/>
      <c r="AH257" s="1166"/>
      <c r="AI257" s="886"/>
      <c r="AJ257" s="27"/>
      <c r="AK257" s="27"/>
      <c r="AL257" s="27"/>
      <c r="AM257" s="1168"/>
      <c r="AN257" s="1167"/>
      <c r="AO257" s="1167"/>
      <c r="AP257" s="886"/>
      <c r="AQ257" s="27"/>
      <c r="AR257" s="27"/>
      <c r="AS257" s="27"/>
      <c r="AT257" s="1168"/>
      <c r="AU257" s="1166"/>
      <c r="AV257" s="1166"/>
      <c r="AW257" s="886"/>
      <c r="AX257" s="27"/>
      <c r="AY257" s="27"/>
      <c r="AZ257" s="27"/>
      <c r="BA257" s="1168"/>
      <c r="BB257" s="1166"/>
      <c r="BC257" s="1166"/>
      <c r="BD257" s="886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1168"/>
      <c r="AG258" s="1166"/>
      <c r="AH258" s="1166"/>
      <c r="AI258" s="886"/>
      <c r="AJ258" s="27"/>
      <c r="AK258" s="27"/>
      <c r="AL258" s="27"/>
      <c r="AM258" s="1168"/>
      <c r="AN258" s="1167"/>
      <c r="AO258" s="1167"/>
      <c r="AP258" s="886"/>
      <c r="AQ258" s="27"/>
      <c r="AR258" s="27"/>
      <c r="AS258" s="27"/>
      <c r="AT258" s="1168"/>
      <c r="AU258" s="1166"/>
      <c r="AV258" s="1166"/>
      <c r="AW258" s="886"/>
      <c r="AX258" s="27"/>
      <c r="AY258" s="27"/>
      <c r="AZ258" s="27"/>
      <c r="BA258" s="1168"/>
      <c r="BB258" s="1166"/>
      <c r="BC258" s="1166"/>
      <c r="BD258" s="886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1168"/>
      <c r="AG259" s="1166"/>
      <c r="AH259" s="1166"/>
      <c r="AI259" s="886"/>
      <c r="AJ259" s="27"/>
      <c r="AK259" s="27"/>
      <c r="AL259" s="27"/>
      <c r="AM259" s="1168"/>
      <c r="AN259" s="1167"/>
      <c r="AO259" s="1167"/>
      <c r="AP259" s="886"/>
      <c r="AQ259" s="27"/>
      <c r="AR259" s="27"/>
      <c r="AS259" s="27"/>
      <c r="AT259" s="1168"/>
      <c r="AU259" s="1166"/>
      <c r="AV259" s="1166"/>
      <c r="AW259" s="886"/>
      <c r="AX259" s="27"/>
      <c r="AY259" s="27"/>
      <c r="AZ259" s="27"/>
      <c r="BA259" s="1168"/>
      <c r="BB259" s="1166"/>
      <c r="BC259" s="1166"/>
      <c r="BD259" s="886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1168"/>
      <c r="AG260" s="1166"/>
      <c r="AH260" s="1166"/>
      <c r="AI260" s="886"/>
      <c r="AJ260" s="27"/>
      <c r="AK260" s="27"/>
      <c r="AL260" s="27"/>
      <c r="AM260" s="1168"/>
      <c r="AN260" s="1167"/>
      <c r="AO260" s="1167"/>
      <c r="AP260" s="886"/>
      <c r="AQ260" s="27"/>
      <c r="AR260" s="27"/>
      <c r="AS260" s="27"/>
      <c r="AT260" s="1168"/>
      <c r="AU260" s="1166"/>
      <c r="AV260" s="1166"/>
      <c r="AW260" s="886"/>
      <c r="AX260" s="27"/>
      <c r="AY260" s="27"/>
      <c r="AZ260" s="27"/>
      <c r="BA260" s="1168"/>
      <c r="BB260" s="1166"/>
      <c r="BC260" s="1166"/>
      <c r="BD260" s="886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1168"/>
      <c r="AG261" s="1166"/>
      <c r="AH261" s="1166"/>
      <c r="AI261" s="886"/>
      <c r="AJ261" s="27"/>
      <c r="AK261" s="27"/>
      <c r="AL261" s="27"/>
      <c r="AM261" s="1168"/>
      <c r="AN261" s="1167"/>
      <c r="AO261" s="1167"/>
      <c r="AP261" s="886"/>
      <c r="AQ261" s="27"/>
      <c r="AR261" s="27"/>
      <c r="AS261" s="27"/>
      <c r="AT261" s="1168"/>
      <c r="AU261" s="1166"/>
      <c r="AV261" s="1166"/>
      <c r="AW261" s="886"/>
      <c r="AX261" s="27"/>
      <c r="AY261" s="27"/>
      <c r="AZ261" s="27"/>
      <c r="BA261" s="1168"/>
      <c r="BB261" s="1166"/>
      <c r="BC261" s="1166"/>
      <c r="BD261" s="886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1168"/>
      <c r="AG262" s="1166"/>
      <c r="AH262" s="1166"/>
      <c r="AI262" s="886"/>
      <c r="AJ262" s="27"/>
      <c r="AK262" s="27"/>
      <c r="AL262" s="27"/>
      <c r="AM262" s="1168"/>
      <c r="AN262" s="1167"/>
      <c r="AO262" s="1167"/>
      <c r="AP262" s="886"/>
      <c r="AQ262" s="27"/>
      <c r="AR262" s="27"/>
      <c r="AS262" s="27"/>
      <c r="AT262" s="1168"/>
      <c r="AU262" s="1166"/>
      <c r="AV262" s="1166"/>
      <c r="AW262" s="886"/>
      <c r="AX262" s="27"/>
      <c r="AY262" s="27"/>
      <c r="AZ262" s="27"/>
      <c r="BA262" s="1168"/>
      <c r="BB262" s="1166"/>
      <c r="BC262" s="1166"/>
      <c r="BD262" s="886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1168"/>
      <c r="AG263" s="1166"/>
      <c r="AH263" s="1166"/>
      <c r="AI263" s="886"/>
      <c r="AJ263" s="27"/>
      <c r="AK263" s="27"/>
      <c r="AL263" s="27"/>
      <c r="AM263" s="1168"/>
      <c r="AN263" s="1167"/>
      <c r="AO263" s="1167"/>
      <c r="AP263" s="886"/>
      <c r="AQ263" s="27"/>
      <c r="AR263" s="27"/>
      <c r="AS263" s="27"/>
      <c r="AT263" s="1168"/>
      <c r="AU263" s="1166"/>
      <c r="AV263" s="1166"/>
      <c r="AW263" s="886"/>
      <c r="AX263" s="27"/>
      <c r="AY263" s="27"/>
      <c r="AZ263" s="27"/>
      <c r="BA263" s="1168"/>
      <c r="BB263" s="1166"/>
      <c r="BC263" s="1166"/>
      <c r="BD263" s="886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1168"/>
      <c r="AG264" s="1166"/>
      <c r="AH264" s="1166"/>
      <c r="AI264" s="886"/>
      <c r="AJ264" s="27"/>
      <c r="AK264" s="27"/>
      <c r="AL264" s="27"/>
      <c r="AM264" s="1168"/>
      <c r="AN264" s="1167"/>
      <c r="AO264" s="1167"/>
      <c r="AP264" s="886"/>
      <c r="AQ264" s="27"/>
      <c r="AR264" s="27"/>
      <c r="AS264" s="27"/>
      <c r="AT264" s="1168"/>
      <c r="AU264" s="1166"/>
      <c r="AV264" s="1166"/>
      <c r="AW264" s="886"/>
      <c r="AX264" s="27"/>
      <c r="AY264" s="27"/>
      <c r="AZ264" s="27"/>
      <c r="BA264" s="1168"/>
      <c r="BB264" s="1166"/>
      <c r="BC264" s="1166"/>
      <c r="BD264" s="886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1168"/>
      <c r="AG265" s="1166"/>
      <c r="AH265" s="1166"/>
      <c r="AI265" s="886"/>
      <c r="AJ265" s="27"/>
      <c r="AK265" s="27"/>
      <c r="AL265" s="27"/>
      <c r="AM265" s="1168"/>
      <c r="AN265" s="1167"/>
      <c r="AO265" s="1167"/>
      <c r="AP265" s="886"/>
      <c r="AQ265" s="27"/>
      <c r="AR265" s="27"/>
      <c r="AS265" s="27"/>
      <c r="AT265" s="1168"/>
      <c r="AU265" s="1166"/>
      <c r="AV265" s="1166"/>
      <c r="AW265" s="886"/>
      <c r="AX265" s="27"/>
      <c r="AY265" s="27"/>
      <c r="AZ265" s="27"/>
      <c r="BA265" s="1168"/>
      <c r="BB265" s="1166"/>
      <c r="BC265" s="1166"/>
      <c r="BD265" s="886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1168"/>
      <c r="AG266" s="1166"/>
      <c r="AH266" s="1166"/>
      <c r="AI266" s="886"/>
      <c r="AJ266" s="27"/>
      <c r="AK266" s="27"/>
      <c r="AL266" s="27"/>
      <c r="AM266" s="1168"/>
      <c r="AN266" s="1167"/>
      <c r="AO266" s="1167"/>
      <c r="AP266" s="886"/>
      <c r="AQ266" s="27"/>
      <c r="AR266" s="27"/>
      <c r="AS266" s="27"/>
      <c r="AT266" s="1168"/>
      <c r="AU266" s="1166"/>
      <c r="AV266" s="1166"/>
      <c r="AW266" s="886"/>
      <c r="AX266" s="27"/>
      <c r="AY266" s="27"/>
      <c r="AZ266" s="27"/>
      <c r="BA266" s="1168"/>
      <c r="BB266" s="1166"/>
      <c r="BC266" s="1166"/>
      <c r="BD266" s="886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1168"/>
      <c r="AG267" s="1166"/>
      <c r="AH267" s="1166"/>
      <c r="AI267" s="886"/>
      <c r="AJ267" s="27"/>
      <c r="AK267" s="27"/>
      <c r="AL267" s="27"/>
      <c r="AM267" s="1168"/>
      <c r="AN267" s="1167"/>
      <c r="AO267" s="1167"/>
      <c r="AP267" s="886"/>
      <c r="AQ267" s="27"/>
      <c r="AR267" s="27"/>
      <c r="AS267" s="27"/>
      <c r="AT267" s="1168"/>
      <c r="AU267" s="1166"/>
      <c r="AV267" s="1166"/>
      <c r="AW267" s="886"/>
      <c r="AX267" s="27"/>
      <c r="AY267" s="27"/>
      <c r="AZ267" s="27"/>
      <c r="BA267" s="1168"/>
      <c r="BB267" s="1166"/>
      <c r="BC267" s="1166"/>
      <c r="BD267" s="886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1168"/>
      <c r="AG268" s="1166"/>
      <c r="AH268" s="1166"/>
      <c r="AI268" s="886"/>
      <c r="AJ268" s="27"/>
      <c r="AK268" s="27"/>
      <c r="AL268" s="27"/>
      <c r="AM268" s="1168"/>
      <c r="AN268" s="1167"/>
      <c r="AO268" s="1167"/>
      <c r="AP268" s="886"/>
      <c r="AQ268" s="27"/>
      <c r="AR268" s="27"/>
      <c r="AS268" s="27"/>
      <c r="AT268" s="1168"/>
      <c r="AU268" s="1166"/>
      <c r="AV268" s="1166"/>
      <c r="AW268" s="886"/>
      <c r="AX268" s="27"/>
      <c r="AY268" s="27"/>
      <c r="AZ268" s="27"/>
      <c r="BA268" s="1168"/>
      <c r="BB268" s="1166"/>
      <c r="BC268" s="1166"/>
      <c r="BD268" s="886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1168"/>
      <c r="AG269" s="1166"/>
      <c r="AH269" s="1166"/>
      <c r="AI269" s="886"/>
      <c r="AJ269" s="27"/>
      <c r="AK269" s="27"/>
      <c r="AL269" s="27"/>
      <c r="AM269" s="1168"/>
      <c r="AN269" s="1167"/>
      <c r="AO269" s="1167"/>
      <c r="AP269" s="886"/>
      <c r="AQ269" s="27"/>
      <c r="AR269" s="27"/>
      <c r="AS269" s="27"/>
      <c r="AT269" s="1168"/>
      <c r="AU269" s="1166"/>
      <c r="AV269" s="1166"/>
      <c r="AW269" s="886"/>
      <c r="AX269" s="27"/>
      <c r="AY269" s="27"/>
      <c r="AZ269" s="27"/>
      <c r="BA269" s="1168"/>
      <c r="BB269" s="1166"/>
      <c r="BC269" s="1166"/>
      <c r="BD269" s="886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1168"/>
      <c r="AG270" s="1166"/>
      <c r="AH270" s="1166"/>
      <c r="AI270" s="886"/>
      <c r="AJ270" s="27"/>
      <c r="AK270" s="27"/>
      <c r="AL270" s="27"/>
      <c r="AM270" s="1168"/>
      <c r="AN270" s="1167"/>
      <c r="AO270" s="1167"/>
      <c r="AP270" s="886"/>
      <c r="AQ270" s="27"/>
      <c r="AR270" s="27"/>
      <c r="AS270" s="27"/>
      <c r="AT270" s="1168"/>
      <c r="AU270" s="1166"/>
      <c r="AV270" s="1166"/>
      <c r="AW270" s="886"/>
      <c r="AX270" s="27"/>
      <c r="AY270" s="27"/>
      <c r="AZ270" s="27"/>
      <c r="BA270" s="1168"/>
      <c r="BB270" s="1166"/>
      <c r="BC270" s="1166"/>
      <c r="BD270" s="886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1168"/>
      <c r="AG271" s="1166"/>
      <c r="AH271" s="1166"/>
      <c r="AI271" s="886"/>
      <c r="AJ271" s="27"/>
      <c r="AK271" s="27"/>
      <c r="AL271" s="27"/>
      <c r="AM271" s="1168"/>
      <c r="AN271" s="1167"/>
      <c r="AO271" s="1167"/>
      <c r="AP271" s="886"/>
      <c r="AQ271" s="27"/>
      <c r="AR271" s="27"/>
      <c r="AS271" s="27"/>
      <c r="AT271" s="1168"/>
      <c r="AU271" s="1166"/>
      <c r="AV271" s="1166"/>
      <c r="AW271" s="886"/>
      <c r="AX271" s="27"/>
      <c r="AY271" s="27"/>
      <c r="AZ271" s="27"/>
      <c r="BA271" s="1168"/>
      <c r="BB271" s="1166"/>
      <c r="BC271" s="1166"/>
      <c r="BD271" s="886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1168"/>
      <c r="AG272" s="1166"/>
      <c r="AH272" s="1166"/>
      <c r="AI272" s="886"/>
      <c r="AJ272" s="27"/>
      <c r="AK272" s="27"/>
      <c r="AL272" s="27"/>
      <c r="AM272" s="1168"/>
      <c r="AN272" s="1167"/>
      <c r="AO272" s="1167"/>
      <c r="AP272" s="886"/>
      <c r="AQ272" s="27"/>
      <c r="AR272" s="27"/>
      <c r="AS272" s="27"/>
      <c r="AT272" s="1168"/>
      <c r="AU272" s="1166"/>
      <c r="AV272" s="1166"/>
      <c r="AW272" s="886"/>
      <c r="AX272" s="27"/>
      <c r="AY272" s="27"/>
      <c r="AZ272" s="27"/>
      <c r="BA272" s="1168"/>
      <c r="BB272" s="1166"/>
      <c r="BC272" s="1166"/>
      <c r="BD272" s="886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1168"/>
      <c r="AG273" s="1166"/>
      <c r="AH273" s="1166"/>
      <c r="AI273" s="886"/>
      <c r="AJ273" s="27"/>
      <c r="AK273" s="27"/>
      <c r="AL273" s="27"/>
      <c r="AM273" s="1168"/>
      <c r="AN273" s="1167"/>
      <c r="AO273" s="1167"/>
      <c r="AP273" s="886"/>
      <c r="AQ273" s="27"/>
      <c r="AR273" s="27"/>
      <c r="AS273" s="27"/>
      <c r="AT273" s="1168"/>
      <c r="AU273" s="1166"/>
      <c r="AV273" s="1166"/>
      <c r="AW273" s="886"/>
      <c r="AX273" s="27"/>
      <c r="AY273" s="27"/>
      <c r="AZ273" s="27"/>
      <c r="BA273" s="1168"/>
      <c r="BB273" s="1166"/>
      <c r="BC273" s="1166"/>
      <c r="BD273" s="886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1168"/>
      <c r="AG274" s="1166"/>
      <c r="AH274" s="1166"/>
      <c r="AI274" s="886"/>
      <c r="AJ274" s="27"/>
      <c r="AK274" s="27"/>
      <c r="AL274" s="27"/>
      <c r="AM274" s="1168"/>
      <c r="AN274" s="1167"/>
      <c r="AO274" s="1167"/>
      <c r="AP274" s="886"/>
      <c r="AQ274" s="27"/>
      <c r="AR274" s="27"/>
      <c r="AS274" s="27"/>
      <c r="AT274" s="1168"/>
      <c r="AU274" s="1166"/>
      <c r="AV274" s="1166"/>
      <c r="AW274" s="886"/>
      <c r="AX274" s="27"/>
      <c r="AY274" s="27"/>
      <c r="AZ274" s="27"/>
      <c r="BA274" s="1168"/>
      <c r="BB274" s="1166"/>
      <c r="BC274" s="1166"/>
      <c r="BD274" s="886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1168"/>
      <c r="AG275" s="1166"/>
      <c r="AH275" s="1166"/>
      <c r="AI275" s="886"/>
      <c r="AJ275" s="27"/>
      <c r="AK275" s="27"/>
      <c r="AL275" s="27"/>
      <c r="AM275" s="1168"/>
      <c r="AN275" s="1167"/>
      <c r="AO275" s="1167"/>
      <c r="AP275" s="886"/>
      <c r="AQ275" s="27"/>
      <c r="AR275" s="27"/>
      <c r="AS275" s="27"/>
      <c r="AT275" s="1168"/>
      <c r="AU275" s="1166"/>
      <c r="AV275" s="1166"/>
      <c r="AW275" s="886"/>
      <c r="AX275" s="27"/>
      <c r="AY275" s="27"/>
      <c r="AZ275" s="27"/>
      <c r="BA275" s="1168"/>
      <c r="BB275" s="1166"/>
      <c r="BC275" s="1166"/>
      <c r="BD275" s="886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1168"/>
      <c r="AG276" s="1166"/>
      <c r="AH276" s="1166"/>
      <c r="AI276" s="886"/>
      <c r="AJ276" s="27"/>
      <c r="AK276" s="27"/>
      <c r="AL276" s="27"/>
      <c r="AM276" s="1168"/>
      <c r="AN276" s="1167"/>
      <c r="AO276" s="1167"/>
      <c r="AP276" s="886"/>
      <c r="AQ276" s="27"/>
      <c r="AR276" s="27"/>
      <c r="AS276" s="27"/>
      <c r="AT276" s="1168"/>
      <c r="AU276" s="1166"/>
      <c r="AV276" s="1166"/>
      <c r="AW276" s="886"/>
      <c r="AX276" s="27"/>
      <c r="AY276" s="27"/>
      <c r="AZ276" s="27"/>
      <c r="BA276" s="1168"/>
      <c r="BB276" s="1166"/>
      <c r="BC276" s="1166"/>
      <c r="BD276" s="886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1168"/>
      <c r="AG277" s="1166"/>
      <c r="AH277" s="1166"/>
      <c r="AI277" s="886"/>
      <c r="AJ277" s="27"/>
      <c r="AK277" s="27"/>
      <c r="AL277" s="27"/>
      <c r="AM277" s="1168"/>
      <c r="AN277" s="1167"/>
      <c r="AO277" s="1167"/>
      <c r="AP277" s="886"/>
      <c r="AQ277" s="27"/>
      <c r="AR277" s="27"/>
      <c r="AS277" s="27"/>
      <c r="AT277" s="1168"/>
      <c r="AU277" s="1166"/>
      <c r="AV277" s="1166"/>
      <c r="AW277" s="886"/>
      <c r="AX277" s="27"/>
      <c r="AY277" s="27"/>
      <c r="AZ277" s="27"/>
      <c r="BA277" s="1168"/>
      <c r="BB277" s="1166"/>
      <c r="BC277" s="1166"/>
      <c r="BD277" s="886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1168"/>
      <c r="AG278" s="1166"/>
      <c r="AH278" s="1166"/>
      <c r="AI278" s="886"/>
      <c r="AJ278" s="27"/>
      <c r="AK278" s="27"/>
      <c r="AL278" s="27"/>
      <c r="AM278" s="1168"/>
      <c r="AN278" s="1167"/>
      <c r="AO278" s="1167"/>
      <c r="AP278" s="886"/>
      <c r="AQ278" s="27"/>
      <c r="AR278" s="27"/>
      <c r="AS278" s="27"/>
      <c r="AT278" s="1168"/>
      <c r="AU278" s="1166"/>
      <c r="AV278" s="1166"/>
      <c r="AW278" s="886"/>
      <c r="AX278" s="27"/>
      <c r="AY278" s="27"/>
      <c r="AZ278" s="27"/>
      <c r="BA278" s="1168"/>
      <c r="BB278" s="1166"/>
      <c r="BC278" s="1166"/>
      <c r="BD278" s="886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1168"/>
      <c r="AG279" s="1166"/>
      <c r="AH279" s="1166"/>
      <c r="AI279" s="886"/>
      <c r="AJ279" s="27"/>
      <c r="AK279" s="27"/>
      <c r="AL279" s="27"/>
      <c r="AM279" s="1168"/>
      <c r="AN279" s="1167"/>
      <c r="AO279" s="1167"/>
      <c r="AP279" s="886"/>
      <c r="AQ279" s="27"/>
      <c r="AR279" s="27"/>
      <c r="AS279" s="27"/>
      <c r="AT279" s="1168"/>
      <c r="AU279" s="1166"/>
      <c r="AV279" s="1166"/>
      <c r="AW279" s="886"/>
      <c r="AX279" s="27"/>
      <c r="AY279" s="27"/>
      <c r="AZ279" s="27"/>
      <c r="BA279" s="1168"/>
      <c r="BB279" s="1166"/>
      <c r="BC279" s="1166"/>
      <c r="BD279" s="886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1168"/>
      <c r="AG280" s="1166"/>
      <c r="AH280" s="1166"/>
      <c r="AI280" s="886"/>
      <c r="AJ280" s="27"/>
      <c r="AK280" s="27"/>
      <c r="AL280" s="27"/>
      <c r="AM280" s="1168"/>
      <c r="AN280" s="1167"/>
      <c r="AO280" s="1167"/>
      <c r="AP280" s="886"/>
      <c r="AQ280" s="27"/>
      <c r="AR280" s="27"/>
      <c r="AS280" s="27"/>
      <c r="AT280" s="1168"/>
      <c r="AU280" s="1166"/>
      <c r="AV280" s="1166"/>
      <c r="AW280" s="886"/>
      <c r="AX280" s="27"/>
      <c r="AY280" s="27"/>
      <c r="AZ280" s="27"/>
      <c r="BA280" s="1168"/>
      <c r="BB280" s="1166"/>
      <c r="BC280" s="1166"/>
      <c r="BD280" s="886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1168"/>
      <c r="AG281" s="1166"/>
      <c r="AH281" s="1166"/>
      <c r="AI281" s="886"/>
      <c r="AJ281" s="27"/>
      <c r="AK281" s="27"/>
      <c r="AL281" s="27"/>
      <c r="AM281" s="1168"/>
      <c r="AN281" s="1167"/>
      <c r="AO281" s="1167"/>
      <c r="AP281" s="886"/>
      <c r="AQ281" s="27"/>
      <c r="AR281" s="27"/>
      <c r="AS281" s="27"/>
      <c r="AT281" s="1168"/>
      <c r="AU281" s="1166"/>
      <c r="AV281" s="1166"/>
      <c r="AW281" s="886"/>
      <c r="AX281" s="27"/>
      <c r="AY281" s="27"/>
      <c r="AZ281" s="27"/>
      <c r="BA281" s="1168"/>
      <c r="BB281" s="1166"/>
      <c r="BC281" s="1166"/>
      <c r="BD281" s="886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1168"/>
      <c r="AG282" s="1166"/>
      <c r="AH282" s="1166"/>
      <c r="AI282" s="886"/>
      <c r="AJ282" s="27"/>
      <c r="AK282" s="27"/>
      <c r="AL282" s="27"/>
      <c r="AM282" s="1168"/>
      <c r="AN282" s="1167"/>
      <c r="AO282" s="1167"/>
      <c r="AP282" s="886"/>
      <c r="AQ282" s="27"/>
      <c r="AR282" s="27"/>
      <c r="AS282" s="27"/>
      <c r="AT282" s="1168"/>
      <c r="AU282" s="1166"/>
      <c r="AV282" s="1166"/>
      <c r="AW282" s="886"/>
      <c r="AX282" s="27"/>
      <c r="AY282" s="27"/>
      <c r="AZ282" s="27"/>
      <c r="BA282" s="1168"/>
      <c r="BB282" s="1166"/>
      <c r="BC282" s="1166"/>
      <c r="BD282" s="886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1168"/>
      <c r="AG283" s="1166"/>
      <c r="AH283" s="1166"/>
      <c r="AI283" s="886"/>
      <c r="AJ283" s="27"/>
      <c r="AK283" s="27"/>
      <c r="AL283" s="27"/>
      <c r="AM283" s="1168"/>
      <c r="AN283" s="1167"/>
      <c r="AO283" s="1167"/>
      <c r="AP283" s="886"/>
      <c r="AQ283" s="27"/>
      <c r="AR283" s="27"/>
      <c r="AS283" s="27"/>
      <c r="AT283" s="1168"/>
      <c r="AU283" s="1166"/>
      <c r="AV283" s="1166"/>
      <c r="AW283" s="886"/>
      <c r="AX283" s="27"/>
      <c r="AY283" s="27"/>
      <c r="AZ283" s="27"/>
      <c r="BA283" s="1168"/>
      <c r="BB283" s="1166"/>
      <c r="BC283" s="1166"/>
      <c r="BD283" s="886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1168"/>
      <c r="AG284" s="1166"/>
      <c r="AH284" s="1166"/>
      <c r="AI284" s="886"/>
      <c r="AJ284" s="27"/>
      <c r="AK284" s="27"/>
      <c r="AL284" s="27"/>
      <c r="AM284" s="1168"/>
      <c r="AN284" s="1167"/>
      <c r="AO284" s="1167"/>
      <c r="AP284" s="886"/>
      <c r="AQ284" s="27"/>
      <c r="AR284" s="27"/>
      <c r="AS284" s="27"/>
      <c r="AT284" s="1168"/>
      <c r="AU284" s="1166"/>
      <c r="AV284" s="1166"/>
      <c r="AW284" s="886"/>
      <c r="AX284" s="27"/>
      <c r="AY284" s="27"/>
      <c r="AZ284" s="27"/>
      <c r="BA284" s="1168"/>
      <c r="BB284" s="1166"/>
      <c r="BC284" s="1166"/>
      <c r="BD284" s="886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1168"/>
      <c r="AG285" s="1166"/>
      <c r="AH285" s="1166"/>
      <c r="AI285" s="886"/>
      <c r="AJ285" s="27"/>
      <c r="AK285" s="27"/>
      <c r="AL285" s="27"/>
      <c r="AM285" s="1168"/>
      <c r="AN285" s="1167"/>
      <c r="AO285" s="1167"/>
      <c r="AP285" s="886"/>
      <c r="AQ285" s="27"/>
      <c r="AR285" s="27"/>
      <c r="AS285" s="27"/>
      <c r="AT285" s="1168"/>
      <c r="AU285" s="1166"/>
      <c r="AV285" s="1166"/>
      <c r="AW285" s="886"/>
      <c r="AX285" s="27"/>
      <c r="AY285" s="27"/>
      <c r="AZ285" s="27"/>
      <c r="BA285" s="1168"/>
      <c r="BB285" s="1166"/>
      <c r="BC285" s="1166"/>
      <c r="BD285" s="886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1168"/>
      <c r="AG286" s="1166"/>
      <c r="AH286" s="1166"/>
      <c r="AI286" s="886"/>
      <c r="AJ286" s="27"/>
      <c r="AK286" s="27"/>
      <c r="AL286" s="27"/>
      <c r="AM286" s="1168"/>
      <c r="AN286" s="1167"/>
      <c r="AO286" s="1167"/>
      <c r="AP286" s="886"/>
      <c r="AQ286" s="27"/>
      <c r="AR286" s="27"/>
      <c r="AS286" s="27"/>
      <c r="AT286" s="1168"/>
      <c r="AU286" s="1166"/>
      <c r="AV286" s="1166"/>
      <c r="AW286" s="886"/>
      <c r="AX286" s="27"/>
      <c r="AY286" s="27"/>
      <c r="AZ286" s="27"/>
      <c r="BA286" s="1168"/>
      <c r="BB286" s="1166"/>
      <c r="BC286" s="1166"/>
      <c r="BD286" s="886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1168"/>
      <c r="AG287" s="1166"/>
      <c r="AH287" s="1166"/>
      <c r="AI287" s="886"/>
      <c r="AJ287" s="27"/>
      <c r="AK287" s="27"/>
      <c r="AL287" s="27"/>
      <c r="AM287" s="1168"/>
      <c r="AN287" s="1167"/>
      <c r="AO287" s="1167"/>
      <c r="AP287" s="886"/>
      <c r="AQ287" s="27"/>
      <c r="AR287" s="27"/>
      <c r="AS287" s="27"/>
      <c r="AT287" s="1168"/>
      <c r="AU287" s="1166"/>
      <c r="AV287" s="1166"/>
      <c r="AW287" s="886"/>
      <c r="AX287" s="27"/>
      <c r="AY287" s="27"/>
      <c r="AZ287" s="27"/>
      <c r="BA287" s="1168"/>
      <c r="BB287" s="1166"/>
      <c r="BC287" s="1166"/>
      <c r="BD287" s="886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1168"/>
      <c r="AG288" s="1166"/>
      <c r="AH288" s="1166"/>
      <c r="AI288" s="886"/>
      <c r="AJ288" s="27"/>
      <c r="AK288" s="27"/>
      <c r="AL288" s="27"/>
      <c r="AM288" s="1168"/>
      <c r="AN288" s="1167"/>
      <c r="AO288" s="1167"/>
      <c r="AP288" s="886"/>
      <c r="AQ288" s="27"/>
      <c r="AR288" s="27"/>
      <c r="AS288" s="27"/>
      <c r="AT288" s="1168"/>
      <c r="AU288" s="1166"/>
      <c r="AV288" s="1166"/>
      <c r="AW288" s="886"/>
      <c r="AX288" s="27"/>
      <c r="AY288" s="27"/>
      <c r="AZ288" s="27"/>
      <c r="BA288" s="1168"/>
      <c r="BB288" s="1166"/>
      <c r="BC288" s="1166"/>
      <c r="BD288" s="886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1168"/>
      <c r="AG289" s="1166"/>
      <c r="AH289" s="1166"/>
      <c r="AI289" s="886"/>
      <c r="AJ289" s="27"/>
      <c r="AK289" s="27"/>
      <c r="AL289" s="27"/>
      <c r="AM289" s="1168"/>
      <c r="AN289" s="1167"/>
      <c r="AO289" s="1167"/>
      <c r="AP289" s="886"/>
      <c r="AQ289" s="27"/>
      <c r="AR289" s="27"/>
      <c r="AS289" s="27"/>
      <c r="AT289" s="1168"/>
      <c r="AU289" s="1166"/>
      <c r="AV289" s="1166"/>
      <c r="AW289" s="886"/>
      <c r="AX289" s="27"/>
      <c r="AY289" s="27"/>
      <c r="AZ289" s="27"/>
      <c r="BA289" s="1168"/>
      <c r="BB289" s="1166"/>
      <c r="BC289" s="1166"/>
      <c r="BD289" s="886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1168"/>
      <c r="AG290" s="1166"/>
      <c r="AH290" s="1166"/>
      <c r="AI290" s="886"/>
      <c r="AJ290" s="27"/>
      <c r="AK290" s="27"/>
      <c r="AL290" s="27"/>
      <c r="AM290" s="1168"/>
      <c r="AN290" s="1167"/>
      <c r="AO290" s="1167"/>
      <c r="AP290" s="886"/>
      <c r="AQ290" s="27"/>
      <c r="AR290" s="27"/>
      <c r="AS290" s="27"/>
      <c r="AT290" s="1168"/>
      <c r="AU290" s="1166"/>
      <c r="AV290" s="1166"/>
      <c r="AW290" s="886"/>
      <c r="AX290" s="27"/>
      <c r="AY290" s="27"/>
      <c r="AZ290" s="27"/>
      <c r="BA290" s="1168"/>
      <c r="BB290" s="1166"/>
      <c r="BC290" s="1166"/>
      <c r="BD290" s="886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1168"/>
      <c r="AG291" s="1166"/>
      <c r="AH291" s="1166"/>
      <c r="AI291" s="886"/>
      <c r="AJ291" s="27"/>
      <c r="AK291" s="27"/>
      <c r="AL291" s="27"/>
      <c r="AM291" s="1168"/>
      <c r="AN291" s="1167"/>
      <c r="AO291" s="1167"/>
      <c r="AP291" s="886"/>
      <c r="AQ291" s="27"/>
      <c r="AR291" s="27"/>
      <c r="AS291" s="27"/>
      <c r="AT291" s="1168"/>
      <c r="AU291" s="1166"/>
      <c r="AV291" s="1166"/>
      <c r="AW291" s="886"/>
      <c r="AX291" s="27"/>
      <c r="AY291" s="27"/>
      <c r="AZ291" s="27"/>
      <c r="BA291" s="1168"/>
      <c r="BB291" s="1166"/>
      <c r="BC291" s="1166"/>
      <c r="BD291" s="886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1168"/>
      <c r="AG292" s="1166"/>
      <c r="AH292" s="1166"/>
      <c r="AI292" s="886"/>
      <c r="AJ292" s="27"/>
      <c r="AK292" s="27"/>
      <c r="AL292" s="27"/>
      <c r="AM292" s="1168"/>
      <c r="AN292" s="1167"/>
      <c r="AO292" s="1167"/>
      <c r="AP292" s="886"/>
      <c r="AQ292" s="27"/>
      <c r="AR292" s="27"/>
      <c r="AS292" s="27"/>
      <c r="AT292" s="1168"/>
      <c r="AU292" s="1166"/>
      <c r="AV292" s="1166"/>
      <c r="AW292" s="886"/>
      <c r="AX292" s="27"/>
      <c r="AY292" s="27"/>
      <c r="AZ292" s="27"/>
      <c r="BA292" s="1168"/>
      <c r="BB292" s="1166"/>
      <c r="BC292" s="1166"/>
      <c r="BD292" s="886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1168"/>
      <c r="AG293" s="1166"/>
      <c r="AH293" s="1166"/>
      <c r="AI293" s="886"/>
      <c r="AJ293" s="27"/>
      <c r="AK293" s="27"/>
      <c r="AL293" s="27"/>
      <c r="AM293" s="1168"/>
      <c r="AN293" s="1167"/>
      <c r="AO293" s="1167"/>
      <c r="AP293" s="886"/>
      <c r="AQ293" s="27"/>
      <c r="AR293" s="27"/>
      <c r="AS293" s="27"/>
      <c r="AT293" s="1168"/>
      <c r="AU293" s="1166"/>
      <c r="AV293" s="1166"/>
      <c r="AW293" s="886"/>
      <c r="AX293" s="27"/>
      <c r="AY293" s="27"/>
      <c r="AZ293" s="27"/>
      <c r="BA293" s="1168"/>
      <c r="BB293" s="1166"/>
      <c r="BC293" s="1166"/>
      <c r="BD293" s="886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1168"/>
      <c r="AG294" s="1187"/>
      <c r="AH294" s="1187"/>
      <c r="AI294" s="886"/>
      <c r="AJ294" s="27"/>
      <c r="AK294" s="27"/>
      <c r="AL294" s="27"/>
      <c r="AM294" s="1168"/>
      <c r="AN294" s="1188"/>
      <c r="AO294" s="1188"/>
      <c r="AP294" s="886"/>
      <c r="AQ294" s="27"/>
      <c r="AR294" s="27"/>
      <c r="AS294" s="27"/>
      <c r="AT294" s="1168"/>
      <c r="AU294" s="1187"/>
      <c r="AV294" s="1187"/>
      <c r="AW294" s="886"/>
      <c r="AX294" s="27"/>
      <c r="AY294" s="27"/>
      <c r="AZ294" s="27"/>
      <c r="BA294" s="1168"/>
      <c r="BB294" s="1187"/>
      <c r="BC294" s="1187"/>
      <c r="BD294" s="886"/>
    </row>
  </sheetData>
  <mergeCells count="30">
    <mergeCell ref="AA40:AA41"/>
    <mergeCell ref="AF40:AF41"/>
    <mergeCell ref="A41:A42"/>
    <mergeCell ref="A45:A49"/>
    <mergeCell ref="A1:A2"/>
    <mergeCell ref="B1:B2"/>
    <mergeCell ref="D1:K1"/>
    <mergeCell ref="L1:U1"/>
    <mergeCell ref="V1:Z1"/>
    <mergeCell ref="AA1:BD1"/>
    <mergeCell ref="A32:A38"/>
    <mergeCell ref="AA32:AA34"/>
    <mergeCell ref="AF32:AF33"/>
    <mergeCell ref="AA36:AA38"/>
    <mergeCell ref="AF36:AF38"/>
    <mergeCell ref="AF43:AF44"/>
    <mergeCell ref="AA44:AA48"/>
    <mergeCell ref="AF47:AF50"/>
    <mergeCell ref="AA51:AA53"/>
    <mergeCell ref="AA56:AA60"/>
    <mergeCell ref="AF82:AF83"/>
    <mergeCell ref="AF87:AF89"/>
    <mergeCell ref="AF91:AF94"/>
    <mergeCell ref="AF52:AF55"/>
    <mergeCell ref="AF58:AF61"/>
    <mergeCell ref="AF63:AF66"/>
    <mergeCell ref="AF68:AF69"/>
    <mergeCell ref="AF71:AF73"/>
    <mergeCell ref="AF75:AF76"/>
    <mergeCell ref="AF79:AF80"/>
  </mergeCell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G43"/>
  <sheetViews>
    <sheetView workbookViewId="0" showGridLines="0" defaultGridColor="1"/>
  </sheetViews>
  <sheetFormatPr defaultColWidth="14.4" defaultRowHeight="15" customHeight="1" outlineLevelRow="0" outlineLevelCol="0"/>
  <cols>
    <col min="1" max="1" width="6" style="1189" customWidth="1"/>
    <col min="2" max="2" width="14" style="1189" customWidth="1"/>
    <col min="3" max="3" width="15" style="1189" customWidth="1"/>
    <col min="4" max="4" width="12" style="1189" customWidth="1"/>
    <col min="5" max="5" width="22" style="1189" customWidth="1"/>
    <col min="6" max="6" width="15" style="1189" customWidth="1"/>
    <col min="7" max="7" width="14" style="1189" customWidth="1"/>
    <col min="8" max="8" width="16" style="1189" customWidth="1"/>
    <col min="9" max="10" width="13" style="1189" customWidth="1"/>
    <col min="11" max="12" width="16" style="1189" customWidth="1"/>
    <col min="13" max="13" width="13" style="1189" customWidth="1"/>
    <col min="14" max="14" width="14" style="1189" customWidth="1"/>
    <col min="15" max="15" width="15" style="1189" customWidth="1"/>
    <col min="16" max="16" width="23.8125" style="1189" customWidth="1"/>
    <col min="17" max="17" width="25.6016" style="1189" customWidth="1"/>
    <col min="18" max="18" hidden="1" width="14.4" style="1189" customWidth="1"/>
    <col min="19" max="21" width="14" style="1189" customWidth="1"/>
    <col min="22" max="22" width="19" style="1189" customWidth="1"/>
    <col min="23" max="33" width="14" style="1189" customWidth="1"/>
    <col min="34" max="16384" width="14.4219" style="1189" customWidth="1"/>
  </cols>
  <sheetData>
    <row r="1" ht="21" customHeight="1">
      <c r="A1" t="s" s="1190">
        <v>380</v>
      </c>
      <c r="B1" s="27"/>
      <c r="C1" s="27"/>
      <c r="D1" s="27"/>
      <c r="E1" s="27"/>
      <c r="F1" s="526"/>
      <c r="G1" s="526"/>
      <c r="H1" s="526"/>
      <c r="I1" s="526"/>
      <c r="J1" s="526"/>
      <c r="K1" s="526"/>
      <c r="L1" s="526"/>
      <c r="M1" s="526"/>
      <c r="N1" s="526"/>
      <c r="O1" s="526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 ht="18.75" customHeight="1">
      <c r="A2" t="s" s="1191">
        <v>6020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</row>
    <row r="3" ht="22.5" customHeight="1">
      <c r="A3" s="1192"/>
      <c r="B3" s="1193"/>
      <c r="C3" s="1193"/>
      <c r="D3" s="1193"/>
      <c r="E3" s="1194"/>
      <c r="F3" s="1195"/>
      <c r="G3" s="29"/>
      <c r="H3" s="29"/>
      <c r="I3" s="29"/>
      <c r="J3" s="29"/>
      <c r="K3" s="29"/>
      <c r="L3" s="29"/>
      <c r="M3" s="29"/>
      <c r="N3" s="29"/>
      <c r="O3" s="29"/>
      <c r="P3" s="29"/>
      <c r="Q3" s="27"/>
      <c r="R3" s="1196"/>
      <c r="S3" t="s" s="1197">
        <v>6021</v>
      </c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</row>
    <row r="4" ht="15" customHeight="1">
      <c r="A4" t="s" s="1198">
        <v>15</v>
      </c>
      <c r="B4" t="s" s="1198">
        <v>6022</v>
      </c>
      <c r="C4" t="s" s="1199">
        <v>6023</v>
      </c>
      <c r="D4" t="s" s="1198">
        <v>6024</v>
      </c>
      <c r="E4" t="s" s="1198">
        <v>5888</v>
      </c>
      <c r="F4" t="s" s="55">
        <v>6025</v>
      </c>
      <c r="G4" t="s" s="41">
        <v>6026</v>
      </c>
      <c r="H4" s="36"/>
      <c r="I4" s="40"/>
      <c r="J4" s="37"/>
      <c r="K4" t="s" s="1200">
        <v>6027</v>
      </c>
      <c r="L4" s="40"/>
      <c r="M4" s="40"/>
      <c r="N4" s="37"/>
      <c r="O4" t="s" s="1198">
        <v>180</v>
      </c>
      <c r="P4" t="s" s="1201">
        <v>13</v>
      </c>
      <c r="Q4" s="62"/>
      <c r="R4" t="s" s="1201">
        <v>15</v>
      </c>
      <c r="S4" t="s" s="1201">
        <v>6022</v>
      </c>
      <c r="T4" t="s" s="1202">
        <v>6023</v>
      </c>
      <c r="U4" t="s" s="1201">
        <v>6024</v>
      </c>
      <c r="V4" t="s" s="1201">
        <v>5888</v>
      </c>
      <c r="W4" t="s" s="1203">
        <v>6025</v>
      </c>
      <c r="X4" t="s" s="1204">
        <v>6026</v>
      </c>
      <c r="Y4" s="40"/>
      <c r="Z4" s="40"/>
      <c r="AA4" s="37"/>
      <c r="AB4" t="s" s="1204">
        <v>6027</v>
      </c>
      <c r="AC4" s="40"/>
      <c r="AD4" s="40"/>
      <c r="AE4" s="37"/>
      <c r="AF4" t="s" s="1205">
        <v>180</v>
      </c>
      <c r="AG4" s="1206"/>
    </row>
    <row r="5" ht="15" customHeight="1">
      <c r="A5" s="62"/>
      <c r="B5" s="62"/>
      <c r="C5" s="1207"/>
      <c r="D5" s="62"/>
      <c r="E5" s="62"/>
      <c r="F5" s="62"/>
      <c r="G5" t="s" s="1199">
        <v>6028</v>
      </c>
      <c r="H5" t="s" s="1199">
        <v>6029</v>
      </c>
      <c r="I5" t="s" s="1199">
        <v>6030</v>
      </c>
      <c r="J5" t="s" s="1198">
        <v>180</v>
      </c>
      <c r="K5" t="s" s="1199">
        <v>6028</v>
      </c>
      <c r="L5" t="s" s="1199">
        <v>6029</v>
      </c>
      <c r="M5" t="s" s="1199">
        <v>6030</v>
      </c>
      <c r="N5" t="s" s="1198">
        <v>180</v>
      </c>
      <c r="O5" s="62"/>
      <c r="P5" s="62"/>
      <c r="Q5" s="62"/>
      <c r="R5" s="62"/>
      <c r="S5" s="62"/>
      <c r="T5" s="1208"/>
      <c r="U5" s="62"/>
      <c r="V5" s="62"/>
      <c r="W5" s="62"/>
      <c r="X5" t="s" s="1202">
        <v>6028</v>
      </c>
      <c r="Y5" t="s" s="1202">
        <v>6029</v>
      </c>
      <c r="Z5" t="s" s="1202">
        <v>6030</v>
      </c>
      <c r="AA5" t="s" s="1201">
        <v>180</v>
      </c>
      <c r="AB5" t="s" s="1202">
        <v>6028</v>
      </c>
      <c r="AC5" t="s" s="1202">
        <v>6029</v>
      </c>
      <c r="AD5" t="s" s="1202">
        <v>6030</v>
      </c>
      <c r="AE5" t="s" s="1201">
        <v>180</v>
      </c>
      <c r="AF5" s="1186"/>
      <c r="AG5" s="27"/>
    </row>
    <row r="6" ht="15" customHeight="1">
      <c r="A6" s="66"/>
      <c r="B6" s="66"/>
      <c r="C6" s="1207"/>
      <c r="D6" s="66"/>
      <c r="E6" s="66"/>
      <c r="F6" s="66"/>
      <c r="G6" s="1209">
        <v>0.175</v>
      </c>
      <c r="H6" s="1210">
        <v>0.03</v>
      </c>
      <c r="I6" t="s" s="1199">
        <v>6031</v>
      </c>
      <c r="J6" s="66"/>
      <c r="K6" s="1210">
        <v>0.08</v>
      </c>
      <c r="L6" s="1209">
        <v>0.015</v>
      </c>
      <c r="M6" s="1210">
        <v>0.01</v>
      </c>
      <c r="N6" s="66"/>
      <c r="O6" s="66"/>
      <c r="P6" s="66"/>
      <c r="Q6" s="62"/>
      <c r="R6" s="66"/>
      <c r="S6" s="66"/>
      <c r="T6" s="1208"/>
      <c r="U6" s="66"/>
      <c r="V6" s="66"/>
      <c r="W6" s="66"/>
      <c r="X6" s="1211">
        <v>0.175</v>
      </c>
      <c r="Y6" s="1212">
        <v>0.03</v>
      </c>
      <c r="Z6" t="s" s="1202">
        <v>6031</v>
      </c>
      <c r="AA6" s="66"/>
      <c r="AB6" s="1212">
        <v>0.08</v>
      </c>
      <c r="AC6" s="1211">
        <v>0.015</v>
      </c>
      <c r="AD6" s="1212">
        <v>0.01</v>
      </c>
      <c r="AE6" s="66"/>
      <c r="AF6" s="1213"/>
      <c r="AG6" s="27"/>
    </row>
    <row r="7" ht="15" customHeight="1">
      <c r="A7" s="1214">
        <v>1</v>
      </c>
      <c r="B7" t="s" s="1215">
        <v>6032</v>
      </c>
      <c r="C7" s="1216"/>
      <c r="D7" t="s" s="117">
        <v>89</v>
      </c>
      <c r="E7" t="s" s="1217">
        <v>90</v>
      </c>
      <c r="F7" s="1218">
        <v>9000000</v>
      </c>
      <c r="G7" s="95" cm="1">
        <f t="array" ref="G7">ROUND(F7*$G$6,0)</f>
        <v>1575000</v>
      </c>
      <c r="H7" s="1219" cm="1">
        <f t="array" ref="H7">ROUND(F7*$H$6,0)</f>
        <v>270000</v>
      </c>
      <c r="I7" s="1219" cm="1">
        <f t="array" ref="I7">ROUND(F7*$I$6,0)</f>
        <v>90000</v>
      </c>
      <c r="J7" s="1219" cm="1">
        <f t="array" ref="J7">ROUND(SUM(G7:I7),0)</f>
        <v>1935000</v>
      </c>
      <c r="K7" s="95" cm="1">
        <f t="array" ref="K7">ROUND(F7*$K$6,0)</f>
        <v>720000</v>
      </c>
      <c r="L7" s="95" cm="1">
        <f t="array" ref="L7">ROUND(F7*$L$6,0)</f>
        <v>135000</v>
      </c>
      <c r="M7" s="95" cm="1">
        <f t="array" ref="M7">ROUND(F7*$M$6,0)</f>
        <v>90000</v>
      </c>
      <c r="N7" s="95" cm="1">
        <f t="array" ref="N7">ROUND(SUM(K7:M7),0)</f>
        <v>945000</v>
      </c>
      <c r="O7" s="95" cm="1">
        <f t="array" ref="O7">J7+N7</f>
        <v>2880000</v>
      </c>
      <c r="P7" s="1220"/>
      <c r="Q7" s="62"/>
      <c r="R7" s="1221">
        <v>1</v>
      </c>
      <c r="S7" t="s" s="1222">
        <v>6033</v>
      </c>
      <c r="T7" s="1208"/>
      <c r="U7" t="s" s="1223">
        <v>81</v>
      </c>
      <c r="V7" t="s" s="1224">
        <v>82</v>
      </c>
      <c r="W7" s="1225">
        <v>5100000</v>
      </c>
      <c r="X7" s="1226" cm="1">
        <f t="array" ref="X7">ROUND(W7*$G$6,0)</f>
        <v>892500</v>
      </c>
      <c r="Y7" s="1225" cm="1">
        <f t="array" ref="Y7">ROUND(W7*$H$6,0)</f>
        <v>153000</v>
      </c>
      <c r="Z7" s="1225" cm="1">
        <f t="array" ref="Z7">ROUND(W7*$I$6,0)</f>
        <v>51000</v>
      </c>
      <c r="AA7" s="1225" cm="1">
        <f t="array" ref="AA7">ROUND(SUM(X7:Z7),0)</f>
        <v>1096500</v>
      </c>
      <c r="AB7" s="1226" cm="1">
        <f t="array" ref="AB7">ROUND(W7*$K$6,0)</f>
        <v>408000</v>
      </c>
      <c r="AC7" s="1226" cm="1">
        <f t="array" ref="AC7">ROUND(W7*$L$6,0)</f>
        <v>76500</v>
      </c>
      <c r="AD7" s="1226" cm="1">
        <f t="array" ref="AD7">ROUND(W7*$M$6,0)</f>
        <v>51000</v>
      </c>
      <c r="AE7" s="1226" cm="1">
        <f t="array" ref="AE7">ROUND(SUM(AB7:AD7),0)</f>
        <v>535500</v>
      </c>
      <c r="AF7" s="1226" cm="1">
        <f t="array" ref="AF7">AA7+AE7</f>
        <v>1632000</v>
      </c>
      <c r="AG7" s="1186"/>
    </row>
    <row r="8" ht="15" customHeight="1">
      <c r="A8" s="1214">
        <v>2</v>
      </c>
      <c r="B8" t="s" s="1215">
        <v>6034</v>
      </c>
      <c r="C8" s="1216"/>
      <c r="D8" t="s" s="117">
        <v>96</v>
      </c>
      <c r="E8" t="s" s="1217">
        <v>97</v>
      </c>
      <c r="F8" s="1218">
        <v>5100000</v>
      </c>
      <c r="G8" s="95" cm="1">
        <f t="array" ref="G8">ROUND(F8*$G$6,0)</f>
        <v>892500</v>
      </c>
      <c r="H8" s="1219" cm="1">
        <f t="array" ref="H8">ROUND(F8*$H$6,0)</f>
        <v>153000</v>
      </c>
      <c r="I8" s="95" cm="1">
        <f t="array" ref="I8">ROUND(H8*$G$6,0)</f>
        <v>26775</v>
      </c>
      <c r="J8" s="1219" cm="1">
        <f t="array" ref="J8">ROUND(SUM(G8:I8),0)</f>
        <v>1072275</v>
      </c>
      <c r="K8" s="95" cm="1">
        <f t="array" ref="K8">ROUND(F8*$K$6,0)</f>
        <v>408000</v>
      </c>
      <c r="L8" s="95" cm="1">
        <f t="array" ref="L8">ROUND(F8*$L$6,0)</f>
        <v>76500</v>
      </c>
      <c r="M8" s="95" cm="1">
        <f t="array" ref="M8">ROUND(F8*$M$6,0)</f>
        <v>51000</v>
      </c>
      <c r="N8" s="95" cm="1">
        <f t="array" ref="N8">ROUND(SUM(K8:M8),0)</f>
        <v>535500</v>
      </c>
      <c r="O8" s="95" cm="1">
        <f t="array" ref="O8">J8+N8</f>
        <v>1607775</v>
      </c>
      <c r="P8" s="1220"/>
      <c r="Q8" s="62"/>
      <c r="R8" s="1221">
        <v>2</v>
      </c>
      <c r="S8" t="s" s="1222">
        <v>6032</v>
      </c>
      <c r="T8" s="1208"/>
      <c r="U8" t="s" s="1223">
        <v>89</v>
      </c>
      <c r="V8" t="s" s="1224">
        <v>90</v>
      </c>
      <c r="W8" s="1225">
        <v>9000000</v>
      </c>
      <c r="X8" s="1226" cm="1">
        <f t="array" ref="X8">ROUND(W8*$G$6,0)</f>
        <v>1575000</v>
      </c>
      <c r="Y8" s="1225" cm="1">
        <f t="array" ref="Y8">ROUND(W8*$H$6,0)</f>
        <v>270000</v>
      </c>
      <c r="Z8" s="1225" cm="1">
        <f t="array" ref="Z8">ROUND(W8*$I$6,0)</f>
        <v>90000</v>
      </c>
      <c r="AA8" s="1225" cm="1">
        <f t="array" ref="AA8">ROUND(SUM(X8:Z8),0)</f>
        <v>1935000</v>
      </c>
      <c r="AB8" s="1226" cm="1">
        <f t="array" ref="AB8">ROUND(W8*$K$6,0)</f>
        <v>720000</v>
      </c>
      <c r="AC8" s="1226" cm="1">
        <f t="array" ref="AC8">ROUND(W8*$L$6,0)</f>
        <v>135000</v>
      </c>
      <c r="AD8" s="1226" cm="1">
        <f t="array" ref="AD8">ROUND(W8*$M$6,0)</f>
        <v>90000</v>
      </c>
      <c r="AE8" s="1226" cm="1">
        <f t="array" ref="AE8">ROUND(SUM(AB8:AD8),0)</f>
        <v>945000</v>
      </c>
      <c r="AF8" s="1226" cm="1">
        <f t="array" ref="AF8">AA8+AE8</f>
        <v>2880000</v>
      </c>
      <c r="AG8" s="1186"/>
    </row>
    <row r="9" ht="14.25" customHeight="1">
      <c r="A9" s="1214">
        <v>3</v>
      </c>
      <c r="B9" s="74"/>
      <c r="C9" s="1216"/>
      <c r="D9" t="s" s="117">
        <v>100</v>
      </c>
      <c r="E9" t="s" s="1217">
        <v>101</v>
      </c>
      <c r="F9" s="1218">
        <v>5100000</v>
      </c>
      <c r="G9" s="95" cm="1">
        <f t="array" ref="G9">ROUND(F9*$G$6,0)</f>
        <v>892500</v>
      </c>
      <c r="H9" s="1219" cm="1">
        <f t="array" ref="H9">ROUND(F9*$H$6,0)</f>
        <v>153000</v>
      </c>
      <c r="I9" s="95" cm="1">
        <f t="array" ref="I9">ROUND(H9*$G$6,0)</f>
        <v>26775</v>
      </c>
      <c r="J9" s="1219" cm="1">
        <f t="array" ref="J9">ROUND(SUM(G9:I9),0)</f>
        <v>1072275</v>
      </c>
      <c r="K9" s="95" cm="1">
        <f t="array" ref="K9">ROUND(F9*$K$6,0)</f>
        <v>408000</v>
      </c>
      <c r="L9" s="95" cm="1">
        <f t="array" ref="L9">ROUND(F9*$L$6,0)</f>
        <v>76500</v>
      </c>
      <c r="M9" s="95" cm="1">
        <f t="array" ref="M9">ROUND(F9*$M$6,0)</f>
        <v>51000</v>
      </c>
      <c r="N9" s="95" cm="1">
        <f t="array" ref="N9">ROUND(SUM(K9:M9),0)</f>
        <v>535500</v>
      </c>
      <c r="O9" s="95" cm="1">
        <f t="array" ref="O9">J9+N9</f>
        <v>1607775</v>
      </c>
      <c r="P9" s="1220"/>
      <c r="Q9" s="62"/>
      <c r="R9" s="1221">
        <v>3</v>
      </c>
      <c r="S9" t="s" s="1222">
        <v>6034</v>
      </c>
      <c r="T9" s="1208"/>
      <c r="U9" t="s" s="1223">
        <v>96</v>
      </c>
      <c r="V9" t="s" s="1224">
        <v>97</v>
      </c>
      <c r="W9" s="1225">
        <v>5100000</v>
      </c>
      <c r="X9" s="1226" cm="1">
        <f t="array" ref="X9">ROUND(W9*$G$6,0)</f>
        <v>892500</v>
      </c>
      <c r="Y9" s="1225" cm="1">
        <f t="array" ref="Y9">ROUND(W9*$H$6,0)</f>
        <v>153000</v>
      </c>
      <c r="Z9" s="1225" cm="1">
        <f t="array" ref="Z9">ROUND(W9*$I$6,0)</f>
        <v>51000</v>
      </c>
      <c r="AA9" s="1225" cm="1">
        <f t="array" ref="AA9">ROUND(SUM(X9:Z9),0)</f>
        <v>1096500</v>
      </c>
      <c r="AB9" s="1226" cm="1">
        <f t="array" ref="AB9">ROUND(W9*$K$6,0)</f>
        <v>408000</v>
      </c>
      <c r="AC9" s="1226" cm="1">
        <f t="array" ref="AC9">ROUND(W9*$L$6,0)</f>
        <v>76500</v>
      </c>
      <c r="AD9" s="1226" cm="1">
        <f t="array" ref="AD9">ROUND(W9*$M$6,0)</f>
        <v>51000</v>
      </c>
      <c r="AE9" s="1226" cm="1">
        <f t="array" ref="AE9">ROUND(SUM(AB9:AD9),0)</f>
        <v>535500</v>
      </c>
      <c r="AF9" s="1226" cm="1">
        <f t="array" ref="AF9">AA9+AE9</f>
        <v>1632000</v>
      </c>
      <c r="AG9" s="1186"/>
    </row>
    <row r="10" ht="15" customHeight="1">
      <c r="A10" s="1214">
        <v>4</v>
      </c>
      <c r="B10" s="1227"/>
      <c r="C10" s="1216"/>
      <c r="D10" t="s" s="117">
        <v>103</v>
      </c>
      <c r="E10" t="s" s="115">
        <v>104</v>
      </c>
      <c r="F10" s="1218">
        <v>5100000</v>
      </c>
      <c r="G10" s="95"/>
      <c r="H10" s="1219" cm="1">
        <f t="array" ref="H10">ROUND(F10*$H$6,0)</f>
        <v>153000</v>
      </c>
      <c r="I10" s="1219"/>
      <c r="J10" s="1219" cm="1">
        <f t="array" ref="J10">ROUND(SUM(G10:I10),0)</f>
        <v>153000</v>
      </c>
      <c r="K10" s="95"/>
      <c r="L10" s="95"/>
      <c r="M10" s="95"/>
      <c r="N10" s="95"/>
      <c r="O10" s="95" cm="1">
        <f t="array" ref="O10">J10+N10</f>
        <v>153000</v>
      </c>
      <c r="P10" s="1220"/>
      <c r="Q10" s="1228"/>
      <c r="R10" s="1221">
        <v>4</v>
      </c>
      <c r="S10" s="814"/>
      <c r="T10" s="1208"/>
      <c r="U10" t="s" s="1223">
        <v>100</v>
      </c>
      <c r="V10" t="s" s="1224">
        <v>101</v>
      </c>
      <c r="W10" s="1225">
        <v>5100000</v>
      </c>
      <c r="X10" s="1226" cm="1">
        <f t="array" ref="X10">ROUND(W10*$G$6,0)</f>
        <v>892500</v>
      </c>
      <c r="Y10" s="1225" cm="1">
        <f t="array" ref="Y10">ROUND(W10*$H$6,0)</f>
        <v>153000</v>
      </c>
      <c r="Z10" s="1225" cm="1">
        <f t="array" ref="Z10">ROUND(W10*$I$6,0)</f>
        <v>51000</v>
      </c>
      <c r="AA10" s="1225" cm="1">
        <f t="array" ref="AA10">ROUND(SUM(X10:Z10),0)</f>
        <v>1096500</v>
      </c>
      <c r="AB10" s="1226" cm="1">
        <f t="array" ref="AB10">ROUND(W10*$K$6,0)</f>
        <v>408000</v>
      </c>
      <c r="AC10" s="1226" cm="1">
        <f t="array" ref="AC10">ROUND(W10*$L$6,0)</f>
        <v>76500</v>
      </c>
      <c r="AD10" s="1226" cm="1">
        <f t="array" ref="AD10">ROUND(W10*$M$6,0)</f>
        <v>51000</v>
      </c>
      <c r="AE10" s="1226" cm="1">
        <f t="array" ref="AE10">ROUND(SUM(AB10:AD10),0)</f>
        <v>535500</v>
      </c>
      <c r="AF10" s="1226" cm="1">
        <f t="array" ref="AF10">AA10+AE10</f>
        <v>1632000</v>
      </c>
      <c r="AG10" s="1186"/>
    </row>
    <row r="11" ht="15" customHeight="1">
      <c r="A11" s="1214">
        <v>5</v>
      </c>
      <c r="B11" s="1229"/>
      <c r="C11" s="1216"/>
      <c r="D11" t="s" s="117">
        <v>107</v>
      </c>
      <c r="E11" t="s" s="1217">
        <v>108</v>
      </c>
      <c r="F11" s="1218">
        <v>5100000</v>
      </c>
      <c r="G11" s="95" cm="1">
        <f t="array" ref="G11">ROUND(F11*$G$6,0)</f>
        <v>892500</v>
      </c>
      <c r="H11" s="1219" cm="1">
        <f t="array" ref="H11">ROUND(F11*$H$6,0)</f>
        <v>153000</v>
      </c>
      <c r="I11" s="1219" cm="1">
        <f t="array" ref="I11">ROUND(F11*$I$6,0)</f>
        <v>51000</v>
      </c>
      <c r="J11" s="1219" cm="1">
        <f t="array" ref="J11">ROUND(SUM(G11:I11),0)</f>
        <v>1096500</v>
      </c>
      <c r="K11" s="95" cm="1">
        <f t="array" ref="K11">ROUND(F11*$K$6,0)</f>
        <v>408000</v>
      </c>
      <c r="L11" s="95" cm="1">
        <f t="array" ref="L11">ROUND(F11*$L$6,0)</f>
        <v>76500</v>
      </c>
      <c r="M11" s="95" cm="1">
        <f t="array" ref="M11">ROUND(F11*$M$6,0)</f>
        <v>51000</v>
      </c>
      <c r="N11" s="95" cm="1">
        <f t="array" ref="N11">ROUND(SUM(K11:M11),0)</f>
        <v>535500</v>
      </c>
      <c r="O11" s="95" cm="1">
        <f t="array" ref="O11">J11+N11</f>
        <v>1632000</v>
      </c>
      <c r="P11" s="1230"/>
      <c r="Q11" s="1231"/>
      <c r="R11" s="1221">
        <v>5</v>
      </c>
      <c r="S11" s="1232"/>
      <c r="T11" s="1208"/>
      <c r="U11" t="s" s="1223">
        <v>103</v>
      </c>
      <c r="V11" t="s" s="1224">
        <v>104</v>
      </c>
      <c r="W11" s="1225">
        <v>5100000</v>
      </c>
      <c r="X11" s="1226" cm="1">
        <f t="array" ref="X11">ROUND(W11*$G$6,0)</f>
        <v>892500</v>
      </c>
      <c r="Y11" s="1225" cm="1">
        <f t="array" ref="Y11">ROUND(W11*$H$6,0)</f>
        <v>153000</v>
      </c>
      <c r="Z11" s="1225" cm="1">
        <f t="array" ref="Z11">ROUND(W11*$I$6,0)</f>
        <v>51000</v>
      </c>
      <c r="AA11" s="1225" cm="1">
        <f t="array" ref="AA11">ROUND(SUM(X11:Z11),0)</f>
        <v>1096500</v>
      </c>
      <c r="AB11" s="1226" cm="1">
        <f t="array" ref="AB11">ROUND(W11*$K$6,0)</f>
        <v>408000</v>
      </c>
      <c r="AC11" s="1226" cm="1">
        <f t="array" ref="AC11">ROUND(W11*$L$6,0)</f>
        <v>76500</v>
      </c>
      <c r="AD11" s="1226" cm="1">
        <f t="array" ref="AD11">ROUND(W11*$M$6,0)</f>
        <v>51000</v>
      </c>
      <c r="AE11" s="1226" cm="1">
        <f t="array" ref="AE11">ROUND(SUM(AB11:AD11),0)</f>
        <v>535500</v>
      </c>
      <c r="AF11" s="1226" cm="1">
        <f t="array" ref="AF11">AA11+AE11</f>
        <v>1632000</v>
      </c>
      <c r="AG11" s="1186"/>
    </row>
    <row r="12" ht="15" customHeight="1">
      <c r="A12" s="1214">
        <v>6</v>
      </c>
      <c r="B12" s="1229"/>
      <c r="C12" s="1216"/>
      <c r="D12" t="s" s="117">
        <v>110</v>
      </c>
      <c r="E12" t="s" s="1217">
        <v>111</v>
      </c>
      <c r="F12" s="1218">
        <v>5100000</v>
      </c>
      <c r="G12" s="95"/>
      <c r="H12" s="1219" cm="1">
        <f t="array" ref="H12">ROUND(F12*$H$6,0)</f>
        <v>153000</v>
      </c>
      <c r="I12" s="1219"/>
      <c r="J12" s="1219" cm="1">
        <f t="array" ref="J12">ROUND(SUM(G12:I12),0)</f>
        <v>153000</v>
      </c>
      <c r="K12" s="95"/>
      <c r="L12" s="95"/>
      <c r="M12" s="95"/>
      <c r="N12" s="95"/>
      <c r="O12" s="95" cm="1">
        <f t="array" ref="O12">J12+N12</f>
        <v>153000</v>
      </c>
      <c r="P12" s="1220"/>
      <c r="Q12" s="60"/>
      <c r="R12" s="1221">
        <v>6</v>
      </c>
      <c r="S12" s="62"/>
      <c r="T12" s="1208"/>
      <c r="U12" t="s" s="1223">
        <v>107</v>
      </c>
      <c r="V12" t="s" s="1224">
        <v>108</v>
      </c>
      <c r="W12" s="1225">
        <v>5100000</v>
      </c>
      <c r="X12" s="1226" cm="1">
        <f t="array" ref="X12">ROUND(W12*$G$6,0)</f>
        <v>892500</v>
      </c>
      <c r="Y12" s="1225" cm="1">
        <f t="array" ref="Y12">ROUND(W12*$H$6,0)</f>
        <v>153000</v>
      </c>
      <c r="Z12" s="1225" cm="1">
        <f t="array" ref="Z12">ROUND(W12*$I$6,0)</f>
        <v>51000</v>
      </c>
      <c r="AA12" s="1225" cm="1">
        <f t="array" ref="AA12">ROUND(SUM(X12:Z12),0)</f>
        <v>1096500</v>
      </c>
      <c r="AB12" s="1226" cm="1">
        <f t="array" ref="AB12">ROUND(W12*$K$6,0)</f>
        <v>408000</v>
      </c>
      <c r="AC12" s="1226" cm="1">
        <f t="array" ref="AC12">ROUND(W12*$L$6,0)</f>
        <v>76500</v>
      </c>
      <c r="AD12" s="1226" cm="1">
        <f t="array" ref="AD12">ROUND(W12*$M$6,0)</f>
        <v>51000</v>
      </c>
      <c r="AE12" s="1226" cm="1">
        <f t="array" ref="AE12">ROUND(SUM(AB12:AD12),0)</f>
        <v>535500</v>
      </c>
      <c r="AF12" s="1226" cm="1">
        <f t="array" ref="AF12">AA12+AE12</f>
        <v>1632000</v>
      </c>
      <c r="AG12" s="1186"/>
    </row>
    <row r="13" ht="15" customHeight="1">
      <c r="A13" s="1214">
        <v>7</v>
      </c>
      <c r="B13" s="1229"/>
      <c r="C13" s="1216"/>
      <c r="D13" t="s" s="117">
        <v>6035</v>
      </c>
      <c r="E13" t="s" s="1217">
        <v>115</v>
      </c>
      <c r="F13" s="1218">
        <v>5100000</v>
      </c>
      <c r="G13" s="95" cm="1">
        <f t="array" ref="G13">ROUND(F13*$G$6,0)</f>
        <v>892500</v>
      </c>
      <c r="H13" s="1219" cm="1">
        <f t="array" ref="H13">ROUND(F13*$H$6,0)</f>
        <v>153000</v>
      </c>
      <c r="I13" s="1219" cm="1">
        <f t="array" ref="I13">ROUND(F13*$I$6,0)</f>
        <v>51000</v>
      </c>
      <c r="J13" s="1219" cm="1">
        <f t="array" ref="J13">ROUND(SUM(G13:I13),0)</f>
        <v>1096500</v>
      </c>
      <c r="K13" s="95" cm="1">
        <f t="array" ref="K13">ROUND(F13*$K$6,0)</f>
        <v>408000</v>
      </c>
      <c r="L13" s="95" cm="1">
        <f t="array" ref="L13">ROUND(F13*$L$6,0)</f>
        <v>76500</v>
      </c>
      <c r="M13" s="95" cm="1">
        <f t="array" ref="M13">ROUND(F13*$M$6,0)</f>
        <v>51000</v>
      </c>
      <c r="N13" s="95" cm="1">
        <f t="array" ref="N13">ROUND(SUM(K13:M13),0)</f>
        <v>535500</v>
      </c>
      <c r="O13" s="95" cm="1">
        <f t="array" ref="O13">J13+N13</f>
        <v>1632000</v>
      </c>
      <c r="P13" s="1220"/>
      <c r="Q13" s="62"/>
      <c r="R13" s="1221">
        <v>7</v>
      </c>
      <c r="S13" s="62"/>
      <c r="T13" s="1208"/>
      <c r="U13" t="s" s="1223">
        <v>110</v>
      </c>
      <c r="V13" t="s" s="1224">
        <v>111</v>
      </c>
      <c r="W13" s="1225">
        <v>5100000</v>
      </c>
      <c r="X13" s="1226" cm="1">
        <f t="array" ref="X13">ROUND(W13*$G$6,0)</f>
        <v>892500</v>
      </c>
      <c r="Y13" s="1225" cm="1">
        <f t="array" ref="Y13">ROUND(W13*$H$6,0)</f>
        <v>153000</v>
      </c>
      <c r="Z13" s="1225" cm="1">
        <f t="array" ref="Z13">ROUND(W13*$I$6,0)</f>
        <v>51000</v>
      </c>
      <c r="AA13" s="1225" cm="1">
        <f t="array" ref="AA13">ROUND(SUM(X13:Z13),0)</f>
        <v>1096500</v>
      </c>
      <c r="AB13" s="1226" cm="1">
        <f t="array" ref="AB13">ROUND(W13*$K$6,0)</f>
        <v>408000</v>
      </c>
      <c r="AC13" s="1226" cm="1">
        <f t="array" ref="AC13">ROUND(W13*$L$6,0)</f>
        <v>76500</v>
      </c>
      <c r="AD13" s="1226" cm="1">
        <f t="array" ref="AD13">ROUND(W13*$M$6,0)</f>
        <v>51000</v>
      </c>
      <c r="AE13" s="1226" cm="1">
        <f t="array" ref="AE13">ROUND(SUM(AB13:AD13),0)</f>
        <v>535500</v>
      </c>
      <c r="AF13" s="1226" cm="1">
        <f t="array" ref="AF13">AA13+AE13</f>
        <v>1632000</v>
      </c>
      <c r="AG13" s="1186"/>
    </row>
    <row r="14" ht="15" customHeight="1">
      <c r="A14" s="1214">
        <v>8</v>
      </c>
      <c r="B14" s="1229"/>
      <c r="C14" s="1216"/>
      <c r="D14" t="s" s="86">
        <v>118</v>
      </c>
      <c r="E14" t="s" s="1217">
        <v>119</v>
      </c>
      <c r="F14" s="1218">
        <v>5100000</v>
      </c>
      <c r="G14" s="95" cm="1">
        <f t="array" ref="G14">ROUND(F14*$G$6,0)</f>
        <v>892500</v>
      </c>
      <c r="H14" s="1219" cm="1">
        <f t="array" ref="H14">ROUND(F14*$H$6,0)</f>
        <v>153000</v>
      </c>
      <c r="I14" s="1219" cm="1">
        <f t="array" ref="I14">ROUND(F14*$I$6,0)</f>
        <v>51000</v>
      </c>
      <c r="J14" s="1219" cm="1">
        <f t="array" ref="J14">ROUND(SUM(G14:I14),0)</f>
        <v>1096500</v>
      </c>
      <c r="K14" s="95" cm="1">
        <f t="array" ref="K14">ROUND(F14*$K$6,0)</f>
        <v>408000</v>
      </c>
      <c r="L14" s="95" cm="1">
        <f t="array" ref="L14">ROUND(F14*$L$6,0)</f>
        <v>76500</v>
      </c>
      <c r="M14" s="95" cm="1">
        <f t="array" ref="M14">ROUND(F14*$M$6,0)</f>
        <v>51000</v>
      </c>
      <c r="N14" s="95" cm="1">
        <f t="array" ref="N14">ROUND(SUM(K14:M14),0)</f>
        <v>535500</v>
      </c>
      <c r="O14" s="95" cm="1">
        <f t="array" ref="O14">J14+N14</f>
        <v>1632000</v>
      </c>
      <c r="P14" s="1220" cm="1">
        <f t="array" ref="P14">O23-P11</f>
        <v>31617550</v>
      </c>
      <c r="Q14" s="62"/>
      <c r="R14" s="1221">
        <v>8</v>
      </c>
      <c r="S14" s="62"/>
      <c r="T14" s="1208"/>
      <c r="U14" t="s" s="1223">
        <v>6035</v>
      </c>
      <c r="V14" t="s" s="1224">
        <v>115</v>
      </c>
      <c r="W14" s="1225">
        <v>5100000</v>
      </c>
      <c r="X14" s="1226" cm="1">
        <f t="array" ref="X14">ROUND(W14*$G$6,0)</f>
        <v>892500</v>
      </c>
      <c r="Y14" s="1225" cm="1">
        <f t="array" ref="Y14">ROUND(W14*$H$6,0)</f>
        <v>153000</v>
      </c>
      <c r="Z14" s="1225" cm="1">
        <f t="array" ref="Z14">ROUND(W14*$I$6,0)</f>
        <v>51000</v>
      </c>
      <c r="AA14" s="1225" cm="1">
        <f t="array" ref="AA14">ROUND(SUM(X14:Z14),0)</f>
        <v>1096500</v>
      </c>
      <c r="AB14" s="1226" cm="1">
        <f t="array" ref="AB14">ROUND(W14*$K$6,0)</f>
        <v>408000</v>
      </c>
      <c r="AC14" s="1226" cm="1">
        <f t="array" ref="AC14">ROUND(W14*$L$6,0)</f>
        <v>76500</v>
      </c>
      <c r="AD14" s="1226" cm="1">
        <f t="array" ref="AD14">ROUND(W14*$M$6,0)</f>
        <v>51000</v>
      </c>
      <c r="AE14" s="1226" cm="1">
        <f t="array" ref="AE14">ROUND(SUM(AB14:AD14),0)</f>
        <v>535500</v>
      </c>
      <c r="AF14" s="1226" cm="1">
        <f t="array" ref="AF14">AA14+AE14</f>
        <v>1632000</v>
      </c>
      <c r="AG14" s="1186"/>
    </row>
    <row r="15" ht="15" customHeight="1">
      <c r="A15" s="1214">
        <v>9</v>
      </c>
      <c r="B15" s="1229"/>
      <c r="C15" s="1216"/>
      <c r="D15" t="s" s="86">
        <v>121</v>
      </c>
      <c r="E15" t="s" s="1217">
        <v>125</v>
      </c>
      <c r="F15" s="1218">
        <v>20000000</v>
      </c>
      <c r="G15" s="95" cm="1">
        <f t="array" ref="G15">ROUND(F15*$G$6,0)</f>
        <v>3500000</v>
      </c>
      <c r="H15" s="1219" cm="1">
        <f t="array" ref="H15">ROUND(F15*$H$6,0)</f>
        <v>600000</v>
      </c>
      <c r="I15" s="1219" cm="1">
        <f t="array" ref="I15">ROUND(F15*$I$6,0)</f>
        <v>200000</v>
      </c>
      <c r="J15" s="1219" cm="1">
        <f t="array" ref="J15">ROUND(SUM(G15:I15),0)</f>
        <v>4300000</v>
      </c>
      <c r="K15" s="95" cm="1">
        <f t="array" ref="K15">ROUND(F15*$K$6,0)</f>
        <v>1600000</v>
      </c>
      <c r="L15" s="95" cm="1">
        <f t="array" ref="L15">ROUND(F15*$L$6,0)</f>
        <v>300000</v>
      </c>
      <c r="M15" s="95" cm="1">
        <f t="array" ref="M15">ROUND(F15*$M$6,0)</f>
        <v>200000</v>
      </c>
      <c r="N15" s="95" cm="1">
        <f t="array" ref="N15">ROUND(SUM(K15:M15),0)</f>
        <v>2100000</v>
      </c>
      <c r="O15" s="95" cm="1">
        <f t="array" ref="O15">J15+N15</f>
        <v>6400000</v>
      </c>
      <c r="P15" s="1220"/>
      <c r="Q15" s="62"/>
      <c r="R15" s="1221">
        <v>9</v>
      </c>
      <c r="S15" s="62"/>
      <c r="T15" s="1208"/>
      <c r="U15" t="s" s="1233">
        <v>118</v>
      </c>
      <c r="V15" t="s" s="1224">
        <v>119</v>
      </c>
      <c r="W15" s="1225">
        <v>5100000</v>
      </c>
      <c r="X15" s="1226" cm="1">
        <f t="array" ref="X15">ROUND(W15*$G$6,0)</f>
        <v>892500</v>
      </c>
      <c r="Y15" s="1225" cm="1">
        <f t="array" ref="Y15">ROUND(W15*$H$6,0)</f>
        <v>153000</v>
      </c>
      <c r="Z15" s="1225" cm="1">
        <f t="array" ref="Z15">ROUND(W15*$I$6,0)</f>
        <v>51000</v>
      </c>
      <c r="AA15" s="1225" cm="1">
        <f t="array" ref="AA15">ROUND(SUM(X15:Z15),0)</f>
        <v>1096500</v>
      </c>
      <c r="AB15" s="1226" cm="1">
        <f t="array" ref="AB15">ROUND(W15*$K$6,0)</f>
        <v>408000</v>
      </c>
      <c r="AC15" s="1226" cm="1">
        <f t="array" ref="AC15">ROUND(W15*$L$6,0)</f>
        <v>76500</v>
      </c>
      <c r="AD15" s="1226" cm="1">
        <f t="array" ref="AD15">ROUND(W15*$M$6,0)</f>
        <v>51000</v>
      </c>
      <c r="AE15" s="1226" cm="1">
        <f t="array" ref="AE15">ROUND(SUM(AB15:AD15),0)</f>
        <v>535500</v>
      </c>
      <c r="AF15" s="1226" cm="1">
        <f t="array" ref="AF15">AA15+AE15</f>
        <v>1632000</v>
      </c>
      <c r="AG15" s="1186"/>
    </row>
    <row r="16" ht="15" customHeight="1">
      <c r="A16" s="1214">
        <v>10</v>
      </c>
      <c r="B16" s="1234"/>
      <c r="C16" s="1216"/>
      <c r="D16" s="1216"/>
      <c r="E16" t="s" s="1235">
        <v>224</v>
      </c>
      <c r="F16" s="1218">
        <v>9000000</v>
      </c>
      <c r="G16" s="95" cm="1">
        <f t="array" ref="G16">ROUND(F16*$G$6,0)</f>
        <v>1575000</v>
      </c>
      <c r="H16" s="1219" cm="1">
        <f t="array" ref="H16">ROUND(F16*$H$6,0)</f>
        <v>270000</v>
      </c>
      <c r="I16" s="1219" cm="1">
        <f t="array" ref="I16">ROUND(F16*$I$6,0)</f>
        <v>90000</v>
      </c>
      <c r="J16" s="1219" cm="1">
        <f t="array" ref="J16">ROUND(SUM(G16:I16),0)</f>
        <v>1935000</v>
      </c>
      <c r="K16" s="95" cm="1">
        <f t="array" ref="K16">ROUND(F16*$K$6,0)</f>
        <v>720000</v>
      </c>
      <c r="L16" s="95" cm="1">
        <f t="array" ref="L16">ROUND(F16*$L$6,0)</f>
        <v>135000</v>
      </c>
      <c r="M16" s="95" cm="1">
        <f t="array" ref="M16">ROUND(F16*$M$6,0)</f>
        <v>90000</v>
      </c>
      <c r="N16" s="95" cm="1">
        <f t="array" ref="N16">ROUND(SUM(K16:M16),0)</f>
        <v>945000</v>
      </c>
      <c r="O16" s="95" cm="1">
        <f t="array" ref="O16">J16+N16</f>
        <v>2880000</v>
      </c>
      <c r="P16" s="1236"/>
      <c r="Q16" s="62"/>
      <c r="R16" s="1221">
        <v>10</v>
      </c>
      <c r="S16" s="66"/>
      <c r="T16" s="1208"/>
      <c r="U16" t="s" s="1233">
        <v>121</v>
      </c>
      <c r="V16" t="s" s="1224">
        <v>122</v>
      </c>
      <c r="W16" s="1225">
        <v>20000000</v>
      </c>
      <c r="X16" s="1226" cm="1">
        <f t="array" ref="X16">ROUND(W16*$G$6,0)</f>
        <v>3500000</v>
      </c>
      <c r="Y16" s="1225" cm="1">
        <f t="array" ref="Y16">ROUND(W16*$H$6,0)</f>
        <v>600000</v>
      </c>
      <c r="Z16" s="1225" cm="1">
        <f t="array" ref="Z16">ROUND(W16*$I$6,0)</f>
        <v>200000</v>
      </c>
      <c r="AA16" s="1225" cm="1">
        <f t="array" ref="AA16">ROUND(SUM(X16:Z16),0)</f>
        <v>4300000</v>
      </c>
      <c r="AB16" s="1226" cm="1">
        <f t="array" ref="AB16">ROUND(W16*$K$6,0)</f>
        <v>1600000</v>
      </c>
      <c r="AC16" s="1226" cm="1">
        <f t="array" ref="AC16">ROUND(W16*$L$6,0)</f>
        <v>300000</v>
      </c>
      <c r="AD16" s="1226" cm="1">
        <f t="array" ref="AD16">ROUND(W16*$M$6,0)</f>
        <v>200000</v>
      </c>
      <c r="AE16" s="1226" cm="1">
        <f t="array" ref="AE16">ROUND(SUM(AB16:AD16),0)</f>
        <v>2100000</v>
      </c>
      <c r="AF16" s="1226" cm="1">
        <f t="array" ref="AF16">AA16+AE16</f>
        <v>6400000</v>
      </c>
      <c r="AG16" s="1186"/>
    </row>
    <row r="17" ht="15" customHeight="1">
      <c r="A17" s="1214">
        <v>11</v>
      </c>
      <c r="B17" s="1234"/>
      <c r="C17" s="1216"/>
      <c r="D17" s="1216"/>
      <c r="E17" t="s" s="1235">
        <v>5328</v>
      </c>
      <c r="F17" s="1218">
        <v>5100000</v>
      </c>
      <c r="G17" s="95" cm="1">
        <f t="array" ref="G17">ROUND(F17*$G$6,0)</f>
        <v>892500</v>
      </c>
      <c r="H17" s="1219" cm="1">
        <f t="array" ref="H17">ROUND(F17*$H$6,0)</f>
        <v>153000</v>
      </c>
      <c r="I17" s="1219" cm="1">
        <f t="array" ref="I17">ROUND(F17*$I$6,0)</f>
        <v>51000</v>
      </c>
      <c r="J17" s="1219" cm="1">
        <f t="array" ref="J17">ROUND(SUM(G17:I17),0)</f>
        <v>1096500</v>
      </c>
      <c r="K17" s="95" cm="1">
        <f t="array" ref="K17">ROUND(F17*$K$6,0)</f>
        <v>408000</v>
      </c>
      <c r="L17" s="95" cm="1">
        <f t="array" ref="L17">ROUND(F17*$L$6,0)</f>
        <v>76500</v>
      </c>
      <c r="M17" s="95" cm="1">
        <f t="array" ref="M17">ROUND(F17*$M$6,0)</f>
        <v>51000</v>
      </c>
      <c r="N17" s="95" cm="1">
        <f t="array" ref="N17">ROUND(SUM(K17:M17),0)</f>
        <v>535500</v>
      </c>
      <c r="O17" s="95" cm="1">
        <f t="array" ref="O17">J17+N17</f>
        <v>1632000</v>
      </c>
      <c r="P17" s="1236"/>
      <c r="Q17" s="1186"/>
      <c r="R17" s="1206"/>
      <c r="S17" s="1206"/>
      <c r="T17" s="1206"/>
      <c r="U17" s="1206"/>
      <c r="V17" s="1206"/>
      <c r="W17" s="1206"/>
      <c r="X17" s="1206"/>
      <c r="Y17" s="1206"/>
      <c r="Z17" s="1206"/>
      <c r="AA17" s="1206"/>
      <c r="AB17" s="1206"/>
      <c r="AC17" s="1206"/>
      <c r="AD17" s="1206"/>
      <c r="AE17" s="1206"/>
      <c r="AF17" s="1206"/>
      <c r="AG17" s="27"/>
    </row>
    <row r="18" ht="17.25" customHeight="1">
      <c r="A18" s="1214">
        <v>12</v>
      </c>
      <c r="B18" s="1234"/>
      <c r="C18" s="1216"/>
      <c r="D18" s="1216"/>
      <c r="E18" t="s" s="1235">
        <v>230</v>
      </c>
      <c r="F18" s="1218">
        <v>5100000</v>
      </c>
      <c r="G18" s="95" cm="1">
        <f t="array" ref="G18">ROUND(F18*$G$6,0)</f>
        <v>892500</v>
      </c>
      <c r="H18" s="1219" cm="1">
        <f t="array" ref="H18">ROUND(F18*$H$6,0)</f>
        <v>153000</v>
      </c>
      <c r="I18" s="1219" cm="1">
        <f t="array" ref="I18">ROUND(F18*$I$6,0)</f>
        <v>51000</v>
      </c>
      <c r="J18" s="1219" cm="1">
        <f t="array" ref="J18">ROUND(SUM(G18:I18),0)</f>
        <v>1096500</v>
      </c>
      <c r="K18" s="95" cm="1">
        <f t="array" ref="K18">ROUND(F18*$K$6,0)</f>
        <v>408000</v>
      </c>
      <c r="L18" s="95" cm="1">
        <f t="array" ref="L18">ROUND(F18*$L$6,0)</f>
        <v>76500</v>
      </c>
      <c r="M18" s="95" cm="1">
        <f t="array" ref="M18">ROUND(F18*$M$6,0)</f>
        <v>51000</v>
      </c>
      <c r="N18" s="95" cm="1">
        <f t="array" ref="N18">ROUND(SUM(K18:M18),0)</f>
        <v>535500</v>
      </c>
      <c r="O18" s="95" cm="1">
        <f t="array" ref="O18">J18+N18</f>
        <v>1632000</v>
      </c>
      <c r="P18" s="1236"/>
      <c r="Q18" s="1186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</row>
    <row r="19" ht="15" customHeight="1">
      <c r="A19" s="1214">
        <v>13</v>
      </c>
      <c r="B19" s="1234"/>
      <c r="C19" s="1216"/>
      <c r="D19" s="1216"/>
      <c r="E19" t="s" s="1217">
        <v>139</v>
      </c>
      <c r="F19" s="1218">
        <v>5100000</v>
      </c>
      <c r="G19" s="95" cm="1">
        <f t="array" ref="G19">ROUND(F19*$G$6,0)</f>
        <v>892500</v>
      </c>
      <c r="H19" s="1219" cm="1">
        <f t="array" ref="H19">ROUND(F19*$H$6,0)</f>
        <v>153000</v>
      </c>
      <c r="I19" s="1219" cm="1">
        <f t="array" ref="I19">ROUND(F19*$I$6,0)</f>
        <v>51000</v>
      </c>
      <c r="J19" s="1219" cm="1">
        <f t="array" ref="J19">ROUND(SUM(G19:I19),0)</f>
        <v>1096500</v>
      </c>
      <c r="K19" s="95" cm="1">
        <f t="array" ref="K19">ROUND(F19*$K$6,0)</f>
        <v>408000</v>
      </c>
      <c r="L19" s="95" cm="1">
        <f t="array" ref="L19">ROUND(F19*$L$6,0)</f>
        <v>76500</v>
      </c>
      <c r="M19" s="95" cm="1">
        <f t="array" ref="M19">ROUND(F19*$M$6,0)</f>
        <v>51000</v>
      </c>
      <c r="N19" s="95" cm="1">
        <f t="array" ref="N19">ROUND(SUM(K19:M19),0)</f>
        <v>535500</v>
      </c>
      <c r="O19" s="95" cm="1">
        <f t="array" ref="O19">J19+N19</f>
        <v>1632000</v>
      </c>
      <c r="P19" s="1236"/>
      <c r="Q19" s="1186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</row>
    <row r="20" ht="15" customHeight="1">
      <c r="A20" s="1214">
        <v>14</v>
      </c>
      <c r="B20" s="1234"/>
      <c r="C20" s="1216"/>
      <c r="D20" s="1216"/>
      <c r="E20" t="s" s="1217">
        <v>142</v>
      </c>
      <c r="F20" s="1218">
        <v>5100000</v>
      </c>
      <c r="G20" s="95" cm="1">
        <f t="array" ref="G20">ROUND(F20*$G$6,0)</f>
        <v>892500</v>
      </c>
      <c r="H20" s="1219" cm="1">
        <f t="array" ref="H20">ROUND(F20*$H$6,0)</f>
        <v>153000</v>
      </c>
      <c r="I20" s="1219" cm="1">
        <f t="array" ref="I20">ROUND(F20*$I$6,0)</f>
        <v>51000</v>
      </c>
      <c r="J20" s="1219" cm="1">
        <f t="array" ref="J20">ROUND(SUM(G20:I20),0)</f>
        <v>1096500</v>
      </c>
      <c r="K20" s="95" cm="1">
        <f t="array" ref="K20">ROUND(F20*$K$6,0)</f>
        <v>408000</v>
      </c>
      <c r="L20" s="95" cm="1">
        <f t="array" ref="L20">ROUND(F20*$L$6,0)</f>
        <v>76500</v>
      </c>
      <c r="M20" s="95" cm="1">
        <f t="array" ref="M20">ROUND(F20*$M$6,0)</f>
        <v>51000</v>
      </c>
      <c r="N20" s="95" cm="1">
        <f t="array" ref="N20">ROUND(SUM(K20:M20),0)</f>
        <v>535500</v>
      </c>
      <c r="O20" s="95" cm="1">
        <f t="array" ref="O20">J20+N20</f>
        <v>1632000</v>
      </c>
      <c r="P20" s="1236"/>
      <c r="Q20" s="1186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</row>
    <row r="21" ht="15" customHeight="1">
      <c r="A21" s="1214">
        <v>15</v>
      </c>
      <c r="B21" s="1234"/>
      <c r="C21" s="1216"/>
      <c r="D21" s="1216"/>
      <c r="E21" t="s" s="1237">
        <v>145</v>
      </c>
      <c r="F21" s="1218">
        <v>5100000</v>
      </c>
      <c r="G21" s="95" cm="1">
        <f t="array" ref="G21">ROUND(F21*$G$6,0)</f>
        <v>892500</v>
      </c>
      <c r="H21" s="1219" cm="1">
        <f t="array" ref="H21">ROUND(F21*$H$6,0)</f>
        <v>153000</v>
      </c>
      <c r="I21" s="1219" cm="1">
        <f t="array" ref="I21">ROUND(F21*$I$6,0)</f>
        <v>51000</v>
      </c>
      <c r="J21" s="1219" cm="1">
        <f t="array" ref="J21">ROUND(SUM(G21:I21),0)</f>
        <v>1096500</v>
      </c>
      <c r="K21" s="95" cm="1">
        <f t="array" ref="K21">ROUND(F21*$K$6,0)</f>
        <v>408000</v>
      </c>
      <c r="L21" s="95" cm="1">
        <f t="array" ref="L21">ROUND(F21*$L$6,0)</f>
        <v>76500</v>
      </c>
      <c r="M21" s="95" cm="1">
        <f t="array" ref="M21">ROUND(F21*$M$6,0)</f>
        <v>51000</v>
      </c>
      <c r="N21" s="95" cm="1">
        <f t="array" ref="N21">ROUND(SUM(K21:M21),0)</f>
        <v>535500</v>
      </c>
      <c r="O21" s="95" cm="1">
        <f t="array" ref="O21">J21+N21</f>
        <v>1632000</v>
      </c>
      <c r="P21" s="1236"/>
      <c r="Q21" s="1186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ht="15" customHeight="1">
      <c r="A22" s="1214">
        <v>16</v>
      </c>
      <c r="B22" s="1238"/>
      <c r="C22" s="1216"/>
      <c r="D22" s="1216"/>
      <c r="E22" t="s" s="1237">
        <v>244</v>
      </c>
      <c r="F22" s="1218">
        <v>9000000</v>
      </c>
      <c r="G22" s="95" cm="1">
        <f t="array" ref="G22">ROUND(F22*$G$6,0)</f>
        <v>1575000</v>
      </c>
      <c r="H22" s="1219" cm="1">
        <f t="array" ref="H22">ROUND(F22*$H$6,0)</f>
        <v>270000</v>
      </c>
      <c r="I22" s="1219" cm="1">
        <f t="array" ref="I22">ROUND(F22*$I$6,0)</f>
        <v>90000</v>
      </c>
      <c r="J22" s="1219" cm="1">
        <f t="array" ref="J22">ROUND(SUM(G22:I22),0)</f>
        <v>1935000</v>
      </c>
      <c r="K22" s="95" cm="1">
        <f t="array" ref="K22">ROUND(F22*$K$6,0)</f>
        <v>720000</v>
      </c>
      <c r="L22" s="95" cm="1">
        <f t="array" ref="L22">ROUND(F22*$L$6,0)</f>
        <v>135000</v>
      </c>
      <c r="M22" s="95" cm="1">
        <f t="array" ref="M22">ROUND(F22*$M$6,0)</f>
        <v>90000</v>
      </c>
      <c r="N22" s="95" cm="1">
        <f t="array" ref="N22">ROUND(SUM(K22:M22),0)</f>
        <v>945000</v>
      </c>
      <c r="O22" s="95" cm="1">
        <f t="array" ref="O22">J22+N22</f>
        <v>2880000</v>
      </c>
      <c r="P22" s="1236"/>
      <c r="Q22" s="1186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</row>
    <row r="23" ht="15" customHeight="1">
      <c r="A23" s="1214"/>
      <c r="B23" s="1216"/>
      <c r="C23" s="1216"/>
      <c r="D23" s="1216"/>
      <c r="E23" t="s" s="67">
        <v>180</v>
      </c>
      <c r="F23" s="1239" cm="1">
        <f t="array" ref="F23">SUM(F7:F22)</f>
        <v>108200000</v>
      </c>
      <c r="G23" s="1239" cm="1">
        <f t="array" ref="G23">SUM(G7:G22)</f>
        <v>17150000</v>
      </c>
      <c r="H23" s="1239" cm="1">
        <f t="array" ref="H23">SUM(H7:H22)</f>
        <v>3246000</v>
      </c>
      <c r="I23" s="1239" cm="1">
        <f t="array" ref="I23">SUM(I7:I22)</f>
        <v>931550</v>
      </c>
      <c r="J23" s="1239" cm="1">
        <f t="array" ref="J23">SUM(J7:J22)</f>
        <v>21327550</v>
      </c>
      <c r="K23" s="1239" cm="1">
        <f t="array" ref="K23">SUM(K7:K22)</f>
        <v>7840000</v>
      </c>
      <c r="L23" s="1239" cm="1">
        <f t="array" ref="L23">SUM(L7:L22)</f>
        <v>1470000</v>
      </c>
      <c r="M23" s="1239" cm="1">
        <f t="array" ref="M23">SUM(M7:M22)</f>
        <v>980000</v>
      </c>
      <c r="N23" s="1239" cm="1">
        <f t="array" ref="N23">SUM(N7:N22)</f>
        <v>10290000</v>
      </c>
      <c r="O23" s="1240" cm="1">
        <f t="array" ref="O23">SUM(O7:O22)</f>
        <v>31617550</v>
      </c>
      <c r="P23" s="1236" cm="1">
        <f t="array" ref="P23">SUM(P7:P15)</f>
        <v>31617550</v>
      </c>
      <c r="Q23" s="1241" cm="1">
        <f t="array" ref="Q23">P24-O23</f>
        <v>4926450</v>
      </c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ht="24.75" customHeight="1">
      <c r="A24" s="1242"/>
      <c r="B24" s="1243"/>
      <c r="C24" s="1243"/>
      <c r="D24" s="1243"/>
      <c r="E24" s="1244"/>
      <c r="F24" s="1245"/>
      <c r="G24" s="1246" cm="1">
        <f t="array" ref="G24">G23+K23</f>
        <v>24990000</v>
      </c>
      <c r="H24" s="1246" cm="1">
        <f t="array" ref="H24">H23+L23</f>
        <v>4716000</v>
      </c>
      <c r="I24" s="1246" cm="1">
        <f t="array" ref="I24">I23+M23</f>
        <v>1911550</v>
      </c>
      <c r="J24" s="1246"/>
      <c r="K24" s="1246"/>
      <c r="L24" s="1246"/>
      <c r="M24" s="1246"/>
      <c r="N24" s="1246"/>
      <c r="O24" s="1246">
        <v>50976000</v>
      </c>
      <c r="P24" s="1247">
        <v>36544000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</row>
    <row r="25" ht="15.75" customHeight="1">
      <c r="A25" s="1248"/>
      <c r="B25" s="886"/>
      <c r="C25" s="27"/>
      <c r="D25" s="27"/>
      <c r="E25" s="27"/>
      <c r="F25" s="27"/>
      <c r="G25" s="27"/>
      <c r="H25" s="27"/>
      <c r="I25" s="1249" cm="1">
        <f t="array" ref="I25">H23+L23</f>
        <v>4716000</v>
      </c>
      <c r="J25" s="1249" cm="1">
        <f t="array" ref="J25">I23+M23</f>
        <v>1911550</v>
      </c>
      <c r="K25" s="1249" cm="1">
        <f t="array" ref="K25">G23+K23</f>
        <v>24990000</v>
      </c>
      <c r="L25" s="1250">
        <v>29121000</v>
      </c>
      <c r="M25" s="310" cm="1">
        <f t="array" ref="M25">L25-K25</f>
        <v>4131000</v>
      </c>
      <c r="N25" s="27"/>
      <c r="O25" s="27"/>
      <c r="P25" s="310" cm="1">
        <f t="array" ref="P25">P24-O24</f>
        <v>-14432000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</row>
    <row r="26" ht="15" customHeight="1">
      <c r="A26" s="1251"/>
      <c r="B26" s="1252"/>
      <c r="C26" s="1252"/>
      <c r="D26" s="1252"/>
      <c r="E26" s="1252"/>
      <c r="F26" s="1253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</row>
    <row r="27" ht="15" customHeight="1">
      <c r="A27" s="1254"/>
      <c r="B27" s="1252"/>
      <c r="C27" s="1252"/>
      <c r="D27" s="1252"/>
      <c r="E27" s="1252"/>
      <c r="F27" s="1253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</row>
    <row r="28" ht="15.75" customHeight="1">
      <c r="A28" t="s" s="1255">
        <v>6036</v>
      </c>
      <c r="B28" s="886"/>
      <c r="C28" s="27"/>
      <c r="D28" s="27"/>
      <c r="E28" s="27"/>
      <c r="F28" s="27"/>
      <c r="G28" s="526"/>
      <c r="H28" s="526"/>
      <c r="I28" s="1256" cm="1">
        <f t="array" ref="I28">H26+L26</f>
        <v>0</v>
      </c>
      <c r="J28" s="1256" cm="1">
        <f t="array" ref="J28">I26+M26</f>
        <v>0</v>
      </c>
      <c r="K28" s="1256" cm="1">
        <f t="array" ref="K28">G26+K26</f>
        <v>0</v>
      </c>
      <c r="L28" s="1257">
        <v>29121000</v>
      </c>
      <c r="M28" s="1072" cm="1">
        <f t="array" ref="M28">L28-K28</f>
        <v>29121000</v>
      </c>
      <c r="N28" s="526"/>
      <c r="O28" s="526"/>
      <c r="P28" s="1072" cm="1">
        <f t="array" ref="P28">P27-O27</f>
        <v>0</v>
      </c>
      <c r="Q28" s="526"/>
      <c r="R28" s="526"/>
      <c r="S28" s="526"/>
      <c r="T28" s="526"/>
      <c r="U28" s="526"/>
      <c r="V28" s="526"/>
      <c r="W28" s="526"/>
      <c r="X28" s="526"/>
      <c r="Y28" s="526"/>
      <c r="Z28" s="526"/>
      <c r="AA28" s="526"/>
      <c r="AB28" s="526"/>
      <c r="AC28" s="526"/>
      <c r="AD28" s="526"/>
      <c r="AE28" s="526"/>
      <c r="AF28" s="526"/>
      <c r="AG28" s="526"/>
    </row>
    <row r="29" ht="15" customHeight="1">
      <c r="A29" s="1258"/>
      <c r="B29" s="1259"/>
      <c r="C29" s="1259"/>
      <c r="D29" s="1259"/>
      <c r="E29" s="1259"/>
      <c r="F29" s="1260"/>
      <c r="G29" s="526"/>
      <c r="H29" s="526"/>
      <c r="I29" s="526"/>
      <c r="J29" s="526"/>
      <c r="K29" s="526"/>
      <c r="L29" s="526"/>
      <c r="M29" s="526"/>
      <c r="N29" s="526"/>
      <c r="O29" s="526"/>
      <c r="P29" s="526"/>
      <c r="Q29" s="526"/>
      <c r="R29" s="526"/>
      <c r="S29" s="526"/>
      <c r="T29" s="526"/>
      <c r="U29" s="526"/>
      <c r="V29" s="526"/>
      <c r="W29" s="526"/>
      <c r="X29" s="526"/>
      <c r="Y29" s="526"/>
      <c r="Z29" s="526"/>
      <c r="AA29" s="526"/>
      <c r="AB29" s="526"/>
      <c r="AC29" s="526"/>
      <c r="AD29" s="526"/>
      <c r="AE29" s="526"/>
      <c r="AF29" s="526"/>
      <c r="AG29" s="526"/>
    </row>
    <row r="30" ht="15" customHeight="1">
      <c r="A30" s="1261"/>
      <c r="B30" s="1259"/>
      <c r="C30" s="1259"/>
      <c r="D30" s="1259"/>
      <c r="E30" s="1259"/>
      <c r="F30" s="1262"/>
      <c r="G30" s="1118"/>
      <c r="H30" s="1118"/>
      <c r="I30" s="1118"/>
      <c r="J30" s="1118"/>
      <c r="K30" s="1118"/>
      <c r="L30" s="1118"/>
      <c r="M30" s="1118"/>
      <c r="N30" s="1118"/>
      <c r="O30" s="1118"/>
      <c r="P30" s="1118"/>
      <c r="Q30" s="526"/>
      <c r="R30" s="526"/>
      <c r="S30" s="526"/>
      <c r="T30" s="526"/>
      <c r="U30" s="526"/>
      <c r="V30" s="526"/>
      <c r="W30" s="526"/>
      <c r="X30" s="526"/>
      <c r="Y30" s="526"/>
      <c r="Z30" s="526"/>
      <c r="AA30" s="526"/>
      <c r="AB30" s="526"/>
      <c r="AC30" s="526"/>
      <c r="AD30" s="526"/>
      <c r="AE30" s="526"/>
      <c r="AF30" s="526"/>
      <c r="AG30" s="526"/>
    </row>
    <row r="31" ht="15" customHeight="1">
      <c r="A31" t="s" s="1263">
        <v>6037</v>
      </c>
      <c r="B31" s="27"/>
      <c r="C31" s="27"/>
      <c r="D31" s="27"/>
      <c r="E31" s="1168"/>
      <c r="F31" s="1264"/>
      <c r="G31" t="s" s="1265">
        <v>6038</v>
      </c>
      <c r="H31" s="40"/>
      <c r="I31" s="40"/>
      <c r="J31" s="37"/>
      <c r="K31" t="s" s="1265">
        <v>6039</v>
      </c>
      <c r="L31" s="40"/>
      <c r="M31" s="40"/>
      <c r="N31" s="37"/>
      <c r="O31" t="s" s="1266">
        <v>6040</v>
      </c>
      <c r="P31" t="s" s="1266">
        <v>13</v>
      </c>
      <c r="Q31" s="525"/>
      <c r="R31" s="526"/>
      <c r="S31" s="526"/>
      <c r="T31" s="526"/>
      <c r="U31" s="526"/>
      <c r="V31" s="526"/>
      <c r="W31" s="526"/>
      <c r="X31" s="526"/>
      <c r="Y31" s="526"/>
      <c r="Z31" s="526"/>
      <c r="AA31" s="526"/>
      <c r="AB31" s="526"/>
      <c r="AC31" s="526"/>
      <c r="AD31" s="526"/>
      <c r="AE31" s="526"/>
      <c r="AF31" s="526"/>
      <c r="AG31" s="526"/>
    </row>
    <row r="32" ht="15" customHeight="1">
      <c r="A32" s="1267"/>
      <c r="B32" s="1268"/>
      <c r="C32" s="1268"/>
      <c r="D32" s="1268"/>
      <c r="E32" s="1269"/>
      <c r="F32" s="1270"/>
      <c r="G32" t="s" s="1271">
        <v>6028</v>
      </c>
      <c r="H32" t="s" s="1271">
        <v>6029</v>
      </c>
      <c r="I32" t="s" s="1271">
        <v>6030</v>
      </c>
      <c r="J32" t="s" s="1266">
        <v>180</v>
      </c>
      <c r="K32" t="s" s="1271">
        <v>6028</v>
      </c>
      <c r="L32" t="s" s="1271">
        <v>6029</v>
      </c>
      <c r="M32" t="s" s="1271">
        <v>6030</v>
      </c>
      <c r="N32" t="s" s="1266">
        <v>180</v>
      </c>
      <c r="O32" s="62"/>
      <c r="P32" s="62"/>
      <c r="Q32" s="525"/>
      <c r="R32" s="526"/>
      <c r="S32" s="526"/>
      <c r="T32" s="526"/>
      <c r="U32" s="526"/>
      <c r="V32" s="526"/>
      <c r="W32" s="526"/>
      <c r="X32" s="526"/>
      <c r="Y32" s="526"/>
      <c r="Z32" s="526"/>
      <c r="AA32" s="526"/>
      <c r="AB32" s="526"/>
      <c r="AC32" s="526"/>
      <c r="AD32" s="526"/>
      <c r="AE32" s="526"/>
      <c r="AF32" s="526"/>
      <c r="AG32" s="526"/>
    </row>
    <row r="33" ht="15" customHeight="1">
      <c r="A33" t="s" s="1271">
        <v>15</v>
      </c>
      <c r="B33" t="s" s="1272">
        <v>6022</v>
      </c>
      <c r="C33" t="s" s="1272">
        <v>6041</v>
      </c>
      <c r="D33" t="s" s="1272">
        <v>6024</v>
      </c>
      <c r="E33" t="s" s="1271">
        <v>5888</v>
      </c>
      <c r="F33" t="s" s="1273">
        <v>6025</v>
      </c>
      <c r="G33" s="1274">
        <v>0.175</v>
      </c>
      <c r="H33" s="1275">
        <v>0.03</v>
      </c>
      <c r="I33" t="s" s="1271">
        <v>6031</v>
      </c>
      <c r="J33" s="66"/>
      <c r="K33" s="1275">
        <v>0.08</v>
      </c>
      <c r="L33" s="1274">
        <v>0.015</v>
      </c>
      <c r="M33" s="1275">
        <v>0.01</v>
      </c>
      <c r="N33" s="66"/>
      <c r="O33" s="66"/>
      <c r="P33" s="66"/>
      <c r="Q33" s="525"/>
      <c r="R33" s="526"/>
      <c r="S33" s="526"/>
      <c r="T33" s="526"/>
      <c r="U33" s="526"/>
      <c r="V33" s="526"/>
      <c r="W33" s="526"/>
      <c r="X33" s="526"/>
      <c r="Y33" s="526"/>
      <c r="Z33" s="526"/>
      <c r="AA33" s="526"/>
      <c r="AB33" s="526"/>
      <c r="AC33" s="526"/>
      <c r="AD33" s="526"/>
      <c r="AE33" s="526"/>
      <c r="AF33" s="526"/>
      <c r="AG33" s="526"/>
    </row>
    <row r="34" ht="15" customHeight="1">
      <c r="A34" s="1276">
        <v>1</v>
      </c>
      <c r="B34" s="954"/>
      <c r="C34" s="1277"/>
      <c r="D34" s="952"/>
      <c r="E34" t="s" s="986">
        <v>111</v>
      </c>
      <c r="F34" s="1278">
        <v>5100000</v>
      </c>
      <c r="G34" s="1279" cm="1">
        <f t="array" ref="G34">F34*$G33</f>
        <v>892500</v>
      </c>
      <c r="H34" s="1280" cm="1">
        <f t="array" ref="H34">F34*H33</f>
        <v>153000</v>
      </c>
      <c r="I34" s="1280" cm="1">
        <f t="array" ref="I34">F34*I33</f>
        <v>51000</v>
      </c>
      <c r="J34" s="1280" cm="1">
        <f t="array" ref="J34">SUM(G34:I34)</f>
        <v>1096500</v>
      </c>
      <c r="K34" s="389" cm="1">
        <f t="array" ref="K34">F34*K33</f>
        <v>408000</v>
      </c>
      <c r="L34" s="389" cm="1">
        <f t="array" ref="L34">F34*L33</f>
        <v>76500</v>
      </c>
      <c r="M34" s="389" cm="1">
        <f t="array" ref="M34">F34*M33</f>
        <v>51000</v>
      </c>
      <c r="N34" s="389" cm="1">
        <f t="array" ref="N34">SUM(K34:M34)</f>
        <v>535500</v>
      </c>
      <c r="O34" s="389" cm="1">
        <f t="array" ref="O34">J34+N34</f>
        <v>1632000</v>
      </c>
      <c r="P34" s="1281"/>
      <c r="Q34" s="525"/>
      <c r="R34" s="526"/>
      <c r="S34" s="526"/>
      <c r="T34" s="526"/>
      <c r="U34" s="526"/>
      <c r="V34" s="526"/>
      <c r="W34" s="526"/>
      <c r="X34" s="526"/>
      <c r="Y34" s="526"/>
      <c r="Z34" s="526"/>
      <c r="AA34" s="526"/>
      <c r="AB34" s="526"/>
      <c r="AC34" s="526"/>
      <c r="AD34" s="526"/>
      <c r="AE34" s="526"/>
      <c r="AF34" s="526"/>
      <c r="AG34" s="526"/>
    </row>
    <row r="35" ht="15" customHeight="1">
      <c r="A35" s="1276"/>
      <c r="B35" s="1277"/>
      <c r="C35" s="1277"/>
      <c r="D35" s="1277"/>
      <c r="E35" t="s" s="1272">
        <v>6042</v>
      </c>
      <c r="F35" s="1282" cm="1">
        <f t="array" ref="F35">SUM(F34)</f>
        <v>5100000</v>
      </c>
      <c r="G35" s="1282" cm="1">
        <f t="array" ref="G35">SUM(G34)</f>
        <v>892500</v>
      </c>
      <c r="H35" s="1282" cm="1">
        <f t="array" ref="H35">SUM(H34)</f>
        <v>153000</v>
      </c>
      <c r="I35" s="1282" cm="1">
        <f t="array" ref="I35">SUM(I34)</f>
        <v>51000</v>
      </c>
      <c r="J35" s="1282" cm="1">
        <f t="array" ref="J35">SUM(J34)</f>
        <v>1096500</v>
      </c>
      <c r="K35" s="1282" cm="1">
        <f t="array" ref="K35">SUM(K34)</f>
        <v>408000</v>
      </c>
      <c r="L35" s="1282" cm="1">
        <f t="array" ref="L35">SUM(L34)</f>
        <v>76500</v>
      </c>
      <c r="M35" s="1282" cm="1">
        <f t="array" ref="M35">SUM(M34)</f>
        <v>51000</v>
      </c>
      <c r="N35" s="1282" cm="1">
        <f t="array" ref="N35">SUM(N34)</f>
        <v>535500</v>
      </c>
      <c r="O35" s="1282" cm="1">
        <f t="array" ref="O35">SUM(O34)</f>
        <v>1632000</v>
      </c>
      <c r="P35" s="962"/>
      <c r="Q35" s="525"/>
      <c r="R35" s="526"/>
      <c r="S35" s="526"/>
      <c r="T35" s="526"/>
      <c r="U35" s="526"/>
      <c r="V35" s="526"/>
      <c r="W35" s="526"/>
      <c r="X35" s="526"/>
      <c r="Y35" s="526"/>
      <c r="Z35" s="526"/>
      <c r="AA35" s="526"/>
      <c r="AB35" s="526"/>
      <c r="AC35" s="526"/>
      <c r="AD35" s="526"/>
      <c r="AE35" s="526"/>
      <c r="AF35" s="526"/>
      <c r="AG35" s="526"/>
    </row>
    <row r="36" ht="15" customHeight="1">
      <c r="A36" s="1063"/>
      <c r="B36" s="1063"/>
      <c r="C36" s="1063"/>
      <c r="D36" s="1063"/>
      <c r="E36" s="1063"/>
      <c r="F36" s="1063"/>
      <c r="G36" s="1283"/>
      <c r="H36" s="1206"/>
      <c r="I36" s="1206"/>
      <c r="J36" s="1284"/>
      <c r="K36" s="1063"/>
      <c r="L36" s="1285"/>
      <c r="M36" s="1286"/>
      <c r="N36" s="1286"/>
      <c r="O36" s="1286"/>
      <c r="P36" s="1063"/>
      <c r="Q36" s="526"/>
      <c r="R36" s="526"/>
      <c r="S36" s="526"/>
      <c r="T36" s="526"/>
      <c r="U36" s="526"/>
      <c r="V36" s="526"/>
      <c r="W36" s="526"/>
      <c r="X36" s="526"/>
      <c r="Y36" s="526"/>
      <c r="Z36" s="526"/>
      <c r="AA36" s="526"/>
      <c r="AB36" s="526"/>
      <c r="AC36" s="526"/>
      <c r="AD36" s="526"/>
      <c r="AE36" s="526"/>
      <c r="AF36" s="526"/>
      <c r="AG36" s="526"/>
    </row>
    <row r="37" ht="15" customHeight="1">
      <c r="A37" s="526"/>
      <c r="B37" s="526"/>
      <c r="C37" s="526"/>
      <c r="D37" s="526"/>
      <c r="E37" s="526"/>
      <c r="F37" s="526"/>
      <c r="G37" s="1287"/>
      <c r="H37" s="27"/>
      <c r="I37" s="27"/>
      <c r="J37" s="1288"/>
      <c r="K37" s="526"/>
      <c r="L37" s="1289"/>
      <c r="M37" s="893"/>
      <c r="N37" s="893"/>
      <c r="O37" s="893"/>
      <c r="P37" s="526"/>
      <c r="Q37" s="526"/>
      <c r="R37" s="526"/>
      <c r="S37" s="526"/>
      <c r="T37" s="526"/>
      <c r="U37" s="526"/>
      <c r="V37" s="526"/>
      <c r="W37" s="526"/>
      <c r="X37" s="526"/>
      <c r="Y37" s="526"/>
      <c r="Z37" s="526"/>
      <c r="AA37" s="526"/>
      <c r="AB37" s="526"/>
      <c r="AC37" s="526"/>
      <c r="AD37" s="526"/>
      <c r="AE37" s="526"/>
      <c r="AF37" s="526"/>
      <c r="AG37" s="526"/>
    </row>
    <row r="38" ht="15" customHeight="1">
      <c r="A38" s="27"/>
      <c r="B38" s="27"/>
      <c r="C38" s="27"/>
      <c r="D38" s="27"/>
      <c r="E38" s="27"/>
      <c r="F38" s="27"/>
      <c r="G38" s="1290"/>
      <c r="H38" s="27"/>
      <c r="I38" s="27"/>
      <c r="J38" s="1291"/>
      <c r="K38" s="27"/>
      <c r="L38" s="1292"/>
      <c r="M38" s="27"/>
      <c r="N38" s="27"/>
      <c r="O38" s="1292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</row>
    <row r="39" ht="15" customHeight="1">
      <c r="A39" s="27"/>
      <c r="B39" s="27"/>
      <c r="C39" s="27"/>
      <c r="D39" s="27"/>
      <c r="E39" s="27"/>
      <c r="F39" s="27"/>
      <c r="G39" s="1290"/>
      <c r="H39" s="1290"/>
      <c r="I39" s="1290"/>
      <c r="J39" s="1291"/>
      <c r="K39" s="27"/>
      <c r="L39" s="1292"/>
      <c r="M39" s="27"/>
      <c r="N39" s="27"/>
      <c r="O39" s="1292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</row>
    <row r="40" ht="15" customHeight="1">
      <c r="A40" s="1293"/>
      <c r="B40" s="1294"/>
      <c r="C40" s="1294"/>
      <c r="D40" t="s" s="1295">
        <v>6043</v>
      </c>
      <c r="E40" s="27"/>
      <c r="F40" s="27"/>
      <c r="G40" s="1294"/>
      <c r="H40" t="s" s="1295">
        <v>6044</v>
      </c>
      <c r="I40" s="27"/>
      <c r="J40" s="27"/>
      <c r="K40" s="1294"/>
      <c r="L40" t="s" s="1295">
        <v>6045</v>
      </c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</row>
    <row r="41" ht="15" customHeight="1">
      <c r="A41" s="1293"/>
      <c r="B41" s="1294"/>
      <c r="C41" s="1294"/>
      <c r="D41" s="1296"/>
      <c r="E41" s="1294"/>
      <c r="F41" s="1297"/>
      <c r="G41" s="1294"/>
      <c r="H41" s="1294"/>
      <c r="I41" s="1294"/>
      <c r="J41" s="1291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</row>
    <row r="42" ht="15" customHeight="1">
      <c r="A42" s="1293"/>
      <c r="B42" s="1294"/>
      <c r="C42" s="1294"/>
      <c r="D42" s="1296"/>
      <c r="E42" s="1294"/>
      <c r="F42" s="129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ht="15" customHeight="1">
      <c r="A43" s="1293"/>
      <c r="B43" s="1294"/>
      <c r="C43" s="1294"/>
      <c r="D43" s="1293"/>
      <c r="E43" s="27"/>
      <c r="F43" s="27"/>
      <c r="G43" s="1294"/>
      <c r="H43" s="1293"/>
      <c r="I43" s="27"/>
      <c r="J43" s="27"/>
      <c r="K43" s="1294"/>
      <c r="L43" t="s" s="1295">
        <v>220</v>
      </c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</sheetData>
  <mergeCells count="42">
    <mergeCell ref="F4:F6"/>
    <mergeCell ref="G4:J4"/>
    <mergeCell ref="J5:J6"/>
    <mergeCell ref="D40:F40"/>
    <mergeCell ref="H40:J40"/>
    <mergeCell ref="D43:F43"/>
    <mergeCell ref="A25:F25"/>
    <mergeCell ref="A28:F28"/>
    <mergeCell ref="A31:E31"/>
    <mergeCell ref="G31:J31"/>
    <mergeCell ref="H43:J43"/>
    <mergeCell ref="U4:U6"/>
    <mergeCell ref="V4:V6"/>
    <mergeCell ref="L43:M43"/>
    <mergeCell ref="G36:I36"/>
    <mergeCell ref="G37:I37"/>
    <mergeCell ref="G38:I38"/>
    <mergeCell ref="K4:N4"/>
    <mergeCell ref="O4:O6"/>
    <mergeCell ref="N5:N6"/>
    <mergeCell ref="K31:N31"/>
    <mergeCell ref="O31:O33"/>
    <mergeCell ref="P31:P33"/>
    <mergeCell ref="J32:J33"/>
    <mergeCell ref="N32:N33"/>
    <mergeCell ref="L40:M40"/>
    <mergeCell ref="A1:E1"/>
    <mergeCell ref="A2:O2"/>
    <mergeCell ref="S3:AG3"/>
    <mergeCell ref="A4:A6"/>
    <mergeCell ref="B4:B6"/>
    <mergeCell ref="D4:D6"/>
    <mergeCell ref="E4:E6"/>
    <mergeCell ref="W4:W6"/>
    <mergeCell ref="X4:AA4"/>
    <mergeCell ref="AB4:AE4"/>
    <mergeCell ref="AF4:AF6"/>
    <mergeCell ref="AA5:AA6"/>
    <mergeCell ref="AE5:AE6"/>
    <mergeCell ref="P4:P6"/>
    <mergeCell ref="R4:R6"/>
    <mergeCell ref="S4:S6"/>
  </mergeCells>
  <pageMargins left="0.7" right="0.7" top="0.75" bottom="0.75" header="0" footer="0"/>
  <pageSetup firstPageNumber="1" fitToHeight="1" fitToWidth="1" scale="100" useFirstPageNumber="0" orientation="landscape" pageOrder="overThenDown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H268"/>
  <sheetViews>
    <sheetView workbookViewId="0" showGridLines="0" defaultGridColor="1"/>
  </sheetViews>
  <sheetFormatPr defaultColWidth="14.4" defaultRowHeight="15" customHeight="1" outlineLevelRow="0" outlineLevelCol="0"/>
  <cols>
    <col min="1" max="1" width="6" style="1298" customWidth="1"/>
    <col min="2" max="2" width="14" style="1298" customWidth="1"/>
    <col min="3" max="3" width="15" style="1298" customWidth="1"/>
    <col min="4" max="4" width="12" style="1298" customWidth="1"/>
    <col min="5" max="5" width="22" style="1298" customWidth="1"/>
    <col min="6" max="6" width="15" style="1298" customWidth="1"/>
    <col min="7" max="7" width="14" style="1298" customWidth="1"/>
    <col min="8" max="8" width="16" style="1298" customWidth="1"/>
    <col min="9" max="10" width="13" style="1298" customWidth="1"/>
    <col min="11" max="12" width="16" style="1298" customWidth="1"/>
    <col min="13" max="13" width="13" style="1298" customWidth="1"/>
    <col min="14" max="14" width="14" style="1298" customWidth="1"/>
    <col min="15" max="15" width="15" style="1298" customWidth="1"/>
    <col min="16" max="16" width="28.6016" style="1298" customWidth="1"/>
    <col min="17" max="17" width="20.4219" style="1298" customWidth="1"/>
    <col min="18" max="18" hidden="1" width="14.4" style="1298" customWidth="1"/>
    <col min="19" max="21" width="14" style="1298" customWidth="1"/>
    <col min="22" max="22" width="19" style="1298" customWidth="1"/>
    <col min="23" max="33" width="14" style="1298" customWidth="1"/>
    <col min="34" max="34" width="14.4219" style="1298" customWidth="1"/>
    <col min="35" max="16384" width="14.4219" style="1298" customWidth="1"/>
  </cols>
  <sheetData>
    <row r="1" ht="21" customHeight="1">
      <c r="A1" t="s" s="1299">
        <v>380</v>
      </c>
      <c r="B1" s="27"/>
      <c r="C1" s="27"/>
      <c r="D1" s="27"/>
      <c r="E1" s="27"/>
      <c r="F1" s="686"/>
      <c r="G1" s="686"/>
      <c r="H1" s="686"/>
      <c r="I1" s="686"/>
      <c r="J1" s="686"/>
      <c r="K1" s="686"/>
      <c r="L1" s="686"/>
      <c r="M1" s="686"/>
      <c r="N1" s="686"/>
      <c r="O1" s="686"/>
      <c r="P1" s="686"/>
      <c r="Q1" s="686"/>
      <c r="R1" s="686"/>
      <c r="S1" s="686"/>
      <c r="T1" s="686"/>
      <c r="U1" s="686"/>
      <c r="V1" s="686"/>
      <c r="W1" s="686"/>
      <c r="X1" s="686"/>
      <c r="Y1" s="686"/>
      <c r="Z1" s="686"/>
      <c r="AA1" s="686"/>
      <c r="AB1" s="686"/>
      <c r="AC1" s="686"/>
      <c r="AD1" s="686"/>
      <c r="AE1" s="686"/>
      <c r="AF1" s="686"/>
      <c r="AG1" s="686"/>
      <c r="AH1" s="27"/>
    </row>
    <row r="2" ht="18.75" customHeight="1">
      <c r="A2" t="s" s="1300">
        <v>6046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686"/>
      <c r="Q2" s="686"/>
      <c r="R2" s="686"/>
      <c r="S2" s="686"/>
      <c r="T2" s="686"/>
      <c r="U2" s="686"/>
      <c r="V2" s="686"/>
      <c r="W2" s="686"/>
      <c r="X2" s="686"/>
      <c r="Y2" s="686"/>
      <c r="Z2" s="686"/>
      <c r="AA2" s="686"/>
      <c r="AB2" s="686"/>
      <c r="AC2" s="686"/>
      <c r="AD2" s="686"/>
      <c r="AE2" s="686"/>
      <c r="AF2" s="686"/>
      <c r="AG2" s="686"/>
      <c r="AH2" s="27"/>
    </row>
    <row r="3" ht="22.5" customHeight="1">
      <c r="A3" s="1301"/>
      <c r="B3" s="1302"/>
      <c r="C3" s="1302"/>
      <c r="D3" s="1302"/>
      <c r="E3" s="1303"/>
      <c r="F3" s="1304"/>
      <c r="G3" s="684"/>
      <c r="H3" s="684"/>
      <c r="I3" s="684"/>
      <c r="J3" s="684"/>
      <c r="K3" s="684"/>
      <c r="L3" s="684"/>
      <c r="M3" s="684"/>
      <c r="N3" s="684"/>
      <c r="O3" s="684"/>
      <c r="P3" s="684"/>
      <c r="Q3" s="686"/>
      <c r="R3" s="1305"/>
      <c r="S3" t="s" s="1306">
        <v>6021</v>
      </c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7"/>
    </row>
    <row r="4" ht="15" customHeight="1">
      <c r="A4" t="s" s="1307">
        <v>15</v>
      </c>
      <c r="B4" t="s" s="1307">
        <v>6022</v>
      </c>
      <c r="C4" t="s" s="501">
        <v>6023</v>
      </c>
      <c r="D4" t="s" s="1307">
        <v>15</v>
      </c>
      <c r="E4" t="s" s="1307">
        <v>5888</v>
      </c>
      <c r="F4" t="s" s="222">
        <v>6025</v>
      </c>
      <c r="G4" t="s" s="213">
        <v>6026</v>
      </c>
      <c r="H4" s="36"/>
      <c r="I4" s="40"/>
      <c r="J4" s="37"/>
      <c r="K4" t="s" s="1308">
        <v>6027</v>
      </c>
      <c r="L4" s="40"/>
      <c r="M4" s="40"/>
      <c r="N4" s="37"/>
      <c r="O4" t="s" s="1307">
        <v>180</v>
      </c>
      <c r="P4" t="s" s="1307">
        <v>13</v>
      </c>
      <c r="Q4" s="1309"/>
      <c r="R4" t="s" s="1307">
        <v>15</v>
      </c>
      <c r="S4" t="s" s="1307">
        <v>6022</v>
      </c>
      <c r="T4" t="s" s="501">
        <v>6023</v>
      </c>
      <c r="U4" t="s" s="1307">
        <v>6024</v>
      </c>
      <c r="V4" t="s" s="1307">
        <v>5888</v>
      </c>
      <c r="W4" t="s" s="222">
        <v>6025</v>
      </c>
      <c r="X4" t="s" s="1308">
        <v>6026</v>
      </c>
      <c r="Y4" s="40"/>
      <c r="Z4" s="40"/>
      <c r="AA4" s="37"/>
      <c r="AB4" t="s" s="1308">
        <v>6027</v>
      </c>
      <c r="AC4" s="40"/>
      <c r="AD4" s="40"/>
      <c r="AE4" s="37"/>
      <c r="AF4" t="s" s="1310">
        <v>180</v>
      </c>
      <c r="AG4" s="719"/>
      <c r="AH4" s="27"/>
    </row>
    <row r="5" ht="15" customHeight="1">
      <c r="A5" s="62"/>
      <c r="B5" s="62"/>
      <c r="C5" s="1311"/>
      <c r="D5" s="62"/>
      <c r="E5" s="62"/>
      <c r="F5" s="62"/>
      <c r="G5" t="s" s="501">
        <v>6028</v>
      </c>
      <c r="H5" t="s" s="501">
        <v>6029</v>
      </c>
      <c r="I5" t="s" s="501">
        <v>6030</v>
      </c>
      <c r="J5" t="s" s="1307">
        <v>180</v>
      </c>
      <c r="K5" t="s" s="501">
        <v>6028</v>
      </c>
      <c r="L5" t="s" s="501">
        <v>6029</v>
      </c>
      <c r="M5" t="s" s="501">
        <v>6030</v>
      </c>
      <c r="N5" t="s" s="1307">
        <v>180</v>
      </c>
      <c r="O5" s="62"/>
      <c r="P5" s="62"/>
      <c r="Q5" s="1309"/>
      <c r="R5" s="62"/>
      <c r="S5" s="62"/>
      <c r="T5" s="1312"/>
      <c r="U5" s="62"/>
      <c r="V5" s="62"/>
      <c r="W5" s="62"/>
      <c r="X5" t="s" s="501">
        <v>6028</v>
      </c>
      <c r="Y5" t="s" s="501">
        <v>6029</v>
      </c>
      <c r="Z5" t="s" s="501">
        <v>6030</v>
      </c>
      <c r="AA5" t="s" s="1307">
        <v>180</v>
      </c>
      <c r="AB5" t="s" s="501">
        <v>6028</v>
      </c>
      <c r="AC5" t="s" s="501">
        <v>6029</v>
      </c>
      <c r="AD5" t="s" s="501">
        <v>6030</v>
      </c>
      <c r="AE5" t="s" s="1307">
        <v>180</v>
      </c>
      <c r="AF5" s="1186"/>
      <c r="AG5" s="686"/>
      <c r="AH5" s="27"/>
    </row>
    <row r="6" ht="15" customHeight="1">
      <c r="A6" s="66"/>
      <c r="B6" s="66"/>
      <c r="C6" s="1311"/>
      <c r="D6" s="66"/>
      <c r="E6" s="66"/>
      <c r="F6" s="66"/>
      <c r="G6" s="1313">
        <v>0.175</v>
      </c>
      <c r="H6" s="1314">
        <v>0.03</v>
      </c>
      <c r="I6" t="s" s="501">
        <v>6031</v>
      </c>
      <c r="J6" s="66"/>
      <c r="K6" s="1314">
        <v>0.08</v>
      </c>
      <c r="L6" s="1313">
        <v>0.015</v>
      </c>
      <c r="M6" s="1314">
        <v>0.01</v>
      </c>
      <c r="N6" s="66"/>
      <c r="O6" s="66"/>
      <c r="P6" s="66"/>
      <c r="Q6" s="1309"/>
      <c r="R6" s="66"/>
      <c r="S6" s="66"/>
      <c r="T6" s="1312"/>
      <c r="U6" s="66"/>
      <c r="V6" s="66"/>
      <c r="W6" s="66"/>
      <c r="X6" s="1313">
        <v>0.175</v>
      </c>
      <c r="Y6" s="1314">
        <v>0.03</v>
      </c>
      <c r="Z6" t="s" s="501">
        <v>6031</v>
      </c>
      <c r="AA6" s="66"/>
      <c r="AB6" s="1314">
        <v>0.08</v>
      </c>
      <c r="AC6" s="1313">
        <v>0.015</v>
      </c>
      <c r="AD6" s="1314">
        <v>0.01</v>
      </c>
      <c r="AE6" s="66"/>
      <c r="AF6" s="1213"/>
      <c r="AG6" s="686"/>
      <c r="AH6" s="27"/>
    </row>
    <row r="7" ht="15" customHeight="1">
      <c r="A7" s="1315">
        <v>1</v>
      </c>
      <c r="B7" t="s" s="1316">
        <v>6032</v>
      </c>
      <c r="C7" s="1317"/>
      <c r="D7" s="1318">
        <v>1</v>
      </c>
      <c r="E7" t="s" s="351">
        <v>90</v>
      </c>
      <c r="F7" s="1319">
        <v>5310000</v>
      </c>
      <c r="G7" s="296" cm="1">
        <f t="array" ref="G7">ROUND(F7*$G$6,0)</f>
        <v>929250</v>
      </c>
      <c r="H7" s="1320" cm="1">
        <f t="array" ref="H7">ROUND(F7*$H$6,0)</f>
        <v>159300</v>
      </c>
      <c r="I7" s="1320" cm="1">
        <f t="array" ref="I7">ROUND(F7*$I$6,0)</f>
        <v>53100</v>
      </c>
      <c r="J7" s="1320" cm="1">
        <f t="array" ref="J7">ROUND(SUM(G7:I7),0)</f>
        <v>1141650</v>
      </c>
      <c r="K7" s="296" cm="1">
        <f t="array" ref="K7">ROUND(F7*$K$6,0)</f>
        <v>424800</v>
      </c>
      <c r="L7" s="296" cm="1">
        <f t="array" ref="L7">ROUND(F7*$L$6,0)</f>
        <v>79650</v>
      </c>
      <c r="M7" s="296" cm="1">
        <f t="array" ref="M7">ROUND(F7*$M$6,0)</f>
        <v>53100</v>
      </c>
      <c r="N7" s="296" cm="1">
        <f t="array" ref="N7">ROUND(SUM(K7:M7),0)</f>
        <v>557550</v>
      </c>
      <c r="O7" s="296" cm="1">
        <f t="array" ref="O7">J7+N7</f>
        <v>1699200</v>
      </c>
      <c r="P7" s="296"/>
      <c r="Q7" s="1309"/>
      <c r="R7" s="1315">
        <v>1</v>
      </c>
      <c r="S7" t="s" s="285">
        <v>6033</v>
      </c>
      <c r="T7" s="1312"/>
      <c r="U7" t="s" s="1321">
        <v>81</v>
      </c>
      <c r="V7" t="s" s="351">
        <v>82</v>
      </c>
      <c r="W7" s="1319">
        <v>5100000</v>
      </c>
      <c r="X7" s="372" cm="1">
        <f t="array" ref="X7">ROUND(W7*$G$6,0)</f>
        <v>892500</v>
      </c>
      <c r="Y7" s="1319" cm="1">
        <f t="array" ref="Y7">ROUND(W7*$H$6,0)</f>
        <v>153000</v>
      </c>
      <c r="Z7" s="1319" cm="1">
        <f t="array" ref="Z7">ROUND(W7*$I$6,0)</f>
        <v>51000</v>
      </c>
      <c r="AA7" s="1319" cm="1">
        <f t="array" ref="AA7">ROUND(SUM(X7:Z7),0)</f>
        <v>1096500</v>
      </c>
      <c r="AB7" s="372" cm="1">
        <f t="array" ref="AB7">ROUND(W7*$K$6,0)</f>
        <v>408000</v>
      </c>
      <c r="AC7" s="372" cm="1">
        <f t="array" ref="AC7">ROUND(W7*$L$6,0)</f>
        <v>76500</v>
      </c>
      <c r="AD7" s="372" cm="1">
        <f t="array" ref="AD7">ROUND(W7*$M$6,0)</f>
        <v>51000</v>
      </c>
      <c r="AE7" s="372" cm="1">
        <f t="array" ref="AE7">ROUND(SUM(AB7:AD7),0)</f>
        <v>535500</v>
      </c>
      <c r="AF7" s="372" cm="1">
        <f t="array" ref="AF7">AA7+AE7</f>
        <v>1632000</v>
      </c>
      <c r="AG7" s="702"/>
      <c r="AH7" s="27"/>
    </row>
    <row r="8" ht="15" customHeight="1">
      <c r="A8" s="1315" cm="1">
        <f t="array" ref="A8">A7+1</f>
        <v>2</v>
      </c>
      <c r="B8" t="s" s="1316">
        <v>6034</v>
      </c>
      <c r="C8" s="1317"/>
      <c r="D8" s="1318">
        <v>2</v>
      </c>
      <c r="E8" t="s" s="351">
        <v>97</v>
      </c>
      <c r="F8" s="1319">
        <v>5310000</v>
      </c>
      <c r="G8" s="296" cm="1">
        <f t="array" ref="G8">ROUND(F8*$G$6,0)</f>
        <v>929250</v>
      </c>
      <c r="H8" s="1320" cm="1">
        <f t="array" ref="H8">ROUND(F8*$H$6,0)</f>
        <v>159300</v>
      </c>
      <c r="I8" s="1320" cm="1">
        <f t="array" ref="I8">ROUND(F8*$I$6,0)</f>
        <v>53100</v>
      </c>
      <c r="J8" s="1320" cm="1">
        <f t="array" ref="J8">ROUND(SUM(G8:I8),0)</f>
        <v>1141650</v>
      </c>
      <c r="K8" s="296" cm="1">
        <f t="array" ref="K8">ROUND(F8*$K$6,0)</f>
        <v>424800</v>
      </c>
      <c r="L8" s="296" cm="1">
        <f t="array" ref="L8">ROUND(F8*$L$6,0)</f>
        <v>79650</v>
      </c>
      <c r="M8" s="296" cm="1">
        <f t="array" ref="M8">ROUND(F8*$M$6,0)</f>
        <v>53100</v>
      </c>
      <c r="N8" s="296" cm="1">
        <f t="array" ref="N8">ROUND(SUM(K8:M8),0)</f>
        <v>557550</v>
      </c>
      <c r="O8" s="296" cm="1">
        <f t="array" ref="O8">J8+N8</f>
        <v>1699200</v>
      </c>
      <c r="P8" s="296"/>
      <c r="Q8" s="1309"/>
      <c r="R8" s="1315">
        <v>2</v>
      </c>
      <c r="S8" t="s" s="285">
        <v>6032</v>
      </c>
      <c r="T8" s="1312"/>
      <c r="U8" t="s" s="1321">
        <v>89</v>
      </c>
      <c r="V8" t="s" s="351">
        <v>90</v>
      </c>
      <c r="W8" s="1319">
        <v>9000000</v>
      </c>
      <c r="X8" s="372" cm="1">
        <f t="array" ref="X8">ROUND(W8*$G$6,0)</f>
        <v>1575000</v>
      </c>
      <c r="Y8" s="1319" cm="1">
        <f t="array" ref="Y8">ROUND(W8*$H$6,0)</f>
        <v>270000</v>
      </c>
      <c r="Z8" s="1319" cm="1">
        <f t="array" ref="Z8">ROUND(W8*$I$6,0)</f>
        <v>90000</v>
      </c>
      <c r="AA8" s="1319" cm="1">
        <f t="array" ref="AA8">ROUND(SUM(X8:Z8),0)</f>
        <v>1935000</v>
      </c>
      <c r="AB8" s="372" cm="1">
        <f t="array" ref="AB8">ROUND(W8*$K$6,0)</f>
        <v>720000</v>
      </c>
      <c r="AC8" s="372" cm="1">
        <f t="array" ref="AC8">ROUND(W8*$L$6,0)</f>
        <v>135000</v>
      </c>
      <c r="AD8" s="372" cm="1">
        <f t="array" ref="AD8">ROUND(W8*$M$6,0)</f>
        <v>90000</v>
      </c>
      <c r="AE8" s="372" cm="1">
        <f t="array" ref="AE8">ROUND(SUM(AB8:AD8),0)</f>
        <v>945000</v>
      </c>
      <c r="AF8" s="372" cm="1">
        <f t="array" ref="AF8">AA8+AE8</f>
        <v>2880000</v>
      </c>
      <c r="AG8" s="702"/>
      <c r="AH8" s="27"/>
    </row>
    <row r="9" ht="15" customHeight="1">
      <c r="A9" s="1315" cm="1">
        <f t="array" ref="A9">A8+1</f>
        <v>3</v>
      </c>
      <c r="B9" s="1322"/>
      <c r="C9" s="1317"/>
      <c r="D9" s="1318">
        <v>3</v>
      </c>
      <c r="E9" t="s" s="1323">
        <v>115</v>
      </c>
      <c r="F9" s="1319">
        <v>5310000</v>
      </c>
      <c r="G9" s="296" cm="1">
        <f t="array" ref="G9">ROUND(F9*$G$6,0)</f>
        <v>929250</v>
      </c>
      <c r="H9" s="1320" cm="1">
        <f t="array" ref="H9">ROUND(F9*$H$6,0)</f>
        <v>159300</v>
      </c>
      <c r="I9" s="1320" cm="1">
        <f t="array" ref="I9">ROUND(F9*$I$6,0)</f>
        <v>53100</v>
      </c>
      <c r="J9" s="1320" cm="1">
        <f t="array" ref="J9">ROUND(SUM(G9:I9),0)</f>
        <v>1141650</v>
      </c>
      <c r="K9" s="296" cm="1">
        <f t="array" ref="K9">ROUND(F9*$K$6,0)</f>
        <v>424800</v>
      </c>
      <c r="L9" s="296" cm="1">
        <f t="array" ref="L9">ROUND(F9*$L$6,0)</f>
        <v>79650</v>
      </c>
      <c r="M9" s="296" cm="1">
        <f t="array" ref="M9">ROUND(F9*$M$6,0)</f>
        <v>53100</v>
      </c>
      <c r="N9" s="296" cm="1">
        <f t="array" ref="N9">ROUND(SUM(K9:M9),0)</f>
        <v>557550</v>
      </c>
      <c r="O9" s="296" cm="1">
        <f t="array" ref="O9">J9+N9</f>
        <v>1699200</v>
      </c>
      <c r="P9" s="296"/>
      <c r="Q9" s="1309"/>
      <c r="R9" s="1315">
        <v>7</v>
      </c>
      <c r="S9" s="818"/>
      <c r="T9" s="1312"/>
      <c r="U9" t="s" s="1321">
        <v>110</v>
      </c>
      <c r="V9" t="s" s="351">
        <v>111</v>
      </c>
      <c r="W9" s="1319">
        <v>5100000</v>
      </c>
      <c r="X9" s="372" cm="1">
        <f t="array" ref="X9">ROUND(W9*$G$6,0)</f>
        <v>892500</v>
      </c>
      <c r="Y9" s="1319" cm="1">
        <f t="array" ref="Y9">ROUND(W9*$H$6,0)</f>
        <v>153000</v>
      </c>
      <c r="Z9" s="1319" cm="1">
        <f t="array" ref="Z9">ROUND(W9*$I$6,0)</f>
        <v>51000</v>
      </c>
      <c r="AA9" s="1319" cm="1">
        <f t="array" ref="AA9">ROUND(SUM(X9:Z9),0)</f>
        <v>1096500</v>
      </c>
      <c r="AB9" s="372" cm="1">
        <f t="array" ref="AB9">ROUND(W9*$K$6,0)</f>
        <v>408000</v>
      </c>
      <c r="AC9" s="372" cm="1">
        <f t="array" ref="AC9">ROUND(W9*$L$6,0)</f>
        <v>76500</v>
      </c>
      <c r="AD9" s="372" cm="1">
        <f t="array" ref="AD9">ROUND(W9*$M$6,0)</f>
        <v>51000</v>
      </c>
      <c r="AE9" s="372" cm="1">
        <f t="array" ref="AE9">ROUND(SUM(AB9:AD9),0)</f>
        <v>535500</v>
      </c>
      <c r="AF9" s="372" cm="1">
        <f t="array" ref="AF9">AA9+AE9</f>
        <v>1632000</v>
      </c>
      <c r="AG9" s="702"/>
      <c r="AH9" s="27"/>
    </row>
    <row r="10" ht="15" customHeight="1">
      <c r="A10" s="1315" cm="1">
        <f t="array" ref="A10">A9+1</f>
        <v>4</v>
      </c>
      <c r="B10" s="1324"/>
      <c r="C10" s="1317"/>
      <c r="D10" s="1318">
        <v>4</v>
      </c>
      <c r="E10" t="s" s="351">
        <v>220</v>
      </c>
      <c r="F10" s="1319">
        <v>5310000</v>
      </c>
      <c r="G10" s="296" cm="1">
        <f t="array" ref="G10">ROUND(F10*$G$6,0)</f>
        <v>929250</v>
      </c>
      <c r="H10" s="1320" cm="1">
        <f t="array" ref="H10">ROUND(F10*$H$6,0)</f>
        <v>159300</v>
      </c>
      <c r="I10" s="1320" cm="1">
        <f t="array" ref="I10">ROUND(F10*$I$6,0)</f>
        <v>53100</v>
      </c>
      <c r="J10" s="1320" cm="1">
        <f t="array" ref="J10">ROUND(SUM(G10:I10),0)</f>
        <v>1141650</v>
      </c>
      <c r="K10" s="296" cm="1">
        <f t="array" ref="K10">ROUND(F10*$K$6,0)</f>
        <v>424800</v>
      </c>
      <c r="L10" s="296" cm="1">
        <f t="array" ref="L10">ROUND(F10*$L$6,0)</f>
        <v>79650</v>
      </c>
      <c r="M10" s="296" cm="1">
        <f t="array" ref="M10">ROUND(F10*$M$6,0)</f>
        <v>53100</v>
      </c>
      <c r="N10" s="296" cm="1">
        <f t="array" ref="N10">ROUND(SUM(K10:M10),0)</f>
        <v>557550</v>
      </c>
      <c r="O10" s="296" cm="1">
        <f t="array" ref="O10">J10+N10</f>
        <v>1699200</v>
      </c>
      <c r="P10" s="296"/>
      <c r="Q10" s="1309"/>
      <c r="R10" s="1315">
        <v>9</v>
      </c>
      <c r="S10" s="1309"/>
      <c r="T10" s="1312"/>
      <c r="U10" t="s" s="287">
        <v>118</v>
      </c>
      <c r="V10" t="s" s="351">
        <v>119</v>
      </c>
      <c r="W10" s="1319">
        <v>5100000</v>
      </c>
      <c r="X10" s="372" cm="1">
        <f t="array" ref="X10">ROUND(W10*$G$6,0)</f>
        <v>892500</v>
      </c>
      <c r="Y10" s="1319" cm="1">
        <f t="array" ref="Y10">ROUND(W10*$H$6,0)</f>
        <v>153000</v>
      </c>
      <c r="Z10" s="1319" cm="1">
        <f t="array" ref="Z10">ROUND(W10*$I$6,0)</f>
        <v>51000</v>
      </c>
      <c r="AA10" s="1319" cm="1">
        <f t="array" ref="AA10">ROUND(SUM(X10:Z10),0)</f>
        <v>1096500</v>
      </c>
      <c r="AB10" s="372" cm="1">
        <f t="array" ref="AB10">ROUND(W10*$K$6,0)</f>
        <v>408000</v>
      </c>
      <c r="AC10" s="372" cm="1">
        <f t="array" ref="AC10">ROUND(W10*$L$6,0)</f>
        <v>76500</v>
      </c>
      <c r="AD10" s="372" cm="1">
        <f t="array" ref="AD10">ROUND(W10*$M$6,0)</f>
        <v>51000</v>
      </c>
      <c r="AE10" s="372" cm="1">
        <f t="array" ref="AE10">ROUND(SUM(AB10:AD10),0)</f>
        <v>535500</v>
      </c>
      <c r="AF10" s="372" cm="1">
        <f t="array" ref="AF10">AA10+AE10</f>
        <v>1632000</v>
      </c>
      <c r="AG10" s="702"/>
      <c r="AH10" s="27"/>
    </row>
    <row r="11" ht="15" customHeight="1">
      <c r="A11" s="1315" cm="1">
        <f t="array" ref="A11">A10+1</f>
        <v>5</v>
      </c>
      <c r="B11" s="1325"/>
      <c r="C11" s="1317"/>
      <c r="D11" s="1318">
        <v>5</v>
      </c>
      <c r="E11" t="s" s="1326">
        <v>224</v>
      </c>
      <c r="F11" s="1319">
        <v>5310000</v>
      </c>
      <c r="G11" s="296" cm="1">
        <f t="array" ref="G11">ROUND(F11*$G$6,0)</f>
        <v>929250</v>
      </c>
      <c r="H11" s="1320" cm="1">
        <f t="array" ref="H11">ROUND(F11*$H$6,0)</f>
        <v>159300</v>
      </c>
      <c r="I11" s="1320" cm="1">
        <f t="array" ref="I11">ROUND(F11*$I$6,0)</f>
        <v>53100</v>
      </c>
      <c r="J11" s="1320" cm="1">
        <f t="array" ref="J11">ROUND(SUM(G11:I11),0)</f>
        <v>1141650</v>
      </c>
      <c r="K11" s="296" cm="1">
        <f t="array" ref="K11">ROUND(F11*$K$6,0)</f>
        <v>424800</v>
      </c>
      <c r="L11" s="296" cm="1">
        <f t="array" ref="L11">ROUND(F11*$L$6,0)</f>
        <v>79650</v>
      </c>
      <c r="M11" s="296" cm="1">
        <f t="array" ref="M11">ROUND(F11*$M$6,0)</f>
        <v>53100</v>
      </c>
      <c r="N11" s="296" cm="1">
        <f t="array" ref="N11">ROUND(SUM(K11:M11),0)</f>
        <v>557550</v>
      </c>
      <c r="O11" s="296" cm="1">
        <f t="array" ref="O11">J11+N11</f>
        <v>1699200</v>
      </c>
      <c r="P11" s="1327"/>
      <c r="Q11" s="1309"/>
      <c r="R11" s="1315">
        <v>10</v>
      </c>
      <c r="S11" s="1328"/>
      <c r="T11" s="1312"/>
      <c r="U11" t="s" s="287">
        <v>121</v>
      </c>
      <c r="V11" t="s" s="351">
        <v>122</v>
      </c>
      <c r="W11" s="1319">
        <v>20000000</v>
      </c>
      <c r="X11" s="372" cm="1">
        <f t="array" ref="X11">ROUND(W11*$G$6,0)</f>
        <v>3500000</v>
      </c>
      <c r="Y11" s="1319" cm="1">
        <f t="array" ref="Y11">ROUND(W11*$H$6,0)</f>
        <v>600000</v>
      </c>
      <c r="Z11" s="1319" cm="1">
        <f t="array" ref="Z11">ROUND(W11*$I$6,0)</f>
        <v>200000</v>
      </c>
      <c r="AA11" s="1319" cm="1">
        <f t="array" ref="AA11">ROUND(SUM(X11:Z11),0)</f>
        <v>4300000</v>
      </c>
      <c r="AB11" s="372" cm="1">
        <f t="array" ref="AB11">ROUND(W11*$K$6,0)</f>
        <v>1600000</v>
      </c>
      <c r="AC11" s="372" cm="1">
        <f t="array" ref="AC11">ROUND(W11*$L$6,0)</f>
        <v>300000</v>
      </c>
      <c r="AD11" s="372" cm="1">
        <f t="array" ref="AD11">ROUND(W11*$M$6,0)</f>
        <v>200000</v>
      </c>
      <c r="AE11" s="372" cm="1">
        <f t="array" ref="AE11">ROUND(SUM(AB11:AD11),0)</f>
        <v>2100000</v>
      </c>
      <c r="AF11" s="372" cm="1">
        <f t="array" ref="AF11">AA11+AE11</f>
        <v>6400000</v>
      </c>
      <c r="AG11" s="702"/>
      <c r="AH11" s="27"/>
    </row>
    <row r="12" ht="17.25" customHeight="1">
      <c r="A12" s="1315" cm="1">
        <f t="array" ref="A12">A11+1</f>
        <v>6</v>
      </c>
      <c r="B12" s="1325"/>
      <c r="C12" s="1317"/>
      <c r="D12" s="1318">
        <v>6</v>
      </c>
      <c r="E12" t="s" s="1329">
        <v>230</v>
      </c>
      <c r="F12" s="1319">
        <v>5310000</v>
      </c>
      <c r="G12" s="296" cm="1">
        <f t="array" ref="G12">ROUND(F12*$G$6,0)</f>
        <v>929250</v>
      </c>
      <c r="H12" s="1320" cm="1">
        <f t="array" ref="H12">ROUND(F12*$H$6,0)</f>
        <v>159300</v>
      </c>
      <c r="I12" s="1320" cm="1">
        <f t="array" ref="I12">ROUND(F12*$I$6,0)</f>
        <v>53100</v>
      </c>
      <c r="J12" s="1320" cm="1">
        <f t="array" ref="J12">ROUND(SUM(G12:I12),0)</f>
        <v>1141650</v>
      </c>
      <c r="K12" s="296" cm="1">
        <f t="array" ref="K12">ROUND(F12*$K$6,0)</f>
        <v>424800</v>
      </c>
      <c r="L12" s="296" cm="1">
        <f t="array" ref="L12">ROUND(F12*$L$6,0)</f>
        <v>79650</v>
      </c>
      <c r="M12" s="296" cm="1">
        <f t="array" ref="M12">ROUND(F12*$M$6,0)</f>
        <v>53100</v>
      </c>
      <c r="N12" s="296" cm="1">
        <f t="array" ref="N12">ROUND(SUM(K12:M12),0)</f>
        <v>557550</v>
      </c>
      <c r="O12" s="296" cm="1">
        <f t="array" ref="O12">J12+N12</f>
        <v>1699200</v>
      </c>
      <c r="P12" s="1327"/>
      <c r="Q12" s="702"/>
      <c r="R12" s="719"/>
      <c r="S12" s="719"/>
      <c r="T12" s="719"/>
      <c r="U12" s="719"/>
      <c r="V12" s="719"/>
      <c r="W12" s="719"/>
      <c r="X12" s="719"/>
      <c r="Y12" s="719"/>
      <c r="Z12" s="719"/>
      <c r="AA12" s="719"/>
      <c r="AB12" s="719"/>
      <c r="AC12" s="719"/>
      <c r="AD12" s="719"/>
      <c r="AE12" s="719"/>
      <c r="AF12" s="719"/>
      <c r="AG12" s="686"/>
      <c r="AH12" s="27"/>
    </row>
    <row r="13" ht="15" customHeight="1">
      <c r="A13" s="1315" cm="1">
        <f t="array" ref="A13">A12+1</f>
        <v>7</v>
      </c>
      <c r="B13" s="1325"/>
      <c r="C13" s="1317"/>
      <c r="D13" s="1318">
        <v>7</v>
      </c>
      <c r="E13" t="s" s="1323">
        <v>139</v>
      </c>
      <c r="F13" s="1319">
        <v>5310000</v>
      </c>
      <c r="G13" s="296" cm="1">
        <f t="array" ref="G13">ROUND(F13*$G$6,0)</f>
        <v>929250</v>
      </c>
      <c r="H13" s="1320" cm="1">
        <f t="array" ref="H13">ROUND(F13*$H$6,0)</f>
        <v>159300</v>
      </c>
      <c r="I13" s="1320" cm="1">
        <f t="array" ref="I13">ROUND(F13*$I$6,0)</f>
        <v>53100</v>
      </c>
      <c r="J13" s="1320" cm="1">
        <f t="array" ref="J13">ROUND(SUM(G13:I13),0)</f>
        <v>1141650</v>
      </c>
      <c r="K13" s="296" cm="1">
        <f t="array" ref="K13">ROUND(F13*$K$6,0)</f>
        <v>424800</v>
      </c>
      <c r="L13" s="296" cm="1">
        <f t="array" ref="L13">ROUND(F13*$L$6,0)</f>
        <v>79650</v>
      </c>
      <c r="M13" s="296" cm="1">
        <f t="array" ref="M13">ROUND(F13*$M$6,0)</f>
        <v>53100</v>
      </c>
      <c r="N13" s="296" cm="1">
        <f t="array" ref="N13">ROUND(SUM(K13:M13),0)</f>
        <v>557550</v>
      </c>
      <c r="O13" s="296" cm="1">
        <f t="array" ref="O13">J13+N13</f>
        <v>1699200</v>
      </c>
      <c r="P13" s="1327"/>
      <c r="Q13" s="702"/>
      <c r="R13" s="686"/>
      <c r="S13" s="686"/>
      <c r="T13" s="686"/>
      <c r="U13" s="686"/>
      <c r="V13" s="686"/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  <c r="AG13" s="686"/>
      <c r="AH13" s="27"/>
    </row>
    <row r="14" ht="15" customHeight="1">
      <c r="A14" s="1315" cm="1">
        <f t="array" ref="A14">A13+1</f>
        <v>8</v>
      </c>
      <c r="B14" s="1325"/>
      <c r="C14" s="1317"/>
      <c r="D14" s="1318">
        <v>8</v>
      </c>
      <c r="E14" t="s" s="351">
        <v>142</v>
      </c>
      <c r="F14" s="1319">
        <v>5310000</v>
      </c>
      <c r="G14" s="296" cm="1">
        <f t="array" ref="G14">ROUND(F14*$G$6,0)</f>
        <v>929250</v>
      </c>
      <c r="H14" s="1320" cm="1">
        <f t="array" ref="H14">ROUND(F14*$H$6,0)</f>
        <v>159300</v>
      </c>
      <c r="I14" s="1320" cm="1">
        <f t="array" ref="I14">ROUND(F14*$I$6,0)</f>
        <v>53100</v>
      </c>
      <c r="J14" s="1320" cm="1">
        <f t="array" ref="J14">ROUND(SUM(G14:I14),0)</f>
        <v>1141650</v>
      </c>
      <c r="K14" s="296" cm="1">
        <f t="array" ref="K14">ROUND(F14*$K$6,0)</f>
        <v>424800</v>
      </c>
      <c r="L14" s="296" cm="1">
        <f t="array" ref="L14">ROUND(F14*$L$6,0)</f>
        <v>79650</v>
      </c>
      <c r="M14" s="296" cm="1">
        <f t="array" ref="M14">ROUND(F14*$M$6,0)</f>
        <v>53100</v>
      </c>
      <c r="N14" s="296" cm="1">
        <f t="array" ref="N14">ROUND(SUM(K14:M14),0)</f>
        <v>557550</v>
      </c>
      <c r="O14" s="296" cm="1">
        <f t="array" ref="O14">J14+N14</f>
        <v>1699200</v>
      </c>
      <c r="P14" s="1327"/>
      <c r="Q14" s="702"/>
      <c r="R14" s="686"/>
      <c r="S14" s="686"/>
      <c r="T14" s="686"/>
      <c r="U14" s="686"/>
      <c r="V14" s="686"/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  <c r="AG14" s="686"/>
      <c r="AH14" s="27"/>
    </row>
    <row r="15" ht="15" customHeight="1">
      <c r="A15" s="1315" cm="1">
        <f t="array" ref="A15">A14+1</f>
        <v>9</v>
      </c>
      <c r="B15" s="1325"/>
      <c r="C15" s="1317"/>
      <c r="D15" s="1318">
        <v>9</v>
      </c>
      <c r="E15" t="s" s="241">
        <v>244</v>
      </c>
      <c r="F15" s="1319">
        <v>5310000</v>
      </c>
      <c r="G15" s="296" cm="1">
        <f t="array" ref="G15">ROUND(F15*$G$6,0)</f>
        <v>929250</v>
      </c>
      <c r="H15" s="1320" cm="1">
        <f t="array" ref="H15">ROUND(F15*$H$6,0)</f>
        <v>159300</v>
      </c>
      <c r="I15" s="1320" cm="1">
        <f t="array" ref="I15">ROUND(F15*$I$6,0)</f>
        <v>53100</v>
      </c>
      <c r="J15" s="1320" cm="1">
        <f t="array" ref="J15">ROUND(SUM(G15:I15),0)</f>
        <v>1141650</v>
      </c>
      <c r="K15" s="296" cm="1">
        <f t="array" ref="K15">ROUND(F15*$K$6,0)</f>
        <v>424800</v>
      </c>
      <c r="L15" s="296" cm="1">
        <f t="array" ref="L15">ROUND(F15*$L$6,0)</f>
        <v>79650</v>
      </c>
      <c r="M15" s="296" cm="1">
        <f t="array" ref="M15">ROUND(F15*$M$6,0)</f>
        <v>53100</v>
      </c>
      <c r="N15" s="296" cm="1">
        <f t="array" ref="N15">ROUND(SUM(K15:M15),0)</f>
        <v>557550</v>
      </c>
      <c r="O15" s="296" cm="1">
        <f t="array" ref="O15">J15+N15</f>
        <v>1699200</v>
      </c>
      <c r="P15" s="1327"/>
      <c r="Q15" s="702"/>
      <c r="R15" s="686"/>
      <c r="S15" s="686"/>
      <c r="T15" s="686"/>
      <c r="U15" s="686"/>
      <c r="V15" s="686"/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  <c r="AG15" s="686"/>
      <c r="AH15" s="27"/>
    </row>
    <row r="16" ht="15" customHeight="1">
      <c r="A16" s="1315" cm="1">
        <f t="array" ref="A16">A15+1</f>
        <v>10</v>
      </c>
      <c r="B16" s="1325"/>
      <c r="C16" s="1317"/>
      <c r="D16" s="1318">
        <v>10</v>
      </c>
      <c r="E16" t="s" s="241">
        <v>251</v>
      </c>
      <c r="F16" s="1319">
        <v>5310000</v>
      </c>
      <c r="G16" s="296" cm="1">
        <f t="array" ref="G16">ROUND(F16*$G$6,0)</f>
        <v>929250</v>
      </c>
      <c r="H16" s="1320" cm="1">
        <f t="array" ref="H16">ROUND(F16*$H$6,0)</f>
        <v>159300</v>
      </c>
      <c r="I16" s="1320" cm="1">
        <f t="array" ref="I16">ROUND(F16*$I$6,0)</f>
        <v>53100</v>
      </c>
      <c r="J16" s="1320" cm="1">
        <f t="array" ref="J16">ROUND(SUM(G16:I16),0)</f>
        <v>1141650</v>
      </c>
      <c r="K16" s="296" cm="1">
        <f t="array" ref="K16">ROUND(F16*$K$6,0)</f>
        <v>424800</v>
      </c>
      <c r="L16" s="296" cm="1">
        <f t="array" ref="L16">ROUND(F16*$L$6,0)</f>
        <v>79650</v>
      </c>
      <c r="M16" s="296" cm="1">
        <f t="array" ref="M16">ROUND(F16*$M$6,0)</f>
        <v>53100</v>
      </c>
      <c r="N16" s="296" cm="1">
        <f t="array" ref="N16">ROUND(SUM(K16:M16),0)</f>
        <v>557550</v>
      </c>
      <c r="O16" s="296" cm="1">
        <f t="array" ref="O16">J16+N16</f>
        <v>1699200</v>
      </c>
      <c r="P16" s="1327"/>
      <c r="Q16" s="1330"/>
      <c r="R16" s="686"/>
      <c r="S16" s="686"/>
      <c r="T16" s="686"/>
      <c r="U16" s="686"/>
      <c r="V16" s="686"/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6"/>
      <c r="AH16" s="27"/>
    </row>
    <row r="17" ht="15" customHeight="1">
      <c r="A17" s="1315" cm="1">
        <f t="array" ref="A17">A16+1</f>
        <v>11</v>
      </c>
      <c r="B17" s="1325"/>
      <c r="C17" s="1317"/>
      <c r="D17" s="1318">
        <v>11</v>
      </c>
      <c r="E17" t="s" s="241">
        <v>256</v>
      </c>
      <c r="F17" s="1319">
        <v>5310000</v>
      </c>
      <c r="G17" s="296" cm="1">
        <f t="array" ref="G17">ROUND(F17*$G$6,0)</f>
        <v>929250</v>
      </c>
      <c r="H17" s="1320" cm="1">
        <f t="array" ref="H17">ROUND(F17*$H$6,0)</f>
        <v>159300</v>
      </c>
      <c r="I17" s="1320" cm="1">
        <f t="array" ref="I17">ROUND(F17*$I$6,0)</f>
        <v>53100</v>
      </c>
      <c r="J17" s="1320" cm="1">
        <f t="array" ref="J17">ROUND(SUM(G17:I17),0)</f>
        <v>1141650</v>
      </c>
      <c r="K17" s="296" cm="1">
        <f t="array" ref="K17">ROUND(F17*$K$6,0)</f>
        <v>424800</v>
      </c>
      <c r="L17" s="296" cm="1">
        <f t="array" ref="L17">ROUND(F17*$L$6,0)</f>
        <v>79650</v>
      </c>
      <c r="M17" s="296" cm="1">
        <f t="array" ref="M17">ROUND(F17*$M$6,0)</f>
        <v>53100</v>
      </c>
      <c r="N17" s="296" cm="1">
        <f t="array" ref="N17">ROUND(SUM(K17:M17),0)</f>
        <v>557550</v>
      </c>
      <c r="O17" s="296" cm="1">
        <f t="array" ref="O17">J17+N17</f>
        <v>1699200</v>
      </c>
      <c r="P17" s="1327"/>
      <c r="Q17" s="1186"/>
      <c r="R17" s="686"/>
      <c r="S17" s="686"/>
      <c r="T17" s="686"/>
      <c r="U17" s="686"/>
      <c r="V17" s="686"/>
      <c r="W17" s="686"/>
      <c r="X17" s="686"/>
      <c r="Y17" s="686"/>
      <c r="Z17" s="686"/>
      <c r="AA17" s="686"/>
      <c r="AB17" s="686"/>
      <c r="AC17" s="686"/>
      <c r="AD17" s="686"/>
      <c r="AE17" s="686"/>
      <c r="AF17" s="686"/>
      <c r="AG17" s="686"/>
      <c r="AH17" s="27"/>
    </row>
    <row r="18" ht="15" customHeight="1">
      <c r="A18" s="1315" cm="1">
        <f t="array" ref="A18">A17+1</f>
        <v>12</v>
      </c>
      <c r="B18" s="1325"/>
      <c r="C18" s="1317"/>
      <c r="D18" s="1318">
        <v>12</v>
      </c>
      <c r="E18" t="s" s="1331">
        <v>157</v>
      </c>
      <c r="F18" s="1319">
        <v>5310000</v>
      </c>
      <c r="G18" s="296" cm="1">
        <f t="array" ref="G18">ROUND(F18*$G$6,0)</f>
        <v>929250</v>
      </c>
      <c r="H18" s="1320" cm="1">
        <f t="array" ref="H18">ROUND(F18*$H$6,0)</f>
        <v>159300</v>
      </c>
      <c r="I18" s="1320" cm="1">
        <f t="array" ref="I18">ROUND(F18*$I$6,0)</f>
        <v>53100</v>
      </c>
      <c r="J18" s="1320" cm="1">
        <f t="array" ref="J18">ROUND(SUM(G18:I18),0)</f>
        <v>1141650</v>
      </c>
      <c r="K18" s="296" cm="1">
        <f t="array" ref="K18">ROUND(F18*$K$6,0)</f>
        <v>424800</v>
      </c>
      <c r="L18" s="296" cm="1">
        <f t="array" ref="L18">ROUND(F18*$L$6,0)</f>
        <v>79650</v>
      </c>
      <c r="M18" s="296" cm="1">
        <f t="array" ref="M18">ROUND(F18*$M$6,0)</f>
        <v>53100</v>
      </c>
      <c r="N18" s="296" cm="1">
        <f t="array" ref="N18">ROUND(SUM(K18:M18),0)</f>
        <v>557550</v>
      </c>
      <c r="O18" s="296" cm="1">
        <f t="array" ref="O18">J18+N18</f>
        <v>1699200</v>
      </c>
      <c r="P18" s="1327"/>
      <c r="Q18" s="1186"/>
      <c r="R18" s="686"/>
      <c r="S18" s="686"/>
      <c r="T18" s="686"/>
      <c r="U18" s="686"/>
      <c r="V18" s="686"/>
      <c r="W18" s="686"/>
      <c r="X18" s="686"/>
      <c r="Y18" s="686"/>
      <c r="Z18" s="686"/>
      <c r="AA18" s="686"/>
      <c r="AB18" s="686"/>
      <c r="AC18" s="686"/>
      <c r="AD18" s="686"/>
      <c r="AE18" s="686"/>
      <c r="AF18" s="686"/>
      <c r="AG18" s="686"/>
      <c r="AH18" s="27"/>
    </row>
    <row r="19" ht="15" customHeight="1">
      <c r="A19" s="1315" cm="1">
        <f t="array" ref="A19">A18+1</f>
        <v>13</v>
      </c>
      <c r="B19" s="1325"/>
      <c r="C19" s="1317"/>
      <c r="D19" s="1318">
        <v>13</v>
      </c>
      <c r="E19" t="s" s="1331">
        <v>270</v>
      </c>
      <c r="F19" s="1319">
        <v>5310000</v>
      </c>
      <c r="G19" s="296" cm="1">
        <f t="array" ref="G19">ROUND(F19*$G$6,0)</f>
        <v>929250</v>
      </c>
      <c r="H19" s="1320" cm="1">
        <f t="array" ref="H19">ROUND(F19*$H$6,0)</f>
        <v>159300</v>
      </c>
      <c r="I19" s="1320" cm="1">
        <f t="array" ref="I19">ROUND(F19*$I$6,0)</f>
        <v>53100</v>
      </c>
      <c r="J19" s="1320" cm="1">
        <f t="array" ref="J19">ROUND(SUM(G19:I19),0)</f>
        <v>1141650</v>
      </c>
      <c r="K19" s="296" cm="1">
        <f t="array" ref="K19">ROUND(F19*$K$6,0)</f>
        <v>424800</v>
      </c>
      <c r="L19" s="296" cm="1">
        <f t="array" ref="L19">ROUND(F19*$L$6,0)</f>
        <v>79650</v>
      </c>
      <c r="M19" s="296" cm="1">
        <f t="array" ref="M19">ROUND(F19*$M$6,0)</f>
        <v>53100</v>
      </c>
      <c r="N19" s="296" cm="1">
        <f t="array" ref="N19">ROUND(SUM(K19:M19),0)</f>
        <v>557550</v>
      </c>
      <c r="O19" s="296" cm="1">
        <f t="array" ref="O19">J19+N19</f>
        <v>1699200</v>
      </c>
      <c r="P19" s="1327"/>
      <c r="Q19" s="1186"/>
      <c r="R19" s="686"/>
      <c r="S19" s="686"/>
      <c r="T19" s="686"/>
      <c r="U19" s="686"/>
      <c r="V19" s="686"/>
      <c r="W19" s="686"/>
      <c r="X19" s="686"/>
      <c r="Y19" s="686"/>
      <c r="Z19" s="686"/>
      <c r="AA19" s="686"/>
      <c r="AB19" s="686"/>
      <c r="AC19" s="686"/>
      <c r="AD19" s="686"/>
      <c r="AE19" s="686"/>
      <c r="AF19" s="686"/>
      <c r="AG19" s="686"/>
      <c r="AH19" s="27"/>
    </row>
    <row r="20" ht="15" customHeight="1">
      <c r="A20" s="1315" cm="1">
        <f t="array" ref="A20">A19+1</f>
        <v>14</v>
      </c>
      <c r="B20" s="1325"/>
      <c r="C20" s="1317"/>
      <c r="D20" s="1318">
        <v>14</v>
      </c>
      <c r="E20" t="s" s="241">
        <v>267</v>
      </c>
      <c r="F20" s="1319">
        <v>5310000</v>
      </c>
      <c r="G20" s="296" cm="1">
        <f t="array" ref="G20">ROUND(F20*$G$6,0)</f>
        <v>929250</v>
      </c>
      <c r="H20" s="1320" cm="1">
        <f t="array" ref="H20">ROUND(F20*$H$6,0)</f>
        <v>159300</v>
      </c>
      <c r="I20" s="1320" cm="1">
        <f t="array" ref="I20">ROUND(F20*$I$6,0)</f>
        <v>53100</v>
      </c>
      <c r="J20" s="1320" cm="1">
        <f t="array" ref="J20">ROUND(SUM(G20:I20),0)</f>
        <v>1141650</v>
      </c>
      <c r="K20" s="296" cm="1">
        <f t="array" ref="K20">ROUND(F20*$K$6,0)</f>
        <v>424800</v>
      </c>
      <c r="L20" s="296" cm="1">
        <f t="array" ref="L20">ROUND(F20*$L$6,0)</f>
        <v>79650</v>
      </c>
      <c r="M20" s="296" cm="1">
        <f t="array" ref="M20">ROUND(F20*$M$6,0)</f>
        <v>53100</v>
      </c>
      <c r="N20" s="296" cm="1">
        <f t="array" ref="N20">ROUND(SUM(K20:M20),0)</f>
        <v>557550</v>
      </c>
      <c r="O20" s="296" cm="1">
        <f t="array" ref="O20">J20+N20</f>
        <v>1699200</v>
      </c>
      <c r="P20" s="1327"/>
      <c r="Q20" s="1186"/>
      <c r="R20" s="686"/>
      <c r="S20" s="686"/>
      <c r="T20" s="686"/>
      <c r="U20" s="686"/>
      <c r="V20" s="686"/>
      <c r="W20" s="686"/>
      <c r="X20" s="686"/>
      <c r="Y20" s="686"/>
      <c r="Z20" s="686"/>
      <c r="AA20" s="686"/>
      <c r="AB20" s="686"/>
      <c r="AC20" s="686"/>
      <c r="AD20" s="686"/>
      <c r="AE20" s="686"/>
      <c r="AF20" s="686"/>
      <c r="AG20" s="686"/>
      <c r="AH20" s="27"/>
    </row>
    <row r="21" ht="15" customHeight="1">
      <c r="A21" s="1315" cm="1">
        <f t="array" ref="A21">A20+1</f>
        <v>15</v>
      </c>
      <c r="B21" s="1325"/>
      <c r="C21" s="1317"/>
      <c r="D21" s="1318">
        <v>15</v>
      </c>
      <c r="E21" t="s" s="241">
        <v>277</v>
      </c>
      <c r="F21" s="1319">
        <v>5310000</v>
      </c>
      <c r="G21" s="296" cm="1">
        <f t="array" ref="G21">ROUND(F21*$G$6,0)</f>
        <v>929250</v>
      </c>
      <c r="H21" s="1320" cm="1">
        <f t="array" ref="H21">ROUND(F21*$H$6,0)</f>
        <v>159300</v>
      </c>
      <c r="I21" s="1320" cm="1">
        <f t="array" ref="I21">ROUND(F21*$I$6,0)</f>
        <v>53100</v>
      </c>
      <c r="J21" s="1320" cm="1">
        <f t="array" ref="J21">ROUND(SUM(G21:I21),0)</f>
        <v>1141650</v>
      </c>
      <c r="K21" s="296" cm="1">
        <f t="array" ref="K21">ROUND(F21*$K$6,0)</f>
        <v>424800</v>
      </c>
      <c r="L21" s="296" cm="1">
        <f t="array" ref="L21">ROUND(F21*$L$6,0)</f>
        <v>79650</v>
      </c>
      <c r="M21" s="296" cm="1">
        <f t="array" ref="M21">ROUND(F21*$M$6,0)</f>
        <v>53100</v>
      </c>
      <c r="N21" s="296" cm="1">
        <f t="array" ref="N21">ROUND(SUM(K21:M21),0)</f>
        <v>557550</v>
      </c>
      <c r="O21" s="296" cm="1">
        <f t="array" ref="O21">J21+N21</f>
        <v>1699200</v>
      </c>
      <c r="P21" s="1327"/>
      <c r="Q21" s="1186"/>
      <c r="R21" s="686"/>
      <c r="S21" s="686"/>
      <c r="T21" s="686"/>
      <c r="U21" s="686"/>
      <c r="V21" s="686"/>
      <c r="W21" s="686"/>
      <c r="X21" s="686"/>
      <c r="Y21" s="686"/>
      <c r="Z21" s="686"/>
      <c r="AA21" s="686"/>
      <c r="AB21" s="686"/>
      <c r="AC21" s="686"/>
      <c r="AD21" s="686"/>
      <c r="AE21" s="686"/>
      <c r="AF21" s="686"/>
      <c r="AG21" s="686"/>
      <c r="AH21" s="27"/>
    </row>
    <row r="22" ht="15" customHeight="1">
      <c r="A22" s="1315" cm="1">
        <f t="array" ref="A22">A21+1</f>
        <v>16</v>
      </c>
      <c r="B22" s="1325"/>
      <c r="C22" s="1317"/>
      <c r="D22" s="1318">
        <v>16</v>
      </c>
      <c r="E22" t="s" s="396">
        <v>283</v>
      </c>
      <c r="F22" s="1319">
        <v>5310000</v>
      </c>
      <c r="G22" s="296" cm="1">
        <f t="array" ref="G22">ROUND(F22*$G$6,0)</f>
        <v>929250</v>
      </c>
      <c r="H22" s="1320" cm="1">
        <f t="array" ref="H22">ROUND(F22*$H$6,0)</f>
        <v>159300</v>
      </c>
      <c r="I22" s="1320" cm="1">
        <f t="array" ref="I22">ROUND(F22*$I$6,0)</f>
        <v>53100</v>
      </c>
      <c r="J22" s="1320" cm="1">
        <f t="array" ref="J22">ROUND(SUM(G22:I22),0)</f>
        <v>1141650</v>
      </c>
      <c r="K22" s="296" cm="1">
        <f t="array" ref="K22">ROUND(F22*$K$6,0)</f>
        <v>424800</v>
      </c>
      <c r="L22" s="296" cm="1">
        <f t="array" ref="L22">ROUND(F22*$L$6,0)</f>
        <v>79650</v>
      </c>
      <c r="M22" s="296" cm="1">
        <f t="array" ref="M22">ROUND(F22*$M$6,0)</f>
        <v>53100</v>
      </c>
      <c r="N22" s="296" cm="1">
        <f t="array" ref="N22">ROUND(SUM(K22:M22),0)</f>
        <v>557550</v>
      </c>
      <c r="O22" s="296" cm="1">
        <f t="array" ref="O22">J22+N22</f>
        <v>1699200</v>
      </c>
      <c r="P22" s="1327"/>
      <c r="Q22" s="1186"/>
      <c r="R22" s="686"/>
      <c r="S22" s="686"/>
      <c r="T22" s="686"/>
      <c r="U22" s="686"/>
      <c r="V22" s="686"/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  <c r="AG22" s="686"/>
      <c r="AH22" s="27"/>
    </row>
    <row r="23" ht="15" customHeight="1">
      <c r="A23" s="1315" cm="1">
        <f t="array" ref="A23">A22+1</f>
        <v>17</v>
      </c>
      <c r="B23" s="1325"/>
      <c r="C23" s="1317"/>
      <c r="D23" s="1318">
        <v>17</v>
      </c>
      <c r="E23" t="s" s="396">
        <v>289</v>
      </c>
      <c r="F23" s="1319">
        <v>5310000</v>
      </c>
      <c r="G23" s="296" cm="1">
        <f t="array" ref="G23">ROUND(F23*$G$6,0)</f>
        <v>929250</v>
      </c>
      <c r="H23" s="1320" cm="1">
        <f t="array" ref="H23">ROUND(F23*$H$6,0)</f>
        <v>159300</v>
      </c>
      <c r="I23" s="1320" cm="1">
        <f t="array" ref="I23">ROUND(F23*$I$6,0)</f>
        <v>53100</v>
      </c>
      <c r="J23" s="1320" cm="1">
        <f t="array" ref="J23">ROUND(SUM(G23:I23),0)</f>
        <v>1141650</v>
      </c>
      <c r="K23" s="296" cm="1">
        <f t="array" ref="K23">ROUND(F23*$K$6,0)</f>
        <v>424800</v>
      </c>
      <c r="L23" s="296" cm="1">
        <f t="array" ref="L23">ROUND(F23*$L$6,0)</f>
        <v>79650</v>
      </c>
      <c r="M23" s="296" cm="1">
        <f t="array" ref="M23">ROUND(F23*$M$6,0)</f>
        <v>53100</v>
      </c>
      <c r="N23" s="296" cm="1">
        <f t="array" ref="N23">ROUND(SUM(K23:M23),0)</f>
        <v>557550</v>
      </c>
      <c r="O23" s="296" cm="1">
        <f t="array" ref="O23">J23+N23</f>
        <v>1699200</v>
      </c>
      <c r="P23" s="1327"/>
      <c r="Q23" s="1186"/>
      <c r="R23" s="686"/>
      <c r="S23" s="686"/>
      <c r="T23" s="686"/>
      <c r="U23" s="686"/>
      <c r="V23" s="686"/>
      <c r="W23" s="686"/>
      <c r="X23" s="686"/>
      <c r="Y23" s="686"/>
      <c r="Z23" s="686"/>
      <c r="AA23" s="686"/>
      <c r="AB23" s="686"/>
      <c r="AC23" s="686"/>
      <c r="AD23" s="686"/>
      <c r="AE23" s="686"/>
      <c r="AF23" s="686"/>
      <c r="AG23" s="686"/>
      <c r="AH23" s="27"/>
    </row>
    <row r="24" ht="15" customHeight="1">
      <c r="A24" s="1315" cm="1">
        <f t="array" ref="A24">A23+1</f>
        <v>18</v>
      </c>
      <c r="B24" s="1325"/>
      <c r="C24" s="1317"/>
      <c r="D24" s="1318">
        <v>18</v>
      </c>
      <c r="E24" t="s" s="396">
        <v>293</v>
      </c>
      <c r="F24" s="1319">
        <v>5310000</v>
      </c>
      <c r="G24" s="296" cm="1">
        <f t="array" ref="G24">ROUND(F24*$G$6,0)</f>
        <v>929250</v>
      </c>
      <c r="H24" s="1320" cm="1">
        <f t="array" ref="H24">ROUND(F24*$H$6,0)</f>
        <v>159300</v>
      </c>
      <c r="I24" s="1320" cm="1">
        <f t="array" ref="I24">ROUND(F24*$I$6,0)</f>
        <v>53100</v>
      </c>
      <c r="J24" s="1320" cm="1">
        <f t="array" ref="J24">ROUND(SUM(G24:I24),0)</f>
        <v>1141650</v>
      </c>
      <c r="K24" s="296" cm="1">
        <f t="array" ref="K24">ROUND(F24*$K$6,0)</f>
        <v>424800</v>
      </c>
      <c r="L24" s="296" cm="1">
        <f t="array" ref="L24">ROUND(F24*$L$6,0)</f>
        <v>79650</v>
      </c>
      <c r="M24" s="296" cm="1">
        <f t="array" ref="M24">ROUND(F24*$M$6,0)</f>
        <v>53100</v>
      </c>
      <c r="N24" s="296" cm="1">
        <f t="array" ref="N24">ROUND(SUM(K24:M24),0)</f>
        <v>557550</v>
      </c>
      <c r="O24" s="296" cm="1">
        <f t="array" ref="O24">J24+N24</f>
        <v>1699200</v>
      </c>
      <c r="P24" s="1327"/>
      <c r="Q24" s="1186"/>
      <c r="R24" s="686"/>
      <c r="S24" s="686"/>
      <c r="T24" s="686"/>
      <c r="U24" s="686"/>
      <c r="V24" s="686"/>
      <c r="W24" s="686"/>
      <c r="X24" s="686"/>
      <c r="Y24" s="686"/>
      <c r="Z24" s="686"/>
      <c r="AA24" s="686"/>
      <c r="AB24" s="686"/>
      <c r="AC24" s="686"/>
      <c r="AD24" s="686"/>
      <c r="AE24" s="686"/>
      <c r="AF24" s="686"/>
      <c r="AG24" s="686"/>
      <c r="AH24" s="27"/>
    </row>
    <row r="25" ht="15" customHeight="1">
      <c r="A25" s="1315" cm="1">
        <f t="array" ref="A25">A24+1</f>
        <v>19</v>
      </c>
      <c r="B25" s="1325"/>
      <c r="C25" s="1317"/>
      <c r="D25" s="1318">
        <v>19</v>
      </c>
      <c r="E25" t="s" s="396">
        <v>298</v>
      </c>
      <c r="F25" s="1319">
        <v>5310000</v>
      </c>
      <c r="G25" s="296" cm="1">
        <f t="array" ref="G25">ROUND(F25*$G$6,0)</f>
        <v>929250</v>
      </c>
      <c r="H25" s="1320" cm="1">
        <f t="array" ref="H25">ROUND(F25*$H$6,0)</f>
        <v>159300</v>
      </c>
      <c r="I25" s="1320" cm="1">
        <f t="array" ref="I25">ROUND(F25*$I$6,0)</f>
        <v>53100</v>
      </c>
      <c r="J25" s="1320" cm="1">
        <f t="array" ref="J25">ROUND(SUM(G25:I25),0)</f>
        <v>1141650</v>
      </c>
      <c r="K25" s="296" cm="1">
        <f t="array" ref="K25">ROUND(F25*$K$6,0)</f>
        <v>424800</v>
      </c>
      <c r="L25" s="296" cm="1">
        <f t="array" ref="L25">ROUND(F25*$L$6,0)</f>
        <v>79650</v>
      </c>
      <c r="M25" s="296" cm="1">
        <f t="array" ref="M25">ROUND(F25*$M$6,0)</f>
        <v>53100</v>
      </c>
      <c r="N25" s="296" cm="1">
        <f t="array" ref="N25">ROUND(SUM(K25:M25),0)</f>
        <v>557550</v>
      </c>
      <c r="O25" s="296" cm="1">
        <f t="array" ref="O25">J25+N25</f>
        <v>1699200</v>
      </c>
      <c r="P25" s="1327"/>
      <c r="Q25" s="1186"/>
      <c r="R25" s="686"/>
      <c r="S25" s="686"/>
      <c r="T25" s="686"/>
      <c r="U25" s="686"/>
      <c r="V25" s="686"/>
      <c r="W25" s="686"/>
      <c r="X25" s="686"/>
      <c r="Y25" s="686"/>
      <c r="Z25" s="686"/>
      <c r="AA25" s="686"/>
      <c r="AB25" s="686"/>
      <c r="AC25" s="686"/>
      <c r="AD25" s="686"/>
      <c r="AE25" s="686"/>
      <c r="AF25" s="686"/>
      <c r="AG25" s="686"/>
      <c r="AH25" s="27"/>
    </row>
    <row r="26" ht="15" customHeight="1">
      <c r="A26" s="1315" cm="1">
        <f t="array" ref="A26">A25+1</f>
        <v>20</v>
      </c>
      <c r="B26" s="1325"/>
      <c r="C26" s="1317"/>
      <c r="D26" s="1318">
        <v>20</v>
      </c>
      <c r="E26" t="s" s="396">
        <v>303</v>
      </c>
      <c r="F26" s="1319">
        <v>5310000</v>
      </c>
      <c r="G26" s="296" cm="1">
        <f t="array" ref="G26">ROUND(F26*$G$6,0)</f>
        <v>929250</v>
      </c>
      <c r="H26" s="1320" cm="1">
        <f t="array" ref="H26">ROUND(F26*$H$6,0)</f>
        <v>159300</v>
      </c>
      <c r="I26" s="1320" cm="1">
        <f t="array" ref="I26">ROUND(F26*$I$6,0)</f>
        <v>53100</v>
      </c>
      <c r="J26" s="1320" cm="1">
        <f t="array" ref="J26">ROUND(SUM(G26:I26),0)</f>
        <v>1141650</v>
      </c>
      <c r="K26" s="296" cm="1">
        <f t="array" ref="K26">ROUND(F26*$K$6,0)</f>
        <v>424800</v>
      </c>
      <c r="L26" s="296" cm="1">
        <f t="array" ref="L26">ROUND(F26*$L$6,0)</f>
        <v>79650</v>
      </c>
      <c r="M26" s="296" cm="1">
        <f t="array" ref="M26">ROUND(F26*$M$6,0)</f>
        <v>53100</v>
      </c>
      <c r="N26" s="296" cm="1">
        <f t="array" ref="N26">ROUND(SUM(K26:M26),0)</f>
        <v>557550</v>
      </c>
      <c r="O26" s="296" cm="1">
        <f t="array" ref="O26">J26+N26</f>
        <v>1699200</v>
      </c>
      <c r="P26" s="1327"/>
      <c r="Q26" s="1186"/>
      <c r="R26" s="686"/>
      <c r="S26" s="686"/>
      <c r="T26" s="686"/>
      <c r="U26" s="686"/>
      <c r="V26" s="686"/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27"/>
    </row>
    <row r="27" ht="15" customHeight="1">
      <c r="A27" s="1315" cm="1">
        <f t="array" ref="A27">A26+1</f>
        <v>21</v>
      </c>
      <c r="B27" s="1325"/>
      <c r="C27" s="1317"/>
      <c r="D27" s="1318">
        <v>21</v>
      </c>
      <c r="E27" t="s" s="396">
        <v>306</v>
      </c>
      <c r="F27" s="1319">
        <v>5310000</v>
      </c>
      <c r="G27" s="296" cm="1">
        <f t="array" ref="G27">ROUND(F27*$G$6,0)</f>
        <v>929250</v>
      </c>
      <c r="H27" s="1320" cm="1">
        <f t="array" ref="H27">ROUND(F27*$H$6,0)</f>
        <v>159300</v>
      </c>
      <c r="I27" s="1320" cm="1">
        <f t="array" ref="I27">ROUND(F27*$I$6,0)</f>
        <v>53100</v>
      </c>
      <c r="J27" s="1320" cm="1">
        <f t="array" ref="J27">ROUND(SUM(G27:I27),0)</f>
        <v>1141650</v>
      </c>
      <c r="K27" s="296" cm="1">
        <f t="array" ref="K27">ROUND(F27*$K$6,0)</f>
        <v>424800</v>
      </c>
      <c r="L27" s="296" cm="1">
        <f t="array" ref="L27">ROUND(F27*$L$6,0)</f>
        <v>79650</v>
      </c>
      <c r="M27" s="296" cm="1">
        <f t="array" ref="M27">ROUND(F27*$M$6,0)</f>
        <v>53100</v>
      </c>
      <c r="N27" s="296" cm="1">
        <f t="array" ref="N27">ROUND(SUM(K27:M27),0)</f>
        <v>557550</v>
      </c>
      <c r="O27" s="296" cm="1">
        <f t="array" ref="O27">J27+N27</f>
        <v>1699200</v>
      </c>
      <c r="P27" s="1327"/>
      <c r="Q27" s="1186"/>
      <c r="R27" s="686"/>
      <c r="S27" s="686"/>
      <c r="T27" s="686"/>
      <c r="U27" s="686"/>
      <c r="V27" s="686"/>
      <c r="W27" s="686"/>
      <c r="X27" s="686"/>
      <c r="Y27" s="686"/>
      <c r="Z27" s="686"/>
      <c r="AA27" s="686"/>
      <c r="AB27" s="686"/>
      <c r="AC27" s="686"/>
      <c r="AD27" s="686"/>
      <c r="AE27" s="686"/>
      <c r="AF27" s="686"/>
      <c r="AG27" s="686"/>
      <c r="AH27" s="27"/>
    </row>
    <row r="28" ht="15" customHeight="1">
      <c r="A28" s="1315" cm="1">
        <f t="array" ref="A28">A27+1</f>
        <v>22</v>
      </c>
      <c r="B28" s="1325"/>
      <c r="C28" s="1317"/>
      <c r="D28" s="1318">
        <v>22</v>
      </c>
      <c r="E28" t="s" s="1332">
        <v>311</v>
      </c>
      <c r="F28" s="1319">
        <v>5310000</v>
      </c>
      <c r="G28" s="296" cm="1">
        <f t="array" ref="G28">ROUND(F28*$G$6,0)</f>
        <v>929250</v>
      </c>
      <c r="H28" s="1320" cm="1">
        <f t="array" ref="H28">ROUND(F28*$H$6,0)</f>
        <v>159300</v>
      </c>
      <c r="I28" s="1320" cm="1">
        <f t="array" ref="I28">ROUND(F28*$I$6,0)</f>
        <v>53100</v>
      </c>
      <c r="J28" s="1320" cm="1">
        <f t="array" ref="J28">ROUND(SUM(G28:I28),0)</f>
        <v>1141650</v>
      </c>
      <c r="K28" s="296" cm="1">
        <f t="array" ref="K28">ROUND(F28*$K$6,0)</f>
        <v>424800</v>
      </c>
      <c r="L28" s="296" cm="1">
        <f t="array" ref="L28">ROUND(F28*$L$6,0)</f>
        <v>79650</v>
      </c>
      <c r="M28" s="296" cm="1">
        <f t="array" ref="M28">ROUND(F28*$M$6,0)</f>
        <v>53100</v>
      </c>
      <c r="N28" s="296" cm="1">
        <f t="array" ref="N28">ROUND(SUM(K28:M28),0)</f>
        <v>557550</v>
      </c>
      <c r="O28" s="296" cm="1">
        <f t="array" ref="O28">J28+N28</f>
        <v>1699200</v>
      </c>
      <c r="P28" s="1327"/>
      <c r="Q28" s="1186"/>
      <c r="R28" s="686"/>
      <c r="S28" s="686"/>
      <c r="T28" s="686"/>
      <c r="U28" s="686"/>
      <c r="V28" s="686"/>
      <c r="W28" s="686"/>
      <c r="X28" s="686"/>
      <c r="Y28" s="686"/>
      <c r="Z28" s="686"/>
      <c r="AA28" s="686"/>
      <c r="AB28" s="686"/>
      <c r="AC28" s="686"/>
      <c r="AD28" s="686"/>
      <c r="AE28" s="686"/>
      <c r="AF28" s="686"/>
      <c r="AG28" s="686"/>
      <c r="AH28" s="27"/>
    </row>
    <row r="29" ht="15" customHeight="1">
      <c r="A29" s="1315" cm="1">
        <f t="array" ref="A29">A28+1</f>
        <v>23</v>
      </c>
      <c r="B29" s="1325"/>
      <c r="C29" s="1317"/>
      <c r="D29" s="1318">
        <v>23</v>
      </c>
      <c r="E29" t="s" s="396">
        <v>317</v>
      </c>
      <c r="F29" s="1319">
        <v>5310000</v>
      </c>
      <c r="G29" s="296" cm="1">
        <f t="array" ref="G29">ROUND(F29*$G$6,0)</f>
        <v>929250</v>
      </c>
      <c r="H29" s="1320" cm="1">
        <f t="array" ref="H29">ROUND(F29*$H$6,0)</f>
        <v>159300</v>
      </c>
      <c r="I29" s="1320" cm="1">
        <f t="array" ref="I29">ROUND(F29*$I$6,0)</f>
        <v>53100</v>
      </c>
      <c r="J29" s="1320" cm="1">
        <f t="array" ref="J29">ROUND(SUM(G29:I29),0)</f>
        <v>1141650</v>
      </c>
      <c r="K29" s="296" cm="1">
        <f t="array" ref="K29">ROUND(F29*$K$6,0)</f>
        <v>424800</v>
      </c>
      <c r="L29" s="296" cm="1">
        <f t="array" ref="L29">ROUND(F29*$L$6,0)</f>
        <v>79650</v>
      </c>
      <c r="M29" s="296" cm="1">
        <f t="array" ref="M29">ROUND(F29*$M$6,0)</f>
        <v>53100</v>
      </c>
      <c r="N29" s="296" cm="1">
        <f t="array" ref="N29">ROUND(SUM(K29:M29),0)</f>
        <v>557550</v>
      </c>
      <c r="O29" s="296" cm="1">
        <f t="array" ref="O29">J29+N29</f>
        <v>1699200</v>
      </c>
      <c r="P29" s="1327"/>
      <c r="Q29" s="1186"/>
      <c r="R29" s="686"/>
      <c r="S29" s="686"/>
      <c r="T29" s="686"/>
      <c r="U29" s="686"/>
      <c r="V29" s="686"/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27"/>
    </row>
    <row r="30" ht="15" customHeight="1">
      <c r="A30" s="1315" cm="1">
        <f t="array" ref="A30">A29+1</f>
        <v>24</v>
      </c>
      <c r="B30" s="1325"/>
      <c r="C30" s="1317"/>
      <c r="D30" s="1318">
        <v>24</v>
      </c>
      <c r="E30" t="s" s="396">
        <v>322</v>
      </c>
      <c r="F30" s="1319">
        <v>5310000</v>
      </c>
      <c r="G30" s="296" cm="1">
        <f t="array" ref="G30">ROUND(F30*$G$6,0)</f>
        <v>929250</v>
      </c>
      <c r="H30" s="1320" cm="1">
        <f t="array" ref="H30">ROUND(F30*$H$6,0)</f>
        <v>159300</v>
      </c>
      <c r="I30" s="1320" cm="1">
        <f t="array" ref="I30">ROUND(F30*$I$6,0)</f>
        <v>53100</v>
      </c>
      <c r="J30" s="1320" cm="1">
        <f t="array" ref="J30">ROUND(SUM(G30:I30),0)</f>
        <v>1141650</v>
      </c>
      <c r="K30" s="296" cm="1">
        <f t="array" ref="K30">ROUND(F30*$K$6,0)</f>
        <v>424800</v>
      </c>
      <c r="L30" s="296" cm="1">
        <f t="array" ref="L30">ROUND(F30*$L$6,0)</f>
        <v>79650</v>
      </c>
      <c r="M30" s="296" cm="1">
        <f t="array" ref="M30">ROUND(F30*$M$6,0)</f>
        <v>53100</v>
      </c>
      <c r="N30" s="296" cm="1">
        <f t="array" ref="N30">ROUND(SUM(K30:M30),0)</f>
        <v>557550</v>
      </c>
      <c r="O30" s="296" cm="1">
        <f t="array" ref="O30">J30+N30</f>
        <v>1699200</v>
      </c>
      <c r="P30" s="1327"/>
      <c r="Q30" s="1186"/>
      <c r="R30" s="686"/>
      <c r="S30" s="686"/>
      <c r="T30" s="686"/>
      <c r="U30" s="686"/>
      <c r="V30" s="686"/>
      <c r="W30" s="686"/>
      <c r="X30" s="686"/>
      <c r="Y30" s="686"/>
      <c r="Z30" s="686"/>
      <c r="AA30" s="686"/>
      <c r="AB30" s="686"/>
      <c r="AC30" s="686"/>
      <c r="AD30" s="686"/>
      <c r="AE30" s="686"/>
      <c r="AF30" s="686"/>
      <c r="AG30" s="686"/>
      <c r="AH30" s="27"/>
    </row>
    <row r="31" ht="15" customHeight="1">
      <c r="A31" s="1315" cm="1">
        <f t="array" ref="A31">A30+1</f>
        <v>25</v>
      </c>
      <c r="B31" s="1325"/>
      <c r="C31" s="1317"/>
      <c r="D31" s="1318">
        <v>25</v>
      </c>
      <c r="E31" t="s" s="1332">
        <v>328</v>
      </c>
      <c r="F31" s="1319">
        <v>5310000</v>
      </c>
      <c r="G31" s="296" cm="1">
        <f t="array" ref="G31">ROUND(F31*$G$6,0)</f>
        <v>929250</v>
      </c>
      <c r="H31" s="1320" cm="1">
        <f t="array" ref="H31">ROUND(F31*$H$6,0)</f>
        <v>159300</v>
      </c>
      <c r="I31" s="1320" cm="1">
        <f t="array" ref="I31">ROUND(F31*$I$6,0)</f>
        <v>53100</v>
      </c>
      <c r="J31" s="1320" cm="1">
        <f t="array" ref="J31">ROUND(SUM(G31:I31),0)</f>
        <v>1141650</v>
      </c>
      <c r="K31" s="296" cm="1">
        <f t="array" ref="K31">ROUND(F31*$K$6,0)</f>
        <v>424800</v>
      </c>
      <c r="L31" s="296" cm="1">
        <f t="array" ref="L31">ROUND(F31*$L$6,0)</f>
        <v>79650</v>
      </c>
      <c r="M31" s="296" cm="1">
        <f t="array" ref="M31">ROUND(F31*$M$6,0)</f>
        <v>53100</v>
      </c>
      <c r="N31" s="296" cm="1">
        <f t="array" ref="N31">ROUND(SUM(K31:M31),0)</f>
        <v>557550</v>
      </c>
      <c r="O31" s="296" cm="1">
        <f t="array" ref="O31">J31+N31</f>
        <v>1699200</v>
      </c>
      <c r="P31" s="1327"/>
      <c r="Q31" s="1186"/>
      <c r="R31" s="686"/>
      <c r="S31" s="686"/>
      <c r="T31" s="686"/>
      <c r="U31" s="686"/>
      <c r="V31" s="686"/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  <c r="AG31" s="686"/>
      <c r="AH31" s="27"/>
    </row>
    <row r="32" ht="15" customHeight="1">
      <c r="A32" s="1315" cm="1">
        <f t="array" ref="A32">A31+1</f>
        <v>26</v>
      </c>
      <c r="B32" s="1325"/>
      <c r="C32" s="1317"/>
      <c r="D32" s="1318">
        <v>26</v>
      </c>
      <c r="E32" t="s" s="396">
        <v>332</v>
      </c>
      <c r="F32" s="1319">
        <v>5310000</v>
      </c>
      <c r="G32" s="296" cm="1">
        <f t="array" ref="G32">ROUND(F32*$G$6,0)</f>
        <v>929250</v>
      </c>
      <c r="H32" s="1320" cm="1">
        <f t="array" ref="H32">ROUND(F32*$H$6,0)</f>
        <v>159300</v>
      </c>
      <c r="I32" s="1320" cm="1">
        <f t="array" ref="I32">ROUND(F32*$I$6,0)</f>
        <v>53100</v>
      </c>
      <c r="J32" s="1320" cm="1">
        <f t="array" ref="J32">ROUND(SUM(G32:I32),0)</f>
        <v>1141650</v>
      </c>
      <c r="K32" s="296" cm="1">
        <f t="array" ref="K32">ROUND(F32*$K$6,0)</f>
        <v>424800</v>
      </c>
      <c r="L32" s="296" cm="1">
        <f t="array" ref="L32">ROUND(F32*$L$6,0)</f>
        <v>79650</v>
      </c>
      <c r="M32" s="296" cm="1">
        <f t="array" ref="M32">ROUND(F32*$M$6,0)</f>
        <v>53100</v>
      </c>
      <c r="N32" s="296" cm="1">
        <f t="array" ref="N32">ROUND(SUM(K32:M32),0)</f>
        <v>557550</v>
      </c>
      <c r="O32" s="296" cm="1">
        <f t="array" ref="O32">J32+N32</f>
        <v>1699200</v>
      </c>
      <c r="P32" s="1327"/>
      <c r="Q32" s="1186"/>
      <c r="R32" s="686"/>
      <c r="S32" s="686"/>
      <c r="T32" s="686"/>
      <c r="U32" s="686"/>
      <c r="V32" s="686"/>
      <c r="W32" s="686"/>
      <c r="X32" s="686"/>
      <c r="Y32" s="686"/>
      <c r="Z32" s="686"/>
      <c r="AA32" s="686"/>
      <c r="AB32" s="686"/>
      <c r="AC32" s="686"/>
      <c r="AD32" s="686"/>
      <c r="AE32" s="686"/>
      <c r="AF32" s="686"/>
      <c r="AG32" s="686"/>
      <c r="AH32" s="27"/>
    </row>
    <row r="33" ht="15" customHeight="1">
      <c r="A33" s="1315" cm="1">
        <f t="array" ref="A33">A32+1</f>
        <v>27</v>
      </c>
      <c r="B33" s="1325"/>
      <c r="C33" s="1317"/>
      <c r="D33" s="1318">
        <v>27</v>
      </c>
      <c r="E33" t="s" s="396">
        <v>338</v>
      </c>
      <c r="F33" s="1319">
        <v>5310000</v>
      </c>
      <c r="G33" s="296" cm="1">
        <f t="array" ref="G33">ROUND(F33*$G$6,0)</f>
        <v>929250</v>
      </c>
      <c r="H33" s="1320" cm="1">
        <f t="array" ref="H33">ROUND(F33*$H$6,0)</f>
        <v>159300</v>
      </c>
      <c r="I33" s="1320" cm="1">
        <f t="array" ref="I33">ROUND(F33*$I$6,0)</f>
        <v>53100</v>
      </c>
      <c r="J33" s="1320" cm="1">
        <f t="array" ref="J33">ROUND(SUM(G33:I33),0)</f>
        <v>1141650</v>
      </c>
      <c r="K33" s="296" cm="1">
        <f t="array" ref="K33">ROUND(F33*$K$6,0)</f>
        <v>424800</v>
      </c>
      <c r="L33" s="296" cm="1">
        <f t="array" ref="L33">ROUND(F33*$L$6,0)</f>
        <v>79650</v>
      </c>
      <c r="M33" s="296" cm="1">
        <f t="array" ref="M33">ROUND(F33*$M$6,0)</f>
        <v>53100</v>
      </c>
      <c r="N33" s="296" cm="1">
        <f t="array" ref="N33">ROUND(SUM(K33:M33),0)</f>
        <v>557550</v>
      </c>
      <c r="O33" s="296" cm="1">
        <f t="array" ref="O33">J33+N33</f>
        <v>1699200</v>
      </c>
      <c r="P33" s="1327"/>
      <c r="Q33" s="1186"/>
      <c r="R33" s="686"/>
      <c r="S33" s="686"/>
      <c r="T33" s="686"/>
      <c r="U33" s="686"/>
      <c r="V33" s="686"/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  <c r="AG33" s="686"/>
      <c r="AH33" s="27"/>
    </row>
    <row r="34" ht="15" customHeight="1">
      <c r="A34" s="1315"/>
      <c r="B34" s="1325"/>
      <c r="C34" s="1317"/>
      <c r="D34" s="1318">
        <v>28</v>
      </c>
      <c r="E34" t="s" s="241">
        <v>352</v>
      </c>
      <c r="F34" s="1319">
        <v>5310000</v>
      </c>
      <c r="G34" s="296" cm="1">
        <f t="array" ref="G34">ROUND(F34*$G$6,0)</f>
        <v>929250</v>
      </c>
      <c r="H34" s="1320" cm="1">
        <f t="array" ref="H34">ROUND(F34*$H$6,0)</f>
        <v>159300</v>
      </c>
      <c r="I34" s="1320" cm="1">
        <f t="array" ref="I34">ROUND(F34*$I$6,0)</f>
        <v>53100</v>
      </c>
      <c r="J34" s="1320" cm="1">
        <f t="array" ref="J34">ROUND(SUM(G34:I34),0)</f>
        <v>1141650</v>
      </c>
      <c r="K34" s="296" cm="1">
        <f t="array" ref="K34">ROUND(F34*$K$6,0)</f>
        <v>424800</v>
      </c>
      <c r="L34" s="296" cm="1">
        <f t="array" ref="L34">ROUND(F34*$L$6,0)</f>
        <v>79650</v>
      </c>
      <c r="M34" s="296" cm="1">
        <f t="array" ref="M34">ROUND(F34*$M$6,0)</f>
        <v>53100</v>
      </c>
      <c r="N34" s="296" cm="1">
        <f t="array" ref="N34">ROUND(SUM(K34:M34),0)</f>
        <v>557550</v>
      </c>
      <c r="O34" s="296" cm="1">
        <f t="array" ref="O34">J34+N34</f>
        <v>1699200</v>
      </c>
      <c r="P34" s="1327"/>
      <c r="Q34" s="1186"/>
      <c r="R34" s="686"/>
      <c r="S34" s="686"/>
      <c r="T34" s="686"/>
      <c r="U34" s="686"/>
      <c r="V34" s="686"/>
      <c r="W34" s="686"/>
      <c r="X34" s="686"/>
      <c r="Y34" s="686"/>
      <c r="Z34" s="686"/>
      <c r="AA34" s="686"/>
      <c r="AB34" s="686"/>
      <c r="AC34" s="686"/>
      <c r="AD34" s="686"/>
      <c r="AE34" s="686"/>
      <c r="AF34" s="686"/>
      <c r="AG34" s="686"/>
      <c r="AH34" s="27"/>
    </row>
    <row r="35" ht="15" customHeight="1">
      <c r="A35" s="1315"/>
      <c r="B35" s="1325"/>
      <c r="C35" s="1317"/>
      <c r="D35" s="1318">
        <v>29</v>
      </c>
      <c r="E35" t="s" s="241">
        <v>359</v>
      </c>
      <c r="F35" s="1319">
        <v>5310000</v>
      </c>
      <c r="G35" s="296" cm="1">
        <f t="array" ref="G35">ROUND(F35*$G$6,0)</f>
        <v>929250</v>
      </c>
      <c r="H35" s="1320" cm="1">
        <f t="array" ref="H35">ROUND(F35*$H$6,0)</f>
        <v>159300</v>
      </c>
      <c r="I35" s="1320" cm="1">
        <f t="array" ref="I35">ROUND(F35*$I$6,0)</f>
        <v>53100</v>
      </c>
      <c r="J35" s="1320" cm="1">
        <f t="array" ref="J35">ROUND(SUM(G35:I35),0)</f>
        <v>1141650</v>
      </c>
      <c r="K35" s="296" cm="1">
        <f t="array" ref="K35">ROUND(F35*$K$6,0)</f>
        <v>424800</v>
      </c>
      <c r="L35" s="296" cm="1">
        <f t="array" ref="L35">ROUND(F35*$L$6,0)</f>
        <v>79650</v>
      </c>
      <c r="M35" s="296" cm="1">
        <f t="array" ref="M35">ROUND(F35*$M$6,0)</f>
        <v>53100</v>
      </c>
      <c r="N35" s="296" cm="1">
        <f t="array" ref="N35">ROUND(SUM(K35:M35),0)</f>
        <v>557550</v>
      </c>
      <c r="O35" s="296" cm="1">
        <f t="array" ref="O35">J35+N35</f>
        <v>1699200</v>
      </c>
      <c r="P35" s="1327"/>
      <c r="Q35" s="1186"/>
      <c r="R35" s="686"/>
      <c r="S35" s="686"/>
      <c r="T35" s="686"/>
      <c r="U35" s="686"/>
      <c r="V35" s="686"/>
      <c r="W35" s="686"/>
      <c r="X35" s="686"/>
      <c r="Y35" s="686"/>
      <c r="Z35" s="686"/>
      <c r="AA35" s="686"/>
      <c r="AB35" s="686"/>
      <c r="AC35" s="686"/>
      <c r="AD35" s="686"/>
      <c r="AE35" s="686"/>
      <c r="AF35" s="686"/>
      <c r="AG35" s="686"/>
      <c r="AH35" s="27"/>
    </row>
    <row r="36" ht="15" customHeight="1">
      <c r="A36" s="1315" cm="1">
        <f t="array" ref="A36">A33+1</f>
        <v>28</v>
      </c>
      <c r="B36" s="1325"/>
      <c r="C36" s="1317"/>
      <c r="D36" s="1318">
        <v>30</v>
      </c>
      <c r="E36" t="s" s="396">
        <v>346</v>
      </c>
      <c r="F36" s="1319">
        <v>5310000</v>
      </c>
      <c r="G36" s="296" cm="1">
        <f t="array" ref="G36">ROUND(F36*$G$6,0)</f>
        <v>929250</v>
      </c>
      <c r="H36" s="1320" cm="1">
        <f t="array" ref="H36">ROUND(F36*$H$6,0)</f>
        <v>159300</v>
      </c>
      <c r="I36" s="1320" cm="1">
        <f t="array" ref="I36">ROUND(F36*$I$6,0)</f>
        <v>53100</v>
      </c>
      <c r="J36" s="1320" cm="1">
        <f t="array" ref="J36">ROUND(SUM(G36:I36),0)</f>
        <v>1141650</v>
      </c>
      <c r="K36" s="296" cm="1">
        <f t="array" ref="K36">ROUND(F36*$K$6,0)</f>
        <v>424800</v>
      </c>
      <c r="L36" s="296" cm="1">
        <f t="array" ref="L36">ROUND(F36*$L$6,0)</f>
        <v>79650</v>
      </c>
      <c r="M36" s="296" cm="1">
        <f t="array" ref="M36">ROUND(F36*$M$6,0)</f>
        <v>53100</v>
      </c>
      <c r="N36" s="296" cm="1">
        <f t="array" ref="N36">ROUND(SUM(K36:M36),0)</f>
        <v>557550</v>
      </c>
      <c r="O36" s="296" cm="1">
        <f t="array" ref="O36">J36+N36</f>
        <v>1699200</v>
      </c>
      <c r="P36" s="1327"/>
      <c r="Q36" s="1186"/>
      <c r="R36" s="686"/>
      <c r="S36" s="686"/>
      <c r="T36" s="686"/>
      <c r="U36" s="686"/>
      <c r="V36" s="686"/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  <c r="AG36" s="686"/>
      <c r="AH36" s="27"/>
    </row>
    <row r="37" ht="15" customHeight="1">
      <c r="A37" s="1315"/>
      <c r="B37" s="1325"/>
      <c r="C37" s="1317"/>
      <c r="D37" s="1317"/>
      <c r="E37" s="1333"/>
      <c r="F37" s="1319"/>
      <c r="G37" s="296"/>
      <c r="H37" s="1320"/>
      <c r="I37" s="1320"/>
      <c r="J37" s="1320"/>
      <c r="K37" s="296"/>
      <c r="L37" s="296"/>
      <c r="M37" s="296"/>
      <c r="N37" s="296"/>
      <c r="O37" s="296"/>
      <c r="P37" s="1327"/>
      <c r="Q37" s="1186"/>
      <c r="R37" s="686"/>
      <c r="S37" s="686"/>
      <c r="T37" s="686"/>
      <c r="U37" s="686"/>
      <c r="V37" s="686"/>
      <c r="W37" s="686"/>
      <c r="X37" s="686"/>
      <c r="Y37" s="686"/>
      <c r="Z37" s="686"/>
      <c r="AA37" s="686"/>
      <c r="AB37" s="686"/>
      <c r="AC37" s="686"/>
      <c r="AD37" s="686"/>
      <c r="AE37" s="686"/>
      <c r="AF37" s="686"/>
      <c r="AG37" s="686"/>
      <c r="AH37" s="27"/>
    </row>
    <row r="38" ht="15" customHeight="1">
      <c r="A38" s="1315"/>
      <c r="B38" s="1325"/>
      <c r="C38" s="1317"/>
      <c r="D38" s="1317"/>
      <c r="E38" s="1333"/>
      <c r="F38" s="1319"/>
      <c r="G38" s="296"/>
      <c r="H38" s="1320"/>
      <c r="I38" s="1320"/>
      <c r="J38" s="1320"/>
      <c r="K38" s="296"/>
      <c r="L38" s="296"/>
      <c r="M38" s="296"/>
      <c r="N38" s="296"/>
      <c r="O38" s="296"/>
      <c r="P38" s="1327"/>
      <c r="Q38" s="1186"/>
      <c r="R38" s="686"/>
      <c r="S38" s="686"/>
      <c r="T38" s="686"/>
      <c r="U38" s="686"/>
      <c r="V38" s="686"/>
      <c r="W38" s="686"/>
      <c r="X38" s="686"/>
      <c r="Y38" s="686"/>
      <c r="Z38" s="686"/>
      <c r="AA38" s="686"/>
      <c r="AB38" s="686"/>
      <c r="AC38" s="686"/>
      <c r="AD38" s="686"/>
      <c r="AE38" s="686"/>
      <c r="AF38" s="686"/>
      <c r="AG38" s="686"/>
      <c r="AH38" s="27"/>
    </row>
    <row r="39" ht="15" customHeight="1">
      <c r="A39" s="1315"/>
      <c r="B39" s="1334"/>
      <c r="C39" s="1317"/>
      <c r="D39" s="1317"/>
      <c r="E39" s="1333"/>
      <c r="F39" s="1319"/>
      <c r="G39" s="296"/>
      <c r="H39" s="1320"/>
      <c r="I39" s="1320"/>
      <c r="J39" s="1320"/>
      <c r="K39" s="296"/>
      <c r="L39" s="296"/>
      <c r="M39" s="296"/>
      <c r="N39" s="296"/>
      <c r="O39" s="296"/>
      <c r="P39" s="1327"/>
      <c r="Q39" s="1335"/>
      <c r="R39" s="686"/>
      <c r="S39" s="686"/>
      <c r="T39" s="686"/>
      <c r="U39" s="686"/>
      <c r="V39" s="686"/>
      <c r="W39" s="686"/>
      <c r="X39" s="686"/>
      <c r="Y39" s="686"/>
      <c r="Z39" s="686"/>
      <c r="AA39" s="686"/>
      <c r="AB39" s="686"/>
      <c r="AC39" s="686"/>
      <c r="AD39" s="686"/>
      <c r="AE39" s="686"/>
      <c r="AF39" s="686"/>
      <c r="AG39" s="686"/>
      <c r="AH39" s="27"/>
    </row>
    <row r="40" ht="15" customHeight="1">
      <c r="A40" s="1315"/>
      <c r="B40" s="1317"/>
      <c r="C40" s="1317"/>
      <c r="D40" s="1317"/>
      <c r="E40" t="s" s="238">
        <v>180</v>
      </c>
      <c r="F40" s="1327" cm="1">
        <f t="array" ref="F40">SUM(F7:F39)</f>
        <v>159300000</v>
      </c>
      <c r="G40" s="1327" cm="1">
        <f t="array" ref="G40">SUM(G7:G39)</f>
        <v>27877500</v>
      </c>
      <c r="H40" s="1327" cm="1">
        <f t="array" ref="H40">SUM(H7:H39)</f>
        <v>4779000</v>
      </c>
      <c r="I40" s="1327" cm="1">
        <f t="array" ref="I40">SUM(I7:I39)</f>
        <v>1593000</v>
      </c>
      <c r="J40" s="1327" cm="1">
        <f t="array" ref="J40">SUM(J7:J39)</f>
        <v>34249500</v>
      </c>
      <c r="K40" s="1327" cm="1">
        <f t="array" ref="K40">SUM(K7:K39)</f>
        <v>12744000</v>
      </c>
      <c r="L40" s="1327" cm="1">
        <f t="array" ref="L40">SUM(L7:L39)</f>
        <v>2389500</v>
      </c>
      <c r="M40" s="1327" cm="1">
        <f t="array" ref="M40">SUM(M7:M39)</f>
        <v>1593000</v>
      </c>
      <c r="N40" s="1327" cm="1">
        <f t="array" ref="N40">SUM(N7:N39)</f>
        <v>16726500</v>
      </c>
      <c r="O40" s="1336" cm="1">
        <f t="array" ref="O40">SUM(O7:O39)</f>
        <v>50976000</v>
      </c>
      <c r="P40" s="1327"/>
      <c r="Q40" s="1337" cm="1">
        <f t="array" ref="Q40">131861073-68655388</f>
        <v>63205685</v>
      </c>
      <c r="R40" s="1338"/>
      <c r="S40" s="692"/>
      <c r="T40" s="686"/>
      <c r="U40" s="686"/>
      <c r="V40" s="686"/>
      <c r="W40" s="686"/>
      <c r="X40" s="686"/>
      <c r="Y40" s="686"/>
      <c r="Z40" s="686"/>
      <c r="AA40" s="686"/>
      <c r="AB40" s="686"/>
      <c r="AC40" s="686"/>
      <c r="AD40" s="686"/>
      <c r="AE40" s="686"/>
      <c r="AF40" s="686"/>
      <c r="AG40" s="686"/>
      <c r="AH40" t="s" s="1339">
        <v>6047</v>
      </c>
    </row>
    <row r="41" ht="24.75" customHeight="1">
      <c r="A41" s="1340"/>
      <c r="B41" s="1341"/>
      <c r="C41" s="1341"/>
      <c r="D41" s="1341"/>
      <c r="E41" s="1342"/>
      <c r="F41" s="1343"/>
      <c r="G41" s="1344" cm="1">
        <f t="array" ref="G41">G40+K40</f>
        <v>40621500</v>
      </c>
      <c r="H41" s="1344" cm="1">
        <f t="array" ref="H41">H40+L40</f>
        <v>7168500</v>
      </c>
      <c r="I41" s="1344"/>
      <c r="J41" s="1344"/>
      <c r="K41" s="1344"/>
      <c r="L41" s="1344"/>
      <c r="M41" s="1344"/>
      <c r="N41" s="1344"/>
      <c r="O41" s="1344"/>
      <c r="P41" t="s" s="1345">
        <v>6048</v>
      </c>
      <c r="Q41" s="1346" cm="1">
        <f t="array" ref="Q41">Q40+O40</f>
        <v>114181685</v>
      </c>
      <c r="R41" s="1347"/>
      <c r="S41" s="1347"/>
      <c r="T41" s="1347"/>
      <c r="U41" s="1347"/>
      <c r="V41" s="1347"/>
      <c r="W41" s="1347"/>
      <c r="X41" s="1347"/>
      <c r="Y41" s="1347"/>
      <c r="Z41" s="1347"/>
      <c r="AA41" s="1347"/>
      <c r="AB41" s="1347"/>
      <c r="AC41" s="1347"/>
      <c r="AD41" s="1347"/>
      <c r="AE41" s="1347"/>
      <c r="AF41" s="1347"/>
      <c r="AG41" s="1347"/>
      <c r="AH41" t="s" s="1348">
        <v>6049</v>
      </c>
    </row>
    <row r="42" ht="15.75" customHeight="1">
      <c r="A42" t="s" s="1349">
        <v>6050</v>
      </c>
      <c r="B42" s="886"/>
      <c r="C42" s="27"/>
      <c r="D42" s="27"/>
      <c r="E42" s="27"/>
      <c r="F42" s="27"/>
      <c r="G42" s="686"/>
      <c r="H42" s="686"/>
      <c r="I42" s="1350" cm="1">
        <f t="array" ref="I42">H40+L40</f>
        <v>7168500</v>
      </c>
      <c r="J42" s="1350" cm="1">
        <f t="array" ref="J42">I40+M40</f>
        <v>3186000</v>
      </c>
      <c r="K42" s="1350" cm="1">
        <f t="array" ref="K42">G40+K40</f>
        <v>40621500</v>
      </c>
      <c r="L42" s="1351">
        <v>29121000</v>
      </c>
      <c r="M42" s="1352" cm="1">
        <f t="array" ref="M42">L42-K42</f>
        <v>-11500500</v>
      </c>
      <c r="N42" s="686"/>
      <c r="O42" s="1350"/>
      <c r="P42" t="s" s="1353">
        <v>6051</v>
      </c>
      <c r="Q42" s="1354">
        <v>129249590</v>
      </c>
      <c r="R42" s="1355"/>
      <c r="S42" s="1356"/>
      <c r="T42" s="686"/>
      <c r="U42" s="686"/>
      <c r="V42" s="686"/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  <c r="AG42" s="686"/>
      <c r="AH42" t="s" s="1357">
        <v>6052</v>
      </c>
    </row>
    <row r="43" ht="15" customHeight="1">
      <c r="A43" s="1258"/>
      <c r="B43" s="1259"/>
      <c r="C43" s="1259"/>
      <c r="D43" s="1259"/>
      <c r="E43" s="1259"/>
      <c r="F43" s="1260"/>
      <c r="G43" s="526"/>
      <c r="H43" s="526"/>
      <c r="I43" s="526"/>
      <c r="J43" s="526"/>
      <c r="K43" s="526"/>
      <c r="L43" s="526"/>
      <c r="M43" s="526"/>
      <c r="N43" s="526"/>
      <c r="O43" s="1358" cm="1">
        <f t="array" ref="O43">O40-SUM(O41:O42)</f>
        <v>50976000</v>
      </c>
      <c r="P43" t="s" s="1359">
        <v>6053</v>
      </c>
      <c r="Q43" s="1360" cm="1">
        <f t="array" ref="Q43">Q41-Q42</f>
        <v>-15067905</v>
      </c>
      <c r="R43" s="526"/>
      <c r="S43" s="526"/>
      <c r="T43" s="526"/>
      <c r="U43" s="526"/>
      <c r="V43" s="526"/>
      <c r="W43" s="526"/>
      <c r="X43" s="526"/>
      <c r="Y43" s="526"/>
      <c r="Z43" s="526"/>
      <c r="AA43" s="526"/>
      <c r="AB43" s="526"/>
      <c r="AC43" s="526"/>
      <c r="AD43" s="526"/>
      <c r="AE43" s="526"/>
      <c r="AF43" s="526"/>
      <c r="AG43" s="526"/>
      <c r="AH43" t="s" s="1357">
        <v>6054</v>
      </c>
    </row>
    <row r="44" ht="15" customHeight="1">
      <c r="A44" s="1261"/>
      <c r="B44" s="1259"/>
      <c r="C44" s="1259"/>
      <c r="D44" s="1259"/>
      <c r="E44" s="1259"/>
      <c r="F44" s="1262"/>
      <c r="G44" s="1118"/>
      <c r="H44" s="1118"/>
      <c r="I44" s="1118"/>
      <c r="J44" s="1118"/>
      <c r="K44" s="1118"/>
      <c r="L44" s="1118"/>
      <c r="M44" s="1118"/>
      <c r="N44" s="1118"/>
      <c r="O44" s="1118"/>
      <c r="P44" s="1118"/>
      <c r="Q44" s="526"/>
      <c r="R44" s="526"/>
      <c r="S44" s="526"/>
      <c r="T44" s="526"/>
      <c r="U44" s="526"/>
      <c r="V44" s="526"/>
      <c r="W44" s="526"/>
      <c r="X44" s="526"/>
      <c r="Y44" s="526"/>
      <c r="Z44" s="526"/>
      <c r="AA44" s="526"/>
      <c r="AB44" s="526"/>
      <c r="AC44" s="526"/>
      <c r="AD44" s="526"/>
      <c r="AE44" s="526"/>
      <c r="AF44" s="526"/>
      <c r="AG44" s="526"/>
      <c r="AH44" s="27"/>
    </row>
    <row r="45" ht="15" customHeight="1">
      <c r="A45" t="s" s="1361">
        <v>6055</v>
      </c>
      <c r="B45" s="27"/>
      <c r="C45" s="27"/>
      <c r="D45" s="27"/>
      <c r="E45" s="1168"/>
      <c r="F45" s="1362"/>
      <c r="G45" t="s" s="1308">
        <v>6038</v>
      </c>
      <c r="H45" s="40"/>
      <c r="I45" s="40"/>
      <c r="J45" s="37"/>
      <c r="K45" t="s" s="1308">
        <v>6039</v>
      </c>
      <c r="L45" s="40"/>
      <c r="M45" s="40"/>
      <c r="N45" s="37"/>
      <c r="O45" t="s" s="1307">
        <v>6040</v>
      </c>
      <c r="P45" t="s" s="1307">
        <v>13</v>
      </c>
      <c r="Q45" s="525"/>
      <c r="R45" s="526"/>
      <c r="S45" s="526"/>
      <c r="T45" s="526"/>
      <c r="U45" s="526"/>
      <c r="V45" s="526"/>
      <c r="W45" s="526"/>
      <c r="X45" s="526"/>
      <c r="Y45" s="526"/>
      <c r="Z45" s="526"/>
      <c r="AA45" s="526"/>
      <c r="AB45" s="526"/>
      <c r="AC45" s="526"/>
      <c r="AD45" s="526"/>
      <c r="AE45" s="526"/>
      <c r="AF45" s="526"/>
      <c r="AG45" s="526"/>
      <c r="AH45" s="27"/>
    </row>
    <row r="46" ht="15" customHeight="1">
      <c r="A46" s="1301"/>
      <c r="B46" s="1302"/>
      <c r="C46" s="1302"/>
      <c r="D46" s="1302"/>
      <c r="E46" s="1363"/>
      <c r="F46" s="1364"/>
      <c r="G46" t="s" s="501">
        <v>6028</v>
      </c>
      <c r="H46" t="s" s="501">
        <v>6029</v>
      </c>
      <c r="I46" t="s" s="501">
        <v>6030</v>
      </c>
      <c r="J46" t="s" s="1307">
        <v>180</v>
      </c>
      <c r="K46" t="s" s="501">
        <v>6028</v>
      </c>
      <c r="L46" t="s" s="501">
        <v>6029</v>
      </c>
      <c r="M46" t="s" s="501">
        <v>6030</v>
      </c>
      <c r="N46" t="s" s="1307">
        <v>180</v>
      </c>
      <c r="O46" s="62"/>
      <c r="P46" s="62"/>
      <c r="Q46" s="525"/>
      <c r="R46" s="526"/>
      <c r="S46" s="526"/>
      <c r="T46" s="526"/>
      <c r="U46" s="526"/>
      <c r="V46" s="526"/>
      <c r="W46" s="526"/>
      <c r="X46" s="526"/>
      <c r="Y46" s="526"/>
      <c r="Z46" s="526"/>
      <c r="AA46" s="526"/>
      <c r="AB46" s="526"/>
      <c r="AC46" s="526"/>
      <c r="AD46" s="526"/>
      <c r="AE46" s="526"/>
      <c r="AF46" s="526"/>
      <c r="AG46" s="526"/>
      <c r="AH46" s="27"/>
    </row>
    <row r="47" ht="15" customHeight="1">
      <c r="A47" t="s" s="501">
        <v>15</v>
      </c>
      <c r="B47" t="s" s="1365">
        <v>6022</v>
      </c>
      <c r="C47" t="s" s="1365">
        <v>6041</v>
      </c>
      <c r="D47" t="s" s="1365">
        <v>6024</v>
      </c>
      <c r="E47" t="s" s="501">
        <v>5888</v>
      </c>
      <c r="F47" t="s" s="1366">
        <v>6025</v>
      </c>
      <c r="G47" s="1313">
        <v>0.175</v>
      </c>
      <c r="H47" s="1314">
        <v>0.03</v>
      </c>
      <c r="I47" t="s" s="501">
        <v>6031</v>
      </c>
      <c r="J47" s="66"/>
      <c r="K47" s="1314">
        <v>0.08</v>
      </c>
      <c r="L47" s="1313">
        <v>0.015</v>
      </c>
      <c r="M47" s="1314">
        <v>0.01</v>
      </c>
      <c r="N47" s="66"/>
      <c r="O47" s="66"/>
      <c r="P47" s="66"/>
      <c r="Q47" s="525"/>
      <c r="R47" s="526"/>
      <c r="S47" s="526"/>
      <c r="T47" s="526"/>
      <c r="U47" s="526"/>
      <c r="V47" s="526"/>
      <c r="W47" s="526"/>
      <c r="X47" s="526"/>
      <c r="Y47" s="526"/>
      <c r="Z47" s="526"/>
      <c r="AA47" s="526"/>
      <c r="AB47" s="526"/>
      <c r="AC47" s="526"/>
      <c r="AD47" s="526"/>
      <c r="AE47" s="526"/>
      <c r="AF47" s="526"/>
      <c r="AG47" s="526"/>
      <c r="AH47" s="27"/>
    </row>
    <row r="48" ht="15" customHeight="1">
      <c r="A48" s="1315" cm="1">
        <f t="array" ref="A48">A47+1</f>
      </c>
      <c r="B48" s="1367"/>
      <c r="C48" s="1317"/>
      <c r="D48" s="1317"/>
      <c r="E48" t="s" s="285">
        <v>346</v>
      </c>
      <c r="F48" s="1319">
        <v>5310000</v>
      </c>
      <c r="G48" s="296" cm="1">
        <f t="array" ref="G48">ROUND(F48*$G$6,0)</f>
        <v>929250</v>
      </c>
      <c r="H48" s="1320" cm="1">
        <f t="array" ref="H48">ROUND(F48*$H$6,0)</f>
        <v>159300</v>
      </c>
      <c r="I48" s="1320" cm="1">
        <f t="array" ref="I48">ROUND(F48*$I$6,0)</f>
        <v>53100</v>
      </c>
      <c r="J48" s="1320" cm="1">
        <f t="array" ref="J48">ROUND(SUM(G48:I48),0)</f>
        <v>1141650</v>
      </c>
      <c r="K48" s="296" cm="1">
        <f t="array" ref="K48">ROUND(F48*$K$6,0)</f>
        <v>424800</v>
      </c>
      <c r="L48" s="296" cm="1">
        <f t="array" ref="L48">ROUND(F48*$L$6,0)</f>
        <v>79650</v>
      </c>
      <c r="M48" s="296" cm="1">
        <f t="array" ref="M48">ROUND(F48*$M$6,0)</f>
        <v>53100</v>
      </c>
      <c r="N48" s="296" cm="1">
        <f t="array" ref="N48">ROUND(SUM(K48:M48),0)</f>
        <v>557550</v>
      </c>
      <c r="O48" s="296" cm="1">
        <f t="array" ref="O48">J48+N48</f>
        <v>1699200</v>
      </c>
      <c r="P48" s="1327"/>
      <c r="Q48" s="1186"/>
      <c r="R48" s="686"/>
      <c r="S48" s="686"/>
      <c r="T48" s="686"/>
      <c r="U48" s="686"/>
      <c r="V48" s="686"/>
      <c r="W48" s="686"/>
      <c r="X48" s="686"/>
      <c r="Y48" s="686"/>
      <c r="Z48" s="686"/>
      <c r="AA48" s="686"/>
      <c r="AB48" s="686"/>
      <c r="AC48" s="686"/>
      <c r="AD48" s="686"/>
      <c r="AE48" s="686"/>
      <c r="AF48" s="686"/>
      <c r="AG48" s="686"/>
      <c r="AH48" s="27"/>
    </row>
    <row r="49" ht="15" customHeight="1">
      <c r="A49" s="1368"/>
      <c r="B49" s="1369"/>
      <c r="C49" s="1370"/>
      <c r="D49" s="1370"/>
      <c r="E49" s="1371"/>
      <c r="F49" s="1372"/>
      <c r="G49" s="465"/>
      <c r="H49" s="1373"/>
      <c r="I49" s="1373"/>
      <c r="J49" s="1373"/>
      <c r="K49" s="465"/>
      <c r="L49" s="465"/>
      <c r="M49" s="465"/>
      <c r="N49" s="465"/>
      <c r="O49" s="465"/>
      <c r="P49" s="1374"/>
      <c r="Q49" s="1186"/>
      <c r="R49" s="1375"/>
      <c r="S49" s="1375"/>
      <c r="T49" s="1375"/>
      <c r="U49" s="1375"/>
      <c r="V49" s="1375"/>
      <c r="W49" s="1375"/>
      <c r="X49" s="1375"/>
      <c r="Y49" s="1375"/>
      <c r="Z49" s="1375"/>
      <c r="AA49" s="1375"/>
      <c r="AB49" s="1375"/>
      <c r="AC49" s="1375"/>
      <c r="AD49" s="1375"/>
      <c r="AE49" s="1375"/>
      <c r="AF49" s="1375"/>
      <c r="AG49" s="1375"/>
      <c r="AH49" s="27"/>
    </row>
    <row r="50" ht="15" customHeight="1">
      <c r="A50" s="1368"/>
      <c r="B50" s="1369"/>
      <c r="C50" s="1370"/>
      <c r="D50" s="1370"/>
      <c r="E50" s="1371"/>
      <c r="F50" s="1372"/>
      <c r="G50" s="465"/>
      <c r="H50" s="1373"/>
      <c r="I50" s="1373"/>
      <c r="J50" s="1373"/>
      <c r="K50" s="465"/>
      <c r="L50" s="465"/>
      <c r="M50" s="465"/>
      <c r="N50" s="465"/>
      <c r="O50" s="465"/>
      <c r="P50" s="1374"/>
      <c r="Q50" s="1186"/>
      <c r="R50" s="1375"/>
      <c r="S50" s="1375"/>
      <c r="T50" s="1375"/>
      <c r="U50" s="1375"/>
      <c r="V50" s="1375"/>
      <c r="W50" s="1375"/>
      <c r="X50" s="1375"/>
      <c r="Y50" s="1375"/>
      <c r="Z50" s="1375"/>
      <c r="AA50" s="1375"/>
      <c r="AB50" s="1375"/>
      <c r="AC50" s="1375"/>
      <c r="AD50" s="1375"/>
      <c r="AE50" s="1375"/>
      <c r="AF50" s="1375"/>
      <c r="AG50" s="1375"/>
      <c r="AH50" s="27"/>
    </row>
    <row r="51" ht="15" customHeight="1">
      <c r="A51" s="1368"/>
      <c r="B51" s="1369"/>
      <c r="C51" s="1370"/>
      <c r="D51" s="1370"/>
      <c r="E51" s="1371"/>
      <c r="F51" s="1372"/>
      <c r="G51" s="465"/>
      <c r="H51" s="1373"/>
      <c r="I51" s="1373"/>
      <c r="J51" s="1373"/>
      <c r="K51" s="465"/>
      <c r="L51" s="465"/>
      <c r="M51" s="465"/>
      <c r="N51" s="465"/>
      <c r="O51" s="465"/>
      <c r="P51" s="1374"/>
      <c r="Q51" s="1186"/>
      <c r="R51" s="1375"/>
      <c r="S51" s="1375"/>
      <c r="T51" s="1375"/>
      <c r="U51" s="1375"/>
      <c r="V51" s="1375"/>
      <c r="W51" s="1375"/>
      <c r="X51" s="1375"/>
      <c r="Y51" s="1375"/>
      <c r="Z51" s="1375"/>
      <c r="AA51" s="1375"/>
      <c r="AB51" s="1375"/>
      <c r="AC51" s="1375"/>
      <c r="AD51" s="1375"/>
      <c r="AE51" s="1375"/>
      <c r="AF51" s="1375"/>
      <c r="AG51" s="1375"/>
      <c r="AH51" s="27"/>
    </row>
    <row r="52" ht="15" customHeight="1">
      <c r="A52" s="1368"/>
      <c r="B52" s="1369"/>
      <c r="C52" s="1370"/>
      <c r="D52" s="1370"/>
      <c r="E52" s="1371"/>
      <c r="F52" s="1372"/>
      <c r="G52" s="465"/>
      <c r="H52" s="1373"/>
      <c r="I52" s="1373"/>
      <c r="J52" s="1373"/>
      <c r="K52" s="465"/>
      <c r="L52" s="465"/>
      <c r="M52" s="465"/>
      <c r="N52" s="465"/>
      <c r="O52" s="465"/>
      <c r="P52" s="1374"/>
      <c r="Q52" s="1186"/>
      <c r="R52" s="1375"/>
      <c r="S52" s="1375"/>
      <c r="T52" s="1375"/>
      <c r="U52" s="1375"/>
      <c r="V52" s="1375"/>
      <c r="W52" s="1375"/>
      <c r="X52" s="1375"/>
      <c r="Y52" s="1375"/>
      <c r="Z52" s="1375"/>
      <c r="AA52" s="1375"/>
      <c r="AB52" s="1375"/>
      <c r="AC52" s="1375"/>
      <c r="AD52" s="1375"/>
      <c r="AE52" s="1375"/>
      <c r="AF52" s="1375"/>
      <c r="AG52" s="1375"/>
      <c r="AH52" s="27"/>
    </row>
    <row r="53" ht="15" customHeight="1">
      <c r="A53" s="1315"/>
      <c r="B53" s="1325"/>
      <c r="C53" s="1317"/>
      <c r="D53" s="1317"/>
      <c r="E53" s="1333"/>
      <c r="F53" s="1319"/>
      <c r="G53" s="296"/>
      <c r="H53" s="1320"/>
      <c r="I53" s="1320"/>
      <c r="J53" s="1320"/>
      <c r="K53" s="296"/>
      <c r="L53" s="296"/>
      <c r="M53" s="296"/>
      <c r="N53" s="296"/>
      <c r="O53" s="296"/>
      <c r="P53" s="1327"/>
      <c r="Q53" s="1186"/>
      <c r="R53" s="686"/>
      <c r="S53" s="686"/>
      <c r="T53" s="686"/>
      <c r="U53" s="686"/>
      <c r="V53" s="686"/>
      <c r="W53" s="686"/>
      <c r="X53" s="686"/>
      <c r="Y53" s="686"/>
      <c r="Z53" s="686"/>
      <c r="AA53" s="686"/>
      <c r="AB53" s="686"/>
      <c r="AC53" s="686"/>
      <c r="AD53" s="686"/>
      <c r="AE53" s="686"/>
      <c r="AF53" s="686"/>
      <c r="AG53" s="686"/>
      <c r="AH53" s="27"/>
    </row>
    <row r="54" ht="15" customHeight="1">
      <c r="A54" s="1315"/>
      <c r="B54" s="1325"/>
      <c r="C54" s="1317"/>
      <c r="D54" s="1317"/>
      <c r="E54" s="347"/>
      <c r="F54" s="1319"/>
      <c r="G54" s="296"/>
      <c r="H54" s="1320"/>
      <c r="I54" s="1320"/>
      <c r="J54" s="1320"/>
      <c r="K54" s="296"/>
      <c r="L54" s="296"/>
      <c r="M54" s="296"/>
      <c r="N54" s="296"/>
      <c r="O54" s="296"/>
      <c r="P54" s="1327"/>
      <c r="Q54" s="1186"/>
      <c r="R54" s="686"/>
      <c r="S54" s="686"/>
      <c r="T54" s="686"/>
      <c r="U54" s="686"/>
      <c r="V54" s="686"/>
      <c r="W54" s="686"/>
      <c r="X54" s="686"/>
      <c r="Y54" s="686"/>
      <c r="Z54" s="686"/>
      <c r="AA54" s="686"/>
      <c r="AB54" s="686"/>
      <c r="AC54" s="686"/>
      <c r="AD54" s="686"/>
      <c r="AE54" s="686"/>
      <c r="AF54" s="686"/>
      <c r="AG54" s="686"/>
      <c r="AH54" s="27"/>
    </row>
    <row r="55" ht="15" customHeight="1">
      <c r="A55" s="1315"/>
      <c r="B55" s="1334"/>
      <c r="C55" s="1317"/>
      <c r="D55" s="1317"/>
      <c r="E55" s="1317"/>
      <c r="F55" s="1317"/>
      <c r="G55" s="296"/>
      <c r="H55" s="1320"/>
      <c r="I55" s="1320"/>
      <c r="J55" s="1320"/>
      <c r="K55" s="296"/>
      <c r="L55" s="296"/>
      <c r="M55" s="296"/>
      <c r="N55" s="296"/>
      <c r="O55" s="296"/>
      <c r="P55" s="288"/>
      <c r="Q55" s="525"/>
      <c r="R55" s="526"/>
      <c r="S55" s="526"/>
      <c r="T55" s="526"/>
      <c r="U55" s="526"/>
      <c r="V55" s="526"/>
      <c r="W55" s="526"/>
      <c r="X55" s="526"/>
      <c r="Y55" s="526"/>
      <c r="Z55" s="526"/>
      <c r="AA55" s="526"/>
      <c r="AB55" s="526"/>
      <c r="AC55" s="526"/>
      <c r="AD55" s="526"/>
      <c r="AE55" s="526"/>
      <c r="AF55" s="526"/>
      <c r="AG55" s="526"/>
      <c r="AH55" s="27"/>
    </row>
    <row r="56" ht="15" customHeight="1">
      <c r="A56" s="1315"/>
      <c r="B56" s="1317"/>
      <c r="C56" s="1317"/>
      <c r="D56" s="1317"/>
      <c r="E56" t="s" s="1365">
        <v>6042</v>
      </c>
      <c r="F56" s="1327" cm="1">
        <f t="array" ref="F56">SUM(F48:F55)</f>
        <v>5310000</v>
      </c>
      <c r="G56" s="1327" cm="1">
        <f t="array" ref="G56">SUM(G48:G55)</f>
        <v>929250</v>
      </c>
      <c r="H56" s="1327" cm="1">
        <f t="array" ref="H56">SUM(H48:H55)</f>
        <v>159300</v>
      </c>
      <c r="I56" s="1327" cm="1">
        <f t="array" ref="I56">SUM(I48:I55)</f>
        <v>53100</v>
      </c>
      <c r="J56" s="1327" cm="1">
        <f t="array" ref="J56">SUM(J48:J55)</f>
        <v>1141650</v>
      </c>
      <c r="K56" s="1327" cm="1">
        <f t="array" ref="K56">SUM(K48:K55)</f>
        <v>424800</v>
      </c>
      <c r="L56" s="1327" cm="1">
        <f t="array" ref="L56">SUM(L48:L55)</f>
        <v>79650</v>
      </c>
      <c r="M56" s="1327" cm="1">
        <f t="array" ref="M56">SUM(M48:M55)</f>
        <v>53100</v>
      </c>
      <c r="N56" s="1327" cm="1">
        <f t="array" ref="N56">SUM(N48:N55)</f>
        <v>557550</v>
      </c>
      <c r="O56" s="1327" cm="1">
        <f t="array" ref="O56">SUM(O48:O55)</f>
        <v>1699200</v>
      </c>
      <c r="P56" s="288"/>
      <c r="Q56" s="525"/>
      <c r="R56" s="526"/>
      <c r="S56" s="526"/>
      <c r="T56" s="526"/>
      <c r="U56" s="526"/>
      <c r="V56" s="526"/>
      <c r="W56" s="526"/>
      <c r="X56" s="526"/>
      <c r="Y56" s="526"/>
      <c r="Z56" s="526"/>
      <c r="AA56" s="526"/>
      <c r="AB56" s="526"/>
      <c r="AC56" s="526"/>
      <c r="AD56" s="526"/>
      <c r="AE56" s="526"/>
      <c r="AF56" s="526"/>
      <c r="AG56" s="526"/>
      <c r="AH56" s="27"/>
    </row>
    <row r="57" ht="15" customHeight="1">
      <c r="A57" s="1063"/>
      <c r="B57" s="1063"/>
      <c r="C57" s="1063"/>
      <c r="D57" s="1063"/>
      <c r="E57" s="1063"/>
      <c r="F57" s="1063"/>
      <c r="G57" s="1283"/>
      <c r="H57" s="1206"/>
      <c r="I57" s="1206"/>
      <c r="J57" s="1284"/>
      <c r="K57" s="1063"/>
      <c r="L57" s="1285"/>
      <c r="M57" s="1286"/>
      <c r="N57" s="1286"/>
      <c r="O57" s="1286"/>
      <c r="P57" s="1063"/>
      <c r="Q57" s="526"/>
      <c r="R57" s="526"/>
      <c r="S57" s="526"/>
      <c r="T57" s="526"/>
      <c r="U57" s="526"/>
      <c r="V57" s="526"/>
      <c r="W57" s="526"/>
      <c r="X57" s="526"/>
      <c r="Y57" s="526"/>
      <c r="Z57" s="526"/>
      <c r="AA57" s="526"/>
      <c r="AB57" s="526"/>
      <c r="AC57" s="526"/>
      <c r="AD57" s="526"/>
      <c r="AE57" s="526"/>
      <c r="AF57" s="526"/>
      <c r="AG57" s="526"/>
      <c r="AH57" s="27"/>
    </row>
    <row r="58" ht="15" customHeight="1">
      <c r="A58" t="s" s="1376">
        <v>6037</v>
      </c>
      <c r="B58" s="27"/>
      <c r="C58" s="29"/>
      <c r="D58" s="29"/>
      <c r="E58" s="29"/>
      <c r="F58" s="1118"/>
      <c r="G58" s="1377"/>
      <c r="H58" s="29"/>
      <c r="I58" s="29"/>
      <c r="J58" s="1378"/>
      <c r="K58" s="1118"/>
      <c r="L58" s="1379"/>
      <c r="M58" s="1380"/>
      <c r="N58" s="1380"/>
      <c r="O58" s="1380"/>
      <c r="P58" s="1118"/>
      <c r="Q58" s="526"/>
      <c r="R58" s="526"/>
      <c r="S58" s="526"/>
      <c r="T58" s="526"/>
      <c r="U58" s="526"/>
      <c r="V58" s="526"/>
      <c r="W58" s="526"/>
      <c r="X58" s="526"/>
      <c r="Y58" s="526"/>
      <c r="Z58" s="526"/>
      <c r="AA58" s="526"/>
      <c r="AB58" s="526"/>
      <c r="AC58" s="526"/>
      <c r="AD58" s="526"/>
      <c r="AE58" s="526"/>
      <c r="AF58" s="526"/>
      <c r="AG58" s="526"/>
      <c r="AH58" s="27"/>
    </row>
    <row r="59" ht="15" customHeight="1">
      <c r="A59" s="1381">
        <v>4</v>
      </c>
      <c r="B59" s="1382"/>
      <c r="C59" s="1383"/>
      <c r="D59" t="s" s="321">
        <v>118</v>
      </c>
      <c r="E59" t="s" s="366">
        <v>119</v>
      </c>
      <c r="F59" s="1384">
        <v>5310000</v>
      </c>
      <c r="G59" s="322" cm="1">
        <f t="array" ref="G59">ROUND(F59*$G$6,0)</f>
        <v>929250</v>
      </c>
      <c r="H59" s="1385" cm="1">
        <f t="array" ref="H59">ROUND(F59*$H$6,0)</f>
        <v>159300</v>
      </c>
      <c r="I59" s="1385" cm="1">
        <f t="array" ref="I59">ROUND(F59*$I$6,0)</f>
        <v>53100</v>
      </c>
      <c r="J59" s="1385" cm="1">
        <f t="array" ref="J59">ROUND(SUM(G59:I59),0)</f>
        <v>1141650</v>
      </c>
      <c r="K59" s="322" cm="1">
        <f t="array" ref="K59">ROUND(F59*$K$6,0)</f>
        <v>424800</v>
      </c>
      <c r="L59" s="322" cm="1">
        <f t="array" ref="L59">ROUND(F59*$L$6,0)</f>
        <v>79650</v>
      </c>
      <c r="M59" s="322" cm="1">
        <f t="array" ref="M59">ROUND(F59*$M$6,0)</f>
        <v>53100</v>
      </c>
      <c r="N59" s="322" cm="1">
        <f t="array" ref="N59">ROUND(SUM(K59:M59),0)</f>
        <v>557550</v>
      </c>
      <c r="O59" s="322" cm="1">
        <f t="array" ref="O59">J59+N59</f>
        <v>1699200</v>
      </c>
      <c r="P59" s="322"/>
      <c r="Q59" s="1386"/>
      <c r="R59" s="1387">
        <v>8</v>
      </c>
      <c r="S59" s="1386"/>
      <c r="T59" s="1388"/>
      <c r="U59" t="s" s="1389">
        <v>6035</v>
      </c>
      <c r="V59" t="s" s="1390">
        <v>115</v>
      </c>
      <c r="W59" s="1391">
        <v>5100000</v>
      </c>
      <c r="X59" s="1392" cm="1">
        <f t="array" ref="X59">ROUND(W59*$G$6,0)</f>
        <v>892500</v>
      </c>
      <c r="Y59" s="1391" cm="1">
        <f t="array" ref="Y59">ROUND(W59*$H$6,0)</f>
        <v>153000</v>
      </c>
      <c r="Z59" s="1391" cm="1">
        <f t="array" ref="Z59">ROUND(W59*$I$6,0)</f>
        <v>51000</v>
      </c>
      <c r="AA59" s="1391" cm="1">
        <f t="array" ref="AA59">ROUND(SUM(X59:Z59),0)</f>
        <v>1096500</v>
      </c>
      <c r="AB59" s="1392" cm="1">
        <f t="array" ref="AB59">ROUND(W59*$K$6,0)</f>
        <v>408000</v>
      </c>
      <c r="AC59" s="1392" cm="1">
        <f t="array" ref="AC59">ROUND(W59*$L$6,0)</f>
        <v>76500</v>
      </c>
      <c r="AD59" s="1392" cm="1">
        <f t="array" ref="AD59">ROUND(W59*$M$6,0)</f>
        <v>51000</v>
      </c>
      <c r="AE59" s="1392" cm="1">
        <f t="array" ref="AE59">ROUND(SUM(AB59:AD59),0)</f>
        <v>535500</v>
      </c>
      <c r="AF59" s="1392" cm="1">
        <f t="array" ref="AF59">AA59+AE59</f>
        <v>1632000</v>
      </c>
      <c r="AG59" s="1393"/>
      <c r="AH59" s="27"/>
    </row>
    <row r="60" ht="15" customHeight="1">
      <c r="A60" s="1381">
        <v>13</v>
      </c>
      <c r="B60" s="1394"/>
      <c r="C60" s="1383"/>
      <c r="D60" s="1383"/>
      <c r="E60" t="s" s="359">
        <v>148</v>
      </c>
      <c r="F60" s="1384">
        <v>5310000</v>
      </c>
      <c r="G60" s="322" cm="1">
        <f t="array" ref="G60">ROUND(F60*$G$6,0)</f>
        <v>929250</v>
      </c>
      <c r="H60" s="1385" cm="1">
        <f t="array" ref="H60">ROUND(F60*$H$6,0)</f>
        <v>159300</v>
      </c>
      <c r="I60" s="1385" cm="1">
        <f t="array" ref="I60">ROUND(F60*$I$6,0)</f>
        <v>53100</v>
      </c>
      <c r="J60" s="1385" cm="1">
        <f t="array" ref="J60">ROUND(SUM(G60:I60),0)</f>
        <v>1141650</v>
      </c>
      <c r="K60" s="322" cm="1">
        <f t="array" ref="K60">ROUND(F60*$K$6,0)</f>
        <v>424800</v>
      </c>
      <c r="L60" s="322" cm="1">
        <f t="array" ref="L60">ROUND(F60*$L$6,0)</f>
        <v>79650</v>
      </c>
      <c r="M60" s="322" cm="1">
        <f t="array" ref="M60">ROUND(F60*$M$6,0)</f>
        <v>53100</v>
      </c>
      <c r="N60" s="322" cm="1">
        <f t="array" ref="N60">ROUND(SUM(K60:M60),0)</f>
        <v>557550</v>
      </c>
      <c r="O60" s="322" cm="1">
        <f t="array" ref="O60">J60+N60</f>
        <v>1699200</v>
      </c>
      <c r="P60" s="1395"/>
      <c r="Q60" s="1396"/>
      <c r="R60" s="1397"/>
      <c r="S60" s="778"/>
      <c r="T60" s="1397"/>
      <c r="U60" s="1397"/>
      <c r="V60" s="1397"/>
      <c r="W60" s="1397"/>
      <c r="X60" s="1397"/>
      <c r="Y60" s="1397"/>
      <c r="Z60" s="1397"/>
      <c r="AA60" s="1397"/>
      <c r="AB60" s="1397"/>
      <c r="AC60" s="1397"/>
      <c r="AD60" s="1397"/>
      <c r="AE60" s="1397"/>
      <c r="AF60" s="1397"/>
      <c r="AG60" s="778"/>
      <c r="AH60" s="27"/>
    </row>
    <row r="61" ht="15" customHeight="1">
      <c r="A61" s="1381">
        <v>18</v>
      </c>
      <c r="B61" s="1394"/>
      <c r="C61" s="1383"/>
      <c r="D61" s="1383"/>
      <c r="E61" t="s" s="1398">
        <v>4367</v>
      </c>
      <c r="F61" s="1384">
        <v>5310000</v>
      </c>
      <c r="G61" s="322" cm="1">
        <f t="array" ref="G61">ROUND(F61*$G$6,0)</f>
        <v>929250</v>
      </c>
      <c r="H61" s="1385" cm="1">
        <f t="array" ref="H61">ROUND(F61*$H$6,0)</f>
        <v>159300</v>
      </c>
      <c r="I61" s="1385" cm="1">
        <f t="array" ref="I61">ROUND(F61*$I$6,0)</f>
        <v>53100</v>
      </c>
      <c r="J61" s="1385" cm="1">
        <f t="array" ref="J61">ROUND(SUM(G61:I61),0)</f>
        <v>1141650</v>
      </c>
      <c r="K61" s="322" cm="1">
        <f t="array" ref="K61">ROUND(F61*$K$6,0)</f>
        <v>424800</v>
      </c>
      <c r="L61" s="322" cm="1">
        <f t="array" ref="L61">ROUND(F61*$L$6,0)</f>
        <v>79650</v>
      </c>
      <c r="M61" s="322" cm="1">
        <f t="array" ref="M61">ROUND(F61*$M$6,0)</f>
        <v>53100</v>
      </c>
      <c r="N61" s="322" cm="1">
        <f t="array" ref="N61">ROUND(SUM(K61:M61),0)</f>
        <v>557550</v>
      </c>
      <c r="O61" s="322" cm="1">
        <f t="array" ref="O61">J61+N61</f>
        <v>1699200</v>
      </c>
      <c r="P61" s="1395"/>
      <c r="Q61" s="1186"/>
      <c r="R61" s="778"/>
      <c r="S61" s="778"/>
      <c r="T61" s="778"/>
      <c r="U61" s="778"/>
      <c r="V61" s="778"/>
      <c r="W61" s="778"/>
      <c r="X61" s="778"/>
      <c r="Y61" s="778"/>
      <c r="Z61" s="778"/>
      <c r="AA61" s="778"/>
      <c r="AB61" s="778"/>
      <c r="AC61" s="778"/>
      <c r="AD61" s="778"/>
      <c r="AE61" s="778"/>
      <c r="AF61" s="778"/>
      <c r="AG61" s="778"/>
      <c r="AH61" s="27"/>
    </row>
    <row r="62" ht="15" customHeight="1">
      <c r="A62" s="1381">
        <v>19</v>
      </c>
      <c r="B62" s="1394"/>
      <c r="C62" s="1383"/>
      <c r="D62" s="1383"/>
      <c r="E62" t="s" s="1398">
        <v>416</v>
      </c>
      <c r="F62" s="1384">
        <v>5310000</v>
      </c>
      <c r="G62" s="322" cm="1">
        <f t="array" ref="G62">ROUND(F62*$G$6,0)</f>
        <v>929250</v>
      </c>
      <c r="H62" s="1385" cm="1">
        <f t="array" ref="H62">ROUND(F62*$H$6,0)</f>
        <v>159300</v>
      </c>
      <c r="I62" s="1385" cm="1">
        <f t="array" ref="I62">ROUND(F62*$I$6,0)</f>
        <v>53100</v>
      </c>
      <c r="J62" s="1385" cm="1">
        <f t="array" ref="J62">ROUND(SUM(G62:I62),0)</f>
        <v>1141650</v>
      </c>
      <c r="K62" s="322" cm="1">
        <f t="array" ref="K62">ROUND(F62*$K$6,0)</f>
        <v>424800</v>
      </c>
      <c r="L62" s="322" cm="1">
        <f t="array" ref="L62">ROUND(F62*$L$6,0)</f>
        <v>79650</v>
      </c>
      <c r="M62" s="322" cm="1">
        <f t="array" ref="M62">ROUND(F62*$M$6,0)</f>
        <v>53100</v>
      </c>
      <c r="N62" s="322" cm="1">
        <f t="array" ref="N62">ROUND(SUM(K62:M62),0)</f>
        <v>557550</v>
      </c>
      <c r="O62" s="322" cm="1">
        <f t="array" ref="O62">J62+N62</f>
        <v>1699200</v>
      </c>
      <c r="P62" s="1395"/>
      <c r="Q62" s="1186"/>
      <c r="R62" s="778"/>
      <c r="S62" s="778"/>
      <c r="T62" s="778"/>
      <c r="U62" s="778"/>
      <c r="V62" s="778"/>
      <c r="W62" s="778"/>
      <c r="X62" s="778"/>
      <c r="Y62" s="778"/>
      <c r="Z62" s="778"/>
      <c r="AA62" s="778"/>
      <c r="AB62" s="778"/>
      <c r="AC62" s="778"/>
      <c r="AD62" s="778"/>
      <c r="AE62" s="778"/>
      <c r="AF62" s="778"/>
      <c r="AG62" s="778"/>
      <c r="AH62" s="27"/>
    </row>
    <row r="63" ht="15" customHeight="1">
      <c r="A63" s="1315"/>
      <c r="B63" s="1325"/>
      <c r="C63" s="1317"/>
      <c r="D63" s="1317"/>
      <c r="E63" s="347"/>
      <c r="F63" s="1319"/>
      <c r="G63" s="296"/>
      <c r="H63" s="1320"/>
      <c r="I63" s="1320"/>
      <c r="J63" s="1320"/>
      <c r="K63" s="296"/>
      <c r="L63" s="296"/>
      <c r="M63" s="296"/>
      <c r="N63" s="296"/>
      <c r="O63" s="296"/>
      <c r="P63" s="1327"/>
      <c r="Q63" s="1186"/>
      <c r="R63" s="686"/>
      <c r="S63" s="686"/>
      <c r="T63" s="686"/>
      <c r="U63" s="686"/>
      <c r="V63" s="686"/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  <c r="AG63" s="686"/>
      <c r="AH63" s="27"/>
    </row>
    <row r="64" ht="15" customHeight="1">
      <c r="A64" s="1063"/>
      <c r="B64" s="526"/>
      <c r="C64" s="1063"/>
      <c r="D64" s="1063"/>
      <c r="E64" s="1063"/>
      <c r="F64" s="1063"/>
      <c r="G64" s="1283"/>
      <c r="H64" s="1283"/>
      <c r="I64" s="1283"/>
      <c r="J64" s="1284"/>
      <c r="K64" s="1063"/>
      <c r="L64" s="1286"/>
      <c r="M64" s="1063"/>
      <c r="N64" s="1063"/>
      <c r="O64" s="1286"/>
      <c r="P64" s="1063"/>
      <c r="Q64" s="526"/>
      <c r="R64" s="526"/>
      <c r="S64" s="526"/>
      <c r="T64" s="526"/>
      <c r="U64" s="526"/>
      <c r="V64" s="526"/>
      <c r="W64" s="526"/>
      <c r="X64" s="526"/>
      <c r="Y64" s="526"/>
      <c r="Z64" s="526"/>
      <c r="AA64" s="526"/>
      <c r="AB64" s="526"/>
      <c r="AC64" s="526"/>
      <c r="AD64" s="526"/>
      <c r="AE64" s="526"/>
      <c r="AF64" s="526"/>
      <c r="AG64" s="526"/>
      <c r="AH64" s="27"/>
    </row>
    <row r="65" ht="15" customHeight="1">
      <c r="A65" s="887"/>
      <c r="B65" s="876"/>
      <c r="C65" s="876"/>
      <c r="D65" t="s" s="1263">
        <v>6043</v>
      </c>
      <c r="E65" s="27"/>
      <c r="F65" s="27"/>
      <c r="G65" s="876"/>
      <c r="H65" t="s" s="1263">
        <v>6044</v>
      </c>
      <c r="I65" s="27"/>
      <c r="J65" s="27"/>
      <c r="K65" s="876"/>
      <c r="L65" t="s" s="1263">
        <v>6045</v>
      </c>
      <c r="M65" s="27"/>
      <c r="N65" s="526"/>
      <c r="O65" s="526"/>
      <c r="P65" s="526"/>
      <c r="Q65" s="526"/>
      <c r="R65" s="526"/>
      <c r="S65" s="526"/>
      <c r="T65" s="526"/>
      <c r="U65" s="526"/>
      <c r="V65" s="526"/>
      <c r="W65" s="526"/>
      <c r="X65" s="526"/>
      <c r="Y65" s="526"/>
      <c r="Z65" s="526"/>
      <c r="AA65" s="526"/>
      <c r="AB65" s="526"/>
      <c r="AC65" s="526"/>
      <c r="AD65" s="526"/>
      <c r="AE65" s="526"/>
      <c r="AF65" s="526"/>
      <c r="AG65" s="526"/>
      <c r="AH65" s="27"/>
    </row>
    <row r="66" ht="15" customHeight="1">
      <c r="A66" s="887"/>
      <c r="B66" s="876"/>
      <c r="C66" s="876"/>
      <c r="D66" s="1399"/>
      <c r="E66" s="876"/>
      <c r="F66" s="1400"/>
      <c r="G66" s="876"/>
      <c r="H66" s="876"/>
      <c r="I66" s="876"/>
      <c r="J66" s="1288"/>
      <c r="K66" s="526"/>
      <c r="L66" s="526"/>
      <c r="M66" s="526"/>
      <c r="N66" s="526"/>
      <c r="O66" s="526"/>
      <c r="P66" s="526"/>
      <c r="Q66" s="526"/>
      <c r="R66" s="526"/>
      <c r="S66" s="526"/>
      <c r="T66" s="526"/>
      <c r="U66" s="526"/>
      <c r="V66" s="526"/>
      <c r="W66" s="526"/>
      <c r="X66" s="526"/>
      <c r="Y66" s="526"/>
      <c r="Z66" s="526"/>
      <c r="AA66" s="526"/>
      <c r="AB66" s="526"/>
      <c r="AC66" s="526"/>
      <c r="AD66" s="526"/>
      <c r="AE66" s="526"/>
      <c r="AF66" s="526"/>
      <c r="AG66" s="526"/>
      <c r="AH66" s="27"/>
    </row>
    <row r="67" ht="15" customHeight="1">
      <c r="A67" s="887"/>
      <c r="B67" s="876"/>
      <c r="C67" s="876"/>
      <c r="D67" s="1399"/>
      <c r="E67" s="876"/>
      <c r="F67" s="1400"/>
      <c r="G67" s="526"/>
      <c r="H67" s="526"/>
      <c r="I67" s="526"/>
      <c r="J67" s="526"/>
      <c r="K67" s="526"/>
      <c r="L67" s="526"/>
      <c r="M67" s="526"/>
      <c r="N67" s="526"/>
      <c r="O67" s="526"/>
      <c r="P67" s="526"/>
      <c r="Q67" s="526"/>
      <c r="R67" s="526"/>
      <c r="S67" s="526"/>
      <c r="T67" s="526"/>
      <c r="U67" s="526"/>
      <c r="V67" s="526"/>
      <c r="W67" s="526"/>
      <c r="X67" s="526"/>
      <c r="Y67" s="526"/>
      <c r="Z67" s="526"/>
      <c r="AA67" s="526"/>
      <c r="AB67" s="526"/>
      <c r="AC67" s="526"/>
      <c r="AD67" s="526"/>
      <c r="AE67" s="526"/>
      <c r="AF67" s="526"/>
      <c r="AG67" s="526"/>
      <c r="AH67" s="27"/>
    </row>
    <row r="68" ht="15" customHeight="1">
      <c r="A68" s="887"/>
      <c r="B68" s="876"/>
      <c r="C68" s="876"/>
      <c r="D68" s="887"/>
      <c r="E68" s="27"/>
      <c r="F68" s="27"/>
      <c r="G68" s="876"/>
      <c r="H68" s="887"/>
      <c r="I68" s="27"/>
      <c r="J68" s="27"/>
      <c r="K68" s="876"/>
      <c r="L68" t="s" s="1263">
        <v>220</v>
      </c>
      <c r="M68" s="27"/>
      <c r="N68" s="526"/>
      <c r="O68" s="526"/>
      <c r="P68" s="526"/>
      <c r="Q68" s="526"/>
      <c r="R68" s="526"/>
      <c r="S68" s="526"/>
      <c r="T68" s="526"/>
      <c r="U68" s="526"/>
      <c r="V68" s="526"/>
      <c r="W68" s="526"/>
      <c r="X68" s="526"/>
      <c r="Y68" s="526"/>
      <c r="Z68" s="526"/>
      <c r="AA68" s="526"/>
      <c r="AB68" s="526"/>
      <c r="AC68" s="526"/>
      <c r="AD68" s="526"/>
      <c r="AE68" s="526"/>
      <c r="AF68" s="526"/>
      <c r="AG68" s="526"/>
      <c r="AH68" s="27"/>
    </row>
    <row r="69" ht="18.75" customHeight="1">
      <c r="A69" s="526"/>
      <c r="B69" s="526"/>
      <c r="C69" s="526"/>
      <c r="D69" s="526"/>
      <c r="E69" s="526"/>
      <c r="F69" s="526"/>
      <c r="G69" s="526"/>
      <c r="H69" s="526"/>
      <c r="I69" s="526"/>
      <c r="J69" s="526"/>
      <c r="K69" s="526"/>
      <c r="L69" s="526"/>
      <c r="M69" s="526"/>
      <c r="N69" s="526"/>
      <c r="O69" s="526"/>
      <c r="P69" s="526"/>
      <c r="Q69" s="526"/>
      <c r="R69" s="526"/>
      <c r="S69" s="526"/>
      <c r="T69" s="526"/>
      <c r="U69" s="526"/>
      <c r="V69" s="526"/>
      <c r="W69" s="526"/>
      <c r="X69" s="526"/>
      <c r="Y69" s="526"/>
      <c r="Z69" s="526"/>
      <c r="AA69" s="526"/>
      <c r="AB69" s="526"/>
      <c r="AC69" s="526"/>
      <c r="AD69" s="526"/>
      <c r="AE69" s="526"/>
      <c r="AF69" s="526"/>
      <c r="AG69" s="526"/>
      <c r="AH69" s="27"/>
    </row>
    <row r="70" ht="18.75" customHeight="1">
      <c r="A70" s="526"/>
      <c r="B70" s="526"/>
      <c r="C70" s="526"/>
      <c r="D70" s="526"/>
      <c r="E70" s="526"/>
      <c r="F70" s="526"/>
      <c r="G70" s="526"/>
      <c r="H70" s="526"/>
      <c r="I70" s="526"/>
      <c r="J70" s="526"/>
      <c r="K70" s="526"/>
      <c r="L70" s="526"/>
      <c r="M70" s="526"/>
      <c r="N70" s="526"/>
      <c r="O70" s="526"/>
      <c r="P70" s="526"/>
      <c r="Q70" s="526"/>
      <c r="R70" s="526"/>
      <c r="S70" s="526"/>
      <c r="T70" s="526"/>
      <c r="U70" s="526"/>
      <c r="V70" s="526"/>
      <c r="W70" s="526"/>
      <c r="X70" s="526"/>
      <c r="Y70" s="526"/>
      <c r="Z70" s="526"/>
      <c r="AA70" s="526"/>
      <c r="AB70" s="526"/>
      <c r="AC70" s="526"/>
      <c r="AD70" s="526"/>
      <c r="AE70" s="526"/>
      <c r="AF70" s="526"/>
      <c r="AG70" s="526"/>
      <c r="AH70" s="27"/>
    </row>
    <row r="71" ht="18.75" customHeight="1">
      <c r="A71" s="526"/>
      <c r="B71" s="526"/>
      <c r="C71" s="526"/>
      <c r="D71" s="526"/>
      <c r="E71" s="526"/>
      <c r="F71" s="526"/>
      <c r="G71" s="526"/>
      <c r="H71" s="526"/>
      <c r="I71" s="526"/>
      <c r="J71" s="526"/>
      <c r="K71" s="526"/>
      <c r="L71" s="526"/>
      <c r="M71" s="526"/>
      <c r="N71" s="526"/>
      <c r="O71" s="526"/>
      <c r="P71" s="526"/>
      <c r="Q71" s="526"/>
      <c r="R71" s="526"/>
      <c r="S71" s="526"/>
      <c r="T71" s="526"/>
      <c r="U71" s="526"/>
      <c r="V71" s="526"/>
      <c r="W71" s="526"/>
      <c r="X71" s="526"/>
      <c r="Y71" s="526"/>
      <c r="Z71" s="526"/>
      <c r="AA71" s="526"/>
      <c r="AB71" s="526"/>
      <c r="AC71" s="526"/>
      <c r="AD71" s="526"/>
      <c r="AE71" s="526"/>
      <c r="AF71" s="526"/>
      <c r="AG71" s="526"/>
      <c r="AH71" s="27"/>
    </row>
    <row r="72" ht="18.75" customHeight="1">
      <c r="A72" s="526"/>
      <c r="B72" s="526"/>
      <c r="C72" s="526"/>
      <c r="D72" s="526"/>
      <c r="E72" s="526"/>
      <c r="F72" s="526"/>
      <c r="G72" s="526"/>
      <c r="H72" s="526"/>
      <c r="I72" s="526"/>
      <c r="J72" s="526"/>
      <c r="K72" s="526"/>
      <c r="L72" s="526"/>
      <c r="M72" s="526"/>
      <c r="N72" s="526"/>
      <c r="O72" s="526"/>
      <c r="P72" s="526"/>
      <c r="Q72" s="526"/>
      <c r="R72" s="526"/>
      <c r="S72" s="526"/>
      <c r="T72" s="526"/>
      <c r="U72" s="526"/>
      <c r="V72" s="526"/>
      <c r="W72" s="526"/>
      <c r="X72" s="526"/>
      <c r="Y72" s="526"/>
      <c r="Z72" s="526"/>
      <c r="AA72" s="526"/>
      <c r="AB72" s="526"/>
      <c r="AC72" s="526"/>
      <c r="AD72" s="526"/>
      <c r="AE72" s="526"/>
      <c r="AF72" s="526"/>
      <c r="AG72" s="526"/>
      <c r="AH72" s="27"/>
    </row>
    <row r="73" ht="18.75" customHeight="1">
      <c r="A73" s="526"/>
      <c r="B73" s="526"/>
      <c r="C73" s="526"/>
      <c r="D73" s="526"/>
      <c r="E73" s="526"/>
      <c r="F73" s="526"/>
      <c r="G73" s="526"/>
      <c r="H73" s="526"/>
      <c r="I73" s="526"/>
      <c r="J73" s="526"/>
      <c r="K73" s="526"/>
      <c r="L73" s="526"/>
      <c r="M73" s="526"/>
      <c r="N73" s="526"/>
      <c r="O73" s="526"/>
      <c r="P73" s="526"/>
      <c r="Q73" s="526"/>
      <c r="R73" s="526"/>
      <c r="S73" s="526"/>
      <c r="T73" s="526"/>
      <c r="U73" s="526"/>
      <c r="V73" s="526"/>
      <c r="W73" s="526"/>
      <c r="X73" s="526"/>
      <c r="Y73" s="526"/>
      <c r="Z73" s="526"/>
      <c r="AA73" s="526"/>
      <c r="AB73" s="526"/>
      <c r="AC73" s="526"/>
      <c r="AD73" s="526"/>
      <c r="AE73" s="526"/>
      <c r="AF73" s="526"/>
      <c r="AG73" s="526"/>
      <c r="AH73" s="27"/>
    </row>
    <row r="74" ht="18.75" customHeight="1">
      <c r="A74" s="526"/>
      <c r="B74" s="526"/>
      <c r="C74" s="526"/>
      <c r="D74" s="526"/>
      <c r="E74" s="526"/>
      <c r="F74" s="526"/>
      <c r="G74" s="526"/>
      <c r="H74" s="526"/>
      <c r="I74" s="526"/>
      <c r="J74" s="526"/>
      <c r="K74" s="526"/>
      <c r="L74" s="526"/>
      <c r="M74" s="526"/>
      <c r="N74" s="526"/>
      <c r="O74" s="526"/>
      <c r="P74" s="526"/>
      <c r="Q74" s="526"/>
      <c r="R74" s="526"/>
      <c r="S74" s="526"/>
      <c r="T74" s="526"/>
      <c r="U74" s="526"/>
      <c r="V74" s="526"/>
      <c r="W74" s="526"/>
      <c r="X74" s="526"/>
      <c r="Y74" s="526"/>
      <c r="Z74" s="526"/>
      <c r="AA74" s="526"/>
      <c r="AB74" s="526"/>
      <c r="AC74" s="526"/>
      <c r="AD74" s="526"/>
      <c r="AE74" s="526"/>
      <c r="AF74" s="526"/>
      <c r="AG74" s="526"/>
      <c r="AH74" s="27"/>
    </row>
    <row r="75" ht="18.75" customHeight="1">
      <c r="A75" s="526"/>
      <c r="B75" s="526"/>
      <c r="C75" s="526"/>
      <c r="D75" s="526"/>
      <c r="E75" s="526"/>
      <c r="F75" s="526"/>
      <c r="G75" s="526"/>
      <c r="H75" s="526"/>
      <c r="I75" s="526"/>
      <c r="J75" s="526"/>
      <c r="K75" s="526"/>
      <c r="L75" s="526"/>
      <c r="M75" s="526"/>
      <c r="N75" s="526"/>
      <c r="O75" s="526"/>
      <c r="P75" s="526"/>
      <c r="Q75" s="526"/>
      <c r="R75" s="526"/>
      <c r="S75" s="526"/>
      <c r="T75" s="526"/>
      <c r="U75" s="526"/>
      <c r="V75" s="526"/>
      <c r="W75" s="526"/>
      <c r="X75" s="526"/>
      <c r="Y75" s="526"/>
      <c r="Z75" s="526"/>
      <c r="AA75" s="526"/>
      <c r="AB75" s="526"/>
      <c r="AC75" s="526"/>
      <c r="AD75" s="526"/>
      <c r="AE75" s="526"/>
      <c r="AF75" s="526"/>
      <c r="AG75" s="526"/>
      <c r="AH75" s="27"/>
    </row>
    <row r="76" ht="18.75" customHeight="1">
      <c r="A76" s="526"/>
      <c r="B76" s="526"/>
      <c r="C76" s="526"/>
      <c r="D76" s="526"/>
      <c r="E76" s="526"/>
      <c r="F76" s="526"/>
      <c r="G76" s="526"/>
      <c r="H76" s="526"/>
      <c r="I76" s="526"/>
      <c r="J76" s="526"/>
      <c r="K76" s="526"/>
      <c r="L76" s="526"/>
      <c r="M76" s="526"/>
      <c r="N76" s="526"/>
      <c r="O76" s="526"/>
      <c r="P76" s="526"/>
      <c r="Q76" s="526"/>
      <c r="R76" s="526"/>
      <c r="S76" s="526"/>
      <c r="T76" s="526"/>
      <c r="U76" s="526"/>
      <c r="V76" s="526"/>
      <c r="W76" s="526"/>
      <c r="X76" s="526"/>
      <c r="Y76" s="526"/>
      <c r="Z76" s="526"/>
      <c r="AA76" s="526"/>
      <c r="AB76" s="526"/>
      <c r="AC76" s="526"/>
      <c r="AD76" s="526"/>
      <c r="AE76" s="526"/>
      <c r="AF76" s="526"/>
      <c r="AG76" s="526"/>
      <c r="AH76" s="27"/>
    </row>
    <row r="77" ht="18.75" customHeight="1">
      <c r="A77" s="526"/>
      <c r="B77" s="526"/>
      <c r="C77" s="526"/>
      <c r="D77" s="526"/>
      <c r="E77" s="526"/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526"/>
      <c r="X77" s="526"/>
      <c r="Y77" s="526"/>
      <c r="Z77" s="526"/>
      <c r="AA77" s="526"/>
      <c r="AB77" s="526"/>
      <c r="AC77" s="526"/>
      <c r="AD77" s="526"/>
      <c r="AE77" s="526"/>
      <c r="AF77" s="526"/>
      <c r="AG77" s="526"/>
      <c r="AH77" s="27"/>
    </row>
    <row r="78" ht="18.75" customHeight="1">
      <c r="A78" s="526"/>
      <c r="B78" s="526"/>
      <c r="C78" s="526"/>
      <c r="D78" s="526"/>
      <c r="E78" s="526"/>
      <c r="F78" s="526"/>
      <c r="G78" s="526"/>
      <c r="H78" s="526"/>
      <c r="I78" s="526"/>
      <c r="J78" s="526"/>
      <c r="K78" s="526"/>
      <c r="L78" s="526"/>
      <c r="M78" s="526"/>
      <c r="N78" s="526"/>
      <c r="O78" s="526"/>
      <c r="P78" s="526"/>
      <c r="Q78" s="526"/>
      <c r="R78" s="526"/>
      <c r="S78" s="526"/>
      <c r="T78" s="526"/>
      <c r="U78" s="526"/>
      <c r="V78" s="526"/>
      <c r="W78" s="526"/>
      <c r="X78" s="526"/>
      <c r="Y78" s="526"/>
      <c r="Z78" s="526"/>
      <c r="AA78" s="526"/>
      <c r="AB78" s="526"/>
      <c r="AC78" s="526"/>
      <c r="AD78" s="526"/>
      <c r="AE78" s="526"/>
      <c r="AF78" s="526"/>
      <c r="AG78" s="526"/>
      <c r="AH78" s="27"/>
    </row>
    <row r="79" ht="18.75" customHeight="1">
      <c r="A79" s="526"/>
      <c r="B79" s="526"/>
      <c r="C79" s="526"/>
      <c r="D79" s="526"/>
      <c r="E79" s="526"/>
      <c r="F79" s="526"/>
      <c r="G79" s="526"/>
      <c r="H79" s="526"/>
      <c r="I79" s="526"/>
      <c r="J79" s="526"/>
      <c r="K79" s="526"/>
      <c r="L79" s="526"/>
      <c r="M79" s="526"/>
      <c r="N79" s="526"/>
      <c r="O79" s="526"/>
      <c r="P79" s="526"/>
      <c r="Q79" s="526"/>
      <c r="R79" s="526"/>
      <c r="S79" s="526"/>
      <c r="T79" s="526"/>
      <c r="U79" s="526"/>
      <c r="V79" s="526"/>
      <c r="W79" s="526"/>
      <c r="X79" s="526"/>
      <c r="Y79" s="526"/>
      <c r="Z79" s="526"/>
      <c r="AA79" s="526"/>
      <c r="AB79" s="526"/>
      <c r="AC79" s="526"/>
      <c r="AD79" s="526"/>
      <c r="AE79" s="526"/>
      <c r="AF79" s="526"/>
      <c r="AG79" s="526"/>
      <c r="AH79" s="27"/>
    </row>
    <row r="80" ht="18.75" customHeight="1">
      <c r="A80" s="526"/>
      <c r="B80" s="526"/>
      <c r="C80" s="526"/>
      <c r="D80" s="526"/>
      <c r="E80" s="526"/>
      <c r="F80" s="526"/>
      <c r="G80" s="526"/>
      <c r="H80" s="526"/>
      <c r="I80" s="526"/>
      <c r="J80" s="526"/>
      <c r="K80" s="526"/>
      <c r="L80" s="526"/>
      <c r="M80" s="526"/>
      <c r="N80" s="526"/>
      <c r="O80" s="526"/>
      <c r="P80" s="526"/>
      <c r="Q80" s="526"/>
      <c r="R80" s="526"/>
      <c r="S80" s="526"/>
      <c r="T80" s="526"/>
      <c r="U80" s="526"/>
      <c r="V80" s="526"/>
      <c r="W80" s="526"/>
      <c r="X80" s="526"/>
      <c r="Y80" s="526"/>
      <c r="Z80" s="526"/>
      <c r="AA80" s="526"/>
      <c r="AB80" s="526"/>
      <c r="AC80" s="526"/>
      <c r="AD80" s="526"/>
      <c r="AE80" s="526"/>
      <c r="AF80" s="526"/>
      <c r="AG80" s="526"/>
      <c r="AH80" s="27"/>
    </row>
    <row r="81" ht="18.75" customHeight="1">
      <c r="A81" s="526"/>
      <c r="B81" s="526"/>
      <c r="C81" s="526"/>
      <c r="D81" s="526"/>
      <c r="E81" s="526"/>
      <c r="F81" s="526"/>
      <c r="G81" s="526"/>
      <c r="H81" s="526"/>
      <c r="I81" s="526"/>
      <c r="J81" s="526"/>
      <c r="K81" s="526"/>
      <c r="L81" s="526"/>
      <c r="M81" s="526"/>
      <c r="N81" s="526"/>
      <c r="O81" s="526"/>
      <c r="P81" s="526"/>
      <c r="Q81" s="526"/>
      <c r="R81" s="526"/>
      <c r="S81" s="526"/>
      <c r="T81" s="526"/>
      <c r="U81" s="526"/>
      <c r="V81" s="526"/>
      <c r="W81" s="526"/>
      <c r="X81" s="526"/>
      <c r="Y81" s="526"/>
      <c r="Z81" s="526"/>
      <c r="AA81" s="526"/>
      <c r="AB81" s="526"/>
      <c r="AC81" s="526"/>
      <c r="AD81" s="526"/>
      <c r="AE81" s="526"/>
      <c r="AF81" s="526"/>
      <c r="AG81" s="526"/>
      <c r="AH81" s="27"/>
    </row>
    <row r="82" ht="18.75" customHeight="1">
      <c r="A82" s="526"/>
      <c r="B82" s="526"/>
      <c r="C82" s="526"/>
      <c r="D82" s="526"/>
      <c r="E82" s="526"/>
      <c r="F82" s="526"/>
      <c r="G82" s="526"/>
      <c r="H82" s="526"/>
      <c r="I82" s="526"/>
      <c r="J82" s="526"/>
      <c r="K82" s="526"/>
      <c r="L82" s="526"/>
      <c r="M82" s="526"/>
      <c r="N82" s="526"/>
      <c r="O82" s="526"/>
      <c r="P82" s="526"/>
      <c r="Q82" s="526"/>
      <c r="R82" s="526"/>
      <c r="S82" s="526"/>
      <c r="T82" s="526"/>
      <c r="U82" s="526"/>
      <c r="V82" s="526"/>
      <c r="W82" s="526"/>
      <c r="X82" s="526"/>
      <c r="Y82" s="526"/>
      <c r="Z82" s="526"/>
      <c r="AA82" s="526"/>
      <c r="AB82" s="526"/>
      <c r="AC82" s="526"/>
      <c r="AD82" s="526"/>
      <c r="AE82" s="526"/>
      <c r="AF82" s="526"/>
      <c r="AG82" s="526"/>
      <c r="AH82" s="27"/>
    </row>
    <row r="83" ht="18.75" customHeight="1">
      <c r="A83" s="526"/>
      <c r="B83" s="526"/>
      <c r="C83" s="526"/>
      <c r="D83" s="526"/>
      <c r="E83" s="526"/>
      <c r="F83" s="526"/>
      <c r="G83" s="526"/>
      <c r="H83" s="526"/>
      <c r="I83" s="526"/>
      <c r="J83" s="526"/>
      <c r="K83" s="526"/>
      <c r="L83" s="526"/>
      <c r="M83" s="526"/>
      <c r="N83" s="526"/>
      <c r="O83" s="526"/>
      <c r="P83" s="526"/>
      <c r="Q83" s="526"/>
      <c r="R83" s="526"/>
      <c r="S83" s="526"/>
      <c r="T83" s="526"/>
      <c r="U83" s="526"/>
      <c r="V83" s="526"/>
      <c r="W83" s="526"/>
      <c r="X83" s="526"/>
      <c r="Y83" s="526"/>
      <c r="Z83" s="526"/>
      <c r="AA83" s="526"/>
      <c r="AB83" s="526"/>
      <c r="AC83" s="526"/>
      <c r="AD83" s="526"/>
      <c r="AE83" s="526"/>
      <c r="AF83" s="526"/>
      <c r="AG83" s="526"/>
      <c r="AH83" s="27"/>
    </row>
    <row r="84" ht="18.75" customHeight="1">
      <c r="A84" s="526"/>
      <c r="B84" s="526"/>
      <c r="C84" s="526"/>
      <c r="D84" s="526"/>
      <c r="E84" s="526"/>
      <c r="F84" s="526"/>
      <c r="G84" s="526"/>
      <c r="H84" s="526"/>
      <c r="I84" s="526"/>
      <c r="J84" s="526"/>
      <c r="K84" s="526"/>
      <c r="L84" s="526"/>
      <c r="M84" s="526"/>
      <c r="N84" s="526"/>
      <c r="O84" s="526"/>
      <c r="P84" s="526"/>
      <c r="Q84" s="526"/>
      <c r="R84" s="526"/>
      <c r="S84" s="526"/>
      <c r="T84" s="526"/>
      <c r="U84" s="526"/>
      <c r="V84" s="526"/>
      <c r="W84" s="526"/>
      <c r="X84" s="526"/>
      <c r="Y84" s="526"/>
      <c r="Z84" s="526"/>
      <c r="AA84" s="526"/>
      <c r="AB84" s="526"/>
      <c r="AC84" s="526"/>
      <c r="AD84" s="526"/>
      <c r="AE84" s="526"/>
      <c r="AF84" s="526"/>
      <c r="AG84" s="526"/>
      <c r="AH84" s="27"/>
    </row>
    <row r="85" ht="18.75" customHeight="1">
      <c r="A85" s="526"/>
      <c r="B85" s="526"/>
      <c r="C85" s="526"/>
      <c r="D85" s="526"/>
      <c r="E85" s="526"/>
      <c r="F85" s="526"/>
      <c r="G85" s="526"/>
      <c r="H85" s="526"/>
      <c r="I85" s="526"/>
      <c r="J85" s="526"/>
      <c r="K85" s="526"/>
      <c r="L85" s="526"/>
      <c r="M85" s="526"/>
      <c r="N85" s="526"/>
      <c r="O85" s="526"/>
      <c r="P85" s="526"/>
      <c r="Q85" s="526"/>
      <c r="R85" s="526"/>
      <c r="S85" s="526"/>
      <c r="T85" s="526"/>
      <c r="U85" s="526"/>
      <c r="V85" s="526"/>
      <c r="W85" s="526"/>
      <c r="X85" s="526"/>
      <c r="Y85" s="526"/>
      <c r="Z85" s="526"/>
      <c r="AA85" s="526"/>
      <c r="AB85" s="526"/>
      <c r="AC85" s="526"/>
      <c r="AD85" s="526"/>
      <c r="AE85" s="526"/>
      <c r="AF85" s="526"/>
      <c r="AG85" s="526"/>
      <c r="AH85" s="27"/>
    </row>
    <row r="86" ht="18.75" customHeight="1">
      <c r="A86" s="526"/>
      <c r="B86" s="526"/>
      <c r="C86" s="526"/>
      <c r="D86" s="526"/>
      <c r="E86" s="526"/>
      <c r="F86" s="526"/>
      <c r="G86" s="526"/>
      <c r="H86" s="526"/>
      <c r="I86" s="526"/>
      <c r="J86" s="526"/>
      <c r="K86" s="526"/>
      <c r="L86" s="526"/>
      <c r="M86" s="526"/>
      <c r="N86" s="526"/>
      <c r="O86" s="526"/>
      <c r="P86" s="526"/>
      <c r="Q86" s="526"/>
      <c r="R86" s="526"/>
      <c r="S86" s="526"/>
      <c r="T86" s="526"/>
      <c r="U86" s="526"/>
      <c r="V86" s="526"/>
      <c r="W86" s="526"/>
      <c r="X86" s="526"/>
      <c r="Y86" s="526"/>
      <c r="Z86" s="526"/>
      <c r="AA86" s="526"/>
      <c r="AB86" s="526"/>
      <c r="AC86" s="526"/>
      <c r="AD86" s="526"/>
      <c r="AE86" s="526"/>
      <c r="AF86" s="526"/>
      <c r="AG86" s="526"/>
      <c r="AH86" s="27"/>
    </row>
    <row r="87" ht="18.75" customHeight="1">
      <c r="A87" s="526"/>
      <c r="B87" s="526"/>
      <c r="C87" s="526"/>
      <c r="D87" s="526"/>
      <c r="E87" s="526"/>
      <c r="F87" s="526"/>
      <c r="G87" s="526"/>
      <c r="H87" s="526"/>
      <c r="I87" s="526"/>
      <c r="J87" s="526"/>
      <c r="K87" s="526"/>
      <c r="L87" s="526"/>
      <c r="M87" s="526"/>
      <c r="N87" s="526"/>
      <c r="O87" s="526"/>
      <c r="P87" s="526"/>
      <c r="Q87" s="526"/>
      <c r="R87" s="526"/>
      <c r="S87" s="526"/>
      <c r="T87" s="526"/>
      <c r="U87" s="526"/>
      <c r="V87" s="526"/>
      <c r="W87" s="526"/>
      <c r="X87" s="526"/>
      <c r="Y87" s="526"/>
      <c r="Z87" s="526"/>
      <c r="AA87" s="526"/>
      <c r="AB87" s="526"/>
      <c r="AC87" s="526"/>
      <c r="AD87" s="526"/>
      <c r="AE87" s="526"/>
      <c r="AF87" s="526"/>
      <c r="AG87" s="526"/>
      <c r="AH87" s="27"/>
    </row>
    <row r="88" ht="18.75" customHeight="1">
      <c r="A88" s="526"/>
      <c r="B88" s="526"/>
      <c r="C88" s="526"/>
      <c r="D88" s="526"/>
      <c r="E88" s="526"/>
      <c r="F88" s="526"/>
      <c r="G88" s="526"/>
      <c r="H88" s="526"/>
      <c r="I88" s="526"/>
      <c r="J88" s="526"/>
      <c r="K88" s="526"/>
      <c r="L88" s="526"/>
      <c r="M88" s="526"/>
      <c r="N88" s="526"/>
      <c r="O88" s="526"/>
      <c r="P88" s="526"/>
      <c r="Q88" s="526"/>
      <c r="R88" s="526"/>
      <c r="S88" s="526"/>
      <c r="T88" s="526"/>
      <c r="U88" s="526"/>
      <c r="V88" s="526"/>
      <c r="W88" s="526"/>
      <c r="X88" s="526"/>
      <c r="Y88" s="526"/>
      <c r="Z88" s="526"/>
      <c r="AA88" s="526"/>
      <c r="AB88" s="526"/>
      <c r="AC88" s="526"/>
      <c r="AD88" s="526"/>
      <c r="AE88" s="526"/>
      <c r="AF88" s="526"/>
      <c r="AG88" s="526"/>
      <c r="AH88" s="27"/>
    </row>
    <row r="89" ht="18.75" customHeight="1">
      <c r="A89" s="526"/>
      <c r="B89" s="526"/>
      <c r="C89" s="526"/>
      <c r="D89" s="526"/>
      <c r="E89" s="526"/>
      <c r="F89" s="526"/>
      <c r="G89" s="526"/>
      <c r="H89" s="526"/>
      <c r="I89" s="526"/>
      <c r="J89" s="526"/>
      <c r="K89" s="526"/>
      <c r="L89" s="526"/>
      <c r="M89" s="526"/>
      <c r="N89" s="526"/>
      <c r="O89" s="526"/>
      <c r="P89" s="526"/>
      <c r="Q89" s="526"/>
      <c r="R89" s="526"/>
      <c r="S89" s="526"/>
      <c r="T89" s="526"/>
      <c r="U89" s="526"/>
      <c r="V89" s="526"/>
      <c r="W89" s="526"/>
      <c r="X89" s="526"/>
      <c r="Y89" s="526"/>
      <c r="Z89" s="526"/>
      <c r="AA89" s="526"/>
      <c r="AB89" s="526"/>
      <c r="AC89" s="526"/>
      <c r="AD89" s="526"/>
      <c r="AE89" s="526"/>
      <c r="AF89" s="526"/>
      <c r="AG89" s="526"/>
      <c r="AH89" s="27"/>
    </row>
    <row r="90" ht="18.75" customHeight="1">
      <c r="A90" s="526"/>
      <c r="B90" s="526"/>
      <c r="C90" s="526"/>
      <c r="D90" s="526"/>
      <c r="E90" s="526"/>
      <c r="F90" s="526"/>
      <c r="G90" s="526"/>
      <c r="H90" s="526"/>
      <c r="I90" s="526"/>
      <c r="J90" s="526"/>
      <c r="K90" s="526"/>
      <c r="L90" s="526"/>
      <c r="M90" s="526"/>
      <c r="N90" s="526"/>
      <c r="O90" s="526"/>
      <c r="P90" s="526"/>
      <c r="Q90" s="526"/>
      <c r="R90" s="526"/>
      <c r="S90" s="526"/>
      <c r="T90" s="526"/>
      <c r="U90" s="526"/>
      <c r="V90" s="526"/>
      <c r="W90" s="526"/>
      <c r="X90" s="526"/>
      <c r="Y90" s="526"/>
      <c r="Z90" s="526"/>
      <c r="AA90" s="526"/>
      <c r="AB90" s="526"/>
      <c r="AC90" s="526"/>
      <c r="AD90" s="526"/>
      <c r="AE90" s="526"/>
      <c r="AF90" s="526"/>
      <c r="AG90" s="526"/>
      <c r="AH90" s="27"/>
    </row>
    <row r="91" ht="18.75" customHeight="1">
      <c r="A91" s="526"/>
      <c r="B91" s="526"/>
      <c r="C91" s="526"/>
      <c r="D91" s="526"/>
      <c r="E91" s="526"/>
      <c r="F91" s="526"/>
      <c r="G91" s="526"/>
      <c r="H91" s="526"/>
      <c r="I91" s="526"/>
      <c r="J91" s="526"/>
      <c r="K91" s="526"/>
      <c r="L91" s="526"/>
      <c r="M91" s="526"/>
      <c r="N91" s="526"/>
      <c r="O91" s="526"/>
      <c r="P91" s="526"/>
      <c r="Q91" s="526"/>
      <c r="R91" s="526"/>
      <c r="S91" s="526"/>
      <c r="T91" s="526"/>
      <c r="U91" s="526"/>
      <c r="V91" s="526"/>
      <c r="W91" s="526"/>
      <c r="X91" s="526"/>
      <c r="Y91" s="526"/>
      <c r="Z91" s="526"/>
      <c r="AA91" s="526"/>
      <c r="AB91" s="526"/>
      <c r="AC91" s="526"/>
      <c r="AD91" s="526"/>
      <c r="AE91" s="526"/>
      <c r="AF91" s="526"/>
      <c r="AG91" s="526"/>
      <c r="AH91" s="27"/>
    </row>
    <row r="92" ht="18.75" customHeight="1">
      <c r="A92" s="526"/>
      <c r="B92" s="526"/>
      <c r="C92" s="526"/>
      <c r="D92" s="526"/>
      <c r="E92" s="526"/>
      <c r="F92" s="526"/>
      <c r="G92" s="526"/>
      <c r="H92" s="526"/>
      <c r="I92" s="526"/>
      <c r="J92" s="526"/>
      <c r="K92" s="526"/>
      <c r="L92" s="526"/>
      <c r="M92" s="526"/>
      <c r="N92" s="526"/>
      <c r="O92" s="526"/>
      <c r="P92" s="526"/>
      <c r="Q92" s="526"/>
      <c r="R92" s="526"/>
      <c r="S92" s="526"/>
      <c r="T92" s="526"/>
      <c r="U92" s="526"/>
      <c r="V92" s="526"/>
      <c r="W92" s="526"/>
      <c r="X92" s="526"/>
      <c r="Y92" s="526"/>
      <c r="Z92" s="526"/>
      <c r="AA92" s="526"/>
      <c r="AB92" s="526"/>
      <c r="AC92" s="526"/>
      <c r="AD92" s="526"/>
      <c r="AE92" s="526"/>
      <c r="AF92" s="526"/>
      <c r="AG92" s="526"/>
      <c r="AH92" s="27"/>
    </row>
    <row r="93" ht="18.75" customHeight="1">
      <c r="A93" s="526"/>
      <c r="B93" s="526"/>
      <c r="C93" s="526"/>
      <c r="D93" s="526"/>
      <c r="E93" s="526"/>
      <c r="F93" s="526"/>
      <c r="G93" s="526"/>
      <c r="H93" s="526"/>
      <c r="I93" s="526"/>
      <c r="J93" s="526"/>
      <c r="K93" s="526"/>
      <c r="L93" s="526"/>
      <c r="M93" s="526"/>
      <c r="N93" s="526"/>
      <c r="O93" s="526"/>
      <c r="P93" s="526"/>
      <c r="Q93" s="526"/>
      <c r="R93" s="526"/>
      <c r="S93" s="526"/>
      <c r="T93" s="526"/>
      <c r="U93" s="526"/>
      <c r="V93" s="526"/>
      <c r="W93" s="526"/>
      <c r="X93" s="526"/>
      <c r="Y93" s="526"/>
      <c r="Z93" s="526"/>
      <c r="AA93" s="526"/>
      <c r="AB93" s="526"/>
      <c r="AC93" s="526"/>
      <c r="AD93" s="526"/>
      <c r="AE93" s="526"/>
      <c r="AF93" s="526"/>
      <c r="AG93" s="526"/>
      <c r="AH93" s="27"/>
    </row>
    <row r="94" ht="18.75" customHeight="1">
      <c r="A94" s="526"/>
      <c r="B94" s="526"/>
      <c r="C94" s="526"/>
      <c r="D94" s="526"/>
      <c r="E94" s="526"/>
      <c r="F94" s="526"/>
      <c r="G94" s="526"/>
      <c r="H94" s="526"/>
      <c r="I94" s="526"/>
      <c r="J94" s="526"/>
      <c r="K94" s="526"/>
      <c r="L94" s="526"/>
      <c r="M94" s="526"/>
      <c r="N94" s="526"/>
      <c r="O94" s="526"/>
      <c r="P94" s="526"/>
      <c r="Q94" s="526"/>
      <c r="R94" s="526"/>
      <c r="S94" s="526"/>
      <c r="T94" s="526"/>
      <c r="U94" s="526"/>
      <c r="V94" s="526"/>
      <c r="W94" s="526"/>
      <c r="X94" s="526"/>
      <c r="Y94" s="526"/>
      <c r="Z94" s="526"/>
      <c r="AA94" s="526"/>
      <c r="AB94" s="526"/>
      <c r="AC94" s="526"/>
      <c r="AD94" s="526"/>
      <c r="AE94" s="526"/>
      <c r="AF94" s="526"/>
      <c r="AG94" s="526"/>
      <c r="AH94" s="27"/>
    </row>
    <row r="95" ht="18.75" customHeight="1">
      <c r="A95" s="526"/>
      <c r="B95" s="526"/>
      <c r="C95" s="526"/>
      <c r="D95" s="526"/>
      <c r="E95" s="526"/>
      <c r="F95" s="526"/>
      <c r="G95" s="526"/>
      <c r="H95" s="526"/>
      <c r="I95" s="526"/>
      <c r="J95" s="526"/>
      <c r="K95" s="526"/>
      <c r="L95" s="526"/>
      <c r="M95" s="526"/>
      <c r="N95" s="526"/>
      <c r="O95" s="526"/>
      <c r="P95" s="526"/>
      <c r="Q95" s="526"/>
      <c r="R95" s="526"/>
      <c r="S95" s="526"/>
      <c r="T95" s="526"/>
      <c r="U95" s="526"/>
      <c r="V95" s="526"/>
      <c r="W95" s="526"/>
      <c r="X95" s="526"/>
      <c r="Y95" s="526"/>
      <c r="Z95" s="526"/>
      <c r="AA95" s="526"/>
      <c r="AB95" s="526"/>
      <c r="AC95" s="526"/>
      <c r="AD95" s="526"/>
      <c r="AE95" s="526"/>
      <c r="AF95" s="526"/>
      <c r="AG95" s="526"/>
      <c r="AH95" s="27"/>
    </row>
    <row r="96" ht="18.75" customHeight="1">
      <c r="A96" s="526"/>
      <c r="B96" s="526"/>
      <c r="C96" s="526"/>
      <c r="D96" s="526"/>
      <c r="E96" s="526"/>
      <c r="F96" s="526"/>
      <c r="G96" s="526"/>
      <c r="H96" s="526"/>
      <c r="I96" s="526"/>
      <c r="J96" s="526"/>
      <c r="K96" s="526"/>
      <c r="L96" s="526"/>
      <c r="M96" s="526"/>
      <c r="N96" s="526"/>
      <c r="O96" s="526"/>
      <c r="P96" s="526"/>
      <c r="Q96" s="526"/>
      <c r="R96" s="526"/>
      <c r="S96" s="526"/>
      <c r="T96" s="526"/>
      <c r="U96" s="526"/>
      <c r="V96" s="526"/>
      <c r="W96" s="526"/>
      <c r="X96" s="526"/>
      <c r="Y96" s="526"/>
      <c r="Z96" s="526"/>
      <c r="AA96" s="526"/>
      <c r="AB96" s="526"/>
      <c r="AC96" s="526"/>
      <c r="AD96" s="526"/>
      <c r="AE96" s="526"/>
      <c r="AF96" s="526"/>
      <c r="AG96" s="526"/>
      <c r="AH96" s="27"/>
    </row>
    <row r="97" ht="18.75" customHeight="1">
      <c r="A97" s="526"/>
      <c r="B97" s="526"/>
      <c r="C97" s="526"/>
      <c r="D97" s="526"/>
      <c r="E97" s="526"/>
      <c r="F97" s="526"/>
      <c r="G97" s="526"/>
      <c r="H97" s="526"/>
      <c r="I97" s="526"/>
      <c r="J97" s="526"/>
      <c r="K97" s="526"/>
      <c r="L97" s="526"/>
      <c r="M97" s="526"/>
      <c r="N97" s="526"/>
      <c r="O97" s="526"/>
      <c r="P97" s="526"/>
      <c r="Q97" s="526"/>
      <c r="R97" s="526"/>
      <c r="S97" s="526"/>
      <c r="T97" s="526"/>
      <c r="U97" s="526"/>
      <c r="V97" s="526"/>
      <c r="W97" s="526"/>
      <c r="X97" s="526"/>
      <c r="Y97" s="526"/>
      <c r="Z97" s="526"/>
      <c r="AA97" s="526"/>
      <c r="AB97" s="526"/>
      <c r="AC97" s="526"/>
      <c r="AD97" s="526"/>
      <c r="AE97" s="526"/>
      <c r="AF97" s="526"/>
      <c r="AG97" s="526"/>
      <c r="AH97" s="27"/>
    </row>
    <row r="98" ht="18.75" customHeight="1">
      <c r="A98" s="526"/>
      <c r="B98" s="526"/>
      <c r="C98" s="526"/>
      <c r="D98" s="526"/>
      <c r="E98" s="526"/>
      <c r="F98" s="526"/>
      <c r="G98" s="526"/>
      <c r="H98" s="526"/>
      <c r="I98" s="526"/>
      <c r="J98" s="526"/>
      <c r="K98" s="526"/>
      <c r="L98" s="526"/>
      <c r="M98" s="526"/>
      <c r="N98" s="526"/>
      <c r="O98" s="526"/>
      <c r="P98" s="526"/>
      <c r="Q98" s="526"/>
      <c r="R98" s="526"/>
      <c r="S98" s="526"/>
      <c r="T98" s="526"/>
      <c r="U98" s="526"/>
      <c r="V98" s="526"/>
      <c r="W98" s="526"/>
      <c r="X98" s="526"/>
      <c r="Y98" s="526"/>
      <c r="Z98" s="526"/>
      <c r="AA98" s="526"/>
      <c r="AB98" s="526"/>
      <c r="AC98" s="526"/>
      <c r="AD98" s="526"/>
      <c r="AE98" s="526"/>
      <c r="AF98" s="526"/>
      <c r="AG98" s="526"/>
      <c r="AH98" s="27"/>
    </row>
    <row r="99" ht="18.75" customHeight="1">
      <c r="A99" s="526"/>
      <c r="B99" s="526"/>
      <c r="C99" s="526"/>
      <c r="D99" s="526"/>
      <c r="E99" s="526"/>
      <c r="F99" s="526"/>
      <c r="G99" s="526"/>
      <c r="H99" s="526"/>
      <c r="I99" s="526"/>
      <c r="J99" s="526"/>
      <c r="K99" s="526"/>
      <c r="L99" s="526"/>
      <c r="M99" s="526"/>
      <c r="N99" s="526"/>
      <c r="O99" s="526"/>
      <c r="P99" s="526"/>
      <c r="Q99" s="526"/>
      <c r="R99" s="526"/>
      <c r="S99" s="526"/>
      <c r="T99" s="526"/>
      <c r="U99" s="526"/>
      <c r="V99" s="526"/>
      <c r="W99" s="526"/>
      <c r="X99" s="526"/>
      <c r="Y99" s="526"/>
      <c r="Z99" s="526"/>
      <c r="AA99" s="526"/>
      <c r="AB99" s="526"/>
      <c r="AC99" s="526"/>
      <c r="AD99" s="526"/>
      <c r="AE99" s="526"/>
      <c r="AF99" s="526"/>
      <c r="AG99" s="526"/>
      <c r="AH99" s="27"/>
    </row>
    <row r="100" ht="18.75" customHeight="1">
      <c r="A100" s="526"/>
      <c r="B100" s="526"/>
      <c r="C100" s="526"/>
      <c r="D100" s="526"/>
      <c r="E100" s="526"/>
      <c r="F100" s="526"/>
      <c r="G100" s="526"/>
      <c r="H100" s="526"/>
      <c r="I100" s="526"/>
      <c r="J100" s="526"/>
      <c r="K100" s="526"/>
      <c r="L100" s="526"/>
      <c r="M100" s="526"/>
      <c r="N100" s="526"/>
      <c r="O100" s="526"/>
      <c r="P100" s="526"/>
      <c r="Q100" s="526"/>
      <c r="R100" s="526"/>
      <c r="S100" s="526"/>
      <c r="T100" s="526"/>
      <c r="U100" s="526"/>
      <c r="V100" s="526"/>
      <c r="W100" s="526"/>
      <c r="X100" s="526"/>
      <c r="Y100" s="526"/>
      <c r="Z100" s="526"/>
      <c r="AA100" s="526"/>
      <c r="AB100" s="526"/>
      <c r="AC100" s="526"/>
      <c r="AD100" s="526"/>
      <c r="AE100" s="526"/>
      <c r="AF100" s="526"/>
      <c r="AG100" s="526"/>
      <c r="AH100" s="27"/>
    </row>
    <row r="101" ht="18.75" customHeight="1">
      <c r="A101" s="526"/>
      <c r="B101" s="526"/>
      <c r="C101" s="526"/>
      <c r="D101" s="526"/>
      <c r="E101" s="526"/>
      <c r="F101" s="526"/>
      <c r="G101" s="526"/>
      <c r="H101" s="526"/>
      <c r="I101" s="526"/>
      <c r="J101" s="526"/>
      <c r="K101" s="526"/>
      <c r="L101" s="526"/>
      <c r="M101" s="526"/>
      <c r="N101" s="526"/>
      <c r="O101" s="526"/>
      <c r="P101" s="526"/>
      <c r="Q101" s="526"/>
      <c r="R101" s="526"/>
      <c r="S101" s="526"/>
      <c r="T101" s="526"/>
      <c r="U101" s="526"/>
      <c r="V101" s="526"/>
      <c r="W101" s="526"/>
      <c r="X101" s="526"/>
      <c r="Y101" s="526"/>
      <c r="Z101" s="526"/>
      <c r="AA101" s="526"/>
      <c r="AB101" s="526"/>
      <c r="AC101" s="526"/>
      <c r="AD101" s="526"/>
      <c r="AE101" s="526"/>
      <c r="AF101" s="526"/>
      <c r="AG101" s="526"/>
      <c r="AH101" s="27"/>
    </row>
    <row r="102" ht="18.75" customHeight="1">
      <c r="A102" s="526"/>
      <c r="B102" s="526"/>
      <c r="C102" s="526"/>
      <c r="D102" s="526"/>
      <c r="E102" s="526"/>
      <c r="F102" s="526"/>
      <c r="G102" s="526"/>
      <c r="H102" s="526"/>
      <c r="I102" s="526"/>
      <c r="J102" s="526"/>
      <c r="K102" s="526"/>
      <c r="L102" s="526"/>
      <c r="M102" s="526"/>
      <c r="N102" s="526"/>
      <c r="O102" s="526"/>
      <c r="P102" s="526"/>
      <c r="Q102" s="526"/>
      <c r="R102" s="526"/>
      <c r="S102" s="526"/>
      <c r="T102" s="526"/>
      <c r="U102" s="526"/>
      <c r="V102" s="526"/>
      <c r="W102" s="526"/>
      <c r="X102" s="526"/>
      <c r="Y102" s="526"/>
      <c r="Z102" s="526"/>
      <c r="AA102" s="526"/>
      <c r="AB102" s="526"/>
      <c r="AC102" s="526"/>
      <c r="AD102" s="526"/>
      <c r="AE102" s="526"/>
      <c r="AF102" s="526"/>
      <c r="AG102" s="526"/>
      <c r="AH102" s="27"/>
    </row>
    <row r="103" ht="18.75" customHeight="1">
      <c r="A103" s="526"/>
      <c r="B103" s="526"/>
      <c r="C103" s="526"/>
      <c r="D103" s="526"/>
      <c r="E103" s="526"/>
      <c r="F103" s="526"/>
      <c r="G103" s="526"/>
      <c r="H103" s="526"/>
      <c r="I103" s="526"/>
      <c r="J103" s="526"/>
      <c r="K103" s="526"/>
      <c r="L103" s="526"/>
      <c r="M103" s="526"/>
      <c r="N103" s="526"/>
      <c r="O103" s="526"/>
      <c r="P103" s="526"/>
      <c r="Q103" s="526"/>
      <c r="R103" s="526"/>
      <c r="S103" s="526"/>
      <c r="T103" s="526"/>
      <c r="U103" s="526"/>
      <c r="V103" s="526"/>
      <c r="W103" s="526"/>
      <c r="X103" s="526"/>
      <c r="Y103" s="526"/>
      <c r="Z103" s="526"/>
      <c r="AA103" s="526"/>
      <c r="AB103" s="526"/>
      <c r="AC103" s="526"/>
      <c r="AD103" s="526"/>
      <c r="AE103" s="526"/>
      <c r="AF103" s="526"/>
      <c r="AG103" s="526"/>
      <c r="AH103" s="27"/>
    </row>
    <row r="104" ht="18.75" customHeight="1">
      <c r="A104" s="526"/>
      <c r="B104" s="526"/>
      <c r="C104" s="526"/>
      <c r="D104" s="526"/>
      <c r="E104" s="526"/>
      <c r="F104" s="526"/>
      <c r="G104" s="526"/>
      <c r="H104" s="526"/>
      <c r="I104" s="526"/>
      <c r="J104" s="526"/>
      <c r="K104" s="526"/>
      <c r="L104" s="526"/>
      <c r="M104" s="526"/>
      <c r="N104" s="526"/>
      <c r="O104" s="526"/>
      <c r="P104" s="526"/>
      <c r="Q104" s="526"/>
      <c r="R104" s="526"/>
      <c r="S104" s="526"/>
      <c r="T104" s="526"/>
      <c r="U104" s="526"/>
      <c r="V104" s="526"/>
      <c r="W104" s="526"/>
      <c r="X104" s="526"/>
      <c r="Y104" s="526"/>
      <c r="Z104" s="526"/>
      <c r="AA104" s="526"/>
      <c r="AB104" s="526"/>
      <c r="AC104" s="526"/>
      <c r="AD104" s="526"/>
      <c r="AE104" s="526"/>
      <c r="AF104" s="526"/>
      <c r="AG104" s="526"/>
      <c r="AH104" s="27"/>
    </row>
    <row r="105" ht="18.75" customHeight="1">
      <c r="A105" s="526"/>
      <c r="B105" s="526"/>
      <c r="C105" s="526"/>
      <c r="D105" s="526"/>
      <c r="E105" s="526"/>
      <c r="F105" s="526"/>
      <c r="G105" s="526"/>
      <c r="H105" s="526"/>
      <c r="I105" s="526"/>
      <c r="J105" s="526"/>
      <c r="K105" s="526"/>
      <c r="L105" s="526"/>
      <c r="M105" s="526"/>
      <c r="N105" s="526"/>
      <c r="O105" s="526"/>
      <c r="P105" s="526"/>
      <c r="Q105" s="526"/>
      <c r="R105" s="526"/>
      <c r="S105" s="526"/>
      <c r="T105" s="526"/>
      <c r="U105" s="526"/>
      <c r="V105" s="526"/>
      <c r="W105" s="526"/>
      <c r="X105" s="526"/>
      <c r="Y105" s="526"/>
      <c r="Z105" s="526"/>
      <c r="AA105" s="526"/>
      <c r="AB105" s="526"/>
      <c r="AC105" s="526"/>
      <c r="AD105" s="526"/>
      <c r="AE105" s="526"/>
      <c r="AF105" s="526"/>
      <c r="AG105" s="526"/>
      <c r="AH105" s="27"/>
    </row>
    <row r="106" ht="18.75" customHeight="1">
      <c r="A106" s="526"/>
      <c r="B106" s="526"/>
      <c r="C106" s="526"/>
      <c r="D106" s="526"/>
      <c r="E106" s="526"/>
      <c r="F106" s="526"/>
      <c r="G106" s="526"/>
      <c r="H106" s="526"/>
      <c r="I106" s="526"/>
      <c r="J106" s="526"/>
      <c r="K106" s="526"/>
      <c r="L106" s="526"/>
      <c r="M106" s="526"/>
      <c r="N106" s="526"/>
      <c r="O106" s="526"/>
      <c r="P106" s="526"/>
      <c r="Q106" s="526"/>
      <c r="R106" s="526"/>
      <c r="S106" s="526"/>
      <c r="T106" s="526"/>
      <c r="U106" s="526"/>
      <c r="V106" s="526"/>
      <c r="W106" s="526"/>
      <c r="X106" s="526"/>
      <c r="Y106" s="526"/>
      <c r="Z106" s="526"/>
      <c r="AA106" s="526"/>
      <c r="AB106" s="526"/>
      <c r="AC106" s="526"/>
      <c r="AD106" s="526"/>
      <c r="AE106" s="526"/>
      <c r="AF106" s="526"/>
      <c r="AG106" s="526"/>
      <c r="AH106" s="27"/>
    </row>
    <row r="107" ht="18.75" customHeight="1">
      <c r="A107" s="526"/>
      <c r="B107" s="526"/>
      <c r="C107" s="526"/>
      <c r="D107" s="526"/>
      <c r="E107" s="526"/>
      <c r="F107" s="526"/>
      <c r="G107" s="526"/>
      <c r="H107" s="526"/>
      <c r="I107" s="526"/>
      <c r="J107" s="526"/>
      <c r="K107" s="526"/>
      <c r="L107" s="526"/>
      <c r="M107" s="526"/>
      <c r="N107" s="526"/>
      <c r="O107" s="526"/>
      <c r="P107" s="526"/>
      <c r="Q107" s="526"/>
      <c r="R107" s="526"/>
      <c r="S107" s="526"/>
      <c r="T107" s="526"/>
      <c r="U107" s="526"/>
      <c r="V107" s="526"/>
      <c r="W107" s="526"/>
      <c r="X107" s="526"/>
      <c r="Y107" s="526"/>
      <c r="Z107" s="526"/>
      <c r="AA107" s="526"/>
      <c r="AB107" s="526"/>
      <c r="AC107" s="526"/>
      <c r="AD107" s="526"/>
      <c r="AE107" s="526"/>
      <c r="AF107" s="526"/>
      <c r="AG107" s="526"/>
      <c r="AH107" s="27"/>
    </row>
    <row r="108" ht="18.75" customHeight="1">
      <c r="A108" s="526"/>
      <c r="B108" s="526"/>
      <c r="C108" s="526"/>
      <c r="D108" s="526"/>
      <c r="E108" s="526"/>
      <c r="F108" s="526"/>
      <c r="G108" s="526"/>
      <c r="H108" s="526"/>
      <c r="I108" s="526"/>
      <c r="J108" s="526"/>
      <c r="K108" s="526"/>
      <c r="L108" s="526"/>
      <c r="M108" s="526"/>
      <c r="N108" s="526"/>
      <c r="O108" s="526"/>
      <c r="P108" s="526"/>
      <c r="Q108" s="526"/>
      <c r="R108" s="526"/>
      <c r="S108" s="526"/>
      <c r="T108" s="526"/>
      <c r="U108" s="526"/>
      <c r="V108" s="526"/>
      <c r="W108" s="526"/>
      <c r="X108" s="526"/>
      <c r="Y108" s="526"/>
      <c r="Z108" s="526"/>
      <c r="AA108" s="526"/>
      <c r="AB108" s="526"/>
      <c r="AC108" s="526"/>
      <c r="AD108" s="526"/>
      <c r="AE108" s="526"/>
      <c r="AF108" s="526"/>
      <c r="AG108" s="526"/>
      <c r="AH108" s="27"/>
    </row>
    <row r="109" ht="18.75" customHeight="1">
      <c r="A109" s="526"/>
      <c r="B109" s="526"/>
      <c r="C109" s="526"/>
      <c r="D109" s="526"/>
      <c r="E109" s="526"/>
      <c r="F109" s="526"/>
      <c r="G109" s="526"/>
      <c r="H109" s="526"/>
      <c r="I109" s="526"/>
      <c r="J109" s="526"/>
      <c r="K109" s="526"/>
      <c r="L109" s="526"/>
      <c r="M109" s="526"/>
      <c r="N109" s="526"/>
      <c r="O109" s="526"/>
      <c r="P109" s="526"/>
      <c r="Q109" s="526"/>
      <c r="R109" s="526"/>
      <c r="S109" s="526"/>
      <c r="T109" s="526"/>
      <c r="U109" s="526"/>
      <c r="V109" s="526"/>
      <c r="W109" s="526"/>
      <c r="X109" s="526"/>
      <c r="Y109" s="526"/>
      <c r="Z109" s="526"/>
      <c r="AA109" s="526"/>
      <c r="AB109" s="526"/>
      <c r="AC109" s="526"/>
      <c r="AD109" s="526"/>
      <c r="AE109" s="526"/>
      <c r="AF109" s="526"/>
      <c r="AG109" s="526"/>
      <c r="AH109" s="27"/>
    </row>
    <row r="110" ht="18.75" customHeight="1">
      <c r="A110" s="526"/>
      <c r="B110" s="526"/>
      <c r="C110" s="526"/>
      <c r="D110" s="526"/>
      <c r="E110" s="526"/>
      <c r="F110" s="526"/>
      <c r="G110" s="526"/>
      <c r="H110" s="526"/>
      <c r="I110" s="526"/>
      <c r="J110" s="526"/>
      <c r="K110" s="526"/>
      <c r="L110" s="526"/>
      <c r="M110" s="526"/>
      <c r="N110" s="526"/>
      <c r="O110" s="526"/>
      <c r="P110" s="526"/>
      <c r="Q110" s="526"/>
      <c r="R110" s="526"/>
      <c r="S110" s="526"/>
      <c r="T110" s="526"/>
      <c r="U110" s="526"/>
      <c r="V110" s="526"/>
      <c r="W110" s="526"/>
      <c r="X110" s="526"/>
      <c r="Y110" s="526"/>
      <c r="Z110" s="526"/>
      <c r="AA110" s="526"/>
      <c r="AB110" s="526"/>
      <c r="AC110" s="526"/>
      <c r="AD110" s="526"/>
      <c r="AE110" s="526"/>
      <c r="AF110" s="526"/>
      <c r="AG110" s="526"/>
      <c r="AH110" s="27"/>
    </row>
    <row r="111" ht="18.75" customHeight="1">
      <c r="A111" s="526"/>
      <c r="B111" s="526"/>
      <c r="C111" s="526"/>
      <c r="D111" s="526"/>
      <c r="E111" s="526"/>
      <c r="F111" s="526"/>
      <c r="G111" s="526"/>
      <c r="H111" s="526"/>
      <c r="I111" s="526"/>
      <c r="J111" s="526"/>
      <c r="K111" s="526"/>
      <c r="L111" s="526"/>
      <c r="M111" s="526"/>
      <c r="N111" s="526"/>
      <c r="O111" s="526"/>
      <c r="P111" s="526"/>
      <c r="Q111" s="526"/>
      <c r="R111" s="526"/>
      <c r="S111" s="526"/>
      <c r="T111" s="526"/>
      <c r="U111" s="526"/>
      <c r="V111" s="526"/>
      <c r="W111" s="526"/>
      <c r="X111" s="526"/>
      <c r="Y111" s="526"/>
      <c r="Z111" s="526"/>
      <c r="AA111" s="526"/>
      <c r="AB111" s="526"/>
      <c r="AC111" s="526"/>
      <c r="AD111" s="526"/>
      <c r="AE111" s="526"/>
      <c r="AF111" s="526"/>
      <c r="AG111" s="526"/>
      <c r="AH111" s="27"/>
    </row>
    <row r="112" ht="18.75" customHeight="1">
      <c r="A112" s="526"/>
      <c r="B112" s="526"/>
      <c r="C112" s="526"/>
      <c r="D112" s="526"/>
      <c r="E112" s="526"/>
      <c r="F112" s="526"/>
      <c r="G112" s="526"/>
      <c r="H112" s="526"/>
      <c r="I112" s="526"/>
      <c r="J112" s="526"/>
      <c r="K112" s="526"/>
      <c r="L112" s="526"/>
      <c r="M112" s="526"/>
      <c r="N112" s="526"/>
      <c r="O112" s="526"/>
      <c r="P112" s="526"/>
      <c r="Q112" s="526"/>
      <c r="R112" s="526"/>
      <c r="S112" s="526"/>
      <c r="T112" s="526"/>
      <c r="U112" s="526"/>
      <c r="V112" s="526"/>
      <c r="W112" s="526"/>
      <c r="X112" s="526"/>
      <c r="Y112" s="526"/>
      <c r="Z112" s="526"/>
      <c r="AA112" s="526"/>
      <c r="AB112" s="526"/>
      <c r="AC112" s="526"/>
      <c r="AD112" s="526"/>
      <c r="AE112" s="526"/>
      <c r="AF112" s="526"/>
      <c r="AG112" s="526"/>
      <c r="AH112" s="27"/>
    </row>
    <row r="113" ht="18.75" customHeight="1">
      <c r="A113" s="526"/>
      <c r="B113" s="526"/>
      <c r="C113" s="526"/>
      <c r="D113" s="526"/>
      <c r="E113" s="526"/>
      <c r="F113" s="526"/>
      <c r="G113" s="526"/>
      <c r="H113" s="526"/>
      <c r="I113" s="526"/>
      <c r="J113" s="526"/>
      <c r="K113" s="526"/>
      <c r="L113" s="526"/>
      <c r="M113" s="526"/>
      <c r="N113" s="526"/>
      <c r="O113" s="526"/>
      <c r="P113" s="526"/>
      <c r="Q113" s="526"/>
      <c r="R113" s="526"/>
      <c r="S113" s="526"/>
      <c r="T113" s="526"/>
      <c r="U113" s="526"/>
      <c r="V113" s="526"/>
      <c r="W113" s="526"/>
      <c r="X113" s="526"/>
      <c r="Y113" s="526"/>
      <c r="Z113" s="526"/>
      <c r="AA113" s="526"/>
      <c r="AB113" s="526"/>
      <c r="AC113" s="526"/>
      <c r="AD113" s="526"/>
      <c r="AE113" s="526"/>
      <c r="AF113" s="526"/>
      <c r="AG113" s="526"/>
      <c r="AH113" s="27"/>
    </row>
    <row r="114" ht="18.75" customHeight="1">
      <c r="A114" s="526"/>
      <c r="B114" s="526"/>
      <c r="C114" s="526"/>
      <c r="D114" s="526"/>
      <c r="E114" s="526"/>
      <c r="F114" s="526"/>
      <c r="G114" s="526"/>
      <c r="H114" s="526"/>
      <c r="I114" s="526"/>
      <c r="J114" s="526"/>
      <c r="K114" s="526"/>
      <c r="L114" s="526"/>
      <c r="M114" s="526"/>
      <c r="N114" s="526"/>
      <c r="O114" s="526"/>
      <c r="P114" s="526"/>
      <c r="Q114" s="526"/>
      <c r="R114" s="526"/>
      <c r="S114" s="526"/>
      <c r="T114" s="526"/>
      <c r="U114" s="526"/>
      <c r="V114" s="526"/>
      <c r="W114" s="526"/>
      <c r="X114" s="526"/>
      <c r="Y114" s="526"/>
      <c r="Z114" s="526"/>
      <c r="AA114" s="526"/>
      <c r="AB114" s="526"/>
      <c r="AC114" s="526"/>
      <c r="AD114" s="526"/>
      <c r="AE114" s="526"/>
      <c r="AF114" s="526"/>
      <c r="AG114" s="526"/>
      <c r="AH114" s="27"/>
    </row>
    <row r="115" ht="18.75" customHeight="1">
      <c r="A115" s="526"/>
      <c r="B115" s="526"/>
      <c r="C115" s="526"/>
      <c r="D115" s="526"/>
      <c r="E115" s="526"/>
      <c r="F115" s="526"/>
      <c r="G115" s="526"/>
      <c r="H115" s="526"/>
      <c r="I115" s="526"/>
      <c r="J115" s="526"/>
      <c r="K115" s="526"/>
      <c r="L115" s="526"/>
      <c r="M115" s="526"/>
      <c r="N115" s="526"/>
      <c r="O115" s="526"/>
      <c r="P115" s="526"/>
      <c r="Q115" s="526"/>
      <c r="R115" s="526"/>
      <c r="S115" s="526"/>
      <c r="T115" s="526"/>
      <c r="U115" s="526"/>
      <c r="V115" s="526"/>
      <c r="W115" s="526"/>
      <c r="X115" s="526"/>
      <c r="Y115" s="526"/>
      <c r="Z115" s="526"/>
      <c r="AA115" s="526"/>
      <c r="AB115" s="526"/>
      <c r="AC115" s="526"/>
      <c r="AD115" s="526"/>
      <c r="AE115" s="526"/>
      <c r="AF115" s="526"/>
      <c r="AG115" s="526"/>
      <c r="AH115" s="27"/>
    </row>
    <row r="116" ht="18.75" customHeight="1">
      <c r="A116" s="526"/>
      <c r="B116" s="526"/>
      <c r="C116" s="526"/>
      <c r="D116" s="526"/>
      <c r="E116" s="526"/>
      <c r="F116" s="526"/>
      <c r="G116" s="526"/>
      <c r="H116" s="526"/>
      <c r="I116" s="526"/>
      <c r="J116" s="526"/>
      <c r="K116" s="526"/>
      <c r="L116" s="526"/>
      <c r="M116" s="526"/>
      <c r="N116" s="526"/>
      <c r="O116" s="526"/>
      <c r="P116" s="526"/>
      <c r="Q116" s="526"/>
      <c r="R116" s="526"/>
      <c r="S116" s="526"/>
      <c r="T116" s="526"/>
      <c r="U116" s="526"/>
      <c r="V116" s="526"/>
      <c r="W116" s="526"/>
      <c r="X116" s="526"/>
      <c r="Y116" s="526"/>
      <c r="Z116" s="526"/>
      <c r="AA116" s="526"/>
      <c r="AB116" s="526"/>
      <c r="AC116" s="526"/>
      <c r="AD116" s="526"/>
      <c r="AE116" s="526"/>
      <c r="AF116" s="526"/>
      <c r="AG116" s="526"/>
      <c r="AH116" s="27"/>
    </row>
    <row r="117" ht="18.75" customHeight="1">
      <c r="A117" s="526"/>
      <c r="B117" s="526"/>
      <c r="C117" s="526"/>
      <c r="D117" s="526"/>
      <c r="E117" s="526"/>
      <c r="F117" s="526"/>
      <c r="G117" s="526"/>
      <c r="H117" s="526"/>
      <c r="I117" s="526"/>
      <c r="J117" s="526"/>
      <c r="K117" s="526"/>
      <c r="L117" s="526"/>
      <c r="M117" s="526"/>
      <c r="N117" s="526"/>
      <c r="O117" s="526"/>
      <c r="P117" s="526"/>
      <c r="Q117" s="526"/>
      <c r="R117" s="526"/>
      <c r="S117" s="526"/>
      <c r="T117" s="526"/>
      <c r="U117" s="526"/>
      <c r="V117" s="526"/>
      <c r="W117" s="526"/>
      <c r="X117" s="526"/>
      <c r="Y117" s="526"/>
      <c r="Z117" s="526"/>
      <c r="AA117" s="526"/>
      <c r="AB117" s="526"/>
      <c r="AC117" s="526"/>
      <c r="AD117" s="526"/>
      <c r="AE117" s="526"/>
      <c r="AF117" s="526"/>
      <c r="AG117" s="526"/>
      <c r="AH117" s="27"/>
    </row>
    <row r="118" ht="18.75" customHeight="1">
      <c r="A118" s="526"/>
      <c r="B118" s="526"/>
      <c r="C118" s="526"/>
      <c r="D118" s="526"/>
      <c r="E118" s="526"/>
      <c r="F118" s="526"/>
      <c r="G118" s="526"/>
      <c r="H118" s="526"/>
      <c r="I118" s="526"/>
      <c r="J118" s="526"/>
      <c r="K118" s="526"/>
      <c r="L118" s="526"/>
      <c r="M118" s="526"/>
      <c r="N118" s="526"/>
      <c r="O118" s="526"/>
      <c r="P118" s="526"/>
      <c r="Q118" s="526"/>
      <c r="R118" s="526"/>
      <c r="S118" s="526"/>
      <c r="T118" s="526"/>
      <c r="U118" s="526"/>
      <c r="V118" s="526"/>
      <c r="W118" s="526"/>
      <c r="X118" s="526"/>
      <c r="Y118" s="526"/>
      <c r="Z118" s="526"/>
      <c r="AA118" s="526"/>
      <c r="AB118" s="526"/>
      <c r="AC118" s="526"/>
      <c r="AD118" s="526"/>
      <c r="AE118" s="526"/>
      <c r="AF118" s="526"/>
      <c r="AG118" s="526"/>
      <c r="AH118" s="27"/>
    </row>
    <row r="119" ht="18.75" customHeight="1">
      <c r="A119" s="526"/>
      <c r="B119" s="526"/>
      <c r="C119" s="526"/>
      <c r="D119" s="526"/>
      <c r="E119" s="526"/>
      <c r="F119" s="526"/>
      <c r="G119" s="526"/>
      <c r="H119" s="526"/>
      <c r="I119" s="526"/>
      <c r="J119" s="526"/>
      <c r="K119" s="526"/>
      <c r="L119" s="526"/>
      <c r="M119" s="526"/>
      <c r="N119" s="526"/>
      <c r="O119" s="526"/>
      <c r="P119" s="526"/>
      <c r="Q119" s="526"/>
      <c r="R119" s="526"/>
      <c r="S119" s="526"/>
      <c r="T119" s="526"/>
      <c r="U119" s="526"/>
      <c r="V119" s="526"/>
      <c r="W119" s="526"/>
      <c r="X119" s="526"/>
      <c r="Y119" s="526"/>
      <c r="Z119" s="526"/>
      <c r="AA119" s="526"/>
      <c r="AB119" s="526"/>
      <c r="AC119" s="526"/>
      <c r="AD119" s="526"/>
      <c r="AE119" s="526"/>
      <c r="AF119" s="526"/>
      <c r="AG119" s="526"/>
      <c r="AH119" s="27"/>
    </row>
    <row r="120" ht="18.75" customHeight="1">
      <c r="A120" s="526"/>
      <c r="B120" s="526"/>
      <c r="C120" s="526"/>
      <c r="D120" s="526"/>
      <c r="E120" s="526"/>
      <c r="F120" s="526"/>
      <c r="G120" s="526"/>
      <c r="H120" s="526"/>
      <c r="I120" s="526"/>
      <c r="J120" s="526"/>
      <c r="K120" s="526"/>
      <c r="L120" s="526"/>
      <c r="M120" s="526"/>
      <c r="N120" s="526"/>
      <c r="O120" s="526"/>
      <c r="P120" s="526"/>
      <c r="Q120" s="526"/>
      <c r="R120" s="526"/>
      <c r="S120" s="526"/>
      <c r="T120" s="526"/>
      <c r="U120" s="526"/>
      <c r="V120" s="526"/>
      <c r="W120" s="526"/>
      <c r="X120" s="526"/>
      <c r="Y120" s="526"/>
      <c r="Z120" s="526"/>
      <c r="AA120" s="526"/>
      <c r="AB120" s="526"/>
      <c r="AC120" s="526"/>
      <c r="AD120" s="526"/>
      <c r="AE120" s="526"/>
      <c r="AF120" s="526"/>
      <c r="AG120" s="526"/>
      <c r="AH120" s="27"/>
    </row>
    <row r="121" ht="18.75" customHeight="1">
      <c r="A121" s="526"/>
      <c r="B121" s="526"/>
      <c r="C121" s="526"/>
      <c r="D121" s="526"/>
      <c r="E121" s="526"/>
      <c r="F121" s="526"/>
      <c r="G121" s="526"/>
      <c r="H121" s="526"/>
      <c r="I121" s="526"/>
      <c r="J121" s="526"/>
      <c r="K121" s="526"/>
      <c r="L121" s="526"/>
      <c r="M121" s="526"/>
      <c r="N121" s="526"/>
      <c r="O121" s="526"/>
      <c r="P121" s="526"/>
      <c r="Q121" s="526"/>
      <c r="R121" s="526"/>
      <c r="S121" s="526"/>
      <c r="T121" s="526"/>
      <c r="U121" s="526"/>
      <c r="V121" s="526"/>
      <c r="W121" s="526"/>
      <c r="X121" s="526"/>
      <c r="Y121" s="526"/>
      <c r="Z121" s="526"/>
      <c r="AA121" s="526"/>
      <c r="AB121" s="526"/>
      <c r="AC121" s="526"/>
      <c r="AD121" s="526"/>
      <c r="AE121" s="526"/>
      <c r="AF121" s="526"/>
      <c r="AG121" s="526"/>
      <c r="AH121" s="27"/>
    </row>
    <row r="122" ht="18.75" customHeight="1">
      <c r="A122" s="526"/>
      <c r="B122" s="526"/>
      <c r="C122" s="526"/>
      <c r="D122" s="526"/>
      <c r="E122" s="526"/>
      <c r="F122" s="526"/>
      <c r="G122" s="526"/>
      <c r="H122" s="526"/>
      <c r="I122" s="526"/>
      <c r="J122" s="526"/>
      <c r="K122" s="526"/>
      <c r="L122" s="526"/>
      <c r="M122" s="526"/>
      <c r="N122" s="526"/>
      <c r="O122" s="526"/>
      <c r="P122" s="526"/>
      <c r="Q122" s="526"/>
      <c r="R122" s="526"/>
      <c r="S122" s="526"/>
      <c r="T122" s="526"/>
      <c r="U122" s="526"/>
      <c r="V122" s="526"/>
      <c r="W122" s="526"/>
      <c r="X122" s="526"/>
      <c r="Y122" s="526"/>
      <c r="Z122" s="526"/>
      <c r="AA122" s="526"/>
      <c r="AB122" s="526"/>
      <c r="AC122" s="526"/>
      <c r="AD122" s="526"/>
      <c r="AE122" s="526"/>
      <c r="AF122" s="526"/>
      <c r="AG122" s="526"/>
      <c r="AH122" s="27"/>
    </row>
    <row r="123" ht="18.75" customHeight="1">
      <c r="A123" s="526"/>
      <c r="B123" s="526"/>
      <c r="C123" s="526"/>
      <c r="D123" s="526"/>
      <c r="E123" s="526"/>
      <c r="F123" s="526"/>
      <c r="G123" s="526"/>
      <c r="H123" s="526"/>
      <c r="I123" s="526"/>
      <c r="J123" s="526"/>
      <c r="K123" s="526"/>
      <c r="L123" s="526"/>
      <c r="M123" s="526"/>
      <c r="N123" s="526"/>
      <c r="O123" s="526"/>
      <c r="P123" s="526"/>
      <c r="Q123" s="526"/>
      <c r="R123" s="526"/>
      <c r="S123" s="526"/>
      <c r="T123" s="526"/>
      <c r="U123" s="526"/>
      <c r="V123" s="526"/>
      <c r="W123" s="526"/>
      <c r="X123" s="526"/>
      <c r="Y123" s="526"/>
      <c r="Z123" s="526"/>
      <c r="AA123" s="526"/>
      <c r="AB123" s="526"/>
      <c r="AC123" s="526"/>
      <c r="AD123" s="526"/>
      <c r="AE123" s="526"/>
      <c r="AF123" s="526"/>
      <c r="AG123" s="526"/>
      <c r="AH123" s="27"/>
    </row>
    <row r="124" ht="18.75" customHeight="1">
      <c r="A124" s="526"/>
      <c r="B124" s="526"/>
      <c r="C124" s="526"/>
      <c r="D124" s="526"/>
      <c r="E124" s="526"/>
      <c r="F124" s="526"/>
      <c r="G124" s="526"/>
      <c r="H124" s="526"/>
      <c r="I124" s="526"/>
      <c r="J124" s="526"/>
      <c r="K124" s="526"/>
      <c r="L124" s="526"/>
      <c r="M124" s="526"/>
      <c r="N124" s="526"/>
      <c r="O124" s="526"/>
      <c r="P124" s="526"/>
      <c r="Q124" s="526"/>
      <c r="R124" s="526"/>
      <c r="S124" s="526"/>
      <c r="T124" s="526"/>
      <c r="U124" s="526"/>
      <c r="V124" s="526"/>
      <c r="W124" s="526"/>
      <c r="X124" s="526"/>
      <c r="Y124" s="526"/>
      <c r="Z124" s="526"/>
      <c r="AA124" s="526"/>
      <c r="AB124" s="526"/>
      <c r="AC124" s="526"/>
      <c r="AD124" s="526"/>
      <c r="AE124" s="526"/>
      <c r="AF124" s="526"/>
      <c r="AG124" s="526"/>
      <c r="AH124" s="27"/>
    </row>
    <row r="125" ht="18.75" customHeight="1">
      <c r="A125" s="526"/>
      <c r="B125" s="526"/>
      <c r="C125" s="526"/>
      <c r="D125" s="526"/>
      <c r="E125" s="526"/>
      <c r="F125" s="526"/>
      <c r="G125" s="526"/>
      <c r="H125" s="526"/>
      <c r="I125" s="526"/>
      <c r="J125" s="526"/>
      <c r="K125" s="526"/>
      <c r="L125" s="526"/>
      <c r="M125" s="526"/>
      <c r="N125" s="526"/>
      <c r="O125" s="526"/>
      <c r="P125" s="526"/>
      <c r="Q125" s="526"/>
      <c r="R125" s="526"/>
      <c r="S125" s="526"/>
      <c r="T125" s="526"/>
      <c r="U125" s="526"/>
      <c r="V125" s="526"/>
      <c r="W125" s="526"/>
      <c r="X125" s="526"/>
      <c r="Y125" s="526"/>
      <c r="Z125" s="526"/>
      <c r="AA125" s="526"/>
      <c r="AB125" s="526"/>
      <c r="AC125" s="526"/>
      <c r="AD125" s="526"/>
      <c r="AE125" s="526"/>
      <c r="AF125" s="526"/>
      <c r="AG125" s="526"/>
      <c r="AH125" s="27"/>
    </row>
    <row r="126" ht="18.75" customHeight="1">
      <c r="A126" s="526"/>
      <c r="B126" s="526"/>
      <c r="C126" s="526"/>
      <c r="D126" s="526"/>
      <c r="E126" s="526"/>
      <c r="F126" s="526"/>
      <c r="G126" s="526"/>
      <c r="H126" s="526"/>
      <c r="I126" s="526"/>
      <c r="J126" s="526"/>
      <c r="K126" s="526"/>
      <c r="L126" s="526"/>
      <c r="M126" s="526"/>
      <c r="N126" s="526"/>
      <c r="O126" s="526"/>
      <c r="P126" s="526"/>
      <c r="Q126" s="526"/>
      <c r="R126" s="526"/>
      <c r="S126" s="526"/>
      <c r="T126" s="526"/>
      <c r="U126" s="526"/>
      <c r="V126" s="526"/>
      <c r="W126" s="526"/>
      <c r="X126" s="526"/>
      <c r="Y126" s="526"/>
      <c r="Z126" s="526"/>
      <c r="AA126" s="526"/>
      <c r="AB126" s="526"/>
      <c r="AC126" s="526"/>
      <c r="AD126" s="526"/>
      <c r="AE126" s="526"/>
      <c r="AF126" s="526"/>
      <c r="AG126" s="526"/>
      <c r="AH126" s="27"/>
    </row>
    <row r="127" ht="18.75" customHeight="1">
      <c r="A127" s="526"/>
      <c r="B127" s="526"/>
      <c r="C127" s="526"/>
      <c r="D127" s="526"/>
      <c r="E127" s="526"/>
      <c r="F127" s="526"/>
      <c r="G127" s="526"/>
      <c r="H127" s="526"/>
      <c r="I127" s="526"/>
      <c r="J127" s="526"/>
      <c r="K127" s="526"/>
      <c r="L127" s="526"/>
      <c r="M127" s="526"/>
      <c r="N127" s="526"/>
      <c r="O127" s="526"/>
      <c r="P127" s="526"/>
      <c r="Q127" s="526"/>
      <c r="R127" s="526"/>
      <c r="S127" s="526"/>
      <c r="T127" s="526"/>
      <c r="U127" s="526"/>
      <c r="V127" s="526"/>
      <c r="W127" s="526"/>
      <c r="X127" s="526"/>
      <c r="Y127" s="526"/>
      <c r="Z127" s="526"/>
      <c r="AA127" s="526"/>
      <c r="AB127" s="526"/>
      <c r="AC127" s="526"/>
      <c r="AD127" s="526"/>
      <c r="AE127" s="526"/>
      <c r="AF127" s="526"/>
      <c r="AG127" s="526"/>
      <c r="AH127" s="27"/>
    </row>
    <row r="128" ht="18.75" customHeight="1">
      <c r="A128" s="526"/>
      <c r="B128" s="526"/>
      <c r="C128" s="526"/>
      <c r="D128" s="526"/>
      <c r="E128" s="526"/>
      <c r="F128" s="526"/>
      <c r="G128" s="526"/>
      <c r="H128" s="526"/>
      <c r="I128" s="526"/>
      <c r="J128" s="526"/>
      <c r="K128" s="526"/>
      <c r="L128" s="526"/>
      <c r="M128" s="526"/>
      <c r="N128" s="526"/>
      <c r="O128" s="526"/>
      <c r="P128" s="526"/>
      <c r="Q128" s="526"/>
      <c r="R128" s="526"/>
      <c r="S128" s="526"/>
      <c r="T128" s="526"/>
      <c r="U128" s="526"/>
      <c r="V128" s="526"/>
      <c r="W128" s="526"/>
      <c r="X128" s="526"/>
      <c r="Y128" s="526"/>
      <c r="Z128" s="526"/>
      <c r="AA128" s="526"/>
      <c r="AB128" s="526"/>
      <c r="AC128" s="526"/>
      <c r="AD128" s="526"/>
      <c r="AE128" s="526"/>
      <c r="AF128" s="526"/>
      <c r="AG128" s="526"/>
      <c r="AH128" s="27"/>
    </row>
    <row r="129" ht="18.75" customHeight="1">
      <c r="A129" s="526"/>
      <c r="B129" s="526"/>
      <c r="C129" s="526"/>
      <c r="D129" s="526"/>
      <c r="E129" s="526"/>
      <c r="F129" s="526"/>
      <c r="G129" s="526"/>
      <c r="H129" s="526"/>
      <c r="I129" s="526"/>
      <c r="J129" s="526"/>
      <c r="K129" s="526"/>
      <c r="L129" s="526"/>
      <c r="M129" s="526"/>
      <c r="N129" s="526"/>
      <c r="O129" s="526"/>
      <c r="P129" s="526"/>
      <c r="Q129" s="526"/>
      <c r="R129" s="526"/>
      <c r="S129" s="526"/>
      <c r="T129" s="526"/>
      <c r="U129" s="526"/>
      <c r="V129" s="526"/>
      <c r="W129" s="526"/>
      <c r="X129" s="526"/>
      <c r="Y129" s="526"/>
      <c r="Z129" s="526"/>
      <c r="AA129" s="526"/>
      <c r="AB129" s="526"/>
      <c r="AC129" s="526"/>
      <c r="AD129" s="526"/>
      <c r="AE129" s="526"/>
      <c r="AF129" s="526"/>
      <c r="AG129" s="526"/>
      <c r="AH129" s="27"/>
    </row>
    <row r="130" ht="18.75" customHeight="1">
      <c r="A130" s="526"/>
      <c r="B130" s="526"/>
      <c r="C130" s="526"/>
      <c r="D130" s="526"/>
      <c r="E130" s="526"/>
      <c r="F130" s="526"/>
      <c r="G130" s="526"/>
      <c r="H130" s="526"/>
      <c r="I130" s="526"/>
      <c r="J130" s="526"/>
      <c r="K130" s="526"/>
      <c r="L130" s="526"/>
      <c r="M130" s="526"/>
      <c r="N130" s="526"/>
      <c r="O130" s="526"/>
      <c r="P130" s="526"/>
      <c r="Q130" s="526"/>
      <c r="R130" s="526"/>
      <c r="S130" s="526"/>
      <c r="T130" s="526"/>
      <c r="U130" s="526"/>
      <c r="V130" s="526"/>
      <c r="W130" s="526"/>
      <c r="X130" s="526"/>
      <c r="Y130" s="526"/>
      <c r="Z130" s="526"/>
      <c r="AA130" s="526"/>
      <c r="AB130" s="526"/>
      <c r="AC130" s="526"/>
      <c r="AD130" s="526"/>
      <c r="AE130" s="526"/>
      <c r="AF130" s="526"/>
      <c r="AG130" s="526"/>
      <c r="AH130" s="27"/>
    </row>
    <row r="131" ht="18.75" customHeight="1">
      <c r="A131" s="526"/>
      <c r="B131" s="526"/>
      <c r="C131" s="526"/>
      <c r="D131" s="526"/>
      <c r="E131" s="526"/>
      <c r="F131" s="526"/>
      <c r="G131" s="526"/>
      <c r="H131" s="526"/>
      <c r="I131" s="526"/>
      <c r="J131" s="526"/>
      <c r="K131" s="526"/>
      <c r="L131" s="526"/>
      <c r="M131" s="526"/>
      <c r="N131" s="526"/>
      <c r="O131" s="526"/>
      <c r="P131" s="526"/>
      <c r="Q131" s="526"/>
      <c r="R131" s="526"/>
      <c r="S131" s="526"/>
      <c r="T131" s="526"/>
      <c r="U131" s="526"/>
      <c r="V131" s="526"/>
      <c r="W131" s="526"/>
      <c r="X131" s="526"/>
      <c r="Y131" s="526"/>
      <c r="Z131" s="526"/>
      <c r="AA131" s="526"/>
      <c r="AB131" s="526"/>
      <c r="AC131" s="526"/>
      <c r="AD131" s="526"/>
      <c r="AE131" s="526"/>
      <c r="AF131" s="526"/>
      <c r="AG131" s="526"/>
      <c r="AH131" s="27"/>
    </row>
    <row r="132" ht="18.75" customHeight="1">
      <c r="A132" s="526"/>
      <c r="B132" s="526"/>
      <c r="C132" s="526"/>
      <c r="D132" s="526"/>
      <c r="E132" s="526"/>
      <c r="F132" s="526"/>
      <c r="G132" s="526"/>
      <c r="H132" s="526"/>
      <c r="I132" s="526"/>
      <c r="J132" s="526"/>
      <c r="K132" s="526"/>
      <c r="L132" s="526"/>
      <c r="M132" s="526"/>
      <c r="N132" s="526"/>
      <c r="O132" s="526"/>
      <c r="P132" s="526"/>
      <c r="Q132" s="526"/>
      <c r="R132" s="526"/>
      <c r="S132" s="526"/>
      <c r="T132" s="526"/>
      <c r="U132" s="526"/>
      <c r="V132" s="526"/>
      <c r="W132" s="526"/>
      <c r="X132" s="526"/>
      <c r="Y132" s="526"/>
      <c r="Z132" s="526"/>
      <c r="AA132" s="526"/>
      <c r="AB132" s="526"/>
      <c r="AC132" s="526"/>
      <c r="AD132" s="526"/>
      <c r="AE132" s="526"/>
      <c r="AF132" s="526"/>
      <c r="AG132" s="526"/>
      <c r="AH132" s="27"/>
    </row>
    <row r="133" ht="18.75" customHeight="1">
      <c r="A133" s="526"/>
      <c r="B133" s="526"/>
      <c r="C133" s="526"/>
      <c r="D133" s="526"/>
      <c r="E133" s="526"/>
      <c r="F133" s="526"/>
      <c r="G133" s="526"/>
      <c r="H133" s="526"/>
      <c r="I133" s="526"/>
      <c r="J133" s="526"/>
      <c r="K133" s="526"/>
      <c r="L133" s="526"/>
      <c r="M133" s="526"/>
      <c r="N133" s="526"/>
      <c r="O133" s="526"/>
      <c r="P133" s="526"/>
      <c r="Q133" s="526"/>
      <c r="R133" s="526"/>
      <c r="S133" s="526"/>
      <c r="T133" s="526"/>
      <c r="U133" s="526"/>
      <c r="V133" s="526"/>
      <c r="W133" s="526"/>
      <c r="X133" s="526"/>
      <c r="Y133" s="526"/>
      <c r="Z133" s="526"/>
      <c r="AA133" s="526"/>
      <c r="AB133" s="526"/>
      <c r="AC133" s="526"/>
      <c r="AD133" s="526"/>
      <c r="AE133" s="526"/>
      <c r="AF133" s="526"/>
      <c r="AG133" s="526"/>
      <c r="AH133" s="27"/>
    </row>
    <row r="134" ht="18.75" customHeight="1">
      <c r="A134" s="526"/>
      <c r="B134" s="526"/>
      <c r="C134" s="526"/>
      <c r="D134" s="526"/>
      <c r="E134" s="526"/>
      <c r="F134" s="526"/>
      <c r="G134" s="526"/>
      <c r="H134" s="526"/>
      <c r="I134" s="526"/>
      <c r="J134" s="526"/>
      <c r="K134" s="526"/>
      <c r="L134" s="526"/>
      <c r="M134" s="526"/>
      <c r="N134" s="526"/>
      <c r="O134" s="526"/>
      <c r="P134" s="526"/>
      <c r="Q134" s="526"/>
      <c r="R134" s="526"/>
      <c r="S134" s="526"/>
      <c r="T134" s="526"/>
      <c r="U134" s="526"/>
      <c r="V134" s="526"/>
      <c r="W134" s="526"/>
      <c r="X134" s="526"/>
      <c r="Y134" s="526"/>
      <c r="Z134" s="526"/>
      <c r="AA134" s="526"/>
      <c r="AB134" s="526"/>
      <c r="AC134" s="526"/>
      <c r="AD134" s="526"/>
      <c r="AE134" s="526"/>
      <c r="AF134" s="526"/>
      <c r="AG134" s="526"/>
      <c r="AH134" s="27"/>
    </row>
    <row r="135" ht="18.75" customHeight="1">
      <c r="A135" s="526"/>
      <c r="B135" s="526"/>
      <c r="C135" s="526"/>
      <c r="D135" s="526"/>
      <c r="E135" s="526"/>
      <c r="F135" s="526"/>
      <c r="G135" s="526"/>
      <c r="H135" s="526"/>
      <c r="I135" s="526"/>
      <c r="J135" s="526"/>
      <c r="K135" s="526"/>
      <c r="L135" s="526"/>
      <c r="M135" s="526"/>
      <c r="N135" s="526"/>
      <c r="O135" s="526"/>
      <c r="P135" s="526"/>
      <c r="Q135" s="526"/>
      <c r="R135" s="526"/>
      <c r="S135" s="526"/>
      <c r="T135" s="526"/>
      <c r="U135" s="526"/>
      <c r="V135" s="526"/>
      <c r="W135" s="526"/>
      <c r="X135" s="526"/>
      <c r="Y135" s="526"/>
      <c r="Z135" s="526"/>
      <c r="AA135" s="526"/>
      <c r="AB135" s="526"/>
      <c r="AC135" s="526"/>
      <c r="AD135" s="526"/>
      <c r="AE135" s="526"/>
      <c r="AF135" s="526"/>
      <c r="AG135" s="526"/>
      <c r="AH135" s="27"/>
    </row>
    <row r="136" ht="18.75" customHeight="1">
      <c r="A136" s="526"/>
      <c r="B136" s="526"/>
      <c r="C136" s="526"/>
      <c r="D136" s="526"/>
      <c r="E136" s="526"/>
      <c r="F136" s="526"/>
      <c r="G136" s="526"/>
      <c r="H136" s="526"/>
      <c r="I136" s="526"/>
      <c r="J136" s="526"/>
      <c r="K136" s="526"/>
      <c r="L136" s="526"/>
      <c r="M136" s="526"/>
      <c r="N136" s="526"/>
      <c r="O136" s="526"/>
      <c r="P136" s="526"/>
      <c r="Q136" s="526"/>
      <c r="R136" s="526"/>
      <c r="S136" s="526"/>
      <c r="T136" s="526"/>
      <c r="U136" s="526"/>
      <c r="V136" s="526"/>
      <c r="W136" s="526"/>
      <c r="X136" s="526"/>
      <c r="Y136" s="526"/>
      <c r="Z136" s="526"/>
      <c r="AA136" s="526"/>
      <c r="AB136" s="526"/>
      <c r="AC136" s="526"/>
      <c r="AD136" s="526"/>
      <c r="AE136" s="526"/>
      <c r="AF136" s="526"/>
      <c r="AG136" s="526"/>
      <c r="AH136" s="27"/>
    </row>
    <row r="137" ht="18.75" customHeight="1">
      <c r="A137" s="526"/>
      <c r="B137" s="526"/>
      <c r="C137" s="526"/>
      <c r="D137" s="526"/>
      <c r="E137" s="526"/>
      <c r="F137" s="526"/>
      <c r="G137" s="526"/>
      <c r="H137" s="526"/>
      <c r="I137" s="526"/>
      <c r="J137" s="526"/>
      <c r="K137" s="526"/>
      <c r="L137" s="526"/>
      <c r="M137" s="526"/>
      <c r="N137" s="526"/>
      <c r="O137" s="526"/>
      <c r="P137" s="526"/>
      <c r="Q137" s="526"/>
      <c r="R137" s="526"/>
      <c r="S137" s="526"/>
      <c r="T137" s="526"/>
      <c r="U137" s="526"/>
      <c r="V137" s="526"/>
      <c r="W137" s="526"/>
      <c r="X137" s="526"/>
      <c r="Y137" s="526"/>
      <c r="Z137" s="526"/>
      <c r="AA137" s="526"/>
      <c r="AB137" s="526"/>
      <c r="AC137" s="526"/>
      <c r="AD137" s="526"/>
      <c r="AE137" s="526"/>
      <c r="AF137" s="526"/>
      <c r="AG137" s="526"/>
      <c r="AH137" s="27"/>
    </row>
    <row r="138" ht="18.75" customHeight="1">
      <c r="A138" s="526"/>
      <c r="B138" s="526"/>
      <c r="C138" s="526"/>
      <c r="D138" s="526"/>
      <c r="E138" s="526"/>
      <c r="F138" s="526"/>
      <c r="G138" s="526"/>
      <c r="H138" s="526"/>
      <c r="I138" s="526"/>
      <c r="J138" s="526"/>
      <c r="K138" s="526"/>
      <c r="L138" s="526"/>
      <c r="M138" s="526"/>
      <c r="N138" s="526"/>
      <c r="O138" s="526"/>
      <c r="P138" s="526"/>
      <c r="Q138" s="526"/>
      <c r="R138" s="526"/>
      <c r="S138" s="526"/>
      <c r="T138" s="526"/>
      <c r="U138" s="526"/>
      <c r="V138" s="526"/>
      <c r="W138" s="526"/>
      <c r="X138" s="526"/>
      <c r="Y138" s="526"/>
      <c r="Z138" s="526"/>
      <c r="AA138" s="526"/>
      <c r="AB138" s="526"/>
      <c r="AC138" s="526"/>
      <c r="AD138" s="526"/>
      <c r="AE138" s="526"/>
      <c r="AF138" s="526"/>
      <c r="AG138" s="526"/>
      <c r="AH138" s="27"/>
    </row>
    <row r="139" ht="18.75" customHeight="1">
      <c r="A139" s="526"/>
      <c r="B139" s="526"/>
      <c r="C139" s="526"/>
      <c r="D139" s="526"/>
      <c r="E139" s="526"/>
      <c r="F139" s="526"/>
      <c r="G139" s="526"/>
      <c r="H139" s="526"/>
      <c r="I139" s="526"/>
      <c r="J139" s="526"/>
      <c r="K139" s="526"/>
      <c r="L139" s="526"/>
      <c r="M139" s="526"/>
      <c r="N139" s="526"/>
      <c r="O139" s="526"/>
      <c r="P139" s="526"/>
      <c r="Q139" s="526"/>
      <c r="R139" s="526"/>
      <c r="S139" s="526"/>
      <c r="T139" s="526"/>
      <c r="U139" s="526"/>
      <c r="V139" s="526"/>
      <c r="W139" s="526"/>
      <c r="X139" s="526"/>
      <c r="Y139" s="526"/>
      <c r="Z139" s="526"/>
      <c r="AA139" s="526"/>
      <c r="AB139" s="526"/>
      <c r="AC139" s="526"/>
      <c r="AD139" s="526"/>
      <c r="AE139" s="526"/>
      <c r="AF139" s="526"/>
      <c r="AG139" s="526"/>
      <c r="AH139" s="27"/>
    </row>
    <row r="140" ht="18.75" customHeight="1">
      <c r="A140" s="526"/>
      <c r="B140" s="526"/>
      <c r="C140" s="526"/>
      <c r="D140" s="526"/>
      <c r="E140" s="526"/>
      <c r="F140" s="526"/>
      <c r="G140" s="526"/>
      <c r="H140" s="526"/>
      <c r="I140" s="526"/>
      <c r="J140" s="526"/>
      <c r="K140" s="526"/>
      <c r="L140" s="526"/>
      <c r="M140" s="526"/>
      <c r="N140" s="526"/>
      <c r="O140" s="526"/>
      <c r="P140" s="526"/>
      <c r="Q140" s="526"/>
      <c r="R140" s="526"/>
      <c r="S140" s="526"/>
      <c r="T140" s="526"/>
      <c r="U140" s="526"/>
      <c r="V140" s="526"/>
      <c r="W140" s="526"/>
      <c r="X140" s="526"/>
      <c r="Y140" s="526"/>
      <c r="Z140" s="526"/>
      <c r="AA140" s="526"/>
      <c r="AB140" s="526"/>
      <c r="AC140" s="526"/>
      <c r="AD140" s="526"/>
      <c r="AE140" s="526"/>
      <c r="AF140" s="526"/>
      <c r="AG140" s="526"/>
      <c r="AH140" s="27"/>
    </row>
    <row r="141" ht="18.75" customHeight="1">
      <c r="A141" s="526"/>
      <c r="B141" s="526"/>
      <c r="C141" s="526"/>
      <c r="D141" s="526"/>
      <c r="E141" s="526"/>
      <c r="F141" s="526"/>
      <c r="G141" s="526"/>
      <c r="H141" s="526"/>
      <c r="I141" s="526"/>
      <c r="J141" s="526"/>
      <c r="K141" s="526"/>
      <c r="L141" s="526"/>
      <c r="M141" s="526"/>
      <c r="N141" s="526"/>
      <c r="O141" s="526"/>
      <c r="P141" s="526"/>
      <c r="Q141" s="526"/>
      <c r="R141" s="526"/>
      <c r="S141" s="526"/>
      <c r="T141" s="526"/>
      <c r="U141" s="526"/>
      <c r="V141" s="526"/>
      <c r="W141" s="526"/>
      <c r="X141" s="526"/>
      <c r="Y141" s="526"/>
      <c r="Z141" s="526"/>
      <c r="AA141" s="526"/>
      <c r="AB141" s="526"/>
      <c r="AC141" s="526"/>
      <c r="AD141" s="526"/>
      <c r="AE141" s="526"/>
      <c r="AF141" s="526"/>
      <c r="AG141" s="526"/>
      <c r="AH141" s="27"/>
    </row>
    <row r="142" ht="18.75" customHeight="1">
      <c r="A142" s="526"/>
      <c r="B142" s="526"/>
      <c r="C142" s="526"/>
      <c r="D142" s="526"/>
      <c r="E142" s="526"/>
      <c r="F142" s="526"/>
      <c r="G142" s="526"/>
      <c r="H142" s="526"/>
      <c r="I142" s="526"/>
      <c r="J142" s="526"/>
      <c r="K142" s="526"/>
      <c r="L142" s="526"/>
      <c r="M142" s="526"/>
      <c r="N142" s="526"/>
      <c r="O142" s="526"/>
      <c r="P142" s="526"/>
      <c r="Q142" s="526"/>
      <c r="R142" s="526"/>
      <c r="S142" s="526"/>
      <c r="T142" s="526"/>
      <c r="U142" s="526"/>
      <c r="V142" s="526"/>
      <c r="W142" s="526"/>
      <c r="X142" s="526"/>
      <c r="Y142" s="526"/>
      <c r="Z142" s="526"/>
      <c r="AA142" s="526"/>
      <c r="AB142" s="526"/>
      <c r="AC142" s="526"/>
      <c r="AD142" s="526"/>
      <c r="AE142" s="526"/>
      <c r="AF142" s="526"/>
      <c r="AG142" s="526"/>
      <c r="AH142" s="27"/>
    </row>
    <row r="143" ht="18.75" customHeight="1">
      <c r="A143" s="526"/>
      <c r="B143" s="526"/>
      <c r="C143" s="526"/>
      <c r="D143" s="526"/>
      <c r="E143" s="526"/>
      <c r="F143" s="526"/>
      <c r="G143" s="526"/>
      <c r="H143" s="526"/>
      <c r="I143" s="526"/>
      <c r="J143" s="526"/>
      <c r="K143" s="526"/>
      <c r="L143" s="526"/>
      <c r="M143" s="526"/>
      <c r="N143" s="526"/>
      <c r="O143" s="526"/>
      <c r="P143" s="526"/>
      <c r="Q143" s="526"/>
      <c r="R143" s="526"/>
      <c r="S143" s="526"/>
      <c r="T143" s="526"/>
      <c r="U143" s="526"/>
      <c r="V143" s="526"/>
      <c r="W143" s="526"/>
      <c r="X143" s="526"/>
      <c r="Y143" s="526"/>
      <c r="Z143" s="526"/>
      <c r="AA143" s="526"/>
      <c r="AB143" s="526"/>
      <c r="AC143" s="526"/>
      <c r="AD143" s="526"/>
      <c r="AE143" s="526"/>
      <c r="AF143" s="526"/>
      <c r="AG143" s="526"/>
      <c r="AH143" s="27"/>
    </row>
    <row r="144" ht="18.75" customHeight="1">
      <c r="A144" s="526"/>
      <c r="B144" s="526"/>
      <c r="C144" s="526"/>
      <c r="D144" s="526"/>
      <c r="E144" s="526"/>
      <c r="F144" s="526"/>
      <c r="G144" s="526"/>
      <c r="H144" s="526"/>
      <c r="I144" s="526"/>
      <c r="J144" s="526"/>
      <c r="K144" s="526"/>
      <c r="L144" s="526"/>
      <c r="M144" s="526"/>
      <c r="N144" s="526"/>
      <c r="O144" s="526"/>
      <c r="P144" s="526"/>
      <c r="Q144" s="526"/>
      <c r="R144" s="526"/>
      <c r="S144" s="526"/>
      <c r="T144" s="526"/>
      <c r="U144" s="526"/>
      <c r="V144" s="526"/>
      <c r="W144" s="526"/>
      <c r="X144" s="526"/>
      <c r="Y144" s="526"/>
      <c r="Z144" s="526"/>
      <c r="AA144" s="526"/>
      <c r="AB144" s="526"/>
      <c r="AC144" s="526"/>
      <c r="AD144" s="526"/>
      <c r="AE144" s="526"/>
      <c r="AF144" s="526"/>
      <c r="AG144" s="526"/>
      <c r="AH144" s="27"/>
    </row>
    <row r="145" ht="18.75" customHeight="1">
      <c r="A145" s="526"/>
      <c r="B145" s="526"/>
      <c r="C145" s="526"/>
      <c r="D145" s="526"/>
      <c r="E145" s="526"/>
      <c r="F145" s="526"/>
      <c r="G145" s="526"/>
      <c r="H145" s="526"/>
      <c r="I145" s="526"/>
      <c r="J145" s="526"/>
      <c r="K145" s="526"/>
      <c r="L145" s="526"/>
      <c r="M145" s="526"/>
      <c r="N145" s="526"/>
      <c r="O145" s="526"/>
      <c r="P145" s="526"/>
      <c r="Q145" s="526"/>
      <c r="R145" s="526"/>
      <c r="S145" s="526"/>
      <c r="T145" s="526"/>
      <c r="U145" s="526"/>
      <c r="V145" s="526"/>
      <c r="W145" s="526"/>
      <c r="X145" s="526"/>
      <c r="Y145" s="526"/>
      <c r="Z145" s="526"/>
      <c r="AA145" s="526"/>
      <c r="AB145" s="526"/>
      <c r="AC145" s="526"/>
      <c r="AD145" s="526"/>
      <c r="AE145" s="526"/>
      <c r="AF145" s="526"/>
      <c r="AG145" s="526"/>
      <c r="AH145" s="27"/>
    </row>
    <row r="146" ht="18.75" customHeight="1">
      <c r="A146" s="526"/>
      <c r="B146" s="526"/>
      <c r="C146" s="526"/>
      <c r="D146" s="526"/>
      <c r="E146" s="526"/>
      <c r="F146" s="526"/>
      <c r="G146" s="526"/>
      <c r="H146" s="526"/>
      <c r="I146" s="526"/>
      <c r="J146" s="526"/>
      <c r="K146" s="526"/>
      <c r="L146" s="526"/>
      <c r="M146" s="526"/>
      <c r="N146" s="526"/>
      <c r="O146" s="526"/>
      <c r="P146" s="526"/>
      <c r="Q146" s="526"/>
      <c r="R146" s="526"/>
      <c r="S146" s="526"/>
      <c r="T146" s="526"/>
      <c r="U146" s="526"/>
      <c r="V146" s="526"/>
      <c r="W146" s="526"/>
      <c r="X146" s="526"/>
      <c r="Y146" s="526"/>
      <c r="Z146" s="526"/>
      <c r="AA146" s="526"/>
      <c r="AB146" s="526"/>
      <c r="AC146" s="526"/>
      <c r="AD146" s="526"/>
      <c r="AE146" s="526"/>
      <c r="AF146" s="526"/>
      <c r="AG146" s="526"/>
      <c r="AH146" s="27"/>
    </row>
    <row r="147" ht="18.75" customHeight="1">
      <c r="A147" s="526"/>
      <c r="B147" s="526"/>
      <c r="C147" s="526"/>
      <c r="D147" s="526"/>
      <c r="E147" s="526"/>
      <c r="F147" s="526"/>
      <c r="G147" s="526"/>
      <c r="H147" s="526"/>
      <c r="I147" s="526"/>
      <c r="J147" s="526"/>
      <c r="K147" s="526"/>
      <c r="L147" s="526"/>
      <c r="M147" s="526"/>
      <c r="N147" s="526"/>
      <c r="O147" s="526"/>
      <c r="P147" s="526"/>
      <c r="Q147" s="526"/>
      <c r="R147" s="526"/>
      <c r="S147" s="526"/>
      <c r="T147" s="526"/>
      <c r="U147" s="526"/>
      <c r="V147" s="526"/>
      <c r="W147" s="526"/>
      <c r="X147" s="526"/>
      <c r="Y147" s="526"/>
      <c r="Z147" s="526"/>
      <c r="AA147" s="526"/>
      <c r="AB147" s="526"/>
      <c r="AC147" s="526"/>
      <c r="AD147" s="526"/>
      <c r="AE147" s="526"/>
      <c r="AF147" s="526"/>
      <c r="AG147" s="526"/>
      <c r="AH147" s="27"/>
    </row>
    <row r="148" ht="18.75" customHeight="1">
      <c r="A148" s="526"/>
      <c r="B148" s="526"/>
      <c r="C148" s="526"/>
      <c r="D148" s="526"/>
      <c r="E148" s="526"/>
      <c r="F148" s="526"/>
      <c r="G148" s="526"/>
      <c r="H148" s="526"/>
      <c r="I148" s="526"/>
      <c r="J148" s="526"/>
      <c r="K148" s="526"/>
      <c r="L148" s="526"/>
      <c r="M148" s="526"/>
      <c r="N148" s="526"/>
      <c r="O148" s="526"/>
      <c r="P148" s="526"/>
      <c r="Q148" s="526"/>
      <c r="R148" s="526"/>
      <c r="S148" s="526"/>
      <c r="T148" s="526"/>
      <c r="U148" s="526"/>
      <c r="V148" s="526"/>
      <c r="W148" s="526"/>
      <c r="X148" s="526"/>
      <c r="Y148" s="526"/>
      <c r="Z148" s="526"/>
      <c r="AA148" s="526"/>
      <c r="AB148" s="526"/>
      <c r="AC148" s="526"/>
      <c r="AD148" s="526"/>
      <c r="AE148" s="526"/>
      <c r="AF148" s="526"/>
      <c r="AG148" s="526"/>
      <c r="AH148" s="27"/>
    </row>
    <row r="149" ht="18.75" customHeight="1">
      <c r="A149" s="526"/>
      <c r="B149" s="526"/>
      <c r="C149" s="526"/>
      <c r="D149" s="526"/>
      <c r="E149" s="526"/>
      <c r="F149" s="526"/>
      <c r="G149" s="526"/>
      <c r="H149" s="526"/>
      <c r="I149" s="526"/>
      <c r="J149" s="526"/>
      <c r="K149" s="526"/>
      <c r="L149" s="526"/>
      <c r="M149" s="526"/>
      <c r="N149" s="526"/>
      <c r="O149" s="526"/>
      <c r="P149" s="526"/>
      <c r="Q149" s="526"/>
      <c r="R149" s="526"/>
      <c r="S149" s="526"/>
      <c r="T149" s="526"/>
      <c r="U149" s="526"/>
      <c r="V149" s="526"/>
      <c r="W149" s="526"/>
      <c r="X149" s="526"/>
      <c r="Y149" s="526"/>
      <c r="Z149" s="526"/>
      <c r="AA149" s="526"/>
      <c r="AB149" s="526"/>
      <c r="AC149" s="526"/>
      <c r="AD149" s="526"/>
      <c r="AE149" s="526"/>
      <c r="AF149" s="526"/>
      <c r="AG149" s="526"/>
      <c r="AH149" s="27"/>
    </row>
    <row r="150" ht="18.75" customHeight="1">
      <c r="A150" s="526"/>
      <c r="B150" s="526"/>
      <c r="C150" s="526"/>
      <c r="D150" s="526"/>
      <c r="E150" s="526"/>
      <c r="F150" s="526"/>
      <c r="G150" s="526"/>
      <c r="H150" s="526"/>
      <c r="I150" s="526"/>
      <c r="J150" s="526"/>
      <c r="K150" s="526"/>
      <c r="L150" s="526"/>
      <c r="M150" s="526"/>
      <c r="N150" s="526"/>
      <c r="O150" s="526"/>
      <c r="P150" s="526"/>
      <c r="Q150" s="526"/>
      <c r="R150" s="526"/>
      <c r="S150" s="526"/>
      <c r="T150" s="526"/>
      <c r="U150" s="526"/>
      <c r="V150" s="526"/>
      <c r="W150" s="526"/>
      <c r="X150" s="526"/>
      <c r="Y150" s="526"/>
      <c r="Z150" s="526"/>
      <c r="AA150" s="526"/>
      <c r="AB150" s="526"/>
      <c r="AC150" s="526"/>
      <c r="AD150" s="526"/>
      <c r="AE150" s="526"/>
      <c r="AF150" s="526"/>
      <c r="AG150" s="526"/>
      <c r="AH150" s="27"/>
    </row>
    <row r="151" ht="18.75" customHeight="1">
      <c r="A151" s="526"/>
      <c r="B151" s="526"/>
      <c r="C151" s="526"/>
      <c r="D151" s="526"/>
      <c r="E151" s="526"/>
      <c r="F151" s="526"/>
      <c r="G151" s="526"/>
      <c r="H151" s="526"/>
      <c r="I151" s="526"/>
      <c r="J151" s="526"/>
      <c r="K151" s="526"/>
      <c r="L151" s="526"/>
      <c r="M151" s="526"/>
      <c r="N151" s="526"/>
      <c r="O151" s="526"/>
      <c r="P151" s="526"/>
      <c r="Q151" s="526"/>
      <c r="R151" s="526"/>
      <c r="S151" s="526"/>
      <c r="T151" s="526"/>
      <c r="U151" s="526"/>
      <c r="V151" s="526"/>
      <c r="W151" s="526"/>
      <c r="X151" s="526"/>
      <c r="Y151" s="526"/>
      <c r="Z151" s="526"/>
      <c r="AA151" s="526"/>
      <c r="AB151" s="526"/>
      <c r="AC151" s="526"/>
      <c r="AD151" s="526"/>
      <c r="AE151" s="526"/>
      <c r="AF151" s="526"/>
      <c r="AG151" s="526"/>
      <c r="AH151" s="27"/>
    </row>
    <row r="152" ht="18.75" customHeight="1">
      <c r="A152" s="526"/>
      <c r="B152" s="526"/>
      <c r="C152" s="526"/>
      <c r="D152" s="526"/>
      <c r="E152" s="526"/>
      <c r="F152" s="526"/>
      <c r="G152" s="526"/>
      <c r="H152" s="526"/>
      <c r="I152" s="526"/>
      <c r="J152" s="526"/>
      <c r="K152" s="526"/>
      <c r="L152" s="526"/>
      <c r="M152" s="526"/>
      <c r="N152" s="526"/>
      <c r="O152" s="526"/>
      <c r="P152" s="526"/>
      <c r="Q152" s="526"/>
      <c r="R152" s="526"/>
      <c r="S152" s="526"/>
      <c r="T152" s="526"/>
      <c r="U152" s="526"/>
      <c r="V152" s="526"/>
      <c r="W152" s="526"/>
      <c r="X152" s="526"/>
      <c r="Y152" s="526"/>
      <c r="Z152" s="526"/>
      <c r="AA152" s="526"/>
      <c r="AB152" s="526"/>
      <c r="AC152" s="526"/>
      <c r="AD152" s="526"/>
      <c r="AE152" s="526"/>
      <c r="AF152" s="526"/>
      <c r="AG152" s="526"/>
      <c r="AH152" s="27"/>
    </row>
    <row r="153" ht="18.75" customHeight="1">
      <c r="A153" s="526"/>
      <c r="B153" s="526"/>
      <c r="C153" s="526"/>
      <c r="D153" s="526"/>
      <c r="E153" s="526"/>
      <c r="F153" s="526"/>
      <c r="G153" s="526"/>
      <c r="H153" s="526"/>
      <c r="I153" s="526"/>
      <c r="J153" s="526"/>
      <c r="K153" s="526"/>
      <c r="L153" s="526"/>
      <c r="M153" s="526"/>
      <c r="N153" s="526"/>
      <c r="O153" s="526"/>
      <c r="P153" s="526"/>
      <c r="Q153" s="526"/>
      <c r="R153" s="526"/>
      <c r="S153" s="526"/>
      <c r="T153" s="526"/>
      <c r="U153" s="526"/>
      <c r="V153" s="526"/>
      <c r="W153" s="526"/>
      <c r="X153" s="526"/>
      <c r="Y153" s="526"/>
      <c r="Z153" s="526"/>
      <c r="AA153" s="526"/>
      <c r="AB153" s="526"/>
      <c r="AC153" s="526"/>
      <c r="AD153" s="526"/>
      <c r="AE153" s="526"/>
      <c r="AF153" s="526"/>
      <c r="AG153" s="526"/>
      <c r="AH153" s="27"/>
    </row>
    <row r="154" ht="18.75" customHeight="1">
      <c r="A154" s="526"/>
      <c r="B154" s="526"/>
      <c r="C154" s="526"/>
      <c r="D154" s="526"/>
      <c r="E154" s="526"/>
      <c r="F154" s="526"/>
      <c r="G154" s="526"/>
      <c r="H154" s="526"/>
      <c r="I154" s="526"/>
      <c r="J154" s="526"/>
      <c r="K154" s="526"/>
      <c r="L154" s="526"/>
      <c r="M154" s="526"/>
      <c r="N154" s="526"/>
      <c r="O154" s="526"/>
      <c r="P154" s="526"/>
      <c r="Q154" s="526"/>
      <c r="R154" s="526"/>
      <c r="S154" s="526"/>
      <c r="T154" s="526"/>
      <c r="U154" s="526"/>
      <c r="V154" s="526"/>
      <c r="W154" s="526"/>
      <c r="X154" s="526"/>
      <c r="Y154" s="526"/>
      <c r="Z154" s="526"/>
      <c r="AA154" s="526"/>
      <c r="AB154" s="526"/>
      <c r="AC154" s="526"/>
      <c r="AD154" s="526"/>
      <c r="AE154" s="526"/>
      <c r="AF154" s="526"/>
      <c r="AG154" s="526"/>
      <c r="AH154" s="27"/>
    </row>
    <row r="155" ht="18.75" customHeight="1">
      <c r="A155" s="526"/>
      <c r="B155" s="526"/>
      <c r="C155" s="526"/>
      <c r="D155" s="526"/>
      <c r="E155" s="526"/>
      <c r="F155" s="526"/>
      <c r="G155" s="526"/>
      <c r="H155" s="526"/>
      <c r="I155" s="526"/>
      <c r="J155" s="526"/>
      <c r="K155" s="526"/>
      <c r="L155" s="526"/>
      <c r="M155" s="526"/>
      <c r="N155" s="526"/>
      <c r="O155" s="526"/>
      <c r="P155" s="526"/>
      <c r="Q155" s="526"/>
      <c r="R155" s="526"/>
      <c r="S155" s="526"/>
      <c r="T155" s="526"/>
      <c r="U155" s="526"/>
      <c r="V155" s="526"/>
      <c r="W155" s="526"/>
      <c r="X155" s="526"/>
      <c r="Y155" s="526"/>
      <c r="Z155" s="526"/>
      <c r="AA155" s="526"/>
      <c r="AB155" s="526"/>
      <c r="AC155" s="526"/>
      <c r="AD155" s="526"/>
      <c r="AE155" s="526"/>
      <c r="AF155" s="526"/>
      <c r="AG155" s="526"/>
      <c r="AH155" s="27"/>
    </row>
    <row r="156" ht="18.75" customHeight="1">
      <c r="A156" s="526"/>
      <c r="B156" s="526"/>
      <c r="C156" s="526"/>
      <c r="D156" s="526"/>
      <c r="E156" s="526"/>
      <c r="F156" s="526"/>
      <c r="G156" s="526"/>
      <c r="H156" s="526"/>
      <c r="I156" s="526"/>
      <c r="J156" s="526"/>
      <c r="K156" s="526"/>
      <c r="L156" s="526"/>
      <c r="M156" s="526"/>
      <c r="N156" s="526"/>
      <c r="O156" s="526"/>
      <c r="P156" s="526"/>
      <c r="Q156" s="526"/>
      <c r="R156" s="526"/>
      <c r="S156" s="526"/>
      <c r="T156" s="526"/>
      <c r="U156" s="526"/>
      <c r="V156" s="526"/>
      <c r="W156" s="526"/>
      <c r="X156" s="526"/>
      <c r="Y156" s="526"/>
      <c r="Z156" s="526"/>
      <c r="AA156" s="526"/>
      <c r="AB156" s="526"/>
      <c r="AC156" s="526"/>
      <c r="AD156" s="526"/>
      <c r="AE156" s="526"/>
      <c r="AF156" s="526"/>
      <c r="AG156" s="526"/>
      <c r="AH156" s="27"/>
    </row>
    <row r="157" ht="18.75" customHeight="1">
      <c r="A157" s="526"/>
      <c r="B157" s="526"/>
      <c r="C157" s="526"/>
      <c r="D157" s="526"/>
      <c r="E157" s="526"/>
      <c r="F157" s="526"/>
      <c r="G157" s="526"/>
      <c r="H157" s="526"/>
      <c r="I157" s="526"/>
      <c r="J157" s="526"/>
      <c r="K157" s="526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  <c r="Z157" s="526"/>
      <c r="AA157" s="526"/>
      <c r="AB157" s="526"/>
      <c r="AC157" s="526"/>
      <c r="AD157" s="526"/>
      <c r="AE157" s="526"/>
      <c r="AF157" s="526"/>
      <c r="AG157" s="526"/>
      <c r="AH157" s="27"/>
    </row>
    <row r="158" ht="18.75" customHeight="1">
      <c r="A158" s="526"/>
      <c r="B158" s="526"/>
      <c r="C158" s="526"/>
      <c r="D158" s="526"/>
      <c r="E158" s="526"/>
      <c r="F158" s="526"/>
      <c r="G158" s="526"/>
      <c r="H158" s="526"/>
      <c r="I158" s="526"/>
      <c r="J158" s="526"/>
      <c r="K158" s="526"/>
      <c r="L158" s="526"/>
      <c r="M158" s="526"/>
      <c r="N158" s="526"/>
      <c r="O158" s="526"/>
      <c r="P158" s="526"/>
      <c r="Q158" s="526"/>
      <c r="R158" s="526"/>
      <c r="S158" s="526"/>
      <c r="T158" s="526"/>
      <c r="U158" s="526"/>
      <c r="V158" s="526"/>
      <c r="W158" s="526"/>
      <c r="X158" s="526"/>
      <c r="Y158" s="526"/>
      <c r="Z158" s="526"/>
      <c r="AA158" s="526"/>
      <c r="AB158" s="526"/>
      <c r="AC158" s="526"/>
      <c r="AD158" s="526"/>
      <c r="AE158" s="526"/>
      <c r="AF158" s="526"/>
      <c r="AG158" s="526"/>
      <c r="AH158" s="27"/>
    </row>
    <row r="159" ht="18.75" customHeight="1">
      <c r="A159" s="526"/>
      <c r="B159" s="526"/>
      <c r="C159" s="526"/>
      <c r="D159" s="526"/>
      <c r="E159" s="526"/>
      <c r="F159" s="526"/>
      <c r="G159" s="526"/>
      <c r="H159" s="526"/>
      <c r="I159" s="526"/>
      <c r="J159" s="526"/>
      <c r="K159" s="526"/>
      <c r="L159" s="526"/>
      <c r="M159" s="526"/>
      <c r="N159" s="526"/>
      <c r="O159" s="526"/>
      <c r="P159" s="526"/>
      <c r="Q159" s="526"/>
      <c r="R159" s="526"/>
      <c r="S159" s="526"/>
      <c r="T159" s="526"/>
      <c r="U159" s="526"/>
      <c r="V159" s="526"/>
      <c r="W159" s="526"/>
      <c r="X159" s="526"/>
      <c r="Y159" s="526"/>
      <c r="Z159" s="526"/>
      <c r="AA159" s="526"/>
      <c r="AB159" s="526"/>
      <c r="AC159" s="526"/>
      <c r="AD159" s="526"/>
      <c r="AE159" s="526"/>
      <c r="AF159" s="526"/>
      <c r="AG159" s="526"/>
      <c r="AH159" s="27"/>
    </row>
    <row r="160" ht="18.75" customHeight="1">
      <c r="A160" s="526"/>
      <c r="B160" s="526"/>
      <c r="C160" s="526"/>
      <c r="D160" s="526"/>
      <c r="E160" s="526"/>
      <c r="F160" s="526"/>
      <c r="G160" s="526"/>
      <c r="H160" s="526"/>
      <c r="I160" s="526"/>
      <c r="J160" s="526"/>
      <c r="K160" s="526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  <c r="Z160" s="526"/>
      <c r="AA160" s="526"/>
      <c r="AB160" s="526"/>
      <c r="AC160" s="526"/>
      <c r="AD160" s="526"/>
      <c r="AE160" s="526"/>
      <c r="AF160" s="526"/>
      <c r="AG160" s="526"/>
      <c r="AH160" s="27"/>
    </row>
    <row r="161" ht="18.75" customHeight="1">
      <c r="A161" s="526"/>
      <c r="B161" s="526"/>
      <c r="C161" s="526"/>
      <c r="D161" s="526"/>
      <c r="E161" s="526"/>
      <c r="F161" s="526"/>
      <c r="G161" s="526"/>
      <c r="H161" s="526"/>
      <c r="I161" s="526"/>
      <c r="J161" s="526"/>
      <c r="K161" s="526"/>
      <c r="L161" s="526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  <c r="AA161" s="526"/>
      <c r="AB161" s="526"/>
      <c r="AC161" s="526"/>
      <c r="AD161" s="526"/>
      <c r="AE161" s="526"/>
      <c r="AF161" s="526"/>
      <c r="AG161" s="526"/>
      <c r="AH161" s="27"/>
    </row>
    <row r="162" ht="18.75" customHeight="1">
      <c r="A162" s="526"/>
      <c r="B162" s="526"/>
      <c r="C162" s="526"/>
      <c r="D162" s="526"/>
      <c r="E162" s="526"/>
      <c r="F162" s="526"/>
      <c r="G162" s="526"/>
      <c r="H162" s="526"/>
      <c r="I162" s="526"/>
      <c r="J162" s="526"/>
      <c r="K162" s="526"/>
      <c r="L162" s="526"/>
      <c r="M162" s="526"/>
      <c r="N162" s="526"/>
      <c r="O162" s="526"/>
      <c r="P162" s="526"/>
      <c r="Q162" s="526"/>
      <c r="R162" s="526"/>
      <c r="S162" s="526"/>
      <c r="T162" s="526"/>
      <c r="U162" s="526"/>
      <c r="V162" s="526"/>
      <c r="W162" s="526"/>
      <c r="X162" s="526"/>
      <c r="Y162" s="526"/>
      <c r="Z162" s="526"/>
      <c r="AA162" s="526"/>
      <c r="AB162" s="526"/>
      <c r="AC162" s="526"/>
      <c r="AD162" s="526"/>
      <c r="AE162" s="526"/>
      <c r="AF162" s="526"/>
      <c r="AG162" s="526"/>
      <c r="AH162" s="27"/>
    </row>
    <row r="163" ht="18.75" customHeight="1">
      <c r="A163" s="526"/>
      <c r="B163" s="526"/>
      <c r="C163" s="526"/>
      <c r="D163" s="526"/>
      <c r="E163" s="526"/>
      <c r="F163" s="526"/>
      <c r="G163" s="526"/>
      <c r="H163" s="526"/>
      <c r="I163" s="526"/>
      <c r="J163" s="526"/>
      <c r="K163" s="526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  <c r="Z163" s="526"/>
      <c r="AA163" s="526"/>
      <c r="AB163" s="526"/>
      <c r="AC163" s="526"/>
      <c r="AD163" s="526"/>
      <c r="AE163" s="526"/>
      <c r="AF163" s="526"/>
      <c r="AG163" s="526"/>
      <c r="AH163" s="27"/>
    </row>
    <row r="164" ht="18.75" customHeight="1">
      <c r="A164" s="526"/>
      <c r="B164" s="526"/>
      <c r="C164" s="526"/>
      <c r="D164" s="526"/>
      <c r="E164" s="526"/>
      <c r="F164" s="526"/>
      <c r="G164" s="526"/>
      <c r="H164" s="526"/>
      <c r="I164" s="526"/>
      <c r="J164" s="526"/>
      <c r="K164" s="526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  <c r="AA164" s="526"/>
      <c r="AB164" s="526"/>
      <c r="AC164" s="526"/>
      <c r="AD164" s="526"/>
      <c r="AE164" s="526"/>
      <c r="AF164" s="526"/>
      <c r="AG164" s="526"/>
      <c r="AH164" s="27"/>
    </row>
    <row r="165" ht="18.75" customHeight="1">
      <c r="A165" s="526"/>
      <c r="B165" s="526"/>
      <c r="C165" s="526"/>
      <c r="D165" s="526"/>
      <c r="E165" s="526"/>
      <c r="F165" s="526"/>
      <c r="G165" s="526"/>
      <c r="H165" s="526"/>
      <c r="I165" s="526"/>
      <c r="J165" s="526"/>
      <c r="K165" s="526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  <c r="Z165" s="526"/>
      <c r="AA165" s="526"/>
      <c r="AB165" s="526"/>
      <c r="AC165" s="526"/>
      <c r="AD165" s="526"/>
      <c r="AE165" s="526"/>
      <c r="AF165" s="526"/>
      <c r="AG165" s="526"/>
      <c r="AH165" s="27"/>
    </row>
    <row r="166" ht="18.75" customHeight="1">
      <c r="A166" s="526"/>
      <c r="B166" s="526"/>
      <c r="C166" s="526"/>
      <c r="D166" s="526"/>
      <c r="E166" s="526"/>
      <c r="F166" s="526"/>
      <c r="G166" s="526"/>
      <c r="H166" s="526"/>
      <c r="I166" s="526"/>
      <c r="J166" s="526"/>
      <c r="K166" s="526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  <c r="AA166" s="526"/>
      <c r="AB166" s="526"/>
      <c r="AC166" s="526"/>
      <c r="AD166" s="526"/>
      <c r="AE166" s="526"/>
      <c r="AF166" s="526"/>
      <c r="AG166" s="526"/>
      <c r="AH166" s="27"/>
    </row>
    <row r="167" ht="18.75" customHeight="1">
      <c r="A167" s="526"/>
      <c r="B167" s="526"/>
      <c r="C167" s="526"/>
      <c r="D167" s="526"/>
      <c r="E167" s="526"/>
      <c r="F167" s="526"/>
      <c r="G167" s="526"/>
      <c r="H167" s="526"/>
      <c r="I167" s="526"/>
      <c r="J167" s="526"/>
      <c r="K167" s="526"/>
      <c r="L167" s="526"/>
      <c r="M167" s="526"/>
      <c r="N167" s="526"/>
      <c r="O167" s="526"/>
      <c r="P167" s="526"/>
      <c r="Q167" s="526"/>
      <c r="R167" s="526"/>
      <c r="S167" s="526"/>
      <c r="T167" s="526"/>
      <c r="U167" s="526"/>
      <c r="V167" s="526"/>
      <c r="W167" s="526"/>
      <c r="X167" s="526"/>
      <c r="Y167" s="526"/>
      <c r="Z167" s="526"/>
      <c r="AA167" s="526"/>
      <c r="AB167" s="526"/>
      <c r="AC167" s="526"/>
      <c r="AD167" s="526"/>
      <c r="AE167" s="526"/>
      <c r="AF167" s="526"/>
      <c r="AG167" s="526"/>
      <c r="AH167" s="27"/>
    </row>
    <row r="168" ht="18.75" customHeight="1">
      <c r="A168" s="526"/>
      <c r="B168" s="526"/>
      <c r="C168" s="526"/>
      <c r="D168" s="526"/>
      <c r="E168" s="526"/>
      <c r="F168" s="526"/>
      <c r="G168" s="526"/>
      <c r="H168" s="526"/>
      <c r="I168" s="526"/>
      <c r="J168" s="526"/>
      <c r="K168" s="526"/>
      <c r="L168" s="526"/>
      <c r="M168" s="526"/>
      <c r="N168" s="526"/>
      <c r="O168" s="526"/>
      <c r="P168" s="526"/>
      <c r="Q168" s="526"/>
      <c r="R168" s="526"/>
      <c r="S168" s="526"/>
      <c r="T168" s="526"/>
      <c r="U168" s="526"/>
      <c r="V168" s="526"/>
      <c r="W168" s="526"/>
      <c r="X168" s="526"/>
      <c r="Y168" s="526"/>
      <c r="Z168" s="526"/>
      <c r="AA168" s="526"/>
      <c r="AB168" s="526"/>
      <c r="AC168" s="526"/>
      <c r="AD168" s="526"/>
      <c r="AE168" s="526"/>
      <c r="AF168" s="526"/>
      <c r="AG168" s="526"/>
      <c r="AH168" s="27"/>
    </row>
    <row r="169" ht="18.75" customHeight="1">
      <c r="A169" s="526"/>
      <c r="B169" s="526"/>
      <c r="C169" s="526"/>
      <c r="D169" s="526"/>
      <c r="E169" s="526"/>
      <c r="F169" s="526"/>
      <c r="G169" s="526"/>
      <c r="H169" s="526"/>
      <c r="I169" s="526"/>
      <c r="J169" s="526"/>
      <c r="K169" s="526"/>
      <c r="L169" s="526"/>
      <c r="M169" s="526"/>
      <c r="N169" s="526"/>
      <c r="O169" s="526"/>
      <c r="P169" s="526"/>
      <c r="Q169" s="526"/>
      <c r="R169" s="526"/>
      <c r="S169" s="526"/>
      <c r="T169" s="526"/>
      <c r="U169" s="526"/>
      <c r="V169" s="526"/>
      <c r="W169" s="526"/>
      <c r="X169" s="526"/>
      <c r="Y169" s="526"/>
      <c r="Z169" s="526"/>
      <c r="AA169" s="526"/>
      <c r="AB169" s="526"/>
      <c r="AC169" s="526"/>
      <c r="AD169" s="526"/>
      <c r="AE169" s="526"/>
      <c r="AF169" s="526"/>
      <c r="AG169" s="526"/>
      <c r="AH169" s="27"/>
    </row>
    <row r="170" ht="18.75" customHeight="1">
      <c r="A170" s="526"/>
      <c r="B170" s="526"/>
      <c r="C170" s="526"/>
      <c r="D170" s="526"/>
      <c r="E170" s="526"/>
      <c r="F170" s="526"/>
      <c r="G170" s="526"/>
      <c r="H170" s="526"/>
      <c r="I170" s="526"/>
      <c r="J170" s="526"/>
      <c r="K170" s="526"/>
      <c r="L170" s="526"/>
      <c r="M170" s="526"/>
      <c r="N170" s="526"/>
      <c r="O170" s="526"/>
      <c r="P170" s="526"/>
      <c r="Q170" s="526"/>
      <c r="R170" s="526"/>
      <c r="S170" s="526"/>
      <c r="T170" s="526"/>
      <c r="U170" s="526"/>
      <c r="V170" s="526"/>
      <c r="W170" s="526"/>
      <c r="X170" s="526"/>
      <c r="Y170" s="526"/>
      <c r="Z170" s="526"/>
      <c r="AA170" s="526"/>
      <c r="AB170" s="526"/>
      <c r="AC170" s="526"/>
      <c r="AD170" s="526"/>
      <c r="AE170" s="526"/>
      <c r="AF170" s="526"/>
      <c r="AG170" s="526"/>
      <c r="AH170" s="27"/>
    </row>
    <row r="171" ht="18.75" customHeight="1">
      <c r="A171" s="526"/>
      <c r="B171" s="526"/>
      <c r="C171" s="526"/>
      <c r="D171" s="526"/>
      <c r="E171" s="526"/>
      <c r="F171" s="526"/>
      <c r="G171" s="526"/>
      <c r="H171" s="526"/>
      <c r="I171" s="526"/>
      <c r="J171" s="526"/>
      <c r="K171" s="526"/>
      <c r="L171" s="526"/>
      <c r="M171" s="526"/>
      <c r="N171" s="526"/>
      <c r="O171" s="526"/>
      <c r="P171" s="526"/>
      <c r="Q171" s="526"/>
      <c r="R171" s="526"/>
      <c r="S171" s="526"/>
      <c r="T171" s="526"/>
      <c r="U171" s="526"/>
      <c r="V171" s="526"/>
      <c r="W171" s="526"/>
      <c r="X171" s="526"/>
      <c r="Y171" s="526"/>
      <c r="Z171" s="526"/>
      <c r="AA171" s="526"/>
      <c r="AB171" s="526"/>
      <c r="AC171" s="526"/>
      <c r="AD171" s="526"/>
      <c r="AE171" s="526"/>
      <c r="AF171" s="526"/>
      <c r="AG171" s="526"/>
      <c r="AH171" s="27"/>
    </row>
    <row r="172" ht="18.75" customHeight="1">
      <c r="A172" s="526"/>
      <c r="B172" s="526"/>
      <c r="C172" s="526"/>
      <c r="D172" s="526"/>
      <c r="E172" s="526"/>
      <c r="F172" s="526"/>
      <c r="G172" s="526"/>
      <c r="H172" s="526"/>
      <c r="I172" s="526"/>
      <c r="J172" s="526"/>
      <c r="K172" s="526"/>
      <c r="L172" s="526"/>
      <c r="M172" s="526"/>
      <c r="N172" s="526"/>
      <c r="O172" s="526"/>
      <c r="P172" s="526"/>
      <c r="Q172" s="526"/>
      <c r="R172" s="526"/>
      <c r="S172" s="526"/>
      <c r="T172" s="526"/>
      <c r="U172" s="526"/>
      <c r="V172" s="526"/>
      <c r="W172" s="526"/>
      <c r="X172" s="526"/>
      <c r="Y172" s="526"/>
      <c r="Z172" s="526"/>
      <c r="AA172" s="526"/>
      <c r="AB172" s="526"/>
      <c r="AC172" s="526"/>
      <c r="AD172" s="526"/>
      <c r="AE172" s="526"/>
      <c r="AF172" s="526"/>
      <c r="AG172" s="526"/>
      <c r="AH172" s="27"/>
    </row>
    <row r="173" ht="18.75" customHeight="1">
      <c r="A173" s="526"/>
      <c r="B173" s="526"/>
      <c r="C173" s="526"/>
      <c r="D173" s="526"/>
      <c r="E173" s="526"/>
      <c r="F173" s="526"/>
      <c r="G173" s="526"/>
      <c r="H173" s="526"/>
      <c r="I173" s="526"/>
      <c r="J173" s="526"/>
      <c r="K173" s="526"/>
      <c r="L173" s="526"/>
      <c r="M173" s="526"/>
      <c r="N173" s="526"/>
      <c r="O173" s="526"/>
      <c r="P173" s="526"/>
      <c r="Q173" s="526"/>
      <c r="R173" s="526"/>
      <c r="S173" s="526"/>
      <c r="T173" s="526"/>
      <c r="U173" s="526"/>
      <c r="V173" s="526"/>
      <c r="W173" s="526"/>
      <c r="X173" s="526"/>
      <c r="Y173" s="526"/>
      <c r="Z173" s="526"/>
      <c r="AA173" s="526"/>
      <c r="AB173" s="526"/>
      <c r="AC173" s="526"/>
      <c r="AD173" s="526"/>
      <c r="AE173" s="526"/>
      <c r="AF173" s="526"/>
      <c r="AG173" s="526"/>
      <c r="AH173" s="27"/>
    </row>
    <row r="174" ht="18.75" customHeight="1">
      <c r="A174" s="526"/>
      <c r="B174" s="526"/>
      <c r="C174" s="526"/>
      <c r="D174" s="526"/>
      <c r="E174" s="526"/>
      <c r="F174" s="526"/>
      <c r="G174" s="526"/>
      <c r="H174" s="526"/>
      <c r="I174" s="526"/>
      <c r="J174" s="526"/>
      <c r="K174" s="526"/>
      <c r="L174" s="526"/>
      <c r="M174" s="526"/>
      <c r="N174" s="526"/>
      <c r="O174" s="526"/>
      <c r="P174" s="526"/>
      <c r="Q174" s="526"/>
      <c r="R174" s="526"/>
      <c r="S174" s="526"/>
      <c r="T174" s="526"/>
      <c r="U174" s="526"/>
      <c r="V174" s="526"/>
      <c r="W174" s="526"/>
      <c r="X174" s="526"/>
      <c r="Y174" s="526"/>
      <c r="Z174" s="526"/>
      <c r="AA174" s="526"/>
      <c r="AB174" s="526"/>
      <c r="AC174" s="526"/>
      <c r="AD174" s="526"/>
      <c r="AE174" s="526"/>
      <c r="AF174" s="526"/>
      <c r="AG174" s="526"/>
      <c r="AH174" s="27"/>
    </row>
    <row r="175" ht="18.75" customHeight="1">
      <c r="A175" s="526"/>
      <c r="B175" s="526"/>
      <c r="C175" s="526"/>
      <c r="D175" s="526"/>
      <c r="E175" s="526"/>
      <c r="F175" s="526"/>
      <c r="G175" s="526"/>
      <c r="H175" s="526"/>
      <c r="I175" s="526"/>
      <c r="J175" s="526"/>
      <c r="K175" s="526"/>
      <c r="L175" s="526"/>
      <c r="M175" s="526"/>
      <c r="N175" s="526"/>
      <c r="O175" s="526"/>
      <c r="P175" s="526"/>
      <c r="Q175" s="526"/>
      <c r="R175" s="526"/>
      <c r="S175" s="526"/>
      <c r="T175" s="526"/>
      <c r="U175" s="526"/>
      <c r="V175" s="526"/>
      <c r="W175" s="526"/>
      <c r="X175" s="526"/>
      <c r="Y175" s="526"/>
      <c r="Z175" s="526"/>
      <c r="AA175" s="526"/>
      <c r="AB175" s="526"/>
      <c r="AC175" s="526"/>
      <c r="AD175" s="526"/>
      <c r="AE175" s="526"/>
      <c r="AF175" s="526"/>
      <c r="AG175" s="526"/>
      <c r="AH175" s="27"/>
    </row>
    <row r="176" ht="18.75" customHeight="1">
      <c r="A176" s="526"/>
      <c r="B176" s="526"/>
      <c r="C176" s="526"/>
      <c r="D176" s="526"/>
      <c r="E176" s="526"/>
      <c r="F176" s="526"/>
      <c r="G176" s="526"/>
      <c r="H176" s="526"/>
      <c r="I176" s="526"/>
      <c r="J176" s="526"/>
      <c r="K176" s="526"/>
      <c r="L176" s="526"/>
      <c r="M176" s="526"/>
      <c r="N176" s="526"/>
      <c r="O176" s="526"/>
      <c r="P176" s="526"/>
      <c r="Q176" s="526"/>
      <c r="R176" s="526"/>
      <c r="S176" s="526"/>
      <c r="T176" s="526"/>
      <c r="U176" s="526"/>
      <c r="V176" s="526"/>
      <c r="W176" s="526"/>
      <c r="X176" s="526"/>
      <c r="Y176" s="526"/>
      <c r="Z176" s="526"/>
      <c r="AA176" s="526"/>
      <c r="AB176" s="526"/>
      <c r="AC176" s="526"/>
      <c r="AD176" s="526"/>
      <c r="AE176" s="526"/>
      <c r="AF176" s="526"/>
      <c r="AG176" s="526"/>
      <c r="AH176" s="27"/>
    </row>
    <row r="177" ht="18.75" customHeight="1">
      <c r="A177" s="526"/>
      <c r="B177" s="526"/>
      <c r="C177" s="526"/>
      <c r="D177" s="526"/>
      <c r="E177" s="526"/>
      <c r="F177" s="526"/>
      <c r="G177" s="526"/>
      <c r="H177" s="526"/>
      <c r="I177" s="526"/>
      <c r="J177" s="526"/>
      <c r="K177" s="526"/>
      <c r="L177" s="526"/>
      <c r="M177" s="526"/>
      <c r="N177" s="526"/>
      <c r="O177" s="526"/>
      <c r="P177" s="526"/>
      <c r="Q177" s="526"/>
      <c r="R177" s="526"/>
      <c r="S177" s="526"/>
      <c r="T177" s="526"/>
      <c r="U177" s="526"/>
      <c r="V177" s="526"/>
      <c r="W177" s="526"/>
      <c r="X177" s="526"/>
      <c r="Y177" s="526"/>
      <c r="Z177" s="526"/>
      <c r="AA177" s="526"/>
      <c r="AB177" s="526"/>
      <c r="AC177" s="526"/>
      <c r="AD177" s="526"/>
      <c r="AE177" s="526"/>
      <c r="AF177" s="526"/>
      <c r="AG177" s="526"/>
      <c r="AH177" s="27"/>
    </row>
    <row r="178" ht="18.75" customHeight="1">
      <c r="A178" s="526"/>
      <c r="B178" s="526"/>
      <c r="C178" s="526"/>
      <c r="D178" s="526"/>
      <c r="E178" s="526"/>
      <c r="F178" s="526"/>
      <c r="G178" s="526"/>
      <c r="H178" s="526"/>
      <c r="I178" s="526"/>
      <c r="J178" s="526"/>
      <c r="K178" s="526"/>
      <c r="L178" s="526"/>
      <c r="M178" s="526"/>
      <c r="N178" s="526"/>
      <c r="O178" s="526"/>
      <c r="P178" s="526"/>
      <c r="Q178" s="526"/>
      <c r="R178" s="526"/>
      <c r="S178" s="526"/>
      <c r="T178" s="526"/>
      <c r="U178" s="526"/>
      <c r="V178" s="526"/>
      <c r="W178" s="526"/>
      <c r="X178" s="526"/>
      <c r="Y178" s="526"/>
      <c r="Z178" s="526"/>
      <c r="AA178" s="526"/>
      <c r="AB178" s="526"/>
      <c r="AC178" s="526"/>
      <c r="AD178" s="526"/>
      <c r="AE178" s="526"/>
      <c r="AF178" s="526"/>
      <c r="AG178" s="526"/>
      <c r="AH178" s="27"/>
    </row>
    <row r="179" ht="18.75" customHeight="1">
      <c r="A179" s="526"/>
      <c r="B179" s="526"/>
      <c r="C179" s="526"/>
      <c r="D179" s="526"/>
      <c r="E179" s="526"/>
      <c r="F179" s="526"/>
      <c r="G179" s="526"/>
      <c r="H179" s="526"/>
      <c r="I179" s="526"/>
      <c r="J179" s="526"/>
      <c r="K179" s="526"/>
      <c r="L179" s="526"/>
      <c r="M179" s="526"/>
      <c r="N179" s="526"/>
      <c r="O179" s="526"/>
      <c r="P179" s="526"/>
      <c r="Q179" s="526"/>
      <c r="R179" s="526"/>
      <c r="S179" s="526"/>
      <c r="T179" s="526"/>
      <c r="U179" s="526"/>
      <c r="V179" s="526"/>
      <c r="W179" s="526"/>
      <c r="X179" s="526"/>
      <c r="Y179" s="526"/>
      <c r="Z179" s="526"/>
      <c r="AA179" s="526"/>
      <c r="AB179" s="526"/>
      <c r="AC179" s="526"/>
      <c r="AD179" s="526"/>
      <c r="AE179" s="526"/>
      <c r="AF179" s="526"/>
      <c r="AG179" s="526"/>
      <c r="AH179" s="27"/>
    </row>
    <row r="180" ht="18.75" customHeight="1">
      <c r="A180" s="526"/>
      <c r="B180" s="526"/>
      <c r="C180" s="526"/>
      <c r="D180" s="526"/>
      <c r="E180" s="526"/>
      <c r="F180" s="526"/>
      <c r="G180" s="526"/>
      <c r="H180" s="526"/>
      <c r="I180" s="526"/>
      <c r="J180" s="526"/>
      <c r="K180" s="526"/>
      <c r="L180" s="526"/>
      <c r="M180" s="526"/>
      <c r="N180" s="526"/>
      <c r="O180" s="526"/>
      <c r="P180" s="526"/>
      <c r="Q180" s="526"/>
      <c r="R180" s="526"/>
      <c r="S180" s="526"/>
      <c r="T180" s="526"/>
      <c r="U180" s="526"/>
      <c r="V180" s="526"/>
      <c r="W180" s="526"/>
      <c r="X180" s="526"/>
      <c r="Y180" s="526"/>
      <c r="Z180" s="526"/>
      <c r="AA180" s="526"/>
      <c r="AB180" s="526"/>
      <c r="AC180" s="526"/>
      <c r="AD180" s="526"/>
      <c r="AE180" s="526"/>
      <c r="AF180" s="526"/>
      <c r="AG180" s="526"/>
      <c r="AH180" s="27"/>
    </row>
    <row r="181" ht="18.75" customHeight="1">
      <c r="A181" s="526"/>
      <c r="B181" s="526"/>
      <c r="C181" s="526"/>
      <c r="D181" s="526"/>
      <c r="E181" s="526"/>
      <c r="F181" s="526"/>
      <c r="G181" s="526"/>
      <c r="H181" s="526"/>
      <c r="I181" s="526"/>
      <c r="J181" s="526"/>
      <c r="K181" s="526"/>
      <c r="L181" s="526"/>
      <c r="M181" s="526"/>
      <c r="N181" s="526"/>
      <c r="O181" s="526"/>
      <c r="P181" s="526"/>
      <c r="Q181" s="526"/>
      <c r="R181" s="526"/>
      <c r="S181" s="526"/>
      <c r="T181" s="526"/>
      <c r="U181" s="526"/>
      <c r="V181" s="526"/>
      <c r="W181" s="526"/>
      <c r="X181" s="526"/>
      <c r="Y181" s="526"/>
      <c r="Z181" s="526"/>
      <c r="AA181" s="526"/>
      <c r="AB181" s="526"/>
      <c r="AC181" s="526"/>
      <c r="AD181" s="526"/>
      <c r="AE181" s="526"/>
      <c r="AF181" s="526"/>
      <c r="AG181" s="526"/>
      <c r="AH181" s="27"/>
    </row>
    <row r="182" ht="18.75" customHeight="1">
      <c r="A182" s="526"/>
      <c r="B182" s="526"/>
      <c r="C182" s="526"/>
      <c r="D182" s="526"/>
      <c r="E182" s="526"/>
      <c r="F182" s="526"/>
      <c r="G182" s="526"/>
      <c r="H182" s="526"/>
      <c r="I182" s="526"/>
      <c r="J182" s="526"/>
      <c r="K182" s="526"/>
      <c r="L182" s="526"/>
      <c r="M182" s="526"/>
      <c r="N182" s="526"/>
      <c r="O182" s="526"/>
      <c r="P182" s="526"/>
      <c r="Q182" s="526"/>
      <c r="R182" s="526"/>
      <c r="S182" s="526"/>
      <c r="T182" s="526"/>
      <c r="U182" s="526"/>
      <c r="V182" s="526"/>
      <c r="W182" s="526"/>
      <c r="X182" s="526"/>
      <c r="Y182" s="526"/>
      <c r="Z182" s="526"/>
      <c r="AA182" s="526"/>
      <c r="AB182" s="526"/>
      <c r="AC182" s="526"/>
      <c r="AD182" s="526"/>
      <c r="AE182" s="526"/>
      <c r="AF182" s="526"/>
      <c r="AG182" s="526"/>
      <c r="AH182" s="27"/>
    </row>
    <row r="183" ht="18.75" customHeight="1">
      <c r="A183" s="526"/>
      <c r="B183" s="526"/>
      <c r="C183" s="526"/>
      <c r="D183" s="526"/>
      <c r="E183" s="526"/>
      <c r="F183" s="526"/>
      <c r="G183" s="526"/>
      <c r="H183" s="526"/>
      <c r="I183" s="526"/>
      <c r="J183" s="526"/>
      <c r="K183" s="526"/>
      <c r="L183" s="526"/>
      <c r="M183" s="526"/>
      <c r="N183" s="526"/>
      <c r="O183" s="526"/>
      <c r="P183" s="526"/>
      <c r="Q183" s="526"/>
      <c r="R183" s="526"/>
      <c r="S183" s="526"/>
      <c r="T183" s="526"/>
      <c r="U183" s="526"/>
      <c r="V183" s="526"/>
      <c r="W183" s="526"/>
      <c r="X183" s="526"/>
      <c r="Y183" s="526"/>
      <c r="Z183" s="526"/>
      <c r="AA183" s="526"/>
      <c r="AB183" s="526"/>
      <c r="AC183" s="526"/>
      <c r="AD183" s="526"/>
      <c r="AE183" s="526"/>
      <c r="AF183" s="526"/>
      <c r="AG183" s="526"/>
      <c r="AH183" s="27"/>
    </row>
    <row r="184" ht="18.75" customHeight="1">
      <c r="A184" s="526"/>
      <c r="B184" s="526"/>
      <c r="C184" s="526"/>
      <c r="D184" s="526"/>
      <c r="E184" s="526"/>
      <c r="F184" s="526"/>
      <c r="G184" s="526"/>
      <c r="H184" s="526"/>
      <c r="I184" s="526"/>
      <c r="J184" s="526"/>
      <c r="K184" s="526"/>
      <c r="L184" s="526"/>
      <c r="M184" s="526"/>
      <c r="N184" s="526"/>
      <c r="O184" s="526"/>
      <c r="P184" s="526"/>
      <c r="Q184" s="526"/>
      <c r="R184" s="526"/>
      <c r="S184" s="526"/>
      <c r="T184" s="526"/>
      <c r="U184" s="526"/>
      <c r="V184" s="526"/>
      <c r="W184" s="526"/>
      <c r="X184" s="526"/>
      <c r="Y184" s="526"/>
      <c r="Z184" s="526"/>
      <c r="AA184" s="526"/>
      <c r="AB184" s="526"/>
      <c r="AC184" s="526"/>
      <c r="AD184" s="526"/>
      <c r="AE184" s="526"/>
      <c r="AF184" s="526"/>
      <c r="AG184" s="526"/>
      <c r="AH184" s="27"/>
    </row>
    <row r="185" ht="18.75" customHeight="1">
      <c r="A185" s="526"/>
      <c r="B185" s="526"/>
      <c r="C185" s="526"/>
      <c r="D185" s="526"/>
      <c r="E185" s="526"/>
      <c r="F185" s="526"/>
      <c r="G185" s="526"/>
      <c r="H185" s="526"/>
      <c r="I185" s="526"/>
      <c r="J185" s="526"/>
      <c r="K185" s="526"/>
      <c r="L185" s="526"/>
      <c r="M185" s="526"/>
      <c r="N185" s="526"/>
      <c r="O185" s="526"/>
      <c r="P185" s="526"/>
      <c r="Q185" s="526"/>
      <c r="R185" s="526"/>
      <c r="S185" s="526"/>
      <c r="T185" s="526"/>
      <c r="U185" s="526"/>
      <c r="V185" s="526"/>
      <c r="W185" s="526"/>
      <c r="X185" s="526"/>
      <c r="Y185" s="526"/>
      <c r="Z185" s="526"/>
      <c r="AA185" s="526"/>
      <c r="AB185" s="526"/>
      <c r="AC185" s="526"/>
      <c r="AD185" s="526"/>
      <c r="AE185" s="526"/>
      <c r="AF185" s="526"/>
      <c r="AG185" s="526"/>
      <c r="AH185" s="27"/>
    </row>
    <row r="186" ht="18.75" customHeight="1">
      <c r="A186" s="526"/>
      <c r="B186" s="526"/>
      <c r="C186" s="526"/>
      <c r="D186" s="526"/>
      <c r="E186" s="526"/>
      <c r="F186" s="526"/>
      <c r="G186" s="526"/>
      <c r="H186" s="526"/>
      <c r="I186" s="526"/>
      <c r="J186" s="526"/>
      <c r="K186" s="526"/>
      <c r="L186" s="526"/>
      <c r="M186" s="526"/>
      <c r="N186" s="526"/>
      <c r="O186" s="526"/>
      <c r="P186" s="526"/>
      <c r="Q186" s="526"/>
      <c r="R186" s="526"/>
      <c r="S186" s="526"/>
      <c r="T186" s="526"/>
      <c r="U186" s="526"/>
      <c r="V186" s="526"/>
      <c r="W186" s="526"/>
      <c r="X186" s="526"/>
      <c r="Y186" s="526"/>
      <c r="Z186" s="526"/>
      <c r="AA186" s="526"/>
      <c r="AB186" s="526"/>
      <c r="AC186" s="526"/>
      <c r="AD186" s="526"/>
      <c r="AE186" s="526"/>
      <c r="AF186" s="526"/>
      <c r="AG186" s="526"/>
      <c r="AH186" s="27"/>
    </row>
    <row r="187" ht="18.75" customHeight="1">
      <c r="A187" s="526"/>
      <c r="B187" s="526"/>
      <c r="C187" s="526"/>
      <c r="D187" s="526"/>
      <c r="E187" s="526"/>
      <c r="F187" s="526"/>
      <c r="G187" s="526"/>
      <c r="H187" s="526"/>
      <c r="I187" s="526"/>
      <c r="J187" s="526"/>
      <c r="K187" s="526"/>
      <c r="L187" s="526"/>
      <c r="M187" s="526"/>
      <c r="N187" s="526"/>
      <c r="O187" s="526"/>
      <c r="P187" s="526"/>
      <c r="Q187" s="526"/>
      <c r="R187" s="526"/>
      <c r="S187" s="526"/>
      <c r="T187" s="526"/>
      <c r="U187" s="526"/>
      <c r="V187" s="526"/>
      <c r="W187" s="526"/>
      <c r="X187" s="526"/>
      <c r="Y187" s="526"/>
      <c r="Z187" s="526"/>
      <c r="AA187" s="526"/>
      <c r="AB187" s="526"/>
      <c r="AC187" s="526"/>
      <c r="AD187" s="526"/>
      <c r="AE187" s="526"/>
      <c r="AF187" s="526"/>
      <c r="AG187" s="526"/>
      <c r="AH187" s="27"/>
    </row>
    <row r="188" ht="18.75" customHeight="1">
      <c r="A188" s="526"/>
      <c r="B188" s="526"/>
      <c r="C188" s="526"/>
      <c r="D188" s="526"/>
      <c r="E188" s="526"/>
      <c r="F188" s="526"/>
      <c r="G188" s="526"/>
      <c r="H188" s="526"/>
      <c r="I188" s="526"/>
      <c r="J188" s="526"/>
      <c r="K188" s="526"/>
      <c r="L188" s="526"/>
      <c r="M188" s="526"/>
      <c r="N188" s="526"/>
      <c r="O188" s="526"/>
      <c r="P188" s="526"/>
      <c r="Q188" s="526"/>
      <c r="R188" s="526"/>
      <c r="S188" s="526"/>
      <c r="T188" s="526"/>
      <c r="U188" s="526"/>
      <c r="V188" s="526"/>
      <c r="W188" s="526"/>
      <c r="X188" s="526"/>
      <c r="Y188" s="526"/>
      <c r="Z188" s="526"/>
      <c r="AA188" s="526"/>
      <c r="AB188" s="526"/>
      <c r="AC188" s="526"/>
      <c r="AD188" s="526"/>
      <c r="AE188" s="526"/>
      <c r="AF188" s="526"/>
      <c r="AG188" s="526"/>
      <c r="AH188" s="27"/>
    </row>
    <row r="189" ht="18.75" customHeight="1">
      <c r="A189" s="526"/>
      <c r="B189" s="526"/>
      <c r="C189" s="526"/>
      <c r="D189" s="526"/>
      <c r="E189" s="526"/>
      <c r="F189" s="526"/>
      <c r="G189" s="526"/>
      <c r="H189" s="526"/>
      <c r="I189" s="526"/>
      <c r="J189" s="526"/>
      <c r="K189" s="526"/>
      <c r="L189" s="526"/>
      <c r="M189" s="526"/>
      <c r="N189" s="526"/>
      <c r="O189" s="526"/>
      <c r="P189" s="526"/>
      <c r="Q189" s="526"/>
      <c r="R189" s="526"/>
      <c r="S189" s="526"/>
      <c r="T189" s="526"/>
      <c r="U189" s="526"/>
      <c r="V189" s="526"/>
      <c r="W189" s="526"/>
      <c r="X189" s="526"/>
      <c r="Y189" s="526"/>
      <c r="Z189" s="526"/>
      <c r="AA189" s="526"/>
      <c r="AB189" s="526"/>
      <c r="AC189" s="526"/>
      <c r="AD189" s="526"/>
      <c r="AE189" s="526"/>
      <c r="AF189" s="526"/>
      <c r="AG189" s="526"/>
      <c r="AH189" s="27"/>
    </row>
    <row r="190" ht="18.75" customHeight="1">
      <c r="A190" s="526"/>
      <c r="B190" s="526"/>
      <c r="C190" s="526"/>
      <c r="D190" s="526"/>
      <c r="E190" s="526"/>
      <c r="F190" s="526"/>
      <c r="G190" s="526"/>
      <c r="H190" s="526"/>
      <c r="I190" s="526"/>
      <c r="J190" s="526"/>
      <c r="K190" s="526"/>
      <c r="L190" s="526"/>
      <c r="M190" s="526"/>
      <c r="N190" s="526"/>
      <c r="O190" s="526"/>
      <c r="P190" s="526"/>
      <c r="Q190" s="526"/>
      <c r="R190" s="526"/>
      <c r="S190" s="526"/>
      <c r="T190" s="526"/>
      <c r="U190" s="526"/>
      <c r="V190" s="526"/>
      <c r="W190" s="526"/>
      <c r="X190" s="526"/>
      <c r="Y190" s="526"/>
      <c r="Z190" s="526"/>
      <c r="AA190" s="526"/>
      <c r="AB190" s="526"/>
      <c r="AC190" s="526"/>
      <c r="AD190" s="526"/>
      <c r="AE190" s="526"/>
      <c r="AF190" s="526"/>
      <c r="AG190" s="526"/>
      <c r="AH190" s="27"/>
    </row>
    <row r="191" ht="18.75" customHeight="1">
      <c r="A191" s="526"/>
      <c r="B191" s="526"/>
      <c r="C191" s="526"/>
      <c r="D191" s="526"/>
      <c r="E191" s="526"/>
      <c r="F191" s="526"/>
      <c r="G191" s="526"/>
      <c r="H191" s="526"/>
      <c r="I191" s="526"/>
      <c r="J191" s="526"/>
      <c r="K191" s="526"/>
      <c r="L191" s="526"/>
      <c r="M191" s="526"/>
      <c r="N191" s="526"/>
      <c r="O191" s="526"/>
      <c r="P191" s="526"/>
      <c r="Q191" s="526"/>
      <c r="R191" s="526"/>
      <c r="S191" s="526"/>
      <c r="T191" s="526"/>
      <c r="U191" s="526"/>
      <c r="V191" s="526"/>
      <c r="W191" s="526"/>
      <c r="X191" s="526"/>
      <c r="Y191" s="526"/>
      <c r="Z191" s="526"/>
      <c r="AA191" s="526"/>
      <c r="AB191" s="526"/>
      <c r="AC191" s="526"/>
      <c r="AD191" s="526"/>
      <c r="AE191" s="526"/>
      <c r="AF191" s="526"/>
      <c r="AG191" s="526"/>
      <c r="AH191" s="27"/>
    </row>
    <row r="192" ht="18.75" customHeight="1">
      <c r="A192" s="526"/>
      <c r="B192" s="526"/>
      <c r="C192" s="526"/>
      <c r="D192" s="526"/>
      <c r="E192" s="526"/>
      <c r="F192" s="526"/>
      <c r="G192" s="526"/>
      <c r="H192" s="526"/>
      <c r="I192" s="526"/>
      <c r="J192" s="526"/>
      <c r="K192" s="526"/>
      <c r="L192" s="526"/>
      <c r="M192" s="526"/>
      <c r="N192" s="526"/>
      <c r="O192" s="526"/>
      <c r="P192" s="526"/>
      <c r="Q192" s="526"/>
      <c r="R192" s="526"/>
      <c r="S192" s="526"/>
      <c r="T192" s="526"/>
      <c r="U192" s="526"/>
      <c r="V192" s="526"/>
      <c r="W192" s="526"/>
      <c r="X192" s="526"/>
      <c r="Y192" s="526"/>
      <c r="Z192" s="526"/>
      <c r="AA192" s="526"/>
      <c r="AB192" s="526"/>
      <c r="AC192" s="526"/>
      <c r="AD192" s="526"/>
      <c r="AE192" s="526"/>
      <c r="AF192" s="526"/>
      <c r="AG192" s="526"/>
      <c r="AH192" s="27"/>
    </row>
    <row r="193" ht="18.75" customHeight="1">
      <c r="A193" s="526"/>
      <c r="B193" s="526"/>
      <c r="C193" s="526"/>
      <c r="D193" s="526"/>
      <c r="E193" s="526"/>
      <c r="F193" s="526"/>
      <c r="G193" s="526"/>
      <c r="H193" s="526"/>
      <c r="I193" s="526"/>
      <c r="J193" s="526"/>
      <c r="K193" s="526"/>
      <c r="L193" s="526"/>
      <c r="M193" s="526"/>
      <c r="N193" s="526"/>
      <c r="O193" s="526"/>
      <c r="P193" s="526"/>
      <c r="Q193" s="526"/>
      <c r="R193" s="526"/>
      <c r="S193" s="526"/>
      <c r="T193" s="526"/>
      <c r="U193" s="526"/>
      <c r="V193" s="526"/>
      <c r="W193" s="526"/>
      <c r="X193" s="526"/>
      <c r="Y193" s="526"/>
      <c r="Z193" s="526"/>
      <c r="AA193" s="526"/>
      <c r="AB193" s="526"/>
      <c r="AC193" s="526"/>
      <c r="AD193" s="526"/>
      <c r="AE193" s="526"/>
      <c r="AF193" s="526"/>
      <c r="AG193" s="526"/>
      <c r="AH193" s="27"/>
    </row>
    <row r="194" ht="18.75" customHeight="1">
      <c r="A194" s="526"/>
      <c r="B194" s="526"/>
      <c r="C194" s="526"/>
      <c r="D194" s="526"/>
      <c r="E194" s="526"/>
      <c r="F194" s="526"/>
      <c r="G194" s="526"/>
      <c r="H194" s="526"/>
      <c r="I194" s="526"/>
      <c r="J194" s="526"/>
      <c r="K194" s="526"/>
      <c r="L194" s="526"/>
      <c r="M194" s="526"/>
      <c r="N194" s="526"/>
      <c r="O194" s="526"/>
      <c r="P194" s="526"/>
      <c r="Q194" s="526"/>
      <c r="R194" s="526"/>
      <c r="S194" s="526"/>
      <c r="T194" s="526"/>
      <c r="U194" s="526"/>
      <c r="V194" s="526"/>
      <c r="W194" s="526"/>
      <c r="X194" s="526"/>
      <c r="Y194" s="526"/>
      <c r="Z194" s="526"/>
      <c r="AA194" s="526"/>
      <c r="AB194" s="526"/>
      <c r="AC194" s="526"/>
      <c r="AD194" s="526"/>
      <c r="AE194" s="526"/>
      <c r="AF194" s="526"/>
      <c r="AG194" s="526"/>
      <c r="AH194" s="27"/>
    </row>
    <row r="195" ht="18.75" customHeight="1">
      <c r="A195" s="526"/>
      <c r="B195" s="526"/>
      <c r="C195" s="526"/>
      <c r="D195" s="526"/>
      <c r="E195" s="526"/>
      <c r="F195" s="526"/>
      <c r="G195" s="526"/>
      <c r="H195" s="526"/>
      <c r="I195" s="526"/>
      <c r="J195" s="526"/>
      <c r="K195" s="526"/>
      <c r="L195" s="526"/>
      <c r="M195" s="526"/>
      <c r="N195" s="526"/>
      <c r="O195" s="526"/>
      <c r="P195" s="526"/>
      <c r="Q195" s="526"/>
      <c r="R195" s="526"/>
      <c r="S195" s="526"/>
      <c r="T195" s="526"/>
      <c r="U195" s="526"/>
      <c r="V195" s="526"/>
      <c r="W195" s="526"/>
      <c r="X195" s="526"/>
      <c r="Y195" s="526"/>
      <c r="Z195" s="526"/>
      <c r="AA195" s="526"/>
      <c r="AB195" s="526"/>
      <c r="AC195" s="526"/>
      <c r="AD195" s="526"/>
      <c r="AE195" s="526"/>
      <c r="AF195" s="526"/>
      <c r="AG195" s="526"/>
      <c r="AH195" s="27"/>
    </row>
    <row r="196" ht="18.75" customHeight="1">
      <c r="A196" s="526"/>
      <c r="B196" s="526"/>
      <c r="C196" s="526"/>
      <c r="D196" s="526"/>
      <c r="E196" s="526"/>
      <c r="F196" s="526"/>
      <c r="G196" s="526"/>
      <c r="H196" s="526"/>
      <c r="I196" s="526"/>
      <c r="J196" s="526"/>
      <c r="K196" s="526"/>
      <c r="L196" s="526"/>
      <c r="M196" s="526"/>
      <c r="N196" s="526"/>
      <c r="O196" s="526"/>
      <c r="P196" s="526"/>
      <c r="Q196" s="526"/>
      <c r="R196" s="526"/>
      <c r="S196" s="526"/>
      <c r="T196" s="526"/>
      <c r="U196" s="526"/>
      <c r="V196" s="526"/>
      <c r="W196" s="526"/>
      <c r="X196" s="526"/>
      <c r="Y196" s="526"/>
      <c r="Z196" s="526"/>
      <c r="AA196" s="526"/>
      <c r="AB196" s="526"/>
      <c r="AC196" s="526"/>
      <c r="AD196" s="526"/>
      <c r="AE196" s="526"/>
      <c r="AF196" s="526"/>
      <c r="AG196" s="526"/>
      <c r="AH196" s="27"/>
    </row>
    <row r="197" ht="18.75" customHeight="1">
      <c r="A197" s="526"/>
      <c r="B197" s="526"/>
      <c r="C197" s="526"/>
      <c r="D197" s="526"/>
      <c r="E197" s="526"/>
      <c r="F197" s="526"/>
      <c r="G197" s="526"/>
      <c r="H197" s="526"/>
      <c r="I197" s="526"/>
      <c r="J197" s="526"/>
      <c r="K197" s="526"/>
      <c r="L197" s="526"/>
      <c r="M197" s="526"/>
      <c r="N197" s="526"/>
      <c r="O197" s="526"/>
      <c r="P197" s="526"/>
      <c r="Q197" s="526"/>
      <c r="R197" s="526"/>
      <c r="S197" s="526"/>
      <c r="T197" s="526"/>
      <c r="U197" s="526"/>
      <c r="V197" s="526"/>
      <c r="W197" s="526"/>
      <c r="X197" s="526"/>
      <c r="Y197" s="526"/>
      <c r="Z197" s="526"/>
      <c r="AA197" s="526"/>
      <c r="AB197" s="526"/>
      <c r="AC197" s="526"/>
      <c r="AD197" s="526"/>
      <c r="AE197" s="526"/>
      <c r="AF197" s="526"/>
      <c r="AG197" s="526"/>
      <c r="AH197" s="27"/>
    </row>
    <row r="198" ht="18.75" customHeight="1">
      <c r="A198" s="526"/>
      <c r="B198" s="526"/>
      <c r="C198" s="526"/>
      <c r="D198" s="526"/>
      <c r="E198" s="526"/>
      <c r="F198" s="526"/>
      <c r="G198" s="526"/>
      <c r="H198" s="526"/>
      <c r="I198" s="526"/>
      <c r="J198" s="526"/>
      <c r="K198" s="526"/>
      <c r="L198" s="526"/>
      <c r="M198" s="526"/>
      <c r="N198" s="526"/>
      <c r="O198" s="526"/>
      <c r="P198" s="526"/>
      <c r="Q198" s="526"/>
      <c r="R198" s="526"/>
      <c r="S198" s="526"/>
      <c r="T198" s="526"/>
      <c r="U198" s="526"/>
      <c r="V198" s="526"/>
      <c r="W198" s="526"/>
      <c r="X198" s="526"/>
      <c r="Y198" s="526"/>
      <c r="Z198" s="526"/>
      <c r="AA198" s="526"/>
      <c r="AB198" s="526"/>
      <c r="AC198" s="526"/>
      <c r="AD198" s="526"/>
      <c r="AE198" s="526"/>
      <c r="AF198" s="526"/>
      <c r="AG198" s="526"/>
      <c r="AH198" s="27"/>
    </row>
    <row r="199" ht="18.75" customHeight="1">
      <c r="A199" s="526"/>
      <c r="B199" s="526"/>
      <c r="C199" s="526"/>
      <c r="D199" s="526"/>
      <c r="E199" s="526"/>
      <c r="F199" s="526"/>
      <c r="G199" s="526"/>
      <c r="H199" s="526"/>
      <c r="I199" s="526"/>
      <c r="J199" s="526"/>
      <c r="K199" s="526"/>
      <c r="L199" s="526"/>
      <c r="M199" s="526"/>
      <c r="N199" s="526"/>
      <c r="O199" s="526"/>
      <c r="P199" s="526"/>
      <c r="Q199" s="526"/>
      <c r="R199" s="526"/>
      <c r="S199" s="526"/>
      <c r="T199" s="526"/>
      <c r="U199" s="526"/>
      <c r="V199" s="526"/>
      <c r="W199" s="526"/>
      <c r="X199" s="526"/>
      <c r="Y199" s="526"/>
      <c r="Z199" s="526"/>
      <c r="AA199" s="526"/>
      <c r="AB199" s="526"/>
      <c r="AC199" s="526"/>
      <c r="AD199" s="526"/>
      <c r="AE199" s="526"/>
      <c r="AF199" s="526"/>
      <c r="AG199" s="526"/>
      <c r="AH199" s="27"/>
    </row>
    <row r="200" ht="18.75" customHeight="1">
      <c r="A200" s="526"/>
      <c r="B200" s="526"/>
      <c r="C200" s="526"/>
      <c r="D200" s="526"/>
      <c r="E200" s="526"/>
      <c r="F200" s="526"/>
      <c r="G200" s="526"/>
      <c r="H200" s="526"/>
      <c r="I200" s="526"/>
      <c r="J200" s="526"/>
      <c r="K200" s="526"/>
      <c r="L200" s="526"/>
      <c r="M200" s="526"/>
      <c r="N200" s="526"/>
      <c r="O200" s="526"/>
      <c r="P200" s="526"/>
      <c r="Q200" s="526"/>
      <c r="R200" s="526"/>
      <c r="S200" s="526"/>
      <c r="T200" s="526"/>
      <c r="U200" s="526"/>
      <c r="V200" s="526"/>
      <c r="W200" s="526"/>
      <c r="X200" s="526"/>
      <c r="Y200" s="526"/>
      <c r="Z200" s="526"/>
      <c r="AA200" s="526"/>
      <c r="AB200" s="526"/>
      <c r="AC200" s="526"/>
      <c r="AD200" s="526"/>
      <c r="AE200" s="526"/>
      <c r="AF200" s="526"/>
      <c r="AG200" s="526"/>
      <c r="AH200" s="27"/>
    </row>
    <row r="201" ht="18.75" customHeight="1">
      <c r="A201" s="526"/>
      <c r="B201" s="526"/>
      <c r="C201" s="526"/>
      <c r="D201" s="526"/>
      <c r="E201" s="526"/>
      <c r="F201" s="526"/>
      <c r="G201" s="526"/>
      <c r="H201" s="526"/>
      <c r="I201" s="526"/>
      <c r="J201" s="526"/>
      <c r="K201" s="526"/>
      <c r="L201" s="526"/>
      <c r="M201" s="526"/>
      <c r="N201" s="526"/>
      <c r="O201" s="526"/>
      <c r="P201" s="526"/>
      <c r="Q201" s="526"/>
      <c r="R201" s="526"/>
      <c r="S201" s="526"/>
      <c r="T201" s="526"/>
      <c r="U201" s="526"/>
      <c r="V201" s="526"/>
      <c r="W201" s="526"/>
      <c r="X201" s="526"/>
      <c r="Y201" s="526"/>
      <c r="Z201" s="526"/>
      <c r="AA201" s="526"/>
      <c r="AB201" s="526"/>
      <c r="AC201" s="526"/>
      <c r="AD201" s="526"/>
      <c r="AE201" s="526"/>
      <c r="AF201" s="526"/>
      <c r="AG201" s="526"/>
      <c r="AH201" s="27"/>
    </row>
    <row r="202" ht="18.75" customHeight="1">
      <c r="A202" s="526"/>
      <c r="B202" s="526"/>
      <c r="C202" s="526"/>
      <c r="D202" s="526"/>
      <c r="E202" s="526"/>
      <c r="F202" s="526"/>
      <c r="G202" s="526"/>
      <c r="H202" s="526"/>
      <c r="I202" s="526"/>
      <c r="J202" s="526"/>
      <c r="K202" s="526"/>
      <c r="L202" s="526"/>
      <c r="M202" s="526"/>
      <c r="N202" s="526"/>
      <c r="O202" s="526"/>
      <c r="P202" s="526"/>
      <c r="Q202" s="526"/>
      <c r="R202" s="526"/>
      <c r="S202" s="526"/>
      <c r="T202" s="526"/>
      <c r="U202" s="526"/>
      <c r="V202" s="526"/>
      <c r="W202" s="526"/>
      <c r="X202" s="526"/>
      <c r="Y202" s="526"/>
      <c r="Z202" s="526"/>
      <c r="AA202" s="526"/>
      <c r="AB202" s="526"/>
      <c r="AC202" s="526"/>
      <c r="AD202" s="526"/>
      <c r="AE202" s="526"/>
      <c r="AF202" s="526"/>
      <c r="AG202" s="526"/>
      <c r="AH202" s="27"/>
    </row>
    <row r="203" ht="18.75" customHeight="1">
      <c r="A203" s="526"/>
      <c r="B203" s="526"/>
      <c r="C203" s="526"/>
      <c r="D203" s="526"/>
      <c r="E203" s="526"/>
      <c r="F203" s="526"/>
      <c r="G203" s="526"/>
      <c r="H203" s="526"/>
      <c r="I203" s="526"/>
      <c r="J203" s="526"/>
      <c r="K203" s="526"/>
      <c r="L203" s="526"/>
      <c r="M203" s="526"/>
      <c r="N203" s="526"/>
      <c r="O203" s="526"/>
      <c r="P203" s="526"/>
      <c r="Q203" s="526"/>
      <c r="R203" s="526"/>
      <c r="S203" s="526"/>
      <c r="T203" s="526"/>
      <c r="U203" s="526"/>
      <c r="V203" s="526"/>
      <c r="W203" s="526"/>
      <c r="X203" s="526"/>
      <c r="Y203" s="526"/>
      <c r="Z203" s="526"/>
      <c r="AA203" s="526"/>
      <c r="AB203" s="526"/>
      <c r="AC203" s="526"/>
      <c r="AD203" s="526"/>
      <c r="AE203" s="526"/>
      <c r="AF203" s="526"/>
      <c r="AG203" s="526"/>
      <c r="AH203" s="27"/>
    </row>
    <row r="204" ht="18.75" customHeight="1">
      <c r="A204" s="526"/>
      <c r="B204" s="526"/>
      <c r="C204" s="526"/>
      <c r="D204" s="526"/>
      <c r="E204" s="526"/>
      <c r="F204" s="526"/>
      <c r="G204" s="526"/>
      <c r="H204" s="526"/>
      <c r="I204" s="526"/>
      <c r="J204" s="526"/>
      <c r="K204" s="526"/>
      <c r="L204" s="526"/>
      <c r="M204" s="526"/>
      <c r="N204" s="526"/>
      <c r="O204" s="526"/>
      <c r="P204" s="526"/>
      <c r="Q204" s="526"/>
      <c r="R204" s="526"/>
      <c r="S204" s="526"/>
      <c r="T204" s="526"/>
      <c r="U204" s="526"/>
      <c r="V204" s="526"/>
      <c r="W204" s="526"/>
      <c r="X204" s="526"/>
      <c r="Y204" s="526"/>
      <c r="Z204" s="526"/>
      <c r="AA204" s="526"/>
      <c r="AB204" s="526"/>
      <c r="AC204" s="526"/>
      <c r="AD204" s="526"/>
      <c r="AE204" s="526"/>
      <c r="AF204" s="526"/>
      <c r="AG204" s="526"/>
      <c r="AH204" s="27"/>
    </row>
    <row r="205" ht="18.75" customHeight="1">
      <c r="A205" s="526"/>
      <c r="B205" s="526"/>
      <c r="C205" s="526"/>
      <c r="D205" s="526"/>
      <c r="E205" s="526"/>
      <c r="F205" s="526"/>
      <c r="G205" s="526"/>
      <c r="H205" s="526"/>
      <c r="I205" s="526"/>
      <c r="J205" s="526"/>
      <c r="K205" s="526"/>
      <c r="L205" s="526"/>
      <c r="M205" s="526"/>
      <c r="N205" s="526"/>
      <c r="O205" s="526"/>
      <c r="P205" s="526"/>
      <c r="Q205" s="526"/>
      <c r="R205" s="526"/>
      <c r="S205" s="526"/>
      <c r="T205" s="526"/>
      <c r="U205" s="526"/>
      <c r="V205" s="526"/>
      <c r="W205" s="526"/>
      <c r="X205" s="526"/>
      <c r="Y205" s="526"/>
      <c r="Z205" s="526"/>
      <c r="AA205" s="526"/>
      <c r="AB205" s="526"/>
      <c r="AC205" s="526"/>
      <c r="AD205" s="526"/>
      <c r="AE205" s="526"/>
      <c r="AF205" s="526"/>
      <c r="AG205" s="526"/>
      <c r="AH205" s="27"/>
    </row>
    <row r="206" ht="18.75" customHeight="1">
      <c r="A206" s="526"/>
      <c r="B206" s="526"/>
      <c r="C206" s="526"/>
      <c r="D206" s="526"/>
      <c r="E206" s="526"/>
      <c r="F206" s="526"/>
      <c r="G206" s="526"/>
      <c r="H206" s="526"/>
      <c r="I206" s="526"/>
      <c r="J206" s="526"/>
      <c r="K206" s="526"/>
      <c r="L206" s="526"/>
      <c r="M206" s="526"/>
      <c r="N206" s="526"/>
      <c r="O206" s="526"/>
      <c r="P206" s="526"/>
      <c r="Q206" s="526"/>
      <c r="R206" s="526"/>
      <c r="S206" s="526"/>
      <c r="T206" s="526"/>
      <c r="U206" s="526"/>
      <c r="V206" s="526"/>
      <c r="W206" s="526"/>
      <c r="X206" s="526"/>
      <c r="Y206" s="526"/>
      <c r="Z206" s="526"/>
      <c r="AA206" s="526"/>
      <c r="AB206" s="526"/>
      <c r="AC206" s="526"/>
      <c r="AD206" s="526"/>
      <c r="AE206" s="526"/>
      <c r="AF206" s="526"/>
      <c r="AG206" s="526"/>
      <c r="AH206" s="27"/>
    </row>
    <row r="207" ht="18.75" customHeight="1">
      <c r="A207" s="526"/>
      <c r="B207" s="526"/>
      <c r="C207" s="526"/>
      <c r="D207" s="526"/>
      <c r="E207" s="526"/>
      <c r="F207" s="526"/>
      <c r="G207" s="526"/>
      <c r="H207" s="526"/>
      <c r="I207" s="526"/>
      <c r="J207" s="526"/>
      <c r="K207" s="526"/>
      <c r="L207" s="526"/>
      <c r="M207" s="526"/>
      <c r="N207" s="526"/>
      <c r="O207" s="526"/>
      <c r="P207" s="526"/>
      <c r="Q207" s="526"/>
      <c r="R207" s="526"/>
      <c r="S207" s="526"/>
      <c r="T207" s="526"/>
      <c r="U207" s="526"/>
      <c r="V207" s="526"/>
      <c r="W207" s="526"/>
      <c r="X207" s="526"/>
      <c r="Y207" s="526"/>
      <c r="Z207" s="526"/>
      <c r="AA207" s="526"/>
      <c r="AB207" s="526"/>
      <c r="AC207" s="526"/>
      <c r="AD207" s="526"/>
      <c r="AE207" s="526"/>
      <c r="AF207" s="526"/>
      <c r="AG207" s="526"/>
      <c r="AH207" s="27"/>
    </row>
    <row r="208" ht="18.75" customHeight="1">
      <c r="A208" s="526"/>
      <c r="B208" s="526"/>
      <c r="C208" s="526"/>
      <c r="D208" s="526"/>
      <c r="E208" s="526"/>
      <c r="F208" s="526"/>
      <c r="G208" s="526"/>
      <c r="H208" s="526"/>
      <c r="I208" s="526"/>
      <c r="J208" s="526"/>
      <c r="K208" s="526"/>
      <c r="L208" s="526"/>
      <c r="M208" s="526"/>
      <c r="N208" s="526"/>
      <c r="O208" s="526"/>
      <c r="P208" s="526"/>
      <c r="Q208" s="526"/>
      <c r="R208" s="526"/>
      <c r="S208" s="526"/>
      <c r="T208" s="526"/>
      <c r="U208" s="526"/>
      <c r="V208" s="526"/>
      <c r="W208" s="526"/>
      <c r="X208" s="526"/>
      <c r="Y208" s="526"/>
      <c r="Z208" s="526"/>
      <c r="AA208" s="526"/>
      <c r="AB208" s="526"/>
      <c r="AC208" s="526"/>
      <c r="AD208" s="526"/>
      <c r="AE208" s="526"/>
      <c r="AF208" s="526"/>
      <c r="AG208" s="526"/>
      <c r="AH208" s="27"/>
    </row>
    <row r="209" ht="18.75" customHeight="1">
      <c r="A209" s="526"/>
      <c r="B209" s="526"/>
      <c r="C209" s="526"/>
      <c r="D209" s="526"/>
      <c r="E209" s="526"/>
      <c r="F209" s="526"/>
      <c r="G209" s="526"/>
      <c r="H209" s="526"/>
      <c r="I209" s="526"/>
      <c r="J209" s="526"/>
      <c r="K209" s="526"/>
      <c r="L209" s="526"/>
      <c r="M209" s="526"/>
      <c r="N209" s="526"/>
      <c r="O209" s="526"/>
      <c r="P209" s="526"/>
      <c r="Q209" s="526"/>
      <c r="R209" s="526"/>
      <c r="S209" s="526"/>
      <c r="T209" s="526"/>
      <c r="U209" s="526"/>
      <c r="V209" s="526"/>
      <c r="W209" s="526"/>
      <c r="X209" s="526"/>
      <c r="Y209" s="526"/>
      <c r="Z209" s="526"/>
      <c r="AA209" s="526"/>
      <c r="AB209" s="526"/>
      <c r="AC209" s="526"/>
      <c r="AD209" s="526"/>
      <c r="AE209" s="526"/>
      <c r="AF209" s="526"/>
      <c r="AG209" s="526"/>
      <c r="AH209" s="27"/>
    </row>
    <row r="210" ht="18.75" customHeight="1">
      <c r="A210" s="526"/>
      <c r="B210" s="526"/>
      <c r="C210" s="526"/>
      <c r="D210" s="526"/>
      <c r="E210" s="526"/>
      <c r="F210" s="526"/>
      <c r="G210" s="526"/>
      <c r="H210" s="526"/>
      <c r="I210" s="526"/>
      <c r="J210" s="526"/>
      <c r="K210" s="526"/>
      <c r="L210" s="526"/>
      <c r="M210" s="526"/>
      <c r="N210" s="526"/>
      <c r="O210" s="526"/>
      <c r="P210" s="526"/>
      <c r="Q210" s="526"/>
      <c r="R210" s="526"/>
      <c r="S210" s="526"/>
      <c r="T210" s="526"/>
      <c r="U210" s="526"/>
      <c r="V210" s="526"/>
      <c r="W210" s="526"/>
      <c r="X210" s="526"/>
      <c r="Y210" s="526"/>
      <c r="Z210" s="526"/>
      <c r="AA210" s="526"/>
      <c r="AB210" s="526"/>
      <c r="AC210" s="526"/>
      <c r="AD210" s="526"/>
      <c r="AE210" s="526"/>
      <c r="AF210" s="526"/>
      <c r="AG210" s="526"/>
      <c r="AH210" s="27"/>
    </row>
    <row r="211" ht="18.75" customHeight="1">
      <c r="A211" s="526"/>
      <c r="B211" s="526"/>
      <c r="C211" s="526"/>
      <c r="D211" s="526"/>
      <c r="E211" s="526"/>
      <c r="F211" s="526"/>
      <c r="G211" s="526"/>
      <c r="H211" s="526"/>
      <c r="I211" s="526"/>
      <c r="J211" s="526"/>
      <c r="K211" s="526"/>
      <c r="L211" s="526"/>
      <c r="M211" s="526"/>
      <c r="N211" s="526"/>
      <c r="O211" s="526"/>
      <c r="P211" s="526"/>
      <c r="Q211" s="526"/>
      <c r="R211" s="526"/>
      <c r="S211" s="526"/>
      <c r="T211" s="526"/>
      <c r="U211" s="526"/>
      <c r="V211" s="526"/>
      <c r="W211" s="526"/>
      <c r="X211" s="526"/>
      <c r="Y211" s="526"/>
      <c r="Z211" s="526"/>
      <c r="AA211" s="526"/>
      <c r="AB211" s="526"/>
      <c r="AC211" s="526"/>
      <c r="AD211" s="526"/>
      <c r="AE211" s="526"/>
      <c r="AF211" s="526"/>
      <c r="AG211" s="526"/>
      <c r="AH211" s="27"/>
    </row>
    <row r="212" ht="18.75" customHeight="1">
      <c r="A212" s="526"/>
      <c r="B212" s="526"/>
      <c r="C212" s="526"/>
      <c r="D212" s="526"/>
      <c r="E212" s="526"/>
      <c r="F212" s="526"/>
      <c r="G212" s="526"/>
      <c r="H212" s="526"/>
      <c r="I212" s="526"/>
      <c r="J212" s="526"/>
      <c r="K212" s="526"/>
      <c r="L212" s="526"/>
      <c r="M212" s="526"/>
      <c r="N212" s="526"/>
      <c r="O212" s="526"/>
      <c r="P212" s="526"/>
      <c r="Q212" s="526"/>
      <c r="R212" s="526"/>
      <c r="S212" s="526"/>
      <c r="T212" s="526"/>
      <c r="U212" s="526"/>
      <c r="V212" s="526"/>
      <c r="W212" s="526"/>
      <c r="X212" s="526"/>
      <c r="Y212" s="526"/>
      <c r="Z212" s="526"/>
      <c r="AA212" s="526"/>
      <c r="AB212" s="526"/>
      <c r="AC212" s="526"/>
      <c r="AD212" s="526"/>
      <c r="AE212" s="526"/>
      <c r="AF212" s="526"/>
      <c r="AG212" s="526"/>
      <c r="AH212" s="27"/>
    </row>
    <row r="213" ht="18.75" customHeight="1">
      <c r="A213" s="526"/>
      <c r="B213" s="526"/>
      <c r="C213" s="526"/>
      <c r="D213" s="526"/>
      <c r="E213" s="526"/>
      <c r="F213" s="526"/>
      <c r="G213" s="526"/>
      <c r="H213" s="526"/>
      <c r="I213" s="526"/>
      <c r="J213" s="526"/>
      <c r="K213" s="526"/>
      <c r="L213" s="526"/>
      <c r="M213" s="526"/>
      <c r="N213" s="526"/>
      <c r="O213" s="526"/>
      <c r="P213" s="526"/>
      <c r="Q213" s="526"/>
      <c r="R213" s="526"/>
      <c r="S213" s="526"/>
      <c r="T213" s="526"/>
      <c r="U213" s="526"/>
      <c r="V213" s="526"/>
      <c r="W213" s="526"/>
      <c r="X213" s="526"/>
      <c r="Y213" s="526"/>
      <c r="Z213" s="526"/>
      <c r="AA213" s="526"/>
      <c r="AB213" s="526"/>
      <c r="AC213" s="526"/>
      <c r="AD213" s="526"/>
      <c r="AE213" s="526"/>
      <c r="AF213" s="526"/>
      <c r="AG213" s="526"/>
      <c r="AH213" s="27"/>
    </row>
    <row r="214" ht="18.75" customHeight="1">
      <c r="A214" s="526"/>
      <c r="B214" s="526"/>
      <c r="C214" s="526"/>
      <c r="D214" s="526"/>
      <c r="E214" s="526"/>
      <c r="F214" s="526"/>
      <c r="G214" s="526"/>
      <c r="H214" s="526"/>
      <c r="I214" s="526"/>
      <c r="J214" s="526"/>
      <c r="K214" s="526"/>
      <c r="L214" s="526"/>
      <c r="M214" s="526"/>
      <c r="N214" s="526"/>
      <c r="O214" s="526"/>
      <c r="P214" s="526"/>
      <c r="Q214" s="526"/>
      <c r="R214" s="526"/>
      <c r="S214" s="526"/>
      <c r="T214" s="526"/>
      <c r="U214" s="526"/>
      <c r="V214" s="526"/>
      <c r="W214" s="526"/>
      <c r="X214" s="526"/>
      <c r="Y214" s="526"/>
      <c r="Z214" s="526"/>
      <c r="AA214" s="526"/>
      <c r="AB214" s="526"/>
      <c r="AC214" s="526"/>
      <c r="AD214" s="526"/>
      <c r="AE214" s="526"/>
      <c r="AF214" s="526"/>
      <c r="AG214" s="526"/>
      <c r="AH214" s="27"/>
    </row>
    <row r="215" ht="18.75" customHeight="1">
      <c r="A215" s="526"/>
      <c r="B215" s="526"/>
      <c r="C215" s="526"/>
      <c r="D215" s="526"/>
      <c r="E215" s="526"/>
      <c r="F215" s="526"/>
      <c r="G215" s="526"/>
      <c r="H215" s="526"/>
      <c r="I215" s="526"/>
      <c r="J215" s="526"/>
      <c r="K215" s="526"/>
      <c r="L215" s="526"/>
      <c r="M215" s="526"/>
      <c r="N215" s="526"/>
      <c r="O215" s="526"/>
      <c r="P215" s="526"/>
      <c r="Q215" s="526"/>
      <c r="R215" s="526"/>
      <c r="S215" s="526"/>
      <c r="T215" s="526"/>
      <c r="U215" s="526"/>
      <c r="V215" s="526"/>
      <c r="W215" s="526"/>
      <c r="X215" s="526"/>
      <c r="Y215" s="526"/>
      <c r="Z215" s="526"/>
      <c r="AA215" s="526"/>
      <c r="AB215" s="526"/>
      <c r="AC215" s="526"/>
      <c r="AD215" s="526"/>
      <c r="AE215" s="526"/>
      <c r="AF215" s="526"/>
      <c r="AG215" s="526"/>
      <c r="AH215" s="27"/>
    </row>
    <row r="216" ht="18.75" customHeight="1">
      <c r="A216" s="526"/>
      <c r="B216" s="526"/>
      <c r="C216" s="526"/>
      <c r="D216" s="526"/>
      <c r="E216" s="526"/>
      <c r="F216" s="526"/>
      <c r="G216" s="526"/>
      <c r="H216" s="526"/>
      <c r="I216" s="526"/>
      <c r="J216" s="526"/>
      <c r="K216" s="526"/>
      <c r="L216" s="526"/>
      <c r="M216" s="526"/>
      <c r="N216" s="526"/>
      <c r="O216" s="526"/>
      <c r="P216" s="526"/>
      <c r="Q216" s="526"/>
      <c r="R216" s="526"/>
      <c r="S216" s="526"/>
      <c r="T216" s="526"/>
      <c r="U216" s="526"/>
      <c r="V216" s="526"/>
      <c r="W216" s="526"/>
      <c r="X216" s="526"/>
      <c r="Y216" s="526"/>
      <c r="Z216" s="526"/>
      <c r="AA216" s="526"/>
      <c r="AB216" s="526"/>
      <c r="AC216" s="526"/>
      <c r="AD216" s="526"/>
      <c r="AE216" s="526"/>
      <c r="AF216" s="526"/>
      <c r="AG216" s="526"/>
      <c r="AH216" s="27"/>
    </row>
    <row r="217" ht="18.75" customHeight="1">
      <c r="A217" s="526"/>
      <c r="B217" s="526"/>
      <c r="C217" s="526"/>
      <c r="D217" s="526"/>
      <c r="E217" s="526"/>
      <c r="F217" s="526"/>
      <c r="G217" s="526"/>
      <c r="H217" s="526"/>
      <c r="I217" s="526"/>
      <c r="J217" s="526"/>
      <c r="K217" s="526"/>
      <c r="L217" s="526"/>
      <c r="M217" s="526"/>
      <c r="N217" s="526"/>
      <c r="O217" s="526"/>
      <c r="P217" s="526"/>
      <c r="Q217" s="526"/>
      <c r="R217" s="526"/>
      <c r="S217" s="526"/>
      <c r="T217" s="526"/>
      <c r="U217" s="526"/>
      <c r="V217" s="526"/>
      <c r="W217" s="526"/>
      <c r="X217" s="526"/>
      <c r="Y217" s="526"/>
      <c r="Z217" s="526"/>
      <c r="AA217" s="526"/>
      <c r="AB217" s="526"/>
      <c r="AC217" s="526"/>
      <c r="AD217" s="526"/>
      <c r="AE217" s="526"/>
      <c r="AF217" s="526"/>
      <c r="AG217" s="526"/>
      <c r="AH217" s="27"/>
    </row>
    <row r="218" ht="18.75" customHeight="1">
      <c r="A218" s="526"/>
      <c r="B218" s="526"/>
      <c r="C218" s="526"/>
      <c r="D218" s="526"/>
      <c r="E218" s="526"/>
      <c r="F218" s="526"/>
      <c r="G218" s="526"/>
      <c r="H218" s="526"/>
      <c r="I218" s="526"/>
      <c r="J218" s="526"/>
      <c r="K218" s="526"/>
      <c r="L218" s="526"/>
      <c r="M218" s="526"/>
      <c r="N218" s="526"/>
      <c r="O218" s="526"/>
      <c r="P218" s="526"/>
      <c r="Q218" s="526"/>
      <c r="R218" s="526"/>
      <c r="S218" s="526"/>
      <c r="T218" s="526"/>
      <c r="U218" s="526"/>
      <c r="V218" s="526"/>
      <c r="W218" s="526"/>
      <c r="X218" s="526"/>
      <c r="Y218" s="526"/>
      <c r="Z218" s="526"/>
      <c r="AA218" s="526"/>
      <c r="AB218" s="526"/>
      <c r="AC218" s="526"/>
      <c r="AD218" s="526"/>
      <c r="AE218" s="526"/>
      <c r="AF218" s="526"/>
      <c r="AG218" s="526"/>
      <c r="AH218" s="27"/>
    </row>
    <row r="219" ht="18.75" customHeight="1">
      <c r="A219" s="526"/>
      <c r="B219" s="526"/>
      <c r="C219" s="526"/>
      <c r="D219" s="526"/>
      <c r="E219" s="526"/>
      <c r="F219" s="526"/>
      <c r="G219" s="526"/>
      <c r="H219" s="526"/>
      <c r="I219" s="526"/>
      <c r="J219" s="526"/>
      <c r="K219" s="526"/>
      <c r="L219" s="526"/>
      <c r="M219" s="526"/>
      <c r="N219" s="526"/>
      <c r="O219" s="526"/>
      <c r="P219" s="526"/>
      <c r="Q219" s="526"/>
      <c r="R219" s="526"/>
      <c r="S219" s="526"/>
      <c r="T219" s="526"/>
      <c r="U219" s="526"/>
      <c r="V219" s="526"/>
      <c r="W219" s="526"/>
      <c r="X219" s="526"/>
      <c r="Y219" s="526"/>
      <c r="Z219" s="526"/>
      <c r="AA219" s="526"/>
      <c r="AB219" s="526"/>
      <c r="AC219" s="526"/>
      <c r="AD219" s="526"/>
      <c r="AE219" s="526"/>
      <c r="AF219" s="526"/>
      <c r="AG219" s="526"/>
      <c r="AH219" s="27"/>
    </row>
    <row r="220" ht="18.75" customHeight="1">
      <c r="A220" s="526"/>
      <c r="B220" s="526"/>
      <c r="C220" s="526"/>
      <c r="D220" s="526"/>
      <c r="E220" s="526"/>
      <c r="F220" s="526"/>
      <c r="G220" s="526"/>
      <c r="H220" s="526"/>
      <c r="I220" s="526"/>
      <c r="J220" s="526"/>
      <c r="K220" s="526"/>
      <c r="L220" s="526"/>
      <c r="M220" s="526"/>
      <c r="N220" s="526"/>
      <c r="O220" s="526"/>
      <c r="P220" s="526"/>
      <c r="Q220" s="526"/>
      <c r="R220" s="526"/>
      <c r="S220" s="526"/>
      <c r="T220" s="526"/>
      <c r="U220" s="526"/>
      <c r="V220" s="526"/>
      <c r="W220" s="526"/>
      <c r="X220" s="526"/>
      <c r="Y220" s="526"/>
      <c r="Z220" s="526"/>
      <c r="AA220" s="526"/>
      <c r="AB220" s="526"/>
      <c r="AC220" s="526"/>
      <c r="AD220" s="526"/>
      <c r="AE220" s="526"/>
      <c r="AF220" s="526"/>
      <c r="AG220" s="526"/>
      <c r="AH220" s="27"/>
    </row>
    <row r="221" ht="18.75" customHeight="1">
      <c r="A221" s="526"/>
      <c r="B221" s="526"/>
      <c r="C221" s="526"/>
      <c r="D221" s="526"/>
      <c r="E221" s="526"/>
      <c r="F221" s="526"/>
      <c r="G221" s="526"/>
      <c r="H221" s="526"/>
      <c r="I221" s="526"/>
      <c r="J221" s="526"/>
      <c r="K221" s="526"/>
      <c r="L221" s="526"/>
      <c r="M221" s="526"/>
      <c r="N221" s="526"/>
      <c r="O221" s="526"/>
      <c r="P221" s="526"/>
      <c r="Q221" s="526"/>
      <c r="R221" s="526"/>
      <c r="S221" s="526"/>
      <c r="T221" s="526"/>
      <c r="U221" s="526"/>
      <c r="V221" s="526"/>
      <c r="W221" s="526"/>
      <c r="X221" s="526"/>
      <c r="Y221" s="526"/>
      <c r="Z221" s="526"/>
      <c r="AA221" s="526"/>
      <c r="AB221" s="526"/>
      <c r="AC221" s="526"/>
      <c r="AD221" s="526"/>
      <c r="AE221" s="526"/>
      <c r="AF221" s="526"/>
      <c r="AG221" s="526"/>
      <c r="AH221" s="27"/>
    </row>
    <row r="222" ht="18.75" customHeight="1">
      <c r="A222" s="526"/>
      <c r="B222" s="526"/>
      <c r="C222" s="526"/>
      <c r="D222" s="526"/>
      <c r="E222" s="526"/>
      <c r="F222" s="526"/>
      <c r="G222" s="526"/>
      <c r="H222" s="526"/>
      <c r="I222" s="526"/>
      <c r="J222" s="526"/>
      <c r="K222" s="526"/>
      <c r="L222" s="526"/>
      <c r="M222" s="526"/>
      <c r="N222" s="526"/>
      <c r="O222" s="526"/>
      <c r="P222" s="526"/>
      <c r="Q222" s="526"/>
      <c r="R222" s="526"/>
      <c r="S222" s="526"/>
      <c r="T222" s="526"/>
      <c r="U222" s="526"/>
      <c r="V222" s="526"/>
      <c r="W222" s="526"/>
      <c r="X222" s="526"/>
      <c r="Y222" s="526"/>
      <c r="Z222" s="526"/>
      <c r="AA222" s="526"/>
      <c r="AB222" s="526"/>
      <c r="AC222" s="526"/>
      <c r="AD222" s="526"/>
      <c r="AE222" s="526"/>
      <c r="AF222" s="526"/>
      <c r="AG222" s="526"/>
      <c r="AH222" s="27"/>
    </row>
    <row r="223" ht="18.75" customHeight="1">
      <c r="A223" s="526"/>
      <c r="B223" s="526"/>
      <c r="C223" s="526"/>
      <c r="D223" s="526"/>
      <c r="E223" s="526"/>
      <c r="F223" s="526"/>
      <c r="G223" s="526"/>
      <c r="H223" s="526"/>
      <c r="I223" s="526"/>
      <c r="J223" s="526"/>
      <c r="K223" s="526"/>
      <c r="L223" s="526"/>
      <c r="M223" s="526"/>
      <c r="N223" s="526"/>
      <c r="O223" s="526"/>
      <c r="P223" s="526"/>
      <c r="Q223" s="526"/>
      <c r="R223" s="526"/>
      <c r="S223" s="526"/>
      <c r="T223" s="526"/>
      <c r="U223" s="526"/>
      <c r="V223" s="526"/>
      <c r="W223" s="526"/>
      <c r="X223" s="526"/>
      <c r="Y223" s="526"/>
      <c r="Z223" s="526"/>
      <c r="AA223" s="526"/>
      <c r="AB223" s="526"/>
      <c r="AC223" s="526"/>
      <c r="AD223" s="526"/>
      <c r="AE223" s="526"/>
      <c r="AF223" s="526"/>
      <c r="AG223" s="526"/>
      <c r="AH223" s="27"/>
    </row>
    <row r="224" ht="18.75" customHeight="1">
      <c r="A224" s="526"/>
      <c r="B224" s="526"/>
      <c r="C224" s="526"/>
      <c r="D224" s="526"/>
      <c r="E224" s="526"/>
      <c r="F224" s="526"/>
      <c r="G224" s="526"/>
      <c r="H224" s="526"/>
      <c r="I224" s="526"/>
      <c r="J224" s="526"/>
      <c r="K224" s="526"/>
      <c r="L224" s="526"/>
      <c r="M224" s="526"/>
      <c r="N224" s="526"/>
      <c r="O224" s="526"/>
      <c r="P224" s="526"/>
      <c r="Q224" s="526"/>
      <c r="R224" s="526"/>
      <c r="S224" s="526"/>
      <c r="T224" s="526"/>
      <c r="U224" s="526"/>
      <c r="V224" s="526"/>
      <c r="W224" s="526"/>
      <c r="X224" s="526"/>
      <c r="Y224" s="526"/>
      <c r="Z224" s="526"/>
      <c r="AA224" s="526"/>
      <c r="AB224" s="526"/>
      <c r="AC224" s="526"/>
      <c r="AD224" s="526"/>
      <c r="AE224" s="526"/>
      <c r="AF224" s="526"/>
      <c r="AG224" s="526"/>
      <c r="AH224" s="27"/>
    </row>
    <row r="225" ht="18.75" customHeight="1">
      <c r="A225" s="526"/>
      <c r="B225" s="526"/>
      <c r="C225" s="526"/>
      <c r="D225" s="526"/>
      <c r="E225" s="526"/>
      <c r="F225" s="526"/>
      <c r="G225" s="526"/>
      <c r="H225" s="526"/>
      <c r="I225" s="526"/>
      <c r="J225" s="526"/>
      <c r="K225" s="526"/>
      <c r="L225" s="526"/>
      <c r="M225" s="526"/>
      <c r="N225" s="526"/>
      <c r="O225" s="526"/>
      <c r="P225" s="526"/>
      <c r="Q225" s="526"/>
      <c r="R225" s="526"/>
      <c r="S225" s="526"/>
      <c r="T225" s="526"/>
      <c r="U225" s="526"/>
      <c r="V225" s="526"/>
      <c r="W225" s="526"/>
      <c r="X225" s="526"/>
      <c r="Y225" s="526"/>
      <c r="Z225" s="526"/>
      <c r="AA225" s="526"/>
      <c r="AB225" s="526"/>
      <c r="AC225" s="526"/>
      <c r="AD225" s="526"/>
      <c r="AE225" s="526"/>
      <c r="AF225" s="526"/>
      <c r="AG225" s="526"/>
      <c r="AH225" s="27"/>
    </row>
    <row r="226" ht="18.75" customHeight="1">
      <c r="A226" s="526"/>
      <c r="B226" s="526"/>
      <c r="C226" s="526"/>
      <c r="D226" s="526"/>
      <c r="E226" s="526"/>
      <c r="F226" s="526"/>
      <c r="G226" s="526"/>
      <c r="H226" s="526"/>
      <c r="I226" s="526"/>
      <c r="J226" s="526"/>
      <c r="K226" s="526"/>
      <c r="L226" s="526"/>
      <c r="M226" s="526"/>
      <c r="N226" s="526"/>
      <c r="O226" s="526"/>
      <c r="P226" s="526"/>
      <c r="Q226" s="526"/>
      <c r="R226" s="526"/>
      <c r="S226" s="526"/>
      <c r="T226" s="526"/>
      <c r="U226" s="526"/>
      <c r="V226" s="526"/>
      <c r="W226" s="526"/>
      <c r="X226" s="526"/>
      <c r="Y226" s="526"/>
      <c r="Z226" s="526"/>
      <c r="AA226" s="526"/>
      <c r="AB226" s="526"/>
      <c r="AC226" s="526"/>
      <c r="AD226" s="526"/>
      <c r="AE226" s="526"/>
      <c r="AF226" s="526"/>
      <c r="AG226" s="526"/>
      <c r="AH226" s="27"/>
    </row>
    <row r="227" ht="18.75" customHeight="1">
      <c r="A227" s="526"/>
      <c r="B227" s="526"/>
      <c r="C227" s="526"/>
      <c r="D227" s="526"/>
      <c r="E227" s="526"/>
      <c r="F227" s="526"/>
      <c r="G227" s="526"/>
      <c r="H227" s="526"/>
      <c r="I227" s="526"/>
      <c r="J227" s="526"/>
      <c r="K227" s="526"/>
      <c r="L227" s="526"/>
      <c r="M227" s="526"/>
      <c r="N227" s="526"/>
      <c r="O227" s="526"/>
      <c r="P227" s="526"/>
      <c r="Q227" s="526"/>
      <c r="R227" s="526"/>
      <c r="S227" s="526"/>
      <c r="T227" s="526"/>
      <c r="U227" s="526"/>
      <c r="V227" s="526"/>
      <c r="W227" s="526"/>
      <c r="X227" s="526"/>
      <c r="Y227" s="526"/>
      <c r="Z227" s="526"/>
      <c r="AA227" s="526"/>
      <c r="AB227" s="526"/>
      <c r="AC227" s="526"/>
      <c r="AD227" s="526"/>
      <c r="AE227" s="526"/>
      <c r="AF227" s="526"/>
      <c r="AG227" s="526"/>
      <c r="AH227" s="27"/>
    </row>
    <row r="228" ht="18.75" customHeight="1">
      <c r="A228" s="526"/>
      <c r="B228" s="526"/>
      <c r="C228" s="526"/>
      <c r="D228" s="526"/>
      <c r="E228" s="526"/>
      <c r="F228" s="526"/>
      <c r="G228" s="526"/>
      <c r="H228" s="526"/>
      <c r="I228" s="526"/>
      <c r="J228" s="526"/>
      <c r="K228" s="526"/>
      <c r="L228" s="526"/>
      <c r="M228" s="526"/>
      <c r="N228" s="526"/>
      <c r="O228" s="526"/>
      <c r="P228" s="526"/>
      <c r="Q228" s="526"/>
      <c r="R228" s="526"/>
      <c r="S228" s="526"/>
      <c r="T228" s="526"/>
      <c r="U228" s="526"/>
      <c r="V228" s="526"/>
      <c r="W228" s="526"/>
      <c r="X228" s="526"/>
      <c r="Y228" s="526"/>
      <c r="Z228" s="526"/>
      <c r="AA228" s="526"/>
      <c r="AB228" s="526"/>
      <c r="AC228" s="526"/>
      <c r="AD228" s="526"/>
      <c r="AE228" s="526"/>
      <c r="AF228" s="526"/>
      <c r="AG228" s="526"/>
      <c r="AH228" s="27"/>
    </row>
    <row r="229" ht="18.75" customHeight="1">
      <c r="A229" s="526"/>
      <c r="B229" s="526"/>
      <c r="C229" s="526"/>
      <c r="D229" s="526"/>
      <c r="E229" s="526"/>
      <c r="F229" s="526"/>
      <c r="G229" s="526"/>
      <c r="H229" s="526"/>
      <c r="I229" s="526"/>
      <c r="J229" s="526"/>
      <c r="K229" s="526"/>
      <c r="L229" s="526"/>
      <c r="M229" s="526"/>
      <c r="N229" s="526"/>
      <c r="O229" s="526"/>
      <c r="P229" s="526"/>
      <c r="Q229" s="526"/>
      <c r="R229" s="526"/>
      <c r="S229" s="526"/>
      <c r="T229" s="526"/>
      <c r="U229" s="526"/>
      <c r="V229" s="526"/>
      <c r="W229" s="526"/>
      <c r="X229" s="526"/>
      <c r="Y229" s="526"/>
      <c r="Z229" s="526"/>
      <c r="AA229" s="526"/>
      <c r="AB229" s="526"/>
      <c r="AC229" s="526"/>
      <c r="AD229" s="526"/>
      <c r="AE229" s="526"/>
      <c r="AF229" s="526"/>
      <c r="AG229" s="526"/>
      <c r="AH229" s="27"/>
    </row>
    <row r="230" ht="18.75" customHeight="1">
      <c r="A230" s="526"/>
      <c r="B230" s="526"/>
      <c r="C230" s="526"/>
      <c r="D230" s="526"/>
      <c r="E230" s="526"/>
      <c r="F230" s="526"/>
      <c r="G230" s="526"/>
      <c r="H230" s="526"/>
      <c r="I230" s="526"/>
      <c r="J230" s="526"/>
      <c r="K230" s="526"/>
      <c r="L230" s="526"/>
      <c r="M230" s="526"/>
      <c r="N230" s="526"/>
      <c r="O230" s="526"/>
      <c r="P230" s="526"/>
      <c r="Q230" s="526"/>
      <c r="R230" s="526"/>
      <c r="S230" s="526"/>
      <c r="T230" s="526"/>
      <c r="U230" s="526"/>
      <c r="V230" s="526"/>
      <c r="W230" s="526"/>
      <c r="X230" s="526"/>
      <c r="Y230" s="526"/>
      <c r="Z230" s="526"/>
      <c r="AA230" s="526"/>
      <c r="AB230" s="526"/>
      <c r="AC230" s="526"/>
      <c r="AD230" s="526"/>
      <c r="AE230" s="526"/>
      <c r="AF230" s="526"/>
      <c r="AG230" s="526"/>
      <c r="AH230" s="27"/>
    </row>
    <row r="231" ht="18.75" customHeight="1">
      <c r="A231" s="526"/>
      <c r="B231" s="526"/>
      <c r="C231" s="526"/>
      <c r="D231" s="526"/>
      <c r="E231" s="526"/>
      <c r="F231" s="526"/>
      <c r="G231" s="526"/>
      <c r="H231" s="526"/>
      <c r="I231" s="526"/>
      <c r="J231" s="526"/>
      <c r="K231" s="526"/>
      <c r="L231" s="526"/>
      <c r="M231" s="526"/>
      <c r="N231" s="526"/>
      <c r="O231" s="526"/>
      <c r="P231" s="526"/>
      <c r="Q231" s="526"/>
      <c r="R231" s="526"/>
      <c r="S231" s="526"/>
      <c r="T231" s="526"/>
      <c r="U231" s="526"/>
      <c r="V231" s="526"/>
      <c r="W231" s="526"/>
      <c r="X231" s="526"/>
      <c r="Y231" s="526"/>
      <c r="Z231" s="526"/>
      <c r="AA231" s="526"/>
      <c r="AB231" s="526"/>
      <c r="AC231" s="526"/>
      <c r="AD231" s="526"/>
      <c r="AE231" s="526"/>
      <c r="AF231" s="526"/>
      <c r="AG231" s="526"/>
      <c r="AH231" s="27"/>
    </row>
    <row r="232" ht="18.75" customHeight="1">
      <c r="A232" s="526"/>
      <c r="B232" s="526"/>
      <c r="C232" s="526"/>
      <c r="D232" s="526"/>
      <c r="E232" s="526"/>
      <c r="F232" s="526"/>
      <c r="G232" s="526"/>
      <c r="H232" s="526"/>
      <c r="I232" s="526"/>
      <c r="J232" s="526"/>
      <c r="K232" s="526"/>
      <c r="L232" s="526"/>
      <c r="M232" s="526"/>
      <c r="N232" s="526"/>
      <c r="O232" s="526"/>
      <c r="P232" s="526"/>
      <c r="Q232" s="526"/>
      <c r="R232" s="526"/>
      <c r="S232" s="526"/>
      <c r="T232" s="526"/>
      <c r="U232" s="526"/>
      <c r="V232" s="526"/>
      <c r="W232" s="526"/>
      <c r="X232" s="526"/>
      <c r="Y232" s="526"/>
      <c r="Z232" s="526"/>
      <c r="AA232" s="526"/>
      <c r="AB232" s="526"/>
      <c r="AC232" s="526"/>
      <c r="AD232" s="526"/>
      <c r="AE232" s="526"/>
      <c r="AF232" s="526"/>
      <c r="AG232" s="526"/>
      <c r="AH232" s="27"/>
    </row>
    <row r="233" ht="18.75" customHeight="1">
      <c r="A233" s="526"/>
      <c r="B233" s="526"/>
      <c r="C233" s="526"/>
      <c r="D233" s="526"/>
      <c r="E233" s="526"/>
      <c r="F233" s="526"/>
      <c r="G233" s="526"/>
      <c r="H233" s="526"/>
      <c r="I233" s="526"/>
      <c r="J233" s="526"/>
      <c r="K233" s="526"/>
      <c r="L233" s="526"/>
      <c r="M233" s="526"/>
      <c r="N233" s="526"/>
      <c r="O233" s="526"/>
      <c r="P233" s="526"/>
      <c r="Q233" s="526"/>
      <c r="R233" s="526"/>
      <c r="S233" s="526"/>
      <c r="T233" s="526"/>
      <c r="U233" s="526"/>
      <c r="V233" s="526"/>
      <c r="W233" s="526"/>
      <c r="X233" s="526"/>
      <c r="Y233" s="526"/>
      <c r="Z233" s="526"/>
      <c r="AA233" s="526"/>
      <c r="AB233" s="526"/>
      <c r="AC233" s="526"/>
      <c r="AD233" s="526"/>
      <c r="AE233" s="526"/>
      <c r="AF233" s="526"/>
      <c r="AG233" s="526"/>
      <c r="AH233" s="27"/>
    </row>
    <row r="234" ht="18.75" customHeight="1">
      <c r="A234" s="526"/>
      <c r="B234" s="526"/>
      <c r="C234" s="526"/>
      <c r="D234" s="526"/>
      <c r="E234" s="526"/>
      <c r="F234" s="526"/>
      <c r="G234" s="526"/>
      <c r="H234" s="526"/>
      <c r="I234" s="526"/>
      <c r="J234" s="526"/>
      <c r="K234" s="526"/>
      <c r="L234" s="526"/>
      <c r="M234" s="526"/>
      <c r="N234" s="526"/>
      <c r="O234" s="526"/>
      <c r="P234" s="526"/>
      <c r="Q234" s="526"/>
      <c r="R234" s="526"/>
      <c r="S234" s="526"/>
      <c r="T234" s="526"/>
      <c r="U234" s="526"/>
      <c r="V234" s="526"/>
      <c r="W234" s="526"/>
      <c r="X234" s="526"/>
      <c r="Y234" s="526"/>
      <c r="Z234" s="526"/>
      <c r="AA234" s="526"/>
      <c r="AB234" s="526"/>
      <c r="AC234" s="526"/>
      <c r="AD234" s="526"/>
      <c r="AE234" s="526"/>
      <c r="AF234" s="526"/>
      <c r="AG234" s="526"/>
      <c r="AH234" s="27"/>
    </row>
    <row r="235" ht="18.75" customHeight="1">
      <c r="A235" s="526"/>
      <c r="B235" s="526"/>
      <c r="C235" s="526"/>
      <c r="D235" s="526"/>
      <c r="E235" s="526"/>
      <c r="F235" s="526"/>
      <c r="G235" s="526"/>
      <c r="H235" s="526"/>
      <c r="I235" s="526"/>
      <c r="J235" s="526"/>
      <c r="K235" s="526"/>
      <c r="L235" s="526"/>
      <c r="M235" s="526"/>
      <c r="N235" s="526"/>
      <c r="O235" s="526"/>
      <c r="P235" s="526"/>
      <c r="Q235" s="526"/>
      <c r="R235" s="526"/>
      <c r="S235" s="526"/>
      <c r="T235" s="526"/>
      <c r="U235" s="526"/>
      <c r="V235" s="526"/>
      <c r="W235" s="526"/>
      <c r="X235" s="526"/>
      <c r="Y235" s="526"/>
      <c r="Z235" s="526"/>
      <c r="AA235" s="526"/>
      <c r="AB235" s="526"/>
      <c r="AC235" s="526"/>
      <c r="AD235" s="526"/>
      <c r="AE235" s="526"/>
      <c r="AF235" s="526"/>
      <c r="AG235" s="526"/>
      <c r="AH235" s="27"/>
    </row>
    <row r="236" ht="18.75" customHeight="1">
      <c r="A236" s="526"/>
      <c r="B236" s="526"/>
      <c r="C236" s="526"/>
      <c r="D236" s="526"/>
      <c r="E236" s="526"/>
      <c r="F236" s="526"/>
      <c r="G236" s="526"/>
      <c r="H236" s="526"/>
      <c r="I236" s="526"/>
      <c r="J236" s="526"/>
      <c r="K236" s="526"/>
      <c r="L236" s="526"/>
      <c r="M236" s="526"/>
      <c r="N236" s="526"/>
      <c r="O236" s="526"/>
      <c r="P236" s="526"/>
      <c r="Q236" s="526"/>
      <c r="R236" s="526"/>
      <c r="S236" s="526"/>
      <c r="T236" s="526"/>
      <c r="U236" s="526"/>
      <c r="V236" s="526"/>
      <c r="W236" s="526"/>
      <c r="X236" s="526"/>
      <c r="Y236" s="526"/>
      <c r="Z236" s="526"/>
      <c r="AA236" s="526"/>
      <c r="AB236" s="526"/>
      <c r="AC236" s="526"/>
      <c r="AD236" s="526"/>
      <c r="AE236" s="526"/>
      <c r="AF236" s="526"/>
      <c r="AG236" s="526"/>
      <c r="AH236" s="27"/>
    </row>
    <row r="237" ht="18.75" customHeight="1">
      <c r="A237" s="526"/>
      <c r="B237" s="526"/>
      <c r="C237" s="526"/>
      <c r="D237" s="526"/>
      <c r="E237" s="526"/>
      <c r="F237" s="526"/>
      <c r="G237" s="526"/>
      <c r="H237" s="526"/>
      <c r="I237" s="526"/>
      <c r="J237" s="526"/>
      <c r="K237" s="526"/>
      <c r="L237" s="526"/>
      <c r="M237" s="526"/>
      <c r="N237" s="526"/>
      <c r="O237" s="526"/>
      <c r="P237" s="526"/>
      <c r="Q237" s="526"/>
      <c r="R237" s="526"/>
      <c r="S237" s="526"/>
      <c r="T237" s="526"/>
      <c r="U237" s="526"/>
      <c r="V237" s="526"/>
      <c r="W237" s="526"/>
      <c r="X237" s="526"/>
      <c r="Y237" s="526"/>
      <c r="Z237" s="526"/>
      <c r="AA237" s="526"/>
      <c r="AB237" s="526"/>
      <c r="AC237" s="526"/>
      <c r="AD237" s="526"/>
      <c r="AE237" s="526"/>
      <c r="AF237" s="526"/>
      <c r="AG237" s="526"/>
      <c r="AH237" s="27"/>
    </row>
    <row r="238" ht="18.75" customHeight="1">
      <c r="A238" s="526"/>
      <c r="B238" s="526"/>
      <c r="C238" s="526"/>
      <c r="D238" s="526"/>
      <c r="E238" s="526"/>
      <c r="F238" s="526"/>
      <c r="G238" s="526"/>
      <c r="H238" s="526"/>
      <c r="I238" s="526"/>
      <c r="J238" s="526"/>
      <c r="K238" s="526"/>
      <c r="L238" s="526"/>
      <c r="M238" s="526"/>
      <c r="N238" s="526"/>
      <c r="O238" s="526"/>
      <c r="P238" s="526"/>
      <c r="Q238" s="526"/>
      <c r="R238" s="526"/>
      <c r="S238" s="526"/>
      <c r="T238" s="526"/>
      <c r="U238" s="526"/>
      <c r="V238" s="526"/>
      <c r="W238" s="526"/>
      <c r="X238" s="526"/>
      <c r="Y238" s="526"/>
      <c r="Z238" s="526"/>
      <c r="AA238" s="526"/>
      <c r="AB238" s="526"/>
      <c r="AC238" s="526"/>
      <c r="AD238" s="526"/>
      <c r="AE238" s="526"/>
      <c r="AF238" s="526"/>
      <c r="AG238" s="526"/>
      <c r="AH238" s="27"/>
    </row>
    <row r="239" ht="18.75" customHeight="1">
      <c r="A239" s="526"/>
      <c r="B239" s="526"/>
      <c r="C239" s="526"/>
      <c r="D239" s="526"/>
      <c r="E239" s="526"/>
      <c r="F239" s="526"/>
      <c r="G239" s="526"/>
      <c r="H239" s="526"/>
      <c r="I239" s="526"/>
      <c r="J239" s="526"/>
      <c r="K239" s="526"/>
      <c r="L239" s="526"/>
      <c r="M239" s="526"/>
      <c r="N239" s="526"/>
      <c r="O239" s="526"/>
      <c r="P239" s="526"/>
      <c r="Q239" s="526"/>
      <c r="R239" s="526"/>
      <c r="S239" s="526"/>
      <c r="T239" s="526"/>
      <c r="U239" s="526"/>
      <c r="V239" s="526"/>
      <c r="W239" s="526"/>
      <c r="X239" s="526"/>
      <c r="Y239" s="526"/>
      <c r="Z239" s="526"/>
      <c r="AA239" s="526"/>
      <c r="AB239" s="526"/>
      <c r="AC239" s="526"/>
      <c r="AD239" s="526"/>
      <c r="AE239" s="526"/>
      <c r="AF239" s="526"/>
      <c r="AG239" s="526"/>
      <c r="AH239" s="27"/>
    </row>
    <row r="240" ht="18.75" customHeight="1">
      <c r="A240" s="526"/>
      <c r="B240" s="526"/>
      <c r="C240" s="526"/>
      <c r="D240" s="526"/>
      <c r="E240" s="526"/>
      <c r="F240" s="526"/>
      <c r="G240" s="526"/>
      <c r="H240" s="526"/>
      <c r="I240" s="526"/>
      <c r="J240" s="526"/>
      <c r="K240" s="526"/>
      <c r="L240" s="526"/>
      <c r="M240" s="526"/>
      <c r="N240" s="526"/>
      <c r="O240" s="526"/>
      <c r="P240" s="526"/>
      <c r="Q240" s="526"/>
      <c r="R240" s="526"/>
      <c r="S240" s="526"/>
      <c r="T240" s="526"/>
      <c r="U240" s="526"/>
      <c r="V240" s="526"/>
      <c r="W240" s="526"/>
      <c r="X240" s="526"/>
      <c r="Y240" s="526"/>
      <c r="Z240" s="526"/>
      <c r="AA240" s="526"/>
      <c r="AB240" s="526"/>
      <c r="AC240" s="526"/>
      <c r="AD240" s="526"/>
      <c r="AE240" s="526"/>
      <c r="AF240" s="526"/>
      <c r="AG240" s="526"/>
      <c r="AH240" s="27"/>
    </row>
    <row r="241" ht="18.75" customHeight="1">
      <c r="A241" s="526"/>
      <c r="B241" s="526"/>
      <c r="C241" s="526"/>
      <c r="D241" s="526"/>
      <c r="E241" s="526"/>
      <c r="F241" s="526"/>
      <c r="G241" s="526"/>
      <c r="H241" s="526"/>
      <c r="I241" s="526"/>
      <c r="J241" s="526"/>
      <c r="K241" s="526"/>
      <c r="L241" s="526"/>
      <c r="M241" s="526"/>
      <c r="N241" s="526"/>
      <c r="O241" s="526"/>
      <c r="P241" s="526"/>
      <c r="Q241" s="526"/>
      <c r="R241" s="526"/>
      <c r="S241" s="526"/>
      <c r="T241" s="526"/>
      <c r="U241" s="526"/>
      <c r="V241" s="526"/>
      <c r="W241" s="526"/>
      <c r="X241" s="526"/>
      <c r="Y241" s="526"/>
      <c r="Z241" s="526"/>
      <c r="AA241" s="526"/>
      <c r="AB241" s="526"/>
      <c r="AC241" s="526"/>
      <c r="AD241" s="526"/>
      <c r="AE241" s="526"/>
      <c r="AF241" s="526"/>
      <c r="AG241" s="526"/>
      <c r="AH241" s="27"/>
    </row>
    <row r="242" ht="18.75" customHeight="1">
      <c r="A242" s="526"/>
      <c r="B242" s="526"/>
      <c r="C242" s="526"/>
      <c r="D242" s="526"/>
      <c r="E242" s="526"/>
      <c r="F242" s="526"/>
      <c r="G242" s="526"/>
      <c r="H242" s="526"/>
      <c r="I242" s="526"/>
      <c r="J242" s="526"/>
      <c r="K242" s="526"/>
      <c r="L242" s="526"/>
      <c r="M242" s="526"/>
      <c r="N242" s="526"/>
      <c r="O242" s="526"/>
      <c r="P242" s="526"/>
      <c r="Q242" s="526"/>
      <c r="R242" s="526"/>
      <c r="S242" s="526"/>
      <c r="T242" s="526"/>
      <c r="U242" s="526"/>
      <c r="V242" s="526"/>
      <c r="W242" s="526"/>
      <c r="X242" s="526"/>
      <c r="Y242" s="526"/>
      <c r="Z242" s="526"/>
      <c r="AA242" s="526"/>
      <c r="AB242" s="526"/>
      <c r="AC242" s="526"/>
      <c r="AD242" s="526"/>
      <c r="AE242" s="526"/>
      <c r="AF242" s="526"/>
      <c r="AG242" s="526"/>
      <c r="AH242" s="27"/>
    </row>
    <row r="243" ht="18.75" customHeight="1">
      <c r="A243" s="526"/>
      <c r="B243" s="526"/>
      <c r="C243" s="526"/>
      <c r="D243" s="526"/>
      <c r="E243" s="526"/>
      <c r="F243" s="526"/>
      <c r="G243" s="526"/>
      <c r="H243" s="526"/>
      <c r="I243" s="526"/>
      <c r="J243" s="526"/>
      <c r="K243" s="526"/>
      <c r="L243" s="526"/>
      <c r="M243" s="526"/>
      <c r="N243" s="526"/>
      <c r="O243" s="526"/>
      <c r="P243" s="526"/>
      <c r="Q243" s="526"/>
      <c r="R243" s="526"/>
      <c r="S243" s="526"/>
      <c r="T243" s="526"/>
      <c r="U243" s="526"/>
      <c r="V243" s="526"/>
      <c r="W243" s="526"/>
      <c r="X243" s="526"/>
      <c r="Y243" s="526"/>
      <c r="Z243" s="526"/>
      <c r="AA243" s="526"/>
      <c r="AB243" s="526"/>
      <c r="AC243" s="526"/>
      <c r="AD243" s="526"/>
      <c r="AE243" s="526"/>
      <c r="AF243" s="526"/>
      <c r="AG243" s="526"/>
      <c r="AH243" s="27"/>
    </row>
    <row r="244" ht="18.75" customHeight="1">
      <c r="A244" s="526"/>
      <c r="B244" s="526"/>
      <c r="C244" s="526"/>
      <c r="D244" s="526"/>
      <c r="E244" s="526"/>
      <c r="F244" s="526"/>
      <c r="G244" s="526"/>
      <c r="H244" s="526"/>
      <c r="I244" s="526"/>
      <c r="J244" s="526"/>
      <c r="K244" s="526"/>
      <c r="L244" s="526"/>
      <c r="M244" s="526"/>
      <c r="N244" s="526"/>
      <c r="O244" s="526"/>
      <c r="P244" s="526"/>
      <c r="Q244" s="526"/>
      <c r="R244" s="526"/>
      <c r="S244" s="526"/>
      <c r="T244" s="526"/>
      <c r="U244" s="526"/>
      <c r="V244" s="526"/>
      <c r="W244" s="526"/>
      <c r="X244" s="526"/>
      <c r="Y244" s="526"/>
      <c r="Z244" s="526"/>
      <c r="AA244" s="526"/>
      <c r="AB244" s="526"/>
      <c r="AC244" s="526"/>
      <c r="AD244" s="526"/>
      <c r="AE244" s="526"/>
      <c r="AF244" s="526"/>
      <c r="AG244" s="526"/>
      <c r="AH244" s="27"/>
    </row>
    <row r="245" ht="18.75" customHeight="1">
      <c r="A245" s="526"/>
      <c r="B245" s="526"/>
      <c r="C245" s="526"/>
      <c r="D245" s="526"/>
      <c r="E245" s="526"/>
      <c r="F245" s="526"/>
      <c r="G245" s="526"/>
      <c r="H245" s="526"/>
      <c r="I245" s="526"/>
      <c r="J245" s="526"/>
      <c r="K245" s="526"/>
      <c r="L245" s="526"/>
      <c r="M245" s="526"/>
      <c r="N245" s="526"/>
      <c r="O245" s="526"/>
      <c r="P245" s="526"/>
      <c r="Q245" s="526"/>
      <c r="R245" s="526"/>
      <c r="S245" s="526"/>
      <c r="T245" s="526"/>
      <c r="U245" s="526"/>
      <c r="V245" s="526"/>
      <c r="W245" s="526"/>
      <c r="X245" s="526"/>
      <c r="Y245" s="526"/>
      <c r="Z245" s="526"/>
      <c r="AA245" s="526"/>
      <c r="AB245" s="526"/>
      <c r="AC245" s="526"/>
      <c r="AD245" s="526"/>
      <c r="AE245" s="526"/>
      <c r="AF245" s="526"/>
      <c r="AG245" s="526"/>
      <c r="AH245" s="27"/>
    </row>
    <row r="246" ht="18.75" customHeight="1">
      <c r="A246" s="526"/>
      <c r="B246" s="526"/>
      <c r="C246" s="526"/>
      <c r="D246" s="526"/>
      <c r="E246" s="526"/>
      <c r="F246" s="526"/>
      <c r="G246" s="526"/>
      <c r="H246" s="526"/>
      <c r="I246" s="526"/>
      <c r="J246" s="526"/>
      <c r="K246" s="526"/>
      <c r="L246" s="526"/>
      <c r="M246" s="526"/>
      <c r="N246" s="526"/>
      <c r="O246" s="526"/>
      <c r="P246" s="526"/>
      <c r="Q246" s="526"/>
      <c r="R246" s="526"/>
      <c r="S246" s="526"/>
      <c r="T246" s="526"/>
      <c r="U246" s="526"/>
      <c r="V246" s="526"/>
      <c r="W246" s="526"/>
      <c r="X246" s="526"/>
      <c r="Y246" s="526"/>
      <c r="Z246" s="526"/>
      <c r="AA246" s="526"/>
      <c r="AB246" s="526"/>
      <c r="AC246" s="526"/>
      <c r="AD246" s="526"/>
      <c r="AE246" s="526"/>
      <c r="AF246" s="526"/>
      <c r="AG246" s="526"/>
      <c r="AH246" s="27"/>
    </row>
    <row r="247" ht="18.75" customHeight="1">
      <c r="A247" s="526"/>
      <c r="B247" s="526"/>
      <c r="C247" s="526"/>
      <c r="D247" s="526"/>
      <c r="E247" s="526"/>
      <c r="F247" s="526"/>
      <c r="G247" s="526"/>
      <c r="H247" s="526"/>
      <c r="I247" s="526"/>
      <c r="J247" s="526"/>
      <c r="K247" s="526"/>
      <c r="L247" s="526"/>
      <c r="M247" s="526"/>
      <c r="N247" s="526"/>
      <c r="O247" s="526"/>
      <c r="P247" s="526"/>
      <c r="Q247" s="526"/>
      <c r="R247" s="526"/>
      <c r="S247" s="526"/>
      <c r="T247" s="526"/>
      <c r="U247" s="526"/>
      <c r="V247" s="526"/>
      <c r="W247" s="526"/>
      <c r="X247" s="526"/>
      <c r="Y247" s="526"/>
      <c r="Z247" s="526"/>
      <c r="AA247" s="526"/>
      <c r="AB247" s="526"/>
      <c r="AC247" s="526"/>
      <c r="AD247" s="526"/>
      <c r="AE247" s="526"/>
      <c r="AF247" s="526"/>
      <c r="AG247" s="526"/>
      <c r="AH247" s="27"/>
    </row>
    <row r="248" ht="18.75" customHeight="1">
      <c r="A248" s="526"/>
      <c r="B248" s="526"/>
      <c r="C248" s="526"/>
      <c r="D248" s="526"/>
      <c r="E248" s="526"/>
      <c r="F248" s="526"/>
      <c r="G248" s="526"/>
      <c r="H248" s="526"/>
      <c r="I248" s="526"/>
      <c r="J248" s="526"/>
      <c r="K248" s="526"/>
      <c r="L248" s="526"/>
      <c r="M248" s="526"/>
      <c r="N248" s="526"/>
      <c r="O248" s="526"/>
      <c r="P248" s="526"/>
      <c r="Q248" s="526"/>
      <c r="R248" s="526"/>
      <c r="S248" s="526"/>
      <c r="T248" s="526"/>
      <c r="U248" s="526"/>
      <c r="V248" s="526"/>
      <c r="W248" s="526"/>
      <c r="X248" s="526"/>
      <c r="Y248" s="526"/>
      <c r="Z248" s="526"/>
      <c r="AA248" s="526"/>
      <c r="AB248" s="526"/>
      <c r="AC248" s="526"/>
      <c r="AD248" s="526"/>
      <c r="AE248" s="526"/>
      <c r="AF248" s="526"/>
      <c r="AG248" s="526"/>
      <c r="AH248" s="27"/>
    </row>
    <row r="249" ht="18.75" customHeight="1">
      <c r="A249" s="526"/>
      <c r="B249" s="526"/>
      <c r="C249" s="526"/>
      <c r="D249" s="526"/>
      <c r="E249" s="526"/>
      <c r="F249" s="526"/>
      <c r="G249" s="526"/>
      <c r="H249" s="526"/>
      <c r="I249" s="526"/>
      <c r="J249" s="526"/>
      <c r="K249" s="526"/>
      <c r="L249" s="526"/>
      <c r="M249" s="526"/>
      <c r="N249" s="526"/>
      <c r="O249" s="526"/>
      <c r="P249" s="526"/>
      <c r="Q249" s="526"/>
      <c r="R249" s="526"/>
      <c r="S249" s="526"/>
      <c r="T249" s="526"/>
      <c r="U249" s="526"/>
      <c r="V249" s="526"/>
      <c r="W249" s="526"/>
      <c r="X249" s="526"/>
      <c r="Y249" s="526"/>
      <c r="Z249" s="526"/>
      <c r="AA249" s="526"/>
      <c r="AB249" s="526"/>
      <c r="AC249" s="526"/>
      <c r="AD249" s="526"/>
      <c r="AE249" s="526"/>
      <c r="AF249" s="526"/>
      <c r="AG249" s="526"/>
      <c r="AH249" s="27"/>
    </row>
    <row r="250" ht="18.75" customHeight="1">
      <c r="A250" s="526"/>
      <c r="B250" s="526"/>
      <c r="C250" s="526"/>
      <c r="D250" s="526"/>
      <c r="E250" s="526"/>
      <c r="F250" s="526"/>
      <c r="G250" s="526"/>
      <c r="H250" s="526"/>
      <c r="I250" s="526"/>
      <c r="J250" s="526"/>
      <c r="K250" s="526"/>
      <c r="L250" s="526"/>
      <c r="M250" s="526"/>
      <c r="N250" s="526"/>
      <c r="O250" s="526"/>
      <c r="P250" s="526"/>
      <c r="Q250" s="526"/>
      <c r="R250" s="526"/>
      <c r="S250" s="526"/>
      <c r="T250" s="526"/>
      <c r="U250" s="526"/>
      <c r="V250" s="526"/>
      <c r="W250" s="526"/>
      <c r="X250" s="526"/>
      <c r="Y250" s="526"/>
      <c r="Z250" s="526"/>
      <c r="AA250" s="526"/>
      <c r="AB250" s="526"/>
      <c r="AC250" s="526"/>
      <c r="AD250" s="526"/>
      <c r="AE250" s="526"/>
      <c r="AF250" s="526"/>
      <c r="AG250" s="526"/>
      <c r="AH250" s="27"/>
    </row>
    <row r="251" ht="18.75" customHeight="1">
      <c r="A251" s="526"/>
      <c r="B251" s="526"/>
      <c r="C251" s="526"/>
      <c r="D251" s="526"/>
      <c r="E251" s="526"/>
      <c r="F251" s="526"/>
      <c r="G251" s="526"/>
      <c r="H251" s="526"/>
      <c r="I251" s="526"/>
      <c r="J251" s="526"/>
      <c r="K251" s="526"/>
      <c r="L251" s="526"/>
      <c r="M251" s="526"/>
      <c r="N251" s="526"/>
      <c r="O251" s="526"/>
      <c r="P251" s="526"/>
      <c r="Q251" s="526"/>
      <c r="R251" s="526"/>
      <c r="S251" s="526"/>
      <c r="T251" s="526"/>
      <c r="U251" s="526"/>
      <c r="V251" s="526"/>
      <c r="W251" s="526"/>
      <c r="X251" s="526"/>
      <c r="Y251" s="526"/>
      <c r="Z251" s="526"/>
      <c r="AA251" s="526"/>
      <c r="AB251" s="526"/>
      <c r="AC251" s="526"/>
      <c r="AD251" s="526"/>
      <c r="AE251" s="526"/>
      <c r="AF251" s="526"/>
      <c r="AG251" s="526"/>
      <c r="AH251" s="27"/>
    </row>
    <row r="252" ht="18.75" customHeight="1">
      <c r="A252" s="526"/>
      <c r="B252" s="526"/>
      <c r="C252" s="526"/>
      <c r="D252" s="526"/>
      <c r="E252" s="526"/>
      <c r="F252" s="526"/>
      <c r="G252" s="526"/>
      <c r="H252" s="526"/>
      <c r="I252" s="526"/>
      <c r="J252" s="526"/>
      <c r="K252" s="526"/>
      <c r="L252" s="526"/>
      <c r="M252" s="526"/>
      <c r="N252" s="526"/>
      <c r="O252" s="526"/>
      <c r="P252" s="526"/>
      <c r="Q252" s="526"/>
      <c r="R252" s="526"/>
      <c r="S252" s="526"/>
      <c r="T252" s="526"/>
      <c r="U252" s="526"/>
      <c r="V252" s="526"/>
      <c r="W252" s="526"/>
      <c r="X252" s="526"/>
      <c r="Y252" s="526"/>
      <c r="Z252" s="526"/>
      <c r="AA252" s="526"/>
      <c r="AB252" s="526"/>
      <c r="AC252" s="526"/>
      <c r="AD252" s="526"/>
      <c r="AE252" s="526"/>
      <c r="AF252" s="526"/>
      <c r="AG252" s="526"/>
      <c r="AH252" s="27"/>
    </row>
    <row r="253" ht="18.75" customHeight="1">
      <c r="A253" s="526"/>
      <c r="B253" s="526"/>
      <c r="C253" s="526"/>
      <c r="D253" s="526"/>
      <c r="E253" s="526"/>
      <c r="F253" s="526"/>
      <c r="G253" s="526"/>
      <c r="H253" s="526"/>
      <c r="I253" s="526"/>
      <c r="J253" s="526"/>
      <c r="K253" s="526"/>
      <c r="L253" s="526"/>
      <c r="M253" s="526"/>
      <c r="N253" s="526"/>
      <c r="O253" s="526"/>
      <c r="P253" s="526"/>
      <c r="Q253" s="526"/>
      <c r="R253" s="526"/>
      <c r="S253" s="526"/>
      <c r="T253" s="526"/>
      <c r="U253" s="526"/>
      <c r="V253" s="526"/>
      <c r="W253" s="526"/>
      <c r="X253" s="526"/>
      <c r="Y253" s="526"/>
      <c r="Z253" s="526"/>
      <c r="AA253" s="526"/>
      <c r="AB253" s="526"/>
      <c r="AC253" s="526"/>
      <c r="AD253" s="526"/>
      <c r="AE253" s="526"/>
      <c r="AF253" s="526"/>
      <c r="AG253" s="526"/>
      <c r="AH253" s="27"/>
    </row>
    <row r="254" ht="18.75" customHeight="1">
      <c r="A254" s="526"/>
      <c r="B254" s="526"/>
      <c r="C254" s="526"/>
      <c r="D254" s="526"/>
      <c r="E254" s="526"/>
      <c r="F254" s="526"/>
      <c r="G254" s="526"/>
      <c r="H254" s="526"/>
      <c r="I254" s="526"/>
      <c r="J254" s="526"/>
      <c r="K254" s="526"/>
      <c r="L254" s="526"/>
      <c r="M254" s="526"/>
      <c r="N254" s="526"/>
      <c r="O254" s="526"/>
      <c r="P254" s="526"/>
      <c r="Q254" s="526"/>
      <c r="R254" s="526"/>
      <c r="S254" s="526"/>
      <c r="T254" s="526"/>
      <c r="U254" s="526"/>
      <c r="V254" s="526"/>
      <c r="W254" s="526"/>
      <c r="X254" s="526"/>
      <c r="Y254" s="526"/>
      <c r="Z254" s="526"/>
      <c r="AA254" s="526"/>
      <c r="AB254" s="526"/>
      <c r="AC254" s="526"/>
      <c r="AD254" s="526"/>
      <c r="AE254" s="526"/>
      <c r="AF254" s="526"/>
      <c r="AG254" s="526"/>
      <c r="AH254" s="27"/>
    </row>
    <row r="255" ht="18.75" customHeight="1">
      <c r="A255" s="526"/>
      <c r="B255" s="526"/>
      <c r="C255" s="526"/>
      <c r="D255" s="526"/>
      <c r="E255" s="526"/>
      <c r="F255" s="526"/>
      <c r="G255" s="526"/>
      <c r="H255" s="526"/>
      <c r="I255" s="526"/>
      <c r="J255" s="526"/>
      <c r="K255" s="526"/>
      <c r="L255" s="526"/>
      <c r="M255" s="526"/>
      <c r="N255" s="526"/>
      <c r="O255" s="526"/>
      <c r="P255" s="526"/>
      <c r="Q255" s="526"/>
      <c r="R255" s="526"/>
      <c r="S255" s="526"/>
      <c r="T255" s="526"/>
      <c r="U255" s="526"/>
      <c r="V255" s="526"/>
      <c r="W255" s="526"/>
      <c r="X255" s="526"/>
      <c r="Y255" s="526"/>
      <c r="Z255" s="526"/>
      <c r="AA255" s="526"/>
      <c r="AB255" s="526"/>
      <c r="AC255" s="526"/>
      <c r="AD255" s="526"/>
      <c r="AE255" s="526"/>
      <c r="AF255" s="526"/>
      <c r="AG255" s="526"/>
      <c r="AH255" s="27"/>
    </row>
    <row r="256" ht="18.75" customHeight="1">
      <c r="A256" s="526"/>
      <c r="B256" s="526"/>
      <c r="C256" s="526"/>
      <c r="D256" s="526"/>
      <c r="E256" s="526"/>
      <c r="F256" s="526"/>
      <c r="G256" s="526"/>
      <c r="H256" s="526"/>
      <c r="I256" s="526"/>
      <c r="J256" s="526"/>
      <c r="K256" s="526"/>
      <c r="L256" s="526"/>
      <c r="M256" s="526"/>
      <c r="N256" s="526"/>
      <c r="O256" s="526"/>
      <c r="P256" s="526"/>
      <c r="Q256" s="526"/>
      <c r="R256" s="526"/>
      <c r="S256" s="526"/>
      <c r="T256" s="526"/>
      <c r="U256" s="526"/>
      <c r="V256" s="526"/>
      <c r="W256" s="526"/>
      <c r="X256" s="526"/>
      <c r="Y256" s="526"/>
      <c r="Z256" s="526"/>
      <c r="AA256" s="526"/>
      <c r="AB256" s="526"/>
      <c r="AC256" s="526"/>
      <c r="AD256" s="526"/>
      <c r="AE256" s="526"/>
      <c r="AF256" s="526"/>
      <c r="AG256" s="526"/>
      <c r="AH256" s="27"/>
    </row>
    <row r="257" ht="18.75" customHeight="1">
      <c r="A257" s="526"/>
      <c r="B257" s="526"/>
      <c r="C257" s="526"/>
      <c r="D257" s="526"/>
      <c r="E257" s="526"/>
      <c r="F257" s="526"/>
      <c r="G257" s="526"/>
      <c r="H257" s="526"/>
      <c r="I257" s="526"/>
      <c r="J257" s="526"/>
      <c r="K257" s="526"/>
      <c r="L257" s="526"/>
      <c r="M257" s="526"/>
      <c r="N257" s="526"/>
      <c r="O257" s="526"/>
      <c r="P257" s="526"/>
      <c r="Q257" s="526"/>
      <c r="R257" s="526"/>
      <c r="S257" s="526"/>
      <c r="T257" s="526"/>
      <c r="U257" s="526"/>
      <c r="V257" s="526"/>
      <c r="W257" s="526"/>
      <c r="X257" s="526"/>
      <c r="Y257" s="526"/>
      <c r="Z257" s="526"/>
      <c r="AA257" s="526"/>
      <c r="AB257" s="526"/>
      <c r="AC257" s="526"/>
      <c r="AD257" s="526"/>
      <c r="AE257" s="526"/>
      <c r="AF257" s="526"/>
      <c r="AG257" s="526"/>
      <c r="AH257" s="27"/>
    </row>
    <row r="258" ht="18.75" customHeight="1">
      <c r="A258" s="526"/>
      <c r="B258" s="526"/>
      <c r="C258" s="526"/>
      <c r="D258" s="526"/>
      <c r="E258" s="526"/>
      <c r="F258" s="526"/>
      <c r="G258" s="526"/>
      <c r="H258" s="526"/>
      <c r="I258" s="526"/>
      <c r="J258" s="526"/>
      <c r="K258" s="526"/>
      <c r="L258" s="526"/>
      <c r="M258" s="526"/>
      <c r="N258" s="526"/>
      <c r="O258" s="526"/>
      <c r="P258" s="526"/>
      <c r="Q258" s="526"/>
      <c r="R258" s="526"/>
      <c r="S258" s="526"/>
      <c r="T258" s="526"/>
      <c r="U258" s="526"/>
      <c r="V258" s="526"/>
      <c r="W258" s="526"/>
      <c r="X258" s="526"/>
      <c r="Y258" s="526"/>
      <c r="Z258" s="526"/>
      <c r="AA258" s="526"/>
      <c r="AB258" s="526"/>
      <c r="AC258" s="526"/>
      <c r="AD258" s="526"/>
      <c r="AE258" s="526"/>
      <c r="AF258" s="526"/>
      <c r="AG258" s="526"/>
      <c r="AH258" s="27"/>
    </row>
    <row r="259" ht="18.75" customHeight="1">
      <c r="A259" s="526"/>
      <c r="B259" s="526"/>
      <c r="C259" s="526"/>
      <c r="D259" s="526"/>
      <c r="E259" s="526"/>
      <c r="F259" s="526"/>
      <c r="G259" s="526"/>
      <c r="H259" s="526"/>
      <c r="I259" s="526"/>
      <c r="J259" s="526"/>
      <c r="K259" s="526"/>
      <c r="L259" s="526"/>
      <c r="M259" s="526"/>
      <c r="N259" s="526"/>
      <c r="O259" s="526"/>
      <c r="P259" s="526"/>
      <c r="Q259" s="526"/>
      <c r="R259" s="526"/>
      <c r="S259" s="526"/>
      <c r="T259" s="526"/>
      <c r="U259" s="526"/>
      <c r="V259" s="526"/>
      <c r="W259" s="526"/>
      <c r="X259" s="526"/>
      <c r="Y259" s="526"/>
      <c r="Z259" s="526"/>
      <c r="AA259" s="526"/>
      <c r="AB259" s="526"/>
      <c r="AC259" s="526"/>
      <c r="AD259" s="526"/>
      <c r="AE259" s="526"/>
      <c r="AF259" s="526"/>
      <c r="AG259" s="526"/>
      <c r="AH259" s="27"/>
    </row>
    <row r="260" ht="18.75" customHeight="1">
      <c r="A260" s="526"/>
      <c r="B260" s="526"/>
      <c r="C260" s="526"/>
      <c r="D260" s="526"/>
      <c r="E260" s="526"/>
      <c r="F260" s="526"/>
      <c r="G260" s="526"/>
      <c r="H260" s="526"/>
      <c r="I260" s="526"/>
      <c r="J260" s="526"/>
      <c r="K260" s="526"/>
      <c r="L260" s="526"/>
      <c r="M260" s="526"/>
      <c r="N260" s="526"/>
      <c r="O260" s="526"/>
      <c r="P260" s="526"/>
      <c r="Q260" s="526"/>
      <c r="R260" s="526"/>
      <c r="S260" s="526"/>
      <c r="T260" s="526"/>
      <c r="U260" s="526"/>
      <c r="V260" s="526"/>
      <c r="W260" s="526"/>
      <c r="X260" s="526"/>
      <c r="Y260" s="526"/>
      <c r="Z260" s="526"/>
      <c r="AA260" s="526"/>
      <c r="AB260" s="526"/>
      <c r="AC260" s="526"/>
      <c r="AD260" s="526"/>
      <c r="AE260" s="526"/>
      <c r="AF260" s="526"/>
      <c r="AG260" s="526"/>
      <c r="AH260" s="27"/>
    </row>
    <row r="261" ht="18.75" customHeight="1">
      <c r="A261" s="526"/>
      <c r="B261" s="526"/>
      <c r="C261" s="526"/>
      <c r="D261" s="526"/>
      <c r="E261" s="526"/>
      <c r="F261" s="526"/>
      <c r="G261" s="526"/>
      <c r="H261" s="526"/>
      <c r="I261" s="526"/>
      <c r="J261" s="526"/>
      <c r="K261" s="526"/>
      <c r="L261" s="526"/>
      <c r="M261" s="526"/>
      <c r="N261" s="526"/>
      <c r="O261" s="526"/>
      <c r="P261" s="526"/>
      <c r="Q261" s="526"/>
      <c r="R261" s="526"/>
      <c r="S261" s="526"/>
      <c r="T261" s="526"/>
      <c r="U261" s="526"/>
      <c r="V261" s="526"/>
      <c r="W261" s="526"/>
      <c r="X261" s="526"/>
      <c r="Y261" s="526"/>
      <c r="Z261" s="526"/>
      <c r="AA261" s="526"/>
      <c r="AB261" s="526"/>
      <c r="AC261" s="526"/>
      <c r="AD261" s="526"/>
      <c r="AE261" s="526"/>
      <c r="AF261" s="526"/>
      <c r="AG261" s="526"/>
      <c r="AH261" s="27"/>
    </row>
    <row r="262" ht="18.75" customHeight="1">
      <c r="A262" s="526"/>
      <c r="B262" s="526"/>
      <c r="C262" s="526"/>
      <c r="D262" s="526"/>
      <c r="E262" s="526"/>
      <c r="F262" s="526"/>
      <c r="G262" s="526"/>
      <c r="H262" s="526"/>
      <c r="I262" s="526"/>
      <c r="J262" s="526"/>
      <c r="K262" s="526"/>
      <c r="L262" s="526"/>
      <c r="M262" s="526"/>
      <c r="N262" s="526"/>
      <c r="O262" s="526"/>
      <c r="P262" s="526"/>
      <c r="Q262" s="526"/>
      <c r="R262" s="526"/>
      <c r="S262" s="526"/>
      <c r="T262" s="526"/>
      <c r="U262" s="526"/>
      <c r="V262" s="526"/>
      <c r="W262" s="526"/>
      <c r="X262" s="526"/>
      <c r="Y262" s="526"/>
      <c r="Z262" s="526"/>
      <c r="AA262" s="526"/>
      <c r="AB262" s="526"/>
      <c r="AC262" s="526"/>
      <c r="AD262" s="526"/>
      <c r="AE262" s="526"/>
      <c r="AF262" s="526"/>
      <c r="AG262" s="526"/>
      <c r="AH262" s="27"/>
    </row>
    <row r="263" ht="18.75" customHeight="1">
      <c r="A263" s="526"/>
      <c r="B263" s="526"/>
      <c r="C263" s="526"/>
      <c r="D263" s="526"/>
      <c r="E263" s="526"/>
      <c r="F263" s="526"/>
      <c r="G263" s="526"/>
      <c r="H263" s="526"/>
      <c r="I263" s="526"/>
      <c r="J263" s="526"/>
      <c r="K263" s="526"/>
      <c r="L263" s="526"/>
      <c r="M263" s="526"/>
      <c r="N263" s="526"/>
      <c r="O263" s="526"/>
      <c r="P263" s="526"/>
      <c r="Q263" s="526"/>
      <c r="R263" s="526"/>
      <c r="S263" s="526"/>
      <c r="T263" s="526"/>
      <c r="U263" s="526"/>
      <c r="V263" s="526"/>
      <c r="W263" s="526"/>
      <c r="X263" s="526"/>
      <c r="Y263" s="526"/>
      <c r="Z263" s="526"/>
      <c r="AA263" s="526"/>
      <c r="AB263" s="526"/>
      <c r="AC263" s="526"/>
      <c r="AD263" s="526"/>
      <c r="AE263" s="526"/>
      <c r="AF263" s="526"/>
      <c r="AG263" s="526"/>
      <c r="AH263" s="27"/>
    </row>
    <row r="264" ht="18.75" customHeight="1">
      <c r="A264" s="526"/>
      <c r="B264" s="526"/>
      <c r="C264" s="526"/>
      <c r="D264" s="526"/>
      <c r="E264" s="526"/>
      <c r="F264" s="526"/>
      <c r="G264" s="526"/>
      <c r="H264" s="526"/>
      <c r="I264" s="526"/>
      <c r="J264" s="526"/>
      <c r="K264" s="526"/>
      <c r="L264" s="526"/>
      <c r="M264" s="526"/>
      <c r="N264" s="526"/>
      <c r="O264" s="526"/>
      <c r="P264" s="526"/>
      <c r="Q264" s="526"/>
      <c r="R264" s="526"/>
      <c r="S264" s="526"/>
      <c r="T264" s="526"/>
      <c r="U264" s="526"/>
      <c r="V264" s="526"/>
      <c r="W264" s="526"/>
      <c r="X264" s="526"/>
      <c r="Y264" s="526"/>
      <c r="Z264" s="526"/>
      <c r="AA264" s="526"/>
      <c r="AB264" s="526"/>
      <c r="AC264" s="526"/>
      <c r="AD264" s="526"/>
      <c r="AE264" s="526"/>
      <c r="AF264" s="526"/>
      <c r="AG264" s="526"/>
      <c r="AH264" s="27"/>
    </row>
    <row r="265" ht="18.75" customHeight="1">
      <c r="A265" s="526"/>
      <c r="B265" s="526"/>
      <c r="C265" s="526"/>
      <c r="D265" s="526"/>
      <c r="E265" s="526"/>
      <c r="F265" s="526"/>
      <c r="G265" s="526"/>
      <c r="H265" s="526"/>
      <c r="I265" s="526"/>
      <c r="J265" s="526"/>
      <c r="K265" s="526"/>
      <c r="L265" s="526"/>
      <c r="M265" s="526"/>
      <c r="N265" s="526"/>
      <c r="O265" s="526"/>
      <c r="P265" s="526"/>
      <c r="Q265" s="526"/>
      <c r="R265" s="526"/>
      <c r="S265" s="526"/>
      <c r="T265" s="526"/>
      <c r="U265" s="526"/>
      <c r="V265" s="526"/>
      <c r="W265" s="526"/>
      <c r="X265" s="526"/>
      <c r="Y265" s="526"/>
      <c r="Z265" s="526"/>
      <c r="AA265" s="526"/>
      <c r="AB265" s="526"/>
      <c r="AC265" s="526"/>
      <c r="AD265" s="526"/>
      <c r="AE265" s="526"/>
      <c r="AF265" s="526"/>
      <c r="AG265" s="526"/>
      <c r="AH265" s="27"/>
    </row>
    <row r="266" ht="18.75" customHeight="1">
      <c r="A266" s="526"/>
      <c r="B266" s="526"/>
      <c r="C266" s="526"/>
      <c r="D266" s="526"/>
      <c r="E266" s="526"/>
      <c r="F266" s="526"/>
      <c r="G266" s="526"/>
      <c r="H266" s="526"/>
      <c r="I266" s="526"/>
      <c r="J266" s="526"/>
      <c r="K266" s="526"/>
      <c r="L266" s="526"/>
      <c r="M266" s="526"/>
      <c r="N266" s="526"/>
      <c r="O266" s="526"/>
      <c r="P266" s="526"/>
      <c r="Q266" s="526"/>
      <c r="R266" s="526"/>
      <c r="S266" s="526"/>
      <c r="T266" s="526"/>
      <c r="U266" s="526"/>
      <c r="V266" s="526"/>
      <c r="W266" s="526"/>
      <c r="X266" s="526"/>
      <c r="Y266" s="526"/>
      <c r="Z266" s="526"/>
      <c r="AA266" s="526"/>
      <c r="AB266" s="526"/>
      <c r="AC266" s="526"/>
      <c r="AD266" s="526"/>
      <c r="AE266" s="526"/>
      <c r="AF266" s="526"/>
      <c r="AG266" s="526"/>
      <c r="AH266" s="27"/>
    </row>
    <row r="267" ht="18.75" customHeight="1">
      <c r="A267" s="526"/>
      <c r="B267" s="526"/>
      <c r="C267" s="526"/>
      <c r="D267" s="526"/>
      <c r="E267" s="526"/>
      <c r="F267" s="526"/>
      <c r="G267" s="526"/>
      <c r="H267" s="526"/>
      <c r="I267" s="526"/>
      <c r="J267" s="526"/>
      <c r="K267" s="526"/>
      <c r="L267" s="526"/>
      <c r="M267" s="526"/>
      <c r="N267" s="526"/>
      <c r="O267" s="526"/>
      <c r="P267" s="526"/>
      <c r="Q267" s="526"/>
      <c r="R267" s="526"/>
      <c r="S267" s="526"/>
      <c r="T267" s="526"/>
      <c r="U267" s="526"/>
      <c r="V267" s="526"/>
      <c r="W267" s="526"/>
      <c r="X267" s="526"/>
      <c r="Y267" s="526"/>
      <c r="Z267" s="526"/>
      <c r="AA267" s="526"/>
      <c r="AB267" s="526"/>
      <c r="AC267" s="526"/>
      <c r="AD267" s="526"/>
      <c r="AE267" s="526"/>
      <c r="AF267" s="526"/>
      <c r="AG267" s="526"/>
      <c r="AH267" s="27"/>
    </row>
    <row r="268" ht="18.75" customHeight="1">
      <c r="A268" s="526"/>
      <c r="B268" s="526"/>
      <c r="C268" s="526"/>
      <c r="D268" s="526"/>
      <c r="E268" s="526"/>
      <c r="F268" s="526"/>
      <c r="G268" s="526"/>
      <c r="H268" s="526"/>
      <c r="I268" s="526"/>
      <c r="J268" s="526"/>
      <c r="K268" s="526"/>
      <c r="L268" s="526"/>
      <c r="M268" s="526"/>
      <c r="N268" s="526"/>
      <c r="O268" s="526"/>
      <c r="P268" s="526"/>
      <c r="Q268" s="526"/>
      <c r="R268" s="526"/>
      <c r="S268" s="526"/>
      <c r="T268" s="526"/>
      <c r="U268" s="526"/>
      <c r="V268" s="526"/>
      <c r="W268" s="526"/>
      <c r="X268" s="526"/>
      <c r="Y268" s="526"/>
      <c r="Z268" s="526"/>
      <c r="AA268" s="526"/>
      <c r="AB268" s="526"/>
      <c r="AC268" s="526"/>
      <c r="AD268" s="526"/>
      <c r="AE268" s="526"/>
      <c r="AF268" s="526"/>
      <c r="AG268" s="526"/>
      <c r="AH268" s="27"/>
    </row>
  </sheetData>
  <mergeCells count="41">
    <mergeCell ref="H68:J68"/>
    <mergeCell ref="D68:F68"/>
    <mergeCell ref="L68:M68"/>
    <mergeCell ref="G57:I57"/>
    <mergeCell ref="G58:I58"/>
    <mergeCell ref="D65:F65"/>
    <mergeCell ref="H65:J65"/>
    <mergeCell ref="L65:M65"/>
    <mergeCell ref="A58:E58"/>
    <mergeCell ref="W4:W6"/>
    <mergeCell ref="P45:P47"/>
    <mergeCell ref="J46:J47"/>
    <mergeCell ref="N46:N47"/>
    <mergeCell ref="F4:F6"/>
    <mergeCell ref="G4:J4"/>
    <mergeCell ref="J5:J6"/>
    <mergeCell ref="A42:F42"/>
    <mergeCell ref="A45:E45"/>
    <mergeCell ref="G45:J45"/>
    <mergeCell ref="K45:N45"/>
    <mergeCell ref="P4:P6"/>
    <mergeCell ref="K4:N4"/>
    <mergeCell ref="O4:O6"/>
    <mergeCell ref="N5:N6"/>
    <mergeCell ref="O45:O47"/>
    <mergeCell ref="A1:E1"/>
    <mergeCell ref="A2:O2"/>
    <mergeCell ref="S3:AG3"/>
    <mergeCell ref="A4:A6"/>
    <mergeCell ref="B4:B6"/>
    <mergeCell ref="D4:D6"/>
    <mergeCell ref="E4:E6"/>
    <mergeCell ref="X4:AA4"/>
    <mergeCell ref="AB4:AE4"/>
    <mergeCell ref="AF4:AF6"/>
    <mergeCell ref="AA5:AA6"/>
    <mergeCell ref="AE5:AE6"/>
    <mergeCell ref="R4:R6"/>
    <mergeCell ref="S4:S6"/>
    <mergeCell ref="U4:U6"/>
    <mergeCell ref="V4:V6"/>
  </mergeCells>
  <pageMargins left="0.7" right="0.7" top="0.75" bottom="0.75" header="0" footer="0"/>
  <pageSetup firstPageNumber="1" fitToHeight="1" fitToWidth="1" scale="100" useFirstPageNumber="0" orientation="landscape" pageOrder="overThenDown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dimension ref="A1:E998"/>
  <sheetViews>
    <sheetView workbookViewId="0" showGridLines="0" defaultGridColor="1"/>
  </sheetViews>
  <sheetFormatPr defaultColWidth="14.4" defaultRowHeight="15" customHeight="1" outlineLevelRow="0" outlineLevelCol="0"/>
  <cols>
    <col min="1" max="1" width="27.4219" style="1401" customWidth="1"/>
    <col min="2" max="2" width="16" style="1401" customWidth="1"/>
    <col min="3" max="3" width="42.6016" style="1401" customWidth="1"/>
    <col min="4" max="4" width="37.4219" style="1401" customWidth="1"/>
    <col min="5" max="5" width="14.4219" style="1401" customWidth="1"/>
    <col min="6" max="16384" width="14.4219" style="1401" customWidth="1"/>
  </cols>
  <sheetData>
    <row r="1" ht="15" customHeight="1">
      <c r="A1" t="s" s="1402">
        <v>209</v>
      </c>
      <c r="B1" s="1403">
        <v>945661904</v>
      </c>
      <c r="C1" t="s" s="1402">
        <v>5306</v>
      </c>
      <c r="D1" t="s" s="1402">
        <v>276</v>
      </c>
      <c r="E1" s="1404"/>
    </row>
    <row r="2" ht="15" customHeight="1">
      <c r="A2" t="s" s="1402">
        <v>214</v>
      </c>
      <c r="B2" s="1403">
        <v>2606600301</v>
      </c>
      <c r="C2" t="s" s="1402">
        <v>5306</v>
      </c>
      <c r="D2" t="s" s="1402">
        <v>276</v>
      </c>
      <c r="E2" s="1404"/>
    </row>
    <row r="3" ht="15" customHeight="1">
      <c r="A3" t="s" s="406">
        <v>5311</v>
      </c>
      <c r="B3" s="1405">
        <v>19036367351018</v>
      </c>
      <c r="C3" s="1406"/>
      <c r="D3" t="s" s="406">
        <v>6056</v>
      </c>
      <c r="E3" s="1404"/>
    </row>
    <row r="4" ht="15" customHeight="1">
      <c r="A4" t="s" s="406">
        <v>6057</v>
      </c>
      <c r="B4" s="1405">
        <v>19036452684018</v>
      </c>
      <c r="C4" s="1406"/>
      <c r="D4" t="s" s="406">
        <v>6056</v>
      </c>
      <c r="E4" s="1404"/>
    </row>
    <row r="5" ht="15" customHeight="1">
      <c r="A5" t="s" s="1402">
        <v>5314</v>
      </c>
      <c r="B5" s="1403">
        <v>11004317492</v>
      </c>
      <c r="C5" t="s" s="1402">
        <v>5306</v>
      </c>
      <c r="D5" t="s" s="1402">
        <v>266</v>
      </c>
      <c r="E5" s="1404"/>
    </row>
    <row r="6" ht="15" customHeight="1">
      <c r="A6" t="s" s="1402">
        <v>5319</v>
      </c>
      <c r="B6" s="1403">
        <v>239748449</v>
      </c>
      <c r="C6" t="s" s="1402">
        <v>5306</v>
      </c>
      <c r="D6" t="s" s="1402">
        <v>211</v>
      </c>
      <c r="E6" s="1404"/>
    </row>
    <row r="7" ht="15" customHeight="1">
      <c r="A7" t="s" s="1402">
        <v>217</v>
      </c>
      <c r="B7" s="1403">
        <v>222638429</v>
      </c>
      <c r="C7" t="s" s="1402">
        <v>5306</v>
      </c>
      <c r="D7" t="s" s="1402">
        <v>211</v>
      </c>
      <c r="E7" s="1404"/>
    </row>
    <row r="8" ht="15" customHeight="1">
      <c r="A8" t="s" s="406">
        <v>5324</v>
      </c>
      <c r="B8" s="1405">
        <v>19034300764013</v>
      </c>
      <c r="C8" s="507"/>
      <c r="D8" t="s" s="406">
        <v>6056</v>
      </c>
      <c r="E8" s="1404"/>
    </row>
    <row r="9" ht="15" customHeight="1">
      <c r="A9" t="s" s="406">
        <v>222</v>
      </c>
      <c r="B9" s="1405">
        <v>19037989444011</v>
      </c>
      <c r="C9" s="1406"/>
      <c r="D9" t="s" s="406">
        <v>6056</v>
      </c>
      <c r="E9" s="1404"/>
    </row>
    <row r="10" ht="15" customHeight="1">
      <c r="A10" t="s" s="1402">
        <v>227</v>
      </c>
      <c r="B10" s="1403">
        <v>983280899</v>
      </c>
      <c r="C10" t="s" s="1402">
        <v>5306</v>
      </c>
      <c r="D10" t="s" s="1402">
        <v>229</v>
      </c>
      <c r="E10" s="1404"/>
    </row>
    <row r="11" ht="15" customHeight="1">
      <c r="A11" t="s" s="1402">
        <v>5331</v>
      </c>
      <c r="B11" s="1403">
        <v>1014035653</v>
      </c>
      <c r="C11" t="s" s="1402">
        <v>5306</v>
      </c>
      <c r="D11" t="s" s="1402">
        <v>266</v>
      </c>
      <c r="E11" s="1404"/>
    </row>
    <row r="12" ht="15" customHeight="1">
      <c r="A12" t="s" s="406">
        <v>233</v>
      </c>
      <c r="B12" s="1405">
        <v>81120026868</v>
      </c>
      <c r="C12" s="1406"/>
      <c r="D12" t="s" s="406">
        <v>6056</v>
      </c>
      <c r="E12" s="1404"/>
    </row>
    <row r="13" ht="15" customHeight="1">
      <c r="A13" t="s" s="1402">
        <v>237</v>
      </c>
      <c r="B13" s="1403">
        <v>19121870</v>
      </c>
      <c r="C13" t="s" s="1402">
        <v>5306</v>
      </c>
      <c r="D13" t="s" s="1402">
        <v>240</v>
      </c>
      <c r="E13" s="1404"/>
    </row>
    <row r="14" ht="15" customHeight="1">
      <c r="A14" t="s" s="1402">
        <v>242</v>
      </c>
      <c r="B14" s="1403">
        <v>104229093</v>
      </c>
      <c r="C14" t="s" s="1402">
        <v>5306</v>
      </c>
      <c r="D14" t="s" s="1402">
        <v>211</v>
      </c>
      <c r="E14" s="1404"/>
    </row>
    <row r="15" ht="15" customHeight="1">
      <c r="A15" t="s" s="1402">
        <v>5340</v>
      </c>
      <c r="B15" s="1403">
        <v>170717</v>
      </c>
      <c r="C15" t="s" s="1402">
        <v>5306</v>
      </c>
      <c r="D15" t="s" s="1402">
        <v>5342</v>
      </c>
      <c r="E15" s="1404"/>
    </row>
    <row r="16" ht="15" customHeight="1">
      <c r="A16" t="s" s="1402">
        <v>5345</v>
      </c>
      <c r="B16" s="1403">
        <v>18729518888</v>
      </c>
      <c r="C16" t="s" s="1402">
        <v>5306</v>
      </c>
      <c r="D16" t="s" s="1402">
        <v>276</v>
      </c>
      <c r="E16" s="1404"/>
    </row>
    <row r="17" ht="15" customHeight="1">
      <c r="A17" t="s" s="406">
        <v>248</v>
      </c>
      <c r="B17" s="1405">
        <v>19020074352016</v>
      </c>
      <c r="C17" s="507"/>
      <c r="D17" t="s" s="406">
        <v>6056</v>
      </c>
      <c r="E17" s="1404"/>
    </row>
    <row r="18" ht="15" customHeight="1">
      <c r="A18" t="s" s="1402">
        <v>264</v>
      </c>
      <c r="B18" s="1403">
        <v>1013262796</v>
      </c>
      <c r="C18" t="s" s="1402">
        <v>5306</v>
      </c>
      <c r="D18" t="s" s="1402">
        <v>266</v>
      </c>
      <c r="E18" s="1404"/>
    </row>
    <row r="19" ht="15" customHeight="1">
      <c r="A19" t="s" s="406">
        <v>5368</v>
      </c>
      <c r="B19" s="1405">
        <v>19072451339011</v>
      </c>
      <c r="C19" s="507"/>
      <c r="D19" t="s" s="406">
        <v>6056</v>
      </c>
      <c r="E19" s="1404"/>
    </row>
    <row r="20" ht="15" customHeight="1">
      <c r="A20" t="s" s="406">
        <v>5372</v>
      </c>
      <c r="B20" s="1405">
        <v>19036834245014</v>
      </c>
      <c r="C20" s="507"/>
      <c r="D20" t="s" s="406">
        <v>6056</v>
      </c>
      <c r="E20" s="1404"/>
    </row>
    <row r="21" ht="15" customHeight="1">
      <c r="A21" t="s" s="1402">
        <v>5377</v>
      </c>
      <c r="B21" s="1403">
        <v>982304341</v>
      </c>
      <c r="C21" t="s" s="1402">
        <v>5306</v>
      </c>
      <c r="D21" t="s" s="1402">
        <v>229</v>
      </c>
      <c r="E21" s="1404"/>
    </row>
    <row r="22" ht="15" customHeight="1">
      <c r="A22" t="s" s="406">
        <v>6058</v>
      </c>
      <c r="B22" s="1405">
        <v>19034735347015</v>
      </c>
      <c r="C22" s="507"/>
      <c r="D22" t="s" s="406">
        <v>6056</v>
      </c>
      <c r="E22" s="1404"/>
    </row>
    <row r="23" ht="15.75" customHeight="1">
      <c r="A23" s="507"/>
      <c r="B23" s="507"/>
      <c r="C23" s="507"/>
      <c r="D23" s="507"/>
      <c r="E23" s="1404"/>
    </row>
    <row r="24" ht="15" customHeight="1">
      <c r="A24" t="s" s="406">
        <v>5387</v>
      </c>
      <c r="B24" s="1405">
        <v>19036086737014</v>
      </c>
      <c r="C24" s="507"/>
      <c r="D24" t="s" s="406">
        <v>6056</v>
      </c>
      <c r="E24" s="1404"/>
    </row>
    <row r="25" ht="15" customHeight="1">
      <c r="A25" s="1406"/>
      <c r="B25" s="507"/>
      <c r="C25" s="507"/>
      <c r="D25" s="1406"/>
      <c r="E25" s="1404"/>
    </row>
    <row r="26" ht="15" customHeight="1">
      <c r="A26" t="s" s="406">
        <v>254</v>
      </c>
      <c r="B26" s="1407">
        <v>19027455280016</v>
      </c>
      <c r="C26" s="507"/>
      <c r="D26" t="s" s="406">
        <v>6056</v>
      </c>
      <c r="E26" s="1404"/>
    </row>
    <row r="27" ht="15.75" customHeight="1">
      <c r="A27" s="507"/>
      <c r="B27" s="507"/>
      <c r="C27" s="507"/>
      <c r="D27" s="507"/>
      <c r="E27" s="1404"/>
    </row>
    <row r="28" ht="15" customHeight="1">
      <c r="A28" t="s" s="406">
        <v>6059</v>
      </c>
      <c r="B28" s="1408">
        <v>2151961336</v>
      </c>
      <c r="C28" s="1406"/>
      <c r="D28" t="s" s="406">
        <v>6060</v>
      </c>
      <c r="E28" s="1404"/>
    </row>
    <row r="29" ht="15.75" customHeight="1">
      <c r="A29" s="507"/>
      <c r="B29" s="507"/>
      <c r="C29" s="507"/>
      <c r="D29" s="507"/>
      <c r="E29" s="1404"/>
    </row>
    <row r="30" ht="15.75" customHeight="1">
      <c r="A30" t="s" s="445">
        <v>349</v>
      </c>
      <c r="B30" s="1407">
        <v>19035470912013</v>
      </c>
      <c r="C30" s="507"/>
      <c r="D30" t="s" s="406">
        <v>6056</v>
      </c>
      <c r="E30" s="1404"/>
    </row>
    <row r="31" ht="15.75" customHeight="1">
      <c r="A31" s="507"/>
      <c r="B31" s="507"/>
      <c r="C31" s="507"/>
      <c r="D31" s="507"/>
      <c r="E31" s="1404"/>
    </row>
    <row r="32" ht="15.75" customHeight="1">
      <c r="A32" t="s" s="445">
        <v>6061</v>
      </c>
      <c r="B32" s="1407">
        <v>1451237001</v>
      </c>
      <c r="C32" s="507"/>
      <c r="D32" t="s" s="445">
        <v>6062</v>
      </c>
      <c r="E32" s="1404"/>
    </row>
    <row r="33" ht="15.75" customHeight="1">
      <c r="A33" s="507"/>
      <c r="B33" s="507"/>
      <c r="C33" s="507"/>
      <c r="D33" s="507"/>
      <c r="E33" s="1404"/>
    </row>
    <row r="34" ht="15.75" customHeight="1">
      <c r="A34" t="s" s="445">
        <v>6063</v>
      </c>
      <c r="B34" s="1409">
        <v>611001902044</v>
      </c>
      <c r="C34" s="1406"/>
      <c r="D34" t="s" s="406">
        <v>316</v>
      </c>
      <c r="E34" s="1404"/>
    </row>
    <row r="35" ht="15.75" customHeight="1">
      <c r="A35" s="507"/>
      <c r="B35" s="507"/>
      <c r="C35" s="507"/>
      <c r="D35" s="507"/>
      <c r="E35" s="1404"/>
    </row>
    <row r="36" ht="15.75" customHeight="1">
      <c r="A36" t="s" s="445">
        <v>6064</v>
      </c>
      <c r="B36" s="1408">
        <v>1021719857</v>
      </c>
      <c r="C36" s="507"/>
      <c r="D36" t="s" s="406">
        <v>316</v>
      </c>
      <c r="E36" s="1404"/>
    </row>
    <row r="37" ht="15.75" customHeight="1">
      <c r="A37" s="507"/>
      <c r="B37" s="507"/>
      <c r="C37" s="507"/>
      <c r="D37" s="507"/>
      <c r="E37" s="1404"/>
    </row>
    <row r="38" ht="15.75" customHeight="1">
      <c r="A38" t="s" s="445">
        <v>256</v>
      </c>
      <c r="B38" s="1407">
        <v>19033966641017</v>
      </c>
      <c r="C38" s="507"/>
      <c r="D38" t="s" s="445">
        <v>6056</v>
      </c>
      <c r="E38" s="1404"/>
    </row>
    <row r="39" ht="15.75" customHeight="1">
      <c r="A39" s="507"/>
      <c r="B39" s="507"/>
      <c r="C39" s="507"/>
      <c r="D39" s="507"/>
      <c r="E39" s="1404"/>
    </row>
    <row r="40" ht="15.75" customHeight="1">
      <c r="A40" t="s" s="445">
        <v>4250</v>
      </c>
      <c r="B40" s="1407">
        <v>19027397952017</v>
      </c>
      <c r="C40" s="507"/>
      <c r="D40" t="s" s="445">
        <v>6056</v>
      </c>
      <c r="E40" s="1404"/>
    </row>
    <row r="41" ht="15.75" customHeight="1">
      <c r="A41" s="507"/>
      <c r="B41" s="507"/>
      <c r="C41" s="507"/>
      <c r="D41" s="507"/>
      <c r="E41" s="1404"/>
    </row>
    <row r="42" ht="15.75" customHeight="1">
      <c r="A42" t="s" s="445">
        <v>6065</v>
      </c>
      <c r="B42" s="1410">
        <v>59627098</v>
      </c>
      <c r="C42" s="507"/>
      <c r="D42" t="s" s="445">
        <v>281</v>
      </c>
      <c r="E42" s="1404"/>
    </row>
    <row r="43" ht="15.75" customHeight="1">
      <c r="A43" s="507"/>
      <c r="B43" s="507"/>
      <c r="C43" s="507"/>
      <c r="D43" s="507"/>
      <c r="E43" s="1404"/>
    </row>
    <row r="44" ht="15.75" customHeight="1">
      <c r="A44" t="s" s="445">
        <v>6066</v>
      </c>
      <c r="B44" s="1408">
        <v>2601736251</v>
      </c>
      <c r="C44" s="1406"/>
      <c r="D44" t="s" s="406">
        <v>6060</v>
      </c>
      <c r="E44" s="1404"/>
    </row>
    <row r="45" ht="15.75" customHeight="1">
      <c r="A45" s="507"/>
      <c r="B45" s="507"/>
      <c r="C45" s="507"/>
      <c r="D45" s="507"/>
      <c r="E45" s="1404"/>
    </row>
    <row r="46" ht="15.75" customHeight="1">
      <c r="A46" t="s" s="445">
        <v>6067</v>
      </c>
      <c r="B46" s="1408">
        <v>966049097</v>
      </c>
      <c r="C46" s="1406"/>
      <c r="D46" t="s" s="406">
        <v>6068</v>
      </c>
      <c r="E46" s="1404"/>
    </row>
    <row r="47" ht="15.75" customHeight="1">
      <c r="A47" s="507"/>
      <c r="B47" s="507"/>
      <c r="C47" s="507"/>
      <c r="D47" s="507"/>
      <c r="E47" s="1404"/>
    </row>
    <row r="48" ht="15.75" customHeight="1">
      <c r="A48" t="s" s="445">
        <v>1306</v>
      </c>
      <c r="B48" t="s" s="1411">
        <v>6069</v>
      </c>
      <c r="C48" s="1406"/>
      <c r="D48" t="s" s="406">
        <v>6056</v>
      </c>
      <c r="E48" s="1404"/>
    </row>
    <row r="49" ht="15.75" customHeight="1">
      <c r="A49" s="507"/>
      <c r="B49" s="507"/>
      <c r="C49" s="507"/>
      <c r="D49" s="507"/>
      <c r="E49" s="1404"/>
    </row>
    <row r="50" ht="15.75" customHeight="1">
      <c r="A50" t="s" s="443">
        <v>6070</v>
      </c>
      <c r="B50" s="1412">
        <v>4100033209001</v>
      </c>
      <c r="C50" s="1406"/>
      <c r="D50" t="s" s="445">
        <v>6071</v>
      </c>
      <c r="E50" s="1404"/>
    </row>
    <row r="51" ht="15.75" customHeight="1">
      <c r="A51" s="507"/>
      <c r="B51" s="507"/>
      <c r="C51" s="507"/>
      <c r="D51" s="507"/>
      <c r="E51" s="1404"/>
    </row>
    <row r="52" ht="15.75" customHeight="1">
      <c r="A52" t="s" s="1413">
        <v>4281</v>
      </c>
      <c r="B52" s="1414">
        <v>9981080181</v>
      </c>
      <c r="C52" s="507"/>
      <c r="D52" t="s" s="1415">
        <v>316</v>
      </c>
      <c r="E52" s="1404"/>
    </row>
    <row r="53" ht="15.75" customHeight="1">
      <c r="A53" s="507"/>
      <c r="B53" s="507"/>
      <c r="C53" s="507"/>
      <c r="D53" s="507"/>
      <c r="E53" s="1404"/>
    </row>
    <row r="54" ht="15.75" customHeight="1">
      <c r="A54" t="s" s="1416">
        <v>6072</v>
      </c>
      <c r="B54" s="1417">
        <v>395828955</v>
      </c>
      <c r="C54" s="507"/>
      <c r="D54" t="s" s="1418">
        <v>345</v>
      </c>
      <c r="E54" s="1404"/>
    </row>
    <row r="55" ht="15.75" customHeight="1">
      <c r="A55" s="507"/>
      <c r="B55" s="507"/>
      <c r="C55" s="507"/>
      <c r="D55" s="507"/>
      <c r="E55" s="1404"/>
    </row>
    <row r="56" ht="15.75" customHeight="1">
      <c r="A56" t="s" s="445">
        <v>270</v>
      </c>
      <c r="B56" s="1417">
        <v>3659155701</v>
      </c>
      <c r="C56" s="507"/>
      <c r="D56" t="s" s="1418">
        <v>6073</v>
      </c>
      <c r="E56" s="1404"/>
    </row>
    <row r="57" ht="15.75" customHeight="1">
      <c r="A57" s="507"/>
      <c r="B57" s="507"/>
      <c r="C57" s="507"/>
      <c r="D57" s="507"/>
      <c r="E57" s="1404"/>
    </row>
    <row r="58" ht="15.75" customHeight="1">
      <c r="A58" t="s" s="445">
        <v>4367</v>
      </c>
      <c r="B58" s="1407">
        <v>19034264491013</v>
      </c>
      <c r="C58" s="507"/>
      <c r="D58" t="s" s="445">
        <v>6056</v>
      </c>
      <c r="E58" s="1404"/>
    </row>
    <row r="59" ht="15.75" customHeight="1">
      <c r="A59" s="507"/>
      <c r="B59" s="507"/>
      <c r="C59" s="507"/>
      <c r="D59" s="507"/>
      <c r="E59" s="1404"/>
    </row>
    <row r="60" ht="15.75" customHeight="1">
      <c r="A60" t="s" s="445">
        <v>416</v>
      </c>
      <c r="B60" s="1407">
        <v>45110000890004</v>
      </c>
      <c r="C60" s="507"/>
      <c r="D60" t="s" s="445">
        <v>6060</v>
      </c>
      <c r="E60" s="1404"/>
    </row>
    <row r="61" ht="15.75" customHeight="1">
      <c r="A61" s="507"/>
      <c r="B61" s="507"/>
      <c r="C61" s="507"/>
      <c r="D61" s="507"/>
      <c r="E61" s="1404"/>
    </row>
    <row r="62" ht="15.75" customHeight="1">
      <c r="A62" t="s" s="445">
        <v>6074</v>
      </c>
      <c r="B62" s="507"/>
      <c r="C62" s="507"/>
      <c r="D62" s="507"/>
      <c r="E62" s="1404"/>
    </row>
    <row r="63" ht="15.75" customHeight="1">
      <c r="A63" s="507"/>
      <c r="B63" s="507"/>
      <c r="C63" s="507"/>
      <c r="D63" s="507"/>
      <c r="E63" s="1404"/>
    </row>
    <row r="64" ht="15.75" customHeight="1">
      <c r="A64" t="s" s="1419">
        <v>6075</v>
      </c>
      <c r="B64" t="s" s="1420">
        <v>6076</v>
      </c>
      <c r="C64" s="1421"/>
      <c r="D64" t="s" s="1422">
        <v>310</v>
      </c>
      <c r="E64" s="27"/>
    </row>
    <row r="65" ht="15.75" customHeight="1">
      <c r="A65" s="526"/>
      <c r="B65" s="526"/>
      <c r="C65" s="526"/>
      <c r="D65" s="526"/>
      <c r="E65" s="27"/>
    </row>
    <row r="66" ht="15.75" customHeight="1">
      <c r="A66" t="s" s="403">
        <v>6077</v>
      </c>
      <c r="B66" t="s" s="1423">
        <v>344</v>
      </c>
      <c r="C66" s="1424"/>
      <c r="D66" t="s" s="1425">
        <v>345</v>
      </c>
      <c r="E66" s="27"/>
    </row>
    <row r="67" ht="15.75" customHeight="1">
      <c r="A67" s="507"/>
      <c r="B67" s="507"/>
      <c r="C67" s="507"/>
      <c r="D67" s="507"/>
      <c r="E67" s="1404"/>
    </row>
    <row r="68" ht="15.75" customHeight="1">
      <c r="A68" s="507"/>
      <c r="B68" s="507"/>
      <c r="C68" s="507"/>
      <c r="D68" s="507"/>
      <c r="E68" s="1404"/>
    </row>
    <row r="69" ht="15.75" customHeight="1">
      <c r="A69" s="507"/>
      <c r="B69" s="507"/>
      <c r="C69" s="507"/>
      <c r="D69" s="507"/>
      <c r="E69" s="1404"/>
    </row>
    <row r="70" ht="15.75" customHeight="1">
      <c r="A70" s="507"/>
      <c r="B70" s="507"/>
      <c r="C70" s="507"/>
      <c r="D70" s="507"/>
      <c r="E70" s="1404"/>
    </row>
    <row r="71" ht="15.75" customHeight="1">
      <c r="A71" s="507"/>
      <c r="B71" s="507"/>
      <c r="C71" s="507"/>
      <c r="D71" s="507"/>
      <c r="E71" s="1404"/>
    </row>
    <row r="72" ht="15.75" customHeight="1">
      <c r="A72" s="507"/>
      <c r="B72" s="507"/>
      <c r="C72" s="507"/>
      <c r="D72" s="507"/>
      <c r="E72" s="1404"/>
    </row>
    <row r="73" ht="15.75" customHeight="1">
      <c r="A73" s="507"/>
      <c r="B73" s="507"/>
      <c r="C73" s="507"/>
      <c r="D73" s="507"/>
      <c r="E73" s="1404"/>
    </row>
    <row r="74" ht="15.75" customHeight="1">
      <c r="A74" s="507"/>
      <c r="B74" s="507"/>
      <c r="C74" s="507"/>
      <c r="D74" s="507"/>
      <c r="E74" s="1404"/>
    </row>
    <row r="75" ht="15.75" customHeight="1">
      <c r="A75" s="507"/>
      <c r="B75" s="507"/>
      <c r="C75" s="507"/>
      <c r="D75" s="507"/>
      <c r="E75" s="1404"/>
    </row>
    <row r="76" ht="15.75" customHeight="1">
      <c r="A76" s="507"/>
      <c r="B76" s="507"/>
      <c r="C76" s="507"/>
      <c r="D76" s="507"/>
      <c r="E76" s="1404"/>
    </row>
    <row r="77" ht="15.75" customHeight="1">
      <c r="A77" s="507"/>
      <c r="B77" s="507"/>
      <c r="C77" s="507"/>
      <c r="D77" s="507"/>
      <c r="E77" s="1404"/>
    </row>
    <row r="78" ht="15.75" customHeight="1">
      <c r="A78" s="507"/>
      <c r="B78" s="507"/>
      <c r="C78" s="507"/>
      <c r="D78" s="507"/>
      <c r="E78" s="1404"/>
    </row>
    <row r="79" ht="15.75" customHeight="1">
      <c r="A79" s="507"/>
      <c r="B79" s="507"/>
      <c r="C79" s="507"/>
      <c r="D79" s="507"/>
      <c r="E79" s="1404"/>
    </row>
    <row r="80" ht="15.75" customHeight="1">
      <c r="A80" s="507"/>
      <c r="B80" s="507"/>
      <c r="C80" s="507"/>
      <c r="D80" s="507"/>
      <c r="E80" s="1404"/>
    </row>
    <row r="81" ht="15.75" customHeight="1">
      <c r="A81" s="507"/>
      <c r="B81" s="507"/>
      <c r="C81" s="507"/>
      <c r="D81" s="507"/>
      <c r="E81" s="1404"/>
    </row>
    <row r="82" ht="15.75" customHeight="1">
      <c r="A82" s="507"/>
      <c r="B82" s="507"/>
      <c r="C82" s="507"/>
      <c r="D82" s="507"/>
      <c r="E82" s="1404"/>
    </row>
    <row r="83" ht="15.75" customHeight="1">
      <c r="A83" s="507"/>
      <c r="B83" s="507"/>
      <c r="C83" s="507"/>
      <c r="D83" s="507"/>
      <c r="E83" s="1404"/>
    </row>
    <row r="84" ht="15.75" customHeight="1">
      <c r="A84" s="507"/>
      <c r="B84" s="507"/>
      <c r="C84" s="507"/>
      <c r="D84" s="507"/>
      <c r="E84" s="1404"/>
    </row>
    <row r="85" ht="15.75" customHeight="1">
      <c r="A85" s="507"/>
      <c r="B85" s="507"/>
      <c r="C85" s="507"/>
      <c r="D85" s="507"/>
      <c r="E85" s="1404"/>
    </row>
    <row r="86" ht="15.75" customHeight="1">
      <c r="A86" s="507"/>
      <c r="B86" s="507"/>
      <c r="C86" s="507"/>
      <c r="D86" s="507"/>
      <c r="E86" s="1404"/>
    </row>
    <row r="87" ht="15.75" customHeight="1">
      <c r="A87" s="507"/>
      <c r="B87" s="507"/>
      <c r="C87" s="507"/>
      <c r="D87" s="507"/>
      <c r="E87" s="1404"/>
    </row>
    <row r="88" ht="15.75" customHeight="1">
      <c r="A88" s="507"/>
      <c r="B88" s="507"/>
      <c r="C88" s="507"/>
      <c r="D88" s="507"/>
      <c r="E88" s="1404"/>
    </row>
    <row r="89" ht="15.75" customHeight="1">
      <c r="A89" s="507"/>
      <c r="B89" s="507"/>
      <c r="C89" s="507"/>
      <c r="D89" s="507"/>
      <c r="E89" s="1404"/>
    </row>
    <row r="90" ht="15.75" customHeight="1">
      <c r="A90" s="507"/>
      <c r="B90" s="507"/>
      <c r="C90" s="507"/>
      <c r="D90" s="507"/>
      <c r="E90" s="1404"/>
    </row>
    <row r="91" ht="15.75" customHeight="1">
      <c r="A91" s="507"/>
      <c r="B91" s="507"/>
      <c r="C91" s="507"/>
      <c r="D91" s="507"/>
      <c r="E91" s="1404"/>
    </row>
    <row r="92" ht="15.75" customHeight="1">
      <c r="A92" s="507"/>
      <c r="B92" s="507"/>
      <c r="C92" s="507"/>
      <c r="D92" s="507"/>
      <c r="E92" s="1404"/>
    </row>
    <row r="93" ht="15.75" customHeight="1">
      <c r="A93" s="507"/>
      <c r="B93" s="507"/>
      <c r="C93" s="507"/>
      <c r="D93" s="507"/>
      <c r="E93" s="1404"/>
    </row>
    <row r="94" ht="15.75" customHeight="1">
      <c r="A94" s="507"/>
      <c r="B94" s="507"/>
      <c r="C94" s="507"/>
      <c r="D94" s="507"/>
      <c r="E94" s="1404"/>
    </row>
    <row r="95" ht="15.75" customHeight="1">
      <c r="A95" s="507"/>
      <c r="B95" s="507"/>
      <c r="C95" s="507"/>
      <c r="D95" s="507"/>
      <c r="E95" s="1404"/>
    </row>
    <row r="96" ht="15.75" customHeight="1">
      <c r="A96" s="507"/>
      <c r="B96" s="507"/>
      <c r="C96" s="507"/>
      <c r="D96" s="507"/>
      <c r="E96" s="1404"/>
    </row>
    <row r="97" ht="15.75" customHeight="1">
      <c r="A97" s="507"/>
      <c r="B97" s="507"/>
      <c r="C97" s="507"/>
      <c r="D97" s="507"/>
      <c r="E97" s="1404"/>
    </row>
    <row r="98" ht="15.75" customHeight="1">
      <c r="A98" s="507"/>
      <c r="B98" s="507"/>
      <c r="C98" s="507"/>
      <c r="D98" s="507"/>
      <c r="E98" s="1404"/>
    </row>
    <row r="99" ht="15.75" customHeight="1">
      <c r="A99" s="507"/>
      <c r="B99" s="507"/>
      <c r="C99" s="507"/>
      <c r="D99" s="507"/>
      <c r="E99" s="1404"/>
    </row>
    <row r="100" ht="15.75" customHeight="1">
      <c r="A100" s="507"/>
      <c r="B100" s="507"/>
      <c r="C100" s="507"/>
      <c r="D100" s="507"/>
      <c r="E100" s="1404"/>
    </row>
    <row r="101" ht="15.75" customHeight="1">
      <c r="A101" s="507"/>
      <c r="B101" s="507"/>
      <c r="C101" s="507"/>
      <c r="D101" s="507"/>
      <c r="E101" s="1404"/>
    </row>
    <row r="102" ht="15.75" customHeight="1">
      <c r="A102" s="507"/>
      <c r="B102" s="507"/>
      <c r="C102" s="507"/>
      <c r="D102" s="507"/>
      <c r="E102" s="1404"/>
    </row>
    <row r="103" ht="15.75" customHeight="1">
      <c r="A103" s="507"/>
      <c r="B103" s="507"/>
      <c r="C103" s="507"/>
      <c r="D103" s="507"/>
      <c r="E103" s="1404"/>
    </row>
    <row r="104" ht="15.75" customHeight="1">
      <c r="A104" s="507"/>
      <c r="B104" s="507"/>
      <c r="C104" s="507"/>
      <c r="D104" s="507"/>
      <c r="E104" s="1404"/>
    </row>
    <row r="105" ht="15.75" customHeight="1">
      <c r="A105" s="507"/>
      <c r="B105" s="507"/>
      <c r="C105" s="507"/>
      <c r="D105" s="507"/>
      <c r="E105" s="1404"/>
    </row>
    <row r="106" ht="15.75" customHeight="1">
      <c r="A106" s="507"/>
      <c r="B106" s="507"/>
      <c r="C106" s="507"/>
      <c r="D106" s="507"/>
      <c r="E106" s="1404"/>
    </row>
    <row r="107" ht="15.75" customHeight="1">
      <c r="A107" s="507"/>
      <c r="B107" s="507"/>
      <c r="C107" s="507"/>
      <c r="D107" s="507"/>
      <c r="E107" s="1404"/>
    </row>
    <row r="108" ht="15.75" customHeight="1">
      <c r="A108" s="507"/>
      <c r="B108" s="507"/>
      <c r="C108" s="507"/>
      <c r="D108" s="507"/>
      <c r="E108" s="1404"/>
    </row>
    <row r="109" ht="15.75" customHeight="1">
      <c r="A109" s="507"/>
      <c r="B109" s="507"/>
      <c r="C109" s="507"/>
      <c r="D109" s="507"/>
      <c r="E109" s="1404"/>
    </row>
    <row r="110" ht="15.75" customHeight="1">
      <c r="A110" s="507"/>
      <c r="B110" s="507"/>
      <c r="C110" s="507"/>
      <c r="D110" s="507"/>
      <c r="E110" s="1404"/>
    </row>
    <row r="111" ht="15.75" customHeight="1">
      <c r="A111" s="507"/>
      <c r="B111" s="507"/>
      <c r="C111" s="507"/>
      <c r="D111" s="507"/>
      <c r="E111" s="1404"/>
    </row>
    <row r="112" ht="15.75" customHeight="1">
      <c r="A112" s="507"/>
      <c r="B112" s="507"/>
      <c r="C112" s="507"/>
      <c r="D112" s="507"/>
      <c r="E112" s="1404"/>
    </row>
    <row r="113" ht="15.75" customHeight="1">
      <c r="A113" s="507"/>
      <c r="B113" s="507"/>
      <c r="C113" s="507"/>
      <c r="D113" s="507"/>
      <c r="E113" s="1404"/>
    </row>
    <row r="114" ht="15.75" customHeight="1">
      <c r="A114" s="507"/>
      <c r="B114" s="507"/>
      <c r="C114" s="507"/>
      <c r="D114" s="507"/>
      <c r="E114" s="1404"/>
    </row>
    <row r="115" ht="15.75" customHeight="1">
      <c r="A115" s="507"/>
      <c r="B115" s="507"/>
      <c r="C115" s="507"/>
      <c r="D115" s="507"/>
      <c r="E115" s="1404"/>
    </row>
    <row r="116" ht="15.75" customHeight="1">
      <c r="A116" s="507"/>
      <c r="B116" s="507"/>
      <c r="C116" s="507"/>
      <c r="D116" s="507"/>
      <c r="E116" s="1404"/>
    </row>
    <row r="117" ht="15.75" customHeight="1">
      <c r="A117" s="507"/>
      <c r="B117" s="507"/>
      <c r="C117" s="507"/>
      <c r="D117" s="507"/>
      <c r="E117" s="1404"/>
    </row>
    <row r="118" ht="15.75" customHeight="1">
      <c r="A118" s="507"/>
      <c r="B118" s="507"/>
      <c r="C118" s="507"/>
      <c r="D118" s="507"/>
      <c r="E118" s="1404"/>
    </row>
    <row r="119" ht="15.75" customHeight="1">
      <c r="A119" s="507"/>
      <c r="B119" s="507"/>
      <c r="C119" s="507"/>
      <c r="D119" s="507"/>
      <c r="E119" s="1404"/>
    </row>
    <row r="120" ht="15.75" customHeight="1">
      <c r="A120" s="507"/>
      <c r="B120" s="507"/>
      <c r="C120" s="507"/>
      <c r="D120" s="507"/>
      <c r="E120" s="1404"/>
    </row>
    <row r="121" ht="15.75" customHeight="1">
      <c r="A121" s="507"/>
      <c r="B121" s="507"/>
      <c r="C121" s="507"/>
      <c r="D121" s="507"/>
      <c r="E121" s="1404"/>
    </row>
    <row r="122" ht="15.75" customHeight="1">
      <c r="A122" s="507"/>
      <c r="B122" s="507"/>
      <c r="C122" s="507"/>
      <c r="D122" s="507"/>
      <c r="E122" s="1404"/>
    </row>
    <row r="123" ht="15.75" customHeight="1">
      <c r="A123" s="507"/>
      <c r="B123" s="507"/>
      <c r="C123" s="507"/>
      <c r="D123" s="507"/>
      <c r="E123" s="1404"/>
    </row>
    <row r="124" ht="15.75" customHeight="1">
      <c r="A124" s="507"/>
      <c r="B124" s="507"/>
      <c r="C124" s="507"/>
      <c r="D124" s="507"/>
      <c r="E124" s="1404"/>
    </row>
    <row r="125" ht="15.75" customHeight="1">
      <c r="A125" s="507"/>
      <c r="B125" s="507"/>
      <c r="C125" s="507"/>
      <c r="D125" s="507"/>
      <c r="E125" s="1404"/>
    </row>
    <row r="126" ht="15.75" customHeight="1">
      <c r="A126" s="507"/>
      <c r="B126" s="507"/>
      <c r="C126" s="507"/>
      <c r="D126" s="507"/>
      <c r="E126" s="1404"/>
    </row>
    <row r="127" ht="15.75" customHeight="1">
      <c r="A127" s="507"/>
      <c r="B127" s="507"/>
      <c r="C127" s="507"/>
      <c r="D127" s="507"/>
      <c r="E127" s="1404"/>
    </row>
    <row r="128" ht="15.75" customHeight="1">
      <c r="A128" s="507"/>
      <c r="B128" s="507"/>
      <c r="C128" s="507"/>
      <c r="D128" s="507"/>
      <c r="E128" s="1404"/>
    </row>
    <row r="129" ht="15.75" customHeight="1">
      <c r="A129" s="507"/>
      <c r="B129" s="507"/>
      <c r="C129" s="507"/>
      <c r="D129" s="507"/>
      <c r="E129" s="1404"/>
    </row>
    <row r="130" ht="15.75" customHeight="1">
      <c r="A130" s="507"/>
      <c r="B130" s="507"/>
      <c r="C130" s="507"/>
      <c r="D130" s="507"/>
      <c r="E130" s="1404"/>
    </row>
    <row r="131" ht="15.75" customHeight="1">
      <c r="A131" s="507"/>
      <c r="B131" s="507"/>
      <c r="C131" s="507"/>
      <c r="D131" s="507"/>
      <c r="E131" s="1404"/>
    </row>
    <row r="132" ht="15.75" customHeight="1">
      <c r="A132" s="507"/>
      <c r="B132" s="507"/>
      <c r="C132" s="507"/>
      <c r="D132" s="507"/>
      <c r="E132" s="1404"/>
    </row>
    <row r="133" ht="15.75" customHeight="1">
      <c r="A133" s="507"/>
      <c r="B133" s="507"/>
      <c r="C133" s="507"/>
      <c r="D133" s="507"/>
      <c r="E133" s="1404"/>
    </row>
    <row r="134" ht="15.75" customHeight="1">
      <c r="A134" s="507"/>
      <c r="B134" s="507"/>
      <c r="C134" s="507"/>
      <c r="D134" s="507"/>
      <c r="E134" s="1404"/>
    </row>
    <row r="135" ht="15.75" customHeight="1">
      <c r="A135" s="507"/>
      <c r="B135" s="507"/>
      <c r="C135" s="507"/>
      <c r="D135" s="507"/>
      <c r="E135" s="1404"/>
    </row>
    <row r="136" ht="15.75" customHeight="1">
      <c r="A136" s="507"/>
      <c r="B136" s="507"/>
      <c r="C136" s="507"/>
      <c r="D136" s="507"/>
      <c r="E136" s="1404"/>
    </row>
    <row r="137" ht="15.75" customHeight="1">
      <c r="A137" s="507"/>
      <c r="B137" s="507"/>
      <c r="C137" s="507"/>
      <c r="D137" s="507"/>
      <c r="E137" s="1404"/>
    </row>
    <row r="138" ht="15.75" customHeight="1">
      <c r="A138" s="507"/>
      <c r="B138" s="507"/>
      <c r="C138" s="507"/>
      <c r="D138" s="507"/>
      <c r="E138" s="1404"/>
    </row>
    <row r="139" ht="15.75" customHeight="1">
      <c r="A139" s="507"/>
      <c r="B139" s="507"/>
      <c r="C139" s="507"/>
      <c r="D139" s="507"/>
      <c r="E139" s="1404"/>
    </row>
    <row r="140" ht="15.75" customHeight="1">
      <c r="A140" s="507"/>
      <c r="B140" s="507"/>
      <c r="C140" s="507"/>
      <c r="D140" s="507"/>
      <c r="E140" s="1404"/>
    </row>
    <row r="141" ht="15.75" customHeight="1">
      <c r="A141" s="507"/>
      <c r="B141" s="507"/>
      <c r="C141" s="507"/>
      <c r="D141" s="507"/>
      <c r="E141" s="1404"/>
    </row>
    <row r="142" ht="15.75" customHeight="1">
      <c r="A142" s="507"/>
      <c r="B142" s="507"/>
      <c r="C142" s="507"/>
      <c r="D142" s="507"/>
      <c r="E142" s="1404"/>
    </row>
    <row r="143" ht="15.75" customHeight="1">
      <c r="A143" s="507"/>
      <c r="B143" s="507"/>
      <c r="C143" s="507"/>
      <c r="D143" s="507"/>
      <c r="E143" s="1404"/>
    </row>
    <row r="144" ht="15.75" customHeight="1">
      <c r="A144" s="507"/>
      <c r="B144" s="507"/>
      <c r="C144" s="507"/>
      <c r="D144" s="507"/>
      <c r="E144" s="1404"/>
    </row>
    <row r="145" ht="15.75" customHeight="1">
      <c r="A145" s="507"/>
      <c r="B145" s="507"/>
      <c r="C145" s="507"/>
      <c r="D145" s="507"/>
      <c r="E145" s="1404"/>
    </row>
    <row r="146" ht="15.75" customHeight="1">
      <c r="A146" s="507"/>
      <c r="B146" s="507"/>
      <c r="C146" s="507"/>
      <c r="D146" s="507"/>
      <c r="E146" s="1404"/>
    </row>
    <row r="147" ht="15.75" customHeight="1">
      <c r="A147" s="507"/>
      <c r="B147" s="507"/>
      <c r="C147" s="507"/>
      <c r="D147" s="507"/>
      <c r="E147" s="1404"/>
    </row>
    <row r="148" ht="15.75" customHeight="1">
      <c r="A148" s="507"/>
      <c r="B148" s="507"/>
      <c r="C148" s="507"/>
      <c r="D148" s="507"/>
      <c r="E148" s="1404"/>
    </row>
    <row r="149" ht="15.75" customHeight="1">
      <c r="A149" s="507"/>
      <c r="B149" s="507"/>
      <c r="C149" s="507"/>
      <c r="D149" s="507"/>
      <c r="E149" s="1404"/>
    </row>
    <row r="150" ht="15.75" customHeight="1">
      <c r="A150" s="507"/>
      <c r="B150" s="507"/>
      <c r="C150" s="507"/>
      <c r="D150" s="507"/>
      <c r="E150" s="1404"/>
    </row>
    <row r="151" ht="15.75" customHeight="1">
      <c r="A151" s="507"/>
      <c r="B151" s="507"/>
      <c r="C151" s="507"/>
      <c r="D151" s="507"/>
      <c r="E151" s="1404"/>
    </row>
    <row r="152" ht="15.75" customHeight="1">
      <c r="A152" s="507"/>
      <c r="B152" s="507"/>
      <c r="C152" s="507"/>
      <c r="D152" s="507"/>
      <c r="E152" s="1404"/>
    </row>
    <row r="153" ht="15.75" customHeight="1">
      <c r="A153" s="507"/>
      <c r="B153" s="507"/>
      <c r="C153" s="507"/>
      <c r="D153" s="507"/>
      <c r="E153" s="1404"/>
    </row>
    <row r="154" ht="15.75" customHeight="1">
      <c r="A154" s="507"/>
      <c r="B154" s="507"/>
      <c r="C154" s="507"/>
      <c r="D154" s="507"/>
      <c r="E154" s="1404"/>
    </row>
    <row r="155" ht="15.75" customHeight="1">
      <c r="A155" s="507"/>
      <c r="B155" s="507"/>
      <c r="C155" s="507"/>
      <c r="D155" s="507"/>
      <c r="E155" s="1404"/>
    </row>
    <row r="156" ht="15.75" customHeight="1">
      <c r="A156" s="507"/>
      <c r="B156" s="507"/>
      <c r="C156" s="507"/>
      <c r="D156" s="507"/>
      <c r="E156" s="1404"/>
    </row>
    <row r="157" ht="15.75" customHeight="1">
      <c r="A157" s="507"/>
      <c r="B157" s="507"/>
      <c r="C157" s="507"/>
      <c r="D157" s="507"/>
      <c r="E157" s="1404"/>
    </row>
    <row r="158" ht="15.75" customHeight="1">
      <c r="A158" s="507"/>
      <c r="B158" s="507"/>
      <c r="C158" s="507"/>
      <c r="D158" s="507"/>
      <c r="E158" s="1404"/>
    </row>
    <row r="159" ht="15.75" customHeight="1">
      <c r="A159" s="507"/>
      <c r="B159" s="507"/>
      <c r="C159" s="507"/>
      <c r="D159" s="507"/>
      <c r="E159" s="1404"/>
    </row>
    <row r="160" ht="15.75" customHeight="1">
      <c r="A160" s="507"/>
      <c r="B160" s="507"/>
      <c r="C160" s="507"/>
      <c r="D160" s="507"/>
      <c r="E160" s="1404"/>
    </row>
    <row r="161" ht="15.75" customHeight="1">
      <c r="A161" s="507"/>
      <c r="B161" s="507"/>
      <c r="C161" s="507"/>
      <c r="D161" s="507"/>
      <c r="E161" s="1404"/>
    </row>
    <row r="162" ht="15.75" customHeight="1">
      <c r="A162" s="507"/>
      <c r="B162" s="507"/>
      <c r="C162" s="507"/>
      <c r="D162" s="507"/>
      <c r="E162" s="1404"/>
    </row>
    <row r="163" ht="15.75" customHeight="1">
      <c r="A163" s="507"/>
      <c r="B163" s="507"/>
      <c r="C163" s="507"/>
      <c r="D163" s="507"/>
      <c r="E163" s="1404"/>
    </row>
    <row r="164" ht="15.75" customHeight="1">
      <c r="A164" s="507"/>
      <c r="B164" s="507"/>
      <c r="C164" s="507"/>
      <c r="D164" s="507"/>
      <c r="E164" s="1404"/>
    </row>
    <row r="165" ht="15.75" customHeight="1">
      <c r="A165" s="507"/>
      <c r="B165" s="507"/>
      <c r="C165" s="507"/>
      <c r="D165" s="507"/>
      <c r="E165" s="1404"/>
    </row>
    <row r="166" ht="15.75" customHeight="1">
      <c r="A166" s="507"/>
      <c r="B166" s="507"/>
      <c r="C166" s="507"/>
      <c r="D166" s="507"/>
      <c r="E166" s="1404"/>
    </row>
    <row r="167" ht="15.75" customHeight="1">
      <c r="A167" s="507"/>
      <c r="B167" s="507"/>
      <c r="C167" s="507"/>
      <c r="D167" s="507"/>
      <c r="E167" s="1404"/>
    </row>
    <row r="168" ht="15.75" customHeight="1">
      <c r="A168" s="507"/>
      <c r="B168" s="507"/>
      <c r="C168" s="507"/>
      <c r="D168" s="507"/>
      <c r="E168" s="1404"/>
    </row>
    <row r="169" ht="15.75" customHeight="1">
      <c r="A169" s="507"/>
      <c r="B169" s="507"/>
      <c r="C169" s="507"/>
      <c r="D169" s="507"/>
      <c r="E169" s="1404"/>
    </row>
    <row r="170" ht="15.75" customHeight="1">
      <c r="A170" s="507"/>
      <c r="B170" s="507"/>
      <c r="C170" s="507"/>
      <c r="D170" s="507"/>
      <c r="E170" s="1404"/>
    </row>
    <row r="171" ht="15.75" customHeight="1">
      <c r="A171" s="507"/>
      <c r="B171" s="507"/>
      <c r="C171" s="507"/>
      <c r="D171" s="507"/>
      <c r="E171" s="1404"/>
    </row>
    <row r="172" ht="15.75" customHeight="1">
      <c r="A172" s="507"/>
      <c r="B172" s="507"/>
      <c r="C172" s="507"/>
      <c r="D172" s="507"/>
      <c r="E172" s="1404"/>
    </row>
    <row r="173" ht="15.75" customHeight="1">
      <c r="A173" s="507"/>
      <c r="B173" s="507"/>
      <c r="C173" s="507"/>
      <c r="D173" s="507"/>
      <c r="E173" s="1404"/>
    </row>
    <row r="174" ht="15.75" customHeight="1">
      <c r="A174" s="507"/>
      <c r="B174" s="507"/>
      <c r="C174" s="507"/>
      <c r="D174" s="507"/>
      <c r="E174" s="1404"/>
    </row>
    <row r="175" ht="15.75" customHeight="1">
      <c r="A175" s="507"/>
      <c r="B175" s="507"/>
      <c r="C175" s="507"/>
      <c r="D175" s="507"/>
      <c r="E175" s="1404"/>
    </row>
    <row r="176" ht="15.75" customHeight="1">
      <c r="A176" s="507"/>
      <c r="B176" s="507"/>
      <c r="C176" s="507"/>
      <c r="D176" s="507"/>
      <c r="E176" s="1404"/>
    </row>
    <row r="177" ht="15.75" customHeight="1">
      <c r="A177" s="507"/>
      <c r="B177" s="507"/>
      <c r="C177" s="507"/>
      <c r="D177" s="507"/>
      <c r="E177" s="1404"/>
    </row>
    <row r="178" ht="15.75" customHeight="1">
      <c r="A178" s="507"/>
      <c r="B178" s="507"/>
      <c r="C178" s="507"/>
      <c r="D178" s="507"/>
      <c r="E178" s="1404"/>
    </row>
    <row r="179" ht="15.75" customHeight="1">
      <c r="A179" s="507"/>
      <c r="B179" s="507"/>
      <c r="C179" s="507"/>
      <c r="D179" s="507"/>
      <c r="E179" s="1404"/>
    </row>
    <row r="180" ht="15.75" customHeight="1">
      <c r="A180" s="507"/>
      <c r="B180" s="507"/>
      <c r="C180" s="507"/>
      <c r="D180" s="507"/>
      <c r="E180" s="1404"/>
    </row>
    <row r="181" ht="15.75" customHeight="1">
      <c r="A181" s="507"/>
      <c r="B181" s="507"/>
      <c r="C181" s="507"/>
      <c r="D181" s="507"/>
      <c r="E181" s="1404"/>
    </row>
    <row r="182" ht="15.75" customHeight="1">
      <c r="A182" s="507"/>
      <c r="B182" s="507"/>
      <c r="C182" s="507"/>
      <c r="D182" s="507"/>
      <c r="E182" s="1404"/>
    </row>
    <row r="183" ht="15.75" customHeight="1">
      <c r="A183" s="507"/>
      <c r="B183" s="507"/>
      <c r="C183" s="507"/>
      <c r="D183" s="507"/>
      <c r="E183" s="1404"/>
    </row>
    <row r="184" ht="15.75" customHeight="1">
      <c r="A184" s="507"/>
      <c r="B184" s="507"/>
      <c r="C184" s="507"/>
      <c r="D184" s="507"/>
      <c r="E184" s="1404"/>
    </row>
    <row r="185" ht="15.75" customHeight="1">
      <c r="A185" s="507"/>
      <c r="B185" s="507"/>
      <c r="C185" s="507"/>
      <c r="D185" s="507"/>
      <c r="E185" s="1404"/>
    </row>
    <row r="186" ht="15.75" customHeight="1">
      <c r="A186" s="507"/>
      <c r="B186" s="507"/>
      <c r="C186" s="507"/>
      <c r="D186" s="507"/>
      <c r="E186" s="1404"/>
    </row>
    <row r="187" ht="15.75" customHeight="1">
      <c r="A187" s="507"/>
      <c r="B187" s="507"/>
      <c r="C187" s="507"/>
      <c r="D187" s="507"/>
      <c r="E187" s="1404"/>
    </row>
    <row r="188" ht="15.75" customHeight="1">
      <c r="A188" s="507"/>
      <c r="B188" s="507"/>
      <c r="C188" s="507"/>
      <c r="D188" s="507"/>
      <c r="E188" s="1404"/>
    </row>
    <row r="189" ht="15.75" customHeight="1">
      <c r="A189" s="507"/>
      <c r="B189" s="507"/>
      <c r="C189" s="507"/>
      <c r="D189" s="507"/>
      <c r="E189" s="1404"/>
    </row>
    <row r="190" ht="15.75" customHeight="1">
      <c r="A190" s="507"/>
      <c r="B190" s="507"/>
      <c r="C190" s="507"/>
      <c r="D190" s="507"/>
      <c r="E190" s="1404"/>
    </row>
    <row r="191" ht="15.75" customHeight="1">
      <c r="A191" s="507"/>
      <c r="B191" s="507"/>
      <c r="C191" s="507"/>
      <c r="D191" s="507"/>
      <c r="E191" s="1404"/>
    </row>
    <row r="192" ht="15.75" customHeight="1">
      <c r="A192" s="507"/>
      <c r="B192" s="507"/>
      <c r="C192" s="507"/>
      <c r="D192" s="507"/>
      <c r="E192" s="1404"/>
    </row>
    <row r="193" ht="15.75" customHeight="1">
      <c r="A193" s="507"/>
      <c r="B193" s="507"/>
      <c r="C193" s="507"/>
      <c r="D193" s="507"/>
      <c r="E193" s="1404"/>
    </row>
    <row r="194" ht="15.75" customHeight="1">
      <c r="A194" s="507"/>
      <c r="B194" s="507"/>
      <c r="C194" s="507"/>
      <c r="D194" s="507"/>
      <c r="E194" s="1404"/>
    </row>
    <row r="195" ht="15.75" customHeight="1">
      <c r="A195" s="507"/>
      <c r="B195" s="507"/>
      <c r="C195" s="507"/>
      <c r="D195" s="507"/>
      <c r="E195" s="1404"/>
    </row>
    <row r="196" ht="15.75" customHeight="1">
      <c r="A196" s="507"/>
      <c r="B196" s="507"/>
      <c r="C196" s="507"/>
      <c r="D196" s="507"/>
      <c r="E196" s="1404"/>
    </row>
    <row r="197" ht="15.75" customHeight="1">
      <c r="A197" s="507"/>
      <c r="B197" s="507"/>
      <c r="C197" s="507"/>
      <c r="D197" s="507"/>
      <c r="E197" s="1404"/>
    </row>
    <row r="198" ht="15.75" customHeight="1">
      <c r="A198" s="507"/>
      <c r="B198" s="507"/>
      <c r="C198" s="507"/>
      <c r="D198" s="507"/>
      <c r="E198" s="1404"/>
    </row>
    <row r="199" ht="15.75" customHeight="1">
      <c r="A199" s="507"/>
      <c r="B199" s="507"/>
      <c r="C199" s="507"/>
      <c r="D199" s="507"/>
      <c r="E199" s="1404"/>
    </row>
    <row r="200" ht="15.75" customHeight="1">
      <c r="A200" s="507"/>
      <c r="B200" s="507"/>
      <c r="C200" s="507"/>
      <c r="D200" s="507"/>
      <c r="E200" s="1404"/>
    </row>
    <row r="201" ht="15.75" customHeight="1">
      <c r="A201" s="507"/>
      <c r="B201" s="507"/>
      <c r="C201" s="507"/>
      <c r="D201" s="507"/>
      <c r="E201" s="1404"/>
    </row>
    <row r="202" ht="15.75" customHeight="1">
      <c r="A202" s="507"/>
      <c r="B202" s="507"/>
      <c r="C202" s="507"/>
      <c r="D202" s="507"/>
      <c r="E202" s="1404"/>
    </row>
    <row r="203" ht="15.75" customHeight="1">
      <c r="A203" s="507"/>
      <c r="B203" s="507"/>
      <c r="C203" s="507"/>
      <c r="D203" s="507"/>
      <c r="E203" s="1404"/>
    </row>
    <row r="204" ht="15.75" customHeight="1">
      <c r="A204" s="507"/>
      <c r="B204" s="507"/>
      <c r="C204" s="507"/>
      <c r="D204" s="507"/>
      <c r="E204" s="1404"/>
    </row>
    <row r="205" ht="15.75" customHeight="1">
      <c r="A205" s="507"/>
      <c r="B205" s="507"/>
      <c r="C205" s="507"/>
      <c r="D205" s="507"/>
      <c r="E205" s="1404"/>
    </row>
    <row r="206" ht="15.75" customHeight="1">
      <c r="A206" s="507"/>
      <c r="B206" s="507"/>
      <c r="C206" s="507"/>
      <c r="D206" s="507"/>
      <c r="E206" s="1404"/>
    </row>
    <row r="207" ht="15.75" customHeight="1">
      <c r="A207" s="507"/>
      <c r="B207" s="507"/>
      <c r="C207" s="507"/>
      <c r="D207" s="507"/>
      <c r="E207" s="1404"/>
    </row>
    <row r="208" ht="15.75" customHeight="1">
      <c r="A208" s="507"/>
      <c r="B208" s="507"/>
      <c r="C208" s="507"/>
      <c r="D208" s="507"/>
      <c r="E208" s="1404"/>
    </row>
    <row r="209" ht="15.75" customHeight="1">
      <c r="A209" s="507"/>
      <c r="B209" s="507"/>
      <c r="C209" s="507"/>
      <c r="D209" s="507"/>
      <c r="E209" s="1404"/>
    </row>
    <row r="210" ht="15.75" customHeight="1">
      <c r="A210" s="507"/>
      <c r="B210" s="507"/>
      <c r="C210" s="507"/>
      <c r="D210" s="507"/>
      <c r="E210" s="1404"/>
    </row>
    <row r="211" ht="15.75" customHeight="1">
      <c r="A211" s="507"/>
      <c r="B211" s="507"/>
      <c r="C211" s="507"/>
      <c r="D211" s="507"/>
      <c r="E211" s="1404"/>
    </row>
    <row r="212" ht="15.75" customHeight="1">
      <c r="A212" s="507"/>
      <c r="B212" s="507"/>
      <c r="C212" s="507"/>
      <c r="D212" s="507"/>
      <c r="E212" s="1404"/>
    </row>
    <row r="213" ht="15.75" customHeight="1">
      <c r="A213" s="507"/>
      <c r="B213" s="507"/>
      <c r="C213" s="507"/>
      <c r="D213" s="507"/>
      <c r="E213" s="1404"/>
    </row>
    <row r="214" ht="15.75" customHeight="1">
      <c r="A214" s="507"/>
      <c r="B214" s="507"/>
      <c r="C214" s="507"/>
      <c r="D214" s="507"/>
      <c r="E214" s="1404"/>
    </row>
    <row r="215" ht="15.75" customHeight="1">
      <c r="A215" s="507"/>
      <c r="B215" s="507"/>
      <c r="C215" s="507"/>
      <c r="D215" s="507"/>
      <c r="E215" s="1404"/>
    </row>
    <row r="216" ht="15.75" customHeight="1">
      <c r="A216" s="507"/>
      <c r="B216" s="507"/>
      <c r="C216" s="507"/>
      <c r="D216" s="507"/>
      <c r="E216" s="1404"/>
    </row>
    <row r="217" ht="15.75" customHeight="1">
      <c r="A217" s="507"/>
      <c r="B217" s="507"/>
      <c r="C217" s="507"/>
      <c r="D217" s="507"/>
      <c r="E217" s="1404"/>
    </row>
    <row r="218" ht="15.75" customHeight="1">
      <c r="A218" s="507"/>
      <c r="B218" s="507"/>
      <c r="C218" s="507"/>
      <c r="D218" s="507"/>
      <c r="E218" s="1404"/>
    </row>
    <row r="219" ht="15.75" customHeight="1">
      <c r="A219" s="507"/>
      <c r="B219" s="507"/>
      <c r="C219" s="507"/>
      <c r="D219" s="507"/>
      <c r="E219" s="1404"/>
    </row>
    <row r="220" ht="15.75" customHeight="1">
      <c r="A220" s="507"/>
      <c r="B220" s="507"/>
      <c r="C220" s="507"/>
      <c r="D220" s="507"/>
      <c r="E220" s="1404"/>
    </row>
    <row r="221" ht="15.75" customHeight="1">
      <c r="A221" s="507"/>
      <c r="B221" s="507"/>
      <c r="C221" s="507"/>
      <c r="D221" s="507"/>
      <c r="E221" s="1404"/>
    </row>
    <row r="222" ht="15.75" customHeight="1">
      <c r="A222" s="507"/>
      <c r="B222" s="507"/>
      <c r="C222" s="507"/>
      <c r="D222" s="507"/>
      <c r="E222" s="1404"/>
    </row>
    <row r="223" ht="15.75" customHeight="1">
      <c r="A223" s="507"/>
      <c r="B223" s="507"/>
      <c r="C223" s="507"/>
      <c r="D223" s="507"/>
      <c r="E223" s="1404"/>
    </row>
    <row r="224" ht="15.75" customHeight="1">
      <c r="A224" s="507"/>
      <c r="B224" s="507"/>
      <c r="C224" s="507"/>
      <c r="D224" s="507"/>
      <c r="E224" s="1404"/>
    </row>
    <row r="225" ht="15.75" customHeight="1">
      <c r="A225" s="507"/>
      <c r="B225" s="507"/>
      <c r="C225" s="507"/>
      <c r="D225" s="507"/>
      <c r="E225" s="1404"/>
    </row>
    <row r="226" ht="15.75" customHeight="1">
      <c r="A226" s="507"/>
      <c r="B226" s="507"/>
      <c r="C226" s="507"/>
      <c r="D226" s="507"/>
      <c r="E226" s="1404"/>
    </row>
    <row r="227" ht="15.75" customHeight="1">
      <c r="A227" s="507"/>
      <c r="B227" s="507"/>
      <c r="C227" s="507"/>
      <c r="D227" s="507"/>
      <c r="E227" s="1404"/>
    </row>
    <row r="228" ht="15.75" customHeight="1">
      <c r="A228" s="507"/>
      <c r="B228" s="507"/>
      <c r="C228" s="507"/>
      <c r="D228" s="507"/>
      <c r="E228" s="1404"/>
    </row>
    <row r="229" ht="15.75" customHeight="1">
      <c r="A229" s="507"/>
      <c r="B229" s="507"/>
      <c r="C229" s="507"/>
      <c r="D229" s="507"/>
      <c r="E229" s="1404"/>
    </row>
    <row r="230" ht="15.75" customHeight="1">
      <c r="A230" s="507"/>
      <c r="B230" s="507"/>
      <c r="C230" s="507"/>
      <c r="D230" s="507"/>
      <c r="E230" s="1404"/>
    </row>
    <row r="231" ht="15.75" customHeight="1">
      <c r="A231" s="507"/>
      <c r="B231" s="507"/>
      <c r="C231" s="507"/>
      <c r="D231" s="507"/>
      <c r="E231" s="1404"/>
    </row>
    <row r="232" ht="15.75" customHeight="1">
      <c r="A232" s="507"/>
      <c r="B232" s="507"/>
      <c r="C232" s="507"/>
      <c r="D232" s="507"/>
      <c r="E232" s="1404"/>
    </row>
    <row r="233" ht="15.75" customHeight="1">
      <c r="A233" s="507"/>
      <c r="B233" s="507"/>
      <c r="C233" s="507"/>
      <c r="D233" s="507"/>
      <c r="E233" s="1404"/>
    </row>
    <row r="234" ht="15.75" customHeight="1">
      <c r="A234" s="507"/>
      <c r="B234" s="507"/>
      <c r="C234" s="507"/>
      <c r="D234" s="507"/>
      <c r="E234" s="1404"/>
    </row>
    <row r="235" ht="15.75" customHeight="1">
      <c r="A235" s="507"/>
      <c r="B235" s="507"/>
      <c r="C235" s="507"/>
      <c r="D235" s="507"/>
      <c r="E235" s="1404"/>
    </row>
    <row r="236" ht="15.75" customHeight="1">
      <c r="A236" s="507"/>
      <c r="B236" s="507"/>
      <c r="C236" s="507"/>
      <c r="D236" s="507"/>
      <c r="E236" s="1404"/>
    </row>
    <row r="237" ht="15.75" customHeight="1">
      <c r="A237" s="507"/>
      <c r="B237" s="507"/>
      <c r="C237" s="507"/>
      <c r="D237" s="507"/>
      <c r="E237" s="1404"/>
    </row>
    <row r="238" ht="15.75" customHeight="1">
      <c r="A238" s="507"/>
      <c r="B238" s="507"/>
      <c r="C238" s="507"/>
      <c r="D238" s="507"/>
      <c r="E238" s="1404"/>
    </row>
    <row r="239" ht="15.75" customHeight="1">
      <c r="A239" s="507"/>
      <c r="B239" s="507"/>
      <c r="C239" s="507"/>
      <c r="D239" s="507"/>
      <c r="E239" s="1404"/>
    </row>
    <row r="240" ht="15.75" customHeight="1">
      <c r="A240" s="507"/>
      <c r="B240" s="507"/>
      <c r="C240" s="507"/>
      <c r="D240" s="507"/>
      <c r="E240" s="1404"/>
    </row>
    <row r="241" ht="15.75" customHeight="1">
      <c r="A241" s="507"/>
      <c r="B241" s="507"/>
      <c r="C241" s="507"/>
      <c r="D241" s="507"/>
      <c r="E241" s="1404"/>
    </row>
    <row r="242" ht="15.75" customHeight="1">
      <c r="A242" s="507"/>
      <c r="B242" s="507"/>
      <c r="C242" s="507"/>
      <c r="D242" s="507"/>
      <c r="E242" s="1404"/>
    </row>
    <row r="243" ht="15.75" customHeight="1">
      <c r="A243" s="507"/>
      <c r="B243" s="507"/>
      <c r="C243" s="507"/>
      <c r="D243" s="507"/>
      <c r="E243" s="1404"/>
    </row>
    <row r="244" ht="15.75" customHeight="1">
      <c r="A244" s="507"/>
      <c r="B244" s="507"/>
      <c r="C244" s="507"/>
      <c r="D244" s="507"/>
      <c r="E244" s="1404"/>
    </row>
    <row r="245" ht="15.75" customHeight="1">
      <c r="A245" s="507"/>
      <c r="B245" s="507"/>
      <c r="C245" s="507"/>
      <c r="D245" s="507"/>
      <c r="E245" s="1404"/>
    </row>
    <row r="246" ht="15.75" customHeight="1">
      <c r="A246" s="507"/>
      <c r="B246" s="507"/>
      <c r="C246" s="507"/>
      <c r="D246" s="507"/>
      <c r="E246" s="1404"/>
    </row>
    <row r="247" ht="15.75" customHeight="1">
      <c r="A247" s="507"/>
      <c r="B247" s="507"/>
      <c r="C247" s="507"/>
      <c r="D247" s="507"/>
      <c r="E247" s="1404"/>
    </row>
    <row r="248" ht="15.75" customHeight="1">
      <c r="A248" s="507"/>
      <c r="B248" s="507"/>
      <c r="C248" s="507"/>
      <c r="D248" s="507"/>
      <c r="E248" s="1404"/>
    </row>
    <row r="249" ht="15.75" customHeight="1">
      <c r="A249" s="507"/>
      <c r="B249" s="507"/>
      <c r="C249" s="507"/>
      <c r="D249" s="507"/>
      <c r="E249" s="1404"/>
    </row>
    <row r="250" ht="15.75" customHeight="1">
      <c r="A250" s="507"/>
      <c r="B250" s="507"/>
      <c r="C250" s="507"/>
      <c r="D250" s="507"/>
      <c r="E250" s="1404"/>
    </row>
    <row r="251" ht="15.75" customHeight="1">
      <c r="A251" s="507"/>
      <c r="B251" s="507"/>
      <c r="C251" s="507"/>
      <c r="D251" s="507"/>
      <c r="E251" s="1404"/>
    </row>
    <row r="252" ht="15.75" customHeight="1">
      <c r="A252" s="507"/>
      <c r="B252" s="507"/>
      <c r="C252" s="507"/>
      <c r="D252" s="507"/>
      <c r="E252" s="1404"/>
    </row>
    <row r="253" ht="15.75" customHeight="1">
      <c r="A253" s="507"/>
      <c r="B253" s="507"/>
      <c r="C253" s="507"/>
      <c r="D253" s="507"/>
      <c r="E253" s="1404"/>
    </row>
    <row r="254" ht="15.75" customHeight="1">
      <c r="A254" s="507"/>
      <c r="B254" s="507"/>
      <c r="C254" s="507"/>
      <c r="D254" s="507"/>
      <c r="E254" s="1404"/>
    </row>
    <row r="255" ht="15.75" customHeight="1">
      <c r="A255" s="507"/>
      <c r="B255" s="507"/>
      <c r="C255" s="507"/>
      <c r="D255" s="507"/>
      <c r="E255" s="1404"/>
    </row>
    <row r="256" ht="15.75" customHeight="1">
      <c r="A256" s="507"/>
      <c r="B256" s="507"/>
      <c r="C256" s="507"/>
      <c r="D256" s="507"/>
      <c r="E256" s="1404"/>
    </row>
    <row r="257" ht="15.75" customHeight="1">
      <c r="A257" s="507"/>
      <c r="B257" s="507"/>
      <c r="C257" s="507"/>
      <c r="D257" s="507"/>
      <c r="E257" s="1404"/>
    </row>
    <row r="258" ht="15.75" customHeight="1">
      <c r="A258" s="507"/>
      <c r="B258" s="507"/>
      <c r="C258" s="507"/>
      <c r="D258" s="507"/>
      <c r="E258" s="1404"/>
    </row>
    <row r="259" ht="15.75" customHeight="1">
      <c r="A259" s="507"/>
      <c r="B259" s="507"/>
      <c r="C259" s="507"/>
      <c r="D259" s="507"/>
      <c r="E259" s="1404"/>
    </row>
    <row r="260" ht="15.75" customHeight="1">
      <c r="A260" s="507"/>
      <c r="B260" s="507"/>
      <c r="C260" s="507"/>
      <c r="D260" s="507"/>
      <c r="E260" s="1404"/>
    </row>
    <row r="261" ht="15.75" customHeight="1">
      <c r="A261" s="507"/>
      <c r="B261" s="507"/>
      <c r="C261" s="507"/>
      <c r="D261" s="507"/>
      <c r="E261" s="1404"/>
    </row>
    <row r="262" ht="15.75" customHeight="1">
      <c r="A262" s="507"/>
      <c r="B262" s="507"/>
      <c r="C262" s="507"/>
      <c r="D262" s="507"/>
      <c r="E262" s="1404"/>
    </row>
    <row r="263" ht="15.75" customHeight="1">
      <c r="A263" s="507"/>
      <c r="B263" s="507"/>
      <c r="C263" s="507"/>
      <c r="D263" s="507"/>
      <c r="E263" s="1404"/>
    </row>
    <row r="264" ht="15.75" customHeight="1">
      <c r="A264" s="507"/>
      <c r="B264" s="507"/>
      <c r="C264" s="507"/>
      <c r="D264" s="507"/>
      <c r="E264" s="1404"/>
    </row>
    <row r="265" ht="15.75" customHeight="1">
      <c r="A265" s="507"/>
      <c r="B265" s="507"/>
      <c r="C265" s="507"/>
      <c r="D265" s="507"/>
      <c r="E265" s="1404"/>
    </row>
    <row r="266" ht="15.75" customHeight="1">
      <c r="A266" s="507"/>
      <c r="B266" s="507"/>
      <c r="C266" s="507"/>
      <c r="D266" s="507"/>
      <c r="E266" s="1404"/>
    </row>
    <row r="267" ht="15.75" customHeight="1">
      <c r="A267" s="507"/>
      <c r="B267" s="507"/>
      <c r="C267" s="507"/>
      <c r="D267" s="507"/>
      <c r="E267" s="1404"/>
    </row>
    <row r="268" ht="15.75" customHeight="1">
      <c r="A268" s="507"/>
      <c r="B268" s="507"/>
      <c r="C268" s="507"/>
      <c r="D268" s="507"/>
      <c r="E268" s="1404"/>
    </row>
    <row r="269" ht="15.75" customHeight="1">
      <c r="A269" s="507"/>
      <c r="B269" s="507"/>
      <c r="C269" s="507"/>
      <c r="D269" s="507"/>
      <c r="E269" s="1404"/>
    </row>
    <row r="270" ht="15.75" customHeight="1">
      <c r="A270" s="507"/>
      <c r="B270" s="507"/>
      <c r="C270" s="507"/>
      <c r="D270" s="507"/>
      <c r="E270" s="1404"/>
    </row>
    <row r="271" ht="15.75" customHeight="1">
      <c r="A271" s="507"/>
      <c r="B271" s="507"/>
      <c r="C271" s="507"/>
      <c r="D271" s="507"/>
      <c r="E271" s="1404"/>
    </row>
    <row r="272" ht="15.75" customHeight="1">
      <c r="A272" s="507"/>
      <c r="B272" s="507"/>
      <c r="C272" s="507"/>
      <c r="D272" s="507"/>
      <c r="E272" s="1404"/>
    </row>
    <row r="273" ht="15.75" customHeight="1">
      <c r="A273" s="507"/>
      <c r="B273" s="507"/>
      <c r="C273" s="507"/>
      <c r="D273" s="507"/>
      <c r="E273" s="1404"/>
    </row>
    <row r="274" ht="15.75" customHeight="1">
      <c r="A274" s="507"/>
      <c r="B274" s="507"/>
      <c r="C274" s="507"/>
      <c r="D274" s="507"/>
      <c r="E274" s="1404"/>
    </row>
    <row r="275" ht="15.75" customHeight="1">
      <c r="A275" s="507"/>
      <c r="B275" s="507"/>
      <c r="C275" s="507"/>
      <c r="D275" s="507"/>
      <c r="E275" s="1404"/>
    </row>
    <row r="276" ht="15.75" customHeight="1">
      <c r="A276" s="507"/>
      <c r="B276" s="507"/>
      <c r="C276" s="507"/>
      <c r="D276" s="507"/>
      <c r="E276" s="1404"/>
    </row>
    <row r="277" ht="15.75" customHeight="1">
      <c r="A277" s="507"/>
      <c r="B277" s="507"/>
      <c r="C277" s="507"/>
      <c r="D277" s="507"/>
      <c r="E277" s="1404"/>
    </row>
    <row r="278" ht="15.75" customHeight="1">
      <c r="A278" s="507"/>
      <c r="B278" s="507"/>
      <c r="C278" s="507"/>
      <c r="D278" s="507"/>
      <c r="E278" s="1404"/>
    </row>
    <row r="279" ht="15.75" customHeight="1">
      <c r="A279" s="507"/>
      <c r="B279" s="507"/>
      <c r="C279" s="507"/>
      <c r="D279" s="507"/>
      <c r="E279" s="1404"/>
    </row>
    <row r="280" ht="15.75" customHeight="1">
      <c r="A280" s="507"/>
      <c r="B280" s="507"/>
      <c r="C280" s="507"/>
      <c r="D280" s="507"/>
      <c r="E280" s="1404"/>
    </row>
    <row r="281" ht="15.75" customHeight="1">
      <c r="A281" s="507"/>
      <c r="B281" s="507"/>
      <c r="C281" s="507"/>
      <c r="D281" s="507"/>
      <c r="E281" s="1404"/>
    </row>
    <row r="282" ht="15.75" customHeight="1">
      <c r="A282" s="507"/>
      <c r="B282" s="507"/>
      <c r="C282" s="507"/>
      <c r="D282" s="507"/>
      <c r="E282" s="1404"/>
    </row>
    <row r="283" ht="15.75" customHeight="1">
      <c r="A283" s="507"/>
      <c r="B283" s="507"/>
      <c r="C283" s="507"/>
      <c r="D283" s="507"/>
      <c r="E283" s="1404"/>
    </row>
    <row r="284" ht="15.75" customHeight="1">
      <c r="A284" s="507"/>
      <c r="B284" s="507"/>
      <c r="C284" s="507"/>
      <c r="D284" s="507"/>
      <c r="E284" s="1404"/>
    </row>
    <row r="285" ht="15.75" customHeight="1">
      <c r="A285" s="507"/>
      <c r="B285" s="507"/>
      <c r="C285" s="507"/>
      <c r="D285" s="507"/>
      <c r="E285" s="1404"/>
    </row>
    <row r="286" ht="15.75" customHeight="1">
      <c r="A286" s="507"/>
      <c r="B286" s="507"/>
      <c r="C286" s="507"/>
      <c r="D286" s="507"/>
      <c r="E286" s="1404"/>
    </row>
    <row r="287" ht="15.75" customHeight="1">
      <c r="A287" s="507"/>
      <c r="B287" s="507"/>
      <c r="C287" s="507"/>
      <c r="D287" s="507"/>
      <c r="E287" s="1404"/>
    </row>
    <row r="288" ht="15.75" customHeight="1">
      <c r="A288" s="507"/>
      <c r="B288" s="507"/>
      <c r="C288" s="507"/>
      <c r="D288" s="507"/>
      <c r="E288" s="1404"/>
    </row>
    <row r="289" ht="15.75" customHeight="1">
      <c r="A289" s="507"/>
      <c r="B289" s="507"/>
      <c r="C289" s="507"/>
      <c r="D289" s="507"/>
      <c r="E289" s="1404"/>
    </row>
    <row r="290" ht="15.75" customHeight="1">
      <c r="A290" s="507"/>
      <c r="B290" s="507"/>
      <c r="C290" s="507"/>
      <c r="D290" s="507"/>
      <c r="E290" s="1404"/>
    </row>
    <row r="291" ht="15.75" customHeight="1">
      <c r="A291" s="507"/>
      <c r="B291" s="507"/>
      <c r="C291" s="507"/>
      <c r="D291" s="507"/>
      <c r="E291" s="1404"/>
    </row>
    <row r="292" ht="15.75" customHeight="1">
      <c r="A292" s="507"/>
      <c r="B292" s="507"/>
      <c r="C292" s="507"/>
      <c r="D292" s="507"/>
      <c r="E292" s="1404"/>
    </row>
    <row r="293" ht="15.75" customHeight="1">
      <c r="A293" s="507"/>
      <c r="B293" s="507"/>
      <c r="C293" s="507"/>
      <c r="D293" s="507"/>
      <c r="E293" s="1404"/>
    </row>
    <row r="294" ht="15.75" customHeight="1">
      <c r="A294" s="507"/>
      <c r="B294" s="507"/>
      <c r="C294" s="507"/>
      <c r="D294" s="507"/>
      <c r="E294" s="1404"/>
    </row>
    <row r="295" ht="15.75" customHeight="1">
      <c r="A295" s="507"/>
      <c r="B295" s="507"/>
      <c r="C295" s="507"/>
      <c r="D295" s="507"/>
      <c r="E295" s="1404"/>
    </row>
    <row r="296" ht="15.75" customHeight="1">
      <c r="A296" s="507"/>
      <c r="B296" s="507"/>
      <c r="C296" s="507"/>
      <c r="D296" s="507"/>
      <c r="E296" s="1404"/>
    </row>
    <row r="297" ht="15.75" customHeight="1">
      <c r="A297" s="507"/>
      <c r="B297" s="507"/>
      <c r="C297" s="507"/>
      <c r="D297" s="507"/>
      <c r="E297" s="1404"/>
    </row>
    <row r="298" ht="15.75" customHeight="1">
      <c r="A298" s="507"/>
      <c r="B298" s="507"/>
      <c r="C298" s="507"/>
      <c r="D298" s="507"/>
      <c r="E298" s="1404"/>
    </row>
    <row r="299" ht="15.75" customHeight="1">
      <c r="A299" s="507"/>
      <c r="B299" s="507"/>
      <c r="C299" s="507"/>
      <c r="D299" s="507"/>
      <c r="E299" s="1404"/>
    </row>
    <row r="300" ht="15.75" customHeight="1">
      <c r="A300" s="507"/>
      <c r="B300" s="507"/>
      <c r="C300" s="507"/>
      <c r="D300" s="507"/>
      <c r="E300" s="1404"/>
    </row>
    <row r="301" ht="15.75" customHeight="1">
      <c r="A301" s="507"/>
      <c r="B301" s="507"/>
      <c r="C301" s="507"/>
      <c r="D301" s="507"/>
      <c r="E301" s="1404"/>
    </row>
    <row r="302" ht="15.75" customHeight="1">
      <c r="A302" s="507"/>
      <c r="B302" s="507"/>
      <c r="C302" s="507"/>
      <c r="D302" s="507"/>
      <c r="E302" s="1404"/>
    </row>
    <row r="303" ht="15.75" customHeight="1">
      <c r="A303" s="507"/>
      <c r="B303" s="507"/>
      <c r="C303" s="507"/>
      <c r="D303" s="507"/>
      <c r="E303" s="1404"/>
    </row>
    <row r="304" ht="15.75" customHeight="1">
      <c r="A304" s="507"/>
      <c r="B304" s="507"/>
      <c r="C304" s="507"/>
      <c r="D304" s="507"/>
      <c r="E304" s="1404"/>
    </row>
    <row r="305" ht="15.75" customHeight="1">
      <c r="A305" s="507"/>
      <c r="B305" s="507"/>
      <c r="C305" s="507"/>
      <c r="D305" s="507"/>
      <c r="E305" s="1404"/>
    </row>
    <row r="306" ht="15.75" customHeight="1">
      <c r="A306" s="507"/>
      <c r="B306" s="507"/>
      <c r="C306" s="507"/>
      <c r="D306" s="507"/>
      <c r="E306" s="1404"/>
    </row>
    <row r="307" ht="15.75" customHeight="1">
      <c r="A307" s="507"/>
      <c r="B307" s="507"/>
      <c r="C307" s="507"/>
      <c r="D307" s="507"/>
      <c r="E307" s="1404"/>
    </row>
    <row r="308" ht="15.75" customHeight="1">
      <c r="A308" s="507"/>
      <c r="B308" s="507"/>
      <c r="C308" s="507"/>
      <c r="D308" s="507"/>
      <c r="E308" s="1404"/>
    </row>
    <row r="309" ht="15.75" customHeight="1">
      <c r="A309" s="507"/>
      <c r="B309" s="507"/>
      <c r="C309" s="507"/>
      <c r="D309" s="507"/>
      <c r="E309" s="1404"/>
    </row>
    <row r="310" ht="15.75" customHeight="1">
      <c r="A310" s="507"/>
      <c r="B310" s="507"/>
      <c r="C310" s="507"/>
      <c r="D310" s="507"/>
      <c r="E310" s="1404"/>
    </row>
    <row r="311" ht="15.75" customHeight="1">
      <c r="A311" s="507"/>
      <c r="B311" s="507"/>
      <c r="C311" s="507"/>
      <c r="D311" s="507"/>
      <c r="E311" s="1404"/>
    </row>
    <row r="312" ht="15.75" customHeight="1">
      <c r="A312" s="507"/>
      <c r="B312" s="507"/>
      <c r="C312" s="507"/>
      <c r="D312" s="507"/>
      <c r="E312" s="1404"/>
    </row>
    <row r="313" ht="15.75" customHeight="1">
      <c r="A313" s="507"/>
      <c r="B313" s="507"/>
      <c r="C313" s="507"/>
      <c r="D313" s="507"/>
      <c r="E313" s="1404"/>
    </row>
    <row r="314" ht="15.75" customHeight="1">
      <c r="A314" s="507"/>
      <c r="B314" s="507"/>
      <c r="C314" s="507"/>
      <c r="D314" s="507"/>
      <c r="E314" s="1404"/>
    </row>
    <row r="315" ht="15.75" customHeight="1">
      <c r="A315" s="507"/>
      <c r="B315" s="507"/>
      <c r="C315" s="507"/>
      <c r="D315" s="507"/>
      <c r="E315" s="1404"/>
    </row>
    <row r="316" ht="15.75" customHeight="1">
      <c r="A316" s="507"/>
      <c r="B316" s="507"/>
      <c r="C316" s="507"/>
      <c r="D316" s="507"/>
      <c r="E316" s="1404"/>
    </row>
    <row r="317" ht="15.75" customHeight="1">
      <c r="A317" s="507"/>
      <c r="B317" s="507"/>
      <c r="C317" s="507"/>
      <c r="D317" s="507"/>
      <c r="E317" s="1404"/>
    </row>
    <row r="318" ht="15.75" customHeight="1">
      <c r="A318" s="507"/>
      <c r="B318" s="507"/>
      <c r="C318" s="507"/>
      <c r="D318" s="507"/>
      <c r="E318" s="1404"/>
    </row>
    <row r="319" ht="15.75" customHeight="1">
      <c r="A319" s="507"/>
      <c r="B319" s="507"/>
      <c r="C319" s="507"/>
      <c r="D319" s="507"/>
      <c r="E319" s="1404"/>
    </row>
    <row r="320" ht="15.75" customHeight="1">
      <c r="A320" s="507"/>
      <c r="B320" s="507"/>
      <c r="C320" s="507"/>
      <c r="D320" s="507"/>
      <c r="E320" s="1404"/>
    </row>
    <row r="321" ht="15.75" customHeight="1">
      <c r="A321" s="507"/>
      <c r="B321" s="507"/>
      <c r="C321" s="507"/>
      <c r="D321" s="507"/>
      <c r="E321" s="1404"/>
    </row>
    <row r="322" ht="15.75" customHeight="1">
      <c r="A322" s="507"/>
      <c r="B322" s="507"/>
      <c r="C322" s="507"/>
      <c r="D322" s="507"/>
      <c r="E322" s="1404"/>
    </row>
    <row r="323" ht="15.75" customHeight="1">
      <c r="A323" s="507"/>
      <c r="B323" s="507"/>
      <c r="C323" s="507"/>
      <c r="D323" s="507"/>
      <c r="E323" s="1404"/>
    </row>
    <row r="324" ht="15.75" customHeight="1">
      <c r="A324" s="507"/>
      <c r="B324" s="507"/>
      <c r="C324" s="507"/>
      <c r="D324" s="507"/>
      <c r="E324" s="1404"/>
    </row>
    <row r="325" ht="15.75" customHeight="1">
      <c r="A325" s="507"/>
      <c r="B325" s="507"/>
      <c r="C325" s="507"/>
      <c r="D325" s="507"/>
      <c r="E325" s="1404"/>
    </row>
    <row r="326" ht="15.75" customHeight="1">
      <c r="A326" s="507"/>
      <c r="B326" s="507"/>
      <c r="C326" s="507"/>
      <c r="D326" s="507"/>
      <c r="E326" s="1404"/>
    </row>
    <row r="327" ht="15.75" customHeight="1">
      <c r="A327" s="507"/>
      <c r="B327" s="507"/>
      <c r="C327" s="507"/>
      <c r="D327" s="507"/>
      <c r="E327" s="1404"/>
    </row>
    <row r="328" ht="15.75" customHeight="1">
      <c r="A328" s="507"/>
      <c r="B328" s="507"/>
      <c r="C328" s="507"/>
      <c r="D328" s="507"/>
      <c r="E328" s="1404"/>
    </row>
    <row r="329" ht="15.75" customHeight="1">
      <c r="A329" s="507"/>
      <c r="B329" s="507"/>
      <c r="C329" s="507"/>
      <c r="D329" s="507"/>
      <c r="E329" s="1404"/>
    </row>
    <row r="330" ht="15.75" customHeight="1">
      <c r="A330" s="507"/>
      <c r="B330" s="507"/>
      <c r="C330" s="507"/>
      <c r="D330" s="507"/>
      <c r="E330" s="1404"/>
    </row>
    <row r="331" ht="15.75" customHeight="1">
      <c r="A331" s="507"/>
      <c r="B331" s="507"/>
      <c r="C331" s="507"/>
      <c r="D331" s="507"/>
      <c r="E331" s="1404"/>
    </row>
    <row r="332" ht="15.75" customHeight="1">
      <c r="A332" s="507"/>
      <c r="B332" s="507"/>
      <c r="C332" s="507"/>
      <c r="D332" s="507"/>
      <c r="E332" s="1404"/>
    </row>
    <row r="333" ht="15.75" customHeight="1">
      <c r="A333" s="507"/>
      <c r="B333" s="507"/>
      <c r="C333" s="507"/>
      <c r="D333" s="507"/>
      <c r="E333" s="1404"/>
    </row>
    <row r="334" ht="15.75" customHeight="1">
      <c r="A334" s="507"/>
      <c r="B334" s="507"/>
      <c r="C334" s="507"/>
      <c r="D334" s="507"/>
      <c r="E334" s="1404"/>
    </row>
    <row r="335" ht="15.75" customHeight="1">
      <c r="A335" s="507"/>
      <c r="B335" s="507"/>
      <c r="C335" s="507"/>
      <c r="D335" s="507"/>
      <c r="E335" s="1404"/>
    </row>
    <row r="336" ht="15.75" customHeight="1">
      <c r="A336" s="507"/>
      <c r="B336" s="507"/>
      <c r="C336" s="507"/>
      <c r="D336" s="507"/>
      <c r="E336" s="1404"/>
    </row>
    <row r="337" ht="15.75" customHeight="1">
      <c r="A337" s="507"/>
      <c r="B337" s="507"/>
      <c r="C337" s="507"/>
      <c r="D337" s="507"/>
      <c r="E337" s="1404"/>
    </row>
    <row r="338" ht="15.75" customHeight="1">
      <c r="A338" s="507"/>
      <c r="B338" s="507"/>
      <c r="C338" s="507"/>
      <c r="D338" s="507"/>
      <c r="E338" s="1404"/>
    </row>
    <row r="339" ht="15.75" customHeight="1">
      <c r="A339" s="507"/>
      <c r="B339" s="507"/>
      <c r="C339" s="507"/>
      <c r="D339" s="507"/>
      <c r="E339" s="1404"/>
    </row>
    <row r="340" ht="15.75" customHeight="1">
      <c r="A340" s="507"/>
      <c r="B340" s="507"/>
      <c r="C340" s="507"/>
      <c r="D340" s="507"/>
      <c r="E340" s="1404"/>
    </row>
    <row r="341" ht="15.75" customHeight="1">
      <c r="A341" s="507"/>
      <c r="B341" s="507"/>
      <c r="C341" s="507"/>
      <c r="D341" s="507"/>
      <c r="E341" s="1404"/>
    </row>
    <row r="342" ht="15.75" customHeight="1">
      <c r="A342" s="507"/>
      <c r="B342" s="507"/>
      <c r="C342" s="507"/>
      <c r="D342" s="507"/>
      <c r="E342" s="1404"/>
    </row>
    <row r="343" ht="15.75" customHeight="1">
      <c r="A343" s="507"/>
      <c r="B343" s="507"/>
      <c r="C343" s="507"/>
      <c r="D343" s="507"/>
      <c r="E343" s="1404"/>
    </row>
    <row r="344" ht="15.75" customHeight="1">
      <c r="A344" s="507"/>
      <c r="B344" s="507"/>
      <c r="C344" s="507"/>
      <c r="D344" s="507"/>
      <c r="E344" s="1404"/>
    </row>
    <row r="345" ht="15.75" customHeight="1">
      <c r="A345" s="507"/>
      <c r="B345" s="507"/>
      <c r="C345" s="507"/>
      <c r="D345" s="507"/>
      <c r="E345" s="1404"/>
    </row>
    <row r="346" ht="15.75" customHeight="1">
      <c r="A346" s="507"/>
      <c r="B346" s="507"/>
      <c r="C346" s="507"/>
      <c r="D346" s="507"/>
      <c r="E346" s="1404"/>
    </row>
    <row r="347" ht="15.75" customHeight="1">
      <c r="A347" s="507"/>
      <c r="B347" s="507"/>
      <c r="C347" s="507"/>
      <c r="D347" s="507"/>
      <c r="E347" s="1404"/>
    </row>
    <row r="348" ht="15.75" customHeight="1">
      <c r="A348" s="507"/>
      <c r="B348" s="507"/>
      <c r="C348" s="507"/>
      <c r="D348" s="507"/>
      <c r="E348" s="1404"/>
    </row>
    <row r="349" ht="15.75" customHeight="1">
      <c r="A349" s="507"/>
      <c r="B349" s="507"/>
      <c r="C349" s="507"/>
      <c r="D349" s="507"/>
      <c r="E349" s="1404"/>
    </row>
    <row r="350" ht="15.75" customHeight="1">
      <c r="A350" s="507"/>
      <c r="B350" s="507"/>
      <c r="C350" s="507"/>
      <c r="D350" s="507"/>
      <c r="E350" s="1404"/>
    </row>
    <row r="351" ht="15.75" customHeight="1">
      <c r="A351" s="507"/>
      <c r="B351" s="507"/>
      <c r="C351" s="507"/>
      <c r="D351" s="507"/>
      <c r="E351" s="1404"/>
    </row>
    <row r="352" ht="15.75" customHeight="1">
      <c r="A352" s="507"/>
      <c r="B352" s="507"/>
      <c r="C352" s="507"/>
      <c r="D352" s="507"/>
      <c r="E352" s="1404"/>
    </row>
    <row r="353" ht="15.75" customHeight="1">
      <c r="A353" s="507"/>
      <c r="B353" s="507"/>
      <c r="C353" s="507"/>
      <c r="D353" s="507"/>
      <c r="E353" s="1404"/>
    </row>
    <row r="354" ht="15.75" customHeight="1">
      <c r="A354" s="507"/>
      <c r="B354" s="507"/>
      <c r="C354" s="507"/>
      <c r="D354" s="507"/>
      <c r="E354" s="1404"/>
    </row>
    <row r="355" ht="15.75" customHeight="1">
      <c r="A355" s="507"/>
      <c r="B355" s="507"/>
      <c r="C355" s="507"/>
      <c r="D355" s="507"/>
      <c r="E355" s="1404"/>
    </row>
    <row r="356" ht="15.75" customHeight="1">
      <c r="A356" s="507"/>
      <c r="B356" s="507"/>
      <c r="C356" s="507"/>
      <c r="D356" s="507"/>
      <c r="E356" s="1404"/>
    </row>
    <row r="357" ht="15.75" customHeight="1">
      <c r="A357" s="507"/>
      <c r="B357" s="507"/>
      <c r="C357" s="507"/>
      <c r="D357" s="507"/>
      <c r="E357" s="1404"/>
    </row>
    <row r="358" ht="15.75" customHeight="1">
      <c r="A358" s="507"/>
      <c r="B358" s="507"/>
      <c r="C358" s="507"/>
      <c r="D358" s="507"/>
      <c r="E358" s="1404"/>
    </row>
    <row r="359" ht="15.75" customHeight="1">
      <c r="A359" s="507"/>
      <c r="B359" s="507"/>
      <c r="C359" s="507"/>
      <c r="D359" s="507"/>
      <c r="E359" s="1404"/>
    </row>
    <row r="360" ht="15.75" customHeight="1">
      <c r="A360" s="507"/>
      <c r="B360" s="507"/>
      <c r="C360" s="507"/>
      <c r="D360" s="507"/>
      <c r="E360" s="1404"/>
    </row>
    <row r="361" ht="15.75" customHeight="1">
      <c r="A361" s="507"/>
      <c r="B361" s="507"/>
      <c r="C361" s="507"/>
      <c r="D361" s="507"/>
      <c r="E361" s="1404"/>
    </row>
    <row r="362" ht="15.75" customHeight="1">
      <c r="A362" s="507"/>
      <c r="B362" s="507"/>
      <c r="C362" s="507"/>
      <c r="D362" s="507"/>
      <c r="E362" s="1404"/>
    </row>
    <row r="363" ht="15.75" customHeight="1">
      <c r="A363" s="507"/>
      <c r="B363" s="507"/>
      <c r="C363" s="507"/>
      <c r="D363" s="507"/>
      <c r="E363" s="1404"/>
    </row>
    <row r="364" ht="15.75" customHeight="1">
      <c r="A364" s="507"/>
      <c r="B364" s="507"/>
      <c r="C364" s="507"/>
      <c r="D364" s="507"/>
      <c r="E364" s="1404"/>
    </row>
    <row r="365" ht="15.75" customHeight="1">
      <c r="A365" s="507"/>
      <c r="B365" s="507"/>
      <c r="C365" s="507"/>
      <c r="D365" s="507"/>
      <c r="E365" s="1404"/>
    </row>
    <row r="366" ht="15.75" customHeight="1">
      <c r="A366" s="507"/>
      <c r="B366" s="507"/>
      <c r="C366" s="507"/>
      <c r="D366" s="507"/>
      <c r="E366" s="1404"/>
    </row>
    <row r="367" ht="15.75" customHeight="1">
      <c r="A367" s="507"/>
      <c r="B367" s="507"/>
      <c r="C367" s="507"/>
      <c r="D367" s="507"/>
      <c r="E367" s="1404"/>
    </row>
    <row r="368" ht="15.75" customHeight="1">
      <c r="A368" s="507"/>
      <c r="B368" s="507"/>
      <c r="C368" s="507"/>
      <c r="D368" s="507"/>
      <c r="E368" s="1404"/>
    </row>
    <row r="369" ht="15.75" customHeight="1">
      <c r="A369" s="507"/>
      <c r="B369" s="507"/>
      <c r="C369" s="507"/>
      <c r="D369" s="507"/>
      <c r="E369" s="1404"/>
    </row>
    <row r="370" ht="15.75" customHeight="1">
      <c r="A370" s="507"/>
      <c r="B370" s="507"/>
      <c r="C370" s="507"/>
      <c r="D370" s="507"/>
      <c r="E370" s="1404"/>
    </row>
    <row r="371" ht="15.75" customHeight="1">
      <c r="A371" s="507"/>
      <c r="B371" s="507"/>
      <c r="C371" s="507"/>
      <c r="D371" s="507"/>
      <c r="E371" s="1404"/>
    </row>
    <row r="372" ht="15.75" customHeight="1">
      <c r="A372" s="507"/>
      <c r="B372" s="507"/>
      <c r="C372" s="507"/>
      <c r="D372" s="507"/>
      <c r="E372" s="1404"/>
    </row>
    <row r="373" ht="15.75" customHeight="1">
      <c r="A373" s="507"/>
      <c r="B373" s="507"/>
      <c r="C373" s="507"/>
      <c r="D373" s="507"/>
      <c r="E373" s="1404"/>
    </row>
    <row r="374" ht="15.75" customHeight="1">
      <c r="A374" s="507"/>
      <c r="B374" s="507"/>
      <c r="C374" s="507"/>
      <c r="D374" s="507"/>
      <c r="E374" s="1404"/>
    </row>
    <row r="375" ht="15.75" customHeight="1">
      <c r="A375" s="507"/>
      <c r="B375" s="507"/>
      <c r="C375" s="507"/>
      <c r="D375" s="507"/>
      <c r="E375" s="1404"/>
    </row>
    <row r="376" ht="15.75" customHeight="1">
      <c r="A376" s="507"/>
      <c r="B376" s="507"/>
      <c r="C376" s="507"/>
      <c r="D376" s="507"/>
      <c r="E376" s="1404"/>
    </row>
    <row r="377" ht="15.75" customHeight="1">
      <c r="A377" s="507"/>
      <c r="B377" s="507"/>
      <c r="C377" s="507"/>
      <c r="D377" s="507"/>
      <c r="E377" s="1404"/>
    </row>
    <row r="378" ht="15.75" customHeight="1">
      <c r="A378" s="507"/>
      <c r="B378" s="507"/>
      <c r="C378" s="507"/>
      <c r="D378" s="507"/>
      <c r="E378" s="1404"/>
    </row>
    <row r="379" ht="15.75" customHeight="1">
      <c r="A379" s="507"/>
      <c r="B379" s="507"/>
      <c r="C379" s="507"/>
      <c r="D379" s="507"/>
      <c r="E379" s="1404"/>
    </row>
    <row r="380" ht="15.75" customHeight="1">
      <c r="A380" s="507"/>
      <c r="B380" s="507"/>
      <c r="C380" s="507"/>
      <c r="D380" s="507"/>
      <c r="E380" s="1404"/>
    </row>
    <row r="381" ht="15.75" customHeight="1">
      <c r="A381" s="507"/>
      <c r="B381" s="507"/>
      <c r="C381" s="507"/>
      <c r="D381" s="507"/>
      <c r="E381" s="1404"/>
    </row>
    <row r="382" ht="15.75" customHeight="1">
      <c r="A382" s="507"/>
      <c r="B382" s="507"/>
      <c r="C382" s="507"/>
      <c r="D382" s="507"/>
      <c r="E382" s="1404"/>
    </row>
    <row r="383" ht="15.75" customHeight="1">
      <c r="A383" s="507"/>
      <c r="B383" s="507"/>
      <c r="C383" s="507"/>
      <c r="D383" s="507"/>
      <c r="E383" s="1404"/>
    </row>
    <row r="384" ht="15.75" customHeight="1">
      <c r="A384" s="507"/>
      <c r="B384" s="507"/>
      <c r="C384" s="507"/>
      <c r="D384" s="507"/>
      <c r="E384" s="1404"/>
    </row>
    <row r="385" ht="15.75" customHeight="1">
      <c r="A385" s="507"/>
      <c r="B385" s="507"/>
      <c r="C385" s="507"/>
      <c r="D385" s="507"/>
      <c r="E385" s="1404"/>
    </row>
    <row r="386" ht="15.75" customHeight="1">
      <c r="A386" s="507"/>
      <c r="B386" s="507"/>
      <c r="C386" s="507"/>
      <c r="D386" s="507"/>
      <c r="E386" s="1404"/>
    </row>
    <row r="387" ht="15.75" customHeight="1">
      <c r="A387" s="507"/>
      <c r="B387" s="507"/>
      <c r="C387" s="507"/>
      <c r="D387" s="507"/>
      <c r="E387" s="1404"/>
    </row>
    <row r="388" ht="15.75" customHeight="1">
      <c r="A388" s="507"/>
      <c r="B388" s="507"/>
      <c r="C388" s="507"/>
      <c r="D388" s="507"/>
      <c r="E388" s="1404"/>
    </row>
    <row r="389" ht="15.75" customHeight="1">
      <c r="A389" s="507"/>
      <c r="B389" s="507"/>
      <c r="C389" s="507"/>
      <c r="D389" s="507"/>
      <c r="E389" s="1404"/>
    </row>
    <row r="390" ht="15.75" customHeight="1">
      <c r="A390" s="507"/>
      <c r="B390" s="507"/>
      <c r="C390" s="507"/>
      <c r="D390" s="507"/>
      <c r="E390" s="1404"/>
    </row>
    <row r="391" ht="15.75" customHeight="1">
      <c r="A391" s="507"/>
      <c r="B391" s="507"/>
      <c r="C391" s="507"/>
      <c r="D391" s="507"/>
      <c r="E391" s="1404"/>
    </row>
    <row r="392" ht="15.75" customHeight="1">
      <c r="A392" s="507"/>
      <c r="B392" s="507"/>
      <c r="C392" s="507"/>
      <c r="D392" s="507"/>
      <c r="E392" s="1404"/>
    </row>
    <row r="393" ht="15.75" customHeight="1">
      <c r="A393" s="507"/>
      <c r="B393" s="507"/>
      <c r="C393" s="507"/>
      <c r="D393" s="507"/>
      <c r="E393" s="1404"/>
    </row>
    <row r="394" ht="15.75" customHeight="1">
      <c r="A394" s="507"/>
      <c r="B394" s="507"/>
      <c r="C394" s="507"/>
      <c r="D394" s="507"/>
      <c r="E394" s="1404"/>
    </row>
    <row r="395" ht="15.75" customHeight="1">
      <c r="A395" s="507"/>
      <c r="B395" s="507"/>
      <c r="C395" s="507"/>
      <c r="D395" s="507"/>
      <c r="E395" s="1404"/>
    </row>
    <row r="396" ht="15.75" customHeight="1">
      <c r="A396" s="507"/>
      <c r="B396" s="507"/>
      <c r="C396" s="507"/>
      <c r="D396" s="507"/>
      <c r="E396" s="1404"/>
    </row>
    <row r="397" ht="15.75" customHeight="1">
      <c r="A397" s="507"/>
      <c r="B397" s="507"/>
      <c r="C397" s="507"/>
      <c r="D397" s="507"/>
      <c r="E397" s="1404"/>
    </row>
    <row r="398" ht="15.75" customHeight="1">
      <c r="A398" s="507"/>
      <c r="B398" s="507"/>
      <c r="C398" s="507"/>
      <c r="D398" s="507"/>
      <c r="E398" s="1404"/>
    </row>
    <row r="399" ht="15.75" customHeight="1">
      <c r="A399" s="507"/>
      <c r="B399" s="507"/>
      <c r="C399" s="507"/>
      <c r="D399" s="507"/>
      <c r="E399" s="1404"/>
    </row>
    <row r="400" ht="15.75" customHeight="1">
      <c r="A400" s="507"/>
      <c r="B400" s="507"/>
      <c r="C400" s="507"/>
      <c r="D400" s="507"/>
      <c r="E400" s="1404"/>
    </row>
    <row r="401" ht="15.75" customHeight="1">
      <c r="A401" s="507"/>
      <c r="B401" s="507"/>
      <c r="C401" s="507"/>
      <c r="D401" s="507"/>
      <c r="E401" s="1404"/>
    </row>
    <row r="402" ht="15.75" customHeight="1">
      <c r="A402" s="507"/>
      <c r="B402" s="507"/>
      <c r="C402" s="507"/>
      <c r="D402" s="507"/>
      <c r="E402" s="1404"/>
    </row>
    <row r="403" ht="15.75" customHeight="1">
      <c r="A403" s="507"/>
      <c r="B403" s="507"/>
      <c r="C403" s="507"/>
      <c r="D403" s="507"/>
      <c r="E403" s="1404"/>
    </row>
    <row r="404" ht="15.75" customHeight="1">
      <c r="A404" s="507"/>
      <c r="B404" s="507"/>
      <c r="C404" s="507"/>
      <c r="D404" s="507"/>
      <c r="E404" s="1404"/>
    </row>
    <row r="405" ht="15.75" customHeight="1">
      <c r="A405" s="507"/>
      <c r="B405" s="507"/>
      <c r="C405" s="507"/>
      <c r="D405" s="507"/>
      <c r="E405" s="1404"/>
    </row>
    <row r="406" ht="15.75" customHeight="1">
      <c r="A406" s="507"/>
      <c r="B406" s="507"/>
      <c r="C406" s="507"/>
      <c r="D406" s="507"/>
      <c r="E406" s="1404"/>
    </row>
    <row r="407" ht="15.75" customHeight="1">
      <c r="A407" s="507"/>
      <c r="B407" s="507"/>
      <c r="C407" s="507"/>
      <c r="D407" s="507"/>
      <c r="E407" s="1404"/>
    </row>
    <row r="408" ht="15.75" customHeight="1">
      <c r="A408" s="507"/>
      <c r="B408" s="507"/>
      <c r="C408" s="507"/>
      <c r="D408" s="507"/>
      <c r="E408" s="1404"/>
    </row>
    <row r="409" ht="15.75" customHeight="1">
      <c r="A409" s="507"/>
      <c r="B409" s="507"/>
      <c r="C409" s="507"/>
      <c r="D409" s="507"/>
      <c r="E409" s="1404"/>
    </row>
    <row r="410" ht="15.75" customHeight="1">
      <c r="A410" s="507"/>
      <c r="B410" s="507"/>
      <c r="C410" s="507"/>
      <c r="D410" s="507"/>
      <c r="E410" s="1404"/>
    </row>
    <row r="411" ht="15.75" customHeight="1">
      <c r="A411" s="507"/>
      <c r="B411" s="507"/>
      <c r="C411" s="507"/>
      <c r="D411" s="507"/>
      <c r="E411" s="1404"/>
    </row>
    <row r="412" ht="15.75" customHeight="1">
      <c r="A412" s="507"/>
      <c r="B412" s="507"/>
      <c r="C412" s="507"/>
      <c r="D412" s="507"/>
      <c r="E412" s="1404"/>
    </row>
    <row r="413" ht="15.75" customHeight="1">
      <c r="A413" s="507"/>
      <c r="B413" s="507"/>
      <c r="C413" s="507"/>
      <c r="D413" s="507"/>
      <c r="E413" s="1404"/>
    </row>
    <row r="414" ht="15.75" customHeight="1">
      <c r="A414" s="507"/>
      <c r="B414" s="507"/>
      <c r="C414" s="507"/>
      <c r="D414" s="507"/>
      <c r="E414" s="1404"/>
    </row>
    <row r="415" ht="15.75" customHeight="1">
      <c r="A415" s="507"/>
      <c r="B415" s="507"/>
      <c r="C415" s="507"/>
      <c r="D415" s="507"/>
      <c r="E415" s="1404"/>
    </row>
    <row r="416" ht="15.75" customHeight="1">
      <c r="A416" s="507"/>
      <c r="B416" s="507"/>
      <c r="C416" s="507"/>
      <c r="D416" s="507"/>
      <c r="E416" s="1404"/>
    </row>
    <row r="417" ht="15.75" customHeight="1">
      <c r="A417" s="507"/>
      <c r="B417" s="507"/>
      <c r="C417" s="507"/>
      <c r="D417" s="507"/>
      <c r="E417" s="1404"/>
    </row>
    <row r="418" ht="15.75" customHeight="1">
      <c r="A418" s="507"/>
      <c r="B418" s="507"/>
      <c r="C418" s="507"/>
      <c r="D418" s="507"/>
      <c r="E418" s="1404"/>
    </row>
    <row r="419" ht="15.75" customHeight="1">
      <c r="A419" s="507"/>
      <c r="B419" s="507"/>
      <c r="C419" s="507"/>
      <c r="D419" s="507"/>
      <c r="E419" s="1404"/>
    </row>
    <row r="420" ht="15.75" customHeight="1">
      <c r="A420" s="507"/>
      <c r="B420" s="507"/>
      <c r="C420" s="507"/>
      <c r="D420" s="507"/>
      <c r="E420" s="1404"/>
    </row>
    <row r="421" ht="15.75" customHeight="1">
      <c r="A421" s="507"/>
      <c r="B421" s="507"/>
      <c r="C421" s="507"/>
      <c r="D421" s="507"/>
      <c r="E421" s="1404"/>
    </row>
    <row r="422" ht="15.75" customHeight="1">
      <c r="A422" s="507"/>
      <c r="B422" s="507"/>
      <c r="C422" s="507"/>
      <c r="D422" s="507"/>
      <c r="E422" s="1404"/>
    </row>
    <row r="423" ht="15.75" customHeight="1">
      <c r="A423" s="507"/>
      <c r="B423" s="507"/>
      <c r="C423" s="507"/>
      <c r="D423" s="507"/>
      <c r="E423" s="1404"/>
    </row>
    <row r="424" ht="15.75" customHeight="1">
      <c r="A424" s="507"/>
      <c r="B424" s="507"/>
      <c r="C424" s="507"/>
      <c r="D424" s="507"/>
      <c r="E424" s="1404"/>
    </row>
    <row r="425" ht="15.75" customHeight="1">
      <c r="A425" s="507"/>
      <c r="B425" s="507"/>
      <c r="C425" s="507"/>
      <c r="D425" s="507"/>
      <c r="E425" s="1404"/>
    </row>
    <row r="426" ht="15.75" customHeight="1">
      <c r="A426" s="507"/>
      <c r="B426" s="507"/>
      <c r="C426" s="507"/>
      <c r="D426" s="507"/>
      <c r="E426" s="1404"/>
    </row>
    <row r="427" ht="15.75" customHeight="1">
      <c r="A427" s="507"/>
      <c r="B427" s="507"/>
      <c r="C427" s="507"/>
      <c r="D427" s="507"/>
      <c r="E427" s="1404"/>
    </row>
    <row r="428" ht="15.75" customHeight="1">
      <c r="A428" s="507"/>
      <c r="B428" s="507"/>
      <c r="C428" s="507"/>
      <c r="D428" s="507"/>
      <c r="E428" s="1404"/>
    </row>
    <row r="429" ht="15.75" customHeight="1">
      <c r="A429" s="507"/>
      <c r="B429" s="507"/>
      <c r="C429" s="507"/>
      <c r="D429" s="507"/>
      <c r="E429" s="1404"/>
    </row>
    <row r="430" ht="15.75" customHeight="1">
      <c r="A430" s="507"/>
      <c r="B430" s="507"/>
      <c r="C430" s="507"/>
      <c r="D430" s="507"/>
      <c r="E430" s="1404"/>
    </row>
    <row r="431" ht="15.75" customHeight="1">
      <c r="A431" s="507"/>
      <c r="B431" s="507"/>
      <c r="C431" s="507"/>
      <c r="D431" s="507"/>
      <c r="E431" s="1404"/>
    </row>
    <row r="432" ht="15.75" customHeight="1">
      <c r="A432" s="507"/>
      <c r="B432" s="507"/>
      <c r="C432" s="507"/>
      <c r="D432" s="507"/>
      <c r="E432" s="1404"/>
    </row>
    <row r="433" ht="15.75" customHeight="1">
      <c r="A433" s="507"/>
      <c r="B433" s="507"/>
      <c r="C433" s="507"/>
      <c r="D433" s="507"/>
      <c r="E433" s="1404"/>
    </row>
    <row r="434" ht="15.75" customHeight="1">
      <c r="A434" s="507"/>
      <c r="B434" s="507"/>
      <c r="C434" s="507"/>
      <c r="D434" s="507"/>
      <c r="E434" s="1404"/>
    </row>
    <row r="435" ht="15.75" customHeight="1">
      <c r="A435" s="507"/>
      <c r="B435" s="507"/>
      <c r="C435" s="507"/>
      <c r="D435" s="507"/>
      <c r="E435" s="1404"/>
    </row>
    <row r="436" ht="15.75" customHeight="1">
      <c r="A436" s="507"/>
      <c r="B436" s="507"/>
      <c r="C436" s="507"/>
      <c r="D436" s="507"/>
      <c r="E436" s="1404"/>
    </row>
    <row r="437" ht="15.75" customHeight="1">
      <c r="A437" s="507"/>
      <c r="B437" s="507"/>
      <c r="C437" s="507"/>
      <c r="D437" s="507"/>
      <c r="E437" s="1404"/>
    </row>
    <row r="438" ht="15.75" customHeight="1">
      <c r="A438" s="507"/>
      <c r="B438" s="507"/>
      <c r="C438" s="507"/>
      <c r="D438" s="507"/>
      <c r="E438" s="1404"/>
    </row>
    <row r="439" ht="15.75" customHeight="1">
      <c r="A439" s="507"/>
      <c r="B439" s="507"/>
      <c r="C439" s="507"/>
      <c r="D439" s="507"/>
      <c r="E439" s="1404"/>
    </row>
    <row r="440" ht="15.75" customHeight="1">
      <c r="A440" s="507"/>
      <c r="B440" s="507"/>
      <c r="C440" s="507"/>
      <c r="D440" s="507"/>
      <c r="E440" s="1404"/>
    </row>
    <row r="441" ht="15.75" customHeight="1">
      <c r="A441" s="507"/>
      <c r="B441" s="507"/>
      <c r="C441" s="507"/>
      <c r="D441" s="507"/>
      <c r="E441" s="1404"/>
    </row>
    <row r="442" ht="15.75" customHeight="1">
      <c r="A442" s="507"/>
      <c r="B442" s="507"/>
      <c r="C442" s="507"/>
      <c r="D442" s="507"/>
      <c r="E442" s="1404"/>
    </row>
    <row r="443" ht="15.75" customHeight="1">
      <c r="A443" s="507"/>
      <c r="B443" s="507"/>
      <c r="C443" s="507"/>
      <c r="D443" s="507"/>
      <c r="E443" s="1404"/>
    </row>
    <row r="444" ht="15.75" customHeight="1">
      <c r="A444" s="507"/>
      <c r="B444" s="507"/>
      <c r="C444" s="507"/>
      <c r="D444" s="507"/>
      <c r="E444" s="1404"/>
    </row>
    <row r="445" ht="15.75" customHeight="1">
      <c r="A445" s="507"/>
      <c r="B445" s="507"/>
      <c r="C445" s="507"/>
      <c r="D445" s="507"/>
      <c r="E445" s="1404"/>
    </row>
    <row r="446" ht="15.75" customHeight="1">
      <c r="A446" s="507"/>
      <c r="B446" s="507"/>
      <c r="C446" s="507"/>
      <c r="D446" s="507"/>
      <c r="E446" s="1404"/>
    </row>
    <row r="447" ht="15.75" customHeight="1">
      <c r="A447" s="507"/>
      <c r="B447" s="507"/>
      <c r="C447" s="507"/>
      <c r="D447" s="507"/>
      <c r="E447" s="1404"/>
    </row>
    <row r="448" ht="15.75" customHeight="1">
      <c r="A448" s="507"/>
      <c r="B448" s="507"/>
      <c r="C448" s="507"/>
      <c r="D448" s="507"/>
      <c r="E448" s="1404"/>
    </row>
    <row r="449" ht="15.75" customHeight="1">
      <c r="A449" s="507"/>
      <c r="B449" s="507"/>
      <c r="C449" s="507"/>
      <c r="D449" s="507"/>
      <c r="E449" s="1404"/>
    </row>
    <row r="450" ht="15.75" customHeight="1">
      <c r="A450" s="507"/>
      <c r="B450" s="507"/>
      <c r="C450" s="507"/>
      <c r="D450" s="507"/>
      <c r="E450" s="1404"/>
    </row>
    <row r="451" ht="15.75" customHeight="1">
      <c r="A451" s="507"/>
      <c r="B451" s="507"/>
      <c r="C451" s="507"/>
      <c r="D451" s="507"/>
      <c r="E451" s="1404"/>
    </row>
    <row r="452" ht="15.75" customHeight="1">
      <c r="A452" s="507"/>
      <c r="B452" s="507"/>
      <c r="C452" s="507"/>
      <c r="D452" s="507"/>
      <c r="E452" s="1404"/>
    </row>
    <row r="453" ht="15.75" customHeight="1">
      <c r="A453" s="507"/>
      <c r="B453" s="507"/>
      <c r="C453" s="507"/>
      <c r="D453" s="507"/>
      <c r="E453" s="1404"/>
    </row>
    <row r="454" ht="15.75" customHeight="1">
      <c r="A454" s="507"/>
      <c r="B454" s="507"/>
      <c r="C454" s="507"/>
      <c r="D454" s="507"/>
      <c r="E454" s="1404"/>
    </row>
    <row r="455" ht="15.75" customHeight="1">
      <c r="A455" s="507"/>
      <c r="B455" s="507"/>
      <c r="C455" s="507"/>
      <c r="D455" s="507"/>
      <c r="E455" s="1404"/>
    </row>
    <row r="456" ht="15.75" customHeight="1">
      <c r="A456" s="507"/>
      <c r="B456" s="507"/>
      <c r="C456" s="507"/>
      <c r="D456" s="507"/>
      <c r="E456" s="1404"/>
    </row>
    <row r="457" ht="15.75" customHeight="1">
      <c r="A457" s="507"/>
      <c r="B457" s="507"/>
      <c r="C457" s="507"/>
      <c r="D457" s="507"/>
      <c r="E457" s="1404"/>
    </row>
    <row r="458" ht="15.75" customHeight="1">
      <c r="A458" s="507"/>
      <c r="B458" s="507"/>
      <c r="C458" s="507"/>
      <c r="D458" s="507"/>
      <c r="E458" s="1404"/>
    </row>
    <row r="459" ht="15.75" customHeight="1">
      <c r="A459" s="507"/>
      <c r="B459" s="507"/>
      <c r="C459" s="507"/>
      <c r="D459" s="507"/>
      <c r="E459" s="1404"/>
    </row>
    <row r="460" ht="15.75" customHeight="1">
      <c r="A460" s="507"/>
      <c r="B460" s="507"/>
      <c r="C460" s="507"/>
      <c r="D460" s="507"/>
      <c r="E460" s="1404"/>
    </row>
    <row r="461" ht="15.75" customHeight="1">
      <c r="A461" s="507"/>
      <c r="B461" s="507"/>
      <c r="C461" s="507"/>
      <c r="D461" s="507"/>
      <c r="E461" s="1404"/>
    </row>
    <row r="462" ht="15.75" customHeight="1">
      <c r="A462" s="507"/>
      <c r="B462" s="507"/>
      <c r="C462" s="507"/>
      <c r="D462" s="507"/>
      <c r="E462" s="1404"/>
    </row>
    <row r="463" ht="15.75" customHeight="1">
      <c r="A463" s="507"/>
      <c r="B463" s="507"/>
      <c r="C463" s="507"/>
      <c r="D463" s="507"/>
      <c r="E463" s="1404"/>
    </row>
    <row r="464" ht="15.75" customHeight="1">
      <c r="A464" s="507"/>
      <c r="B464" s="507"/>
      <c r="C464" s="507"/>
      <c r="D464" s="507"/>
      <c r="E464" s="1404"/>
    </row>
    <row r="465" ht="15.75" customHeight="1">
      <c r="A465" s="507"/>
      <c r="B465" s="507"/>
      <c r="C465" s="507"/>
      <c r="D465" s="507"/>
      <c r="E465" s="1404"/>
    </row>
    <row r="466" ht="15.75" customHeight="1">
      <c r="A466" s="507"/>
      <c r="B466" s="507"/>
      <c r="C466" s="507"/>
      <c r="D466" s="507"/>
      <c r="E466" s="1404"/>
    </row>
    <row r="467" ht="15.75" customHeight="1">
      <c r="A467" s="507"/>
      <c r="B467" s="507"/>
      <c r="C467" s="507"/>
      <c r="D467" s="507"/>
      <c r="E467" s="1404"/>
    </row>
    <row r="468" ht="15.75" customHeight="1">
      <c r="A468" s="507"/>
      <c r="B468" s="507"/>
      <c r="C468" s="507"/>
      <c r="D468" s="507"/>
      <c r="E468" s="1404"/>
    </row>
    <row r="469" ht="15.75" customHeight="1">
      <c r="A469" s="507"/>
      <c r="B469" s="507"/>
      <c r="C469" s="507"/>
      <c r="D469" s="507"/>
      <c r="E469" s="1404"/>
    </row>
    <row r="470" ht="15.75" customHeight="1">
      <c r="A470" s="507"/>
      <c r="B470" s="507"/>
      <c r="C470" s="507"/>
      <c r="D470" s="507"/>
      <c r="E470" s="1404"/>
    </row>
    <row r="471" ht="15.75" customHeight="1">
      <c r="A471" s="507"/>
      <c r="B471" s="507"/>
      <c r="C471" s="507"/>
      <c r="D471" s="507"/>
      <c r="E471" s="1404"/>
    </row>
    <row r="472" ht="15.75" customHeight="1">
      <c r="A472" s="507"/>
      <c r="B472" s="507"/>
      <c r="C472" s="507"/>
      <c r="D472" s="507"/>
      <c r="E472" s="1404"/>
    </row>
    <row r="473" ht="15.75" customHeight="1">
      <c r="A473" s="507"/>
      <c r="B473" s="507"/>
      <c r="C473" s="507"/>
      <c r="D473" s="507"/>
      <c r="E473" s="1404"/>
    </row>
    <row r="474" ht="15.75" customHeight="1">
      <c r="A474" s="507"/>
      <c r="B474" s="507"/>
      <c r="C474" s="507"/>
      <c r="D474" s="507"/>
      <c r="E474" s="1404"/>
    </row>
    <row r="475" ht="15.75" customHeight="1">
      <c r="A475" s="507"/>
      <c r="B475" s="507"/>
      <c r="C475" s="507"/>
      <c r="D475" s="507"/>
      <c r="E475" s="1404"/>
    </row>
    <row r="476" ht="15.75" customHeight="1">
      <c r="A476" s="507"/>
      <c r="B476" s="507"/>
      <c r="C476" s="507"/>
      <c r="D476" s="507"/>
      <c r="E476" s="1404"/>
    </row>
    <row r="477" ht="15.75" customHeight="1">
      <c r="A477" s="507"/>
      <c r="B477" s="507"/>
      <c r="C477" s="507"/>
      <c r="D477" s="507"/>
      <c r="E477" s="1404"/>
    </row>
    <row r="478" ht="15.75" customHeight="1">
      <c r="A478" s="507"/>
      <c r="B478" s="507"/>
      <c r="C478" s="507"/>
      <c r="D478" s="507"/>
      <c r="E478" s="1404"/>
    </row>
    <row r="479" ht="15.75" customHeight="1">
      <c r="A479" s="507"/>
      <c r="B479" s="507"/>
      <c r="C479" s="507"/>
      <c r="D479" s="507"/>
      <c r="E479" s="1404"/>
    </row>
    <row r="480" ht="15.75" customHeight="1">
      <c r="A480" s="507"/>
      <c r="B480" s="507"/>
      <c r="C480" s="507"/>
      <c r="D480" s="507"/>
      <c r="E480" s="1404"/>
    </row>
    <row r="481" ht="15.75" customHeight="1">
      <c r="A481" s="507"/>
      <c r="B481" s="507"/>
      <c r="C481" s="507"/>
      <c r="D481" s="507"/>
      <c r="E481" s="1404"/>
    </row>
    <row r="482" ht="15.75" customHeight="1">
      <c r="A482" s="507"/>
      <c r="B482" s="507"/>
      <c r="C482" s="507"/>
      <c r="D482" s="507"/>
      <c r="E482" s="1404"/>
    </row>
    <row r="483" ht="15.75" customHeight="1">
      <c r="A483" s="507"/>
      <c r="B483" s="507"/>
      <c r="C483" s="507"/>
      <c r="D483" s="507"/>
      <c r="E483" s="1404"/>
    </row>
    <row r="484" ht="15.75" customHeight="1">
      <c r="A484" s="507"/>
      <c r="B484" s="507"/>
      <c r="C484" s="507"/>
      <c r="D484" s="507"/>
      <c r="E484" s="1404"/>
    </row>
    <row r="485" ht="15.75" customHeight="1">
      <c r="A485" s="507"/>
      <c r="B485" s="507"/>
      <c r="C485" s="507"/>
      <c r="D485" s="507"/>
      <c r="E485" s="1404"/>
    </row>
    <row r="486" ht="15.75" customHeight="1">
      <c r="A486" s="507"/>
      <c r="B486" s="507"/>
      <c r="C486" s="507"/>
      <c r="D486" s="507"/>
      <c r="E486" s="1404"/>
    </row>
    <row r="487" ht="15.75" customHeight="1">
      <c r="A487" s="507"/>
      <c r="B487" s="507"/>
      <c r="C487" s="507"/>
      <c r="D487" s="507"/>
      <c r="E487" s="1404"/>
    </row>
    <row r="488" ht="15.75" customHeight="1">
      <c r="A488" s="507"/>
      <c r="B488" s="507"/>
      <c r="C488" s="507"/>
      <c r="D488" s="507"/>
      <c r="E488" s="1404"/>
    </row>
    <row r="489" ht="15.75" customHeight="1">
      <c r="A489" s="507"/>
      <c r="B489" s="507"/>
      <c r="C489" s="507"/>
      <c r="D489" s="507"/>
      <c r="E489" s="1404"/>
    </row>
    <row r="490" ht="15.75" customHeight="1">
      <c r="A490" s="507"/>
      <c r="B490" s="507"/>
      <c r="C490" s="507"/>
      <c r="D490" s="507"/>
      <c r="E490" s="1404"/>
    </row>
    <row r="491" ht="15.75" customHeight="1">
      <c r="A491" s="507"/>
      <c r="B491" s="507"/>
      <c r="C491" s="507"/>
      <c r="D491" s="507"/>
      <c r="E491" s="1404"/>
    </row>
    <row r="492" ht="15.75" customHeight="1">
      <c r="A492" s="507"/>
      <c r="B492" s="507"/>
      <c r="C492" s="507"/>
      <c r="D492" s="507"/>
      <c r="E492" s="1404"/>
    </row>
    <row r="493" ht="15.75" customHeight="1">
      <c r="A493" s="507"/>
      <c r="B493" s="507"/>
      <c r="C493" s="507"/>
      <c r="D493" s="507"/>
      <c r="E493" s="1404"/>
    </row>
    <row r="494" ht="15.75" customHeight="1">
      <c r="A494" s="507"/>
      <c r="B494" s="507"/>
      <c r="C494" s="507"/>
      <c r="D494" s="507"/>
      <c r="E494" s="1404"/>
    </row>
    <row r="495" ht="15.75" customHeight="1">
      <c r="A495" s="507"/>
      <c r="B495" s="507"/>
      <c r="C495" s="507"/>
      <c r="D495" s="507"/>
      <c r="E495" s="1404"/>
    </row>
    <row r="496" ht="15.75" customHeight="1">
      <c r="A496" s="507"/>
      <c r="B496" s="507"/>
      <c r="C496" s="507"/>
      <c r="D496" s="507"/>
      <c r="E496" s="1404"/>
    </row>
    <row r="497" ht="15.75" customHeight="1">
      <c r="A497" s="507"/>
      <c r="B497" s="507"/>
      <c r="C497" s="507"/>
      <c r="D497" s="507"/>
      <c r="E497" s="1404"/>
    </row>
    <row r="498" ht="15.75" customHeight="1">
      <c r="A498" s="507"/>
      <c r="B498" s="507"/>
      <c r="C498" s="507"/>
      <c r="D498" s="507"/>
      <c r="E498" s="1404"/>
    </row>
    <row r="499" ht="15.75" customHeight="1">
      <c r="A499" s="507"/>
      <c r="B499" s="507"/>
      <c r="C499" s="507"/>
      <c r="D499" s="507"/>
      <c r="E499" s="1404"/>
    </row>
    <row r="500" ht="15.75" customHeight="1">
      <c r="A500" s="507"/>
      <c r="B500" s="507"/>
      <c r="C500" s="507"/>
      <c r="D500" s="507"/>
      <c r="E500" s="1404"/>
    </row>
    <row r="501" ht="15.75" customHeight="1">
      <c r="A501" s="507"/>
      <c r="B501" s="507"/>
      <c r="C501" s="507"/>
      <c r="D501" s="507"/>
      <c r="E501" s="1404"/>
    </row>
    <row r="502" ht="15.75" customHeight="1">
      <c r="A502" s="507"/>
      <c r="B502" s="507"/>
      <c r="C502" s="507"/>
      <c r="D502" s="507"/>
      <c r="E502" s="1404"/>
    </row>
    <row r="503" ht="15.75" customHeight="1">
      <c r="A503" s="507"/>
      <c r="B503" s="507"/>
      <c r="C503" s="507"/>
      <c r="D503" s="507"/>
      <c r="E503" s="1404"/>
    </row>
    <row r="504" ht="15.75" customHeight="1">
      <c r="A504" s="507"/>
      <c r="B504" s="507"/>
      <c r="C504" s="507"/>
      <c r="D504" s="507"/>
      <c r="E504" s="1404"/>
    </row>
    <row r="505" ht="15.75" customHeight="1">
      <c r="A505" s="507"/>
      <c r="B505" s="507"/>
      <c r="C505" s="507"/>
      <c r="D505" s="507"/>
      <c r="E505" s="1404"/>
    </row>
    <row r="506" ht="15.75" customHeight="1">
      <c r="A506" s="507"/>
      <c r="B506" s="507"/>
      <c r="C506" s="507"/>
      <c r="D506" s="507"/>
      <c r="E506" s="1404"/>
    </row>
    <row r="507" ht="15.75" customHeight="1">
      <c r="A507" s="507"/>
      <c r="B507" s="507"/>
      <c r="C507" s="507"/>
      <c r="D507" s="507"/>
      <c r="E507" s="1404"/>
    </row>
    <row r="508" ht="15.75" customHeight="1">
      <c r="A508" s="507"/>
      <c r="B508" s="507"/>
      <c r="C508" s="507"/>
      <c r="D508" s="507"/>
      <c r="E508" s="1404"/>
    </row>
    <row r="509" ht="15.75" customHeight="1">
      <c r="A509" s="507"/>
      <c r="B509" s="507"/>
      <c r="C509" s="507"/>
      <c r="D509" s="507"/>
      <c r="E509" s="1404"/>
    </row>
    <row r="510" ht="15.75" customHeight="1">
      <c r="A510" s="507"/>
      <c r="B510" s="507"/>
      <c r="C510" s="507"/>
      <c r="D510" s="507"/>
      <c r="E510" s="1404"/>
    </row>
    <row r="511" ht="15.75" customHeight="1">
      <c r="A511" s="507"/>
      <c r="B511" s="507"/>
      <c r="C511" s="507"/>
      <c r="D511" s="507"/>
      <c r="E511" s="1404"/>
    </row>
    <row r="512" ht="15.75" customHeight="1">
      <c r="A512" s="507"/>
      <c r="B512" s="507"/>
      <c r="C512" s="507"/>
      <c r="D512" s="507"/>
      <c r="E512" s="1404"/>
    </row>
    <row r="513" ht="15.75" customHeight="1">
      <c r="A513" s="507"/>
      <c r="B513" s="507"/>
      <c r="C513" s="507"/>
      <c r="D513" s="507"/>
      <c r="E513" s="1404"/>
    </row>
    <row r="514" ht="15.75" customHeight="1">
      <c r="A514" s="507"/>
      <c r="B514" s="507"/>
      <c r="C514" s="507"/>
      <c r="D514" s="507"/>
      <c r="E514" s="1404"/>
    </row>
    <row r="515" ht="15.75" customHeight="1">
      <c r="A515" s="507"/>
      <c r="B515" s="507"/>
      <c r="C515" s="507"/>
      <c r="D515" s="507"/>
      <c r="E515" s="1404"/>
    </row>
    <row r="516" ht="15.75" customHeight="1">
      <c r="A516" s="507"/>
      <c r="B516" s="507"/>
      <c r="C516" s="507"/>
      <c r="D516" s="507"/>
      <c r="E516" s="1404"/>
    </row>
    <row r="517" ht="15.75" customHeight="1">
      <c r="A517" s="507"/>
      <c r="B517" s="507"/>
      <c r="C517" s="507"/>
      <c r="D517" s="507"/>
      <c r="E517" s="1404"/>
    </row>
    <row r="518" ht="15.75" customHeight="1">
      <c r="A518" s="507"/>
      <c r="B518" s="507"/>
      <c r="C518" s="507"/>
      <c r="D518" s="507"/>
      <c r="E518" s="1404"/>
    </row>
    <row r="519" ht="15.75" customHeight="1">
      <c r="A519" s="507"/>
      <c r="B519" s="507"/>
      <c r="C519" s="507"/>
      <c r="D519" s="507"/>
      <c r="E519" s="1404"/>
    </row>
    <row r="520" ht="15.75" customHeight="1">
      <c r="A520" s="507"/>
      <c r="B520" s="507"/>
      <c r="C520" s="507"/>
      <c r="D520" s="507"/>
      <c r="E520" s="1404"/>
    </row>
    <row r="521" ht="15.75" customHeight="1">
      <c r="A521" s="507"/>
      <c r="B521" s="507"/>
      <c r="C521" s="507"/>
      <c r="D521" s="507"/>
      <c r="E521" s="1404"/>
    </row>
    <row r="522" ht="15.75" customHeight="1">
      <c r="A522" s="507"/>
      <c r="B522" s="507"/>
      <c r="C522" s="507"/>
      <c r="D522" s="507"/>
      <c r="E522" s="1404"/>
    </row>
    <row r="523" ht="15.75" customHeight="1">
      <c r="A523" s="507"/>
      <c r="B523" s="507"/>
      <c r="C523" s="507"/>
      <c r="D523" s="507"/>
      <c r="E523" s="1404"/>
    </row>
    <row r="524" ht="15.75" customHeight="1">
      <c r="A524" s="507"/>
      <c r="B524" s="507"/>
      <c r="C524" s="507"/>
      <c r="D524" s="507"/>
      <c r="E524" s="1404"/>
    </row>
    <row r="525" ht="15.75" customHeight="1">
      <c r="A525" s="507"/>
      <c r="B525" s="507"/>
      <c r="C525" s="507"/>
      <c r="D525" s="507"/>
      <c r="E525" s="1404"/>
    </row>
    <row r="526" ht="15.75" customHeight="1">
      <c r="A526" s="507"/>
      <c r="B526" s="507"/>
      <c r="C526" s="507"/>
      <c r="D526" s="507"/>
      <c r="E526" s="1404"/>
    </row>
    <row r="527" ht="15.75" customHeight="1">
      <c r="A527" s="507"/>
      <c r="B527" s="507"/>
      <c r="C527" s="507"/>
      <c r="D527" s="507"/>
      <c r="E527" s="1404"/>
    </row>
    <row r="528" ht="15.75" customHeight="1">
      <c r="A528" s="507"/>
      <c r="B528" s="507"/>
      <c r="C528" s="507"/>
      <c r="D528" s="507"/>
      <c r="E528" s="1404"/>
    </row>
    <row r="529" ht="15.75" customHeight="1">
      <c r="A529" s="507"/>
      <c r="B529" s="507"/>
      <c r="C529" s="507"/>
      <c r="D529" s="507"/>
      <c r="E529" s="1404"/>
    </row>
    <row r="530" ht="15.75" customHeight="1">
      <c r="A530" s="507"/>
      <c r="B530" s="507"/>
      <c r="C530" s="507"/>
      <c r="D530" s="507"/>
      <c r="E530" s="1404"/>
    </row>
    <row r="531" ht="15.75" customHeight="1">
      <c r="A531" s="507"/>
      <c r="B531" s="507"/>
      <c r="C531" s="507"/>
      <c r="D531" s="507"/>
      <c r="E531" s="1404"/>
    </row>
    <row r="532" ht="15.75" customHeight="1">
      <c r="A532" s="507"/>
      <c r="B532" s="507"/>
      <c r="C532" s="507"/>
      <c r="D532" s="507"/>
      <c r="E532" s="1404"/>
    </row>
    <row r="533" ht="15.75" customHeight="1">
      <c r="A533" s="507"/>
      <c r="B533" s="507"/>
      <c r="C533" s="507"/>
      <c r="D533" s="507"/>
      <c r="E533" s="1404"/>
    </row>
    <row r="534" ht="15.75" customHeight="1">
      <c r="A534" s="507"/>
      <c r="B534" s="507"/>
      <c r="C534" s="507"/>
      <c r="D534" s="507"/>
      <c r="E534" s="1404"/>
    </row>
    <row r="535" ht="15.75" customHeight="1">
      <c r="A535" s="507"/>
      <c r="B535" s="507"/>
      <c r="C535" s="507"/>
      <c r="D535" s="507"/>
      <c r="E535" s="1404"/>
    </row>
    <row r="536" ht="15.75" customHeight="1">
      <c r="A536" s="507"/>
      <c r="B536" s="507"/>
      <c r="C536" s="507"/>
      <c r="D536" s="507"/>
      <c r="E536" s="1404"/>
    </row>
    <row r="537" ht="15.75" customHeight="1">
      <c r="A537" s="507"/>
      <c r="B537" s="507"/>
      <c r="C537" s="507"/>
      <c r="D537" s="507"/>
      <c r="E537" s="1404"/>
    </row>
    <row r="538" ht="15.75" customHeight="1">
      <c r="A538" s="507"/>
      <c r="B538" s="507"/>
      <c r="C538" s="507"/>
      <c r="D538" s="507"/>
      <c r="E538" s="1404"/>
    </row>
    <row r="539" ht="15.75" customHeight="1">
      <c r="A539" s="507"/>
      <c r="B539" s="507"/>
      <c r="C539" s="507"/>
      <c r="D539" s="507"/>
      <c r="E539" s="1404"/>
    </row>
    <row r="540" ht="15.75" customHeight="1">
      <c r="A540" s="507"/>
      <c r="B540" s="507"/>
      <c r="C540" s="507"/>
      <c r="D540" s="507"/>
      <c r="E540" s="1404"/>
    </row>
    <row r="541" ht="15.75" customHeight="1">
      <c r="A541" s="507"/>
      <c r="B541" s="507"/>
      <c r="C541" s="507"/>
      <c r="D541" s="507"/>
      <c r="E541" s="1404"/>
    </row>
    <row r="542" ht="15.75" customHeight="1">
      <c r="A542" s="507"/>
      <c r="B542" s="507"/>
      <c r="C542" s="507"/>
      <c r="D542" s="507"/>
      <c r="E542" s="1404"/>
    </row>
    <row r="543" ht="15.75" customHeight="1">
      <c r="A543" s="507"/>
      <c r="B543" s="507"/>
      <c r="C543" s="507"/>
      <c r="D543" s="507"/>
      <c r="E543" s="1404"/>
    </row>
    <row r="544" ht="15.75" customHeight="1">
      <c r="A544" s="507"/>
      <c r="B544" s="507"/>
      <c r="C544" s="507"/>
      <c r="D544" s="507"/>
      <c r="E544" s="1404"/>
    </row>
    <row r="545" ht="15.75" customHeight="1">
      <c r="A545" s="507"/>
      <c r="B545" s="507"/>
      <c r="C545" s="507"/>
      <c r="D545" s="507"/>
      <c r="E545" s="1404"/>
    </row>
    <row r="546" ht="15.75" customHeight="1">
      <c r="A546" s="507"/>
      <c r="B546" s="507"/>
      <c r="C546" s="507"/>
      <c r="D546" s="507"/>
      <c r="E546" s="1404"/>
    </row>
    <row r="547" ht="15.75" customHeight="1">
      <c r="A547" s="507"/>
      <c r="B547" s="507"/>
      <c r="C547" s="507"/>
      <c r="D547" s="507"/>
      <c r="E547" s="1404"/>
    </row>
    <row r="548" ht="15.75" customHeight="1">
      <c r="A548" s="507"/>
      <c r="B548" s="507"/>
      <c r="C548" s="507"/>
      <c r="D548" s="507"/>
      <c r="E548" s="1404"/>
    </row>
    <row r="549" ht="15.75" customHeight="1">
      <c r="A549" s="507"/>
      <c r="B549" s="507"/>
      <c r="C549" s="507"/>
      <c r="D549" s="507"/>
      <c r="E549" s="1404"/>
    </row>
    <row r="550" ht="15.75" customHeight="1">
      <c r="A550" s="507"/>
      <c r="B550" s="507"/>
      <c r="C550" s="507"/>
      <c r="D550" s="507"/>
      <c r="E550" s="1404"/>
    </row>
    <row r="551" ht="15.75" customHeight="1">
      <c r="A551" s="507"/>
      <c r="B551" s="507"/>
      <c r="C551" s="507"/>
      <c r="D551" s="507"/>
      <c r="E551" s="1404"/>
    </row>
    <row r="552" ht="15.75" customHeight="1">
      <c r="A552" s="507"/>
      <c r="B552" s="507"/>
      <c r="C552" s="507"/>
      <c r="D552" s="507"/>
      <c r="E552" s="1404"/>
    </row>
    <row r="553" ht="15.75" customHeight="1">
      <c r="A553" s="507"/>
      <c r="B553" s="507"/>
      <c r="C553" s="507"/>
      <c r="D553" s="507"/>
      <c r="E553" s="1404"/>
    </row>
    <row r="554" ht="15.75" customHeight="1">
      <c r="A554" s="507"/>
      <c r="B554" s="507"/>
      <c r="C554" s="507"/>
      <c r="D554" s="507"/>
      <c r="E554" s="1404"/>
    </row>
    <row r="555" ht="15.75" customHeight="1">
      <c r="A555" s="507"/>
      <c r="B555" s="507"/>
      <c r="C555" s="507"/>
      <c r="D555" s="507"/>
      <c r="E555" s="1404"/>
    </row>
    <row r="556" ht="15.75" customHeight="1">
      <c r="A556" s="507"/>
      <c r="B556" s="507"/>
      <c r="C556" s="507"/>
      <c r="D556" s="507"/>
      <c r="E556" s="1404"/>
    </row>
    <row r="557" ht="15.75" customHeight="1">
      <c r="A557" s="507"/>
      <c r="B557" s="507"/>
      <c r="C557" s="507"/>
      <c r="D557" s="507"/>
      <c r="E557" s="1404"/>
    </row>
    <row r="558" ht="15.75" customHeight="1">
      <c r="A558" s="507"/>
      <c r="B558" s="507"/>
      <c r="C558" s="507"/>
      <c r="D558" s="507"/>
      <c r="E558" s="1404"/>
    </row>
    <row r="559" ht="15.75" customHeight="1">
      <c r="A559" s="507"/>
      <c r="B559" s="507"/>
      <c r="C559" s="507"/>
      <c r="D559" s="507"/>
      <c r="E559" s="1404"/>
    </row>
    <row r="560" ht="15.75" customHeight="1">
      <c r="A560" s="507"/>
      <c r="B560" s="507"/>
      <c r="C560" s="507"/>
      <c r="D560" s="507"/>
      <c r="E560" s="1404"/>
    </row>
    <row r="561" ht="15.75" customHeight="1">
      <c r="A561" s="507"/>
      <c r="B561" s="507"/>
      <c r="C561" s="507"/>
      <c r="D561" s="507"/>
      <c r="E561" s="1404"/>
    </row>
    <row r="562" ht="15.75" customHeight="1">
      <c r="A562" s="507"/>
      <c r="B562" s="507"/>
      <c r="C562" s="507"/>
      <c r="D562" s="507"/>
      <c r="E562" s="1404"/>
    </row>
    <row r="563" ht="15.75" customHeight="1">
      <c r="A563" s="507"/>
      <c r="B563" s="507"/>
      <c r="C563" s="507"/>
      <c r="D563" s="507"/>
      <c r="E563" s="1404"/>
    </row>
    <row r="564" ht="15.75" customHeight="1">
      <c r="A564" s="507"/>
      <c r="B564" s="507"/>
      <c r="C564" s="507"/>
      <c r="D564" s="507"/>
      <c r="E564" s="1404"/>
    </row>
    <row r="565" ht="15.75" customHeight="1">
      <c r="A565" s="507"/>
      <c r="B565" s="507"/>
      <c r="C565" s="507"/>
      <c r="D565" s="507"/>
      <c r="E565" s="1404"/>
    </row>
    <row r="566" ht="15.75" customHeight="1">
      <c r="A566" s="507"/>
      <c r="B566" s="507"/>
      <c r="C566" s="507"/>
      <c r="D566" s="507"/>
      <c r="E566" s="1404"/>
    </row>
    <row r="567" ht="15.75" customHeight="1">
      <c r="A567" s="507"/>
      <c r="B567" s="507"/>
      <c r="C567" s="507"/>
      <c r="D567" s="507"/>
      <c r="E567" s="1404"/>
    </row>
    <row r="568" ht="15.75" customHeight="1">
      <c r="A568" s="507"/>
      <c r="B568" s="507"/>
      <c r="C568" s="507"/>
      <c r="D568" s="507"/>
      <c r="E568" s="1404"/>
    </row>
    <row r="569" ht="15.75" customHeight="1">
      <c r="A569" s="507"/>
      <c r="B569" s="507"/>
      <c r="C569" s="507"/>
      <c r="D569" s="507"/>
      <c r="E569" s="1404"/>
    </row>
    <row r="570" ht="15.75" customHeight="1">
      <c r="A570" s="507"/>
      <c r="B570" s="507"/>
      <c r="C570" s="507"/>
      <c r="D570" s="507"/>
      <c r="E570" s="1404"/>
    </row>
    <row r="571" ht="15.75" customHeight="1">
      <c r="A571" s="507"/>
      <c r="B571" s="507"/>
      <c r="C571" s="507"/>
      <c r="D571" s="507"/>
      <c r="E571" s="1404"/>
    </row>
    <row r="572" ht="15.75" customHeight="1">
      <c r="A572" s="507"/>
      <c r="B572" s="507"/>
      <c r="C572" s="507"/>
      <c r="D572" s="507"/>
      <c r="E572" s="1404"/>
    </row>
    <row r="573" ht="15.75" customHeight="1">
      <c r="A573" s="507"/>
      <c r="B573" s="507"/>
      <c r="C573" s="507"/>
      <c r="D573" s="507"/>
      <c r="E573" s="1404"/>
    </row>
    <row r="574" ht="15.75" customHeight="1">
      <c r="A574" s="507"/>
      <c r="B574" s="507"/>
      <c r="C574" s="507"/>
      <c r="D574" s="507"/>
      <c r="E574" s="1404"/>
    </row>
    <row r="575" ht="15.75" customHeight="1">
      <c r="A575" s="507"/>
      <c r="B575" s="507"/>
      <c r="C575" s="507"/>
      <c r="D575" s="507"/>
      <c r="E575" s="1404"/>
    </row>
    <row r="576" ht="15.75" customHeight="1">
      <c r="A576" s="507"/>
      <c r="B576" s="507"/>
      <c r="C576" s="507"/>
      <c r="D576" s="507"/>
      <c r="E576" s="1404"/>
    </row>
    <row r="577" ht="15.75" customHeight="1">
      <c r="A577" s="507"/>
      <c r="B577" s="507"/>
      <c r="C577" s="507"/>
      <c r="D577" s="507"/>
      <c r="E577" s="1404"/>
    </row>
    <row r="578" ht="15.75" customHeight="1">
      <c r="A578" s="507"/>
      <c r="B578" s="507"/>
      <c r="C578" s="507"/>
      <c r="D578" s="507"/>
      <c r="E578" s="1404"/>
    </row>
    <row r="579" ht="15.75" customHeight="1">
      <c r="A579" s="507"/>
      <c r="B579" s="507"/>
      <c r="C579" s="507"/>
      <c r="D579" s="507"/>
      <c r="E579" s="1404"/>
    </row>
    <row r="580" ht="15.75" customHeight="1">
      <c r="A580" s="507"/>
      <c r="B580" s="507"/>
      <c r="C580" s="507"/>
      <c r="D580" s="507"/>
      <c r="E580" s="1404"/>
    </row>
    <row r="581" ht="15.75" customHeight="1">
      <c r="A581" s="507"/>
      <c r="B581" s="507"/>
      <c r="C581" s="507"/>
      <c r="D581" s="507"/>
      <c r="E581" s="1404"/>
    </row>
    <row r="582" ht="15.75" customHeight="1">
      <c r="A582" s="507"/>
      <c r="B582" s="507"/>
      <c r="C582" s="507"/>
      <c r="D582" s="507"/>
      <c r="E582" s="1404"/>
    </row>
    <row r="583" ht="15.75" customHeight="1">
      <c r="A583" s="507"/>
      <c r="B583" s="507"/>
      <c r="C583" s="507"/>
      <c r="D583" s="507"/>
      <c r="E583" s="1404"/>
    </row>
    <row r="584" ht="15.75" customHeight="1">
      <c r="A584" s="507"/>
      <c r="B584" s="507"/>
      <c r="C584" s="507"/>
      <c r="D584" s="507"/>
      <c r="E584" s="1404"/>
    </row>
    <row r="585" ht="15.75" customHeight="1">
      <c r="A585" s="507"/>
      <c r="B585" s="507"/>
      <c r="C585" s="507"/>
      <c r="D585" s="507"/>
      <c r="E585" s="1404"/>
    </row>
    <row r="586" ht="15.75" customHeight="1">
      <c r="A586" s="507"/>
      <c r="B586" s="507"/>
      <c r="C586" s="507"/>
      <c r="D586" s="507"/>
      <c r="E586" s="1404"/>
    </row>
    <row r="587" ht="15.75" customHeight="1">
      <c r="A587" s="507"/>
      <c r="B587" s="507"/>
      <c r="C587" s="507"/>
      <c r="D587" s="507"/>
      <c r="E587" s="1404"/>
    </row>
    <row r="588" ht="15.75" customHeight="1">
      <c r="A588" s="507"/>
      <c r="B588" s="507"/>
      <c r="C588" s="507"/>
      <c r="D588" s="507"/>
      <c r="E588" s="1404"/>
    </row>
    <row r="589" ht="15.75" customHeight="1">
      <c r="A589" s="507"/>
      <c r="B589" s="507"/>
      <c r="C589" s="507"/>
      <c r="D589" s="507"/>
      <c r="E589" s="1404"/>
    </row>
    <row r="590" ht="15.75" customHeight="1">
      <c r="A590" s="507"/>
      <c r="B590" s="507"/>
      <c r="C590" s="507"/>
      <c r="D590" s="507"/>
      <c r="E590" s="1404"/>
    </row>
    <row r="591" ht="15.75" customHeight="1">
      <c r="A591" s="507"/>
      <c r="B591" s="507"/>
      <c r="C591" s="507"/>
      <c r="D591" s="507"/>
      <c r="E591" s="1404"/>
    </row>
    <row r="592" ht="15.75" customHeight="1">
      <c r="A592" s="507"/>
      <c r="B592" s="507"/>
      <c r="C592" s="507"/>
      <c r="D592" s="507"/>
      <c r="E592" s="1404"/>
    </row>
    <row r="593" ht="15.75" customHeight="1">
      <c r="A593" s="507"/>
      <c r="B593" s="507"/>
      <c r="C593" s="507"/>
      <c r="D593" s="507"/>
      <c r="E593" s="1404"/>
    </row>
    <row r="594" ht="15.75" customHeight="1">
      <c r="A594" s="507"/>
      <c r="B594" s="507"/>
      <c r="C594" s="507"/>
      <c r="D594" s="507"/>
      <c r="E594" s="1404"/>
    </row>
    <row r="595" ht="15.75" customHeight="1">
      <c r="A595" s="507"/>
      <c r="B595" s="507"/>
      <c r="C595" s="507"/>
      <c r="D595" s="507"/>
      <c r="E595" s="1404"/>
    </row>
    <row r="596" ht="15.75" customHeight="1">
      <c r="A596" s="507"/>
      <c r="B596" s="507"/>
      <c r="C596" s="507"/>
      <c r="D596" s="507"/>
      <c r="E596" s="1404"/>
    </row>
    <row r="597" ht="15.75" customHeight="1">
      <c r="A597" s="507"/>
      <c r="B597" s="507"/>
      <c r="C597" s="507"/>
      <c r="D597" s="507"/>
      <c r="E597" s="1404"/>
    </row>
    <row r="598" ht="15.75" customHeight="1">
      <c r="A598" s="507"/>
      <c r="B598" s="507"/>
      <c r="C598" s="507"/>
      <c r="D598" s="507"/>
      <c r="E598" s="1404"/>
    </row>
    <row r="599" ht="15.75" customHeight="1">
      <c r="A599" s="507"/>
      <c r="B599" s="507"/>
      <c r="C599" s="507"/>
      <c r="D599" s="507"/>
      <c r="E599" s="1404"/>
    </row>
    <row r="600" ht="15.75" customHeight="1">
      <c r="A600" s="507"/>
      <c r="B600" s="507"/>
      <c r="C600" s="507"/>
      <c r="D600" s="507"/>
      <c r="E600" s="1404"/>
    </row>
    <row r="601" ht="15.75" customHeight="1">
      <c r="A601" s="507"/>
      <c r="B601" s="507"/>
      <c r="C601" s="507"/>
      <c r="D601" s="507"/>
      <c r="E601" s="1404"/>
    </row>
    <row r="602" ht="15.75" customHeight="1">
      <c r="A602" s="507"/>
      <c r="B602" s="507"/>
      <c r="C602" s="507"/>
      <c r="D602" s="507"/>
      <c r="E602" s="1404"/>
    </row>
    <row r="603" ht="15.75" customHeight="1">
      <c r="A603" s="507"/>
      <c r="B603" s="507"/>
      <c r="C603" s="507"/>
      <c r="D603" s="507"/>
      <c r="E603" s="1404"/>
    </row>
    <row r="604" ht="15.75" customHeight="1">
      <c r="A604" s="507"/>
      <c r="B604" s="507"/>
      <c r="C604" s="507"/>
      <c r="D604" s="507"/>
      <c r="E604" s="1404"/>
    </row>
    <row r="605" ht="15.75" customHeight="1">
      <c r="A605" s="507"/>
      <c r="B605" s="507"/>
      <c r="C605" s="507"/>
      <c r="D605" s="507"/>
      <c r="E605" s="1404"/>
    </row>
    <row r="606" ht="15.75" customHeight="1">
      <c r="A606" s="507"/>
      <c r="B606" s="507"/>
      <c r="C606" s="507"/>
      <c r="D606" s="507"/>
      <c r="E606" s="1404"/>
    </row>
    <row r="607" ht="15.75" customHeight="1">
      <c r="A607" s="507"/>
      <c r="B607" s="507"/>
      <c r="C607" s="507"/>
      <c r="D607" s="507"/>
      <c r="E607" s="1404"/>
    </row>
    <row r="608" ht="15.75" customHeight="1">
      <c r="A608" s="507"/>
      <c r="B608" s="507"/>
      <c r="C608" s="507"/>
      <c r="D608" s="507"/>
      <c r="E608" s="1404"/>
    </row>
    <row r="609" ht="15.75" customHeight="1">
      <c r="A609" s="507"/>
      <c r="B609" s="507"/>
      <c r="C609" s="507"/>
      <c r="D609" s="507"/>
      <c r="E609" s="1404"/>
    </row>
    <row r="610" ht="15.75" customHeight="1">
      <c r="A610" s="507"/>
      <c r="B610" s="507"/>
      <c r="C610" s="507"/>
      <c r="D610" s="507"/>
      <c r="E610" s="1404"/>
    </row>
    <row r="611" ht="15.75" customHeight="1">
      <c r="A611" s="507"/>
      <c r="B611" s="507"/>
      <c r="C611" s="507"/>
      <c r="D611" s="507"/>
      <c r="E611" s="1404"/>
    </row>
    <row r="612" ht="15.75" customHeight="1">
      <c r="A612" s="507"/>
      <c r="B612" s="507"/>
      <c r="C612" s="507"/>
      <c r="D612" s="507"/>
      <c r="E612" s="1404"/>
    </row>
    <row r="613" ht="15.75" customHeight="1">
      <c r="A613" s="507"/>
      <c r="B613" s="507"/>
      <c r="C613" s="507"/>
      <c r="D613" s="507"/>
      <c r="E613" s="1404"/>
    </row>
    <row r="614" ht="15.75" customHeight="1">
      <c r="A614" s="507"/>
      <c r="B614" s="507"/>
      <c r="C614" s="507"/>
      <c r="D614" s="507"/>
      <c r="E614" s="1404"/>
    </row>
    <row r="615" ht="15.75" customHeight="1">
      <c r="A615" s="507"/>
      <c r="B615" s="507"/>
      <c r="C615" s="507"/>
      <c r="D615" s="507"/>
      <c r="E615" s="1404"/>
    </row>
    <row r="616" ht="15.75" customHeight="1">
      <c r="A616" s="507"/>
      <c r="B616" s="507"/>
      <c r="C616" s="507"/>
      <c r="D616" s="507"/>
      <c r="E616" s="1404"/>
    </row>
    <row r="617" ht="15.75" customHeight="1">
      <c r="A617" s="507"/>
      <c r="B617" s="507"/>
      <c r="C617" s="507"/>
      <c r="D617" s="507"/>
      <c r="E617" s="1404"/>
    </row>
    <row r="618" ht="15.75" customHeight="1">
      <c r="A618" s="507"/>
      <c r="B618" s="507"/>
      <c r="C618" s="507"/>
      <c r="D618" s="507"/>
      <c r="E618" s="1404"/>
    </row>
    <row r="619" ht="15.75" customHeight="1">
      <c r="A619" s="507"/>
      <c r="B619" s="507"/>
      <c r="C619" s="507"/>
      <c r="D619" s="507"/>
      <c r="E619" s="1404"/>
    </row>
    <row r="620" ht="15.75" customHeight="1">
      <c r="A620" s="507"/>
      <c r="B620" s="507"/>
      <c r="C620" s="507"/>
      <c r="D620" s="507"/>
      <c r="E620" s="1404"/>
    </row>
    <row r="621" ht="15.75" customHeight="1">
      <c r="A621" s="507"/>
      <c r="B621" s="507"/>
      <c r="C621" s="507"/>
      <c r="D621" s="507"/>
      <c r="E621" s="1404"/>
    </row>
    <row r="622" ht="15.75" customHeight="1">
      <c r="A622" s="507"/>
      <c r="B622" s="507"/>
      <c r="C622" s="507"/>
      <c r="D622" s="507"/>
      <c r="E622" s="1404"/>
    </row>
    <row r="623" ht="15.75" customHeight="1">
      <c r="A623" s="507"/>
      <c r="B623" s="507"/>
      <c r="C623" s="507"/>
      <c r="D623" s="507"/>
      <c r="E623" s="1404"/>
    </row>
    <row r="624" ht="15.75" customHeight="1">
      <c r="A624" s="507"/>
      <c r="B624" s="507"/>
      <c r="C624" s="507"/>
      <c r="D624" s="507"/>
      <c r="E624" s="1404"/>
    </row>
    <row r="625" ht="15.75" customHeight="1">
      <c r="A625" s="507"/>
      <c r="B625" s="507"/>
      <c r="C625" s="507"/>
      <c r="D625" s="507"/>
      <c r="E625" s="1404"/>
    </row>
    <row r="626" ht="15.75" customHeight="1">
      <c r="A626" s="507"/>
      <c r="B626" s="507"/>
      <c r="C626" s="507"/>
      <c r="D626" s="507"/>
      <c r="E626" s="1404"/>
    </row>
    <row r="627" ht="15.75" customHeight="1">
      <c r="A627" s="507"/>
      <c r="B627" s="507"/>
      <c r="C627" s="507"/>
      <c r="D627" s="507"/>
      <c r="E627" s="1404"/>
    </row>
    <row r="628" ht="15.75" customHeight="1">
      <c r="A628" s="507"/>
      <c r="B628" s="507"/>
      <c r="C628" s="507"/>
      <c r="D628" s="507"/>
      <c r="E628" s="1404"/>
    </row>
    <row r="629" ht="15.75" customHeight="1">
      <c r="A629" s="507"/>
      <c r="B629" s="507"/>
      <c r="C629" s="507"/>
      <c r="D629" s="507"/>
      <c r="E629" s="1404"/>
    </row>
    <row r="630" ht="15.75" customHeight="1">
      <c r="A630" s="507"/>
      <c r="B630" s="507"/>
      <c r="C630" s="507"/>
      <c r="D630" s="507"/>
      <c r="E630" s="1404"/>
    </row>
    <row r="631" ht="15.75" customHeight="1">
      <c r="A631" s="507"/>
      <c r="B631" s="507"/>
      <c r="C631" s="507"/>
      <c r="D631" s="507"/>
      <c r="E631" s="1404"/>
    </row>
    <row r="632" ht="15.75" customHeight="1">
      <c r="A632" s="507"/>
      <c r="B632" s="507"/>
      <c r="C632" s="507"/>
      <c r="D632" s="507"/>
      <c r="E632" s="1404"/>
    </row>
    <row r="633" ht="15.75" customHeight="1">
      <c r="A633" s="507"/>
      <c r="B633" s="507"/>
      <c r="C633" s="507"/>
      <c r="D633" s="507"/>
      <c r="E633" s="1404"/>
    </row>
    <row r="634" ht="15.75" customHeight="1">
      <c r="A634" s="507"/>
      <c r="B634" s="507"/>
      <c r="C634" s="507"/>
      <c r="D634" s="507"/>
      <c r="E634" s="1404"/>
    </row>
    <row r="635" ht="15.75" customHeight="1">
      <c r="A635" s="507"/>
      <c r="B635" s="507"/>
      <c r="C635" s="507"/>
      <c r="D635" s="507"/>
      <c r="E635" s="1404"/>
    </row>
    <row r="636" ht="15.75" customHeight="1">
      <c r="A636" s="507"/>
      <c r="B636" s="507"/>
      <c r="C636" s="507"/>
      <c r="D636" s="507"/>
      <c r="E636" s="1404"/>
    </row>
    <row r="637" ht="15.75" customHeight="1">
      <c r="A637" s="507"/>
      <c r="B637" s="507"/>
      <c r="C637" s="507"/>
      <c r="D637" s="507"/>
      <c r="E637" s="1404"/>
    </row>
    <row r="638" ht="15.75" customHeight="1">
      <c r="A638" s="507"/>
      <c r="B638" s="507"/>
      <c r="C638" s="507"/>
      <c r="D638" s="507"/>
      <c r="E638" s="1404"/>
    </row>
    <row r="639" ht="15.75" customHeight="1">
      <c r="A639" s="507"/>
      <c r="B639" s="507"/>
      <c r="C639" s="507"/>
      <c r="D639" s="507"/>
      <c r="E639" s="1404"/>
    </row>
    <row r="640" ht="15.75" customHeight="1">
      <c r="A640" s="507"/>
      <c r="B640" s="507"/>
      <c r="C640" s="507"/>
      <c r="D640" s="507"/>
      <c r="E640" s="1404"/>
    </row>
    <row r="641" ht="15.75" customHeight="1">
      <c r="A641" s="507"/>
      <c r="B641" s="507"/>
      <c r="C641" s="507"/>
      <c r="D641" s="507"/>
      <c r="E641" s="1404"/>
    </row>
    <row r="642" ht="15.75" customHeight="1">
      <c r="A642" s="507"/>
      <c r="B642" s="507"/>
      <c r="C642" s="507"/>
      <c r="D642" s="507"/>
      <c r="E642" s="1404"/>
    </row>
    <row r="643" ht="15.75" customHeight="1">
      <c r="A643" s="507"/>
      <c r="B643" s="507"/>
      <c r="C643" s="507"/>
      <c r="D643" s="507"/>
      <c r="E643" s="1404"/>
    </row>
    <row r="644" ht="15.75" customHeight="1">
      <c r="A644" s="507"/>
      <c r="B644" s="507"/>
      <c r="C644" s="507"/>
      <c r="D644" s="507"/>
      <c r="E644" s="1404"/>
    </row>
    <row r="645" ht="15.75" customHeight="1">
      <c r="A645" s="507"/>
      <c r="B645" s="507"/>
      <c r="C645" s="507"/>
      <c r="D645" s="507"/>
      <c r="E645" s="1404"/>
    </row>
    <row r="646" ht="15.75" customHeight="1">
      <c r="A646" s="507"/>
      <c r="B646" s="507"/>
      <c r="C646" s="507"/>
      <c r="D646" s="507"/>
      <c r="E646" s="1404"/>
    </row>
    <row r="647" ht="15.75" customHeight="1">
      <c r="A647" s="507"/>
      <c r="B647" s="507"/>
      <c r="C647" s="507"/>
      <c r="D647" s="507"/>
      <c r="E647" s="1404"/>
    </row>
    <row r="648" ht="15.75" customHeight="1">
      <c r="A648" s="507"/>
      <c r="B648" s="507"/>
      <c r="C648" s="507"/>
      <c r="D648" s="507"/>
      <c r="E648" s="1404"/>
    </row>
    <row r="649" ht="15.75" customHeight="1">
      <c r="A649" s="507"/>
      <c r="B649" s="507"/>
      <c r="C649" s="507"/>
      <c r="D649" s="507"/>
      <c r="E649" s="1404"/>
    </row>
    <row r="650" ht="15.75" customHeight="1">
      <c r="A650" s="507"/>
      <c r="B650" s="507"/>
      <c r="C650" s="507"/>
      <c r="D650" s="507"/>
      <c r="E650" s="1404"/>
    </row>
    <row r="651" ht="15.75" customHeight="1">
      <c r="A651" s="507"/>
      <c r="B651" s="507"/>
      <c r="C651" s="507"/>
      <c r="D651" s="507"/>
      <c r="E651" s="1404"/>
    </row>
    <row r="652" ht="15.75" customHeight="1">
      <c r="A652" s="507"/>
      <c r="B652" s="507"/>
      <c r="C652" s="507"/>
      <c r="D652" s="507"/>
      <c r="E652" s="1404"/>
    </row>
    <row r="653" ht="15.75" customHeight="1">
      <c r="A653" s="507"/>
      <c r="B653" s="507"/>
      <c r="C653" s="507"/>
      <c r="D653" s="507"/>
      <c r="E653" s="1404"/>
    </row>
    <row r="654" ht="15.75" customHeight="1">
      <c r="A654" s="507"/>
      <c r="B654" s="507"/>
      <c r="C654" s="507"/>
      <c r="D654" s="507"/>
      <c r="E654" s="1404"/>
    </row>
    <row r="655" ht="15.75" customHeight="1">
      <c r="A655" s="507"/>
      <c r="B655" s="507"/>
      <c r="C655" s="507"/>
      <c r="D655" s="507"/>
      <c r="E655" s="1404"/>
    </row>
    <row r="656" ht="15.75" customHeight="1">
      <c r="A656" s="507"/>
      <c r="B656" s="507"/>
      <c r="C656" s="507"/>
      <c r="D656" s="507"/>
      <c r="E656" s="1404"/>
    </row>
    <row r="657" ht="15.75" customHeight="1">
      <c r="A657" s="507"/>
      <c r="B657" s="507"/>
      <c r="C657" s="507"/>
      <c r="D657" s="507"/>
      <c r="E657" s="1404"/>
    </row>
    <row r="658" ht="15.75" customHeight="1">
      <c r="A658" s="507"/>
      <c r="B658" s="507"/>
      <c r="C658" s="507"/>
      <c r="D658" s="507"/>
      <c r="E658" s="1404"/>
    </row>
    <row r="659" ht="15.75" customHeight="1">
      <c r="A659" s="507"/>
      <c r="B659" s="507"/>
      <c r="C659" s="507"/>
      <c r="D659" s="507"/>
      <c r="E659" s="1404"/>
    </row>
    <row r="660" ht="15.75" customHeight="1">
      <c r="A660" s="507"/>
      <c r="B660" s="507"/>
      <c r="C660" s="507"/>
      <c r="D660" s="507"/>
      <c r="E660" s="1404"/>
    </row>
    <row r="661" ht="15.75" customHeight="1">
      <c r="A661" s="507"/>
      <c r="B661" s="507"/>
      <c r="C661" s="507"/>
      <c r="D661" s="507"/>
      <c r="E661" s="1404"/>
    </row>
    <row r="662" ht="15.75" customHeight="1">
      <c r="A662" s="507"/>
      <c r="B662" s="507"/>
      <c r="C662" s="507"/>
      <c r="D662" s="507"/>
      <c r="E662" s="1404"/>
    </row>
    <row r="663" ht="15.75" customHeight="1">
      <c r="A663" s="507"/>
      <c r="B663" s="507"/>
      <c r="C663" s="507"/>
      <c r="D663" s="507"/>
      <c r="E663" s="1404"/>
    </row>
    <row r="664" ht="15.75" customHeight="1">
      <c r="A664" s="507"/>
      <c r="B664" s="507"/>
      <c r="C664" s="507"/>
      <c r="D664" s="507"/>
      <c r="E664" s="1404"/>
    </row>
    <row r="665" ht="15.75" customHeight="1">
      <c r="A665" s="507"/>
      <c r="B665" s="507"/>
      <c r="C665" s="507"/>
      <c r="D665" s="507"/>
      <c r="E665" s="1404"/>
    </row>
    <row r="666" ht="15.75" customHeight="1">
      <c r="A666" s="507"/>
      <c r="B666" s="507"/>
      <c r="C666" s="507"/>
      <c r="D666" s="507"/>
      <c r="E666" s="1404"/>
    </row>
    <row r="667" ht="15.75" customHeight="1">
      <c r="A667" s="507"/>
      <c r="B667" s="507"/>
      <c r="C667" s="507"/>
      <c r="D667" s="507"/>
      <c r="E667" s="1404"/>
    </row>
    <row r="668" ht="15.75" customHeight="1">
      <c r="A668" s="507"/>
      <c r="B668" s="507"/>
      <c r="C668" s="507"/>
      <c r="D668" s="507"/>
      <c r="E668" s="1404"/>
    </row>
    <row r="669" ht="15.75" customHeight="1">
      <c r="A669" s="507"/>
      <c r="B669" s="507"/>
      <c r="C669" s="507"/>
      <c r="D669" s="507"/>
      <c r="E669" s="1404"/>
    </row>
    <row r="670" ht="15.75" customHeight="1">
      <c r="A670" s="507"/>
      <c r="B670" s="507"/>
      <c r="C670" s="507"/>
      <c r="D670" s="507"/>
      <c r="E670" s="1404"/>
    </row>
    <row r="671" ht="15.75" customHeight="1">
      <c r="A671" s="507"/>
      <c r="B671" s="507"/>
      <c r="C671" s="507"/>
      <c r="D671" s="507"/>
      <c r="E671" s="1404"/>
    </row>
    <row r="672" ht="15.75" customHeight="1">
      <c r="A672" s="507"/>
      <c r="B672" s="507"/>
      <c r="C672" s="507"/>
      <c r="D672" s="507"/>
      <c r="E672" s="1404"/>
    </row>
    <row r="673" ht="15.75" customHeight="1">
      <c r="A673" s="507"/>
      <c r="B673" s="507"/>
      <c r="C673" s="507"/>
      <c r="D673" s="507"/>
      <c r="E673" s="1404"/>
    </row>
    <row r="674" ht="15.75" customHeight="1">
      <c r="A674" s="507"/>
      <c r="B674" s="507"/>
      <c r="C674" s="507"/>
      <c r="D674" s="507"/>
      <c r="E674" s="1404"/>
    </row>
    <row r="675" ht="15.75" customHeight="1">
      <c r="A675" s="507"/>
      <c r="B675" s="507"/>
      <c r="C675" s="507"/>
      <c r="D675" s="507"/>
      <c r="E675" s="1404"/>
    </row>
    <row r="676" ht="15.75" customHeight="1">
      <c r="A676" s="507"/>
      <c r="B676" s="507"/>
      <c r="C676" s="507"/>
      <c r="D676" s="507"/>
      <c r="E676" s="1404"/>
    </row>
    <row r="677" ht="15.75" customHeight="1">
      <c r="A677" s="507"/>
      <c r="B677" s="507"/>
      <c r="C677" s="507"/>
      <c r="D677" s="507"/>
      <c r="E677" s="1404"/>
    </row>
    <row r="678" ht="15.75" customHeight="1">
      <c r="A678" s="507"/>
      <c r="B678" s="507"/>
      <c r="C678" s="507"/>
      <c r="D678" s="507"/>
      <c r="E678" s="1404"/>
    </row>
    <row r="679" ht="15.75" customHeight="1">
      <c r="A679" s="507"/>
      <c r="B679" s="507"/>
      <c r="C679" s="507"/>
      <c r="D679" s="507"/>
      <c r="E679" s="1404"/>
    </row>
    <row r="680" ht="15.75" customHeight="1">
      <c r="A680" s="507"/>
      <c r="B680" s="507"/>
      <c r="C680" s="507"/>
      <c r="D680" s="507"/>
      <c r="E680" s="1404"/>
    </row>
    <row r="681" ht="15.75" customHeight="1">
      <c r="A681" s="507"/>
      <c r="B681" s="507"/>
      <c r="C681" s="507"/>
      <c r="D681" s="507"/>
      <c r="E681" s="1404"/>
    </row>
    <row r="682" ht="15.75" customHeight="1">
      <c r="A682" s="507"/>
      <c r="B682" s="507"/>
      <c r="C682" s="507"/>
      <c r="D682" s="507"/>
      <c r="E682" s="1404"/>
    </row>
    <row r="683" ht="15.75" customHeight="1">
      <c r="A683" s="507"/>
      <c r="B683" s="507"/>
      <c r="C683" s="507"/>
      <c r="D683" s="507"/>
      <c r="E683" s="1404"/>
    </row>
    <row r="684" ht="15.75" customHeight="1">
      <c r="A684" s="507"/>
      <c r="B684" s="507"/>
      <c r="C684" s="507"/>
      <c r="D684" s="507"/>
      <c r="E684" s="1404"/>
    </row>
    <row r="685" ht="15.75" customHeight="1">
      <c r="A685" s="507"/>
      <c r="B685" s="507"/>
      <c r="C685" s="507"/>
      <c r="D685" s="507"/>
      <c r="E685" s="1404"/>
    </row>
    <row r="686" ht="15.75" customHeight="1">
      <c r="A686" s="507"/>
      <c r="B686" s="507"/>
      <c r="C686" s="507"/>
      <c r="D686" s="507"/>
      <c r="E686" s="1404"/>
    </row>
    <row r="687" ht="15.75" customHeight="1">
      <c r="A687" s="507"/>
      <c r="B687" s="507"/>
      <c r="C687" s="507"/>
      <c r="D687" s="507"/>
      <c r="E687" s="1404"/>
    </row>
    <row r="688" ht="15.75" customHeight="1">
      <c r="A688" s="507"/>
      <c r="B688" s="507"/>
      <c r="C688" s="507"/>
      <c r="D688" s="507"/>
      <c r="E688" s="1404"/>
    </row>
    <row r="689" ht="15.75" customHeight="1">
      <c r="A689" s="507"/>
      <c r="B689" s="507"/>
      <c r="C689" s="507"/>
      <c r="D689" s="507"/>
      <c r="E689" s="1404"/>
    </row>
    <row r="690" ht="15.75" customHeight="1">
      <c r="A690" s="507"/>
      <c r="B690" s="507"/>
      <c r="C690" s="507"/>
      <c r="D690" s="507"/>
      <c r="E690" s="1404"/>
    </row>
    <row r="691" ht="15.75" customHeight="1">
      <c r="A691" s="507"/>
      <c r="B691" s="507"/>
      <c r="C691" s="507"/>
      <c r="D691" s="507"/>
      <c r="E691" s="1404"/>
    </row>
    <row r="692" ht="15.75" customHeight="1">
      <c r="A692" s="507"/>
      <c r="B692" s="507"/>
      <c r="C692" s="507"/>
      <c r="D692" s="507"/>
      <c r="E692" s="1404"/>
    </row>
    <row r="693" ht="15.75" customHeight="1">
      <c r="A693" s="507"/>
      <c r="B693" s="507"/>
      <c r="C693" s="507"/>
      <c r="D693" s="507"/>
      <c r="E693" s="1404"/>
    </row>
    <row r="694" ht="15.75" customHeight="1">
      <c r="A694" s="507"/>
      <c r="B694" s="507"/>
      <c r="C694" s="507"/>
      <c r="D694" s="507"/>
      <c r="E694" s="1404"/>
    </row>
    <row r="695" ht="15.75" customHeight="1">
      <c r="A695" s="507"/>
      <c r="B695" s="507"/>
      <c r="C695" s="507"/>
      <c r="D695" s="507"/>
      <c r="E695" s="1404"/>
    </row>
    <row r="696" ht="15.75" customHeight="1">
      <c r="A696" s="507"/>
      <c r="B696" s="507"/>
      <c r="C696" s="507"/>
      <c r="D696" s="507"/>
      <c r="E696" s="1404"/>
    </row>
    <row r="697" ht="15.75" customHeight="1">
      <c r="A697" s="507"/>
      <c r="B697" s="507"/>
      <c r="C697" s="507"/>
      <c r="D697" s="507"/>
      <c r="E697" s="1404"/>
    </row>
    <row r="698" ht="15.75" customHeight="1">
      <c r="A698" s="507"/>
      <c r="B698" s="507"/>
      <c r="C698" s="507"/>
      <c r="D698" s="507"/>
      <c r="E698" s="1404"/>
    </row>
    <row r="699" ht="15.75" customHeight="1">
      <c r="A699" s="507"/>
      <c r="B699" s="507"/>
      <c r="C699" s="507"/>
      <c r="D699" s="507"/>
      <c r="E699" s="1404"/>
    </row>
    <row r="700" ht="15.75" customHeight="1">
      <c r="A700" s="507"/>
      <c r="B700" s="507"/>
      <c r="C700" s="507"/>
      <c r="D700" s="507"/>
      <c r="E700" s="1404"/>
    </row>
    <row r="701" ht="15.75" customHeight="1">
      <c r="A701" s="507"/>
      <c r="B701" s="507"/>
      <c r="C701" s="507"/>
      <c r="D701" s="507"/>
      <c r="E701" s="1404"/>
    </row>
    <row r="702" ht="15.75" customHeight="1">
      <c r="A702" s="507"/>
      <c r="B702" s="507"/>
      <c r="C702" s="507"/>
      <c r="D702" s="507"/>
      <c r="E702" s="1404"/>
    </row>
    <row r="703" ht="15.75" customHeight="1">
      <c r="A703" s="507"/>
      <c r="B703" s="507"/>
      <c r="C703" s="507"/>
      <c r="D703" s="507"/>
      <c r="E703" s="1404"/>
    </row>
    <row r="704" ht="15.75" customHeight="1">
      <c r="A704" s="507"/>
      <c r="B704" s="507"/>
      <c r="C704" s="507"/>
      <c r="D704" s="507"/>
      <c r="E704" s="1404"/>
    </row>
    <row r="705" ht="15.75" customHeight="1">
      <c r="A705" s="507"/>
      <c r="B705" s="507"/>
      <c r="C705" s="507"/>
      <c r="D705" s="507"/>
      <c r="E705" s="1404"/>
    </row>
    <row r="706" ht="15.75" customHeight="1">
      <c r="A706" s="507"/>
      <c r="B706" s="507"/>
      <c r="C706" s="507"/>
      <c r="D706" s="507"/>
      <c r="E706" s="1404"/>
    </row>
    <row r="707" ht="15.75" customHeight="1">
      <c r="A707" s="507"/>
      <c r="B707" s="507"/>
      <c r="C707" s="507"/>
      <c r="D707" s="507"/>
      <c r="E707" s="1404"/>
    </row>
    <row r="708" ht="15.75" customHeight="1">
      <c r="A708" s="507"/>
      <c r="B708" s="507"/>
      <c r="C708" s="507"/>
      <c r="D708" s="507"/>
      <c r="E708" s="1404"/>
    </row>
    <row r="709" ht="15.75" customHeight="1">
      <c r="A709" s="507"/>
      <c r="B709" s="507"/>
      <c r="C709" s="507"/>
      <c r="D709" s="507"/>
      <c r="E709" s="1404"/>
    </row>
    <row r="710" ht="15.75" customHeight="1">
      <c r="A710" s="507"/>
      <c r="B710" s="507"/>
      <c r="C710" s="507"/>
      <c r="D710" s="507"/>
      <c r="E710" s="1404"/>
    </row>
    <row r="711" ht="15.75" customHeight="1">
      <c r="A711" s="507"/>
      <c r="B711" s="507"/>
      <c r="C711" s="507"/>
      <c r="D711" s="507"/>
      <c r="E711" s="1404"/>
    </row>
    <row r="712" ht="15.75" customHeight="1">
      <c r="A712" s="507"/>
      <c r="B712" s="507"/>
      <c r="C712" s="507"/>
      <c r="D712" s="507"/>
      <c r="E712" s="1404"/>
    </row>
    <row r="713" ht="15.75" customHeight="1">
      <c r="A713" s="507"/>
      <c r="B713" s="507"/>
      <c r="C713" s="507"/>
      <c r="D713" s="507"/>
      <c r="E713" s="1404"/>
    </row>
    <row r="714" ht="15.75" customHeight="1">
      <c r="A714" s="507"/>
      <c r="B714" s="507"/>
      <c r="C714" s="507"/>
      <c r="D714" s="507"/>
      <c r="E714" s="1404"/>
    </row>
    <row r="715" ht="15.75" customHeight="1">
      <c r="A715" s="507"/>
      <c r="B715" s="507"/>
      <c r="C715" s="507"/>
      <c r="D715" s="507"/>
      <c r="E715" s="1404"/>
    </row>
    <row r="716" ht="15.75" customHeight="1">
      <c r="A716" s="507"/>
      <c r="B716" s="507"/>
      <c r="C716" s="507"/>
      <c r="D716" s="507"/>
      <c r="E716" s="1404"/>
    </row>
    <row r="717" ht="15.75" customHeight="1">
      <c r="A717" s="507"/>
      <c r="B717" s="507"/>
      <c r="C717" s="507"/>
      <c r="D717" s="507"/>
      <c r="E717" s="1404"/>
    </row>
    <row r="718" ht="15.75" customHeight="1">
      <c r="A718" s="507"/>
      <c r="B718" s="507"/>
      <c r="C718" s="507"/>
      <c r="D718" s="507"/>
      <c r="E718" s="1404"/>
    </row>
    <row r="719" ht="15.75" customHeight="1">
      <c r="A719" s="507"/>
      <c r="B719" s="507"/>
      <c r="C719" s="507"/>
      <c r="D719" s="507"/>
      <c r="E719" s="1404"/>
    </row>
    <row r="720" ht="15.75" customHeight="1">
      <c r="A720" s="507"/>
      <c r="B720" s="507"/>
      <c r="C720" s="507"/>
      <c r="D720" s="507"/>
      <c r="E720" s="1404"/>
    </row>
    <row r="721" ht="15.75" customHeight="1">
      <c r="A721" s="507"/>
      <c r="B721" s="507"/>
      <c r="C721" s="507"/>
      <c r="D721" s="507"/>
      <c r="E721" s="1404"/>
    </row>
    <row r="722" ht="15.75" customHeight="1">
      <c r="A722" s="507"/>
      <c r="B722" s="507"/>
      <c r="C722" s="507"/>
      <c r="D722" s="507"/>
      <c r="E722" s="1404"/>
    </row>
    <row r="723" ht="15.75" customHeight="1">
      <c r="A723" s="507"/>
      <c r="B723" s="507"/>
      <c r="C723" s="507"/>
      <c r="D723" s="507"/>
      <c r="E723" s="1404"/>
    </row>
    <row r="724" ht="15.75" customHeight="1">
      <c r="A724" s="507"/>
      <c r="B724" s="507"/>
      <c r="C724" s="507"/>
      <c r="D724" s="507"/>
      <c r="E724" s="1404"/>
    </row>
    <row r="725" ht="15.75" customHeight="1">
      <c r="A725" s="507"/>
      <c r="B725" s="507"/>
      <c r="C725" s="507"/>
      <c r="D725" s="507"/>
      <c r="E725" s="1404"/>
    </row>
    <row r="726" ht="15.75" customHeight="1">
      <c r="A726" s="507"/>
      <c r="B726" s="507"/>
      <c r="C726" s="507"/>
      <c r="D726" s="507"/>
      <c r="E726" s="1404"/>
    </row>
    <row r="727" ht="15.75" customHeight="1">
      <c r="A727" s="507"/>
      <c r="B727" s="507"/>
      <c r="C727" s="507"/>
      <c r="D727" s="507"/>
      <c r="E727" s="1404"/>
    </row>
    <row r="728" ht="15.75" customHeight="1">
      <c r="A728" s="507"/>
      <c r="B728" s="507"/>
      <c r="C728" s="507"/>
      <c r="D728" s="507"/>
      <c r="E728" s="1404"/>
    </row>
    <row r="729" ht="15.75" customHeight="1">
      <c r="A729" s="507"/>
      <c r="B729" s="507"/>
      <c r="C729" s="507"/>
      <c r="D729" s="507"/>
      <c r="E729" s="1404"/>
    </row>
    <row r="730" ht="15.75" customHeight="1">
      <c r="A730" s="507"/>
      <c r="B730" s="507"/>
      <c r="C730" s="507"/>
      <c r="D730" s="507"/>
      <c r="E730" s="1404"/>
    </row>
    <row r="731" ht="15.75" customHeight="1">
      <c r="A731" s="507"/>
      <c r="B731" s="507"/>
      <c r="C731" s="507"/>
      <c r="D731" s="507"/>
      <c r="E731" s="1404"/>
    </row>
    <row r="732" ht="15.75" customHeight="1">
      <c r="A732" s="507"/>
      <c r="B732" s="507"/>
      <c r="C732" s="507"/>
      <c r="D732" s="507"/>
      <c r="E732" s="1404"/>
    </row>
    <row r="733" ht="15.75" customHeight="1">
      <c r="A733" s="507"/>
      <c r="B733" s="507"/>
      <c r="C733" s="507"/>
      <c r="D733" s="507"/>
      <c r="E733" s="1404"/>
    </row>
    <row r="734" ht="15.75" customHeight="1">
      <c r="A734" s="507"/>
      <c r="B734" s="507"/>
      <c r="C734" s="507"/>
      <c r="D734" s="507"/>
      <c r="E734" s="1404"/>
    </row>
    <row r="735" ht="15.75" customHeight="1">
      <c r="A735" s="507"/>
      <c r="B735" s="507"/>
      <c r="C735" s="507"/>
      <c r="D735" s="507"/>
      <c r="E735" s="1404"/>
    </row>
    <row r="736" ht="15.75" customHeight="1">
      <c r="A736" s="507"/>
      <c r="B736" s="507"/>
      <c r="C736" s="507"/>
      <c r="D736" s="507"/>
      <c r="E736" s="1404"/>
    </row>
    <row r="737" ht="15.75" customHeight="1">
      <c r="A737" s="507"/>
      <c r="B737" s="507"/>
      <c r="C737" s="507"/>
      <c r="D737" s="507"/>
      <c r="E737" s="1404"/>
    </row>
    <row r="738" ht="15.75" customHeight="1">
      <c r="A738" s="507"/>
      <c r="B738" s="507"/>
      <c r="C738" s="507"/>
      <c r="D738" s="507"/>
      <c r="E738" s="1404"/>
    </row>
    <row r="739" ht="15.75" customHeight="1">
      <c r="A739" s="507"/>
      <c r="B739" s="507"/>
      <c r="C739" s="507"/>
      <c r="D739" s="507"/>
      <c r="E739" s="1404"/>
    </row>
    <row r="740" ht="15.75" customHeight="1">
      <c r="A740" s="507"/>
      <c r="B740" s="507"/>
      <c r="C740" s="507"/>
      <c r="D740" s="507"/>
      <c r="E740" s="1404"/>
    </row>
    <row r="741" ht="15.75" customHeight="1">
      <c r="A741" s="507"/>
      <c r="B741" s="507"/>
      <c r="C741" s="507"/>
      <c r="D741" s="507"/>
      <c r="E741" s="1404"/>
    </row>
    <row r="742" ht="15.75" customHeight="1">
      <c r="A742" s="507"/>
      <c r="B742" s="507"/>
      <c r="C742" s="507"/>
      <c r="D742" s="507"/>
      <c r="E742" s="1404"/>
    </row>
    <row r="743" ht="15.75" customHeight="1">
      <c r="A743" s="507"/>
      <c r="B743" s="507"/>
      <c r="C743" s="507"/>
      <c r="D743" s="507"/>
      <c r="E743" s="1404"/>
    </row>
    <row r="744" ht="15.75" customHeight="1">
      <c r="A744" s="507"/>
      <c r="B744" s="507"/>
      <c r="C744" s="507"/>
      <c r="D744" s="507"/>
      <c r="E744" s="1404"/>
    </row>
    <row r="745" ht="15.75" customHeight="1">
      <c r="A745" s="507"/>
      <c r="B745" s="507"/>
      <c r="C745" s="507"/>
      <c r="D745" s="507"/>
      <c r="E745" s="1404"/>
    </row>
    <row r="746" ht="15.75" customHeight="1">
      <c r="A746" s="507"/>
      <c r="B746" s="507"/>
      <c r="C746" s="507"/>
      <c r="D746" s="507"/>
      <c r="E746" s="1404"/>
    </row>
    <row r="747" ht="15.75" customHeight="1">
      <c r="A747" s="507"/>
      <c r="B747" s="507"/>
      <c r="C747" s="507"/>
      <c r="D747" s="507"/>
      <c r="E747" s="1404"/>
    </row>
    <row r="748" ht="15.75" customHeight="1">
      <c r="A748" s="507"/>
      <c r="B748" s="507"/>
      <c r="C748" s="507"/>
      <c r="D748" s="507"/>
      <c r="E748" s="1404"/>
    </row>
    <row r="749" ht="15.75" customHeight="1">
      <c r="A749" s="507"/>
      <c r="B749" s="507"/>
      <c r="C749" s="507"/>
      <c r="D749" s="507"/>
      <c r="E749" s="1404"/>
    </row>
    <row r="750" ht="15.75" customHeight="1">
      <c r="A750" s="507"/>
      <c r="B750" s="507"/>
      <c r="C750" s="507"/>
      <c r="D750" s="507"/>
      <c r="E750" s="1404"/>
    </row>
    <row r="751" ht="15.75" customHeight="1">
      <c r="A751" s="507"/>
      <c r="B751" s="507"/>
      <c r="C751" s="507"/>
      <c r="D751" s="507"/>
      <c r="E751" s="1404"/>
    </row>
    <row r="752" ht="15.75" customHeight="1">
      <c r="A752" s="507"/>
      <c r="B752" s="507"/>
      <c r="C752" s="507"/>
      <c r="D752" s="507"/>
      <c r="E752" s="1404"/>
    </row>
    <row r="753" ht="15.75" customHeight="1">
      <c r="A753" s="507"/>
      <c r="B753" s="507"/>
      <c r="C753" s="507"/>
      <c r="D753" s="507"/>
      <c r="E753" s="1404"/>
    </row>
    <row r="754" ht="15.75" customHeight="1">
      <c r="A754" s="507"/>
      <c r="B754" s="507"/>
      <c r="C754" s="507"/>
      <c r="D754" s="507"/>
      <c r="E754" s="1404"/>
    </row>
    <row r="755" ht="15.75" customHeight="1">
      <c r="A755" s="507"/>
      <c r="B755" s="507"/>
      <c r="C755" s="507"/>
      <c r="D755" s="507"/>
      <c r="E755" s="1404"/>
    </row>
    <row r="756" ht="15.75" customHeight="1">
      <c r="A756" s="507"/>
      <c r="B756" s="507"/>
      <c r="C756" s="507"/>
      <c r="D756" s="507"/>
      <c r="E756" s="1404"/>
    </row>
    <row r="757" ht="15.75" customHeight="1">
      <c r="A757" s="507"/>
      <c r="B757" s="507"/>
      <c r="C757" s="507"/>
      <c r="D757" s="507"/>
      <c r="E757" s="1404"/>
    </row>
    <row r="758" ht="15.75" customHeight="1">
      <c r="A758" s="507"/>
      <c r="B758" s="507"/>
      <c r="C758" s="507"/>
      <c r="D758" s="507"/>
      <c r="E758" s="1404"/>
    </row>
    <row r="759" ht="15.75" customHeight="1">
      <c r="A759" s="507"/>
      <c r="B759" s="507"/>
      <c r="C759" s="507"/>
      <c r="D759" s="507"/>
      <c r="E759" s="1404"/>
    </row>
    <row r="760" ht="15.75" customHeight="1">
      <c r="A760" s="507"/>
      <c r="B760" s="507"/>
      <c r="C760" s="507"/>
      <c r="D760" s="507"/>
      <c r="E760" s="1404"/>
    </row>
    <row r="761" ht="15.75" customHeight="1">
      <c r="A761" s="507"/>
      <c r="B761" s="507"/>
      <c r="C761" s="507"/>
      <c r="D761" s="507"/>
      <c r="E761" s="1404"/>
    </row>
    <row r="762" ht="15.75" customHeight="1">
      <c r="A762" s="507"/>
      <c r="B762" s="507"/>
      <c r="C762" s="507"/>
      <c r="D762" s="507"/>
      <c r="E762" s="1404"/>
    </row>
    <row r="763" ht="15.75" customHeight="1">
      <c r="A763" s="507"/>
      <c r="B763" s="507"/>
      <c r="C763" s="507"/>
      <c r="D763" s="507"/>
      <c r="E763" s="1404"/>
    </row>
    <row r="764" ht="15.75" customHeight="1">
      <c r="A764" s="507"/>
      <c r="B764" s="507"/>
      <c r="C764" s="507"/>
      <c r="D764" s="507"/>
      <c r="E764" s="1404"/>
    </row>
    <row r="765" ht="15.75" customHeight="1">
      <c r="A765" s="507"/>
      <c r="B765" s="507"/>
      <c r="C765" s="507"/>
      <c r="D765" s="507"/>
      <c r="E765" s="1404"/>
    </row>
    <row r="766" ht="15.75" customHeight="1">
      <c r="A766" s="507"/>
      <c r="B766" s="507"/>
      <c r="C766" s="507"/>
      <c r="D766" s="507"/>
      <c r="E766" s="1404"/>
    </row>
    <row r="767" ht="15.75" customHeight="1">
      <c r="A767" s="507"/>
      <c r="B767" s="507"/>
      <c r="C767" s="507"/>
      <c r="D767" s="507"/>
      <c r="E767" s="1404"/>
    </row>
    <row r="768" ht="15.75" customHeight="1">
      <c r="A768" s="507"/>
      <c r="B768" s="507"/>
      <c r="C768" s="507"/>
      <c r="D768" s="507"/>
      <c r="E768" s="1404"/>
    </row>
    <row r="769" ht="15.75" customHeight="1">
      <c r="A769" s="507"/>
      <c r="B769" s="507"/>
      <c r="C769" s="507"/>
      <c r="D769" s="507"/>
      <c r="E769" s="1404"/>
    </row>
    <row r="770" ht="15.75" customHeight="1">
      <c r="A770" s="507"/>
      <c r="B770" s="507"/>
      <c r="C770" s="507"/>
      <c r="D770" s="507"/>
      <c r="E770" s="1404"/>
    </row>
    <row r="771" ht="15.75" customHeight="1">
      <c r="A771" s="507"/>
      <c r="B771" s="507"/>
      <c r="C771" s="507"/>
      <c r="D771" s="507"/>
      <c r="E771" s="1404"/>
    </row>
    <row r="772" ht="15.75" customHeight="1">
      <c r="A772" s="507"/>
      <c r="B772" s="507"/>
      <c r="C772" s="507"/>
      <c r="D772" s="507"/>
      <c r="E772" s="1404"/>
    </row>
    <row r="773" ht="15.75" customHeight="1">
      <c r="A773" s="507"/>
      <c r="B773" s="507"/>
      <c r="C773" s="507"/>
      <c r="D773" s="507"/>
      <c r="E773" s="1404"/>
    </row>
    <row r="774" ht="15.75" customHeight="1">
      <c r="A774" s="507"/>
      <c r="B774" s="507"/>
      <c r="C774" s="507"/>
      <c r="D774" s="507"/>
      <c r="E774" s="1404"/>
    </row>
    <row r="775" ht="15.75" customHeight="1">
      <c r="A775" s="507"/>
      <c r="B775" s="507"/>
      <c r="C775" s="507"/>
      <c r="D775" s="507"/>
      <c r="E775" s="1404"/>
    </row>
    <row r="776" ht="15.75" customHeight="1">
      <c r="A776" s="507"/>
      <c r="B776" s="507"/>
      <c r="C776" s="507"/>
      <c r="D776" s="507"/>
      <c r="E776" s="1404"/>
    </row>
    <row r="777" ht="15.75" customHeight="1">
      <c r="A777" s="507"/>
      <c r="B777" s="507"/>
      <c r="C777" s="507"/>
      <c r="D777" s="507"/>
      <c r="E777" s="1404"/>
    </row>
    <row r="778" ht="15.75" customHeight="1">
      <c r="A778" s="507"/>
      <c r="B778" s="507"/>
      <c r="C778" s="507"/>
      <c r="D778" s="507"/>
      <c r="E778" s="1404"/>
    </row>
    <row r="779" ht="15.75" customHeight="1">
      <c r="A779" s="507"/>
      <c r="B779" s="507"/>
      <c r="C779" s="507"/>
      <c r="D779" s="507"/>
      <c r="E779" s="1404"/>
    </row>
    <row r="780" ht="15.75" customHeight="1">
      <c r="A780" s="507"/>
      <c r="B780" s="507"/>
      <c r="C780" s="507"/>
      <c r="D780" s="507"/>
      <c r="E780" s="1404"/>
    </row>
    <row r="781" ht="15.75" customHeight="1">
      <c r="A781" s="507"/>
      <c r="B781" s="507"/>
      <c r="C781" s="507"/>
      <c r="D781" s="507"/>
      <c r="E781" s="1404"/>
    </row>
    <row r="782" ht="15.75" customHeight="1">
      <c r="A782" s="507"/>
      <c r="B782" s="507"/>
      <c r="C782" s="507"/>
      <c r="D782" s="507"/>
      <c r="E782" s="1404"/>
    </row>
    <row r="783" ht="15.75" customHeight="1">
      <c r="A783" s="507"/>
      <c r="B783" s="507"/>
      <c r="C783" s="507"/>
      <c r="D783" s="507"/>
      <c r="E783" s="1404"/>
    </row>
    <row r="784" ht="15.75" customHeight="1">
      <c r="A784" s="507"/>
      <c r="B784" s="507"/>
      <c r="C784" s="507"/>
      <c r="D784" s="507"/>
      <c r="E784" s="1404"/>
    </row>
    <row r="785" ht="15.75" customHeight="1">
      <c r="A785" s="507"/>
      <c r="B785" s="507"/>
      <c r="C785" s="507"/>
      <c r="D785" s="507"/>
      <c r="E785" s="1404"/>
    </row>
    <row r="786" ht="15.75" customHeight="1">
      <c r="A786" s="507"/>
      <c r="B786" s="507"/>
      <c r="C786" s="507"/>
      <c r="D786" s="507"/>
      <c r="E786" s="1404"/>
    </row>
    <row r="787" ht="15.75" customHeight="1">
      <c r="A787" s="507"/>
      <c r="B787" s="507"/>
      <c r="C787" s="507"/>
      <c r="D787" s="507"/>
      <c r="E787" s="1404"/>
    </row>
    <row r="788" ht="15.75" customHeight="1">
      <c r="A788" s="507"/>
      <c r="B788" s="507"/>
      <c r="C788" s="507"/>
      <c r="D788" s="507"/>
      <c r="E788" s="1404"/>
    </row>
    <row r="789" ht="15.75" customHeight="1">
      <c r="A789" s="507"/>
      <c r="B789" s="507"/>
      <c r="C789" s="507"/>
      <c r="D789" s="507"/>
      <c r="E789" s="1404"/>
    </row>
    <row r="790" ht="15.75" customHeight="1">
      <c r="A790" s="507"/>
      <c r="B790" s="507"/>
      <c r="C790" s="507"/>
      <c r="D790" s="507"/>
      <c r="E790" s="1404"/>
    </row>
    <row r="791" ht="15.75" customHeight="1">
      <c r="A791" s="507"/>
      <c r="B791" s="507"/>
      <c r="C791" s="507"/>
      <c r="D791" s="507"/>
      <c r="E791" s="1404"/>
    </row>
    <row r="792" ht="15.75" customHeight="1">
      <c r="A792" s="507"/>
      <c r="B792" s="507"/>
      <c r="C792" s="507"/>
      <c r="D792" s="507"/>
      <c r="E792" s="1404"/>
    </row>
    <row r="793" ht="15.75" customHeight="1">
      <c r="A793" s="507"/>
      <c r="B793" s="507"/>
      <c r="C793" s="507"/>
      <c r="D793" s="507"/>
      <c r="E793" s="1404"/>
    </row>
    <row r="794" ht="15.75" customHeight="1">
      <c r="A794" s="507"/>
      <c r="B794" s="507"/>
      <c r="C794" s="507"/>
      <c r="D794" s="507"/>
      <c r="E794" s="1404"/>
    </row>
    <row r="795" ht="15.75" customHeight="1">
      <c r="A795" s="507"/>
      <c r="B795" s="507"/>
      <c r="C795" s="507"/>
      <c r="D795" s="507"/>
      <c r="E795" s="1404"/>
    </row>
    <row r="796" ht="15.75" customHeight="1">
      <c r="A796" s="507"/>
      <c r="B796" s="507"/>
      <c r="C796" s="507"/>
      <c r="D796" s="507"/>
      <c r="E796" s="1404"/>
    </row>
    <row r="797" ht="15.75" customHeight="1">
      <c r="A797" s="507"/>
      <c r="B797" s="507"/>
      <c r="C797" s="507"/>
      <c r="D797" s="507"/>
      <c r="E797" s="1404"/>
    </row>
    <row r="798" ht="15.75" customHeight="1">
      <c r="A798" s="507"/>
      <c r="B798" s="507"/>
      <c r="C798" s="507"/>
      <c r="D798" s="507"/>
      <c r="E798" s="1404"/>
    </row>
    <row r="799" ht="15.75" customHeight="1">
      <c r="A799" s="507"/>
      <c r="B799" s="507"/>
      <c r="C799" s="507"/>
      <c r="D799" s="507"/>
      <c r="E799" s="1404"/>
    </row>
    <row r="800" ht="15.75" customHeight="1">
      <c r="A800" s="507"/>
      <c r="B800" s="507"/>
      <c r="C800" s="507"/>
      <c r="D800" s="507"/>
      <c r="E800" s="1404"/>
    </row>
    <row r="801" ht="15.75" customHeight="1">
      <c r="A801" s="507"/>
      <c r="B801" s="507"/>
      <c r="C801" s="507"/>
      <c r="D801" s="507"/>
      <c r="E801" s="1404"/>
    </row>
    <row r="802" ht="15.75" customHeight="1">
      <c r="A802" s="507"/>
      <c r="B802" s="507"/>
      <c r="C802" s="507"/>
      <c r="D802" s="507"/>
      <c r="E802" s="1404"/>
    </row>
    <row r="803" ht="15.75" customHeight="1">
      <c r="A803" s="507"/>
      <c r="B803" s="507"/>
      <c r="C803" s="507"/>
      <c r="D803" s="507"/>
      <c r="E803" s="1404"/>
    </row>
    <row r="804" ht="15.75" customHeight="1">
      <c r="A804" s="507"/>
      <c r="B804" s="507"/>
      <c r="C804" s="507"/>
      <c r="D804" s="507"/>
      <c r="E804" s="1404"/>
    </row>
    <row r="805" ht="15.75" customHeight="1">
      <c r="A805" s="507"/>
      <c r="B805" s="507"/>
      <c r="C805" s="507"/>
      <c r="D805" s="507"/>
      <c r="E805" s="1404"/>
    </row>
    <row r="806" ht="15.75" customHeight="1">
      <c r="A806" s="507"/>
      <c r="B806" s="507"/>
      <c r="C806" s="507"/>
      <c r="D806" s="507"/>
      <c r="E806" s="1404"/>
    </row>
    <row r="807" ht="15.75" customHeight="1">
      <c r="A807" s="507"/>
      <c r="B807" s="507"/>
      <c r="C807" s="507"/>
      <c r="D807" s="507"/>
      <c r="E807" s="1404"/>
    </row>
    <row r="808" ht="15.75" customHeight="1">
      <c r="A808" s="507"/>
      <c r="B808" s="507"/>
      <c r="C808" s="507"/>
      <c r="D808" s="507"/>
      <c r="E808" s="1404"/>
    </row>
    <row r="809" ht="15.75" customHeight="1">
      <c r="A809" s="507"/>
      <c r="B809" s="507"/>
      <c r="C809" s="507"/>
      <c r="D809" s="507"/>
      <c r="E809" s="1404"/>
    </row>
    <row r="810" ht="15.75" customHeight="1">
      <c r="A810" s="507"/>
      <c r="B810" s="507"/>
      <c r="C810" s="507"/>
      <c r="D810" s="507"/>
      <c r="E810" s="1404"/>
    </row>
    <row r="811" ht="15.75" customHeight="1">
      <c r="A811" s="507"/>
      <c r="B811" s="507"/>
      <c r="C811" s="507"/>
      <c r="D811" s="507"/>
      <c r="E811" s="1404"/>
    </row>
    <row r="812" ht="15.75" customHeight="1">
      <c r="A812" s="507"/>
      <c r="B812" s="507"/>
      <c r="C812" s="507"/>
      <c r="D812" s="507"/>
      <c r="E812" s="1404"/>
    </row>
    <row r="813" ht="15.75" customHeight="1">
      <c r="A813" s="507"/>
      <c r="B813" s="507"/>
      <c r="C813" s="507"/>
      <c r="D813" s="507"/>
      <c r="E813" s="1404"/>
    </row>
    <row r="814" ht="15.75" customHeight="1">
      <c r="A814" s="507"/>
      <c r="B814" s="507"/>
      <c r="C814" s="507"/>
      <c r="D814" s="507"/>
      <c r="E814" s="1404"/>
    </row>
    <row r="815" ht="15.75" customHeight="1">
      <c r="A815" s="507"/>
      <c r="B815" s="507"/>
      <c r="C815" s="507"/>
      <c r="D815" s="507"/>
      <c r="E815" s="1404"/>
    </row>
    <row r="816" ht="15.75" customHeight="1">
      <c r="A816" s="507"/>
      <c r="B816" s="507"/>
      <c r="C816" s="507"/>
      <c r="D816" s="507"/>
      <c r="E816" s="1404"/>
    </row>
    <row r="817" ht="15.75" customHeight="1">
      <c r="A817" s="507"/>
      <c r="B817" s="507"/>
      <c r="C817" s="507"/>
      <c r="D817" s="507"/>
      <c r="E817" s="1404"/>
    </row>
    <row r="818" ht="15.75" customHeight="1">
      <c r="A818" s="507"/>
      <c r="B818" s="507"/>
      <c r="C818" s="507"/>
      <c r="D818" s="507"/>
      <c r="E818" s="1404"/>
    </row>
    <row r="819" ht="15.75" customHeight="1">
      <c r="A819" s="507"/>
      <c r="B819" s="507"/>
      <c r="C819" s="507"/>
      <c r="D819" s="507"/>
      <c r="E819" s="1404"/>
    </row>
    <row r="820" ht="15.75" customHeight="1">
      <c r="A820" s="507"/>
      <c r="B820" s="507"/>
      <c r="C820" s="507"/>
      <c r="D820" s="507"/>
      <c r="E820" s="1404"/>
    </row>
    <row r="821" ht="15.75" customHeight="1">
      <c r="A821" s="507"/>
      <c r="B821" s="507"/>
      <c r="C821" s="507"/>
      <c r="D821" s="507"/>
      <c r="E821" s="1404"/>
    </row>
    <row r="822" ht="15.75" customHeight="1">
      <c r="A822" s="507"/>
      <c r="B822" s="507"/>
      <c r="C822" s="507"/>
      <c r="D822" s="507"/>
      <c r="E822" s="1404"/>
    </row>
    <row r="823" ht="15.75" customHeight="1">
      <c r="A823" s="507"/>
      <c r="B823" s="507"/>
      <c r="C823" s="507"/>
      <c r="D823" s="507"/>
      <c r="E823" s="1404"/>
    </row>
    <row r="824" ht="15.75" customHeight="1">
      <c r="A824" s="507"/>
      <c r="B824" s="507"/>
      <c r="C824" s="507"/>
      <c r="D824" s="507"/>
      <c r="E824" s="1404"/>
    </row>
    <row r="825" ht="15.75" customHeight="1">
      <c r="A825" s="507"/>
      <c r="B825" s="507"/>
      <c r="C825" s="507"/>
      <c r="D825" s="507"/>
      <c r="E825" s="1404"/>
    </row>
    <row r="826" ht="15.75" customHeight="1">
      <c r="A826" s="507"/>
      <c r="B826" s="507"/>
      <c r="C826" s="507"/>
      <c r="D826" s="507"/>
      <c r="E826" s="1404"/>
    </row>
    <row r="827" ht="15.75" customHeight="1">
      <c r="A827" s="507"/>
      <c r="B827" s="507"/>
      <c r="C827" s="507"/>
      <c r="D827" s="507"/>
      <c r="E827" s="1404"/>
    </row>
    <row r="828" ht="15.75" customHeight="1">
      <c r="A828" s="507"/>
      <c r="B828" s="507"/>
      <c r="C828" s="507"/>
      <c r="D828" s="507"/>
      <c r="E828" s="1404"/>
    </row>
    <row r="829" ht="15.75" customHeight="1">
      <c r="A829" s="507"/>
      <c r="B829" s="507"/>
      <c r="C829" s="507"/>
      <c r="D829" s="507"/>
      <c r="E829" s="1404"/>
    </row>
    <row r="830" ht="15.75" customHeight="1">
      <c r="A830" s="507"/>
      <c r="B830" s="507"/>
      <c r="C830" s="507"/>
      <c r="D830" s="507"/>
      <c r="E830" s="1404"/>
    </row>
    <row r="831" ht="15.75" customHeight="1">
      <c r="A831" s="507"/>
      <c r="B831" s="507"/>
      <c r="C831" s="507"/>
      <c r="D831" s="507"/>
      <c r="E831" s="1404"/>
    </row>
    <row r="832" ht="15.75" customHeight="1">
      <c r="A832" s="507"/>
      <c r="B832" s="507"/>
      <c r="C832" s="507"/>
      <c r="D832" s="507"/>
      <c r="E832" s="1404"/>
    </row>
    <row r="833" ht="15.75" customHeight="1">
      <c r="A833" s="507"/>
      <c r="B833" s="507"/>
      <c r="C833" s="507"/>
      <c r="D833" s="507"/>
      <c r="E833" s="1404"/>
    </row>
    <row r="834" ht="15.75" customHeight="1">
      <c r="A834" s="507"/>
      <c r="B834" s="507"/>
      <c r="C834" s="507"/>
      <c r="D834" s="507"/>
      <c r="E834" s="1404"/>
    </row>
    <row r="835" ht="15.75" customHeight="1">
      <c r="A835" s="507"/>
      <c r="B835" s="507"/>
      <c r="C835" s="507"/>
      <c r="D835" s="507"/>
      <c r="E835" s="1404"/>
    </row>
    <row r="836" ht="15.75" customHeight="1">
      <c r="A836" s="507"/>
      <c r="B836" s="507"/>
      <c r="C836" s="507"/>
      <c r="D836" s="507"/>
      <c r="E836" s="1404"/>
    </row>
    <row r="837" ht="15.75" customHeight="1">
      <c r="A837" s="507"/>
      <c r="B837" s="507"/>
      <c r="C837" s="507"/>
      <c r="D837" s="507"/>
      <c r="E837" s="1404"/>
    </row>
    <row r="838" ht="15.75" customHeight="1">
      <c r="A838" s="507"/>
      <c r="B838" s="507"/>
      <c r="C838" s="507"/>
      <c r="D838" s="507"/>
      <c r="E838" s="1404"/>
    </row>
    <row r="839" ht="15.75" customHeight="1">
      <c r="A839" s="507"/>
      <c r="B839" s="507"/>
      <c r="C839" s="507"/>
      <c r="D839" s="507"/>
      <c r="E839" s="1404"/>
    </row>
    <row r="840" ht="15.75" customHeight="1">
      <c r="A840" s="507"/>
      <c r="B840" s="507"/>
      <c r="C840" s="507"/>
      <c r="D840" s="507"/>
      <c r="E840" s="1404"/>
    </row>
    <row r="841" ht="15.75" customHeight="1">
      <c r="A841" s="507"/>
      <c r="B841" s="507"/>
      <c r="C841" s="507"/>
      <c r="D841" s="507"/>
      <c r="E841" s="1404"/>
    </row>
    <row r="842" ht="15.75" customHeight="1">
      <c r="A842" s="507"/>
      <c r="B842" s="507"/>
      <c r="C842" s="507"/>
      <c r="D842" s="507"/>
      <c r="E842" s="1404"/>
    </row>
    <row r="843" ht="15.75" customHeight="1">
      <c r="A843" s="507"/>
      <c r="B843" s="507"/>
      <c r="C843" s="507"/>
      <c r="D843" s="507"/>
      <c r="E843" s="1404"/>
    </row>
    <row r="844" ht="15.75" customHeight="1">
      <c r="A844" s="507"/>
      <c r="B844" s="507"/>
      <c r="C844" s="507"/>
      <c r="D844" s="507"/>
      <c r="E844" s="1404"/>
    </row>
    <row r="845" ht="15.75" customHeight="1">
      <c r="A845" s="507"/>
      <c r="B845" s="507"/>
      <c r="C845" s="507"/>
      <c r="D845" s="507"/>
      <c r="E845" s="1404"/>
    </row>
    <row r="846" ht="15.75" customHeight="1">
      <c r="A846" s="507"/>
      <c r="B846" s="507"/>
      <c r="C846" s="507"/>
      <c r="D846" s="507"/>
      <c r="E846" s="1404"/>
    </row>
    <row r="847" ht="15.75" customHeight="1">
      <c r="A847" s="507"/>
      <c r="B847" s="507"/>
      <c r="C847" s="507"/>
      <c r="D847" s="507"/>
      <c r="E847" s="1404"/>
    </row>
    <row r="848" ht="15.75" customHeight="1">
      <c r="A848" s="507"/>
      <c r="B848" s="507"/>
      <c r="C848" s="507"/>
      <c r="D848" s="507"/>
      <c r="E848" s="1404"/>
    </row>
    <row r="849" ht="15.75" customHeight="1">
      <c r="A849" s="507"/>
      <c r="B849" s="507"/>
      <c r="C849" s="507"/>
      <c r="D849" s="507"/>
      <c r="E849" s="1404"/>
    </row>
    <row r="850" ht="15.75" customHeight="1">
      <c r="A850" s="507"/>
      <c r="B850" s="507"/>
      <c r="C850" s="507"/>
      <c r="D850" s="507"/>
      <c r="E850" s="1404"/>
    </row>
    <row r="851" ht="15.75" customHeight="1">
      <c r="A851" s="507"/>
      <c r="B851" s="507"/>
      <c r="C851" s="507"/>
      <c r="D851" s="507"/>
      <c r="E851" s="1404"/>
    </row>
    <row r="852" ht="15.75" customHeight="1">
      <c r="A852" s="507"/>
      <c r="B852" s="507"/>
      <c r="C852" s="507"/>
      <c r="D852" s="507"/>
      <c r="E852" s="1404"/>
    </row>
    <row r="853" ht="15.75" customHeight="1">
      <c r="A853" s="507"/>
      <c r="B853" s="507"/>
      <c r="C853" s="507"/>
      <c r="D853" s="507"/>
      <c r="E853" s="1404"/>
    </row>
    <row r="854" ht="15.75" customHeight="1">
      <c r="A854" s="507"/>
      <c r="B854" s="507"/>
      <c r="C854" s="507"/>
      <c r="D854" s="507"/>
      <c r="E854" s="1404"/>
    </row>
    <row r="855" ht="15.75" customHeight="1">
      <c r="A855" s="507"/>
      <c r="B855" s="507"/>
      <c r="C855" s="507"/>
      <c r="D855" s="507"/>
      <c r="E855" s="1404"/>
    </row>
    <row r="856" ht="15.75" customHeight="1">
      <c r="A856" s="507"/>
      <c r="B856" s="507"/>
      <c r="C856" s="507"/>
      <c r="D856" s="507"/>
      <c r="E856" s="1404"/>
    </row>
    <row r="857" ht="15.75" customHeight="1">
      <c r="A857" s="507"/>
      <c r="B857" s="507"/>
      <c r="C857" s="507"/>
      <c r="D857" s="507"/>
      <c r="E857" s="1404"/>
    </row>
    <row r="858" ht="15.75" customHeight="1">
      <c r="A858" s="507"/>
      <c r="B858" s="507"/>
      <c r="C858" s="507"/>
      <c r="D858" s="507"/>
      <c r="E858" s="1404"/>
    </row>
    <row r="859" ht="15.75" customHeight="1">
      <c r="A859" s="507"/>
      <c r="B859" s="507"/>
      <c r="C859" s="507"/>
      <c r="D859" s="507"/>
      <c r="E859" s="1404"/>
    </row>
    <row r="860" ht="15.75" customHeight="1">
      <c r="A860" s="507"/>
      <c r="B860" s="507"/>
      <c r="C860" s="507"/>
      <c r="D860" s="507"/>
      <c r="E860" s="1404"/>
    </row>
    <row r="861" ht="15.75" customHeight="1">
      <c r="A861" s="507"/>
      <c r="B861" s="507"/>
      <c r="C861" s="507"/>
      <c r="D861" s="507"/>
      <c r="E861" s="1404"/>
    </row>
    <row r="862" ht="15.75" customHeight="1">
      <c r="A862" s="507"/>
      <c r="B862" s="507"/>
      <c r="C862" s="507"/>
      <c r="D862" s="507"/>
      <c r="E862" s="1404"/>
    </row>
    <row r="863" ht="15.75" customHeight="1">
      <c r="A863" s="507"/>
      <c r="B863" s="507"/>
      <c r="C863" s="507"/>
      <c r="D863" s="507"/>
      <c r="E863" s="1404"/>
    </row>
    <row r="864" ht="15.75" customHeight="1">
      <c r="A864" s="507"/>
      <c r="B864" s="507"/>
      <c r="C864" s="507"/>
      <c r="D864" s="507"/>
      <c r="E864" s="1404"/>
    </row>
    <row r="865" ht="15.75" customHeight="1">
      <c r="A865" s="507"/>
      <c r="B865" s="507"/>
      <c r="C865" s="507"/>
      <c r="D865" s="507"/>
      <c r="E865" s="1404"/>
    </row>
    <row r="866" ht="15.75" customHeight="1">
      <c r="A866" s="507"/>
      <c r="B866" s="507"/>
      <c r="C866" s="507"/>
      <c r="D866" s="507"/>
      <c r="E866" s="1404"/>
    </row>
    <row r="867" ht="15.75" customHeight="1">
      <c r="A867" s="507"/>
      <c r="B867" s="507"/>
      <c r="C867" s="507"/>
      <c r="D867" s="507"/>
      <c r="E867" s="1404"/>
    </row>
    <row r="868" ht="15.75" customHeight="1">
      <c r="A868" s="507"/>
      <c r="B868" s="507"/>
      <c r="C868" s="507"/>
      <c r="D868" s="507"/>
      <c r="E868" s="1404"/>
    </row>
    <row r="869" ht="15.75" customHeight="1">
      <c r="A869" s="507"/>
      <c r="B869" s="507"/>
      <c r="C869" s="507"/>
      <c r="D869" s="507"/>
      <c r="E869" s="1404"/>
    </row>
    <row r="870" ht="15.75" customHeight="1">
      <c r="A870" s="507"/>
      <c r="B870" s="507"/>
      <c r="C870" s="507"/>
      <c r="D870" s="507"/>
      <c r="E870" s="1404"/>
    </row>
    <row r="871" ht="15.75" customHeight="1">
      <c r="A871" s="507"/>
      <c r="B871" s="507"/>
      <c r="C871" s="507"/>
      <c r="D871" s="507"/>
      <c r="E871" s="1404"/>
    </row>
    <row r="872" ht="15.75" customHeight="1">
      <c r="A872" s="507"/>
      <c r="B872" s="507"/>
      <c r="C872" s="507"/>
      <c r="D872" s="507"/>
      <c r="E872" s="1404"/>
    </row>
    <row r="873" ht="15.75" customHeight="1">
      <c r="A873" s="507"/>
      <c r="B873" s="507"/>
      <c r="C873" s="507"/>
      <c r="D873" s="507"/>
      <c r="E873" s="1404"/>
    </row>
    <row r="874" ht="15.75" customHeight="1">
      <c r="A874" s="507"/>
      <c r="B874" s="507"/>
      <c r="C874" s="507"/>
      <c r="D874" s="507"/>
      <c r="E874" s="1404"/>
    </row>
    <row r="875" ht="15.75" customHeight="1">
      <c r="A875" s="507"/>
      <c r="B875" s="507"/>
      <c r="C875" s="507"/>
      <c r="D875" s="507"/>
      <c r="E875" s="1404"/>
    </row>
    <row r="876" ht="15.75" customHeight="1">
      <c r="A876" s="507"/>
      <c r="B876" s="507"/>
      <c r="C876" s="507"/>
      <c r="D876" s="507"/>
      <c r="E876" s="1404"/>
    </row>
    <row r="877" ht="15.75" customHeight="1">
      <c r="A877" s="507"/>
      <c r="B877" s="507"/>
      <c r="C877" s="507"/>
      <c r="D877" s="507"/>
      <c r="E877" s="1404"/>
    </row>
    <row r="878" ht="15.75" customHeight="1">
      <c r="A878" s="507"/>
      <c r="B878" s="507"/>
      <c r="C878" s="507"/>
      <c r="D878" s="507"/>
      <c r="E878" s="1404"/>
    </row>
    <row r="879" ht="15.75" customHeight="1">
      <c r="A879" s="507"/>
      <c r="B879" s="507"/>
      <c r="C879" s="507"/>
      <c r="D879" s="507"/>
      <c r="E879" s="1404"/>
    </row>
    <row r="880" ht="15.75" customHeight="1">
      <c r="A880" s="507"/>
      <c r="B880" s="507"/>
      <c r="C880" s="507"/>
      <c r="D880" s="507"/>
      <c r="E880" s="1404"/>
    </row>
    <row r="881" ht="15.75" customHeight="1">
      <c r="A881" s="507"/>
      <c r="B881" s="507"/>
      <c r="C881" s="507"/>
      <c r="D881" s="507"/>
      <c r="E881" s="1404"/>
    </row>
    <row r="882" ht="15.75" customHeight="1">
      <c r="A882" s="507"/>
      <c r="B882" s="507"/>
      <c r="C882" s="507"/>
      <c r="D882" s="507"/>
      <c r="E882" s="1404"/>
    </row>
    <row r="883" ht="15.75" customHeight="1">
      <c r="A883" s="507"/>
      <c r="B883" s="507"/>
      <c r="C883" s="507"/>
      <c r="D883" s="507"/>
      <c r="E883" s="1404"/>
    </row>
    <row r="884" ht="15.75" customHeight="1">
      <c r="A884" s="507"/>
      <c r="B884" s="507"/>
      <c r="C884" s="507"/>
      <c r="D884" s="507"/>
      <c r="E884" s="1404"/>
    </row>
    <row r="885" ht="15.75" customHeight="1">
      <c r="A885" s="507"/>
      <c r="B885" s="507"/>
      <c r="C885" s="507"/>
      <c r="D885" s="507"/>
      <c r="E885" s="1404"/>
    </row>
    <row r="886" ht="15.75" customHeight="1">
      <c r="A886" s="507"/>
      <c r="B886" s="507"/>
      <c r="C886" s="507"/>
      <c r="D886" s="507"/>
      <c r="E886" s="1404"/>
    </row>
    <row r="887" ht="15.75" customHeight="1">
      <c r="A887" s="507"/>
      <c r="B887" s="507"/>
      <c r="C887" s="507"/>
      <c r="D887" s="507"/>
      <c r="E887" s="1404"/>
    </row>
    <row r="888" ht="15.75" customHeight="1">
      <c r="A888" s="507"/>
      <c r="B888" s="507"/>
      <c r="C888" s="507"/>
      <c r="D888" s="507"/>
      <c r="E888" s="1404"/>
    </row>
    <row r="889" ht="15.75" customHeight="1">
      <c r="A889" s="507"/>
      <c r="B889" s="507"/>
      <c r="C889" s="507"/>
      <c r="D889" s="507"/>
      <c r="E889" s="1404"/>
    </row>
    <row r="890" ht="15.75" customHeight="1">
      <c r="A890" s="507"/>
      <c r="B890" s="507"/>
      <c r="C890" s="507"/>
      <c r="D890" s="507"/>
      <c r="E890" s="1404"/>
    </row>
    <row r="891" ht="15.75" customHeight="1">
      <c r="A891" s="507"/>
      <c r="B891" s="507"/>
      <c r="C891" s="507"/>
      <c r="D891" s="507"/>
      <c r="E891" s="1404"/>
    </row>
    <row r="892" ht="15.75" customHeight="1">
      <c r="A892" s="507"/>
      <c r="B892" s="507"/>
      <c r="C892" s="507"/>
      <c r="D892" s="507"/>
      <c r="E892" s="1404"/>
    </row>
    <row r="893" ht="15.75" customHeight="1">
      <c r="A893" s="507"/>
      <c r="B893" s="507"/>
      <c r="C893" s="507"/>
      <c r="D893" s="507"/>
      <c r="E893" s="1404"/>
    </row>
    <row r="894" ht="15.75" customHeight="1">
      <c r="A894" s="507"/>
      <c r="B894" s="507"/>
      <c r="C894" s="507"/>
      <c r="D894" s="507"/>
      <c r="E894" s="1404"/>
    </row>
    <row r="895" ht="15.75" customHeight="1">
      <c r="A895" s="507"/>
      <c r="B895" s="507"/>
      <c r="C895" s="507"/>
      <c r="D895" s="507"/>
      <c r="E895" s="1404"/>
    </row>
    <row r="896" ht="15.75" customHeight="1">
      <c r="A896" s="507"/>
      <c r="B896" s="507"/>
      <c r="C896" s="507"/>
      <c r="D896" s="507"/>
      <c r="E896" s="1404"/>
    </row>
    <row r="897" ht="15.75" customHeight="1">
      <c r="A897" s="507"/>
      <c r="B897" s="507"/>
      <c r="C897" s="507"/>
      <c r="D897" s="507"/>
      <c r="E897" s="1404"/>
    </row>
    <row r="898" ht="15.75" customHeight="1">
      <c r="A898" s="507"/>
      <c r="B898" s="507"/>
      <c r="C898" s="507"/>
      <c r="D898" s="507"/>
      <c r="E898" s="1404"/>
    </row>
    <row r="899" ht="15.75" customHeight="1">
      <c r="A899" s="507"/>
      <c r="B899" s="507"/>
      <c r="C899" s="507"/>
      <c r="D899" s="507"/>
      <c r="E899" s="1404"/>
    </row>
    <row r="900" ht="15.75" customHeight="1">
      <c r="A900" s="507"/>
      <c r="B900" s="507"/>
      <c r="C900" s="507"/>
      <c r="D900" s="507"/>
      <c r="E900" s="1404"/>
    </row>
    <row r="901" ht="15.75" customHeight="1">
      <c r="A901" s="507"/>
      <c r="B901" s="507"/>
      <c r="C901" s="507"/>
      <c r="D901" s="507"/>
      <c r="E901" s="1404"/>
    </row>
    <row r="902" ht="15.75" customHeight="1">
      <c r="A902" s="507"/>
      <c r="B902" s="507"/>
      <c r="C902" s="507"/>
      <c r="D902" s="507"/>
      <c r="E902" s="1404"/>
    </row>
    <row r="903" ht="15.75" customHeight="1">
      <c r="A903" s="507"/>
      <c r="B903" s="507"/>
      <c r="C903" s="507"/>
      <c r="D903" s="507"/>
      <c r="E903" s="1404"/>
    </row>
    <row r="904" ht="15.75" customHeight="1">
      <c r="A904" s="507"/>
      <c r="B904" s="507"/>
      <c r="C904" s="507"/>
      <c r="D904" s="507"/>
      <c r="E904" s="1404"/>
    </row>
    <row r="905" ht="15.75" customHeight="1">
      <c r="A905" s="507"/>
      <c r="B905" s="507"/>
      <c r="C905" s="507"/>
      <c r="D905" s="507"/>
      <c r="E905" s="1404"/>
    </row>
    <row r="906" ht="15.75" customHeight="1">
      <c r="A906" s="507"/>
      <c r="B906" s="507"/>
      <c r="C906" s="507"/>
      <c r="D906" s="507"/>
      <c r="E906" s="1404"/>
    </row>
    <row r="907" ht="15.75" customHeight="1">
      <c r="A907" s="507"/>
      <c r="B907" s="507"/>
      <c r="C907" s="507"/>
      <c r="D907" s="507"/>
      <c r="E907" s="1404"/>
    </row>
    <row r="908" ht="15.75" customHeight="1">
      <c r="A908" s="507"/>
      <c r="B908" s="507"/>
      <c r="C908" s="507"/>
      <c r="D908" s="507"/>
      <c r="E908" s="1404"/>
    </row>
    <row r="909" ht="15.75" customHeight="1">
      <c r="A909" s="507"/>
      <c r="B909" s="507"/>
      <c r="C909" s="507"/>
      <c r="D909" s="507"/>
      <c r="E909" s="1404"/>
    </row>
    <row r="910" ht="15.75" customHeight="1">
      <c r="A910" s="507"/>
      <c r="B910" s="507"/>
      <c r="C910" s="507"/>
      <c r="D910" s="507"/>
      <c r="E910" s="1404"/>
    </row>
    <row r="911" ht="15.75" customHeight="1">
      <c r="A911" s="507"/>
      <c r="B911" s="507"/>
      <c r="C911" s="507"/>
      <c r="D911" s="507"/>
      <c r="E911" s="1404"/>
    </row>
    <row r="912" ht="15.75" customHeight="1">
      <c r="A912" s="507"/>
      <c r="B912" s="507"/>
      <c r="C912" s="507"/>
      <c r="D912" s="507"/>
      <c r="E912" s="1404"/>
    </row>
    <row r="913" ht="15.75" customHeight="1">
      <c r="A913" s="507"/>
      <c r="B913" s="507"/>
      <c r="C913" s="507"/>
      <c r="D913" s="507"/>
      <c r="E913" s="1404"/>
    </row>
    <row r="914" ht="15.75" customHeight="1">
      <c r="A914" s="507"/>
      <c r="B914" s="507"/>
      <c r="C914" s="507"/>
      <c r="D914" s="507"/>
      <c r="E914" s="1404"/>
    </row>
    <row r="915" ht="15.75" customHeight="1">
      <c r="A915" s="507"/>
      <c r="B915" s="507"/>
      <c r="C915" s="507"/>
      <c r="D915" s="507"/>
      <c r="E915" s="1404"/>
    </row>
    <row r="916" ht="15.75" customHeight="1">
      <c r="A916" s="507"/>
      <c r="B916" s="507"/>
      <c r="C916" s="507"/>
      <c r="D916" s="507"/>
      <c r="E916" s="1404"/>
    </row>
    <row r="917" ht="15.75" customHeight="1">
      <c r="A917" s="507"/>
      <c r="B917" s="507"/>
      <c r="C917" s="507"/>
      <c r="D917" s="507"/>
      <c r="E917" s="1404"/>
    </row>
    <row r="918" ht="15.75" customHeight="1">
      <c r="A918" s="507"/>
      <c r="B918" s="507"/>
      <c r="C918" s="507"/>
      <c r="D918" s="507"/>
      <c r="E918" s="1404"/>
    </row>
    <row r="919" ht="15.75" customHeight="1">
      <c r="A919" s="507"/>
      <c r="B919" s="507"/>
      <c r="C919" s="507"/>
      <c r="D919" s="507"/>
      <c r="E919" s="1404"/>
    </row>
    <row r="920" ht="15.75" customHeight="1">
      <c r="A920" s="507"/>
      <c r="B920" s="507"/>
      <c r="C920" s="507"/>
      <c r="D920" s="507"/>
      <c r="E920" s="1404"/>
    </row>
    <row r="921" ht="15.75" customHeight="1">
      <c r="A921" s="507"/>
      <c r="B921" s="507"/>
      <c r="C921" s="507"/>
      <c r="D921" s="507"/>
      <c r="E921" s="1404"/>
    </row>
    <row r="922" ht="15.75" customHeight="1">
      <c r="A922" s="507"/>
      <c r="B922" s="507"/>
      <c r="C922" s="507"/>
      <c r="D922" s="507"/>
      <c r="E922" s="1404"/>
    </row>
    <row r="923" ht="15.75" customHeight="1">
      <c r="A923" s="507"/>
      <c r="B923" s="507"/>
      <c r="C923" s="507"/>
      <c r="D923" s="507"/>
      <c r="E923" s="1404"/>
    </row>
    <row r="924" ht="15.75" customHeight="1">
      <c r="A924" s="507"/>
      <c r="B924" s="507"/>
      <c r="C924" s="507"/>
      <c r="D924" s="507"/>
      <c r="E924" s="1404"/>
    </row>
    <row r="925" ht="15.75" customHeight="1">
      <c r="A925" s="507"/>
      <c r="B925" s="507"/>
      <c r="C925" s="507"/>
      <c r="D925" s="507"/>
      <c r="E925" s="1404"/>
    </row>
    <row r="926" ht="15.75" customHeight="1">
      <c r="A926" s="507"/>
      <c r="B926" s="507"/>
      <c r="C926" s="507"/>
      <c r="D926" s="507"/>
      <c r="E926" s="1404"/>
    </row>
    <row r="927" ht="15.75" customHeight="1">
      <c r="A927" s="507"/>
      <c r="B927" s="507"/>
      <c r="C927" s="507"/>
      <c r="D927" s="507"/>
      <c r="E927" s="1404"/>
    </row>
    <row r="928" ht="15.75" customHeight="1">
      <c r="A928" s="507"/>
      <c r="B928" s="507"/>
      <c r="C928" s="507"/>
      <c r="D928" s="507"/>
      <c r="E928" s="1404"/>
    </row>
    <row r="929" ht="15.75" customHeight="1">
      <c r="A929" s="507"/>
      <c r="B929" s="507"/>
      <c r="C929" s="507"/>
      <c r="D929" s="507"/>
      <c r="E929" s="1404"/>
    </row>
    <row r="930" ht="15.75" customHeight="1">
      <c r="A930" s="507"/>
      <c r="B930" s="507"/>
      <c r="C930" s="507"/>
      <c r="D930" s="507"/>
      <c r="E930" s="1404"/>
    </row>
    <row r="931" ht="15.75" customHeight="1">
      <c r="A931" s="507"/>
      <c r="B931" s="507"/>
      <c r="C931" s="507"/>
      <c r="D931" s="507"/>
      <c r="E931" s="1404"/>
    </row>
    <row r="932" ht="15.75" customHeight="1">
      <c r="A932" s="507"/>
      <c r="B932" s="507"/>
      <c r="C932" s="507"/>
      <c r="D932" s="507"/>
      <c r="E932" s="1404"/>
    </row>
    <row r="933" ht="15.75" customHeight="1">
      <c r="A933" s="507"/>
      <c r="B933" s="507"/>
      <c r="C933" s="507"/>
      <c r="D933" s="507"/>
      <c r="E933" s="1404"/>
    </row>
    <row r="934" ht="15.75" customHeight="1">
      <c r="A934" s="507"/>
      <c r="B934" s="507"/>
      <c r="C934" s="507"/>
      <c r="D934" s="507"/>
      <c r="E934" s="1404"/>
    </row>
    <row r="935" ht="15.75" customHeight="1">
      <c r="A935" s="507"/>
      <c r="B935" s="507"/>
      <c r="C935" s="507"/>
      <c r="D935" s="507"/>
      <c r="E935" s="1404"/>
    </row>
    <row r="936" ht="15.75" customHeight="1">
      <c r="A936" s="507"/>
      <c r="B936" s="507"/>
      <c r="C936" s="507"/>
      <c r="D936" s="507"/>
      <c r="E936" s="1404"/>
    </row>
    <row r="937" ht="15.75" customHeight="1">
      <c r="A937" s="507"/>
      <c r="B937" s="507"/>
      <c r="C937" s="507"/>
      <c r="D937" s="507"/>
      <c r="E937" s="1404"/>
    </row>
    <row r="938" ht="15.75" customHeight="1">
      <c r="A938" s="507"/>
      <c r="B938" s="507"/>
      <c r="C938" s="507"/>
      <c r="D938" s="507"/>
      <c r="E938" s="1404"/>
    </row>
    <row r="939" ht="15.75" customHeight="1">
      <c r="A939" s="507"/>
      <c r="B939" s="507"/>
      <c r="C939" s="507"/>
      <c r="D939" s="507"/>
      <c r="E939" s="1404"/>
    </row>
    <row r="940" ht="15.75" customHeight="1">
      <c r="A940" s="507"/>
      <c r="B940" s="507"/>
      <c r="C940" s="507"/>
      <c r="D940" s="507"/>
      <c r="E940" s="1404"/>
    </row>
    <row r="941" ht="15.75" customHeight="1">
      <c r="A941" s="507"/>
      <c r="B941" s="507"/>
      <c r="C941" s="507"/>
      <c r="D941" s="507"/>
      <c r="E941" s="1404"/>
    </row>
    <row r="942" ht="15.75" customHeight="1">
      <c r="A942" s="507"/>
      <c r="B942" s="507"/>
      <c r="C942" s="507"/>
      <c r="D942" s="507"/>
      <c r="E942" s="1404"/>
    </row>
    <row r="943" ht="15.75" customHeight="1">
      <c r="A943" s="507"/>
      <c r="B943" s="507"/>
      <c r="C943" s="507"/>
      <c r="D943" s="507"/>
      <c r="E943" s="1404"/>
    </row>
    <row r="944" ht="15.75" customHeight="1">
      <c r="A944" s="507"/>
      <c r="B944" s="507"/>
      <c r="C944" s="507"/>
      <c r="D944" s="507"/>
      <c r="E944" s="1404"/>
    </row>
    <row r="945" ht="15.75" customHeight="1">
      <c r="A945" s="507"/>
      <c r="B945" s="507"/>
      <c r="C945" s="507"/>
      <c r="D945" s="507"/>
      <c r="E945" s="1404"/>
    </row>
    <row r="946" ht="15.75" customHeight="1">
      <c r="A946" s="507"/>
      <c r="B946" s="507"/>
      <c r="C946" s="507"/>
      <c r="D946" s="507"/>
      <c r="E946" s="1404"/>
    </row>
    <row r="947" ht="15.75" customHeight="1">
      <c r="A947" s="507"/>
      <c r="B947" s="507"/>
      <c r="C947" s="507"/>
      <c r="D947" s="507"/>
      <c r="E947" s="1404"/>
    </row>
    <row r="948" ht="15.75" customHeight="1">
      <c r="A948" s="507"/>
      <c r="B948" s="507"/>
      <c r="C948" s="507"/>
      <c r="D948" s="507"/>
      <c r="E948" s="1404"/>
    </row>
    <row r="949" ht="15.75" customHeight="1">
      <c r="A949" s="507"/>
      <c r="B949" s="507"/>
      <c r="C949" s="507"/>
      <c r="D949" s="507"/>
      <c r="E949" s="1404"/>
    </row>
    <row r="950" ht="15.75" customHeight="1">
      <c r="A950" s="507"/>
      <c r="B950" s="507"/>
      <c r="C950" s="507"/>
      <c r="D950" s="507"/>
      <c r="E950" s="1404"/>
    </row>
    <row r="951" ht="15.75" customHeight="1">
      <c r="A951" s="507"/>
      <c r="B951" s="507"/>
      <c r="C951" s="507"/>
      <c r="D951" s="507"/>
      <c r="E951" s="1404"/>
    </row>
    <row r="952" ht="15.75" customHeight="1">
      <c r="A952" s="507"/>
      <c r="B952" s="507"/>
      <c r="C952" s="507"/>
      <c r="D952" s="507"/>
      <c r="E952" s="1404"/>
    </row>
    <row r="953" ht="15.75" customHeight="1">
      <c r="A953" s="507"/>
      <c r="B953" s="507"/>
      <c r="C953" s="507"/>
      <c r="D953" s="507"/>
      <c r="E953" s="1404"/>
    </row>
    <row r="954" ht="15.75" customHeight="1">
      <c r="A954" s="507"/>
      <c r="B954" s="507"/>
      <c r="C954" s="507"/>
      <c r="D954" s="507"/>
      <c r="E954" s="1404"/>
    </row>
    <row r="955" ht="15.75" customHeight="1">
      <c r="A955" s="507"/>
      <c r="B955" s="507"/>
      <c r="C955" s="507"/>
      <c r="D955" s="507"/>
      <c r="E955" s="1404"/>
    </row>
    <row r="956" ht="15.75" customHeight="1">
      <c r="A956" s="507"/>
      <c r="B956" s="507"/>
      <c r="C956" s="507"/>
      <c r="D956" s="507"/>
      <c r="E956" s="1404"/>
    </row>
    <row r="957" ht="15.75" customHeight="1">
      <c r="A957" s="507"/>
      <c r="B957" s="507"/>
      <c r="C957" s="507"/>
      <c r="D957" s="507"/>
      <c r="E957" s="1404"/>
    </row>
    <row r="958" ht="15.75" customHeight="1">
      <c r="A958" s="507"/>
      <c r="B958" s="507"/>
      <c r="C958" s="507"/>
      <c r="D958" s="507"/>
      <c r="E958" s="1404"/>
    </row>
    <row r="959" ht="15.75" customHeight="1">
      <c r="A959" s="507"/>
      <c r="B959" s="507"/>
      <c r="C959" s="507"/>
      <c r="D959" s="507"/>
      <c r="E959" s="1404"/>
    </row>
    <row r="960" ht="15.75" customHeight="1">
      <c r="A960" s="507"/>
      <c r="B960" s="507"/>
      <c r="C960" s="507"/>
      <c r="D960" s="507"/>
      <c r="E960" s="1404"/>
    </row>
    <row r="961" ht="15.75" customHeight="1">
      <c r="A961" s="507"/>
      <c r="B961" s="507"/>
      <c r="C961" s="507"/>
      <c r="D961" s="507"/>
      <c r="E961" s="1404"/>
    </row>
    <row r="962" ht="15.75" customHeight="1">
      <c r="A962" s="507"/>
      <c r="B962" s="507"/>
      <c r="C962" s="507"/>
      <c r="D962" s="507"/>
      <c r="E962" s="1404"/>
    </row>
    <row r="963" ht="15.75" customHeight="1">
      <c r="A963" s="507"/>
      <c r="B963" s="507"/>
      <c r="C963" s="507"/>
      <c r="D963" s="507"/>
      <c r="E963" s="1404"/>
    </row>
    <row r="964" ht="15.75" customHeight="1">
      <c r="A964" s="507"/>
      <c r="B964" s="507"/>
      <c r="C964" s="507"/>
      <c r="D964" s="507"/>
      <c r="E964" s="1404"/>
    </row>
    <row r="965" ht="15.75" customHeight="1">
      <c r="A965" s="507"/>
      <c r="B965" s="507"/>
      <c r="C965" s="507"/>
      <c r="D965" s="507"/>
      <c r="E965" s="1404"/>
    </row>
    <row r="966" ht="15.75" customHeight="1">
      <c r="A966" s="507"/>
      <c r="B966" s="507"/>
      <c r="C966" s="507"/>
      <c r="D966" s="507"/>
      <c r="E966" s="1404"/>
    </row>
    <row r="967" ht="15.75" customHeight="1">
      <c r="A967" s="507"/>
      <c r="B967" s="507"/>
      <c r="C967" s="507"/>
      <c r="D967" s="507"/>
      <c r="E967" s="1404"/>
    </row>
    <row r="968" ht="15.75" customHeight="1">
      <c r="A968" s="507"/>
      <c r="B968" s="507"/>
      <c r="C968" s="507"/>
      <c r="D968" s="507"/>
      <c r="E968" s="1404"/>
    </row>
    <row r="969" ht="15.75" customHeight="1">
      <c r="A969" s="507"/>
      <c r="B969" s="507"/>
      <c r="C969" s="507"/>
      <c r="D969" s="507"/>
      <c r="E969" s="1404"/>
    </row>
    <row r="970" ht="15.75" customHeight="1">
      <c r="A970" s="507"/>
      <c r="B970" s="507"/>
      <c r="C970" s="507"/>
      <c r="D970" s="507"/>
      <c r="E970" s="1404"/>
    </row>
    <row r="971" ht="15.75" customHeight="1">
      <c r="A971" s="507"/>
      <c r="B971" s="507"/>
      <c r="C971" s="507"/>
      <c r="D971" s="507"/>
      <c r="E971" s="1404"/>
    </row>
    <row r="972" ht="15.75" customHeight="1">
      <c r="A972" s="507"/>
      <c r="B972" s="507"/>
      <c r="C972" s="507"/>
      <c r="D972" s="507"/>
      <c r="E972" s="1404"/>
    </row>
    <row r="973" ht="15.75" customHeight="1">
      <c r="A973" s="507"/>
      <c r="B973" s="507"/>
      <c r="C973" s="507"/>
      <c r="D973" s="507"/>
      <c r="E973" s="1404"/>
    </row>
    <row r="974" ht="15.75" customHeight="1">
      <c r="A974" s="507"/>
      <c r="B974" s="507"/>
      <c r="C974" s="507"/>
      <c r="D974" s="507"/>
      <c r="E974" s="1404"/>
    </row>
    <row r="975" ht="15.75" customHeight="1">
      <c r="A975" s="507"/>
      <c r="B975" s="507"/>
      <c r="C975" s="507"/>
      <c r="D975" s="507"/>
      <c r="E975" s="1404"/>
    </row>
    <row r="976" ht="15.75" customHeight="1">
      <c r="A976" s="507"/>
      <c r="B976" s="507"/>
      <c r="C976" s="507"/>
      <c r="D976" s="507"/>
      <c r="E976" s="1404"/>
    </row>
    <row r="977" ht="15.75" customHeight="1">
      <c r="A977" s="507"/>
      <c r="B977" s="507"/>
      <c r="C977" s="507"/>
      <c r="D977" s="507"/>
      <c r="E977" s="1404"/>
    </row>
    <row r="978" ht="15.75" customHeight="1">
      <c r="A978" s="507"/>
      <c r="B978" s="507"/>
      <c r="C978" s="507"/>
      <c r="D978" s="507"/>
      <c r="E978" s="1404"/>
    </row>
    <row r="979" ht="15.75" customHeight="1">
      <c r="A979" s="507"/>
      <c r="B979" s="507"/>
      <c r="C979" s="507"/>
      <c r="D979" s="507"/>
      <c r="E979" s="1404"/>
    </row>
    <row r="980" ht="15.75" customHeight="1">
      <c r="A980" s="507"/>
      <c r="B980" s="507"/>
      <c r="C980" s="507"/>
      <c r="D980" s="507"/>
      <c r="E980" s="1404"/>
    </row>
    <row r="981" ht="15.75" customHeight="1">
      <c r="A981" s="507"/>
      <c r="B981" s="507"/>
      <c r="C981" s="507"/>
      <c r="D981" s="507"/>
      <c r="E981" s="1404"/>
    </row>
    <row r="982" ht="15.75" customHeight="1">
      <c r="A982" s="507"/>
      <c r="B982" s="507"/>
      <c r="C982" s="507"/>
      <c r="D982" s="507"/>
      <c r="E982" s="1404"/>
    </row>
    <row r="983" ht="15.75" customHeight="1">
      <c r="A983" s="507"/>
      <c r="B983" s="507"/>
      <c r="C983" s="507"/>
      <c r="D983" s="507"/>
      <c r="E983" s="1404"/>
    </row>
    <row r="984" ht="15.75" customHeight="1">
      <c r="A984" s="507"/>
      <c r="B984" s="507"/>
      <c r="C984" s="507"/>
      <c r="D984" s="507"/>
      <c r="E984" s="1404"/>
    </row>
    <row r="985" ht="15.75" customHeight="1">
      <c r="A985" s="507"/>
      <c r="B985" s="507"/>
      <c r="C985" s="507"/>
      <c r="D985" s="507"/>
      <c r="E985" s="1404"/>
    </row>
    <row r="986" ht="15.75" customHeight="1">
      <c r="A986" s="507"/>
      <c r="B986" s="507"/>
      <c r="C986" s="507"/>
      <c r="D986" s="507"/>
      <c r="E986" s="1404"/>
    </row>
    <row r="987" ht="15.75" customHeight="1">
      <c r="A987" s="507"/>
      <c r="B987" s="507"/>
      <c r="C987" s="507"/>
      <c r="D987" s="507"/>
      <c r="E987" s="1404"/>
    </row>
    <row r="988" ht="15.75" customHeight="1">
      <c r="A988" s="507"/>
      <c r="B988" s="507"/>
      <c r="C988" s="507"/>
      <c r="D988" s="507"/>
      <c r="E988" s="1404"/>
    </row>
    <row r="989" ht="15.75" customHeight="1">
      <c r="A989" s="507"/>
      <c r="B989" s="507"/>
      <c r="C989" s="507"/>
      <c r="D989" s="507"/>
      <c r="E989" s="1404"/>
    </row>
    <row r="990" ht="15.75" customHeight="1">
      <c r="A990" s="507"/>
      <c r="B990" s="507"/>
      <c r="C990" s="507"/>
      <c r="D990" s="507"/>
      <c r="E990" s="1404"/>
    </row>
    <row r="991" ht="15.75" customHeight="1">
      <c r="A991" s="507"/>
      <c r="B991" s="507"/>
      <c r="C991" s="507"/>
      <c r="D991" s="507"/>
      <c r="E991" s="1404"/>
    </row>
    <row r="992" ht="15.75" customHeight="1">
      <c r="A992" s="507"/>
      <c r="B992" s="507"/>
      <c r="C992" s="507"/>
      <c r="D992" s="507"/>
      <c r="E992" s="1404"/>
    </row>
    <row r="993" ht="15.75" customHeight="1">
      <c r="A993" s="507"/>
      <c r="B993" s="507"/>
      <c r="C993" s="507"/>
      <c r="D993" s="507"/>
      <c r="E993" s="1404"/>
    </row>
    <row r="994" ht="15.75" customHeight="1">
      <c r="A994" s="507"/>
      <c r="B994" s="507"/>
      <c r="C994" s="507"/>
      <c r="D994" s="507"/>
      <c r="E994" s="1404"/>
    </row>
    <row r="995" ht="15.75" customHeight="1">
      <c r="A995" s="507"/>
      <c r="B995" s="507"/>
      <c r="C995" s="507"/>
      <c r="D995" s="507"/>
      <c r="E995" s="1404"/>
    </row>
    <row r="996" ht="15.75" customHeight="1">
      <c r="A996" s="507"/>
      <c r="B996" s="507"/>
      <c r="C996" s="507"/>
      <c r="D996" s="507"/>
      <c r="E996" s="1404"/>
    </row>
    <row r="997" ht="15.75" customHeight="1">
      <c r="A997" s="507"/>
      <c r="B997" s="507"/>
      <c r="C997" s="507"/>
      <c r="D997" s="507"/>
      <c r="E997" s="1404"/>
    </row>
    <row r="998" ht="15.75" customHeight="1">
      <c r="A998" s="507"/>
      <c r="B998" s="507"/>
      <c r="C998" s="507"/>
      <c r="D998" s="507"/>
      <c r="E998" s="1404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dimension ref="A1:H11"/>
  <sheetViews>
    <sheetView workbookViewId="0" showGridLines="0" defaultGridColor="1"/>
  </sheetViews>
  <sheetFormatPr defaultColWidth="14.4" defaultRowHeight="15" customHeight="1" outlineLevelRow="0" outlineLevelCol="0"/>
  <cols>
    <col min="1" max="1" width="8.8125" style="1426" customWidth="1"/>
    <col min="2" max="2" width="61.4219" style="1426" customWidth="1"/>
    <col min="3" max="3" width="24" style="1426" customWidth="1"/>
    <col min="4" max="4" width="8.60156" style="1426" customWidth="1"/>
    <col min="5" max="5" width="15.6016" style="1426" customWidth="1"/>
    <col min="6" max="6" width="16.2109" style="1426" customWidth="1"/>
    <col min="7" max="7" width="18.6016" style="1426" customWidth="1"/>
    <col min="8" max="8" width="8.60156" style="1426" customWidth="1"/>
    <col min="9" max="16384" width="14.4219" style="1426" customWidth="1"/>
  </cols>
  <sheetData>
    <row r="1" ht="48" customHeight="1">
      <c r="A1" s="833">
        <v>1</v>
      </c>
      <c r="B1" s="1427"/>
      <c r="C1" s="27"/>
      <c r="D1" s="27"/>
      <c r="E1" s="27"/>
      <c r="F1" s="27"/>
      <c r="G1" s="27"/>
      <c r="H1" s="27"/>
    </row>
    <row r="2" ht="13.5" customHeight="1">
      <c r="A2" s="570"/>
      <c r="B2" s="27"/>
      <c r="C2" s="27"/>
      <c r="D2" s="27"/>
      <c r="E2" s="27"/>
      <c r="F2" s="27"/>
      <c r="G2" s="27"/>
      <c r="H2" s="27"/>
    </row>
    <row r="3" ht="13.5" customHeight="1">
      <c r="A3" s="570"/>
      <c r="B3" s="1428"/>
      <c r="C3" s="27"/>
      <c r="D3" s="27"/>
      <c r="E3" s="27"/>
      <c r="F3" s="27"/>
      <c r="G3" s="27"/>
      <c r="H3" s="27"/>
    </row>
    <row r="4" ht="13.5" customHeight="1">
      <c r="A4" s="570"/>
      <c r="B4" s="27"/>
      <c r="C4" s="27"/>
      <c r="D4" s="27"/>
      <c r="E4" s="27"/>
      <c r="F4" s="27"/>
      <c r="G4" s="27"/>
      <c r="H4" s="27"/>
    </row>
    <row r="5" ht="13.5" customHeight="1">
      <c r="A5" s="570"/>
      <c r="B5" s="27"/>
      <c r="C5" s="27"/>
      <c r="D5" s="27"/>
      <c r="E5" s="27"/>
      <c r="F5" s="27"/>
      <c r="G5" s="27"/>
      <c r="H5" s="27"/>
    </row>
    <row r="6" ht="13.5" customHeight="1">
      <c r="A6" s="570"/>
      <c r="B6" s="27"/>
      <c r="C6" s="27"/>
      <c r="D6" s="27"/>
      <c r="E6" s="27"/>
      <c r="F6" s="27"/>
      <c r="G6" s="27"/>
      <c r="H6" s="27"/>
    </row>
    <row r="7" ht="13.5" customHeight="1">
      <c r="A7" s="570"/>
      <c r="B7" s="27"/>
      <c r="C7" s="27"/>
      <c r="D7" s="27"/>
      <c r="E7" s="27"/>
      <c r="F7" s="27"/>
      <c r="G7" s="27"/>
      <c r="H7" s="27"/>
    </row>
    <row r="8" ht="13.5" customHeight="1">
      <c r="A8" s="833">
        <v>2</v>
      </c>
      <c r="B8" s="27"/>
      <c r="C8" s="27"/>
      <c r="D8" s="27"/>
      <c r="E8" s="27"/>
      <c r="F8" s="27"/>
      <c r="G8" s="27"/>
      <c r="H8" s="27"/>
    </row>
    <row r="9" ht="13.5" customHeight="1">
      <c r="A9" s="833">
        <v>3</v>
      </c>
      <c r="B9" s="27"/>
      <c r="C9" s="27"/>
      <c r="D9" s="27"/>
      <c r="E9" s="27"/>
      <c r="F9" s="27"/>
      <c r="G9" s="27"/>
      <c r="H9" s="27"/>
    </row>
    <row r="10" ht="13.5" customHeight="1">
      <c r="A10" s="833">
        <v>4</v>
      </c>
      <c r="B10" s="27"/>
      <c r="C10" s="27"/>
      <c r="D10" s="27"/>
      <c r="E10" s="27"/>
      <c r="F10" s="27"/>
      <c r="G10" s="27"/>
      <c r="H10" s="27"/>
    </row>
    <row r="11" ht="13.5" customHeight="1">
      <c r="A11" s="833">
        <v>5</v>
      </c>
      <c r="B11" s="27"/>
      <c r="C11" s="27"/>
      <c r="D11" s="27"/>
      <c r="E11" s="27"/>
      <c r="F11" s="27"/>
      <c r="G11" s="27"/>
      <c r="H11" s="27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